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-860" yWindow="-16600" windowWidth="27320" windowHeight="138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8" i="21" l="1"/>
  <c r="B18" i="21"/>
  <c r="I18" i="21"/>
  <c r="J18" i="21"/>
  <c r="G18" i="21"/>
  <c r="F18" i="21"/>
  <c r="D18" i="21"/>
  <c r="C18" i="21"/>
  <c r="O17" i="21"/>
  <c r="B17" i="21"/>
  <c r="I17" i="21"/>
  <c r="J17" i="21"/>
  <c r="G17" i="21"/>
  <c r="F17" i="21"/>
  <c r="D17" i="21"/>
  <c r="C17" i="21"/>
  <c r="O16" i="21"/>
  <c r="B16" i="21"/>
  <c r="I16" i="21"/>
  <c r="J16" i="21"/>
  <c r="G16" i="21"/>
  <c r="F16" i="21"/>
  <c r="D16" i="21"/>
  <c r="C16" i="21"/>
  <c r="O9" i="21"/>
  <c r="B9" i="21"/>
  <c r="I9" i="21"/>
  <c r="J9" i="21"/>
  <c r="G9" i="21"/>
  <c r="F9" i="21"/>
  <c r="D9" i="21"/>
  <c r="C9" i="21"/>
  <c r="O8" i="21"/>
  <c r="B8" i="21"/>
  <c r="I8" i="21"/>
  <c r="J8" i="21"/>
  <c r="G8" i="21"/>
  <c r="F8" i="21"/>
  <c r="D8" i="21"/>
  <c r="C8" i="21"/>
  <c r="O7" i="21"/>
  <c r="B7" i="21"/>
  <c r="I7" i="21"/>
  <c r="J7" i="21"/>
  <c r="G7" i="21"/>
  <c r="F7" i="21"/>
  <c r="D7" i="21"/>
  <c r="C7" i="21"/>
  <c r="O15" i="21"/>
  <c r="B15" i="21"/>
  <c r="I15" i="21"/>
  <c r="J15" i="21"/>
  <c r="G15" i="21"/>
  <c r="F15" i="21"/>
  <c r="D15" i="21"/>
  <c r="C15" i="21"/>
  <c r="O14" i="21"/>
  <c r="B14" i="21"/>
  <c r="I14" i="21"/>
  <c r="J14" i="21"/>
  <c r="G14" i="21"/>
  <c r="F14" i="21"/>
  <c r="D14" i="21"/>
  <c r="C14" i="21"/>
  <c r="O13" i="21"/>
  <c r="B13" i="21"/>
  <c r="I13" i="21"/>
  <c r="J13" i="21"/>
  <c r="G13" i="21"/>
  <c r="F13" i="21"/>
  <c r="D13" i="21"/>
  <c r="C13" i="21"/>
  <c r="O12" i="21"/>
  <c r="B12" i="21"/>
  <c r="I12" i="21"/>
  <c r="J12" i="21"/>
  <c r="G12" i="21"/>
  <c r="F12" i="21"/>
  <c r="D12" i="21"/>
  <c r="C12" i="21"/>
  <c r="O11" i="21"/>
  <c r="B11" i="21"/>
  <c r="I11" i="21"/>
  <c r="J11" i="21"/>
  <c r="G11" i="21"/>
  <c r="F11" i="21"/>
  <c r="D11" i="21"/>
  <c r="C11" i="21"/>
  <c r="O10" i="21"/>
  <c r="B10" i="21"/>
  <c r="I10" i="21"/>
  <c r="J10" i="21"/>
  <c r="G10" i="21"/>
  <c r="F10" i="21"/>
  <c r="D10" i="21"/>
  <c r="C10" i="21"/>
  <c r="O6" i="21"/>
  <c r="B6" i="21"/>
  <c r="I6" i="21"/>
  <c r="J6" i="21"/>
  <c r="G6" i="21"/>
  <c r="F6" i="21"/>
  <c r="D6" i="21"/>
  <c r="C6" i="21"/>
  <c r="O5" i="21"/>
  <c r="B5" i="21"/>
  <c r="I5" i="21"/>
  <c r="J5" i="21"/>
  <c r="G5" i="21"/>
  <c r="F5" i="21"/>
  <c r="D5" i="21"/>
  <c r="C5" i="21"/>
  <c r="O4" i="21"/>
  <c r="B4" i="21"/>
  <c r="I4" i="21"/>
  <c r="J4" i="21"/>
  <c r="G4" i="21"/>
  <c r="F4" i="21"/>
  <c r="D4" i="21"/>
  <c r="C4" i="21"/>
  <c r="O3" i="21"/>
  <c r="B3" i="21"/>
  <c r="I3" i="21"/>
  <c r="J3" i="21"/>
  <c r="G3" i="21"/>
  <c r="F3" i="21"/>
  <c r="D3" i="21"/>
  <c r="C3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M9" i="10"/>
  <c r="T9" i="10"/>
  <c r="W9" i="10"/>
  <c r="V9" i="10"/>
  <c r="X9" i="10"/>
  <c r="U9" i="10"/>
  <c r="Y9" i="10"/>
  <c r="M70" i="10"/>
  <c r="S84" i="10"/>
  <c r="N70" i="10"/>
  <c r="Q70" i="10"/>
  <c r="P70" i="10"/>
  <c r="R70" i="10"/>
  <c r="O70" i="10"/>
  <c r="S70" i="10"/>
  <c r="N50" i="10"/>
  <c r="Q50" i="10"/>
  <c r="P50" i="10"/>
  <c r="R50" i="10"/>
  <c r="O50" i="10"/>
  <c r="S50" i="10"/>
  <c r="N28" i="10"/>
  <c r="Q28" i="10"/>
  <c r="P28" i="10"/>
  <c r="R28" i="10"/>
  <c r="O28" i="10"/>
  <c r="S28" i="10"/>
  <c r="N9" i="10"/>
  <c r="Q9" i="10"/>
  <c r="P9" i="10"/>
  <c r="R9" i="10"/>
  <c r="O9" i="10"/>
  <c r="S9" i="10"/>
  <c r="G9" i="10"/>
  <c r="J9" i="10"/>
  <c r="I9" i="10"/>
  <c r="K9" i="10"/>
  <c r="H9" i="10"/>
  <c r="L9" i="10"/>
  <c r="J25" i="11"/>
  <c r="O80" i="9"/>
  <c r="N80" i="9"/>
  <c r="M80" i="9"/>
  <c r="L80" i="9"/>
  <c r="K80" i="9"/>
  <c r="J80" i="9"/>
  <c r="I80" i="9"/>
  <c r="H80" i="9"/>
  <c r="G80" i="9"/>
  <c r="E80" i="9"/>
  <c r="D80" i="9"/>
  <c r="A80" i="9"/>
  <c r="J24" i="11"/>
  <c r="O79" i="9"/>
  <c r="N79" i="9"/>
  <c r="M79" i="9"/>
  <c r="L79" i="9"/>
  <c r="K79" i="9"/>
  <c r="J79" i="9"/>
  <c r="I79" i="9"/>
  <c r="H79" i="9"/>
  <c r="G79" i="9"/>
  <c r="E79" i="9"/>
  <c r="D79" i="9"/>
  <c r="A79" i="9"/>
  <c r="J23" i="11"/>
  <c r="O78" i="9"/>
  <c r="N78" i="9"/>
  <c r="M78" i="9"/>
  <c r="L78" i="9"/>
  <c r="K78" i="9"/>
  <c r="J78" i="9"/>
  <c r="I78" i="9"/>
  <c r="H78" i="9"/>
  <c r="G78" i="9"/>
  <c r="E78" i="9"/>
  <c r="D78" i="9"/>
  <c r="A78" i="9"/>
  <c r="J22" i="11"/>
  <c r="O77" i="9"/>
  <c r="N77" i="9"/>
  <c r="M77" i="9"/>
  <c r="L77" i="9"/>
  <c r="K77" i="9"/>
  <c r="J77" i="9"/>
  <c r="I77" i="9"/>
  <c r="H77" i="9"/>
  <c r="G77" i="9"/>
  <c r="E77" i="9"/>
  <c r="D77" i="9"/>
  <c r="A77" i="9"/>
  <c r="J21" i="11"/>
  <c r="O76" i="9"/>
  <c r="N76" i="9"/>
  <c r="M76" i="9"/>
  <c r="L76" i="9"/>
  <c r="K76" i="9"/>
  <c r="J76" i="9"/>
  <c r="I76" i="9"/>
  <c r="H76" i="9"/>
  <c r="G76" i="9"/>
  <c r="E76" i="9"/>
  <c r="D76" i="9"/>
  <c r="A76" i="9"/>
  <c r="J20" i="11"/>
  <c r="O75" i="9"/>
  <c r="N75" i="9"/>
  <c r="M75" i="9"/>
  <c r="L75" i="9"/>
  <c r="K75" i="9"/>
  <c r="J75" i="9"/>
  <c r="I75" i="9"/>
  <c r="H75" i="9"/>
  <c r="G75" i="9"/>
  <c r="E75" i="9"/>
  <c r="D75" i="9"/>
  <c r="A75" i="9"/>
  <c r="J19" i="11"/>
  <c r="O74" i="9"/>
  <c r="N74" i="9"/>
  <c r="M74" i="9"/>
  <c r="L74" i="9"/>
  <c r="K74" i="9"/>
  <c r="J74" i="9"/>
  <c r="I74" i="9"/>
  <c r="H74" i="9"/>
  <c r="G74" i="9"/>
  <c r="E74" i="9"/>
  <c r="D74" i="9"/>
  <c r="A74" i="9"/>
  <c r="J18" i="11"/>
  <c r="O73" i="9"/>
  <c r="N73" i="9"/>
  <c r="M73" i="9"/>
  <c r="L73" i="9"/>
  <c r="K73" i="9"/>
  <c r="J73" i="9"/>
  <c r="I73" i="9"/>
  <c r="H73" i="9"/>
  <c r="G73" i="9"/>
  <c r="E73" i="9"/>
  <c r="D73" i="9"/>
  <c r="A73" i="9"/>
  <c r="J16" i="11"/>
  <c r="J17" i="11"/>
  <c r="J15" i="11"/>
  <c r="J14" i="11"/>
  <c r="J13" i="11"/>
  <c r="J12" i="11"/>
  <c r="J11" i="11"/>
  <c r="J10" i="11"/>
  <c r="J9" i="11"/>
  <c r="J8" i="11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J44" i="11"/>
  <c r="J43" i="11"/>
  <c r="J42" i="11"/>
  <c r="J41" i="11"/>
  <c r="J40" i="11"/>
  <c r="J39" i="11"/>
  <c r="J38" i="11"/>
  <c r="J37" i="11"/>
  <c r="M33" i="10"/>
  <c r="T33" i="10"/>
  <c r="W33" i="10"/>
  <c r="V33" i="10"/>
  <c r="X33" i="10"/>
  <c r="U33" i="10"/>
  <c r="Y33" i="10"/>
  <c r="S64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M87" i="10"/>
  <c r="N87" i="10"/>
  <c r="Q87" i="10"/>
  <c r="P87" i="10"/>
  <c r="R87" i="10"/>
  <c r="O87" i="10"/>
  <c r="S87" i="10"/>
  <c r="N62" i="10"/>
  <c r="Q62" i="10"/>
  <c r="P62" i="10"/>
  <c r="R62" i="10"/>
  <c r="O62" i="10"/>
  <c r="S6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S86" i="10"/>
  <c r="N60" i="10"/>
  <c r="Q60" i="10"/>
  <c r="P60" i="10"/>
  <c r="R60" i="10"/>
  <c r="O60" i="10"/>
  <c r="S6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M52" i="10"/>
  <c r="M76" i="10"/>
  <c r="N76" i="10"/>
  <c r="Q76" i="10"/>
  <c r="P76" i="10"/>
  <c r="R76" i="10"/>
  <c r="O76" i="10"/>
  <c r="S76" i="10"/>
  <c r="N52" i="10"/>
  <c r="Q52" i="10"/>
  <c r="P52" i="10"/>
  <c r="R52" i="10"/>
  <c r="O52" i="10"/>
  <c r="S52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M71" i="10"/>
  <c r="N71" i="10"/>
  <c r="Q71" i="10"/>
  <c r="P71" i="10"/>
  <c r="R71" i="10"/>
  <c r="O71" i="10"/>
  <c r="S71" i="10"/>
  <c r="M45" i="10"/>
  <c r="N45" i="10"/>
  <c r="Q45" i="10"/>
  <c r="P45" i="10"/>
  <c r="R45" i="10"/>
  <c r="O45" i="10"/>
  <c r="S45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J56" i="11"/>
  <c r="O95" i="9"/>
  <c r="N95" i="9"/>
  <c r="M95" i="9"/>
  <c r="L95" i="9"/>
  <c r="K95" i="9"/>
  <c r="J95" i="9"/>
  <c r="I95" i="9"/>
  <c r="H95" i="9"/>
  <c r="G95" i="9"/>
  <c r="E95" i="9"/>
  <c r="D95" i="9"/>
  <c r="A95" i="9"/>
  <c r="J55" i="11"/>
  <c r="O94" i="9"/>
  <c r="N94" i="9"/>
  <c r="M94" i="9"/>
  <c r="L94" i="9"/>
  <c r="K94" i="9"/>
  <c r="J94" i="9"/>
  <c r="I94" i="9"/>
  <c r="H94" i="9"/>
  <c r="G94" i="9"/>
  <c r="E94" i="9"/>
  <c r="D94" i="9"/>
  <c r="A94" i="9"/>
  <c r="J54" i="11"/>
  <c r="O93" i="9"/>
  <c r="N93" i="9"/>
  <c r="M93" i="9"/>
  <c r="L93" i="9"/>
  <c r="K93" i="9"/>
  <c r="J93" i="9"/>
  <c r="I93" i="9"/>
  <c r="H93" i="9"/>
  <c r="G93" i="9"/>
  <c r="E93" i="9"/>
  <c r="D93" i="9"/>
  <c r="A93" i="9"/>
  <c r="J53" i="11"/>
  <c r="O92" i="9"/>
  <c r="N92" i="9"/>
  <c r="M92" i="9"/>
  <c r="L92" i="9"/>
  <c r="K92" i="9"/>
  <c r="J92" i="9"/>
  <c r="I92" i="9"/>
  <c r="H92" i="9"/>
  <c r="G92" i="9"/>
  <c r="E92" i="9"/>
  <c r="D92" i="9"/>
  <c r="A92" i="9"/>
  <c r="J52" i="11"/>
  <c r="O91" i="9"/>
  <c r="N91" i="9"/>
  <c r="M91" i="9"/>
  <c r="L91" i="9"/>
  <c r="K91" i="9"/>
  <c r="J91" i="9"/>
  <c r="I91" i="9"/>
  <c r="H91" i="9"/>
  <c r="G91" i="9"/>
  <c r="E91" i="9"/>
  <c r="D91" i="9"/>
  <c r="A91" i="9"/>
  <c r="J51" i="11"/>
  <c r="O90" i="9"/>
  <c r="N90" i="9"/>
  <c r="M90" i="9"/>
  <c r="L90" i="9"/>
  <c r="K90" i="9"/>
  <c r="J90" i="9"/>
  <c r="I90" i="9"/>
  <c r="H90" i="9"/>
  <c r="G90" i="9"/>
  <c r="E90" i="9"/>
  <c r="D90" i="9"/>
  <c r="A90" i="9"/>
  <c r="J49" i="11"/>
  <c r="O89" i="9"/>
  <c r="N89" i="9"/>
  <c r="M89" i="9"/>
  <c r="L89" i="9"/>
  <c r="K89" i="9"/>
  <c r="J89" i="9"/>
  <c r="I89" i="9"/>
  <c r="H89" i="9"/>
  <c r="G89" i="9"/>
  <c r="E89" i="9"/>
  <c r="D89" i="9"/>
  <c r="A89" i="9"/>
  <c r="J50" i="11"/>
  <c r="O88" i="9"/>
  <c r="N88" i="9"/>
  <c r="M88" i="9"/>
  <c r="L88" i="9"/>
  <c r="K88" i="9"/>
  <c r="J88" i="9"/>
  <c r="I88" i="9"/>
  <c r="H88" i="9"/>
  <c r="G88" i="9"/>
  <c r="E88" i="9"/>
  <c r="D88" i="9"/>
  <c r="A88" i="9"/>
  <c r="J48" i="11"/>
  <c r="O87" i="9"/>
  <c r="N87" i="9"/>
  <c r="M87" i="9"/>
  <c r="L87" i="9"/>
  <c r="K87" i="9"/>
  <c r="J87" i="9"/>
  <c r="I87" i="9"/>
  <c r="H87" i="9"/>
  <c r="G87" i="9"/>
  <c r="E87" i="9"/>
  <c r="D87" i="9"/>
  <c r="A87" i="9"/>
  <c r="J47" i="11"/>
  <c r="O86" i="9"/>
  <c r="N86" i="9"/>
  <c r="M86" i="9"/>
  <c r="L86" i="9"/>
  <c r="K86" i="9"/>
  <c r="J86" i="9"/>
  <c r="I86" i="9"/>
  <c r="H86" i="9"/>
  <c r="G86" i="9"/>
  <c r="E86" i="9"/>
  <c r="D86" i="9"/>
  <c r="A86" i="9"/>
  <c r="J46" i="11"/>
  <c r="O85" i="9"/>
  <c r="N85" i="9"/>
  <c r="M85" i="9"/>
  <c r="L85" i="9"/>
  <c r="K85" i="9"/>
  <c r="J85" i="9"/>
  <c r="I85" i="9"/>
  <c r="H85" i="9"/>
  <c r="G85" i="9"/>
  <c r="E85" i="9"/>
  <c r="D85" i="9"/>
  <c r="A85" i="9"/>
  <c r="J45" i="11"/>
  <c r="O84" i="9"/>
  <c r="N84" i="9"/>
  <c r="M84" i="9"/>
  <c r="L84" i="9"/>
  <c r="K84" i="9"/>
  <c r="J84" i="9"/>
  <c r="I84" i="9"/>
  <c r="H84" i="9"/>
  <c r="G84" i="9"/>
  <c r="E84" i="9"/>
  <c r="D84" i="9"/>
  <c r="A84" i="9"/>
  <c r="T87" i="10"/>
  <c r="W87" i="10"/>
  <c r="V87" i="10"/>
  <c r="X87" i="10"/>
  <c r="U87" i="10"/>
  <c r="Y87" i="10"/>
  <c r="G87" i="10"/>
  <c r="J87" i="10"/>
  <c r="I87" i="10"/>
  <c r="K87" i="10"/>
  <c r="H87" i="10"/>
  <c r="L87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M86" i="10"/>
  <c r="N86" i="10"/>
  <c r="Q86" i="10"/>
  <c r="P86" i="10"/>
  <c r="R86" i="10"/>
  <c r="O86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O2" i="21"/>
  <c r="J72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71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70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69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68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67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66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65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64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63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36" i="11"/>
  <c r="O83" i="9"/>
  <c r="N83" i="9"/>
  <c r="M83" i="9"/>
  <c r="L83" i="9"/>
  <c r="K83" i="9"/>
  <c r="J83" i="9"/>
  <c r="I83" i="9"/>
  <c r="H83" i="9"/>
  <c r="G83" i="9"/>
  <c r="E83" i="9"/>
  <c r="D83" i="9"/>
  <c r="A83" i="9"/>
  <c r="J35" i="11"/>
  <c r="O82" i="9"/>
  <c r="N82" i="9"/>
  <c r="M82" i="9"/>
  <c r="L82" i="9"/>
  <c r="K82" i="9"/>
  <c r="J82" i="9"/>
  <c r="I82" i="9"/>
  <c r="H82" i="9"/>
  <c r="G82" i="9"/>
  <c r="E82" i="9"/>
  <c r="D82" i="9"/>
  <c r="A82" i="9"/>
  <c r="J34" i="11"/>
  <c r="O81" i="9"/>
  <c r="N81" i="9"/>
  <c r="M81" i="9"/>
  <c r="L81" i="9"/>
  <c r="K81" i="9"/>
  <c r="J81" i="9"/>
  <c r="I81" i="9"/>
  <c r="H81" i="9"/>
  <c r="G81" i="9"/>
  <c r="E81" i="9"/>
  <c r="D81" i="9"/>
  <c r="A81" i="9"/>
  <c r="O70" i="9"/>
  <c r="N70" i="9"/>
  <c r="M70" i="9"/>
  <c r="L70" i="9"/>
  <c r="K70" i="9"/>
  <c r="J70" i="9"/>
  <c r="I70" i="9"/>
  <c r="H70" i="9"/>
  <c r="G70" i="9"/>
  <c r="E70" i="9"/>
  <c r="D70" i="9"/>
  <c r="A70" i="9"/>
  <c r="J7" i="11"/>
  <c r="O69" i="9"/>
  <c r="N69" i="9"/>
  <c r="M69" i="9"/>
  <c r="L69" i="9"/>
  <c r="K69" i="9"/>
  <c r="J69" i="9"/>
  <c r="I69" i="9"/>
  <c r="H69" i="9"/>
  <c r="G69" i="9"/>
  <c r="E69" i="9"/>
  <c r="D69" i="9"/>
  <c r="A69" i="9"/>
  <c r="J6" i="11"/>
  <c r="O68" i="9"/>
  <c r="N68" i="9"/>
  <c r="M68" i="9"/>
  <c r="L68" i="9"/>
  <c r="K68" i="9"/>
  <c r="J68" i="9"/>
  <c r="I68" i="9"/>
  <c r="H68" i="9"/>
  <c r="G68" i="9"/>
  <c r="E68" i="9"/>
  <c r="D68" i="9"/>
  <c r="A68" i="9"/>
  <c r="J5" i="11"/>
  <c r="O67" i="9"/>
  <c r="N67" i="9"/>
  <c r="M67" i="9"/>
  <c r="L67" i="9"/>
  <c r="K67" i="9"/>
  <c r="J67" i="9"/>
  <c r="I67" i="9"/>
  <c r="H67" i="9"/>
  <c r="G67" i="9"/>
  <c r="E67" i="9"/>
  <c r="D67" i="9"/>
  <c r="A67" i="9"/>
  <c r="J4" i="11"/>
  <c r="O66" i="9"/>
  <c r="N66" i="9"/>
  <c r="M66" i="9"/>
  <c r="L66" i="9"/>
  <c r="K66" i="9"/>
  <c r="J66" i="9"/>
  <c r="I66" i="9"/>
  <c r="H66" i="9"/>
  <c r="G66" i="9"/>
  <c r="E66" i="9"/>
  <c r="D66" i="9"/>
  <c r="A66" i="9"/>
  <c r="J3" i="11"/>
  <c r="O65" i="9"/>
  <c r="N65" i="9"/>
  <c r="M65" i="9"/>
  <c r="L65" i="9"/>
  <c r="K65" i="9"/>
  <c r="J65" i="9"/>
  <c r="I65" i="9"/>
  <c r="H65" i="9"/>
  <c r="G65" i="9"/>
  <c r="E65" i="9"/>
  <c r="D65" i="9"/>
  <c r="A65" i="9"/>
  <c r="J2" i="11"/>
  <c r="O64" i="9"/>
  <c r="N64" i="9"/>
  <c r="M64" i="9"/>
  <c r="L64" i="9"/>
  <c r="K64" i="9"/>
  <c r="J64" i="9"/>
  <c r="I64" i="9"/>
  <c r="H64" i="9"/>
  <c r="G64" i="9"/>
  <c r="E64" i="9"/>
  <c r="D64" i="9"/>
  <c r="A64" i="9"/>
  <c r="A100" i="9"/>
  <c r="D100" i="9"/>
  <c r="E100" i="9"/>
  <c r="G100" i="9"/>
  <c r="H100" i="9"/>
  <c r="I100" i="9"/>
  <c r="J100" i="9"/>
  <c r="K100" i="9"/>
  <c r="L100" i="9"/>
  <c r="M100" i="9"/>
  <c r="N100" i="9"/>
  <c r="J61" i="11"/>
  <c r="O100" i="9"/>
  <c r="J62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59" i="11"/>
  <c r="O99" i="9"/>
  <c r="N99" i="9"/>
  <c r="M99" i="9"/>
  <c r="L99" i="9"/>
  <c r="K99" i="9"/>
  <c r="J99" i="9"/>
  <c r="I99" i="9"/>
  <c r="H99" i="9"/>
  <c r="G99" i="9"/>
  <c r="E99" i="9"/>
  <c r="D99" i="9"/>
  <c r="A99" i="9"/>
  <c r="J60" i="11"/>
  <c r="O98" i="9"/>
  <c r="N98" i="9"/>
  <c r="M98" i="9"/>
  <c r="L98" i="9"/>
  <c r="K98" i="9"/>
  <c r="J98" i="9"/>
  <c r="I98" i="9"/>
  <c r="H98" i="9"/>
  <c r="G98" i="9"/>
  <c r="E98" i="9"/>
  <c r="D98" i="9"/>
  <c r="A98" i="9"/>
  <c r="J58" i="11"/>
  <c r="O97" i="9"/>
  <c r="N97" i="9"/>
  <c r="M97" i="9"/>
  <c r="L97" i="9"/>
  <c r="K97" i="9"/>
  <c r="J97" i="9"/>
  <c r="I97" i="9"/>
  <c r="H97" i="9"/>
  <c r="G97" i="9"/>
  <c r="E97" i="9"/>
  <c r="D97" i="9"/>
  <c r="A97" i="9"/>
  <c r="J57" i="11"/>
  <c r="O96" i="9"/>
  <c r="N96" i="9"/>
  <c r="M96" i="9"/>
  <c r="L96" i="9"/>
  <c r="K96" i="9"/>
  <c r="J96" i="9"/>
  <c r="I96" i="9"/>
  <c r="H96" i="9"/>
  <c r="G96" i="9"/>
  <c r="E96" i="9"/>
  <c r="D96" i="9"/>
  <c r="A96" i="9"/>
  <c r="T45" i="10"/>
  <c r="W45" i="10"/>
  <c r="V45" i="10"/>
  <c r="X45" i="10"/>
  <c r="U45" i="10"/>
  <c r="Y45" i="10"/>
  <c r="G45" i="10"/>
  <c r="J45" i="10"/>
  <c r="I45" i="10"/>
  <c r="K45" i="10"/>
  <c r="H45" i="10"/>
  <c r="L45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T86" i="10"/>
  <c r="W86" i="10"/>
  <c r="V86" i="10"/>
  <c r="X86" i="10"/>
  <c r="U86" i="10"/>
  <c r="Y86" i="10"/>
  <c r="G86" i="10"/>
  <c r="J86" i="10"/>
  <c r="I86" i="10"/>
  <c r="K86" i="10"/>
  <c r="H86" i="10"/>
  <c r="L86" i="10"/>
  <c r="AC4" i="1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0" i="9"/>
  <c r="N60" i="9"/>
  <c r="M60" i="9"/>
  <c r="L60" i="9"/>
  <c r="K60" i="9"/>
  <c r="J60" i="9"/>
  <c r="I60" i="9"/>
  <c r="H60" i="9"/>
  <c r="G60" i="9"/>
  <c r="E60" i="9"/>
  <c r="D60" i="9"/>
  <c r="A60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O61" i="9"/>
  <c r="N61" i="9"/>
  <c r="M61" i="9"/>
  <c r="L61" i="9"/>
  <c r="K61" i="9"/>
  <c r="J61" i="9"/>
  <c r="I61" i="9"/>
  <c r="H61" i="9"/>
  <c r="G61" i="9"/>
  <c r="E61" i="9"/>
  <c r="D61" i="9"/>
  <c r="A61" i="9"/>
  <c r="O59" i="9"/>
  <c r="N59" i="9"/>
  <c r="M59" i="9"/>
  <c r="L59" i="9"/>
  <c r="K59" i="9"/>
  <c r="J59" i="9"/>
  <c r="I59" i="9"/>
  <c r="H59" i="9"/>
  <c r="G59" i="9"/>
  <c r="E59" i="9"/>
  <c r="D59" i="9"/>
  <c r="A59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M84" i="10"/>
  <c r="T84" i="10"/>
  <c r="W84" i="10"/>
  <c r="V84" i="10"/>
  <c r="X84" i="10"/>
  <c r="U84" i="10"/>
  <c r="Y84" i="10"/>
  <c r="N84" i="10"/>
  <c r="Q84" i="10"/>
  <c r="P84" i="10"/>
  <c r="R84" i="10"/>
  <c r="O84" i="10"/>
  <c r="G84" i="10"/>
  <c r="J84" i="10"/>
  <c r="I84" i="10"/>
  <c r="K84" i="10"/>
  <c r="H84" i="10"/>
  <c r="L84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G64" i="10"/>
  <c r="J64" i="10"/>
  <c r="I64" i="10"/>
  <c r="K64" i="10"/>
  <c r="H64" i="10"/>
  <c r="L64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62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60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J31" i="11"/>
  <c r="J32" i="11"/>
  <c r="O58" i="9"/>
  <c r="N58" i="9"/>
  <c r="M58" i="9"/>
  <c r="L58" i="9"/>
  <c r="K58" i="9"/>
  <c r="J58" i="9"/>
  <c r="I58" i="9"/>
  <c r="H58" i="9"/>
  <c r="G58" i="9"/>
  <c r="E58" i="9"/>
  <c r="D58" i="9"/>
  <c r="A58" i="9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O22" i="9"/>
  <c r="N22" i="9"/>
  <c r="M22" i="9"/>
  <c r="L22" i="9"/>
  <c r="K22" i="9"/>
  <c r="J22" i="9"/>
  <c r="I22" i="9"/>
  <c r="H22" i="9"/>
  <c r="G22" i="9"/>
  <c r="E22" i="9"/>
  <c r="D22" i="9"/>
  <c r="A22" i="9"/>
  <c r="M39" i="10"/>
  <c r="T39" i="10"/>
  <c r="W39" i="10"/>
  <c r="V39" i="10"/>
  <c r="X39" i="10"/>
  <c r="U39" i="10"/>
  <c r="Y39" i="10"/>
  <c r="M68" i="10"/>
  <c r="N68" i="10"/>
  <c r="Q68" i="10"/>
  <c r="P68" i="10"/>
  <c r="R68" i="10"/>
  <c r="O68" i="10"/>
  <c r="S68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O23" i="9"/>
  <c r="N23" i="9"/>
  <c r="M23" i="9"/>
  <c r="L23" i="9"/>
  <c r="K23" i="9"/>
  <c r="J23" i="9"/>
  <c r="I23" i="9"/>
  <c r="H23" i="9"/>
  <c r="G23" i="9"/>
  <c r="E23" i="9"/>
  <c r="D23" i="9"/>
  <c r="A23" i="9"/>
  <c r="J26" i="11"/>
  <c r="O17" i="9"/>
  <c r="N17" i="9"/>
  <c r="M17" i="9"/>
  <c r="L17" i="9"/>
  <c r="K17" i="9"/>
  <c r="J17" i="9"/>
  <c r="I17" i="9"/>
  <c r="H17" i="9"/>
  <c r="G17" i="9"/>
  <c r="E17" i="9"/>
  <c r="D17" i="9"/>
  <c r="A17" i="9"/>
  <c r="J29" i="11"/>
  <c r="O20" i="9"/>
  <c r="N20" i="9"/>
  <c r="M20" i="9"/>
  <c r="L20" i="9"/>
  <c r="K20" i="9"/>
  <c r="J20" i="9"/>
  <c r="I20" i="9"/>
  <c r="H20" i="9"/>
  <c r="G20" i="9"/>
  <c r="E20" i="9"/>
  <c r="D20" i="9"/>
  <c r="A20" i="9"/>
  <c r="J28" i="11"/>
  <c r="O19" i="9"/>
  <c r="N19" i="9"/>
  <c r="M19" i="9"/>
  <c r="L19" i="9"/>
  <c r="K19" i="9"/>
  <c r="J19" i="9"/>
  <c r="I19" i="9"/>
  <c r="H19" i="9"/>
  <c r="G19" i="9"/>
  <c r="E19" i="9"/>
  <c r="D19" i="9"/>
  <c r="A19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7" i="9"/>
  <c r="N7" i="9"/>
  <c r="M7" i="9"/>
  <c r="L7" i="9"/>
  <c r="K7" i="9"/>
  <c r="J7" i="9"/>
  <c r="I7" i="9"/>
  <c r="H7" i="9"/>
  <c r="G7" i="9"/>
  <c r="E7" i="9"/>
  <c r="D7" i="9"/>
  <c r="A7" i="9"/>
  <c r="O8" i="9"/>
  <c r="N8" i="9"/>
  <c r="M8" i="9"/>
  <c r="L8" i="9"/>
  <c r="K8" i="9"/>
  <c r="J8" i="9"/>
  <c r="I8" i="9"/>
  <c r="H8" i="9"/>
  <c r="G8" i="9"/>
  <c r="E8" i="9"/>
  <c r="D8" i="9"/>
  <c r="A8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J27" i="11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8" i="10"/>
  <c r="T38" i="10"/>
  <c r="W38" i="10"/>
  <c r="V38" i="10"/>
  <c r="X38" i="10"/>
  <c r="U38" i="10"/>
  <c r="Y38" i="10"/>
  <c r="M57" i="10"/>
  <c r="N57" i="10"/>
  <c r="Q57" i="10"/>
  <c r="P57" i="10"/>
  <c r="R57" i="10"/>
  <c r="O57" i="10"/>
  <c r="S57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M56" i="10"/>
  <c r="N56" i="10"/>
  <c r="Q56" i="10"/>
  <c r="P56" i="10"/>
  <c r="R56" i="10"/>
  <c r="O56" i="10"/>
  <c r="S56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M54" i="10"/>
  <c r="M78" i="10"/>
  <c r="N78" i="10"/>
  <c r="Q78" i="10"/>
  <c r="P78" i="10"/>
  <c r="R78" i="10"/>
  <c r="O78" i="10"/>
  <c r="S78" i="10"/>
  <c r="N54" i="10"/>
  <c r="Q54" i="10"/>
  <c r="P54" i="10"/>
  <c r="R54" i="10"/>
  <c r="O54" i="10"/>
  <c r="S5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M69" i="10"/>
  <c r="N69" i="10"/>
  <c r="Q69" i="10"/>
  <c r="P69" i="10"/>
  <c r="R69" i="10"/>
  <c r="O69" i="10"/>
  <c r="S6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8" i="9"/>
  <c r="H18" i="9"/>
  <c r="I18" i="9"/>
  <c r="J18" i="9"/>
  <c r="K18" i="9"/>
  <c r="L18" i="9"/>
  <c r="M18" i="9"/>
  <c r="N18" i="9"/>
  <c r="G21" i="9"/>
  <c r="H21" i="9"/>
  <c r="I21" i="9"/>
  <c r="J21" i="9"/>
  <c r="K21" i="9"/>
  <c r="L21" i="9"/>
  <c r="M21" i="9"/>
  <c r="N21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J30" i="11"/>
  <c r="J33" i="11"/>
  <c r="O3" i="9"/>
  <c r="O4" i="9"/>
  <c r="O9" i="9"/>
  <c r="O10" i="9"/>
  <c r="O11" i="9"/>
  <c r="O12" i="9"/>
  <c r="O15" i="9"/>
  <c r="O16" i="9"/>
  <c r="O18" i="9"/>
  <c r="O21" i="9"/>
  <c r="O24" i="9"/>
  <c r="O25" i="9"/>
  <c r="O26" i="9"/>
  <c r="O27" i="9"/>
  <c r="O28" i="9"/>
  <c r="O34" i="9"/>
  <c r="O35" i="9"/>
  <c r="O36" i="9"/>
  <c r="O37" i="9"/>
  <c r="O38" i="9"/>
  <c r="O39" i="9"/>
  <c r="O48" i="9"/>
  <c r="O49" i="9"/>
  <c r="O50" i="9"/>
  <c r="O51" i="9"/>
  <c r="O54" i="9"/>
  <c r="O55" i="9"/>
  <c r="O56" i="9"/>
  <c r="O57" i="9"/>
  <c r="A4" i="9"/>
  <c r="D4" i="9"/>
  <c r="E4" i="9"/>
  <c r="A9" i="9"/>
  <c r="D9" i="9"/>
  <c r="E9" i="9"/>
  <c r="A10" i="9"/>
  <c r="D10" i="9"/>
  <c r="E10" i="9"/>
  <c r="A11" i="9"/>
  <c r="D11" i="9"/>
  <c r="E11" i="9"/>
  <c r="A12" i="9"/>
  <c r="D12" i="9"/>
  <c r="E12" i="9"/>
  <c r="A15" i="9"/>
  <c r="D15" i="9"/>
  <c r="E15" i="9"/>
  <c r="A16" i="9"/>
  <c r="D16" i="9"/>
  <c r="E16" i="9"/>
  <c r="A18" i="9"/>
  <c r="D18" i="9"/>
  <c r="E18" i="9"/>
  <c r="A21" i="9"/>
  <c r="D21" i="9"/>
  <c r="E21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34" i="9"/>
  <c r="D34" i="9"/>
  <c r="E34" i="9"/>
  <c r="A35" i="9"/>
  <c r="D35" i="9"/>
  <c r="E35" i="9"/>
  <c r="A36" i="9"/>
  <c r="D36" i="9"/>
  <c r="E36" i="9"/>
  <c r="A37" i="9"/>
  <c r="D37" i="9"/>
  <c r="E37" i="9"/>
  <c r="A38" i="9"/>
  <c r="D38" i="9"/>
  <c r="E38" i="9"/>
  <c r="A39" i="9"/>
  <c r="D39" i="9"/>
  <c r="E39" i="9"/>
  <c r="A48" i="9"/>
  <c r="D48" i="9"/>
  <c r="E48" i="9"/>
  <c r="A49" i="9"/>
  <c r="D49" i="9"/>
  <c r="E49" i="9"/>
  <c r="A50" i="9"/>
  <c r="D50" i="9"/>
  <c r="E50" i="9"/>
  <c r="A51" i="9"/>
  <c r="D51" i="9"/>
  <c r="E51" i="9"/>
  <c r="A54" i="9"/>
  <c r="D54" i="9"/>
  <c r="E54" i="9"/>
  <c r="A55" i="9"/>
  <c r="D55" i="9"/>
  <c r="E55" i="9"/>
  <c r="A56" i="9"/>
  <c r="D56" i="9"/>
  <c r="E56" i="9"/>
  <c r="A57" i="9"/>
  <c r="D57" i="9"/>
  <c r="E57" i="9"/>
  <c r="E3" i="9"/>
  <c r="D3" i="9"/>
  <c r="A3" i="9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T78" i="10"/>
  <c r="W78" i="10"/>
  <c r="V78" i="10"/>
  <c r="X78" i="10"/>
  <c r="U78" i="10"/>
  <c r="Y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T76" i="10"/>
  <c r="W76" i="10"/>
  <c r="V76" i="10"/>
  <c r="X76" i="10"/>
  <c r="U76" i="10"/>
  <c r="Y76" i="10"/>
  <c r="G76" i="10"/>
  <c r="J76" i="10"/>
  <c r="I76" i="10"/>
  <c r="K76" i="10"/>
  <c r="H76" i="10"/>
  <c r="L76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T68" i="10"/>
  <c r="W68" i="10"/>
  <c r="V68" i="10"/>
  <c r="X68" i="10"/>
  <c r="U68" i="10"/>
  <c r="Y68" i="10"/>
  <c r="G68" i="10"/>
  <c r="J68" i="10"/>
  <c r="I68" i="10"/>
  <c r="K68" i="10"/>
  <c r="H68" i="10"/>
  <c r="L68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7" i="1"/>
  <c r="AF17" i="1"/>
  <c r="AI17" i="1"/>
  <c r="AG17" i="1"/>
  <c r="AE17" i="1"/>
  <c r="E2" i="9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AC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<sst xmlns="http://schemas.openxmlformats.org/spreadsheetml/2006/main" count="1098" uniqueCount="459">
  <si>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</si>
  <si>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</si>
  <si>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</si>
  <si>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</si>
  <si>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</si>
  <si>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</si>
  <si>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</si>
  <si>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</si>
  <si>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</si>
  <si>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</si>
  <si>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</si>
  <si>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</si>
  <si>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</si>
  <si>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</si>
  <si>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</si>
  <si>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</si>
  <si>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</si>
  <si>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</si>
  <si>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</si>
  <si>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</si>
  <si>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</si>
  <si>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</si>
  <si>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</si>
  <si>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</si>
  <si>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</si>
  <si>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</si>
  <si>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</si>
  <si>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</si>
  <si>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</si>
  <si>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</si>
  <si>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</si>
  <si>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</si>
  <si>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</si>
  <si>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</si>
  <si>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</si>
  <si>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</si>
  <si>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</si>
  <si>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</si>
  <si>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</si>
  <si>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</si>
  <si>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</si>
  <si>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</si>
  <si>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</si>
  <si>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</si>
  <si>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</si>
  <si>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</si>
  <si>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</si>
  <si>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</si>
  <si>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</si>
  <si>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</si>
  <si>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</si>
  <si>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</si>
  <si>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</si>
  <si>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</si>
  <si>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</si>
  <si>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</si>
  <si>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</si>
  <si>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</si>
  <si>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</si>
  <si>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</si>
  <si>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</si>
  <si>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</si>
  <si>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</si>
  <si>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</si>
  <si>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</si>
  <si>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</si>
  <si>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</si>
  <si>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</si>
  <si>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</si>
  <si>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</si>
  <si>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</si>
  <si>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</si>
  <si>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</si>
  <si>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</si>
  <si>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</si>
  <si>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</si>
  <si>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</si>
  <si>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</si>
  <si>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</si>
  <si>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</si>
  <si>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</si>
  <si>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</si>
  <si>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</si>
  <si>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</si>
  <si>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</si>
  <si>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</si>
  <si>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</si>
  <si>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</si>
  <si>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</si>
  <si>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</si>
  <si>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</si>
  <si>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</si>
  <si>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</si>
  <si>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</si>
  <si>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</si>
  <si>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</si>
  <si>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</si>
  <si>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</si>
  <si>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</si>
  <si>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</si>
  <si>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</si>
  <si>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</si>
  <si>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</si>
  <si>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</si>
  <si>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</si>
  <si>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</si>
  <si>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</si>
  <si>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</si>
  <si>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</si>
  <si>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</si>
  <si>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</si>
  <si>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</si>
  <si>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</si>
  <si>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</si>
  <si>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</si>
  <si>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</si>
  <si>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</si>
  <si>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</si>
  <si>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</si>
  <si>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</si>
  <si>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</si>
  <si>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</si>
  <si>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</si>
  <si>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</si>
  <si>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</si>
  <si>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</si>
  <si>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</si>
  <si>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</si>
  <si>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</si>
  <si>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</si>
  <si>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</si>
  <si>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</si>
  <si>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</si>
  <si>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</si>
  <si>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</si>
  <si>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</si>
  <si>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</si>
  <si>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</si>
  <si>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</si>
  <si>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</si>
  <si>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</si>
  <si>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</si>
  <si>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</si>
  <si>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</si>
  <si>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</si>
  <si>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</si>
  <si>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</si>
  <si>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</si>
  <si>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</si>
  <si>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</si>
  <si>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</si>
  <si>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</si>
  <si>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</si>
  <si>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</si>
  <si>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</si>
  <si>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</si>
  <si>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</si>
  <si>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</si>
  <si>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</si>
  <si>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</si>
  <si>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</si>
  <si>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</si>
  <si>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</si>
  <si>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</si>
  <si>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</si>
  <si>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</si>
  <si>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</si>
  <si>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</si>
  <si>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</si>
  <si>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</si>
  <si>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</si>
  <si>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</si>
  <si>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</si>
  <si>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</si>
  <si>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</si>
  <si>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</si>
  <si>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</si>
  <si>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</si>
  <si>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</si>
  <si>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</si>
  <si>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</si>
  <si>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</si>
  <si>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</si>
  <si>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</si>
  <si>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</si>
  <si>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</si>
  <si>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</si>
  <si>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</si>
  <si>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</si>
  <si>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</si>
  <si>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</si>
  <si>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</si>
  <si>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</si>
  <si>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</si>
  <si>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</si>
  <si>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</si>
  <si>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</si>
  <si>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</si>
  <si>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</si>
  <si>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</si>
  <si>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</si>
  <si>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</si>
  <si>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</si>
  <si>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</si>
  <si>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</si>
  <si>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</si>
  <si>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</si>
  <si>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</si>
  <si>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</si>
  <si>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</si>
  <si>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</si>
  <si>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</si>
  <si>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</si>
  <si>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</si>
  <si>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</si>
  <si>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</si>
  <si>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</si>
  <si>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</si>
  <si>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</si>
  <si>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</si>
  <si>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</si>
  <si>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</si>
  <si>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</si>
  <si>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</si>
  <si>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</si>
  <si>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</si>
  <si>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</si>
  <si>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</si>
  <si>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</si>
  <si>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</si>
  <si>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</si>
  <si>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</si>
  <si>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</si>
  <si>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</si>
  <si>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</si>
  <si>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</si>
  <si>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</si>
  <si>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</si>
  <si>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</si>
  <si>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</si>
  <si>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</si>
  <si>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</si>
  <si>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</si>
  <si>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</si>
  <si>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</si>
  <si>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</si>
  <si>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</si>
  <si>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</si>
  <si>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</si>
  <si>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</si>
  <si>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</si>
  <si>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</si>
  <si>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</si>
  <si>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</si>
  <si>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</si>
  <si>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聖域の境界</t>
    <rPh sb="0" eb="2">
      <t>セイイキ</t>
    </rPh>
    <rPh sb="3" eb="5">
      <t>キョウカイ</t>
    </rPh>
    <phoneticPr fontId="5"/>
  </si>
  <si>
    <t>全体回復</t>
    <rPh sb="0" eb="4">
      <t>ゼンタイカイフク</t>
    </rPh>
    <phoneticPr fontId="5"/>
  </si>
  <si>
    <t>[effect:damage_fix_absolute, target:unit_one, val:100000]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</si>
  <si>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</si>
  <si>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</si>
  <si>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</si>
  <si>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</si>
  <si>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</si>
  <si>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</si>
  <si>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null</t>
    <phoneticPr fontId="5"/>
  </si>
  <si>
    <t>残りHPの60％ダメージ</t>
    <rPh sb="0" eb="1">
      <t>ノコリ</t>
    </rPh>
    <phoneticPr fontId="5"/>
  </si>
  <si>
    <t>全体攻撃</t>
    <rPh sb="0" eb="4">
      <t>ゼンタイコウゲキ</t>
    </rPh>
    <phoneticPr fontId="5"/>
  </si>
  <si>
    <t>次のターンに強力な割合攻撃</t>
    <rPh sb="0" eb="1">
      <t>ツギノ</t>
    </rPh>
    <rPh sb="6" eb="8">
      <t>キョウリョ</t>
    </rPh>
    <rPh sb="9" eb="13">
      <t>ワリアイコウゲキ</t>
    </rPh>
    <phoneticPr fontId="5"/>
  </si>
  <si>
    <t>全体攻撃</t>
    <rPh sb="2" eb="4">
      <t>コウゲキ</t>
    </rPh>
    <phoneticPr fontId="5"/>
  </si>
  <si>
    <t>全体攻撃</t>
    <rPh sb="0" eb="4">
      <t>ゼンタイコウ</t>
    </rPh>
    <phoneticPr fontId="5"/>
  </si>
  <si>
    <t>4ターン全ユニットの攻撃力50%DOWN</t>
    <phoneticPr fontId="5"/>
  </si>
  <si>
    <t>4ターン全ユニットのタップ回数を2DOWN+
攻撃力50%DOWN</t>
    <rPh sb="4" eb="5">
      <t>ゼンユニット</t>
    </rPh>
    <phoneticPr fontId="5"/>
  </si>
  <si>
    <t>自身以外を回復</t>
    <rPh sb="0" eb="2">
      <t>ジシン</t>
    </rPh>
    <rPh sb="2" eb="4">
      <t>イガイ</t>
    </rPh>
    <rPh sb="5" eb="7">
      <t>カイフク</t>
    </rPh>
    <phoneticPr fontId="5"/>
  </si>
  <si>
    <t>5ターン全ユニットの攻撃力50%DOWN</t>
    <phoneticPr fontId="5"/>
  </si>
  <si>
    <t>残りHPの80％ダメージ</t>
    <rPh sb="0" eb="1">
      <t>ノコリ</t>
    </rPh>
    <phoneticPr fontId="5"/>
  </si>
  <si>
    <t>自身の攻撃力UP</t>
    <phoneticPr fontId="5"/>
  </si>
  <si>
    <t>みんな頑張ろっ！</t>
    <phoneticPr fontId="5"/>
  </si>
  <si>
    <t>もう少しっ！</t>
    <phoneticPr fontId="5"/>
  </si>
  <si>
    <t>全体回復+
5ターン全ユニットの攻撃力50%DOWN</t>
    <rPh sb="0" eb="4">
      <t>ゼンタイカイフク</t>
    </rPh>
    <phoneticPr fontId="5"/>
  </si>
  <si>
    <t>まだ大丈夫だよっ！</t>
    <rPh sb="2" eb="5">
      <t>ダイジョウブ</t>
    </rPh>
    <phoneticPr fontId="5"/>
  </si>
  <si>
    <t>みんな諦めないでっ！</t>
    <phoneticPr fontId="5"/>
  </si>
  <si>
    <t>最後は全力でいくよ！</t>
    <rPh sb="0" eb="2">
      <t>サイゴ</t>
    </rPh>
    <rPh sb="3" eb="5">
      <t>ゼンリョク</t>
    </rPh>
    <phoneticPr fontId="5"/>
  </si>
  <si>
    <t>私も頑張るよ！</t>
    <rPh sb="0" eb="1">
      <t>ワタシ</t>
    </rPh>
    <rPh sb="2" eb="4">
      <t>ガンバル</t>
    </rPh>
    <phoneticPr fontId="5"/>
  </si>
  <si>
    <t>発火の纏攻</t>
    <phoneticPr fontId="5"/>
  </si>
  <si>
    <t>発電の囲攻</t>
    <phoneticPr fontId="5"/>
  </si>
  <si>
    <t>受け切れるかしら？</t>
    <rPh sb="0" eb="1">
      <t>ウケキレル</t>
    </rPh>
    <phoneticPr fontId="5"/>
  </si>
  <si>
    <t>みんな突撃するよー！</t>
    <phoneticPr fontId="5"/>
  </si>
  <si>
    <t>なし</t>
    <phoneticPr fontId="5"/>
  </si>
  <si>
    <t>朽ち果てなさい…</t>
    <phoneticPr fontId="5"/>
  </si>
  <si>
    <t>壊れなさい！</t>
    <rPh sb="0" eb="1">
      <t>コワレナサイ</t>
    </rPh>
    <phoneticPr fontId="5"/>
  </si>
  <si>
    <t>null</t>
    <phoneticPr fontId="5"/>
  </si>
  <si>
    <t>null</t>
    <phoneticPr fontId="5"/>
  </si>
  <si>
    <t>ツヨクナルゾ！</t>
    <phoneticPr fontId="5"/>
  </si>
  <si>
    <t>ツヨクナルゾ！</t>
    <phoneticPr fontId="5"/>
  </si>
  <si>
    <t>ツヨクナルゾ！</t>
    <phoneticPr fontId="5"/>
  </si>
  <si>
    <t>null</t>
    <phoneticPr fontId="5"/>
  </si>
  <si>
    <t>2ターン攻撃力60%DOWN+全体攻撃</t>
    <rPh sb="15" eb="19">
      <t>ゼンタイコウゲキ</t>
    </rPh>
    <phoneticPr fontId="5"/>
  </si>
  <si>
    <t>全ての効果を解除</t>
    <rPh sb="0" eb="1">
      <t>スベテノ</t>
    </rPh>
    <rPh sb="3" eb="5">
      <t>コウカヲ</t>
    </rPh>
    <rPh sb="6" eb="8">
      <t>カイジョ</t>
    </rPh>
    <phoneticPr fontId="5"/>
  </si>
  <si>
    <t>その力、貴公には身に余る</t>
    <rPh sb="2" eb="3">
      <t>チカラ</t>
    </rPh>
    <rPh sb="4" eb="6">
      <t>kikou</t>
    </rPh>
    <rPh sb="8" eb="9">
      <t>ミニアマル</t>
    </rPh>
    <phoneticPr fontId="5"/>
  </si>
  <si>
    <t>私の前では皆無力だ</t>
    <rPh sb="0" eb="1">
      <t>ワタシノマエ</t>
    </rPh>
    <rPh sb="5" eb="6">
      <t>ミナ</t>
    </rPh>
    <rPh sb="6" eb="8">
      <t>ムリョク</t>
    </rPh>
    <phoneticPr fontId="5"/>
  </si>
  <si>
    <t>ハイ・グラビティ</t>
    <phoneticPr fontId="5"/>
  </si>
  <si>
    <t>宇宙の大きさを知るがいい</t>
    <rPh sb="3" eb="4">
      <t>オオキサ</t>
    </rPh>
    <phoneticPr fontId="5"/>
  </si>
  <si>
    <t>ダークマター</t>
    <phoneticPr fontId="5"/>
  </si>
  <si>
    <t>その力に相応しいか見極めてやろう</t>
    <rPh sb="4" eb="6">
      <t>フサワシイカ</t>
    </rPh>
    <rPh sb="9" eb="11">
      <t>ミキワメテヤロウ</t>
    </rPh>
    <phoneticPr fontId="5"/>
  </si>
  <si>
    <t>確率で赤の時限式ダメージパネルがドロップ</t>
    <rPh sb="0" eb="2">
      <t>カクリt</t>
    </rPh>
    <rPh sb="3" eb="4">
      <t>アカ</t>
    </rPh>
    <rPh sb="5" eb="8">
      <t>ジゲンシキ</t>
    </rPh>
    <phoneticPr fontId="5"/>
  </si>
  <si>
    <t>クロノス、私に逆らうか</t>
    <rPh sb="5" eb="6">
      <t>ワタシ</t>
    </rPh>
    <rPh sb="7" eb="8">
      <t>サカラウカ</t>
    </rPh>
    <phoneticPr fontId="5"/>
  </si>
  <si>
    <t>4ターン攻撃力80%DOWN+全体攻撃
※次のターンに強力な割合攻撃※</t>
    <phoneticPr fontId="5"/>
  </si>
  <si>
    <t>宇宙を統べる力を見せよう</t>
    <rPh sb="0" eb="2">
      <t>ウチュウヲ</t>
    </rPh>
    <rPh sb="3" eb="4">
      <t>スベル</t>
    </rPh>
    <rPh sb="6" eb="7">
      <t>チカラヲ</t>
    </rPh>
    <rPh sb="8" eb="9">
      <t>ミセテヤロウ</t>
    </rPh>
    <phoneticPr fontId="5"/>
  </si>
  <si>
    <t>ふむ、なるほど</t>
    <phoneticPr fontId="5"/>
  </si>
  <si>
    <t>ゼウスが認めたのも間違いでは無いか</t>
    <rPh sb="4" eb="5">
      <t>ミトメタノモ</t>
    </rPh>
    <rPh sb="9" eb="11">
      <t>マチガイ</t>
    </rPh>
    <phoneticPr fontId="5"/>
  </si>
  <si>
    <t>女王の手のものか、制裁してくれよう</t>
    <rPh sb="0" eb="2">
      <t>ジョウオウ</t>
    </rPh>
    <rPh sb="3" eb="4">
      <t>テノモノカ</t>
    </rPh>
    <rPh sb="9" eb="11">
      <t>セイサイ</t>
    </rPh>
    <phoneticPr fontId="5"/>
  </si>
  <si>
    <t>お前の判断は正しかったようだ、クロノス</t>
    <rPh sb="3" eb="5">
      <t>ハンダン</t>
    </rPh>
    <rPh sb="6" eb="7">
      <t>タダシカッタ</t>
    </rPh>
    <phoneticPr fontId="5"/>
  </si>
  <si>
    <t>認めよう</t>
    <rPh sb="0" eb="1">
      <t>ミトメヨウ</t>
    </rPh>
    <phoneticPr fontId="5"/>
  </si>
  <si>
    <t>ゼウス、何故力を分け与えた</t>
    <rPh sb="4" eb="6">
      <t>ナゼ</t>
    </rPh>
    <rPh sb="6" eb="7">
      <t>チカラヲ</t>
    </rPh>
    <rPh sb="8" eb="9">
      <t>ワケアタエタ</t>
    </rPh>
    <phoneticPr fontId="5"/>
  </si>
  <si>
    <t>力は正しく使われているようだな</t>
    <rPh sb="0" eb="1">
      <t>チカラ</t>
    </rPh>
    <rPh sb="2" eb="3">
      <t>タダシク</t>
    </rPh>
    <rPh sb="5" eb="6">
      <t>ツカワレテイ</t>
    </rPh>
    <phoneticPr fontId="5"/>
  </si>
  <si>
    <t>お前を信じるとしよう</t>
    <rPh sb="3" eb="4">
      <t>シンジルト</t>
    </rPh>
    <phoneticPr fontId="5"/>
  </si>
  <si>
    <t>[effect:heal, target:enemy_all, val:0.4, animation:enemy_heal],[effect:enemy_message, val1:1.3, val2:1.5]</t>
    <phoneticPr fontId="5"/>
  </si>
  <si>
    <t>[effect:heal, target:enemy_all, val:0.4, animation:enemy_heal],[effect:enemy_message, val1:1.4, val2:1.5]</t>
    <phoneticPr fontId="5"/>
  </si>
  <si>
    <t>[effect:heal, target:enemy_all, val:0.4, animation:enemy_heal],[effect:enemy_message, val1:1.0, val2:1.5]</t>
    <phoneticPr fontId="5"/>
  </si>
  <si>
    <t>[effect:rush, count:1, val:1.0],[effect:enhance_enemy, target:myself, turn:-1, status:attack, val:0.5, calc:mul, animation:enemy_enhance_attack],[effect:enemy_message, val1:1.2, val2:1.5]</t>
    <phoneticPr fontId="5"/>
  </si>
  <si>
    <t>[effect:rush, count:1, val:1.0],[effect:enhance_enemy, target:myself, turn:-1, status:attack, val:0.75, calc:mul, animation:enemy_enhance_attack],[effect:enemy_message, val1:1.2, val2:1.5]</t>
    <phoneticPr fontId="5"/>
  </si>
  <si>
    <t>[effect:rush, count:1, val:1.0],[effect:enhance_enemy, target:myself, turn:-1, status:attack, val:1.0, calc:mul, animation:enemy_enhance_attack],[effect:enemy_message, val1:1.2, val2:1.5]</t>
    <phoneticPr fontId="5"/>
  </si>
  <si>
    <t>[effect:rush, count:1, val:1.0],[effect:enhance_enemy, target:myself, turn:-1, status:attack, val:1.25, calc:mul, animation:enemy_enhance_attack],[effect:enemy_message, val1:1.2, val2:1.5]</t>
    <phoneticPr fontId="5"/>
  </si>
  <si>
    <t>[effect:rush, count:1, val:1.0],[effect:enhance_enemy, target:myself, turn:-1, status:attack, val:1.5, calc:mul, animation:enemy_enhance_attack],[effect:enemy_message, val1:1.2, val2:1.5]</t>
    <phoneticPr fontId="5"/>
  </si>
  <si>
    <t>[effect:rush, count:1, val:1.0],[effect:enhance_enemy, target:myself, turn:-1, status:attack, val:2.0, calc:mul, animation:enemy_enhance_attack],[effect:enemy_message, val1:1.2, val2:1.5]</t>
    <phoneticPr fontId="5"/>
  </si>
  <si>
    <t>[effect:rush, count:1, val:1.0],[effect:enhance_enemy, target:myself, turn:-1, status:attack, val:2.5, calc:mul, animation:enemy_enhance_attack],[effect:enemy_message, val1:1.2, val2:1.5]</t>
    <phoneticPr fontId="5"/>
  </si>
  <si>
    <t>[effect:damage_gravity, val:0.6, animation:fevergauge_down],[effect:enemy_message, val1:1.2, val2:1.5]</t>
    <phoneticPr fontId="5"/>
  </si>
  <si>
    <t>[effect:spread, val:0.30],[effect:enemy_message, val1:1.0, val2:1.5]</t>
    <phoneticPr fontId="5"/>
  </si>
  <si>
    <t>[effect:enemy_message, val1:1.4, val2:1.8]</t>
    <phoneticPr fontId="5"/>
  </si>
  <si>
    <t>[effect:degrade_unit, target:unit_all, turn:5, status:attack, val:0.5, calc:mul],[effect:enemy_message, val1:1.5, val2:2.1]</t>
    <phoneticPr fontId="5"/>
  </si>
  <si>
    <t>[effect:enemy_message, val1:1.4, val2:0],[effect:fix_speed, target:enemy_all, turn:1]</t>
    <phoneticPr fontId="5"/>
  </si>
  <si>
    <t>[effect:heal, target:myself/not, val:0.3, animation:enemy_heal],[effect:enemy_message, val1:1.3, val2:1.5]</t>
    <phoneticPr fontId="5"/>
  </si>
  <si>
    <t>[effect:spread, val:0.30],[effect:enemy_message, val1:1.0, val2:1.5]</t>
    <phoneticPr fontId="5"/>
  </si>
  <si>
    <t>[effect:damage_anti_color, target:unit_all, color:yellow, val1:2, val2:0.2],[effect:enemy_message, val1:1.0, val2:1.9]</t>
    <phoneticPr fontId="5"/>
  </si>
  <si>
    <t>[effect:degrade_unit, target:unit_all, turn:4, status:attack, val:0.5, calc:mul],[effect:enemy_message, val1:1.2, val2:2.1]</t>
    <phoneticPr fontId="5"/>
  </si>
  <si>
    <t>[effect:rush, count:1, val:1.0],[effect:enemy_message, val1:1.0, val2:2.0]</t>
    <phoneticPr fontId="5"/>
  </si>
  <si>
    <t>[effect:rush, count:1, val:1.0],[effect:enemy_message, val1:1.0, val2:2.0]</t>
    <phoneticPr fontId="5"/>
  </si>
  <si>
    <t>[effect:degrade_unit, target:unit_all, turn:4, status:action, val:2, calc:add, animation:enemy_tap_down],[effect:degrade_unit, target:unit_all, turn:4, status:attack, val:0.5, calc:mul],[effect:enemy_message, val1:1.0, val2:3.3]</t>
    <phoneticPr fontId="5"/>
  </si>
  <si>
    <t>[effect:remove_enhancement, target:unit_all, target_effect:all, animation:frozen_wave],[effect:enemy_message, val1:1.7, val2:1.5]</t>
    <phoneticPr fontId="5"/>
  </si>
  <si>
    <t>[effect:degrade_unit, target:unit_all, turn:2, status:attack, val:0.6, calc:mul],[effect:spread, val:0.35],[effect:enemy_message, val1:2.0, val2:2.0]</t>
    <phoneticPr fontId="5"/>
  </si>
  <si>
    <t>[effect:damage_gravity, val:0.5, animation:fevergauge_down],[effect:enemy_message, val1:1.3, val2:1.6]</t>
    <phoneticPr fontId="5"/>
  </si>
  <si>
    <t>[effect:degrade_unit, target:unit_all, turn:2, status:attack, val:0.6, calc:mul],[effect:spread, val:0.35],[effect:enemy_message, val1:1.9, val2:2.0]</t>
    <phoneticPr fontId="5"/>
  </si>
  <si>
    <t>[effect:damage_gravity, val:0.5, animation:fevergauge_down],[effect:enemy_message, val1:1.3, val2:1.7]</t>
    <phoneticPr fontId="5"/>
  </si>
  <si>
    <t>[effect:remove_enhancement, target:unit_all, target_effect:all, animation:frozen_wave],[effect:enemy_message, val1:1.5, val2:1.2]</t>
    <phoneticPr fontId="5"/>
  </si>
  <si>
    <t>[effect:remove_enhancement, target:unit_all, target_effect:all, animation:frozen_wave],[effect:enemy_message, val1:1.5, val2:1.2]</t>
    <phoneticPr fontId="5"/>
  </si>
  <si>
    <t>[effect:remove_enhancement, target:unit_all, target_effect:all, animation:frozen_wave],[effect:enemy_message, val1:2.1, val2:1.2]</t>
    <phoneticPr fontId="5"/>
  </si>
  <si>
    <t>[effect:remove_enhancement, target:unit_all, target_effect:all, animation:frozen_wave],[effect:enemy_message, val1:2.1, val2:1.2]</t>
    <phoneticPr fontId="5"/>
  </si>
  <si>
    <t>[effect:remove_enhancement, target:unit_all, target_effect:all, animation:frozen_wave],[effect:enemy_message, val1:1.7, val2:1.2]</t>
    <phoneticPr fontId="5"/>
  </si>
  <si>
    <t>[effect:drop_block, block_type:time_bomb, block_color:block_red, color:block_all, val:0.2, rate:0.1, turn:-1, animation:time_bomb_influence04],[effect:fix_speed, target:myself, turn:2],[effect:enemy_message, val1:1.7, val2:2.5]</t>
    <phoneticPr fontId="5"/>
  </si>
  <si>
    <t>[effect:damage_gravity, val:0.6, animation:fevergauge_down],[effect:enemy_message, val1:1.1, val2:1.7]</t>
    <phoneticPr fontId="5"/>
  </si>
  <si>
    <t>[effect:break_attack_fix, target:unit_one, val:850, lowest_val:8500, count:-1, color:red, block01:block_red],[effect:enemy_message, val1:1.3, val2:1.6]</t>
    <phoneticPr fontId="5"/>
  </si>
  <si>
    <t>[effect:break_attack_fix, target:unit_one, val:850, lowest_val:8500, count:-1, color:red, block01:block_red],[effect:enemy_message, val1:1.0, val2:1.6]</t>
    <phoneticPr fontId="5"/>
  </si>
  <si>
    <t>[effect:damage_gravity, val:0.8, animation:fevergauge_down],[effect:enemy_message, val1:1.1, val2:1.6]</t>
    <phoneticPr fontId="5"/>
  </si>
  <si>
    <t>[effect:degrade_unit, target:unit_all, turn:4, status:attack, val:0.8, calc:mul],[effect:spread, val:0.35],[effect:enemy_message, val1:1.1, val2:3.3]</t>
    <phoneticPr fontId="5"/>
  </si>
  <si>
    <t>[effect:enemy_message, val1:1.1, val2:2.4]</t>
    <phoneticPr fontId="5"/>
  </si>
  <si>
    <t>[effect:enemy_message, val1:1.0, val2:2.4]</t>
    <phoneticPr fontId="5"/>
  </si>
  <si>
    <t>[effect:enemy_message, val1:2.0, val2:2.0]</t>
    <phoneticPr fontId="5"/>
  </si>
  <si>
    <t>ツヨクナルゾ！</t>
    <phoneticPr fontId="5"/>
  </si>
  <si>
    <t>ツヨクナルゾ！</t>
    <phoneticPr fontId="5"/>
  </si>
  <si>
    <t>メテオライト</t>
    <phoneticPr fontId="5"/>
  </si>
  <si>
    <t>スーパーノヴァ</t>
    <phoneticPr fontId="5"/>
  </si>
  <si>
    <t>[effect:remove_enhancement, target:unit_all, target_effect:all, animation:frozen_wave],[effect:enemy_message, val1:1.7, val2:1.2]</t>
    <phoneticPr fontId="5"/>
  </si>
  <si>
    <t>覚悟しなさい！</t>
    <phoneticPr fontId="5"/>
  </si>
  <si>
    <t>私たちが守っちゃうよ！</t>
    <phoneticPr fontId="5"/>
  </si>
  <si>
    <t>[effect:enhance_enemy, target:myself, turn:-1, status:attack, val:1.0, calc:mul, animation:enemy_enhance_attack],[effect:enemy_message, val1:1.2, val2:1.5]</t>
    <phoneticPr fontId="5"/>
  </si>
  <si>
    <t>グラビティ・フィールド</t>
    <phoneticPr fontId="5"/>
  </si>
  <si>
    <t>グラビティ・フィールド</t>
    <phoneticPr fontId="5"/>
  </si>
  <si>
    <t>[effect:break_attack_fix, target:unit_one, val:600, lowest_val:6000, count:-1, color:red, block01:block_red],[effect:enemy_message, val1:1.3, val2:1.6]</t>
    <phoneticPr fontId="5"/>
  </si>
  <si>
    <t>[effect:break_attack_fix, target:unit_one, val:600, lowest_val:6000, count:-1, color:red, block01:block_red],[effect:enemy_message, val1:1.0, val2:1.6]</t>
    <phoneticPr fontId="5"/>
  </si>
  <si>
    <t>この場では力は出せまい</t>
    <rPh sb="5" eb="6">
      <t>チカラハ</t>
    </rPh>
    <rPh sb="7" eb="8">
      <t>ダセマイ</t>
    </rPh>
    <phoneticPr fontId="5"/>
  </si>
  <si>
    <t>ハイ・グラビティ</t>
    <phoneticPr fontId="5"/>
  </si>
  <si>
    <t>[effect:crash_growth, val:-46, count:-1, animation:change_block],[effect:degrade_unit, target:unit_all, turn:4, status:attack, val:0.5, calc:mul],[effect:fix_speed, target:myself, turn:1],[effect:enemy_message, val1:1.2, val2:2.7]</t>
    <phoneticPr fontId="5"/>
  </si>
  <si>
    <t>朽ち果てなさい…</t>
    <phoneticPr fontId="5"/>
  </si>
  <si>
    <t>滅びなさい…</t>
    <rPh sb="0" eb="1">
      <t>ホロビナサイ</t>
    </rPh>
    <phoneticPr fontId="5"/>
  </si>
  <si>
    <t>[effect:crash_condition, target:unit_all, turn:7, val:4, animation:enemy_crash_extend],[effect:hungup, target:unit_hp, turn:7, rate:1, calc_type:target_all, animation:hungup01],[effect:fix_speed, target:myself, turn:1],[effect:enemy_message, val1:1.5, val2:4.0]</t>
    <phoneticPr fontId="5"/>
  </si>
  <si>
    <t>黄属性のユニットに大ダメージの全体攻撃</t>
    <rPh sb="0" eb="3">
      <t>キゾクセイ</t>
    </rPh>
    <rPh sb="9" eb="10">
      <t>ダイダメージ</t>
    </rPh>
    <rPh sb="15" eb="19">
      <t>ゼンタイコウゲキ</t>
    </rPh>
    <phoneticPr fontId="5"/>
  </si>
  <si>
    <t>100000固定ダメージ</t>
    <rPh sb="6" eb="8">
      <t>コテイ</t>
    </rPh>
    <phoneticPr fontId="5"/>
  </si>
  <si>
    <t>残りHPの50％ダメージ</t>
    <rPh sb="0" eb="1">
      <t>ノコリ</t>
    </rPh>
    <phoneticPr fontId="5"/>
  </si>
  <si>
    <t>[effect:break_attack_fix, target:unit_one, val:850, lowest_val:8500, count:-1, color:red, block01:block_red],[effect:enemy_message, val1:1.3, val2:1.6]</t>
    <phoneticPr fontId="5"/>
  </si>
  <si>
    <t>[effect:damage_gravity, val:0.6, animation:fevergauge_down],[effect:enemy_message, val1:1.1, val2:1.7]</t>
    <phoneticPr fontId="5"/>
  </si>
  <si>
    <t>[effect:crash_condition, target:unit_all, turn:5, val:4, animation:enemy_crash_extend],[effect:spread, val:0.35],[effect:enemy_message, val1:1.4, val2:2.5]</t>
    <phoneticPr fontId="5"/>
  </si>
  <si>
    <t>4ターン攻撃力60%DOWN+全体攻撃</t>
    <phoneticPr fontId="5"/>
  </si>
  <si>
    <t>[effect:degrade_unit, target:unit_all, turn:5, status:attack, val:0.6, calc:mul],[effect:spread, val:0.40],[effect:enemy_message, val1:1.5, val2:2.5]</t>
    <phoneticPr fontId="5"/>
  </si>
  <si>
    <t>5ターン攻撃力60%DOWN+全体攻撃</t>
    <rPh sb="15" eb="19">
      <t>ゼンタイコウゲキ</t>
    </rPh>
    <phoneticPr fontId="5"/>
  </si>
  <si>
    <t>全体攻撃</t>
    <phoneticPr fontId="5"/>
  </si>
  <si>
    <t>[effect:heal, target:enemy_all, val:0.4, animation:enemy_heal],[effect:enemy_message, val1:1.2, val2:1.5]</t>
    <phoneticPr fontId="5"/>
  </si>
  <si>
    <t>[effect:heal, target:enemy_all, val:0.3, animation:enemy_heal],[effect:enemy_message, val1:1.2, val2:1.5]</t>
    <phoneticPr fontId="5"/>
  </si>
  <si>
    <t>[effect:heal, target:enemy_all, val:0.3, animation:enemy_heal],[effect:enemy_message, val1:1.3, val2:1.5]</t>
    <phoneticPr fontId="5"/>
  </si>
  <si>
    <t>砲撃準備を開始します</t>
    <rPh sb="0" eb="2">
      <t>hougeki</t>
    </rPh>
    <rPh sb="2" eb="4">
      <t>ジュンビ</t>
    </rPh>
    <rPh sb="5" eb="7">
      <t>カイシ</t>
    </rPh>
    <phoneticPr fontId="5"/>
  </si>
  <si>
    <t>これでお終いです</t>
    <phoneticPr fontId="5"/>
  </si>
  <si>
    <t>拘束します</t>
    <rPh sb="0" eb="2">
      <t>コウソクシマス</t>
    </rPh>
    <phoneticPr fontId="5"/>
  </si>
  <si>
    <t>[effect:heal, target:enemy_all, val:0.3, animation:enemy_heal],[effect:enemy_message, val1:1.0, val2:1.5]</t>
    <phoneticPr fontId="5"/>
  </si>
  <si>
    <t>[effect:heal, target:enemy_all, val:0.3, animation:enemy_heal],[effect:enemy_message, val1:1.4, val2:1.5]</t>
    <phoneticPr fontId="5"/>
  </si>
  <si>
    <t>少し厳しいかも…</t>
    <rPh sb="0" eb="1">
      <t>スコシ</t>
    </rPh>
    <rPh sb="2" eb="3">
      <t>キビシイカモ</t>
    </rPh>
    <phoneticPr fontId="5"/>
  </si>
  <si>
    <t>[effect:rush, count:1, val:1.0],[effect:enhance_enemy, target:myself, turn:-1, status:attack, val:0.2, calc:mul, animation:enemy_enhance_attack],[effect:enemy_message, val1:1.2, val2:1.5]</t>
    <phoneticPr fontId="5"/>
  </si>
  <si>
    <t>[effect:rush, count:1, val:1.0],[effect:enhance_enemy, target:myself, turn:-1, status:attack, val:0.4, calc:mul, animation:enemy_enhance_attack],[effect:enemy_message, val1:1.2, val2:1.5]</t>
    <phoneticPr fontId="5"/>
  </si>
  <si>
    <t>[effect:rush, count:1, val:1.0],[effect:enhance_enemy, target:myself, turn:-1, status:attack, val:0.6, calc:mul, animation:enemy_enhance_attack],[effect:enemy_message, val1:1.2, val2:1.5]</t>
    <phoneticPr fontId="5"/>
  </si>
  <si>
    <t>[effect:rush, count:1, val:1.0],[effect:enhance_enemy, target:myself, turn:-1, status:attack, val:0.8, calc:mul, animation:enemy_enhance_attack],[effect:enemy_message, val1:1.2, val2:1.5]</t>
    <phoneticPr fontId="5"/>
  </si>
  <si>
    <t>[effect:rush, count:1, val:1.0],[effect:enhance_enemy, target:myself, turn:-1, status:attack, val:1.2, calc:mul, animation:enemy_enhance_attack],[effect:enemy_message, val1:1.2, val2:1.5]</t>
    <phoneticPr fontId="5"/>
  </si>
  <si>
    <t>[effect:rush, count:1, val:1.0],[effect:enhance_enemy, target:myself, turn:-1, status:attack, val:1.4, calc:mul, animation:enemy_enhance_attack],[effect:enemy_message, val1:1.2, val2:1.5]</t>
    <phoneticPr fontId="5"/>
  </si>
  <si>
    <t>[effect:damage_anti_tribe, target:unit_all, tribe:god, val1:0.1, val2:99.9],[effect:damage_anti_tribe, target:unit_all, tribe:god, val1:0.1, val2:99.9],[effect:reduction, target:myself, color:all, turn:7, val:0.5, animation:reduction_one04],[effect:fix_speed, target:myself, turn:1],[effect:enemy_message, val1:1.0, val2:3.5]</t>
    <phoneticPr fontId="5"/>
  </si>
  <si>
    <t>[effect:damage_anti_tribe, target:unit_all, tribe:god, val1:0.1, val2:99.9],[effect:damage_anti_tribe, target:unit_all, tribe:god, val1:0.1, val2:99.9],[effect:reduction, target:myself, color:all, turn:5, val:0.7, animation:reduction_one04],[effect:fix_speed, target:myself, turn:1],[effect:enemy_message, val1:1.0, val2:3.5]</t>
    <phoneticPr fontId="5"/>
  </si>
  <si>
    <t>種族ゴッド以外に大ダメージの2回連続全体攻撃+
5ターン自身に対する全属性ダメージ70％軽減</t>
    <rPh sb="0" eb="2">
      <t>シュゾク</t>
    </rPh>
    <rPh sb="5" eb="7">
      <t>イガイニ</t>
    </rPh>
    <rPh sb="8" eb="9">
      <t>ダイダメージ</t>
    </rPh>
    <rPh sb="18" eb="22">
      <t>ゼンタイコウゲキ</t>
    </rPh>
    <rPh sb="28" eb="30">
      <t>ジシン</t>
    </rPh>
    <rPh sb="31" eb="32">
      <t>タイスル</t>
    </rPh>
    <phoneticPr fontId="5"/>
  </si>
  <si>
    <t>種族ゴッド以外に大ダメージの2回連続全体攻撃+
7ターン自身に対する全属性ダメージ50％軽減</t>
    <rPh sb="0" eb="2">
      <t>シュゾク</t>
    </rPh>
    <rPh sb="5" eb="7">
      <t>イガイニ</t>
    </rPh>
    <rPh sb="8" eb="9">
      <t>ダイダメージ</t>
    </rPh>
    <rPh sb="18" eb="22">
      <t>ゼンタイコウゲキ</t>
    </rPh>
    <rPh sb="28" eb="30">
      <t>ジシン</t>
    </rPh>
    <rPh sb="31" eb="32">
      <t>タイスル</t>
    </rPh>
    <phoneticPr fontId="5"/>
  </si>
  <si>
    <t>link</t>
  </si>
  <si>
    <t>null</t>
    <phoneticPr fontId="5"/>
  </si>
  <si>
    <t>unit</t>
  </si>
  <si>
    <t>old</t>
  </si>
  <si>
    <t>full_member</t>
    <phoneticPr fontId="5"/>
  </si>
  <si>
    <t>old</t>
    <phoneticPr fontId="7"/>
  </si>
  <si>
    <t>タイチは毎ターン攻撃力が上がるほか
ファータにより一定ターンまで
毎ターンHPを回復します
Cパネルを溜めて一気に倒しましょう</t>
    <phoneticPr fontId="5"/>
  </si>
  <si>
    <t>メリッサは予告の後に強力な割合攻撃を
行います
残りHPに注意しながら戦いましょう</t>
    <phoneticPr fontId="5"/>
  </si>
  <si>
    <t>バスティーユは最初の予告から6ターン後に
即死級の攻撃を使用します
スキルやフィーバーを使用して
優先的に倒しましょう</t>
    <phoneticPr fontId="5"/>
  </si>
  <si>
    <t>ウラヌスは強力な割合攻撃を頻繁に
使用します
回復のタイミングに注意しましょう</t>
    <phoneticPr fontId="5"/>
  </si>
  <si>
    <t>ウラヌスは2ゲージ目に移行すると
時限式ダメージパネルをドロップさせます
爆発させないように速やかに対処しましょう</t>
    <phoneticPr fontId="5"/>
  </si>
  <si>
    <t>クロノスとの確執</t>
    <phoneticPr fontId="5"/>
  </si>
  <si>
    <t>クロノスがプレイヤーの真意を悟り協力を
約束した事はウラヌスからの理解を
得られず確執の一因となりました</t>
    <phoneticPr fontId="5"/>
  </si>
  <si>
    <t>ウラヌスの想い</t>
    <phoneticPr fontId="5"/>
  </si>
  <si>
    <t>プレイヤーの前に立ちはだかった
ウラヌスですがその行動の裏には
ALICE内の均衡を護ろうという
強い矜持があります</t>
    <phoneticPr fontId="5"/>
  </si>
  <si>
    <t>頑な意志</t>
    <phoneticPr fontId="5"/>
  </si>
  <si>
    <t>ウラヌスはゼウスがプレイヤーに力を
授けた事に強い憤りや危機感を感じたまま
その後ゼウスの話を聞き入れる事も
なかったようです</t>
    <phoneticPr fontId="5"/>
  </si>
  <si>
    <t>ウラヌスは各ゲージでCパネル生成延長を
使用するタイミングが有ります
スキルによる対処が有効です</t>
    <phoneticPr fontId="5"/>
  </si>
  <si>
    <t>old</t>
    <phoneticPr fontId="7"/>
  </si>
  <si>
    <t>後１回が限度かな…</t>
    <rPh sb="0" eb="1">
      <t>アト</t>
    </rPh>
    <rPh sb="4" eb="6">
      <t>ゲンド</t>
    </rPh>
    <phoneticPr fontId="5"/>
  </si>
  <si>
    <t>[effect:crash_condition, target:unit_all, turn:5, val:4, animation:enemy_crash_extend],[effect:spread, val:0.35],[effect:enemy_message, val1:1.5, val2:2.5]</t>
    <phoneticPr fontId="5"/>
  </si>
  <si>
    <t>complete</t>
  </si>
  <si>
    <t>オペレーション</t>
    <phoneticPr fontId="5"/>
  </si>
  <si>
    <t>凍結の団攻</t>
    <phoneticPr fontId="5"/>
  </si>
  <si>
    <t>[effect:change_panel_ratio, turn:-1, block_type:blue, val:0, animation:block_incidence04],[effect:crash_condition, target:unit_all, turn:-1, val:6, animation:enemy_crash_extend],[effect:fix_speed, target:myself, turn:2],[effect:enemy_message, val1:2.1, val2:3.7]</t>
    <phoneticPr fontId="5"/>
  </si>
  <si>
    <t>[effect:heal, target:enemy_all, val:0.4, animation:enemy_heal],[effect:degrade_unit, target:unit_all, turn:5, status:attack, val:0.5, calc:mul],[effect:enemy_message, val1:1.4, val2:2.7]</t>
    <phoneticPr fontId="5"/>
  </si>
  <si>
    <t>[effect:crash_growth, val:-46, count:-1, animation:change_block],[effect:fix_speed, target:myself, turn:1],[effect:enemy_message, val1:1.2, val2:1.5]</t>
    <phoneticPr fontId="5"/>
  </si>
  <si>
    <t>[effect:spread, val:0.35],[effect:enemy_message, val1:2.0, val2:1.5]</t>
    <phoneticPr fontId="5"/>
  </si>
  <si>
    <t>[effect:spread, val:0.35],[effect:enemy_message, val1:1.9, val2:1.5]</t>
    <phoneticPr fontId="5"/>
  </si>
  <si>
    <t>[effect:spread, val:0.35],[effect:enemy_message, val1:1.1, val2:1.5]</t>
    <phoneticPr fontId="5"/>
  </si>
  <si>
    <t>[effect:degrade_unit, target:unit_all, turn:4, status:attack, val:0.6, calc:mul],[effect:spread, val:0.35],[effect:enemy_message, val1:1.1, val2:2.0]</t>
    <phoneticPr fontId="5"/>
  </si>
  <si>
    <t>[effect:heal, target:enemy_all, val:0.3, animation:enemy_heal],[effect:enemy_message, val1:1.4, val2:1.5]</t>
    <phoneticPr fontId="5"/>
  </si>
  <si>
    <t>[effect:enhance_enemy, target:myself, turn:-1, status:attack, val:0.5, calc:mul, animation:enemy_enhance_attack],[effect:enemy_message, val1:1.2, val2:1.5]</t>
    <phoneticPr fontId="5"/>
  </si>
  <si>
    <t>[effect:rush, count:1, val:1.0],[effect:enhance_enemy, target:myself, turn:-1, status:attack, val:1.6, calc:mul, animation:enemy_enhance_attack],[effect:enemy_message, val1:1.2, val2:1.5]</t>
    <phoneticPr fontId="5"/>
  </si>
  <si>
    <t>[effect:rush, count:1, val:1.0],[effect:enhance_enemy, target:myself, turn:-1, status:attack, val:0.25, calc:mul, animation:enemy_enhance_attack],[effect:enemy_message, val1:1.2, val2:1.5]</t>
    <phoneticPr fontId="5"/>
  </si>
  <si>
    <t>単体攻撃+自身の攻撃力UP
※だんだん攻撃力が上がっていく※</t>
    <rPh sb="0" eb="2">
      <t>タンタイ</t>
    </rPh>
    <rPh sb="2" eb="4">
      <t>コウゲキ</t>
    </rPh>
    <rPh sb="5" eb="7">
      <t>jisinn</t>
    </rPh>
    <rPh sb="8" eb="11">
      <t>コウゲキリョク</t>
    </rPh>
    <rPh sb="19" eb="22">
      <t>コウゲキリョク</t>
    </rPh>
    <rPh sb="23" eb="24">
      <t>アガッテイク</t>
    </rPh>
    <phoneticPr fontId="5"/>
  </si>
  <si>
    <t>単体攻撃+自身の攻撃力大UP
※だんだん攻撃力が上がっていく※</t>
    <rPh sb="0" eb="2">
      <t>タンタイ</t>
    </rPh>
    <rPh sb="2" eb="4">
      <t>コウゲキ</t>
    </rPh>
    <rPh sb="5" eb="7">
      <t>jisinn</t>
    </rPh>
    <rPh sb="8" eb="11">
      <t>コウゲキリョク</t>
    </rPh>
    <rPh sb="11" eb="12">
      <t>ダイ</t>
    </rPh>
    <rPh sb="20" eb="23">
      <t>コウゲキリョク</t>
    </rPh>
    <rPh sb="24" eb="25">
      <t>アガッテイク</t>
    </rPh>
    <phoneticPr fontId="5"/>
  </si>
  <si>
    <t>単体攻撃+自身の攻撃力超大UP
※だんだん攻撃力が上がっていく※</t>
    <rPh sb="0" eb="2">
      <t>タンタイ</t>
    </rPh>
    <rPh sb="2" eb="4">
      <t>コウゲキ</t>
    </rPh>
    <rPh sb="5" eb="7">
      <t>jisinn</t>
    </rPh>
    <rPh sb="8" eb="11">
      <t>コウゲキリョク</t>
    </rPh>
    <rPh sb="11" eb="13">
      <t>チョウダイ</t>
    </rPh>
    <rPh sb="21" eb="24">
      <t>コウゲキリョク</t>
    </rPh>
    <rPh sb="25" eb="26">
      <t>アガッテイク</t>
    </rPh>
    <phoneticPr fontId="5"/>
  </si>
  <si>
    <t>単体攻撃+自身の攻撃力大UP
※だんだん攻撃力が上がっていく※</t>
    <rPh sb="0" eb="2">
      <t>タンタイ</t>
    </rPh>
    <rPh sb="2" eb="4">
      <t>コウゲキ</t>
    </rPh>
    <rPh sb="5" eb="7">
      <t>jisinn</t>
    </rPh>
    <rPh sb="8" eb="11">
      <t>コウゲキリョク</t>
    </rPh>
    <rPh sb="11" eb="12">
      <t>チョウダイ</t>
    </rPh>
    <rPh sb="20" eb="23">
      <t>コウゲキリョク</t>
    </rPh>
    <rPh sb="24" eb="25">
      <t>アガッテイク</t>
    </rPh>
    <phoneticPr fontId="5"/>
  </si>
  <si>
    <t>単体攻撃
※5ターン後に超強力な攻撃※</t>
    <rPh sb="0" eb="2">
      <t>タンタイ</t>
    </rPh>
    <rPh sb="10" eb="11">
      <t>ゴ</t>
    </rPh>
    <rPh sb="12" eb="15">
      <t>チョウキョウリョクナ</t>
    </rPh>
    <rPh sb="16" eb="18">
      <t>コウゲキ</t>
    </rPh>
    <phoneticPr fontId="5"/>
  </si>
  <si>
    <t>単体攻撃
※4ターン後に超強力な攻撃※</t>
    <rPh sb="0" eb="2">
      <t>タンタイ</t>
    </rPh>
    <rPh sb="10" eb="11">
      <t>ゴ</t>
    </rPh>
    <rPh sb="12" eb="15">
      <t>チョウキョウリョクナ</t>
    </rPh>
    <rPh sb="16" eb="18">
      <t>コウゲキ</t>
    </rPh>
    <phoneticPr fontId="5"/>
  </si>
  <si>
    <t>単体攻撃
※3ターン後に超強力な攻撃※</t>
    <rPh sb="0" eb="2">
      <t>タンタイ</t>
    </rPh>
    <rPh sb="10" eb="11">
      <t>ゴ</t>
    </rPh>
    <rPh sb="12" eb="15">
      <t>チョウキョウリョクナ</t>
    </rPh>
    <rPh sb="16" eb="18">
      <t>コウゲキ</t>
    </rPh>
    <phoneticPr fontId="5"/>
  </si>
  <si>
    <t>単体攻撃
※2ターン後に超強力な攻撃※</t>
    <rPh sb="0" eb="2">
      <t>タンタイ</t>
    </rPh>
    <rPh sb="10" eb="11">
      <t>ゴ</t>
    </rPh>
    <rPh sb="12" eb="15">
      <t>チョウキョウリョクナ</t>
    </rPh>
    <rPh sb="16" eb="18">
      <t>コウゲキ</t>
    </rPh>
    <phoneticPr fontId="5"/>
  </si>
  <si>
    <t>単体攻撃
※1ターン後に超強力な攻撃※</t>
    <rPh sb="0" eb="2">
      <t>タンタイ</t>
    </rPh>
    <rPh sb="10" eb="11">
      <t>ゴ</t>
    </rPh>
    <rPh sb="12" eb="15">
      <t>チョウキョウリョクナ</t>
    </rPh>
    <rPh sb="16" eb="18">
      <t>コウゲキ</t>
    </rPh>
    <phoneticPr fontId="5"/>
  </si>
  <si>
    <t>返してもらおう…(力を集めている)</t>
    <rPh sb="0" eb="1">
      <t>カエシテモラオウ</t>
    </rPh>
    <rPh sb="9" eb="10">
      <t>チカラ</t>
    </rPh>
    <rPh sb="11" eb="12">
      <t>アツメ</t>
    </rPh>
    <phoneticPr fontId="5"/>
  </si>
  <si>
    <t>暴れても無駄だ…(力を集めている)</t>
    <rPh sb="0" eb="1">
      <t>アバレルナ</t>
    </rPh>
    <rPh sb="4" eb="6">
      <t>ムダダ</t>
    </rPh>
    <rPh sb="9" eb="10">
      <t>チカラヲ</t>
    </rPh>
    <rPh sb="11" eb="12">
      <t>アツメ</t>
    </rPh>
    <phoneticPr fontId="5"/>
  </si>
  <si>
    <t>Cパネル縮小(効果激烈)+
4ターン全ユニットの攻撃力50%DOWN</t>
    <rPh sb="4" eb="6">
      <t>シュクショウ</t>
    </rPh>
    <rPh sb="7" eb="9">
      <t>コウカ</t>
    </rPh>
    <rPh sb="9" eb="11">
      <t>ゲキレツ</t>
    </rPh>
    <phoneticPr fontId="5"/>
  </si>
  <si>
    <t>Cパネル縮小(効果激烈)</t>
    <rPh sb="4" eb="6">
      <t>シュクショウ</t>
    </rPh>
    <rPh sb="7" eb="9">
      <t>コウカ</t>
    </rPh>
    <rPh sb="9" eb="11">
      <t>ゲキレツ</t>
    </rPh>
    <phoneticPr fontId="5"/>
  </si>
  <si>
    <t>7ターンCパネル生成延長(効果特大)+
体力タイプのユニットにスキルバインド
※6ターン後に超強力な攻撃※</t>
    <rPh sb="8" eb="10">
      <t>セイセイ</t>
    </rPh>
    <rPh sb="10" eb="12">
      <t>エンチョウ</t>
    </rPh>
    <rPh sb="13" eb="15">
      <t>コウカ</t>
    </rPh>
    <rPh sb="15" eb="17">
      <t>トクダイ</t>
    </rPh>
    <rPh sb="20" eb="22">
      <t>タイリョク</t>
    </rPh>
    <phoneticPr fontId="5"/>
  </si>
  <si>
    <t>5ターンCパネル生成延長(効果特大)+
全体攻撃</t>
    <phoneticPr fontId="5"/>
  </si>
  <si>
    <t>(…力が吸い込まれる)</t>
    <rPh sb="2" eb="3">
      <t>チカラ</t>
    </rPh>
    <rPh sb="4" eb="5">
      <t>スイコマレル</t>
    </rPh>
    <phoneticPr fontId="5"/>
  </si>
  <si>
    <t>(…力が吸い込まれる)</t>
    <phoneticPr fontId="5"/>
  </si>
  <si>
    <t>5ターンCパネル生成延長(効果特大)+
全体攻撃</t>
    <rPh sb="20" eb="24">
      <t>ゼンタイコウゲキ</t>
    </rPh>
    <phoneticPr fontId="5"/>
  </si>
  <si>
    <t>青パネルがドロップしない+
解除されるまでCパネル生成延長(効果超大)</t>
    <rPh sb="0" eb="1">
      <t>アオパネル</t>
    </rPh>
    <rPh sb="14" eb="16">
      <t>カイジョ</t>
    </rPh>
    <rPh sb="32" eb="33">
      <t>チョウ</t>
    </rPh>
    <phoneticPr fontId="5"/>
  </si>
  <si>
    <t>赤パネルを吸収して単体攻撃</t>
    <rPh sb="0" eb="1">
      <t>アカパネル</t>
    </rPh>
    <rPh sb="5" eb="7">
      <t>キュウシュウシテ</t>
    </rPh>
    <rPh sb="9" eb="11">
      <t>タンタ</t>
    </rPh>
    <rPh sb="11" eb="13">
      <t>コウゲキ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</si>
</sst>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23" xfId="0" applyBorder="1"/>
    <xf numFmtId="0" fontId="0" fillId="0" borderId="24" xfId="0" applyBorder="1"/>
    <xf numFmtId="0" fontId="0" fillId="3" borderId="25" xfId="0" applyFill="1" applyBorder="1"/>
    <xf numFmtId="0" fontId="6" fillId="5" borderId="25" xfId="0" applyFont="1" applyFill="1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0" fillId="0" borderId="8" xfId="0" applyBorder="1"/>
    <xf numFmtId="0" fontId="0" fillId="0" borderId="27" xfId="0" applyBorder="1"/>
    <xf numFmtId="0" fontId="0" fillId="3" borderId="28" xfId="0" applyFill="1" applyBorder="1"/>
    <xf numFmtId="0" fontId="6" fillId="5" borderId="28" xfId="0" applyFont="1" applyFill="1" applyBorder="1" applyAlignment="1">
      <alignment vertical="center"/>
    </xf>
    <xf numFmtId="0" fontId="0" fillId="0" borderId="28" xfId="0" applyBorder="1"/>
    <xf numFmtId="0" fontId="0" fillId="0" borderId="29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30043</v>
          </cell>
        </row>
        <row r="168">
          <cell r="A168">
            <v>30044</v>
          </cell>
        </row>
        <row r="169">
          <cell r="A169">
            <v>30045</v>
          </cell>
        </row>
        <row r="170">
          <cell r="A170">
            <v>39001</v>
          </cell>
        </row>
        <row r="171">
          <cell r="A171">
            <v>39002</v>
          </cell>
        </row>
        <row r="172">
          <cell r="A172">
            <v>39003</v>
          </cell>
        </row>
        <row r="173">
          <cell r="A173">
            <v>39004</v>
          </cell>
        </row>
        <row r="174">
          <cell r="A174">
            <v>39005</v>
          </cell>
        </row>
        <row r="175">
          <cell r="A175">
            <v>39006</v>
          </cell>
        </row>
        <row r="176">
          <cell r="A176">
            <v>39007</v>
          </cell>
        </row>
        <row r="177">
          <cell r="A177">
            <v>40001</v>
          </cell>
        </row>
        <row r="178">
          <cell r="A178">
            <v>40002</v>
          </cell>
        </row>
        <row r="179">
          <cell r="A179">
            <v>40003</v>
          </cell>
        </row>
        <row r="180">
          <cell r="A180">
            <v>40004</v>
          </cell>
        </row>
        <row r="181">
          <cell r="A181">
            <v>40005</v>
          </cell>
        </row>
        <row r="182">
          <cell r="A182">
            <v>40006</v>
          </cell>
        </row>
        <row r="183">
          <cell r="A183">
            <v>40007</v>
          </cell>
        </row>
        <row r="184">
          <cell r="A184">
            <v>40008</v>
          </cell>
        </row>
        <row r="185">
          <cell r="A185">
            <v>40009</v>
          </cell>
        </row>
        <row r="186">
          <cell r="A186">
            <v>40010</v>
          </cell>
        </row>
        <row r="187">
          <cell r="A187">
            <v>40011</v>
          </cell>
        </row>
        <row r="188">
          <cell r="A188">
            <v>40012</v>
          </cell>
        </row>
        <row r="189">
          <cell r="A189">
            <v>40013</v>
          </cell>
        </row>
        <row r="190">
          <cell r="A190">
            <v>40014</v>
          </cell>
        </row>
        <row r="191">
          <cell r="A191">
            <v>40015</v>
          </cell>
        </row>
        <row r="192">
          <cell r="A192">
            <v>40016</v>
          </cell>
        </row>
        <row r="193">
          <cell r="A193">
            <v>40017</v>
          </cell>
        </row>
        <row r="194">
          <cell r="A194">
            <v>40018</v>
          </cell>
        </row>
        <row r="195">
          <cell r="A195">
            <v>40019</v>
          </cell>
        </row>
        <row r="196">
          <cell r="A196">
            <v>40021</v>
          </cell>
        </row>
        <row r="197">
          <cell r="A197">
            <v>40022</v>
          </cell>
        </row>
        <row r="198">
          <cell r="A198">
            <v>40023</v>
          </cell>
        </row>
        <row r="199">
          <cell r="A199">
            <v>40024</v>
          </cell>
        </row>
        <row r="200">
          <cell r="A200">
            <v>40025</v>
          </cell>
        </row>
        <row r="201">
          <cell r="A201">
            <v>40026</v>
          </cell>
        </row>
        <row r="202">
          <cell r="A202">
            <v>40027</v>
          </cell>
        </row>
        <row r="203">
          <cell r="A203">
            <v>40028</v>
          </cell>
        </row>
        <row r="204">
          <cell r="A204">
            <v>40029</v>
          </cell>
        </row>
        <row r="205">
          <cell r="A205">
            <v>40030</v>
          </cell>
        </row>
        <row r="206">
          <cell r="A206">
            <v>40031</v>
          </cell>
        </row>
        <row r="207">
          <cell r="A207">
            <v>40032</v>
          </cell>
        </row>
        <row r="208">
          <cell r="A208">
            <v>40033</v>
          </cell>
        </row>
        <row r="209">
          <cell r="A209">
            <v>40034</v>
          </cell>
        </row>
        <row r="210">
          <cell r="A210">
            <v>40035</v>
          </cell>
        </row>
        <row r="211">
          <cell r="A211">
            <v>40036</v>
          </cell>
        </row>
        <row r="212">
          <cell r="A212">
            <v>40037</v>
          </cell>
        </row>
        <row r="213">
          <cell r="A213">
            <v>40038</v>
          </cell>
        </row>
        <row r="214">
          <cell r="A214">
            <v>40039</v>
          </cell>
        </row>
        <row r="215">
          <cell r="A215">
            <v>48001</v>
          </cell>
        </row>
        <row r="216">
          <cell r="A216">
            <v>48002</v>
          </cell>
        </row>
        <row r="217">
          <cell r="A217">
            <v>48003</v>
          </cell>
        </row>
        <row r="218">
          <cell r="A218">
            <v>48004</v>
          </cell>
        </row>
        <row r="219">
          <cell r="A219">
            <v>48005</v>
          </cell>
        </row>
        <row r="220">
          <cell r="A220">
            <v>48006</v>
          </cell>
        </row>
        <row r="221">
          <cell r="A221">
            <v>48007</v>
          </cell>
        </row>
        <row r="222">
          <cell r="A222">
            <v>41001</v>
          </cell>
        </row>
        <row r="223">
          <cell r="A223">
            <v>41002</v>
          </cell>
        </row>
        <row r="224">
          <cell r="A224">
            <v>41003</v>
          </cell>
        </row>
        <row r="225">
          <cell r="A225">
            <v>41004</v>
          </cell>
        </row>
        <row r="226">
          <cell r="A226">
            <v>41005</v>
          </cell>
        </row>
        <row r="227">
          <cell r="A227">
            <v>41006</v>
          </cell>
        </row>
        <row r="228">
          <cell r="A228">
            <v>41007</v>
          </cell>
        </row>
        <row r="229">
          <cell r="A229">
            <v>41008</v>
          </cell>
        </row>
        <row r="230">
          <cell r="A230">
            <v>41009</v>
          </cell>
        </row>
        <row r="231">
          <cell r="A231">
            <v>41010</v>
          </cell>
        </row>
        <row r="232">
          <cell r="A232">
            <v>41011</v>
          </cell>
        </row>
        <row r="233">
          <cell r="A233">
            <v>41012</v>
          </cell>
        </row>
        <row r="234">
          <cell r="A234">
            <v>41013</v>
          </cell>
        </row>
        <row r="235">
          <cell r="A235">
            <v>41014</v>
          </cell>
        </row>
        <row r="236">
          <cell r="A236">
            <v>41015</v>
          </cell>
        </row>
        <row r="237">
          <cell r="A237">
            <v>47001</v>
          </cell>
        </row>
        <row r="238">
          <cell r="A238">
            <v>47002</v>
          </cell>
        </row>
        <row r="239">
          <cell r="A239">
            <v>47003</v>
          </cell>
        </row>
        <row r="240">
          <cell r="A240">
            <v>49001</v>
          </cell>
        </row>
        <row r="241">
          <cell r="A241">
            <v>49002</v>
          </cell>
        </row>
        <row r="242">
          <cell r="A242">
            <v>49003</v>
          </cell>
        </row>
        <row r="243">
          <cell r="A243">
            <v>49004</v>
          </cell>
        </row>
        <row r="244">
          <cell r="A244">
            <v>49005</v>
          </cell>
        </row>
        <row r="245">
          <cell r="A245">
            <v>49006</v>
          </cell>
        </row>
        <row r="246">
          <cell r="A246">
            <v>49007</v>
          </cell>
        </row>
        <row r="247">
          <cell r="A247">
            <v>50001</v>
          </cell>
        </row>
        <row r="248">
          <cell r="A248">
            <v>50002</v>
          </cell>
        </row>
        <row r="249">
          <cell r="A249">
            <v>50003</v>
          </cell>
        </row>
        <row r="250">
          <cell r="A250">
            <v>50004</v>
          </cell>
        </row>
        <row r="251">
          <cell r="A251">
            <v>50005</v>
          </cell>
        </row>
        <row r="252">
          <cell r="A252">
            <v>50006</v>
          </cell>
        </row>
        <row r="253">
          <cell r="A253">
            <v>50007</v>
          </cell>
        </row>
        <row r="254">
          <cell r="A254">
            <v>50008</v>
          </cell>
        </row>
        <row r="255">
          <cell r="A255">
            <v>50009</v>
          </cell>
        </row>
        <row r="256">
          <cell r="A256">
            <v>50010</v>
          </cell>
        </row>
        <row r="257">
          <cell r="A257">
            <v>51001</v>
          </cell>
        </row>
        <row r="258">
          <cell r="A258">
            <v>51002</v>
          </cell>
        </row>
        <row r="259">
          <cell r="A259">
            <v>60001</v>
          </cell>
        </row>
        <row r="260">
          <cell r="A260">
            <v>60002</v>
          </cell>
        </row>
        <row r="261">
          <cell r="A261">
            <v>60003</v>
          </cell>
        </row>
        <row r="262">
          <cell r="A262">
            <v>60004</v>
          </cell>
        </row>
        <row r="263">
          <cell r="A263">
            <v>60005</v>
          </cell>
        </row>
        <row r="264">
          <cell r="A264">
            <v>60006</v>
          </cell>
        </row>
        <row r="265">
          <cell r="A265">
            <v>60007</v>
          </cell>
        </row>
        <row r="266">
          <cell r="A266">
            <v>60010</v>
          </cell>
        </row>
        <row r="267">
          <cell r="A267">
            <v>60011</v>
          </cell>
        </row>
        <row r="268">
          <cell r="A268">
            <v>61011</v>
          </cell>
        </row>
        <row r="269">
          <cell r="A269">
            <v>60012</v>
          </cell>
        </row>
        <row r="270">
          <cell r="A270">
            <v>60013</v>
          </cell>
        </row>
        <row r="271">
          <cell r="A271">
            <v>60014</v>
          </cell>
        </row>
        <row r="272">
          <cell r="A272">
            <v>60015</v>
          </cell>
        </row>
        <row r="273">
          <cell r="A273">
            <v>60016</v>
          </cell>
        </row>
        <row r="274">
          <cell r="A274">
            <v>60017</v>
          </cell>
        </row>
        <row r="275">
          <cell r="A275">
            <v>60018</v>
          </cell>
        </row>
        <row r="276">
          <cell r="A276">
            <v>60019</v>
          </cell>
        </row>
        <row r="277">
          <cell r="A277">
            <v>60020</v>
          </cell>
        </row>
        <row r="278">
          <cell r="A278">
            <v>65525</v>
          </cell>
        </row>
        <row r="279">
          <cell r="A279">
            <v>65526</v>
          </cell>
        </row>
        <row r="280">
          <cell r="A280">
            <v>65533</v>
          </cell>
        </row>
        <row r="281">
          <cell r="A281">
            <v>65534</v>
          </cell>
        </row>
        <row r="282">
          <cell r="A282">
            <v>65535</v>
          </cell>
        </row>
        <row r="283">
          <cell r="A283">
            <v>60021</v>
          </cell>
        </row>
        <row r="284">
          <cell r="A284">
            <v>60022</v>
          </cell>
        </row>
        <row r="285">
          <cell r="A285">
            <v>60023</v>
          </cell>
        </row>
        <row r="286">
          <cell r="A28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30043_1</v>
          </cell>
        </row>
        <row r="592">
          <cell r="A592" t="str">
            <v>30043_2</v>
          </cell>
        </row>
        <row r="593">
          <cell r="A593" t="str">
            <v>30043_3</v>
          </cell>
        </row>
        <row r="594">
          <cell r="A594" t="str">
            <v>30044_1</v>
          </cell>
        </row>
        <row r="595">
          <cell r="A595" t="str">
            <v>30044_2</v>
          </cell>
        </row>
        <row r="596">
          <cell r="A596" t="str">
            <v>30044_3</v>
          </cell>
        </row>
        <row r="597">
          <cell r="A597" t="str">
            <v>30045_1</v>
          </cell>
        </row>
        <row r="598">
          <cell r="A598" t="str">
            <v>30045_2</v>
          </cell>
        </row>
        <row r="599">
          <cell r="A599" t="str">
            <v>30045_3</v>
          </cell>
        </row>
        <row r="600">
          <cell r="A600" t="str">
            <v>39001_1</v>
          </cell>
        </row>
        <row r="601">
          <cell r="A601" t="str">
            <v>39001_2</v>
          </cell>
        </row>
        <row r="602">
          <cell r="A602" t="str">
            <v>39001_3</v>
          </cell>
        </row>
        <row r="603">
          <cell r="A603" t="str">
            <v>39001_4</v>
          </cell>
        </row>
        <row r="604">
          <cell r="A604" t="str">
            <v>39001_5</v>
          </cell>
        </row>
        <row r="605">
          <cell r="A605" t="str">
            <v>39002_1</v>
          </cell>
        </row>
        <row r="606">
          <cell r="A606" t="str">
            <v>39002_2</v>
          </cell>
        </row>
        <row r="607">
          <cell r="A607" t="str">
            <v>39002_3</v>
          </cell>
        </row>
        <row r="608">
          <cell r="A608" t="str">
            <v>39002_4</v>
          </cell>
        </row>
        <row r="609">
          <cell r="A609" t="str">
            <v>39003_1</v>
          </cell>
        </row>
        <row r="610">
          <cell r="A610" t="str">
            <v>39003_2</v>
          </cell>
        </row>
        <row r="611">
          <cell r="A611" t="str">
            <v>39003_3</v>
          </cell>
        </row>
        <row r="612">
          <cell r="A612" t="str">
            <v>39003_4</v>
          </cell>
        </row>
        <row r="613">
          <cell r="A613" t="str">
            <v>39004_1</v>
          </cell>
        </row>
        <row r="614">
          <cell r="A614" t="str">
            <v>39004_2</v>
          </cell>
        </row>
        <row r="615">
          <cell r="A615" t="str">
            <v>39004_3</v>
          </cell>
        </row>
        <row r="616">
          <cell r="A616" t="str">
            <v>39004_4</v>
          </cell>
        </row>
        <row r="617">
          <cell r="A617" t="str">
            <v>39005_1</v>
          </cell>
        </row>
        <row r="618">
          <cell r="A618" t="str">
            <v>39005_2</v>
          </cell>
        </row>
        <row r="619">
          <cell r="A619" t="str">
            <v>39005_3</v>
          </cell>
        </row>
        <row r="620">
          <cell r="A620" t="str">
            <v>39005_4</v>
          </cell>
        </row>
        <row r="621">
          <cell r="A621" t="str">
            <v>39005_5</v>
          </cell>
        </row>
        <row r="622">
          <cell r="A622" t="str">
            <v>39006_1</v>
          </cell>
        </row>
        <row r="623">
          <cell r="A623" t="str">
            <v>39006_2</v>
          </cell>
        </row>
        <row r="624">
          <cell r="A624" t="str">
            <v>39006_3</v>
          </cell>
        </row>
        <row r="625">
          <cell r="A625" t="str">
            <v>39006_4</v>
          </cell>
        </row>
        <row r="626">
          <cell r="A626" t="str">
            <v>39007_1</v>
          </cell>
        </row>
        <row r="627">
          <cell r="A627" t="str">
            <v>39007_2</v>
          </cell>
        </row>
        <row r="628">
          <cell r="A628" t="str">
            <v>39007_3</v>
          </cell>
        </row>
        <row r="629">
          <cell r="A629" t="str">
            <v>39007_4</v>
          </cell>
        </row>
        <row r="630">
          <cell r="A630" t="str">
            <v>40001_1</v>
          </cell>
        </row>
        <row r="631">
          <cell r="A631" t="str">
            <v>40002_1</v>
          </cell>
        </row>
        <row r="632">
          <cell r="A632" t="str">
            <v>40002_2</v>
          </cell>
        </row>
        <row r="633">
          <cell r="A633" t="str">
            <v>40002_3</v>
          </cell>
        </row>
        <row r="634">
          <cell r="A634" t="str">
            <v>40003_1</v>
          </cell>
        </row>
        <row r="635">
          <cell r="A635" t="str">
            <v>40004_1</v>
          </cell>
        </row>
        <row r="636">
          <cell r="A636" t="str">
            <v>40005_1</v>
          </cell>
        </row>
        <row r="637">
          <cell r="A637" t="str">
            <v>40006_1</v>
          </cell>
        </row>
        <row r="638">
          <cell r="A638" t="str">
            <v>40007_1</v>
          </cell>
        </row>
        <row r="639">
          <cell r="A639" t="str">
            <v>40008_1</v>
          </cell>
        </row>
        <row r="640">
          <cell r="A640" t="str">
            <v>40009_1</v>
          </cell>
        </row>
        <row r="641">
          <cell r="A641" t="str">
            <v>40010_1</v>
          </cell>
        </row>
        <row r="642">
          <cell r="A642" t="str">
            <v>40011_1</v>
          </cell>
        </row>
        <row r="643">
          <cell r="A643" t="str">
            <v>40012_1</v>
          </cell>
        </row>
        <row r="644">
          <cell r="A644" t="str">
            <v>40013_1</v>
          </cell>
        </row>
        <row r="645">
          <cell r="A645" t="str">
            <v>40014_1</v>
          </cell>
        </row>
        <row r="646">
          <cell r="A646" t="str">
            <v>40015_1</v>
          </cell>
        </row>
        <row r="647">
          <cell r="A647" t="str">
            <v>40016_1</v>
          </cell>
        </row>
        <row r="648">
          <cell r="A648" t="str">
            <v>40016_2</v>
          </cell>
        </row>
        <row r="649">
          <cell r="A649" t="str">
            <v>40017_1</v>
          </cell>
        </row>
        <row r="650">
          <cell r="A650" t="str">
            <v>40017_2</v>
          </cell>
        </row>
        <row r="651">
          <cell r="A651" t="str">
            <v>40017_3</v>
          </cell>
        </row>
        <row r="652">
          <cell r="A652" t="str">
            <v>40018_1</v>
          </cell>
        </row>
        <row r="653">
          <cell r="A653" t="str">
            <v>40018_2</v>
          </cell>
        </row>
        <row r="654">
          <cell r="A654" t="str">
            <v>40018_3</v>
          </cell>
        </row>
        <row r="655">
          <cell r="A655" t="str">
            <v>40019_1</v>
          </cell>
        </row>
        <row r="656">
          <cell r="A656" t="str">
            <v>40019_2</v>
          </cell>
        </row>
        <row r="657">
          <cell r="A657" t="str">
            <v>40019_3</v>
          </cell>
        </row>
        <row r="658">
          <cell r="A658" t="str">
            <v>40021_1</v>
          </cell>
        </row>
        <row r="659">
          <cell r="A659" t="str">
            <v>40021_2</v>
          </cell>
        </row>
        <row r="660">
          <cell r="A660" t="str">
            <v>40022_1</v>
          </cell>
        </row>
        <row r="661">
          <cell r="A661" t="str">
            <v>40022_2</v>
          </cell>
        </row>
        <row r="662">
          <cell r="A662" t="str">
            <v>40023_1</v>
          </cell>
        </row>
        <row r="663">
          <cell r="A663" t="str">
            <v>40023_2</v>
          </cell>
        </row>
        <row r="664">
          <cell r="A664" t="str">
            <v>40024_1</v>
          </cell>
        </row>
        <row r="665">
          <cell r="A665" t="str">
            <v>40024_2</v>
          </cell>
        </row>
        <row r="666">
          <cell r="A666" t="str">
            <v>40025_1</v>
          </cell>
        </row>
        <row r="667">
          <cell r="A667" t="str">
            <v>40025_2</v>
          </cell>
        </row>
        <row r="668">
          <cell r="A668" t="str">
            <v>40026_1</v>
          </cell>
        </row>
        <row r="669">
          <cell r="A669" t="str">
            <v>40026_2</v>
          </cell>
        </row>
        <row r="670">
          <cell r="A670" t="str">
            <v>40027_1</v>
          </cell>
        </row>
        <row r="671">
          <cell r="A671" t="str">
            <v>40027_2</v>
          </cell>
        </row>
        <row r="672">
          <cell r="A672" t="str">
            <v>40028_1</v>
          </cell>
        </row>
        <row r="673">
          <cell r="A673" t="str">
            <v>40028_2</v>
          </cell>
        </row>
        <row r="674">
          <cell r="A674" t="str">
            <v>40029_1</v>
          </cell>
        </row>
        <row r="675">
          <cell r="A675" t="str">
            <v>40029_2</v>
          </cell>
        </row>
        <row r="676">
          <cell r="A676" t="str">
            <v>40030_1</v>
          </cell>
        </row>
        <row r="677">
          <cell r="A677" t="str">
            <v>40030_2</v>
          </cell>
        </row>
        <row r="678">
          <cell r="A678" t="str">
            <v>40031_1</v>
          </cell>
        </row>
        <row r="679">
          <cell r="A679" t="str">
            <v>40031_2</v>
          </cell>
        </row>
        <row r="680">
          <cell r="A680" t="str">
            <v>40032_1</v>
          </cell>
        </row>
        <row r="681">
          <cell r="A681" t="str">
            <v>40032_2</v>
          </cell>
        </row>
        <row r="682">
          <cell r="A682" t="str">
            <v>40033_1</v>
          </cell>
        </row>
        <row r="683">
          <cell r="A683" t="str">
            <v>40033_2</v>
          </cell>
        </row>
        <row r="684">
          <cell r="A684" t="str">
            <v>40034_1</v>
          </cell>
        </row>
        <row r="685">
          <cell r="A685" t="str">
            <v>40034_2</v>
          </cell>
        </row>
        <row r="686">
          <cell r="A686" t="str">
            <v>40035_1</v>
          </cell>
        </row>
        <row r="687">
          <cell r="A687" t="str">
            <v>40035_2</v>
          </cell>
        </row>
        <row r="688">
          <cell r="A688" t="str">
            <v>40036_1</v>
          </cell>
        </row>
        <row r="689">
          <cell r="A689" t="str">
            <v>40036_2</v>
          </cell>
        </row>
        <row r="690">
          <cell r="A690" t="str">
            <v>40037_1</v>
          </cell>
        </row>
        <row r="691">
          <cell r="A691" t="str">
            <v>40037_2</v>
          </cell>
        </row>
        <row r="692">
          <cell r="A692" t="str">
            <v>40038_1</v>
          </cell>
        </row>
        <row r="693">
          <cell r="A693" t="str">
            <v>40038_2</v>
          </cell>
        </row>
        <row r="694">
          <cell r="A694" t="str">
            <v>40039_1</v>
          </cell>
        </row>
        <row r="695">
          <cell r="A695" t="str">
            <v>40039_2</v>
          </cell>
        </row>
        <row r="696">
          <cell r="A696" t="str">
            <v>41001_1</v>
          </cell>
        </row>
        <row r="697">
          <cell r="A697" t="str">
            <v>41001_2</v>
          </cell>
        </row>
        <row r="698">
          <cell r="A698" t="str">
            <v>41001_3</v>
          </cell>
        </row>
        <row r="699">
          <cell r="A699" t="str">
            <v>41002_1</v>
          </cell>
        </row>
        <row r="700">
          <cell r="A700" t="str">
            <v>41002_2</v>
          </cell>
        </row>
        <row r="701">
          <cell r="A701" t="str">
            <v>41002_3</v>
          </cell>
        </row>
        <row r="702">
          <cell r="A702" t="str">
            <v>41003_1</v>
          </cell>
        </row>
        <row r="703">
          <cell r="A703" t="str">
            <v>41003_2</v>
          </cell>
        </row>
        <row r="704">
          <cell r="A704" t="str">
            <v>41003_3</v>
          </cell>
        </row>
        <row r="705">
          <cell r="A705" t="str">
            <v>41004_1</v>
          </cell>
        </row>
        <row r="706">
          <cell r="A706" t="str">
            <v>41004_2</v>
          </cell>
        </row>
        <row r="707">
          <cell r="A707" t="str">
            <v>41004_3</v>
          </cell>
        </row>
        <row r="708">
          <cell r="A708" t="str">
            <v>41005_1</v>
          </cell>
        </row>
        <row r="709">
          <cell r="A709" t="str">
            <v>41005_2</v>
          </cell>
        </row>
        <row r="710">
          <cell r="A710" t="str">
            <v>41005_3</v>
          </cell>
        </row>
        <row r="711">
          <cell r="A711" t="str">
            <v>41006_1</v>
          </cell>
        </row>
        <row r="712">
          <cell r="A712" t="str">
            <v>41006_2</v>
          </cell>
        </row>
        <row r="713">
          <cell r="A713" t="str">
            <v>41006_3</v>
          </cell>
        </row>
        <row r="714">
          <cell r="A714" t="str">
            <v>41007_1</v>
          </cell>
        </row>
        <row r="715">
          <cell r="A715" t="str">
            <v>41007_2</v>
          </cell>
        </row>
        <row r="716">
          <cell r="A716" t="str">
            <v>41007_3</v>
          </cell>
        </row>
        <row r="717">
          <cell r="A717" t="str">
            <v>41008_1</v>
          </cell>
        </row>
        <row r="718">
          <cell r="A718" t="str">
            <v>41008_2</v>
          </cell>
        </row>
        <row r="719">
          <cell r="A719" t="str">
            <v>41008_3</v>
          </cell>
        </row>
        <row r="720">
          <cell r="A720" t="str">
            <v>41009_1</v>
          </cell>
        </row>
        <row r="721">
          <cell r="A721" t="str">
            <v>41009_2</v>
          </cell>
        </row>
        <row r="722">
          <cell r="A722" t="str">
            <v>41009_3</v>
          </cell>
        </row>
        <row r="723">
          <cell r="A723" t="str">
            <v>41010_1</v>
          </cell>
        </row>
        <row r="724">
          <cell r="A724" t="str">
            <v>41010_2</v>
          </cell>
        </row>
        <row r="725">
          <cell r="A725" t="str">
            <v>41010_3</v>
          </cell>
        </row>
        <row r="726">
          <cell r="A726" t="str">
            <v>41011_1</v>
          </cell>
        </row>
        <row r="727">
          <cell r="A727" t="str">
            <v>41011_2</v>
          </cell>
        </row>
        <row r="728">
          <cell r="A728" t="str">
            <v>41012_1</v>
          </cell>
        </row>
        <row r="729">
          <cell r="A729" t="str">
            <v>41012_2</v>
          </cell>
        </row>
        <row r="730">
          <cell r="A730" t="str">
            <v>41013_1</v>
          </cell>
        </row>
        <row r="731">
          <cell r="A731" t="str">
            <v>41013_2</v>
          </cell>
        </row>
        <row r="732">
          <cell r="A732" t="str">
            <v>41014_1</v>
          </cell>
        </row>
        <row r="733">
          <cell r="A733" t="str">
            <v>41014_2</v>
          </cell>
        </row>
        <row r="734">
          <cell r="A734" t="str">
            <v>41015_1</v>
          </cell>
        </row>
        <row r="735">
          <cell r="A735" t="str">
            <v>41015_2</v>
          </cell>
        </row>
        <row r="736">
          <cell r="A736" t="str">
            <v>47001_1</v>
          </cell>
        </row>
        <row r="737">
          <cell r="A737" t="str">
            <v>47001_2</v>
          </cell>
        </row>
        <row r="738">
          <cell r="A738" t="str">
            <v>47002_1</v>
          </cell>
        </row>
        <row r="739">
          <cell r="A739" t="str">
            <v>47002_2</v>
          </cell>
        </row>
        <row r="740">
          <cell r="A740" t="str">
            <v>47003_1</v>
          </cell>
        </row>
        <row r="741">
          <cell r="A741" t="str">
            <v>47003_2</v>
          </cell>
        </row>
        <row r="742">
          <cell r="A742" t="str">
            <v>47003_3</v>
          </cell>
        </row>
        <row r="743">
          <cell r="A743" t="str">
            <v>47003_4</v>
          </cell>
        </row>
        <row r="744">
          <cell r="A744" t="str">
            <v>48001_1</v>
          </cell>
        </row>
        <row r="745">
          <cell r="A745" t="str">
            <v>48002_1</v>
          </cell>
        </row>
        <row r="746">
          <cell r="A746" t="str">
            <v>48002_2</v>
          </cell>
        </row>
        <row r="747">
          <cell r="A747" t="str">
            <v>48002_3</v>
          </cell>
        </row>
        <row r="748">
          <cell r="A748" t="str">
            <v>48003_1</v>
          </cell>
        </row>
        <row r="749">
          <cell r="A749" t="str">
            <v>48003_2</v>
          </cell>
        </row>
        <row r="750">
          <cell r="A750" t="str">
            <v>48003_3</v>
          </cell>
        </row>
        <row r="751">
          <cell r="A751" t="str">
            <v>48004_1</v>
          </cell>
        </row>
        <row r="752">
          <cell r="A752" t="str">
            <v>48004_2</v>
          </cell>
        </row>
        <row r="753">
          <cell r="A753" t="str">
            <v>48004_3</v>
          </cell>
        </row>
        <row r="754">
          <cell r="A754" t="str">
            <v>48005_1</v>
          </cell>
        </row>
        <row r="755">
          <cell r="A755" t="str">
            <v>48005_2</v>
          </cell>
        </row>
        <row r="756">
          <cell r="A756" t="str">
            <v>48006_1</v>
          </cell>
        </row>
        <row r="757">
          <cell r="A757" t="str">
            <v>48006_2</v>
          </cell>
        </row>
        <row r="758">
          <cell r="A758" t="str">
            <v>48007_1</v>
          </cell>
        </row>
        <row r="759">
          <cell r="A759" t="str">
            <v>48007_2</v>
          </cell>
        </row>
        <row r="760">
          <cell r="A760" t="str">
            <v>49001_1</v>
          </cell>
        </row>
        <row r="761">
          <cell r="A761" t="str">
            <v>49002_1</v>
          </cell>
        </row>
        <row r="762">
          <cell r="A762" t="str">
            <v>49002_2</v>
          </cell>
        </row>
        <row r="763">
          <cell r="A763" t="str">
            <v>49003_1</v>
          </cell>
        </row>
        <row r="764">
          <cell r="A764" t="str">
            <v>49003_2</v>
          </cell>
        </row>
        <row r="765">
          <cell r="A765" t="str">
            <v>49004_1</v>
          </cell>
        </row>
        <row r="766">
          <cell r="A766" t="str">
            <v>49004_2</v>
          </cell>
        </row>
        <row r="767">
          <cell r="A767" t="str">
            <v>49004_3</v>
          </cell>
        </row>
        <row r="768">
          <cell r="A768" t="str">
            <v>49005_1</v>
          </cell>
        </row>
        <row r="769">
          <cell r="A769" t="str">
            <v>49006_1</v>
          </cell>
        </row>
        <row r="770">
          <cell r="A770" t="str">
            <v>49006_2</v>
          </cell>
        </row>
        <row r="771">
          <cell r="A771" t="str">
            <v>49007_1</v>
          </cell>
        </row>
        <row r="772">
          <cell r="A772" t="str">
            <v>49007_2</v>
          </cell>
        </row>
        <row r="773">
          <cell r="A773" t="str">
            <v>49007_3</v>
          </cell>
        </row>
        <row r="774">
          <cell r="A774" t="str">
            <v>50001_1</v>
          </cell>
        </row>
        <row r="775">
          <cell r="A775" t="str">
            <v>50002_1</v>
          </cell>
        </row>
        <row r="776">
          <cell r="A776" t="str">
            <v>50003_1</v>
          </cell>
        </row>
        <row r="777">
          <cell r="A777" t="str">
            <v>50004_1</v>
          </cell>
        </row>
        <row r="778">
          <cell r="A778" t="str">
            <v>50005_1</v>
          </cell>
        </row>
        <row r="779">
          <cell r="A779" t="str">
            <v>50006_1</v>
          </cell>
        </row>
        <row r="780">
          <cell r="A780" t="str">
            <v>50007_1</v>
          </cell>
        </row>
        <row r="781">
          <cell r="A781" t="str">
            <v>50008_1</v>
          </cell>
        </row>
        <row r="782">
          <cell r="A782" t="str">
            <v>50009_1</v>
          </cell>
        </row>
        <row r="783">
          <cell r="A783" t="str">
            <v>50010_1</v>
          </cell>
        </row>
        <row r="784">
          <cell r="A784" t="str">
            <v>51001_1</v>
          </cell>
        </row>
        <row r="785">
          <cell r="A785" t="str">
            <v>51002_1</v>
          </cell>
        </row>
        <row r="786">
          <cell r="A786" t="str">
            <v>60001_1</v>
          </cell>
        </row>
        <row r="787">
          <cell r="A787" t="str">
            <v>60002_1</v>
          </cell>
        </row>
        <row r="788">
          <cell r="A788" t="str">
            <v>60002_2</v>
          </cell>
        </row>
        <row r="789">
          <cell r="A789" t="str">
            <v>60003_1</v>
          </cell>
        </row>
        <row r="790">
          <cell r="A790" t="str">
            <v>60003_2</v>
          </cell>
        </row>
        <row r="791">
          <cell r="A791" t="str">
            <v>60003_3</v>
          </cell>
        </row>
        <row r="792">
          <cell r="A792" t="str">
            <v>60004_1</v>
          </cell>
        </row>
        <row r="793">
          <cell r="A793" t="str">
            <v>60005_1</v>
          </cell>
        </row>
        <row r="794">
          <cell r="A794" t="str">
            <v>60006_1</v>
          </cell>
        </row>
        <row r="795">
          <cell r="A795" t="str">
            <v>60006_2</v>
          </cell>
        </row>
        <row r="796">
          <cell r="A796" t="str">
            <v>60006_3</v>
          </cell>
        </row>
        <row r="797">
          <cell r="A797" t="str">
            <v>60007_1</v>
          </cell>
        </row>
        <row r="798">
          <cell r="A798" t="str">
            <v>60007_2</v>
          </cell>
        </row>
        <row r="799">
          <cell r="A799" t="str">
            <v>60007_3</v>
          </cell>
        </row>
        <row r="800">
          <cell r="A800" t="str">
            <v>60010_1</v>
          </cell>
        </row>
        <row r="801">
          <cell r="A801" t="str">
            <v>60011_1</v>
          </cell>
        </row>
        <row r="802">
          <cell r="A802" t="str">
            <v>60011_2</v>
          </cell>
        </row>
        <row r="803">
          <cell r="A803" t="str">
            <v>60012_1</v>
          </cell>
        </row>
        <row r="804">
          <cell r="A804" t="str">
            <v>60013_1</v>
          </cell>
        </row>
        <row r="805">
          <cell r="A805" t="str">
            <v>60013_2</v>
          </cell>
        </row>
        <row r="806">
          <cell r="A806" t="str">
            <v>60013_3</v>
          </cell>
        </row>
        <row r="807">
          <cell r="A807" t="str">
            <v>60014_1</v>
          </cell>
        </row>
        <row r="808">
          <cell r="A808" t="str">
            <v>60015_1</v>
          </cell>
        </row>
        <row r="809">
          <cell r="A809" t="str">
            <v>60016_1</v>
          </cell>
        </row>
        <row r="810">
          <cell r="A810" t="str">
            <v>60017_1</v>
          </cell>
        </row>
        <row r="811">
          <cell r="A811" t="str">
            <v>60018_1</v>
          </cell>
        </row>
        <row r="812">
          <cell r="A812" t="str">
            <v>60019_1</v>
          </cell>
        </row>
        <row r="813">
          <cell r="A813" t="str">
            <v>60020_1</v>
          </cell>
        </row>
        <row r="814">
          <cell r="A814" t="str">
            <v>60021_3</v>
          </cell>
        </row>
        <row r="815">
          <cell r="A815" t="str">
            <v>60022_3</v>
          </cell>
        </row>
        <row r="816">
          <cell r="A816" t="str">
            <v>60023_3</v>
          </cell>
        </row>
        <row r="817">
          <cell r="A817" t="str">
            <v>60024_3</v>
          </cell>
        </row>
        <row r="818">
          <cell r="A818" t="str">
            <v>61011_1</v>
          </cell>
        </row>
        <row r="819">
          <cell r="A819" t="str">
            <v>65525_1</v>
          </cell>
        </row>
        <row r="820">
          <cell r="A820" t="str">
            <v>65526_1</v>
          </cell>
        </row>
        <row r="821">
          <cell r="A821" t="str">
            <v>65533_1</v>
          </cell>
        </row>
        <row r="822">
          <cell r="A822" t="str">
            <v>65533_2</v>
          </cell>
        </row>
        <row r="823">
          <cell r="A823" t="str">
            <v>65534_1</v>
          </cell>
        </row>
        <row r="824">
          <cell r="A824" t="str">
            <v>65535_1</v>
          </cell>
        </row>
        <row r="825">
          <cell r="A825" t="str">
            <v>65535_2</v>
          </cell>
        </row>
        <row r="826">
          <cell r="A826" t="str">
            <v>65535_3</v>
          </cell>
        </row>
        <row r="827">
          <cell r="A827" t="str">
            <v>65535_4</v>
          </cell>
        </row>
        <row r="828">
          <cell r="A828" t="str">
            <v>65535_5</v>
          </cell>
        </row>
        <row r="829">
          <cell r="A829" t="str">
            <v>65535_6</v>
          </cell>
        </row>
        <row r="830">
          <cell r="A830" t="str">
            <v>65535_7</v>
          </cell>
        </row>
        <row r="831">
          <cell r="A831" t="str">
            <v>65535_8</v>
          </cell>
        </row>
        <row r="832">
          <cell r="A832" t="str">
            <v>65535_9</v>
          </cell>
        </row>
        <row r="833">
          <cell r="A83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6001</v>
          </cell>
        </row>
        <row r="1303">
          <cell r="A1303">
            <v>6002</v>
          </cell>
        </row>
        <row r="1304">
          <cell r="A1304">
            <v>6003</v>
          </cell>
        </row>
        <row r="1305">
          <cell r="A1305">
            <v>6004</v>
          </cell>
        </row>
        <row r="1306">
          <cell r="A1306">
            <v>6005</v>
          </cell>
        </row>
        <row r="1307">
          <cell r="A1307">
            <v>6006</v>
          </cell>
        </row>
        <row r="1308">
          <cell r="A1308">
            <v>6007</v>
          </cell>
        </row>
        <row r="1309">
          <cell r="A1309">
            <v>6008</v>
          </cell>
        </row>
        <row r="1310">
          <cell r="A1310">
            <v>6009</v>
          </cell>
        </row>
        <row r="1311">
          <cell r="A1311">
            <v>6010</v>
          </cell>
        </row>
        <row r="1312">
          <cell r="A1312">
            <v>6011</v>
          </cell>
        </row>
        <row r="1313">
          <cell r="A1313">
            <v>6012</v>
          </cell>
        </row>
        <row r="1314">
          <cell r="A1314">
            <v>6013</v>
          </cell>
        </row>
        <row r="1315">
          <cell r="A1315">
            <v>6014</v>
          </cell>
        </row>
        <row r="1316">
          <cell r="A1316">
            <v>6015</v>
          </cell>
        </row>
        <row r="1317">
          <cell r="A1317">
            <v>6016</v>
          </cell>
        </row>
        <row r="1318">
          <cell r="A1318">
            <v>6017</v>
          </cell>
        </row>
        <row r="1319">
          <cell r="A1319">
            <v>6018</v>
          </cell>
        </row>
        <row r="1320">
          <cell r="A1320">
            <v>6019</v>
          </cell>
        </row>
        <row r="1321">
          <cell r="A1321">
            <v>6020</v>
          </cell>
        </row>
        <row r="1322">
          <cell r="A1322">
            <v>8001</v>
          </cell>
        </row>
        <row r="1323">
          <cell r="A1323">
            <v>8002</v>
          </cell>
        </row>
        <row r="1324">
          <cell r="A1324">
            <v>8003</v>
          </cell>
        </row>
        <row r="1325">
          <cell r="A1325">
            <v>8004</v>
          </cell>
        </row>
        <row r="1326">
          <cell r="A1326">
            <v>8005</v>
          </cell>
        </row>
        <row r="1327">
          <cell r="A1327">
            <v>8006</v>
          </cell>
        </row>
        <row r="1328">
          <cell r="A1328">
            <v>8007</v>
          </cell>
        </row>
        <row r="1329">
          <cell r="A1329">
            <v>8008</v>
          </cell>
        </row>
        <row r="1330">
          <cell r="A1330">
            <v>8009</v>
          </cell>
        </row>
        <row r="1331">
          <cell r="A1331">
            <v>8010</v>
          </cell>
        </row>
        <row r="1332">
          <cell r="A1332">
            <v>8011</v>
          </cell>
        </row>
        <row r="1333">
          <cell r="A1333">
            <v>8012</v>
          </cell>
        </row>
        <row r="1334">
          <cell r="A1334">
            <v>8013</v>
          </cell>
        </row>
        <row r="1335">
          <cell r="A1335">
            <v>8014</v>
          </cell>
        </row>
        <row r="1336">
          <cell r="A1336">
            <v>8015</v>
          </cell>
        </row>
        <row r="1337">
          <cell r="A1337">
            <v>8016</v>
          </cell>
        </row>
        <row r="1338">
          <cell r="A1338">
            <v>8017</v>
          </cell>
        </row>
        <row r="1339">
          <cell r="A1339">
            <v>8018</v>
          </cell>
        </row>
        <row r="1340">
          <cell r="A1340">
            <v>8019</v>
          </cell>
        </row>
        <row r="1341">
          <cell r="A1341">
            <v>8020</v>
          </cell>
        </row>
        <row r="1342">
          <cell r="A1342">
            <v>8021</v>
          </cell>
        </row>
        <row r="1343">
          <cell r="A1343">
            <v>8022</v>
          </cell>
        </row>
        <row r="1344">
          <cell r="A1344">
            <v>8023</v>
          </cell>
        </row>
        <row r="1345">
          <cell r="A1345">
            <v>8024</v>
          </cell>
        </row>
        <row r="1346">
          <cell r="A1346">
            <v>8025</v>
          </cell>
        </row>
        <row r="1347">
          <cell r="A1347">
            <v>8026</v>
          </cell>
        </row>
        <row r="1348">
          <cell r="A1348">
            <v>8027</v>
          </cell>
        </row>
        <row r="1349">
          <cell r="A1349">
            <v>8028</v>
          </cell>
        </row>
        <row r="1350">
          <cell r="A1350">
            <v>8029</v>
          </cell>
        </row>
        <row r="1351">
          <cell r="A1351">
            <v>8030</v>
          </cell>
        </row>
        <row r="1352">
          <cell r="A1352">
            <v>8031</v>
          </cell>
        </row>
        <row r="1353">
          <cell r="A1353">
            <v>8032</v>
          </cell>
        </row>
        <row r="1354">
          <cell r="A1354">
            <v>8033</v>
          </cell>
        </row>
        <row r="1355">
          <cell r="A1355">
            <v>8034</v>
          </cell>
        </row>
        <row r="1356">
          <cell r="A1356">
            <v>8035</v>
          </cell>
        </row>
        <row r="1357">
          <cell r="A1357">
            <v>8036</v>
          </cell>
        </row>
        <row r="1358">
          <cell r="A1358">
            <v>8037</v>
          </cell>
        </row>
        <row r="1359">
          <cell r="A1359">
            <v>8038</v>
          </cell>
        </row>
        <row r="1360">
          <cell r="A1360">
            <v>8039</v>
          </cell>
        </row>
        <row r="1361">
          <cell r="A1361">
            <v>8040</v>
          </cell>
        </row>
        <row r="1362">
          <cell r="A1362">
            <v>8041</v>
          </cell>
        </row>
        <row r="1363">
          <cell r="A1363">
            <v>8042</v>
          </cell>
        </row>
        <row r="1364">
          <cell r="A1364">
            <v>8043</v>
          </cell>
        </row>
        <row r="1365">
          <cell r="A1365">
            <v>8044</v>
          </cell>
        </row>
        <row r="1366">
          <cell r="A1366">
            <v>8045</v>
          </cell>
        </row>
        <row r="1367">
          <cell r="A1367">
            <v>8046</v>
          </cell>
        </row>
        <row r="1368">
          <cell r="A1368">
            <v>8047</v>
          </cell>
        </row>
        <row r="1369">
          <cell r="A1369">
            <v>8048</v>
          </cell>
        </row>
        <row r="1370">
          <cell r="A1370">
            <v>8049</v>
          </cell>
        </row>
        <row r="1371">
          <cell r="A1371">
            <v>8050</v>
          </cell>
        </row>
        <row r="1372">
          <cell r="A1372">
            <v>8051</v>
          </cell>
        </row>
        <row r="1373">
          <cell r="A1373">
            <v>8052</v>
          </cell>
        </row>
        <row r="1374">
          <cell r="A1374">
            <v>8053</v>
          </cell>
        </row>
        <row r="1375">
          <cell r="A1375">
            <v>8054</v>
          </cell>
        </row>
        <row r="1376">
          <cell r="A1376">
            <v>8055</v>
          </cell>
        </row>
        <row r="1377">
          <cell r="A1377">
            <v>8056</v>
          </cell>
        </row>
        <row r="1378">
          <cell r="A1378">
            <v>8057</v>
          </cell>
        </row>
        <row r="1379">
          <cell r="A1379">
            <v>8058</v>
          </cell>
        </row>
        <row r="1380">
          <cell r="A1380">
            <v>8059</v>
          </cell>
        </row>
        <row r="1381">
          <cell r="A1381">
            <v>8060</v>
          </cell>
        </row>
        <row r="1382">
          <cell r="A1382">
            <v>8061</v>
          </cell>
        </row>
        <row r="1383">
          <cell r="A1383">
            <v>8062</v>
          </cell>
        </row>
        <row r="1384">
          <cell r="A1384">
            <v>8063</v>
          </cell>
        </row>
        <row r="1385">
          <cell r="A1385">
            <v>8064</v>
          </cell>
        </row>
        <row r="1386">
          <cell r="A1386">
            <v>8065</v>
          </cell>
        </row>
        <row r="1387">
          <cell r="A1387">
            <v>8066</v>
          </cell>
        </row>
        <row r="1388">
          <cell r="A1388">
            <v>8067</v>
          </cell>
        </row>
        <row r="1389">
          <cell r="A1389">
            <v>8068</v>
          </cell>
        </row>
        <row r="1390">
          <cell r="A1390">
            <v>8069</v>
          </cell>
        </row>
        <row r="1391">
          <cell r="A1391">
            <v>8070</v>
          </cell>
        </row>
        <row r="1392">
          <cell r="A1392">
            <v>8071</v>
          </cell>
        </row>
        <row r="1393">
          <cell r="A1393">
            <v>8072</v>
          </cell>
        </row>
        <row r="1394">
          <cell r="A1394">
            <v>8077</v>
          </cell>
        </row>
        <row r="1395">
          <cell r="A1395">
            <v>8078</v>
          </cell>
        </row>
        <row r="1396">
          <cell r="A1396">
            <v>8079</v>
          </cell>
        </row>
        <row r="1397">
          <cell r="A1397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263</v>
      </c>
      <c r="B2" s="56" t="s">
        <v>107</v>
      </c>
      <c r="C2" s="62">
        <v>40036</v>
      </c>
      <c r="D2" s="56" t="s">
        <v>108</v>
      </c>
      <c r="E2" s="55" t="str">
        <f>B2&amp;C2&amp;D2</f>
        <v>floors_40036.tmp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263</v>
      </c>
      <c r="B3" s="56" t="s">
        <v>110</v>
      </c>
      <c r="C3" s="62">
        <v>40036</v>
      </c>
      <c r="D3" s="56" t="s">
        <v>108</v>
      </c>
      <c r="E3" s="55" t="str">
        <f>B3&amp;C3&amp;D3</f>
        <v>enemy_habitats_40036.tmp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263</v>
      </c>
      <c r="B4" s="56" t="s">
        <v>112</v>
      </c>
      <c r="C4" s="62">
        <v>40036</v>
      </c>
      <c r="D4" s="56" t="s">
        <v>108</v>
      </c>
      <c r="E4" s="55" t="str">
        <f>B4&amp;C4&amp;D4</f>
        <v>enemy_habitat_S_40036.tmp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263</v>
      </c>
      <c r="B5" s="56" t="s">
        <v>114</v>
      </c>
      <c r="C5" s="62">
        <v>40036</v>
      </c>
      <c r="D5" s="56" t="s">
        <v>108</v>
      </c>
      <c r="E5" s="55" t="str">
        <f>B5&amp;C5&amp;D5</f>
        <v>enemy_skill_sets_40036.tmp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263</v>
      </c>
      <c r="B6" s="56" t="s">
        <v>116</v>
      </c>
      <c r="C6" s="62">
        <v>40036</v>
      </c>
      <c r="D6" s="56" t="s">
        <v>117</v>
      </c>
      <c r="E6" s="55" t="str">
        <f t="shared" ref="E6:E10" si="0">B6&amp;C6&amp;D6</f>
        <v>enemy_skills_tmp_40036.tmp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263</v>
      </c>
      <c r="B7" s="56" t="s">
        <v>118</v>
      </c>
      <c r="C7" s="62">
        <v>40036</v>
      </c>
      <c r="D7" s="56" t="s">
        <v>108</v>
      </c>
      <c r="E7" s="55" t="str">
        <f>B7&amp;C7&amp;D7</f>
        <v>enemy_skills_i18n_40036.tmp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263</v>
      </c>
      <c r="B8" s="56" t="s">
        <v>120</v>
      </c>
      <c r="C8" s="62">
        <v>40036</v>
      </c>
      <c r="D8" s="56" t="s">
        <v>121</v>
      </c>
      <c r="E8" s="55" t="str">
        <f t="shared" si="0"/>
        <v>enemy_skill_triggers_40036.tmp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407</v>
      </c>
      <c r="B9" s="67" t="s">
        <v>178</v>
      </c>
      <c r="C9" s="62">
        <v>40036</v>
      </c>
      <c r="D9" s="67" t="s">
        <v>172</v>
      </c>
      <c r="E9" s="68" t="str">
        <f t="shared" si="0"/>
        <v>stage_bug_bonuses_40036.tmp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188</v>
      </c>
      <c r="B10" s="67" t="s">
        <v>202</v>
      </c>
      <c r="C10" s="62">
        <v>40036</v>
      </c>
      <c r="D10" s="67" t="s">
        <v>181</v>
      </c>
      <c r="E10" s="68" t="str">
        <f t="shared" si="0"/>
        <v>stage_hints_data_c_40036.tmp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0" t="s">
        <v>407</v>
      </c>
      <c r="B11" s="67" t="s">
        <v>203</v>
      </c>
      <c r="C11" s="62">
        <v>40036</v>
      </c>
      <c r="D11" s="67" t="s">
        <v>172</v>
      </c>
      <c r="E11" s="68" t="str">
        <f t="shared" ref="E11:E13" si="1">B11&amp;C11&amp;D11</f>
        <v>stage_hints_data_f_40036.tmp</v>
      </c>
      <c r="F11" s="67" t="s">
        <v>211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7" t="s">
        <v>422</v>
      </c>
      <c r="B12" s="67" t="s">
        <v>204</v>
      </c>
      <c r="C12" s="62">
        <v>40036</v>
      </c>
      <c r="D12" s="67" t="s">
        <v>172</v>
      </c>
      <c r="E12" s="68" t="str">
        <f t="shared" si="1"/>
        <v>stage_hints_i18n_40036.tmp</v>
      </c>
      <c r="F12" s="67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6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7" t="s">
        <v>409</v>
      </c>
      <c r="B13" s="67" t="s">
        <v>252</v>
      </c>
      <c r="C13" s="62">
        <v>40036</v>
      </c>
      <c r="D13" s="67" t="s">
        <v>233</v>
      </c>
      <c r="E13" s="68" t="str">
        <f t="shared" si="1"/>
        <v>stage_bonuses_40036.tmp</v>
      </c>
      <c r="F13" s="67" t="s">
        <v>232</v>
      </c>
      <c r="G13" s="73" t="s">
        <v>234</v>
      </c>
      <c r="H13" s="73" t="s">
        <v>235</v>
      </c>
      <c r="I13" s="73" t="s">
        <v>236</v>
      </c>
      <c r="J13" s="73" t="s">
        <v>237</v>
      </c>
      <c r="K13" s="73" t="s">
        <v>238</v>
      </c>
      <c r="L13" s="73" t="s">
        <v>239</v>
      </c>
      <c r="M13" s="73" t="s">
        <v>240</v>
      </c>
      <c r="N13" s="73" t="s">
        <v>241</v>
      </c>
      <c r="O13" s="73" t="s">
        <v>242</v>
      </c>
      <c r="P13" s="73" t="s">
        <v>243</v>
      </c>
      <c r="Q13" s="73" t="s">
        <v>244</v>
      </c>
      <c r="R13" s="73" t="s">
        <v>245</v>
      </c>
      <c r="S13" s="73" t="s">
        <v>246</v>
      </c>
      <c r="T13" s="73" t="s">
        <v>247</v>
      </c>
      <c r="U13" s="73" t="s">
        <v>248</v>
      </c>
      <c r="V13" s="73" t="s">
        <v>249</v>
      </c>
      <c r="W13" s="73" t="s">
        <v>250</v>
      </c>
      <c r="X13" s="73" t="s">
        <v>251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J10" sqref="J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40036_1-1</v>
      </c>
      <c r="B2" s="16" t="str">
        <f>IF(COUNTIF(enemy_habitats!$H:$H,A2),"OK","NG")</f>
        <v>OK</v>
      </c>
      <c r="C2" s="7">
        <v>40036</v>
      </c>
      <c r="D2" s="11" t="str">
        <f ca="1">VLOOKUP($C2,OFFSET([2]quests!$A$1,0,0,COUNTA([2]quests!$A:$A),MATCH(D$1,[2]quests!$1:$1,0)-MATCH($C$1,[2]quests!$1:$1,0)+1),MATCH(D$1,[2]quests!$1:$1,0)-MATCH($C$1,[2]quests!$1:$1,0)+1,FALSE)</f>
        <v>ウラヌス襲来！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降臨36</v>
      </c>
      <c r="F2" s="21">
        <v>1</v>
      </c>
      <c r="G2" s="23" t="str">
        <f t="shared" ref="G2:G9" si="1">C2&amp;"_"&amp;F2</f>
        <v>40036_1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【超絶級】ウラヌス襲来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40036_1-2</v>
      </c>
      <c r="B3" s="16" t="str">
        <f>IF(COUNTIF(enemy_habitats!$H:$H,A3),"OK","NG")</f>
        <v>OK</v>
      </c>
      <c r="C3" s="7">
        <v>40036</v>
      </c>
      <c r="D3" s="11" t="str">
        <f ca="1">VLOOKUP($C3,OFFSET([2]quests!$A$1,0,0,COUNTA([2]quests!$A:$A),MATCH(D$1,[2]quests!$1:$1,0)-MATCH($C$1,[2]quests!$1:$1,0)+1),MATCH(D$1,[2]quests!$1:$1,0)-MATCH($C$1,[2]quests!$1:$1,0)+1,FALSE)</f>
        <v>ウラヌス襲来！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降臨36</v>
      </c>
      <c r="F3" s="21">
        <v>1</v>
      </c>
      <c r="G3" s="23" t="str">
        <f t="shared" si="1"/>
        <v>40036_1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【超絶級】ウラヌス襲来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40036_1-3</v>
      </c>
      <c r="B4" s="16" t="str">
        <f>IF(COUNTIF(enemy_habitats!$H:$H,A4),"OK","NG")</f>
        <v>OK</v>
      </c>
      <c r="C4" s="7">
        <v>40036</v>
      </c>
      <c r="D4" s="11" t="str">
        <f ca="1">VLOOKUP($C4,OFFSET([2]quests!$A$1,0,0,COUNTA([2]quests!$A:$A),MATCH(D$1,[2]quests!$1:$1,0)-MATCH($C$1,[2]quests!$1:$1,0)+1),MATCH(D$1,[2]quests!$1:$1,0)-MATCH($C$1,[2]quests!$1:$1,0)+1,FALSE)</f>
        <v>ウラヌス襲来！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降臨36</v>
      </c>
      <c r="F4" s="21">
        <v>1</v>
      </c>
      <c r="G4" s="23" t="str">
        <f t="shared" si="1"/>
        <v>40036_1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【超絶級】ウラヌス襲来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40036_1-4</v>
      </c>
      <c r="B5" s="16" t="str">
        <f>IF(COUNTIF(enemy_habitats!$H:$H,A5),"OK","NG")</f>
        <v>OK</v>
      </c>
      <c r="C5" s="7">
        <v>40036</v>
      </c>
      <c r="D5" s="11" t="str">
        <f ca="1">VLOOKUP($C5,OFFSET([2]quests!$A$1,0,0,COUNTA([2]quests!$A:$A),MATCH(D$1,[2]quests!$1:$1,0)-MATCH($C$1,[2]quests!$1:$1,0)+1),MATCH(D$1,[2]quests!$1:$1,0)-MATCH($C$1,[2]quests!$1:$1,0)+1,FALSE)</f>
        <v>ウラヌス襲来！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降臨36</v>
      </c>
      <c r="F5" s="21">
        <v>1</v>
      </c>
      <c r="G5" s="23" t="str">
        <f t="shared" si="1"/>
        <v>40036_1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【超絶級】ウラヌス襲来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40036_2-1</v>
      </c>
      <c r="B6" s="16" t="str">
        <f>IF(COUNTIF(enemy_habitats!$H:$H,A6),"OK","NG")</f>
        <v>OK</v>
      </c>
      <c r="C6" s="7">
        <v>40036</v>
      </c>
      <c r="D6" s="11" t="str">
        <f ca="1">VLOOKUP($C6,OFFSET([2]quests!$A$1,0,0,COUNTA([2]quests!$A:$A),MATCH(D$1,[2]quests!$1:$1,0)-MATCH($C$1,[2]quests!$1:$1,0)+1),MATCH(D$1,[2]quests!$1:$1,0)-MATCH($C$1,[2]quests!$1:$1,0)+1,FALSE)</f>
        <v>ウラヌス襲来！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降臨36</v>
      </c>
      <c r="F6" s="21">
        <v>2</v>
      </c>
      <c r="G6" s="23" t="str">
        <f t="shared" si="1"/>
        <v>40036_2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【ウィザード級】ウラヌス襲来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40036_2-2</v>
      </c>
      <c r="B7" s="16" t="str">
        <f>IF(COUNTIF(enemy_habitats!$H:$H,A7),"OK","NG")</f>
        <v>OK</v>
      </c>
      <c r="C7" s="7">
        <v>40036</v>
      </c>
      <c r="D7" s="11" t="str">
        <f ca="1">VLOOKUP($C7,OFFSET([2]quests!$A$1,0,0,COUNTA([2]quests!$A:$A),MATCH(D$1,[2]quests!$1:$1,0)-MATCH($C$1,[2]quests!$1:$1,0)+1),MATCH(D$1,[2]quests!$1:$1,0)-MATCH($C$1,[2]quests!$1:$1,0)+1,FALSE)</f>
        <v>ウラヌス襲来！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降臨36</v>
      </c>
      <c r="F7" s="21">
        <v>2</v>
      </c>
      <c r="G7" s="23" t="str">
        <f t="shared" si="1"/>
        <v>40036_2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【ウィザード級】ウラヌス襲来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40036_2-3</v>
      </c>
      <c r="B8" s="16" t="str">
        <f>IF(COUNTIF(enemy_habitats!$H:$H,A8),"OK","NG")</f>
        <v>OK</v>
      </c>
      <c r="C8" s="7">
        <v>40036</v>
      </c>
      <c r="D8" s="11" t="str">
        <f ca="1">VLOOKUP($C8,OFFSET([2]quests!$A$1,0,0,COUNTA([2]quests!$A:$A),MATCH(D$1,[2]quests!$1:$1,0)-MATCH($C$1,[2]quests!$1:$1,0)+1),MATCH(D$1,[2]quests!$1:$1,0)-MATCH($C$1,[2]quests!$1:$1,0)+1,FALSE)</f>
        <v>ウラヌス襲来！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降臨36</v>
      </c>
      <c r="F8" s="21">
        <v>2</v>
      </c>
      <c r="G8" s="23" t="str">
        <f t="shared" si="1"/>
        <v>40036_2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【ウィザード級】ウラヌス襲来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40036_2-4</v>
      </c>
      <c r="B9" s="16" t="str">
        <f>IF(COUNTIF(enemy_habitats!$H:$H,A9),"OK","NG")</f>
        <v>OK</v>
      </c>
      <c r="C9" s="7">
        <v>40036</v>
      </c>
      <c r="D9" s="11" t="str">
        <f ca="1">VLOOKUP($C9,OFFSET([2]quests!$A$1,0,0,COUNTA([2]quests!$A:$A),MATCH(D$1,[2]quests!$1:$1,0)-MATCH($C$1,[2]quests!$1:$1,0)+1),MATCH(D$1,[2]quests!$1:$1,0)-MATCH($C$1,[2]quests!$1:$1,0)+1,FALSE)</f>
        <v>ウラヌス襲来！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降臨36</v>
      </c>
      <c r="F9" s="21">
        <v>2</v>
      </c>
      <c r="G9" s="23" t="str">
        <f t="shared" si="1"/>
        <v>40036_2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【ウィザード級】ウラヌス襲来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7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Y4" sqref="Y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253</v>
      </c>
      <c r="U1" s="26" t="s">
        <v>50</v>
      </c>
      <c r="V1" s="102" t="s">
        <v>254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7" si="0">B2&amp;"_"&amp;C2&amp;"-"&amp;G2&amp;"/"&amp;L2&amp;"&lt;lv"&amp;R2&amp;"&gt;s"&amp;AC2</f>
        <v>40036_1-1/477&lt;lv30&gt;s1</v>
      </c>
      <c r="B2" s="22">
        <v>40036</v>
      </c>
      <c r="C2" s="21">
        <v>1</v>
      </c>
      <c r="D2" s="2" t="str">
        <f t="shared" ref="D2:D17" si="1">B2&amp;"_"&amp;C2</f>
        <v>40036_1</v>
      </c>
      <c r="E2" s="4" t="str">
        <f ca="1">VLOOKUP($B2,OFFSET([2]quests!$A$1,0,0,COUNTA([2]quests!$A:$A),MATCH(E$1,[2]quests!$1:$1,0)-MATCH($B$1,[2]quests!$1:$1,0)+1),MATCH(E$1,[2]quests!$1:$1,0)-MATCH($B$1,[2]quests!$1:$1,0)+1,FALSE)</f>
        <v>ウラヌス襲来！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【超絶級】ウラヌス襲来</v>
      </c>
      <c r="G2" s="21">
        <v>1</v>
      </c>
      <c r="H2" s="15" t="str">
        <f t="shared" ref="H2:H17" si="2">B2&amp;"_"&amp;C2&amp;"-"&amp;G2</f>
        <v>40036_1-1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477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愛羽妖精 ファータ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30</v>
      </c>
      <c r="S2" s="25">
        <v>1.3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43439.5</v>
      </c>
      <c r="U2" s="25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2442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40036100</v>
      </c>
      <c r="Z2" s="6">
        <v>1</v>
      </c>
      <c r="AA2" s="6">
        <v>100</v>
      </c>
      <c r="AB2" s="6">
        <v>1</v>
      </c>
      <c r="AC2" s="17">
        <v>1</v>
      </c>
      <c r="AD2" s="24">
        <f t="shared" ref="AD2:AD17" si="3">L2</f>
        <v>477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愛羽妖精 ファータ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t="shared" ref="AI2:AI17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40036_1-1/370&lt;lv30&gt;s1</v>
      </c>
      <c r="B3" s="22">
        <v>40036</v>
      </c>
      <c r="C3" s="21">
        <v>1</v>
      </c>
      <c r="D3" s="2" t="str">
        <f t="shared" si="1"/>
        <v>40036_1</v>
      </c>
      <c r="E3" s="4" t="str">
        <f ca="1">VLOOKUP($B3,OFFSET([2]quests!$A$1,0,0,COUNTA([2]quests!$A:$A),MATCH(E$1,[2]quests!$1:$1,0)-MATCH($B$1,[2]quests!$1:$1,0)+1),MATCH(E$1,[2]quests!$1:$1,0)-MATCH($B$1,[2]quests!$1:$1,0)+1,FALSE)</f>
        <v>ウラヌス襲来！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【超絶級】ウラヌス襲来</v>
      </c>
      <c r="G3" s="21">
        <v>1</v>
      </c>
      <c r="H3" s="15" t="str">
        <f t="shared" si="2"/>
        <v>40036_1-1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370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タイチ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5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31500</v>
      </c>
      <c r="U3" s="25">
        <v>0.8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2051.2000000000003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単体攻撃+自身の攻撃力UP_x000D_※だんだん攻撃力が上がっていく※</v>
      </c>
      <c r="Y3" s="61">
        <v>40036101</v>
      </c>
      <c r="Z3" s="6">
        <v>2</v>
      </c>
      <c r="AA3" s="6">
        <v>100</v>
      </c>
      <c r="AB3" s="6">
        <v>0</v>
      </c>
      <c r="AC3" s="17">
        <v>1</v>
      </c>
      <c r="AD3" s="24">
        <f t="shared" si="3"/>
        <v>370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ca="1" si="0"/>
        <v>40036_1-2/77&lt;lv30&gt;s1</v>
      </c>
      <c r="B4" s="22">
        <v>40036</v>
      </c>
      <c r="C4" s="21">
        <v>1</v>
      </c>
      <c r="D4" s="2" t="str">
        <f t="shared" si="1"/>
        <v>40036_1</v>
      </c>
      <c r="E4" s="4" t="str">
        <f ca="1">VLOOKUP($B4,OFFSET([2]quests!$A$1,0,0,COUNTA([2]quests!$A:$A),MATCH(E$1,[2]quests!$1:$1,0)-MATCH($B$1,[2]quests!$1:$1,0)+1),MATCH(E$1,[2]quests!$1:$1,0)-MATCH($B$1,[2]quests!$1:$1,0)+1,FALSE)</f>
        <v>ウラヌス襲来！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【超絶級】ウラヌス襲来</v>
      </c>
      <c r="G4" s="21">
        <v>2</v>
      </c>
      <c r="H4" s="15" t="str">
        <f t="shared" si="2"/>
        <v>40036_1-2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77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潜伏型メリッサ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30</v>
      </c>
      <c r="S4" s="25">
        <v>2.5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116945</v>
      </c>
      <c r="U4" s="25">
        <v>3.5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7287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40036002</v>
      </c>
      <c r="Z4" s="6">
        <v>1</v>
      </c>
      <c r="AA4" s="6">
        <v>100</v>
      </c>
      <c r="AB4" s="6">
        <v>0</v>
      </c>
      <c r="AC4" s="17">
        <f ca="1">VLOOKUP($L4,OFFSET([3]enemies!$A$1,0,0,COUNTA([3]enemies!$A:$A),MATCH(AC$1,[3]enemies!$1:$1,0)-MATCH($L$1,[3]enemies!$1:$1,0)+1),MATCH(AC$1,[3]enemies!$1:$1,0)-MATCH($L$1,[3]enemies!$1:$1,0)+1,FALSE)</f>
        <v>1</v>
      </c>
      <c r="AD4" s="24">
        <f t="shared" si="3"/>
        <v>77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潜伏型メリッサ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40036_1-2/83&lt;lv30&gt;s1</v>
      </c>
      <c r="B5" s="22">
        <v>40036</v>
      </c>
      <c r="C5" s="21">
        <v>1</v>
      </c>
      <c r="D5" s="2" t="str">
        <f t="shared" si="1"/>
        <v>40036_1</v>
      </c>
      <c r="E5" s="4" t="str">
        <f ca="1">VLOOKUP($B5,OFFSET([2]quests!$A$1,0,0,COUNTA([2]quests!$A:$A),MATCH(E$1,[2]quests!$1:$1,0)-MATCH($B$1,[2]quests!$1:$1,0)+1),MATCH(E$1,[2]quests!$1:$1,0)-MATCH($B$1,[2]quests!$1:$1,0)+1,FALSE)</f>
        <v>ウラヌス襲来！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【超絶級】ウラヌス襲来</v>
      </c>
      <c r="G5" s="21">
        <v>2</v>
      </c>
      <c r="H5" s="15" t="str">
        <f t="shared" si="2"/>
        <v>40036_1-2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83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拡散性ニムダ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30</v>
      </c>
      <c r="S5" s="25">
        <v>2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54332</v>
      </c>
      <c r="U5" s="25">
        <v>1.2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2787.6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5ターン全ユニットの攻撃力50%DOWN</v>
      </c>
      <c r="Y5" s="61">
        <v>40036003</v>
      </c>
      <c r="Z5" s="6">
        <v>1</v>
      </c>
      <c r="AA5" s="6">
        <v>100</v>
      </c>
      <c r="AB5" s="6">
        <v>1</v>
      </c>
      <c r="AC5" s="17">
        <v>1</v>
      </c>
      <c r="AD5" s="24">
        <f t="shared" si="3"/>
        <v>83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40036_1-2/81&lt;lv30&gt;s1</v>
      </c>
      <c r="B6" s="22">
        <v>40036</v>
      </c>
      <c r="C6" s="21">
        <v>1</v>
      </c>
      <c r="D6" s="2" t="str">
        <f t="shared" si="1"/>
        <v>40036_1</v>
      </c>
      <c r="E6" s="4" t="str">
        <f ca="1">VLOOKUP($B6,OFFSET([2]quests!$A$1,0,0,COUNTA([2]quests!$A:$A),MATCH(E$1,[2]quests!$1:$1,0)-MATCH($B$1,[2]quests!$1:$1,0)+1),MATCH(E$1,[2]quests!$1:$1,0)-MATCH($B$1,[2]quests!$1:$1,0)+1,FALSE)</f>
        <v>ウラヌス襲来！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【超絶級】ウラヌス襲来</v>
      </c>
      <c r="G6" s="21">
        <v>2</v>
      </c>
      <c r="H6" s="15" t="str">
        <f t="shared" si="2"/>
        <v>40036_1-2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81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増幅型モリス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30</v>
      </c>
      <c r="S6" s="25">
        <v>1.5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77962.5</v>
      </c>
      <c r="U6" s="25">
        <v>1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2223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40036004</v>
      </c>
      <c r="Z6" s="6">
        <v>1</v>
      </c>
      <c r="AA6" s="6">
        <v>100</v>
      </c>
      <c r="AB6" s="6">
        <v>2</v>
      </c>
      <c r="AC6" s="17">
        <v>1</v>
      </c>
      <c r="AD6" s="24">
        <f t="shared" si="3"/>
        <v>81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増幅型モリス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6" s="7">
        <v>1</v>
      </c>
      <c r="AI6" s="24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40036_1-3/589&lt;lv30&gt;s1</v>
      </c>
      <c r="B7" s="22">
        <v>40036</v>
      </c>
      <c r="C7" s="21">
        <v>1</v>
      </c>
      <c r="D7" s="2" t="str">
        <f t="shared" si="1"/>
        <v>40036_1</v>
      </c>
      <c r="E7" s="4" t="str">
        <f ca="1">VLOOKUP($B7,OFFSET([2]quests!$A$1,0,0,COUNTA([2]quests!$A:$A),MATCH(E$1,[2]quests!$1:$1,0)-MATCH($B$1,[2]quests!$1:$1,0)+1),MATCH(E$1,[2]quests!$1:$1,0)-MATCH($B$1,[2]quests!$1:$1,0)+1,FALSE)</f>
        <v>ウラヌス襲来！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【超絶級】ウラヌス襲来</v>
      </c>
      <c r="G7" s="21">
        <v>3</v>
      </c>
      <c r="H7" s="15" t="str">
        <f t="shared" si="2"/>
        <v>40036_1-3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589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不幸の円環 ニーベルゲン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30</v>
      </c>
      <c r="S7" s="25">
        <v>2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83538</v>
      </c>
      <c r="U7" s="25">
        <v>0.8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2504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Cパネル縮小(効果激烈)</v>
      </c>
      <c r="Y7" s="61">
        <v>40036105</v>
      </c>
      <c r="Z7" s="6">
        <v>1</v>
      </c>
      <c r="AA7" s="6">
        <v>100</v>
      </c>
      <c r="AB7" s="6">
        <v>0</v>
      </c>
      <c r="AC7" s="17">
        <v>1</v>
      </c>
      <c r="AD7" s="24">
        <f t="shared" si="3"/>
        <v>589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不幸の円環 ニーベルゲン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40036_1-3/939&lt;lv30&gt;s1</v>
      </c>
      <c r="B8" s="22">
        <v>40036</v>
      </c>
      <c r="C8" s="21">
        <v>1</v>
      </c>
      <c r="D8" s="2" t="str">
        <f t="shared" si="1"/>
        <v>40036_1</v>
      </c>
      <c r="E8" s="4" t="str">
        <f ca="1">VLOOKUP($B8,OFFSET([2]quests!$A$1,0,0,COUNTA([2]quests!$A:$A),MATCH(E$1,[2]quests!$1:$1,0)-MATCH($B$1,[2]quests!$1:$1,0)+1),MATCH(E$1,[2]quests!$1:$1,0)-MATCH($B$1,[2]quests!$1:$1,0)+1,FALSE)</f>
        <v>ウラヌス襲来！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【超絶級】ウラヌス襲来</v>
      </c>
      <c r="G8" s="21">
        <v>3</v>
      </c>
      <c r="H8" s="15" t="str">
        <f t="shared" si="2"/>
        <v>40036_1-3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939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バスティーユ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30</v>
      </c>
      <c r="S8" s="25">
        <v>2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121130</v>
      </c>
      <c r="U8" s="25">
        <v>0.8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2128.8000000000002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">
        <v>40036006</v>
      </c>
      <c r="Z8" s="6">
        <v>1</v>
      </c>
      <c r="AA8" s="6">
        <v>100</v>
      </c>
      <c r="AB8" s="6">
        <v>1</v>
      </c>
      <c r="AC8" s="17">
        <v>1</v>
      </c>
      <c r="AD8" s="24">
        <f t="shared" si="3"/>
        <v>939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バスティーユ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40036_1-4/1202&lt;lv30&gt;s2</v>
      </c>
      <c r="B9" s="22">
        <v>40036</v>
      </c>
      <c r="C9" s="21">
        <v>1</v>
      </c>
      <c r="D9" s="2" t="str">
        <f t="shared" si="1"/>
        <v>40036_1</v>
      </c>
      <c r="E9" s="4" t="str">
        <f ca="1">VLOOKUP($B9,OFFSET([2]quests!$A$1,0,0,COUNTA([2]quests!$A:$A),MATCH(E$1,[2]quests!$1:$1,0)-MATCH($B$1,[2]quests!$1:$1,0)+1),MATCH(E$1,[2]quests!$1:$1,0)-MATCH($B$1,[2]quests!$1:$1,0)+1,FALSE)</f>
        <v>ウラヌス襲来！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【超絶級】ウラヌス襲来</v>
      </c>
      <c r="G9" s="21">
        <v>4</v>
      </c>
      <c r="H9" s="15" t="str">
        <f t="shared" si="2"/>
        <v>40036_1-4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1202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ウラヌス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30</v>
      </c>
      <c r="S9" s="25">
        <v>7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323869</v>
      </c>
      <c r="U9" s="25">
        <v>2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6442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全ての効果を解除</v>
      </c>
      <c r="Y9" s="61">
        <v>40036107</v>
      </c>
      <c r="Z9" s="6">
        <v>1</v>
      </c>
      <c r="AA9" s="6">
        <v>100</v>
      </c>
      <c r="AB9" s="6">
        <v>1</v>
      </c>
      <c r="AC9" s="17">
        <v>2</v>
      </c>
      <c r="AD9" s="24">
        <f t="shared" si="3"/>
        <v>1202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ウラヌス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5</v>
      </c>
      <c r="AJ9" s="8">
        <v>15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40036_2-1/477&lt;lv60&gt;s1</v>
      </c>
      <c r="B10" s="22">
        <v>40036</v>
      </c>
      <c r="C10" s="21">
        <v>2</v>
      </c>
      <c r="D10" s="2" t="str">
        <f t="shared" si="1"/>
        <v>40036_2</v>
      </c>
      <c r="E10" s="4" t="str">
        <f ca="1">VLOOKUP($B10,OFFSET([2]quests!$A$1,0,0,COUNTA([2]quests!$A:$A),MATCH(E$1,[2]quests!$1:$1,0)-MATCH($B$1,[2]quests!$1:$1,0)+1),MATCH(E$1,[2]quests!$1:$1,0)-MATCH($B$1,[2]quests!$1:$1,0)+1,FALSE)</f>
        <v>ウラヌス襲来！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【ウィザード級】ウラヌス襲来</v>
      </c>
      <c r="G10" s="21">
        <v>1</v>
      </c>
      <c r="H10" s="15" t="str">
        <f t="shared" si="2"/>
        <v>40036_2-1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477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愛羽妖精 ファータ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25">
        <v>1.3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84810.7</v>
      </c>
      <c r="U10" s="25">
        <v>1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4767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">
        <v>40036000</v>
      </c>
      <c r="Z10" s="6">
        <v>1</v>
      </c>
      <c r="AA10" s="6">
        <v>100</v>
      </c>
      <c r="AB10" s="6">
        <v>1</v>
      </c>
      <c r="AC10" s="17">
        <v>1</v>
      </c>
      <c r="AD10" s="24">
        <f t="shared" si="3"/>
        <v>477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愛羽妖精 ファータ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4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40036_2-1/370&lt;lv60&gt;s1</v>
      </c>
      <c r="B11" s="22">
        <v>40036</v>
      </c>
      <c r="C11" s="21">
        <v>2</v>
      </c>
      <c r="D11" s="2" t="str">
        <f t="shared" si="1"/>
        <v>40036_2</v>
      </c>
      <c r="E11" s="4" t="str">
        <f ca="1">VLOOKUP($B11,OFFSET([2]quests!$A$1,0,0,COUNTA([2]quests!$A:$A),MATCH(E$1,[2]quests!$1:$1,0)-MATCH($B$1,[2]quests!$1:$1,0)+1),MATCH(E$1,[2]quests!$1:$1,0)-MATCH($B$1,[2]quests!$1:$1,0)+1,FALSE)</f>
        <v>ウラヌス襲来！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【ウィザード級】ウラヌス襲来</v>
      </c>
      <c r="G11" s="21">
        <v>1</v>
      </c>
      <c r="H11" s="15" t="str">
        <f t="shared" si="2"/>
        <v>40036_2-1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370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タイチ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60</v>
      </c>
      <c r="S11" s="25">
        <v>5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61500</v>
      </c>
      <c r="U11" s="25">
        <v>0.8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4004.8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単体攻撃+自身の攻撃力UP_x000D_※だんだん攻撃力が上がっていく※</v>
      </c>
      <c r="Y11" s="61">
        <v>40036001</v>
      </c>
      <c r="Z11" s="6">
        <v>2</v>
      </c>
      <c r="AA11" s="6">
        <v>100</v>
      </c>
      <c r="AB11" s="6">
        <v>0</v>
      </c>
      <c r="AC11" s="17">
        <v>1</v>
      </c>
      <c r="AD11" s="24">
        <f t="shared" si="3"/>
        <v>370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7">
        <v>1</v>
      </c>
      <c r="AI11" s="24">
        <f t="shared" ca="1" si="4"/>
        <v>2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ca="1" si="0"/>
        <v>40036_2-2/77&lt;lv60&gt;s1</v>
      </c>
      <c r="B12" s="22">
        <v>40036</v>
      </c>
      <c r="C12" s="21">
        <v>2</v>
      </c>
      <c r="D12" s="2" t="str">
        <f t="shared" si="1"/>
        <v>40036_2</v>
      </c>
      <c r="E12" s="4" t="str">
        <f ca="1">VLOOKUP($B12,OFFSET([2]quests!$A$1,0,0,COUNTA([2]quests!$A:$A),MATCH(E$1,[2]quests!$1:$1,0)-MATCH($B$1,[2]quests!$1:$1,0)+1),MATCH(E$1,[2]quests!$1:$1,0)-MATCH($B$1,[2]quests!$1:$1,0)+1,FALSE)</f>
        <v>ウラヌス襲来！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【ウィザード級】ウラヌス襲来</v>
      </c>
      <c r="G12" s="21">
        <v>2</v>
      </c>
      <c r="H12" s="15" t="str">
        <f t="shared" si="2"/>
        <v>40036_2-2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77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潜伏型メリッサ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DropWizW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60</v>
      </c>
      <c r="S12" s="25">
        <v>3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273984</v>
      </c>
      <c r="U12" s="25">
        <v>3.5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14227.5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4">
        <v>40036002</v>
      </c>
      <c r="Z12" s="6">
        <v>1</v>
      </c>
      <c r="AA12" s="6">
        <v>100</v>
      </c>
      <c r="AB12" s="6">
        <v>0</v>
      </c>
      <c r="AC12" s="17">
        <f ca="1">VLOOKUP($L12,OFFSET([3]enemies!$A$1,0,0,COUNTA([3]enemies!$A:$A),MATCH(AC$1,[3]enemies!$1:$1,0)-MATCH($L$1,[3]enemies!$1:$1,0)+1),MATCH(AC$1,[3]enemies!$1:$1,0)-MATCH($L$1,[3]enemies!$1:$1,0)+1,FALSE)</f>
        <v>1</v>
      </c>
      <c r="AD12" s="24">
        <f t="shared" si="3"/>
        <v>77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潜伏型メリッサ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2" s="7">
        <v>1</v>
      </c>
      <c r="AI12" s="24">
        <f t="shared" ca="1" si="4"/>
        <v>3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0"/>
        <v>40036_2-2/83&lt;lv60&gt;s1</v>
      </c>
      <c r="B13" s="22">
        <v>40036</v>
      </c>
      <c r="C13" s="21">
        <v>2</v>
      </c>
      <c r="D13" s="2" t="str">
        <f t="shared" si="1"/>
        <v>40036_2</v>
      </c>
      <c r="E13" s="4" t="str">
        <f ca="1">VLOOKUP($B13,OFFSET([2]quests!$A$1,0,0,COUNTA([2]quests!$A:$A),MATCH(E$1,[2]quests!$1:$1,0)-MATCH($B$1,[2]quests!$1:$1,0)+1),MATCH(E$1,[2]quests!$1:$1,0)-MATCH($B$1,[2]quests!$1:$1,0)+1,FALSE)</f>
        <v>ウラヌス襲来！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【ウィザード級】ウラヌス襲来</v>
      </c>
      <c r="G13" s="21">
        <v>2</v>
      </c>
      <c r="H13" s="15" t="str">
        <f t="shared" si="2"/>
        <v>40036_2-2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83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拡散性ニムダ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60</v>
      </c>
      <c r="S13" s="25">
        <v>2.5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132595</v>
      </c>
      <c r="U13" s="25">
        <v>1.2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5442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5ターン全ユニットの攻撃力50%DOWN</v>
      </c>
      <c r="Y13" s="61">
        <v>40036003</v>
      </c>
      <c r="Z13" s="6">
        <v>1</v>
      </c>
      <c r="AA13" s="6">
        <v>100</v>
      </c>
      <c r="AB13" s="6">
        <v>1</v>
      </c>
      <c r="AC13" s="17">
        <v>1</v>
      </c>
      <c r="AD13" s="24">
        <f t="shared" si="3"/>
        <v>83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3" s="7">
        <v>1</v>
      </c>
      <c r="AI13" s="24">
        <f t="shared" ca="1" si="4"/>
        <v>3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si="0"/>
        <v>40036_2-2/81&lt;lv60&gt;s1</v>
      </c>
      <c r="B14" s="22">
        <v>40036</v>
      </c>
      <c r="C14" s="21">
        <v>2</v>
      </c>
      <c r="D14" s="2" t="str">
        <f t="shared" si="1"/>
        <v>40036_2</v>
      </c>
      <c r="E14" s="4" t="str">
        <f ca="1">VLOOKUP($B14,OFFSET([2]quests!$A$1,0,0,COUNTA([2]quests!$A:$A),MATCH(E$1,[2]quests!$1:$1,0)-MATCH($B$1,[2]quests!$1:$1,0)+1),MATCH(E$1,[2]quests!$1:$1,0)-MATCH($B$1,[2]quests!$1:$1,0)+1,FALSE)</f>
        <v>ウラヌス襲来！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【ウィザード級】ウラヌス襲来</v>
      </c>
      <c r="G14" s="21">
        <v>2</v>
      </c>
      <c r="H14" s="15" t="str">
        <f t="shared" si="2"/>
        <v>40036_2-2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81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増幅型モリス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DropWizW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60</v>
      </c>
      <c r="S14" s="25">
        <v>2</v>
      </c>
      <c r="T14" s="10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202950</v>
      </c>
      <c r="U14" s="25">
        <v>1</v>
      </c>
      <c r="V14" s="103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4339</v>
      </c>
      <c r="W14" s="5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4">
        <v>40036004</v>
      </c>
      <c r="Z14" s="6">
        <v>1</v>
      </c>
      <c r="AA14" s="6">
        <v>100</v>
      </c>
      <c r="AB14" s="6">
        <v>2</v>
      </c>
      <c r="AC14" s="17">
        <v>1</v>
      </c>
      <c r="AD14" s="24">
        <f t="shared" si="3"/>
        <v>81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増幅型モリス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4" s="7">
        <v>1</v>
      </c>
      <c r="AI14" s="24">
        <f t="shared" ca="1" si="4"/>
        <v>3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0"/>
        <v>40036_2-3/589&lt;lv60&gt;s1</v>
      </c>
      <c r="B15" s="22">
        <v>40036</v>
      </c>
      <c r="C15" s="21">
        <v>2</v>
      </c>
      <c r="D15" s="2" t="str">
        <f t="shared" si="1"/>
        <v>40036_2</v>
      </c>
      <c r="E15" s="4" t="str">
        <f ca="1">VLOOKUP($B15,OFFSET([2]quests!$A$1,0,0,COUNTA([2]quests!$A:$A),MATCH(E$1,[2]quests!$1:$1,0)-MATCH($B$1,[2]quests!$1:$1,0)+1),MATCH(E$1,[2]quests!$1:$1,0)-MATCH($B$1,[2]quests!$1:$1,0)+1,FALSE)</f>
        <v>ウラヌス襲来！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【ウィザード級】ウラヌス襲来</v>
      </c>
      <c r="G15" s="21">
        <v>3</v>
      </c>
      <c r="H15" s="15" t="str">
        <f t="shared" si="2"/>
        <v>40036_2-3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589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不幸の円環 ニーベルゲン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5">
        <v>2.5</v>
      </c>
      <c r="T15" s="10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203872.5</v>
      </c>
      <c r="U15" s="25">
        <v>0.8</v>
      </c>
      <c r="V15" s="10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4888.8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Cパネル縮小(効果激烈)+_x000D_4ターン全ユニットの攻撃力50%DOWN</v>
      </c>
      <c r="Y15" s="61">
        <v>40036005</v>
      </c>
      <c r="Z15" s="6">
        <v>1</v>
      </c>
      <c r="AA15" s="6">
        <v>100</v>
      </c>
      <c r="AB15" s="6">
        <v>0</v>
      </c>
      <c r="AC15" s="17">
        <v>1</v>
      </c>
      <c r="AD15" s="24">
        <f t="shared" si="3"/>
        <v>589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不幸の円環 ニーベルゲン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4">
        <f t="shared" ca="1" si="4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0"/>
        <v>40036_2-3/939&lt;lv60&gt;s1</v>
      </c>
      <c r="B16" s="22">
        <v>40036</v>
      </c>
      <c r="C16" s="21">
        <v>2</v>
      </c>
      <c r="D16" s="2" t="str">
        <f t="shared" si="1"/>
        <v>40036_2</v>
      </c>
      <c r="E16" s="4" t="str">
        <f ca="1">VLOOKUP($B16,OFFSET([2]quests!$A$1,0,0,COUNTA([2]quests!$A:$A),MATCH(E$1,[2]quests!$1:$1,0)-MATCH($B$1,[2]quests!$1:$1,0)+1),MATCH(E$1,[2]quests!$1:$1,0)-MATCH($B$1,[2]quests!$1:$1,0)+1,FALSE)</f>
        <v>ウラヌス襲来！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【ウィザード級】ウラヌス襲来</v>
      </c>
      <c r="G16" s="21">
        <v>3</v>
      </c>
      <c r="H16" s="15" t="str">
        <f t="shared" si="2"/>
        <v>40036_2-3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939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バスティーユ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60</v>
      </c>
      <c r="S16" s="25">
        <v>2.5</v>
      </c>
      <c r="T16" s="103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295615</v>
      </c>
      <c r="U16" s="25">
        <v>0.8</v>
      </c>
      <c r="V16" s="103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4156</v>
      </c>
      <c r="W16" s="5">
        <v>0</v>
      </c>
      <c r="X16" s="4" t="e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6" s="4">
        <v>40036006</v>
      </c>
      <c r="Z16" s="6">
        <v>1</v>
      </c>
      <c r="AA16" s="6">
        <v>100</v>
      </c>
      <c r="AB16" s="6">
        <v>1</v>
      </c>
      <c r="AC16" s="17">
        <v>1</v>
      </c>
      <c r="AD16" s="24">
        <f t="shared" si="3"/>
        <v>939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バスティーユ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6" s="7">
        <v>1</v>
      </c>
      <c r="AI16" s="24">
        <f t="shared" ca="1" si="4"/>
        <v>4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si="0"/>
        <v>40036_2-4/1202&lt;lv60&gt;s2</v>
      </c>
      <c r="B17" s="22">
        <v>40036</v>
      </c>
      <c r="C17" s="21">
        <v>2</v>
      </c>
      <c r="D17" s="2" t="str">
        <f t="shared" si="1"/>
        <v>40036_2</v>
      </c>
      <c r="E17" s="4" t="str">
        <f ca="1">VLOOKUP($B17,OFFSET([2]quests!$A$1,0,0,COUNTA([2]quests!$A:$A),MATCH(E$1,[2]quests!$1:$1,0)-MATCH($B$1,[2]quests!$1:$1,0)+1),MATCH(E$1,[2]quests!$1:$1,0)-MATCH($B$1,[2]quests!$1:$1,0)+1,FALSE)</f>
        <v>ウラヌス襲来！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【ウィザード級】ウラヌス襲来</v>
      </c>
      <c r="G17" s="21">
        <v>4</v>
      </c>
      <c r="H17" s="15" t="str">
        <f t="shared" si="2"/>
        <v>40036_2-4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1</v>
      </c>
      <c r="L17" s="20">
        <v>1202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ウラヌス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god</v>
      </c>
      <c r="Q17" s="17">
        <f ca="1">VLOOKUP($L17,OFFSET([3]enemies!$A$1,0,0,COUNTA([3]enemies!$A:$A),MATCH(Q$1,[3]enemies!$1:$1,0)-MATCH($L$1,[3]enemies!$1:$1,0)+1),MATCH(Q$1,[3]enemies!$1:$1,0)-MATCH($L$1,[3]enemies!$1:$1,0)+1,FALSE)</f>
        <v>60</v>
      </c>
      <c r="R17" s="5">
        <v>60</v>
      </c>
      <c r="S17" s="25">
        <v>7</v>
      </c>
      <c r="T17" s="103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632317</v>
      </c>
      <c r="U17" s="25">
        <v>2</v>
      </c>
      <c r="V17" s="103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12576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全ての効果を解除</v>
      </c>
      <c r="Y17" s="61">
        <v>40036007</v>
      </c>
      <c r="Z17" s="6">
        <v>1</v>
      </c>
      <c r="AA17" s="6">
        <v>100</v>
      </c>
      <c r="AB17" s="6">
        <v>1</v>
      </c>
      <c r="AC17" s="17">
        <v>2</v>
      </c>
      <c r="AD17" s="24">
        <f t="shared" si="3"/>
        <v>1202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ウラヌス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7" s="7">
        <v>1</v>
      </c>
      <c r="AI17" s="24">
        <f t="shared" ca="1" si="4"/>
        <v>5</v>
      </c>
      <c r="AJ17" s="8">
        <v>30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Z4" sqref="Z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253</v>
      </c>
      <c r="V1" s="26" t="s">
        <v>50</v>
      </c>
      <c r="W1" s="102" t="s">
        <v>254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40036_1-4/1203&lt;lv40&gt;sq1st2</v>
      </c>
      <c r="B2" s="22">
        <v>40036</v>
      </c>
      <c r="C2" s="21">
        <v>1</v>
      </c>
      <c r="D2" s="2" t="str">
        <f>B2&amp;"_"&amp;C2</f>
        <v>40036_1</v>
      </c>
      <c r="E2" s="4" t="str">
        <f ca="1">VLOOKUP($B2,OFFSET([2]quests!$A$1,0,0,COUNTA([2]quests!$A:$A),MATCH(E$1,[2]quests!$1:$1,0)-MATCH($B$1,[2]quests!$1:$1,0)+1),MATCH(E$1,[2]quests!$1:$1,0)-MATCH($B$1,[2]quests!$1:$1,0)+1,FALSE)</f>
        <v>ウラヌス襲来！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【超絶級】ウラヌス襲来</v>
      </c>
      <c r="G2" s="21">
        <v>4</v>
      </c>
      <c r="H2" s="15" t="str">
        <f>B2&amp;"_"&amp;C2&amp;"-"&amp;G2</f>
        <v>40036_1-4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1203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掌星の原天神 ウラヌス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6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365730</v>
      </c>
      <c r="V2" s="25">
        <v>1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4243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40036108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40036_1-4/1203&lt;lv40&gt;sq1st3</v>
      </c>
      <c r="B3" s="22">
        <v>40036</v>
      </c>
      <c r="C3" s="21">
        <v>1</v>
      </c>
      <c r="D3" s="2" t="str">
        <f>B3&amp;"_"&amp;C3</f>
        <v>40036_1</v>
      </c>
      <c r="E3" s="4" t="str">
        <f ca="1">VLOOKUP($B3,OFFSET([2]quests!$A$1,0,0,COUNTA([2]quests!$A:$A),MATCH(E$1,[2]quests!$1:$1,0)-MATCH($B$1,[2]quests!$1:$1,0)+1),MATCH(E$1,[2]quests!$1:$1,0)-MATCH($B$1,[2]quests!$1:$1,0)+1,FALSE)</f>
        <v>ウラヌス襲来！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【超絶級】ウラヌス襲来</v>
      </c>
      <c r="G3" s="21">
        <v>4</v>
      </c>
      <c r="H3" s="15" t="str">
        <f>B3&amp;"_"&amp;C3&amp;"-"&amp;G3</f>
        <v>40036_1-4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1203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掌星の原天神 ウラヌス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5">
        <v>8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487640</v>
      </c>
      <c r="V3" s="25">
        <v>1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4243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40036109</v>
      </c>
      <c r="AA3" s="70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40036_2-4/1203&lt;lv60&gt;sq1st2</v>
      </c>
      <c r="B4" s="22">
        <v>40036</v>
      </c>
      <c r="C4" s="21">
        <v>2</v>
      </c>
      <c r="D4" s="2" t="str">
        <f>B4&amp;"_"&amp;C4</f>
        <v>40036_2</v>
      </c>
      <c r="E4" s="4" t="str">
        <f ca="1">VLOOKUP($B4,OFFSET([2]quests!$A$1,0,0,COUNTA([2]quests!$A:$A),MATCH(E$1,[2]quests!$1:$1,0)-MATCH($B$1,[2]quests!$1:$1,0)+1),MATCH(E$1,[2]quests!$1:$1,0)-MATCH($B$1,[2]quests!$1:$1,0)+1,FALSE)</f>
        <v>ウラヌス襲来！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【ウィザード級】ウラヌス襲来</v>
      </c>
      <c r="G4" s="21">
        <v>4</v>
      </c>
      <c r="H4" s="15" t="str">
        <f>B4&amp;"_"&amp;C4&amp;"-"&amp;G4</f>
        <v>40036_2-4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1203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掌星の原天神 ウラヌス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7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632317</v>
      </c>
      <c r="V4" s="25">
        <v>2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12576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40036008</v>
      </c>
      <c r="AA4" s="70">
        <v>2</v>
      </c>
    </row>
    <row r="5" spans="1:27" ht="21" customHeight="1" x14ac:dyDescent="0.15">
      <c r="A5" s="16" t="str">
        <f>B5&amp;"_"&amp;C5&amp;"-"&amp;G5&amp;"/"&amp;M5&amp;"&lt;lv"&amp;S5&amp;"&gt;sq"&amp;K5&amp;"st"&amp;L5</f>
        <v>40036_2-4/1203&lt;lv60&gt;sq1st3</v>
      </c>
      <c r="B5" s="22">
        <v>40036</v>
      </c>
      <c r="C5" s="21">
        <v>2</v>
      </c>
      <c r="D5" s="2" t="str">
        <f>B5&amp;"_"&amp;C5</f>
        <v>40036_2</v>
      </c>
      <c r="E5" s="4" t="str">
        <f ca="1">VLOOKUP($B5,OFFSET([2]quests!$A$1,0,0,COUNTA([2]quests!$A:$A),MATCH(E$1,[2]quests!$1:$1,0)-MATCH($B$1,[2]quests!$1:$1,0)+1),MATCH(E$1,[2]quests!$1:$1,0)-MATCH($B$1,[2]quests!$1:$1,0)+1,FALSE)</f>
        <v>ウラヌス襲来！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【ウィザード級】ウラヌス襲来</v>
      </c>
      <c r="G5" s="21">
        <v>4</v>
      </c>
      <c r="H5" s="15" t="str">
        <f>B5&amp;"_"&amp;C5&amp;"-"&amp;G5</f>
        <v>40036_2-4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3</v>
      </c>
      <c r="M5" s="20">
        <v>1203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掌星の原天神 ウラヌス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8.5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767813.5</v>
      </c>
      <c r="V5" s="25">
        <v>2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12576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40036009</v>
      </c>
      <c r="AA5" s="70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1"/>
  <sheetViews>
    <sheetView showGridLines="0" workbookViewId="0">
      <pane xSplit="5" ySplit="1" topLeftCell="F94" activePane="bottomRight" state="frozen"/>
      <selection pane="topRight"/>
      <selection pane="bottomLeft"/>
      <selection pane="bottomRight" activeCell="A81" sqref="A81:XFD8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40036000_40036000</v>
      </c>
      <c r="B2" s="105">
        <v>40036000</v>
      </c>
      <c r="C2" s="105">
        <v>40036000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聖域の境界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種族ゴッド以外に大ダメージの2回連続全体攻撃+_x000D_5ターン自身に対する全属性ダメージ70％軽減</v>
      </c>
      <c r="F2" s="105">
        <v>40036000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40036000_40036001</v>
      </c>
      <c r="B3" s="105">
        <v>40036000</v>
      </c>
      <c r="C3" s="105">
        <v>40036001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みんな頑張ろっ！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全体回復</v>
      </c>
      <c r="F3" s="105">
        <v>40036001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40036000_40036002</v>
      </c>
      <c r="B4" s="105">
        <v>40036000</v>
      </c>
      <c r="C4" s="105">
        <v>40036002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まだ大丈夫だよっ！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全体回復</v>
      </c>
      <c r="F4" s="105">
        <v>40036002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40036000_40036003</v>
      </c>
      <c r="B5" s="105">
        <v>40036000</v>
      </c>
      <c r="C5" s="105">
        <v>40036003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みんな諦めないでっ！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全体回復</v>
      </c>
      <c r="F5" s="105">
        <v>40036003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8" si="2">B6&amp;"_"&amp;C6</f>
        <v>40036000_40036004</v>
      </c>
      <c r="B6" s="105">
        <v>40036000</v>
      </c>
      <c r="C6" s="105">
        <v>40036004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もう少しっ！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全体回復</v>
      </c>
      <c r="F6" s="105">
        <v>40036004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3">B7&amp;"_"&amp;C7</f>
        <v>40036000_40036005</v>
      </c>
      <c r="B7" s="105">
        <v>40036000</v>
      </c>
      <c r="C7" s="105">
        <v>40036005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最後は全力でいくよ！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全体回復+_x000D_5ターン全ユニットの攻撃力50%DOWN</v>
      </c>
      <c r="F7" s="105">
        <v>40036005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40036000_40036006</v>
      </c>
      <c r="B8" s="105">
        <v>40036000</v>
      </c>
      <c r="C8" s="105">
        <v>40036006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私も頑張るよ！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8" s="105">
        <v>40036006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57" si="4">B9&amp;"_"&amp;C9</f>
        <v>40036001_40036100</v>
      </c>
      <c r="B9" s="108">
        <v>40036001</v>
      </c>
      <c r="C9" s="108">
        <v>40036100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単体攻撃+自身の攻撃力UP_x000D_※だんだん攻撃力が上がっていく※</v>
      </c>
      <c r="F9" s="108">
        <v>40036100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4"/>
        <v>40036001_40036101</v>
      </c>
      <c r="B10" s="108">
        <v>40036001</v>
      </c>
      <c r="C10" s="108">
        <v>40036101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単体攻撃+自身の攻撃力大UP_x000D_※だんだん攻撃力が上がっていく※</v>
      </c>
      <c r="F10" s="108">
        <v>40036101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4"/>
        <v>40036001_40036102</v>
      </c>
      <c r="B11" s="108">
        <v>40036001</v>
      </c>
      <c r="C11" s="108">
        <v>40036102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単体攻撃+自身の攻撃力大UP_x000D_※だんだん攻撃力が上がっていく※</v>
      </c>
      <c r="F11" s="108">
        <v>40036102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4"/>
        <v>40036001_40036103</v>
      </c>
      <c r="B12" s="108">
        <v>40036001</v>
      </c>
      <c r="C12" s="108">
        <v>40036103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12" s="108">
        <v>40036103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14" si="5">B13&amp;"_"&amp;C13</f>
        <v>40036001_40036104</v>
      </c>
      <c r="B13" s="108">
        <v>40036001</v>
      </c>
      <c r="C13" s="108">
        <v>40036104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13" s="108">
        <v>40036104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5"/>
        <v>40036001_40036105</v>
      </c>
      <c r="B14" s="108">
        <v>40036001</v>
      </c>
      <c r="C14" s="108">
        <v>40036105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14" s="108">
        <v>40036105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40036001_40036106</v>
      </c>
      <c r="B15" s="108">
        <v>40036001</v>
      </c>
      <c r="C15" s="108">
        <v>40036106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15" s="108">
        <v>40036106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4"/>
        <v>40036001_40036107</v>
      </c>
      <c r="B16" s="108">
        <v>40036001</v>
      </c>
      <c r="C16" s="108">
        <v>40036107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16" s="108">
        <v>40036107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6">B17&amp;"_"&amp;C17</f>
        <v>40036002_40036200</v>
      </c>
      <c r="B17" s="111">
        <v>40036002</v>
      </c>
      <c r="C17" s="111">
        <v>40036200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覚悟しなさい！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残りHPの60％ダメージ</v>
      </c>
      <c r="F17" s="111">
        <v>40036200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4"/>
        <v>40036002_40036201</v>
      </c>
      <c r="B18" s="111">
        <v>40036002</v>
      </c>
      <c r="C18" s="111">
        <v>40036201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発火の纏攻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" s="111">
        <v>40036201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:A20" si="7">B19&amp;"_"&amp;C19</f>
        <v>40036002_40036202</v>
      </c>
      <c r="B19" s="111">
        <v>40036002</v>
      </c>
      <c r="C19" s="111">
        <v>40036202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受け切れるかしら？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次のターンに強力な割合攻撃</v>
      </c>
      <c r="F19" s="111">
        <v>40036202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7"/>
        <v>40036003_40036300</v>
      </c>
      <c r="B20" s="114">
        <v>40036003</v>
      </c>
      <c r="C20" s="114">
        <v>40036300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私たちが守っちゃうよ！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5ターン全ユニットの攻撃力50%DOWN</v>
      </c>
      <c r="F20" s="114">
        <v>40036300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40036003_40036301</v>
      </c>
      <c r="B21" s="114">
        <v>40036003</v>
      </c>
      <c r="C21" s="114">
        <v>40036301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発電の囲攻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1" s="114">
        <v>40036301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8">B22&amp;"_"&amp;C22</f>
        <v>40036003_40036302</v>
      </c>
      <c r="B22" s="114">
        <v>40036003</v>
      </c>
      <c r="C22" s="114">
        <v>40036302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みんな突撃するよー！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なし</v>
      </c>
      <c r="F22" s="114">
        <v>40036302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ref="A23" si="9">B23&amp;"_"&amp;C23</f>
        <v>40036004_40036400</v>
      </c>
      <c r="B23" s="117">
        <v>40036004</v>
      </c>
      <c r="C23" s="117">
        <v>40036400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オペレーション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自身以外を回復</v>
      </c>
      <c r="F23" s="117">
        <v>40036400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4"/>
        <v>40036004_40036401</v>
      </c>
      <c r="B24" s="117">
        <v>40036004</v>
      </c>
      <c r="C24" s="117">
        <v>40036401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凍結の団攻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4" s="117">
        <v>40036401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40036005_40036500</v>
      </c>
      <c r="B25" s="105">
        <v>40036005</v>
      </c>
      <c r="C25" s="105">
        <v>40036500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朽ち果てなさい…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Cパネル縮小(効果激烈)+_x000D_4ターン全ユニットの攻撃力50%DOWN</v>
      </c>
      <c r="F25" s="105">
        <v>40036500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40036005_40036501</v>
      </c>
      <c r="B26" s="105">
        <v>40036005</v>
      </c>
      <c r="C26" s="105">
        <v>40036501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壊れなさい！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26" s="105">
        <v>40036501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4"/>
        <v>40036005_40036502</v>
      </c>
      <c r="B27" s="105">
        <v>40036005</v>
      </c>
      <c r="C27" s="105">
        <v>40036502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滅びなさい…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4ターン全ユニットの攻撃力50%DOWN</v>
      </c>
      <c r="F27" s="105">
        <v>40036502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4"/>
        <v>40036006_40036600</v>
      </c>
      <c r="B28" s="108">
        <v>40036006</v>
      </c>
      <c r="C28" s="108">
        <v>40036600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砲撃準備を開始します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7ターンCパネル生成延長(効果特大)+_x000D_体力タイプのユニットにスキルバインド_x000D_※6ターン後に超強力な攻撃※</v>
      </c>
      <c r="F28" s="108">
        <v>40036600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:A33" si="10">B29&amp;"_"&amp;C29</f>
        <v>40036006_40036601</v>
      </c>
      <c r="B29" s="108">
        <v>40036006</v>
      </c>
      <c r="C29" s="108">
        <v>40036601</v>
      </c>
      <c r="D29" s="46">
        <f ca="1">VLOOKUP($C29,OFFSET(enemy_skills!$A$1,0,0,COUNTA(enemy_skills!$A:$A),MATCH(D$1,enemy_skills!$1:$1,0)-MATCH("enemy_skill_id",enemy_skills!$1:$1,0)+1),MATCH(D$1,enemy_skills!$1:$1,0)-MATCH("enemy_skill_id",enemy_skills!$1:$1,0)+1,FALSE)</f>
        <v>5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単体攻撃_x000D_※5ターン後に超強力な攻撃※</v>
      </c>
      <c r="F29" s="108">
        <v>40036601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0"/>
        <v>40036006_40036602</v>
      </c>
      <c r="B30" s="108">
        <v>40036006</v>
      </c>
      <c r="C30" s="108">
        <v>40036602</v>
      </c>
      <c r="D30" s="46">
        <f ca="1">VLOOKUP($C30,OFFSET(enemy_skills!$A$1,0,0,COUNTA(enemy_skills!$A:$A),MATCH(D$1,enemy_skills!$1:$1,0)-MATCH("enemy_skill_id",enemy_skills!$1:$1,0)+1),MATCH(D$1,enemy_skills!$1:$1,0)-MATCH("enemy_skill_id",enemy_skills!$1:$1,0)+1,FALSE)</f>
        <v>4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単体攻撃_x000D_※4ターン後に超強力な攻撃※</v>
      </c>
      <c r="F30" s="108">
        <v>40036602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0"/>
        <v>40036006_40036603</v>
      </c>
      <c r="B31" s="108">
        <v>40036006</v>
      </c>
      <c r="C31" s="108">
        <v>40036603</v>
      </c>
      <c r="D31" s="46">
        <f ca="1">VLOOKUP($C31,OFFSET(enemy_skills!$A$1,0,0,COUNTA(enemy_skills!$A:$A),MATCH(D$1,enemy_skills!$1:$1,0)-MATCH("enemy_skill_id",enemy_skills!$1:$1,0)+1),MATCH(D$1,enemy_skills!$1:$1,0)-MATCH("enemy_skill_id",enemy_skills!$1:$1,0)+1,FALSE)</f>
        <v>3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単体攻撃_x000D_※3ターン後に超強力な攻撃※</v>
      </c>
      <c r="F31" s="108">
        <v>40036603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0"/>
        <v>40036006_40036604</v>
      </c>
      <c r="B32" s="108">
        <v>40036006</v>
      </c>
      <c r="C32" s="108">
        <v>40036604</v>
      </c>
      <c r="D32" s="46">
        <f ca="1">VLOOKUP($C32,OFFSET(enemy_skills!$A$1,0,0,COUNTA(enemy_skills!$A:$A),MATCH(D$1,enemy_skills!$1:$1,0)-MATCH("enemy_skill_id",enemy_skills!$1:$1,0)+1),MATCH(D$1,enemy_skills!$1:$1,0)-MATCH("enemy_skill_id",enemy_skills!$1:$1,0)+1,FALSE)</f>
        <v>2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単体攻撃_x000D_※2ターン後に超強力な攻撃※</v>
      </c>
      <c r="F32" s="108">
        <v>40036604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0"/>
        <v>40036006_40036605</v>
      </c>
      <c r="B33" s="108">
        <v>40036006</v>
      </c>
      <c r="C33" s="108">
        <v>40036605</v>
      </c>
      <c r="D33" s="46">
        <f ca="1">VLOOKUP($C33,OFFSET(enemy_skills!$A$1,0,0,COUNTA(enemy_skills!$A:$A),MATCH(D$1,enemy_skills!$1:$1,0)-MATCH("enemy_skill_id",enemy_skills!$1:$1,0)+1),MATCH(D$1,enemy_skills!$1:$1,0)-MATCH("enemy_skill_id",enemy_skills!$1:$1,0)+1,FALSE)</f>
        <v>1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単体攻撃_x000D_※1ターン後に超強力な攻撃※</v>
      </c>
      <c r="F33" s="108">
        <v>40036605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40036006_40036606</v>
      </c>
      <c r="B34" s="108">
        <v>40036006</v>
      </c>
      <c r="C34" s="108">
        <v>40036606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これでお終いです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100000固定ダメージ</v>
      </c>
      <c r="F34" s="108">
        <v>40036606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40036006_40036607</v>
      </c>
      <c r="B35" s="108">
        <v>40036006</v>
      </c>
      <c r="C35" s="108">
        <v>40036607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拘束します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4ターン全ユニットのタップ回数を2DOWN+_x000D_攻撃力50%DOWN</v>
      </c>
      <c r="F35" s="108">
        <v>40036607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589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4"/>
        <v>40036007_40036700</v>
      </c>
      <c r="B36" s="111">
        <v>40036007</v>
      </c>
      <c r="C36" s="111">
        <v>40036700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その力、貴公には身に余る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36" s="111">
        <v>40036700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4"/>
        <v>40036007_40036701</v>
      </c>
      <c r="B37" s="111">
        <v>40036007</v>
      </c>
      <c r="C37" s="111">
        <v>40036701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返してもらおう…(力を集めている)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2ターン攻撃力60%DOWN+全体攻撃</v>
      </c>
      <c r="F37" s="111">
        <v>40036701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4"/>
        <v>40036007_40036702</v>
      </c>
      <c r="B38" s="111">
        <v>40036007</v>
      </c>
      <c r="C38" s="111">
        <v>40036702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グラビティ・フィールド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残りHPの50％ダメージ</v>
      </c>
      <c r="F38" s="111">
        <v>40036702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40036007_40036703</v>
      </c>
      <c r="B39" s="111">
        <v>40036007</v>
      </c>
      <c r="C39" s="111">
        <v>40036703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私の前では皆無力だ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5ターンCパネル生成延長(効果特大)+_x000D_全体攻撃</v>
      </c>
      <c r="F39" s="111">
        <v>40036703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:A42" si="11">B40&amp;"_"&amp;C40</f>
        <v>40036007_40036704</v>
      </c>
      <c r="B40" s="111">
        <v>40036007</v>
      </c>
      <c r="C40" s="111">
        <v>40036704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暴れても無駄だ…(力を集めている)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2ターン攻撃力60%DOWN+全体攻撃</v>
      </c>
      <c r="F40" s="111">
        <v>40036705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1"/>
        <v>40036007_40036705</v>
      </c>
      <c r="B41" s="111">
        <v>40036007</v>
      </c>
      <c r="C41" s="111">
        <v>40036705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グラビティ・フィールド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残りHPの50％ダメージ</v>
      </c>
      <c r="F41" s="111">
        <v>40036704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1"/>
        <v>40036007_40036706</v>
      </c>
      <c r="B42" s="111">
        <v>40036007</v>
      </c>
      <c r="C42" s="111">
        <v>40036706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クロノス、私に逆らうか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42" s="111">
        <v>40036706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1212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:A45" si="12">B43&amp;"_"&amp;C43</f>
        <v>40036007_40036707</v>
      </c>
      <c r="B43" s="111">
        <v>40036007</v>
      </c>
      <c r="C43" s="111">
        <v>40036707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クロノス、私に逆らうか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43" s="111">
        <v>40036707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1213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2"/>
        <v>40036007_40036708</v>
      </c>
      <c r="B44" s="111">
        <v>40036007</v>
      </c>
      <c r="C44" s="111">
        <v>40036708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女王の手のものか、制裁してくれよう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44" s="111">
        <v>40036708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1200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2"/>
        <v>40036007_40036709</v>
      </c>
      <c r="B45" s="111">
        <v>40036007</v>
      </c>
      <c r="C45" s="111">
        <v>40036709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女王の手のものか、制裁してくれよう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45" s="111">
        <v>40036709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1201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:A47" si="13">B46&amp;"_"&amp;C46</f>
        <v>40036007_40036710</v>
      </c>
      <c r="B46" s="111">
        <v>40036007</v>
      </c>
      <c r="C46" s="111">
        <v>40036710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ゼウス、何故力を分け与えた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46" s="111">
        <v>40036710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3"/>
        <v>40036007_40036711</v>
      </c>
      <c r="B47" s="111">
        <v>40036007</v>
      </c>
      <c r="C47" s="111">
        <v>40036711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ゼウス、何故力を分け与えた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47" s="111">
        <v>40036711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4"/>
        <v>40036008_40036800</v>
      </c>
      <c r="B48" s="120">
        <v>40036008</v>
      </c>
      <c r="C48" s="120">
        <v>40036800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宇宙の大きさを知るがいい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確率で赤の時限式ダメージパネルがドロップ</v>
      </c>
      <c r="F48" s="120">
        <v>40036800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4"/>
        <v>40036008_40036801</v>
      </c>
      <c r="B49" s="120">
        <v>40036008</v>
      </c>
      <c r="C49" s="120">
        <v>40036801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この場では力は出せまい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5ターンCパネル生成延長(効果特大)+_x000D_全体攻撃</v>
      </c>
      <c r="F49" s="120">
        <v>40036801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4"/>
        <v>40036008_40036802</v>
      </c>
      <c r="B50" s="120">
        <v>40036008</v>
      </c>
      <c r="C50" s="120">
        <v>40036802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(…力が吸い込まれる)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赤パネルを吸収して単体攻撃</v>
      </c>
      <c r="F50" s="120">
        <v>40036803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40036008_40036803</v>
      </c>
      <c r="B51" s="120">
        <v>40036008</v>
      </c>
      <c r="C51" s="120">
        <v>40036803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ハイ・グラビティ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残りHPの60％ダメージ</v>
      </c>
      <c r="F51" s="120">
        <v>40036802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ref="A52:A53" si="14">B52&amp;"_"&amp;C52</f>
        <v>40036008_40036804</v>
      </c>
      <c r="B52" s="120">
        <v>40036008</v>
      </c>
      <c r="C52" s="120">
        <v>40036804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(…力が吸い込まれる)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赤パネルを吸収して単体攻撃</v>
      </c>
      <c r="F52" s="120">
        <v>40036804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4"/>
        <v>40036008_40036805</v>
      </c>
      <c r="B53" s="120">
        <v>40036008</v>
      </c>
      <c r="C53" s="120">
        <v>40036805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ハイ・グラビティ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残りHPの60％ダメージ</v>
      </c>
      <c r="F53" s="120">
        <v>40036805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4"/>
        <v>40036009_40036900</v>
      </c>
      <c r="B54" s="123">
        <v>40036009</v>
      </c>
      <c r="C54" s="123">
        <v>40036900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その力に相応しいか見極めてやろう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青パネルがドロップしない+_x000D_解除されるまでCパネル生成延長(効果超大)</v>
      </c>
      <c r="F54" s="123">
        <v>40036900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4"/>
        <v>40036009_40036901</v>
      </c>
      <c r="B55" s="123">
        <v>40036009</v>
      </c>
      <c r="C55" s="123">
        <v>40036901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ダークマター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4ターン攻撃力60%DOWN+全体攻撃</v>
      </c>
      <c r="F55" s="123">
        <v>40036901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4"/>
        <v>40036009_40036902</v>
      </c>
      <c r="B56" s="123">
        <v>40036009</v>
      </c>
      <c r="C56" s="123">
        <v>40036902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メテオライト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赤パネルを吸収して単体攻撃</v>
      </c>
      <c r="F56" s="123">
        <v>40036902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4"/>
        <v>40036009_40036903</v>
      </c>
      <c r="B57" s="123">
        <v>40036009</v>
      </c>
      <c r="C57" s="123">
        <v>40036903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スーパーノヴァ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残りHPの80％ダメージ</v>
      </c>
      <c r="F57" s="123">
        <v>40036903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:A59" si="15">B58&amp;"_"&amp;C58</f>
        <v>40036009_40036904</v>
      </c>
      <c r="B58" s="123">
        <v>40036009</v>
      </c>
      <c r="C58" s="123">
        <v>40036904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宇宙を統べる力を見せよう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4ターン攻撃力80%DOWN+全体攻撃_x000D_※次のターンに強力な割合攻撃※</v>
      </c>
      <c r="F58" s="123">
        <v>40036904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5"/>
        <v>40036009_40036905</v>
      </c>
      <c r="B59" s="123">
        <v>40036009</v>
      </c>
      <c r="C59" s="123">
        <v>40036905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ふむ、なるほど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ゼウスが認めたのも間違いでは無いか</v>
      </c>
      <c r="F59" s="123">
        <v>40036905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" si="16">B60&amp;"_"&amp;C60</f>
        <v>40036009_40036906</v>
      </c>
      <c r="B60" s="123">
        <v>40036009</v>
      </c>
      <c r="C60" s="123">
        <v>40036906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認めよう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お前の判断は正しかったようだ、クロノス</v>
      </c>
      <c r="F60" s="123">
        <v>40036906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1212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2" customHeight="1" x14ac:dyDescent="0.15">
      <c r="A61" s="39" t="str">
        <f t="shared" ref="A61" si="17">B61&amp;"_"&amp;C61</f>
        <v>40036009_40036907</v>
      </c>
      <c r="B61" s="123">
        <v>40036009</v>
      </c>
      <c r="C61" s="123">
        <v>40036907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認めよう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お前の判断は正しかったようだ、クロノス</v>
      </c>
      <c r="F61" s="123">
        <v>40036907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1213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" si="18">B62&amp;"_"&amp;C62</f>
        <v>40036009_40036908</v>
      </c>
      <c r="B62" s="123">
        <v>40036009</v>
      </c>
      <c r="C62" s="123">
        <v>40036908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力は正しく使われているようだな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お前を信じるとしよう</v>
      </c>
      <c r="F62" s="123">
        <v>40036908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ref="A63" si="19">B63&amp;"_"&amp;C63</f>
        <v>40036009_40036909</v>
      </c>
      <c r="B63" s="123">
        <v>40036009</v>
      </c>
      <c r="C63" s="123">
        <v>40036909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力は正しく使われているようだな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お前を信じるとしよう</v>
      </c>
      <c r="F63" s="123">
        <v>40036909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:A111" si="20">B64&amp;"_"&amp;C64</f>
        <v>40036100_40036007</v>
      </c>
      <c r="B64" s="105">
        <v>40036100</v>
      </c>
      <c r="C64" s="105">
        <v>40036007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聖域の境界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種族ゴッド以外に大ダメージの2回連続全体攻撃+_x000D_7ターン自身に対する全属性ダメージ50％軽減</v>
      </c>
      <c r="F64" s="105">
        <v>40036000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20"/>
        <v>40036100_40036008</v>
      </c>
      <c r="B65" s="105">
        <v>40036100</v>
      </c>
      <c r="C65" s="105">
        <v>40036008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みんな頑張ろっ！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全体回復</v>
      </c>
      <c r="F65" s="105">
        <v>40036008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20"/>
        <v>40036100_40036009</v>
      </c>
      <c r="B66" s="105">
        <v>40036100</v>
      </c>
      <c r="C66" s="105">
        <v>40036009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まだ大丈夫だよっ！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全体回復</v>
      </c>
      <c r="F66" s="105">
        <v>40036009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20"/>
        <v>40036100_40036010</v>
      </c>
      <c r="B67" s="105">
        <v>40036100</v>
      </c>
      <c r="C67" s="105">
        <v>40036010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みんな諦めないでっ！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全体回復</v>
      </c>
      <c r="F67" s="105">
        <v>40036010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20"/>
        <v>40036100_40036011</v>
      </c>
      <c r="B68" s="105">
        <v>40036100</v>
      </c>
      <c r="C68" s="105">
        <v>40036011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もう少しっ！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全体回復</v>
      </c>
      <c r="F68" s="105">
        <v>40036011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20"/>
        <v>40036100_40036012</v>
      </c>
      <c r="B69" s="105">
        <v>40036100</v>
      </c>
      <c r="C69" s="105">
        <v>40036012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少し厳しいかも…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全体回復</v>
      </c>
      <c r="F69" s="105">
        <v>40036012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20"/>
        <v>40036100_40036013</v>
      </c>
      <c r="B70" s="105">
        <v>40036100</v>
      </c>
      <c r="C70" s="105">
        <v>40036013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後１回が限度かな…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全体回復</v>
      </c>
      <c r="F70" s="105">
        <v>40036013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ref="A71:A80" si="21">B71&amp;"_"&amp;C71</f>
        <v>40036100_40036014</v>
      </c>
      <c r="B71" s="105">
        <v>40036100</v>
      </c>
      <c r="C71" s="105">
        <v>40036014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最後は全力でいくよ！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全体回復</v>
      </c>
      <c r="F71" s="105">
        <v>40036014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21"/>
        <v>40036100_40036015</v>
      </c>
      <c r="B72" s="105">
        <v>40036100</v>
      </c>
      <c r="C72" s="105">
        <v>40036015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私も頑張るよ！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72" s="105">
        <v>40036015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21"/>
        <v>40036101_40036108</v>
      </c>
      <c r="B73" s="108">
        <v>40036101</v>
      </c>
      <c r="C73" s="108">
        <v>40036108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単体攻撃+自身の攻撃力UP_x000D_※だんだん攻撃力が上がっていく※</v>
      </c>
      <c r="F73" s="108">
        <v>40036100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21"/>
        <v>40036101_40036109</v>
      </c>
      <c r="B74" s="108">
        <v>40036101</v>
      </c>
      <c r="C74" s="108">
        <v>40036109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単体攻撃+自身の攻撃力UP_x000D_※だんだん攻撃力が上がっていく※</v>
      </c>
      <c r="F74" s="108">
        <v>40036101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21"/>
        <v>40036101_40036110</v>
      </c>
      <c r="B75" s="108">
        <v>40036101</v>
      </c>
      <c r="C75" s="108">
        <v>40036110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単体攻撃+自身の攻撃力大UP_x000D_※だんだん攻撃力が上がっていく※</v>
      </c>
      <c r="F75" s="108">
        <v>40036102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21"/>
        <v>40036101_40036111</v>
      </c>
      <c r="B76" s="108">
        <v>40036101</v>
      </c>
      <c r="C76" s="108">
        <v>40036111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単体攻撃+自身の攻撃力大UP_x000D_※だんだん攻撃力が上がっていく※</v>
      </c>
      <c r="F76" s="108">
        <v>40036103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21"/>
        <v>40036101_40036112</v>
      </c>
      <c r="B77" s="108">
        <v>40036101</v>
      </c>
      <c r="C77" s="108">
        <v>40036112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77" s="108">
        <v>40036104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21"/>
        <v>40036101_40036113</v>
      </c>
      <c r="B78" s="108">
        <v>40036101</v>
      </c>
      <c r="C78" s="108">
        <v>40036113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78" s="108">
        <v>40036105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21"/>
        <v>40036101_40036114</v>
      </c>
      <c r="B79" s="108">
        <v>40036101</v>
      </c>
      <c r="C79" s="108">
        <v>40036114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79" s="108">
        <v>40036106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21"/>
        <v>40036101_40036115</v>
      </c>
      <c r="B80" s="108">
        <v>40036101</v>
      </c>
      <c r="C80" s="108">
        <v>40036115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ツヨクナルゾ！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単体攻撃+自身の攻撃力超大UP_x000D_※だんだん攻撃力が上がっていく※</v>
      </c>
      <c r="F80" s="108">
        <v>40036107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20"/>
        <v>40036105_40036503</v>
      </c>
      <c r="B81" s="105">
        <v>40036105</v>
      </c>
      <c r="C81" s="105">
        <v>40036503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朽ち果てなさい…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Cパネル縮小(効果激烈)</v>
      </c>
      <c r="F81" s="105">
        <v>40036500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20"/>
        <v>40036105_40036501</v>
      </c>
      <c r="B82" s="105">
        <v>40036105</v>
      </c>
      <c r="C82" s="105">
        <v>40036501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壊れなさい！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82" s="105">
        <v>40036501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20"/>
        <v>40036105_40036502</v>
      </c>
      <c r="B83" s="105">
        <v>40036105</v>
      </c>
      <c r="C83" s="105">
        <v>40036502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滅びなさい…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4ターン全ユニットの攻撃力50%DOWN</v>
      </c>
      <c r="F83" s="105">
        <v>40036502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20"/>
        <v>40036107_40036700</v>
      </c>
      <c r="B84" s="111">
        <v>40036107</v>
      </c>
      <c r="C84" s="111">
        <v>40036700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その力、貴公には身に余る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84" s="111">
        <v>40036700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20"/>
        <v>40036107_40036712</v>
      </c>
      <c r="B85" s="111">
        <v>40036107</v>
      </c>
      <c r="C85" s="111">
        <v>40036712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返してもらおう…(力を集めている)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5" s="111">
        <v>40036701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20"/>
        <v>40036107_40036702</v>
      </c>
      <c r="B86" s="111">
        <v>40036107</v>
      </c>
      <c r="C86" s="111">
        <v>40036702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グラビティ・フィールド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残りHPの50％ダメージ</v>
      </c>
      <c r="F86" s="111">
        <v>40036702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20"/>
        <v>40036107_40036703</v>
      </c>
      <c r="B87" s="111">
        <v>40036107</v>
      </c>
      <c r="C87" s="111">
        <v>40036703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私の前では皆無力だ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5ターンCパネル生成延長(効果特大)+_x000D_全体攻撃</v>
      </c>
      <c r="F87" s="111">
        <v>40036703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20"/>
        <v>40036107_40036713</v>
      </c>
      <c r="B88" s="111">
        <v>40036107</v>
      </c>
      <c r="C88" s="111">
        <v>40036713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暴れても無駄だ…(力を集めている)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8" s="111">
        <v>40036705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20"/>
        <v>40036107_40036705</v>
      </c>
      <c r="B89" s="111">
        <v>40036107</v>
      </c>
      <c r="C89" s="111">
        <v>40036705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グラビティ・フィールド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残りHPの50％ダメージ</v>
      </c>
      <c r="F89" s="111">
        <v>40036704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20"/>
        <v>40036107_40036706</v>
      </c>
      <c r="B90" s="111">
        <v>40036107</v>
      </c>
      <c r="C90" s="111">
        <v>40036706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クロノス、私に逆らうか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90" s="111">
        <v>40036706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1212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20"/>
        <v>40036107_40036707</v>
      </c>
      <c r="B91" s="111">
        <v>40036107</v>
      </c>
      <c r="C91" s="111">
        <v>40036707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クロノス、私に逆らうか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91" s="111">
        <v>40036707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1213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20"/>
        <v>40036107_40036708</v>
      </c>
      <c r="B92" s="111">
        <v>40036107</v>
      </c>
      <c r="C92" s="111">
        <v>40036708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女王の手のものか、制裁してくれよう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92" s="111">
        <v>40036708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1200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20"/>
        <v>40036107_40036709</v>
      </c>
      <c r="B93" s="111">
        <v>40036107</v>
      </c>
      <c r="C93" s="111">
        <v>40036709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女王の手のものか、制裁してくれよう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93" s="111">
        <v>40036709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1201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20"/>
        <v>40036107_40036710</v>
      </c>
      <c r="B94" s="111">
        <v>40036107</v>
      </c>
      <c r="C94" s="111">
        <v>40036710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ゼウス、何故力を分け与えた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94" s="111">
        <v>40036710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20"/>
        <v>40036107_40036711</v>
      </c>
      <c r="B95" s="111">
        <v>40036107</v>
      </c>
      <c r="C95" s="111">
        <v>40036711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ゼウス、何故力を分け与えた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95" s="111">
        <v>40036711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20"/>
        <v>40036108_40036800</v>
      </c>
      <c r="B96" s="120">
        <v>40036108</v>
      </c>
      <c r="C96" s="120">
        <v>40036800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宇宙の大きさを知るがいい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確率で赤の時限式ダメージパネルがドロップ</v>
      </c>
      <c r="F96" s="120">
        <v>40036800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8" t="str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20"/>
        <v>40036108_40036807</v>
      </c>
      <c r="B97" s="120">
        <v>40036108</v>
      </c>
      <c r="C97" s="120">
        <v>40036807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この場では力は出せまい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5ターン攻撃力60%DOWN+全体攻撃</v>
      </c>
      <c r="F97" s="120">
        <v>40036801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20"/>
        <v>40036108_40036806</v>
      </c>
      <c r="B98" s="120">
        <v>40036108</v>
      </c>
      <c r="C98" s="120">
        <v>40036806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(…力が吸い込まれる)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赤パネルを吸収して単体攻撃</v>
      </c>
      <c r="F98" s="120">
        <v>40036803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98" s="48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8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20"/>
        <v>40036108_40036803</v>
      </c>
      <c r="B99" s="120">
        <v>40036108</v>
      </c>
      <c r="C99" s="120">
        <v>40036803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ハイ・グラビティ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残りHPの60％ダメージ</v>
      </c>
      <c r="F99" s="120">
        <v>40036802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20"/>
        <v>40036108_40036806</v>
      </c>
      <c r="B100" s="120">
        <v>40036108</v>
      </c>
      <c r="C100" s="120">
        <v>40036806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(…力が吸い込まれる)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赤パネルを吸収して単体攻撃</v>
      </c>
      <c r="F100" s="120">
        <v>40036804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20"/>
        <v>40036108_40036805</v>
      </c>
      <c r="B101" s="120">
        <v>40036108</v>
      </c>
      <c r="C101" s="120">
        <v>40036805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ハイ・グラビティ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残りHPの60％ダメージ</v>
      </c>
      <c r="F101" s="120">
        <v>40036805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20"/>
        <v>40036109_40036900</v>
      </c>
      <c r="B102" s="123">
        <v>40036109</v>
      </c>
      <c r="C102" s="123">
        <v>40036900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その力に相応しいか見極めてやろう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青パネルがドロップしない+_x000D_解除されるまでCパネル生成延長(効果超大)</v>
      </c>
      <c r="F102" s="123">
        <v>40036900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 t="str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20"/>
        <v>40036109_40036911</v>
      </c>
      <c r="B103" s="123">
        <v>40036109</v>
      </c>
      <c r="C103" s="123">
        <v>40036911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ダークマター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3" s="123">
        <v>40036901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20"/>
        <v>40036109_40036910</v>
      </c>
      <c r="B104" s="123">
        <v>40036109</v>
      </c>
      <c r="C104" s="123">
        <v>40036910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メテオライト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赤パネルを吸収して単体攻撃</v>
      </c>
      <c r="F104" s="123">
        <v>40036902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20"/>
        <v>40036109_40036903</v>
      </c>
      <c r="B105" s="123">
        <v>40036109</v>
      </c>
      <c r="C105" s="123">
        <v>40036903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スーパーノヴァ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残りHPの80％ダメージ</v>
      </c>
      <c r="F105" s="123">
        <v>40036903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5" s="48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20"/>
        <v>40036109_40036904</v>
      </c>
      <c r="B106" s="123">
        <v>40036109</v>
      </c>
      <c r="C106" s="123">
        <v>40036904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宇宙を統べる力を見せよう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4ターン攻撃力80%DOWN+全体攻撃_x000D_※次のターンに強力な割合攻撃※</v>
      </c>
      <c r="F106" s="123">
        <v>40036904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48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20"/>
        <v>40036109_40036905</v>
      </c>
      <c r="B107" s="123">
        <v>40036109</v>
      </c>
      <c r="C107" s="123">
        <v>40036905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ふむ、なるほど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ゼウスが認めたのも間違いでは無いか</v>
      </c>
      <c r="F107" s="123">
        <v>40036905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20"/>
        <v>40036109_40036906</v>
      </c>
      <c r="B108" s="123">
        <v>40036109</v>
      </c>
      <c r="C108" s="123">
        <v>40036906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認めよう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お前の判断は正しかったようだ、クロノス</v>
      </c>
      <c r="F108" s="123">
        <v>40036906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1212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2" customHeight="1" x14ac:dyDescent="0.15">
      <c r="A109" s="39" t="str">
        <f t="shared" si="20"/>
        <v>40036109_40036907</v>
      </c>
      <c r="B109" s="123">
        <v>40036109</v>
      </c>
      <c r="C109" s="123">
        <v>40036907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認めよう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お前の判断は正しかったようだ、クロノス</v>
      </c>
      <c r="F109" s="123">
        <v>40036907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1213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20"/>
        <v>40036109_40036908</v>
      </c>
      <c r="B110" s="123">
        <v>40036109</v>
      </c>
      <c r="C110" s="123">
        <v>40036908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力は正しく使われているようだな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お前を信じるとしよう</v>
      </c>
      <c r="F110" s="123">
        <v>40036908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20"/>
        <v>40036109_40036909</v>
      </c>
      <c r="B111" s="123">
        <v>40036109</v>
      </c>
      <c r="C111" s="123">
        <v>40036909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力は正しく使われているようだな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お前を信じるとしよう</v>
      </c>
      <c r="F111" s="123">
        <v>40036909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7"/>
  <sheetViews>
    <sheetView showGridLines="0" tabSelected="1" zoomScale="90" zoomScaleNormal="90" zoomScalePageLayoutView="90" workbookViewId="0">
      <pane ySplit="1" topLeftCell="A2" activePane="bottomLeft" state="frozenSplit"/>
      <selection pane="bottomLeft" activeCell="F1" sqref="F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37" customHeight="1" x14ac:dyDescent="0.15">
      <c r="A2" s="105">
        <v>40036000</v>
      </c>
      <c r="B2" s="105" t="s">
        <v>401</v>
      </c>
      <c r="C2" s="106">
        <v>3</v>
      </c>
      <c r="D2" s="106" t="s">
        <v>128</v>
      </c>
      <c r="E2" s="107" t="s">
        <v>255</v>
      </c>
      <c r="F2" s="107" t="s">
        <v>402</v>
      </c>
      <c r="G2" s="63" t="str">
        <f t="shared" ref="G2:G79" si="0">IFERROR(LEFT(B2,FIND("],",B2)),B2)</f>
        <v>[effect:damage_anti_tribe, target:unit_all, tribe:god, val1:0.1, val2:99.9]</v>
      </c>
      <c r="H2" s="63">
        <f t="shared" ref="H2:H79" si="1">FIND("effect:",G2)+7</f>
        <v>9</v>
      </c>
      <c r="I2" s="63">
        <f t="shared" ref="I2:I79" si="2">IFERROR(FIND(",",G2),LEN(G2))</f>
        <v>26</v>
      </c>
      <c r="J2" s="63">
        <f t="shared" ref="J2:J79" si="3">FIND("target:",G2)+7</f>
        <v>35</v>
      </c>
      <c r="K2" s="63">
        <f t="shared" ref="K2:K79" si="4">FIND(",",G2,I2+1)</f>
        <v>43</v>
      </c>
      <c r="L2" s="63" t="str">
        <f>IFERROR(VLOOKUP(MID(G2,J2,K2-J2),[6]skilldef!$C:$D,2,FALSE),"-") &amp; " / " &amp; IFERROR(VLOOKUP(MID(G2,H2,I2-H2),[6]skilldef!$A:$B,2,FALSE),"-")</f>
        <v>味方全体に / 種族キラー</v>
      </c>
      <c r="M2" s="63" t="str">
        <f t="shared" ref="M2:M79" si="5">IFERROR(RIGHT(B2,LEN(B2)-FIND("],",B2)-1),"none")</f>
        <v>[effect:damage_anti_tribe, target:unit_all, tribe:god, val1:0.1, val2:99.9],[effect:reduction, target:myself, color:all, turn:5, val:0.7, animation:reduction_one04],[effect:fix_speed, target:myself, turn:1],[effect:enemy_message, val1:1.0, val2:3.5]</v>
      </c>
      <c r="N2" s="48" t="str">
        <f>IFERROR(LEFT(M2,FIND("],",M2)+S21),M2)</f>
        <v>[effect:damage_anti_tribe, target:unit_all, tribe:god, val1:0.1, val2:99.9],[effect:reduction, target:myself, color:all, turn:5, val:0.7, animation:reduction_one04],[effect:fix_speed, target:myself, turn:1],[effect:enemy_message, val1:1.0, val2:3.5]</v>
      </c>
      <c r="O2" s="63">
        <f t="shared" ref="O2:O79" si="6">FIND("effect:",N2)+7</f>
        <v>9</v>
      </c>
      <c r="P2" s="63">
        <f t="shared" ref="P2:P79" si="7">IFERROR(FIND(",",N2),LEN(N2))</f>
        <v>26</v>
      </c>
      <c r="Q2" s="63">
        <f t="shared" ref="Q2:Q79" si="8">FIND("target:",N2)+7</f>
        <v>35</v>
      </c>
      <c r="R2" s="63">
        <f t="shared" ref="R2:R79" si="9">FIND(",",N2,P2+1)</f>
        <v>43</v>
      </c>
      <c r="S2" s="63" t="str">
        <f>IFERROR(VLOOKUP(MID(N2,Q2,R2-Q2),[6]skilldef!$C:$D,2,FALSE),"-") &amp; " / " &amp; IFERROR(VLOOKUP(MID(N2,O2,P2-O2),[6]skilldef!$A:$B,2,FALSE),"-")</f>
        <v>味方全体に / 種族キラー</v>
      </c>
      <c r="T2" s="48" t="str">
        <f t="shared" ref="T2:T79" si="10">IFERROR(RIGHT(M2,LEN(M2)-FIND("],",M2)-1),"none")</f>
        <v>[effect:reduction, target:myself, color:all, turn:5, val:0.7, animation:reduction_one04],[effect:fix_speed, target:myself, turn:1],[effect:enemy_message, val1:1.0, val2:3.5]</v>
      </c>
      <c r="U2" s="63">
        <f t="shared" ref="U2:U79" si="11">FIND("effect:",T2)+7</f>
        <v>9</v>
      </c>
      <c r="V2" s="63">
        <f t="shared" ref="V2:V79" si="12">IFERROR(FIND(",",T2),LEN(T2))</f>
        <v>18</v>
      </c>
      <c r="W2" s="63">
        <f t="shared" ref="W2:W79" si="13">FIND("target:",T2)+7</f>
        <v>27</v>
      </c>
      <c r="X2" s="63">
        <f t="shared" ref="X2:X79" si="14">FIND(",",T2,V2+1)</f>
        <v>33</v>
      </c>
      <c r="Y2" s="63" t="str">
        <f>IFERROR(VLOOKUP(MID(T2,W2,X2-W2),[6]skilldef!$C:$D,2,FALSE),"-") &amp; " / " &amp; IFERROR(VLOOKUP(MID(T2,U2,V2-U2),[6]skilldef!$A:$B,2,FALSE),"-")</f>
        <v>自分自身に / -</v>
      </c>
      <c r="Z2" s="50"/>
      <c r="AA2" s="51"/>
      <c r="AB2" s="50"/>
    </row>
    <row r="3" spans="1:28" ht="21" customHeight="1" x14ac:dyDescent="0.15">
      <c r="A3" s="105">
        <v>40036001</v>
      </c>
      <c r="B3" s="105" t="s">
        <v>385</v>
      </c>
      <c r="C3" s="106">
        <v>3</v>
      </c>
      <c r="D3" s="106" t="s">
        <v>128</v>
      </c>
      <c r="E3" s="107" t="s">
        <v>276</v>
      </c>
      <c r="F3" s="107" t="s">
        <v>256</v>
      </c>
      <c r="G3" s="63" t="str">
        <f t="shared" si="0"/>
        <v>[effect:heal, target:enemy_all, val:0.4, animation:enemy_heal]</v>
      </c>
      <c r="H3" s="63">
        <f t="shared" si="1"/>
        <v>9</v>
      </c>
      <c r="I3" s="63">
        <f t="shared" si="2"/>
        <v>13</v>
      </c>
      <c r="J3" s="63">
        <f t="shared" si="3"/>
        <v>22</v>
      </c>
      <c r="K3" s="63">
        <f t="shared" si="4"/>
        <v>31</v>
      </c>
      <c r="L3" s="63" t="str">
        <f>IFERROR(VLOOKUP(MID(G3,J3,K3-J3),[6]skilldef!$C:$D,2,FALSE),"-") &amp; " / " &amp; IFERROR(VLOOKUP(MID(G3,H3,I3-H3),[6]skilldef!$A:$B,2,FALSE),"-")</f>
        <v>敵全体に / 回復</v>
      </c>
      <c r="M3" s="63" t="str">
        <f t="shared" si="5"/>
        <v>[effect:enemy_message, val1:1.2, val2:1.5]</v>
      </c>
      <c r="N3" s="48" t="str">
        <f>IFERROR(LEFT(M3,FIND("],",M3)+#REF!),M3)</f>
        <v>[effect:enemy_message, val1:1.2, val2:1.5]</v>
      </c>
      <c r="O3" s="63">
        <f t="shared" si="6"/>
        <v>9</v>
      </c>
      <c r="P3" s="63">
        <f t="shared" si="7"/>
        <v>22</v>
      </c>
      <c r="Q3" s="63" t="e">
        <f t="shared" si="8"/>
        <v>#VALUE!</v>
      </c>
      <c r="R3" s="63">
        <f t="shared" si="9"/>
        <v>32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1" customHeight="1" x14ac:dyDescent="0.15">
      <c r="A4" s="105">
        <v>40036002</v>
      </c>
      <c r="B4" s="105" t="s">
        <v>316</v>
      </c>
      <c r="C4" s="106">
        <v>3</v>
      </c>
      <c r="D4" s="106" t="s">
        <v>128</v>
      </c>
      <c r="E4" s="107" t="s">
        <v>279</v>
      </c>
      <c r="F4" s="107" t="s">
        <v>256</v>
      </c>
      <c r="G4" s="63" t="str">
        <f t="shared" ref="G4" si="15">IFERROR(LEFT(B4,FIND("],",B4)),B4)</f>
        <v>[effect:heal, target:enemy_all, val:0.4, animation:enemy_heal]</v>
      </c>
      <c r="H4" s="63">
        <f t="shared" ref="H4" si="16">FIND("effect:",G4)+7</f>
        <v>9</v>
      </c>
      <c r="I4" s="63">
        <f t="shared" ref="I4" si="17">IFERROR(FIND(",",G4),LEN(G4))</f>
        <v>13</v>
      </c>
      <c r="J4" s="63">
        <f t="shared" ref="J4" si="18">FIND("target:",G4)+7</f>
        <v>22</v>
      </c>
      <c r="K4" s="63">
        <f t="shared" ref="K4" si="19">FIND(",",G4,I4+1)</f>
        <v>31</v>
      </c>
      <c r="L4" s="63" t="str">
        <f>IFERROR(VLOOKUP(MID(G4,J4,K4-J4),[6]skilldef!$C:$D,2,FALSE),"-") &amp; " / " &amp; IFERROR(VLOOKUP(MID(G4,H4,I4-H4),[6]skilldef!$A:$B,2,FALSE),"-")</f>
        <v>敵全体に / 回復</v>
      </c>
      <c r="M4" s="63" t="str">
        <f t="shared" ref="M4" si="20">IFERROR(RIGHT(B4,LEN(B4)-FIND("],",B4)-1),"none")</f>
        <v>[effect:enemy_message, val1:1.3, val2:1.5]</v>
      </c>
      <c r="N4" s="48" t="str">
        <f>IFERROR(LEFT(M4,FIND("],",M4)+#REF!),M4)</f>
        <v>[effect:enemy_message, val1:1.3, val2:1.5]</v>
      </c>
      <c r="O4" s="63">
        <f t="shared" ref="O4" si="21">FIND("effect:",N4)+7</f>
        <v>9</v>
      </c>
      <c r="P4" s="63">
        <f t="shared" ref="P4" si="22">IFERROR(FIND(",",N4),LEN(N4))</f>
        <v>22</v>
      </c>
      <c r="Q4" s="63" t="e">
        <f t="shared" ref="Q4" si="23">FIND("target:",N4)+7</f>
        <v>#VALUE!</v>
      </c>
      <c r="R4" s="63">
        <f t="shared" ref="R4" si="24">FIND(",",N4,P4+1)</f>
        <v>32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ref="T4" si="25">IFERROR(RIGHT(M4,LEN(M4)-FIND("],",M4)-1),"none")</f>
        <v>none</v>
      </c>
      <c r="U4" s="63" t="e">
        <f t="shared" ref="U4" si="26">FIND("effect:",T4)+7</f>
        <v>#VALUE!</v>
      </c>
      <c r="V4" s="63">
        <f t="shared" ref="V4" si="27">IFERROR(FIND(",",T4),LEN(T4))</f>
        <v>4</v>
      </c>
      <c r="W4" s="63" t="e">
        <f t="shared" ref="W4" si="28">FIND("target:",T4)+7</f>
        <v>#VALUE!</v>
      </c>
      <c r="X4" s="63" t="e">
        <f t="shared" ref="X4" si="29"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21" customHeight="1" x14ac:dyDescent="0.15">
      <c r="A5" s="105">
        <v>40036003</v>
      </c>
      <c r="B5" s="105" t="s">
        <v>317</v>
      </c>
      <c r="C5" s="106">
        <v>3</v>
      </c>
      <c r="D5" s="106" t="s">
        <v>128</v>
      </c>
      <c r="E5" s="107" t="s">
        <v>280</v>
      </c>
      <c r="F5" s="107" t="s">
        <v>256</v>
      </c>
      <c r="G5" s="63" t="str">
        <f t="shared" ref="G5" si="30">IFERROR(LEFT(B5,FIND("],",B5)),B5)</f>
        <v>[effect:heal, target:enemy_all, val:0.4, animation:enemy_heal]</v>
      </c>
      <c r="H5" s="63">
        <f t="shared" ref="H5" si="31">FIND("effect:",G5)+7</f>
        <v>9</v>
      </c>
      <c r="I5" s="63">
        <f t="shared" ref="I5" si="32">IFERROR(FIND(",",G5),LEN(G5))</f>
        <v>13</v>
      </c>
      <c r="J5" s="63">
        <f t="shared" ref="J5" si="33">FIND("target:",G5)+7</f>
        <v>22</v>
      </c>
      <c r="K5" s="63">
        <f t="shared" ref="K5" si="34">FIND(",",G5,I5+1)</f>
        <v>31</v>
      </c>
      <c r="L5" s="63" t="str">
        <f>IFERROR(VLOOKUP(MID(G5,J5,K5-J5),[6]skilldef!$C:$D,2,FALSE),"-") &amp; " / " &amp; IFERROR(VLOOKUP(MID(G5,H5,I5-H5),[6]skilldef!$A:$B,2,FALSE),"-")</f>
        <v>敵全体に / 回復</v>
      </c>
      <c r="M5" s="63" t="str">
        <f t="shared" ref="M5" si="35">IFERROR(RIGHT(B5,LEN(B5)-FIND("],",B5)-1),"none")</f>
        <v>[effect:enemy_message, val1:1.4, val2:1.5]</v>
      </c>
      <c r="N5" s="48" t="str">
        <f>IFERROR(LEFT(M5,FIND("],",M5)+#REF!),M5)</f>
        <v>[effect:enemy_message, val1:1.4, val2:1.5]</v>
      </c>
      <c r="O5" s="63">
        <f t="shared" ref="O5" si="36">FIND("effect:",N5)+7</f>
        <v>9</v>
      </c>
      <c r="P5" s="63">
        <f t="shared" ref="P5" si="37">IFERROR(FIND(",",N5),LEN(N5))</f>
        <v>22</v>
      </c>
      <c r="Q5" s="63" t="e">
        <f t="shared" ref="Q5" si="38">FIND("target:",N5)+7</f>
        <v>#VALUE!</v>
      </c>
      <c r="R5" s="63">
        <f t="shared" ref="R5" si="39">FIND(",",N5,P5+1)</f>
        <v>32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ref="T5" si="40">IFERROR(RIGHT(M5,LEN(M5)-FIND("],",M5)-1),"none")</f>
        <v>none</v>
      </c>
      <c r="U5" s="63" t="e">
        <f t="shared" ref="U5" si="41">FIND("effect:",T5)+7</f>
        <v>#VALUE!</v>
      </c>
      <c r="V5" s="63">
        <f t="shared" ref="V5" si="42">IFERROR(FIND(",",T5),LEN(T5))</f>
        <v>4</v>
      </c>
      <c r="W5" s="63" t="e">
        <f t="shared" ref="W5" si="43">FIND("target:",T5)+7</f>
        <v>#VALUE!</v>
      </c>
      <c r="X5" s="63" t="e">
        <f t="shared" ref="X5" si="44">FIND(",",T5,V5+1)</f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1" customHeight="1" x14ac:dyDescent="0.15">
      <c r="A6" s="105">
        <v>40036004</v>
      </c>
      <c r="B6" s="105" t="s">
        <v>318</v>
      </c>
      <c r="C6" s="106">
        <v>3</v>
      </c>
      <c r="D6" s="106" t="s">
        <v>128</v>
      </c>
      <c r="E6" s="107" t="s">
        <v>277</v>
      </c>
      <c r="F6" s="107" t="s">
        <v>256</v>
      </c>
      <c r="G6" s="63" t="str">
        <f t="shared" ref="G6" si="45">IFERROR(LEFT(B6,FIND("],",B6)),B6)</f>
        <v>[effect:heal, target:enemy_all, val:0.4, animation:enemy_heal]</v>
      </c>
      <c r="H6" s="63">
        <f t="shared" ref="H6" si="46">FIND("effect:",G6)+7</f>
        <v>9</v>
      </c>
      <c r="I6" s="63">
        <f t="shared" ref="I6" si="47">IFERROR(FIND(",",G6),LEN(G6))</f>
        <v>13</v>
      </c>
      <c r="J6" s="63">
        <f t="shared" ref="J6" si="48">FIND("target:",G6)+7</f>
        <v>22</v>
      </c>
      <c r="K6" s="63">
        <f t="shared" ref="K6" si="49">FIND(",",G6,I6+1)</f>
        <v>31</v>
      </c>
      <c r="L6" s="63" t="str">
        <f>IFERROR(VLOOKUP(MID(G6,J6,K6-J6),[6]skilldef!$C:$D,2,FALSE),"-") &amp; " / " &amp; IFERROR(VLOOKUP(MID(G6,H6,I6-H6),[6]skilldef!$A:$B,2,FALSE),"-")</f>
        <v>敵全体に / 回復</v>
      </c>
      <c r="M6" s="63" t="str">
        <f t="shared" ref="M6" si="50">IFERROR(RIGHT(B6,LEN(B6)-FIND("],",B6)-1),"none")</f>
        <v>[effect:enemy_message, val1:1.0, val2:1.5]</v>
      </c>
      <c r="N6" s="48" t="str">
        <f>IFERROR(LEFT(M6,FIND("],",M6)+#REF!),M6)</f>
        <v>[effect:enemy_message, val1:1.0, val2:1.5]</v>
      </c>
      <c r="O6" s="63">
        <f t="shared" ref="O6" si="51">FIND("effect:",N6)+7</f>
        <v>9</v>
      </c>
      <c r="P6" s="63">
        <f t="shared" ref="P6" si="52">IFERROR(FIND(",",N6),LEN(N6))</f>
        <v>22</v>
      </c>
      <c r="Q6" s="63" t="e">
        <f t="shared" ref="Q6" si="53">FIND("target:",N6)+7</f>
        <v>#VALUE!</v>
      </c>
      <c r="R6" s="63">
        <f t="shared" ref="R6" si="54">FIND(",",N6,P6+1)</f>
        <v>32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ref="T6" si="55">IFERROR(RIGHT(M6,LEN(M6)-FIND("],",M6)-1),"none")</f>
        <v>none</v>
      </c>
      <c r="U6" s="63" t="e">
        <f t="shared" ref="U6" si="56">FIND("effect:",T6)+7</f>
        <v>#VALUE!</v>
      </c>
      <c r="V6" s="63">
        <f t="shared" ref="V6" si="57">IFERROR(FIND(",",T6),LEN(T6))</f>
        <v>4</v>
      </c>
      <c r="W6" s="63" t="e">
        <f t="shared" ref="W6" si="58">FIND("target:",T6)+7</f>
        <v>#VALUE!</v>
      </c>
      <c r="X6" s="63" t="e">
        <f t="shared" ref="X6" si="59">FIND(",",T6,V6+1)</f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50" customHeight="1" x14ac:dyDescent="0.15">
      <c r="A7" s="105">
        <v>40036005</v>
      </c>
      <c r="B7" s="105" t="s">
        <v>429</v>
      </c>
      <c r="C7" s="106">
        <v>3</v>
      </c>
      <c r="D7" s="106" t="s">
        <v>128</v>
      </c>
      <c r="E7" s="107" t="s">
        <v>281</v>
      </c>
      <c r="F7" s="107" t="s">
        <v>278</v>
      </c>
      <c r="G7" s="63" t="str">
        <f t="shared" ref="G7" si="60">IFERROR(LEFT(B7,FIND("],",B7)),B7)</f>
        <v>[effect:heal, target:enemy_all, val:0.4, animation:enemy_heal]</v>
      </c>
      <c r="H7" s="63">
        <f t="shared" ref="H7" si="61">FIND("effect:",G7)+7</f>
        <v>9</v>
      </c>
      <c r="I7" s="63">
        <f t="shared" ref="I7" si="62">IFERROR(FIND(",",G7),LEN(G7))</f>
        <v>13</v>
      </c>
      <c r="J7" s="63">
        <f t="shared" ref="J7" si="63">FIND("target:",G7)+7</f>
        <v>22</v>
      </c>
      <c r="K7" s="63">
        <f t="shared" ref="K7" si="64">FIND(",",G7,I7+1)</f>
        <v>31</v>
      </c>
      <c r="L7" s="63" t="str">
        <f>IFERROR(VLOOKUP(MID(G7,J7,K7-J7),[6]skilldef!$C:$D,2,FALSE),"-") &amp; " / " &amp; IFERROR(VLOOKUP(MID(G7,H7,I7-H7),[6]skilldef!$A:$B,2,FALSE),"-")</f>
        <v>敵全体に / 回復</v>
      </c>
      <c r="M7" s="63" t="str">
        <f t="shared" ref="M7" si="65">IFERROR(RIGHT(B7,LEN(B7)-FIND("],",B7)-1),"none")</f>
        <v>[effect:degrade_unit, target:unit_all, turn:5, status:attack, val:0.5, calc:mul],[effect:enemy_message, val1:1.4, val2:2.7]</v>
      </c>
      <c r="N7" s="48" t="str">
        <f>IFERROR(LEFT(M7,FIND("],",M7)+#REF!),M7)</f>
        <v>[effect:degrade_unit, target:unit_all, turn:5, status:attack, val:0.5, calc:mul],[effect:enemy_message, val1:1.4, val2:2.7]</v>
      </c>
      <c r="O7" s="63">
        <f t="shared" ref="O7" si="66">FIND("effect:",N7)+7</f>
        <v>9</v>
      </c>
      <c r="P7" s="63">
        <f t="shared" ref="P7" si="67">IFERROR(FIND(",",N7),LEN(N7))</f>
        <v>21</v>
      </c>
      <c r="Q7" s="63">
        <f t="shared" ref="Q7" si="68">FIND("target:",N7)+7</f>
        <v>30</v>
      </c>
      <c r="R7" s="63">
        <f t="shared" ref="R7" si="69">FIND(",",N7,P7+1)</f>
        <v>38</v>
      </c>
      <c r="S7" s="63" t="str">
        <f>IFERROR(VLOOKUP(MID(N7,Q7,R7-Q7),[6]skilldef!$C:$D,2,FALSE),"-") &amp; " / " &amp; IFERROR(VLOOKUP(MID(N7,O7,P7-O7),[6]skilldef!$A:$B,2,FALSE),"-")</f>
        <v>味方全体に / ステータスDOWN</v>
      </c>
      <c r="T7" s="48" t="str">
        <f t="shared" ref="T7" si="70">IFERROR(RIGHT(M7,LEN(M7)-FIND("],",M7)-1),"none")</f>
        <v>[effect:enemy_message, val1:1.4, val2:2.7]</v>
      </c>
      <c r="U7" s="63">
        <f t="shared" ref="U7" si="71">FIND("effect:",T7)+7</f>
        <v>9</v>
      </c>
      <c r="V7" s="63">
        <f t="shared" ref="V7" si="72">IFERROR(FIND(",",T7),LEN(T7))</f>
        <v>22</v>
      </c>
      <c r="W7" s="63" t="e">
        <f t="shared" ref="W7" si="73">FIND("target:",T7)+7</f>
        <v>#VALUE!</v>
      </c>
      <c r="X7" s="63">
        <f t="shared" ref="X7" si="74">FIND(",",T7,V7+1)</f>
        <v>32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48" customHeight="1" x14ac:dyDescent="0.15">
      <c r="A8" s="105">
        <v>40036006</v>
      </c>
      <c r="B8" s="105" t="s">
        <v>364</v>
      </c>
      <c r="C8" s="106">
        <v>3</v>
      </c>
      <c r="D8" s="106" t="s">
        <v>128</v>
      </c>
      <c r="E8" s="107" t="s">
        <v>282</v>
      </c>
      <c r="F8" s="107" t="s">
        <v>275</v>
      </c>
      <c r="G8" s="63" t="str">
        <f t="shared" ref="G8:G16" si="75">IFERROR(LEFT(B8,FIND("],",B8)),B8)</f>
        <v>[effect:enhance_enemy, target:myself, turn:-1, status:attack, val:1.0, calc:mul, animation:enemy_enhance_attack]</v>
      </c>
      <c r="H8" s="63">
        <f t="shared" ref="H8:H16" si="76">FIND("effect:",G8)+7</f>
        <v>9</v>
      </c>
      <c r="I8" s="63">
        <f t="shared" ref="I8:I16" si="77">IFERROR(FIND(",",G8),LEN(G8))</f>
        <v>22</v>
      </c>
      <c r="J8" s="63">
        <f t="shared" ref="J8:J16" si="78">FIND("target:",G8)+7</f>
        <v>31</v>
      </c>
      <c r="K8" s="63">
        <f t="shared" ref="K8:K16" si="79">FIND(",",G8,I8+1)</f>
        <v>37</v>
      </c>
      <c r="L8" s="63" t="str">
        <f>IFERROR(VLOOKUP(MID(G8,J8,K8-J8),[6]skilldef!$C:$D,2,FALSE),"-") &amp; " / " &amp; IFERROR(VLOOKUP(MID(G8,H8,I8-H8),[6]skilldef!$A:$B,2,FALSE),"-")</f>
        <v>自分自身に / ステータス強化</v>
      </c>
      <c r="M8" s="63" t="str">
        <f t="shared" ref="M8:M16" si="80">IFERROR(RIGHT(B8,LEN(B8)-FIND("],",B8)-1),"none")</f>
        <v>[effect:enemy_message, val1:1.2, val2:1.5]</v>
      </c>
      <c r="N8" s="48" t="str">
        <f>IFERROR(LEFT(M8,FIND("],",M8)+#REF!),M8)</f>
        <v>[effect:enemy_message, val1:1.2, val2:1.5]</v>
      </c>
      <c r="O8" s="63">
        <f t="shared" ref="O8:O16" si="81">FIND("effect:",N8)+7</f>
        <v>9</v>
      </c>
      <c r="P8" s="63">
        <f t="shared" ref="P8:P16" si="82">IFERROR(FIND(",",N8),LEN(N8))</f>
        <v>22</v>
      </c>
      <c r="Q8" s="63" t="e">
        <f t="shared" ref="Q8:Q16" si="83">FIND("target:",N8)+7</f>
        <v>#VALUE!</v>
      </c>
      <c r="R8" s="63">
        <f t="shared" ref="R8:R16" si="84">FIND(",",N8,P8+1)</f>
        <v>32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ref="T8:T16" si="85">IFERROR(RIGHT(M8,LEN(M8)-FIND("],",M8)-1),"none")</f>
        <v>none</v>
      </c>
      <c r="U8" s="63" t="e">
        <f t="shared" ref="U8:U16" si="86">FIND("effect:",T8)+7</f>
        <v>#VALUE!</v>
      </c>
      <c r="V8" s="63">
        <f t="shared" ref="V8:V16" si="87">IFERROR(FIND(",",T8),LEN(T8))</f>
        <v>4</v>
      </c>
      <c r="W8" s="63" t="e">
        <f t="shared" ref="W8:W16" si="88">FIND("target:",T8)+7</f>
        <v>#VALUE!</v>
      </c>
      <c r="X8" s="63" t="e">
        <f t="shared" ref="X8:X16" si="89">FIND(",",T8,V8+1)</f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37" customHeight="1" x14ac:dyDescent="0.15">
      <c r="A9" s="105">
        <v>40036007</v>
      </c>
      <c r="B9" s="105" t="s">
        <v>400</v>
      </c>
      <c r="C9" s="106">
        <v>3</v>
      </c>
      <c r="D9" s="106" t="s">
        <v>128</v>
      </c>
      <c r="E9" s="107" t="s">
        <v>255</v>
      </c>
      <c r="F9" s="107" t="s">
        <v>403</v>
      </c>
      <c r="G9" s="63" t="str">
        <f t="shared" si="75"/>
        <v>[effect:damage_anti_tribe, target:unit_all, tribe:god, val1:0.1, val2:99.9]</v>
      </c>
      <c r="H9" s="63">
        <f t="shared" si="76"/>
        <v>9</v>
      </c>
      <c r="I9" s="63">
        <f t="shared" si="77"/>
        <v>26</v>
      </c>
      <c r="J9" s="63">
        <f t="shared" si="78"/>
        <v>35</v>
      </c>
      <c r="K9" s="63">
        <f t="shared" si="79"/>
        <v>43</v>
      </c>
      <c r="L9" s="63" t="str">
        <f>IFERROR(VLOOKUP(MID(G9,J9,K9-J9),[6]skilldef!$C:$D,2,FALSE),"-") &amp; " / " &amp; IFERROR(VLOOKUP(MID(G9,H9,I9-H9),[6]skilldef!$A:$B,2,FALSE),"-")</f>
        <v>味方全体に / 種族キラー</v>
      </c>
      <c r="M9" s="63" t="str">
        <f t="shared" si="80"/>
        <v>[effect:damage_anti_tribe, target:unit_all, tribe:god, val1:0.1, val2:99.9],[effect:reduction, target:myself, color:all, turn:7, val:0.5, animation:reduction_one04],[effect:fix_speed, target:myself, turn:1],[effect:enemy_message, val1:1.0, val2:3.5]</v>
      </c>
      <c r="N9" s="48" t="str">
        <f>IFERROR(LEFT(M9,FIND("],",M9)+S28),M9)</f>
        <v>[effect:damage_anti_tribe, target:unit_all, tribe:god, val1:0.1, val2:99.9],[effect:reduction, target:myself, color:all, turn:7, val:0.5, animation:reduction_one04],[effect:fix_speed, target:myself, turn:1],[effect:enemy_message, val1:1.0, val2:3.5]</v>
      </c>
      <c r="O9" s="63">
        <f t="shared" si="81"/>
        <v>9</v>
      </c>
      <c r="P9" s="63">
        <f t="shared" si="82"/>
        <v>26</v>
      </c>
      <c r="Q9" s="63">
        <f t="shared" si="83"/>
        <v>35</v>
      </c>
      <c r="R9" s="63">
        <f t="shared" si="84"/>
        <v>43</v>
      </c>
      <c r="S9" s="63" t="str">
        <f>IFERROR(VLOOKUP(MID(N9,Q9,R9-Q9),[6]skilldef!$C:$D,2,FALSE),"-") &amp; " / " &amp; IFERROR(VLOOKUP(MID(N9,O9,P9-O9),[6]skilldef!$A:$B,2,FALSE),"-")</f>
        <v>味方全体に / 種族キラー</v>
      </c>
      <c r="T9" s="48" t="str">
        <f t="shared" si="85"/>
        <v>[effect:reduction, target:myself, color:all, turn:7, val:0.5, animation:reduction_one04],[effect:fix_speed, target:myself, turn:1],[effect:enemy_message, val1:1.0, val2:3.5]</v>
      </c>
      <c r="U9" s="63">
        <f t="shared" si="86"/>
        <v>9</v>
      </c>
      <c r="V9" s="63">
        <f t="shared" si="87"/>
        <v>18</v>
      </c>
      <c r="W9" s="63">
        <f t="shared" si="88"/>
        <v>27</v>
      </c>
      <c r="X9" s="63">
        <f t="shared" si="89"/>
        <v>33</v>
      </c>
      <c r="Y9" s="63" t="str">
        <f>IFERROR(VLOOKUP(MID(T9,W9,X9-W9),[6]skilldef!$C:$D,2,FALSE),"-") &amp; " / " &amp; IFERROR(VLOOKUP(MID(T9,U9,V9-U9),[6]skilldef!$A:$B,2,FALSE),"-")</f>
        <v>自分自身に / -</v>
      </c>
      <c r="Z9" s="50"/>
      <c r="AA9" s="51"/>
      <c r="AB9" s="50"/>
    </row>
    <row r="10" spans="1:28" ht="21" customHeight="1" x14ac:dyDescent="0.15">
      <c r="A10" s="105">
        <v>40036008</v>
      </c>
      <c r="B10" s="105" t="s">
        <v>386</v>
      </c>
      <c r="C10" s="106">
        <v>3</v>
      </c>
      <c r="D10" s="106" t="s">
        <v>128</v>
      </c>
      <c r="E10" s="107" t="s">
        <v>276</v>
      </c>
      <c r="F10" s="107" t="s">
        <v>256</v>
      </c>
      <c r="G10" s="63" t="str">
        <f t="shared" si="75"/>
        <v>[effect:heal, target:enemy_all, val:0.3, animation:enemy_heal]</v>
      </c>
      <c r="H10" s="63">
        <f t="shared" si="76"/>
        <v>9</v>
      </c>
      <c r="I10" s="63">
        <f t="shared" si="77"/>
        <v>13</v>
      </c>
      <c r="J10" s="63">
        <f t="shared" si="78"/>
        <v>22</v>
      </c>
      <c r="K10" s="63">
        <f t="shared" si="79"/>
        <v>31</v>
      </c>
      <c r="L10" s="63" t="str">
        <f>IFERROR(VLOOKUP(MID(G10,J10,K10-J10),[6]skilldef!$C:$D,2,FALSE),"-") &amp; " / " &amp; IFERROR(VLOOKUP(MID(G10,H10,I10-H10),[6]skilldef!$A:$B,2,FALSE),"-")</f>
        <v>敵全体に / 回復</v>
      </c>
      <c r="M10" s="63" t="str">
        <f t="shared" si="80"/>
        <v>[effect:enemy_message, val1:1.2, val2:1.5]</v>
      </c>
      <c r="N10" s="48" t="str">
        <f>IFERROR(LEFT(M10,FIND("],",M10)+#REF!),M10)</f>
        <v>[effect:enemy_message, val1:1.2, val2:1.5]</v>
      </c>
      <c r="O10" s="63">
        <f t="shared" si="81"/>
        <v>9</v>
      </c>
      <c r="P10" s="63">
        <f t="shared" si="82"/>
        <v>22</v>
      </c>
      <c r="Q10" s="63" t="e">
        <f t="shared" si="83"/>
        <v>#VALUE!</v>
      </c>
      <c r="R10" s="63">
        <f t="shared" si="84"/>
        <v>32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85"/>
        <v>none</v>
      </c>
      <c r="U10" s="63" t="e">
        <f t="shared" si="86"/>
        <v>#VALUE!</v>
      </c>
      <c r="V10" s="63">
        <f t="shared" si="87"/>
        <v>4</v>
      </c>
      <c r="W10" s="63" t="e">
        <f t="shared" si="88"/>
        <v>#VALUE!</v>
      </c>
      <c r="X10" s="63" t="e">
        <f t="shared" si="89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21" customHeight="1" x14ac:dyDescent="0.15">
      <c r="A11" s="105">
        <v>40036009</v>
      </c>
      <c r="B11" s="105" t="s">
        <v>387</v>
      </c>
      <c r="C11" s="106">
        <v>3</v>
      </c>
      <c r="D11" s="106" t="s">
        <v>128</v>
      </c>
      <c r="E11" s="107" t="s">
        <v>279</v>
      </c>
      <c r="F11" s="107" t="s">
        <v>256</v>
      </c>
      <c r="G11" s="63" t="str">
        <f t="shared" si="75"/>
        <v>[effect:heal, target:enemy_all, val:0.3, animation:enemy_heal]</v>
      </c>
      <c r="H11" s="63">
        <f t="shared" si="76"/>
        <v>9</v>
      </c>
      <c r="I11" s="63">
        <f t="shared" si="77"/>
        <v>13</v>
      </c>
      <c r="J11" s="63">
        <f t="shared" si="78"/>
        <v>22</v>
      </c>
      <c r="K11" s="63">
        <f t="shared" si="79"/>
        <v>31</v>
      </c>
      <c r="L11" s="63" t="str">
        <f>IFERROR(VLOOKUP(MID(G11,J11,K11-J11),[6]skilldef!$C:$D,2,FALSE),"-") &amp; " / " &amp; IFERROR(VLOOKUP(MID(G11,H11,I11-H11),[6]skilldef!$A:$B,2,FALSE),"-")</f>
        <v>敵全体に / 回復</v>
      </c>
      <c r="M11" s="63" t="str">
        <f t="shared" si="80"/>
        <v>[effect:enemy_message, val1:1.3, val2:1.5]</v>
      </c>
      <c r="N11" s="48" t="str">
        <f>IFERROR(LEFT(M11,FIND("],",M11)+#REF!),M11)</f>
        <v>[effect:enemy_message, val1:1.3, val2:1.5]</v>
      </c>
      <c r="O11" s="63">
        <f t="shared" si="81"/>
        <v>9</v>
      </c>
      <c r="P11" s="63">
        <f t="shared" si="82"/>
        <v>22</v>
      </c>
      <c r="Q11" s="63" t="e">
        <f t="shared" si="83"/>
        <v>#VALUE!</v>
      </c>
      <c r="R11" s="63">
        <f t="shared" si="84"/>
        <v>32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85"/>
        <v>none</v>
      </c>
      <c r="U11" s="63" t="e">
        <f t="shared" si="86"/>
        <v>#VALUE!</v>
      </c>
      <c r="V11" s="63">
        <f t="shared" si="87"/>
        <v>4</v>
      </c>
      <c r="W11" s="63" t="e">
        <f t="shared" si="88"/>
        <v>#VALUE!</v>
      </c>
      <c r="X11" s="63" t="e">
        <f t="shared" si="89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21" customHeight="1" x14ac:dyDescent="0.15">
      <c r="A12" s="105">
        <v>40036010</v>
      </c>
      <c r="B12" s="105" t="s">
        <v>392</v>
      </c>
      <c r="C12" s="106">
        <v>3</v>
      </c>
      <c r="D12" s="106" t="s">
        <v>128</v>
      </c>
      <c r="E12" s="107" t="s">
        <v>280</v>
      </c>
      <c r="F12" s="107" t="s">
        <v>256</v>
      </c>
      <c r="G12" s="63" t="str">
        <f t="shared" si="75"/>
        <v>[effect:heal, target:enemy_all, val:0.3, animation:enemy_heal]</v>
      </c>
      <c r="H12" s="63">
        <f t="shared" si="76"/>
        <v>9</v>
      </c>
      <c r="I12" s="63">
        <f t="shared" si="77"/>
        <v>13</v>
      </c>
      <c r="J12" s="63">
        <f t="shared" si="78"/>
        <v>22</v>
      </c>
      <c r="K12" s="63">
        <f t="shared" si="79"/>
        <v>31</v>
      </c>
      <c r="L12" s="63" t="str">
        <f>IFERROR(VLOOKUP(MID(G12,J12,K12-J12),[6]skilldef!$C:$D,2,FALSE),"-") &amp; " / " &amp; IFERROR(VLOOKUP(MID(G12,H12,I12-H12),[6]skilldef!$A:$B,2,FALSE),"-")</f>
        <v>敵全体に / 回復</v>
      </c>
      <c r="M12" s="63" t="str">
        <f t="shared" si="80"/>
        <v>[effect:enemy_message, val1:1.4, val2:1.5]</v>
      </c>
      <c r="N12" s="48" t="str">
        <f>IFERROR(LEFT(M12,FIND("],",M12)+#REF!),M12)</f>
        <v>[effect:enemy_message, val1:1.4, val2:1.5]</v>
      </c>
      <c r="O12" s="63">
        <f t="shared" si="81"/>
        <v>9</v>
      </c>
      <c r="P12" s="63">
        <f t="shared" si="82"/>
        <v>22</v>
      </c>
      <c r="Q12" s="63" t="e">
        <f t="shared" si="83"/>
        <v>#VALUE!</v>
      </c>
      <c r="R12" s="63">
        <f t="shared" si="84"/>
        <v>32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85"/>
        <v>none</v>
      </c>
      <c r="U12" s="63" t="e">
        <f t="shared" si="86"/>
        <v>#VALUE!</v>
      </c>
      <c r="V12" s="63">
        <f t="shared" si="87"/>
        <v>4</v>
      </c>
      <c r="W12" s="63" t="e">
        <f t="shared" si="88"/>
        <v>#VALUE!</v>
      </c>
      <c r="X12" s="63" t="e">
        <f t="shared" si="89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21" customHeight="1" x14ac:dyDescent="0.15">
      <c r="A13" s="105">
        <v>40036011</v>
      </c>
      <c r="B13" s="105" t="s">
        <v>391</v>
      </c>
      <c r="C13" s="106">
        <v>3</v>
      </c>
      <c r="D13" s="106" t="s">
        <v>128</v>
      </c>
      <c r="E13" s="107" t="s">
        <v>277</v>
      </c>
      <c r="F13" s="107" t="s">
        <v>256</v>
      </c>
      <c r="G13" s="63" t="str">
        <f t="shared" si="75"/>
        <v>[effect:heal, target:enemy_all, val:0.3, animation:enemy_heal]</v>
      </c>
      <c r="H13" s="63">
        <f t="shared" si="76"/>
        <v>9</v>
      </c>
      <c r="I13" s="63">
        <f t="shared" si="77"/>
        <v>13</v>
      </c>
      <c r="J13" s="63">
        <f t="shared" si="78"/>
        <v>22</v>
      </c>
      <c r="K13" s="63">
        <f t="shared" si="79"/>
        <v>31</v>
      </c>
      <c r="L13" s="63" t="str">
        <f>IFERROR(VLOOKUP(MID(G13,J13,K13-J13),[6]skilldef!$C:$D,2,FALSE),"-") &amp; " / " &amp; IFERROR(VLOOKUP(MID(G13,H13,I13-H13),[6]skilldef!$A:$B,2,FALSE),"-")</f>
        <v>敵全体に / 回復</v>
      </c>
      <c r="M13" s="63" t="str">
        <f t="shared" si="80"/>
        <v>[effect:enemy_message, val1:1.0, val2:1.5]</v>
      </c>
      <c r="N13" s="48" t="str">
        <f>IFERROR(LEFT(M13,FIND("],",M13)+#REF!),M13)</f>
        <v>[effect:enemy_message, val1:1.0, val2:1.5]</v>
      </c>
      <c r="O13" s="63">
        <f t="shared" si="81"/>
        <v>9</v>
      </c>
      <c r="P13" s="63">
        <f t="shared" si="82"/>
        <v>22</v>
      </c>
      <c r="Q13" s="63" t="e">
        <f t="shared" si="83"/>
        <v>#VALUE!</v>
      </c>
      <c r="R13" s="63">
        <f t="shared" si="84"/>
        <v>32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85"/>
        <v>none</v>
      </c>
      <c r="U13" s="63" t="e">
        <f t="shared" si="86"/>
        <v>#VALUE!</v>
      </c>
      <c r="V13" s="63">
        <f t="shared" si="87"/>
        <v>4</v>
      </c>
      <c r="W13" s="63" t="e">
        <f t="shared" si="88"/>
        <v>#VALUE!</v>
      </c>
      <c r="X13" s="63" t="e">
        <f t="shared" si="89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21" customHeight="1" x14ac:dyDescent="0.15">
      <c r="A14" s="105">
        <v>40036012</v>
      </c>
      <c r="B14" s="105" t="s">
        <v>391</v>
      </c>
      <c r="C14" s="106">
        <v>3</v>
      </c>
      <c r="D14" s="106" t="s">
        <v>128</v>
      </c>
      <c r="E14" s="107" t="s">
        <v>393</v>
      </c>
      <c r="F14" s="107" t="s">
        <v>256</v>
      </c>
      <c r="G14" s="63" t="str">
        <f t="shared" ref="G14" si="90">IFERROR(LEFT(B14,FIND("],",B14)),B14)</f>
        <v>[effect:heal, target:enemy_all, val:0.3, animation:enemy_heal]</v>
      </c>
      <c r="H14" s="63">
        <f t="shared" ref="H14" si="91">FIND("effect:",G14)+7</f>
        <v>9</v>
      </c>
      <c r="I14" s="63">
        <f t="shared" ref="I14" si="92">IFERROR(FIND(",",G14),LEN(G14))</f>
        <v>13</v>
      </c>
      <c r="J14" s="63">
        <f t="shared" ref="J14" si="93">FIND("target:",G14)+7</f>
        <v>22</v>
      </c>
      <c r="K14" s="63">
        <f t="shared" ref="K14" si="94">FIND(",",G14,I14+1)</f>
        <v>31</v>
      </c>
      <c r="L14" s="63" t="str">
        <f>IFERROR(VLOOKUP(MID(G14,J14,K14-J14),[6]skilldef!$C:$D,2,FALSE),"-") &amp; " / " &amp; IFERROR(VLOOKUP(MID(G14,H14,I14-H14),[6]skilldef!$A:$B,2,FALSE),"-")</f>
        <v>敵全体に / 回復</v>
      </c>
      <c r="M14" s="63" t="str">
        <f t="shared" ref="M14" si="95">IFERROR(RIGHT(B14,LEN(B14)-FIND("],",B14)-1),"none")</f>
        <v>[effect:enemy_message, val1:1.0, val2:1.5]</v>
      </c>
      <c r="N14" s="48" t="str">
        <f>IFERROR(LEFT(M14,FIND("],",M14)+#REF!),M14)</f>
        <v>[effect:enemy_message, val1:1.0, val2:1.5]</v>
      </c>
      <c r="O14" s="63">
        <f t="shared" ref="O14" si="96">FIND("effect:",N14)+7</f>
        <v>9</v>
      </c>
      <c r="P14" s="63">
        <f t="shared" ref="P14" si="97">IFERROR(FIND(",",N14),LEN(N14))</f>
        <v>22</v>
      </c>
      <c r="Q14" s="63" t="e">
        <f t="shared" ref="Q14" si="98">FIND("target:",N14)+7</f>
        <v>#VALUE!</v>
      </c>
      <c r="R14" s="63">
        <f t="shared" ref="R14" si="99">FIND(",",N14,P14+1)</f>
        <v>32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ref="T14" si="100">IFERROR(RIGHT(M14,LEN(M14)-FIND("],",M14)-1),"none")</f>
        <v>none</v>
      </c>
      <c r="U14" s="63" t="e">
        <f t="shared" ref="U14" si="101">FIND("effect:",T14)+7</f>
        <v>#VALUE!</v>
      </c>
      <c r="V14" s="63">
        <f t="shared" ref="V14" si="102">IFERROR(FIND(",",T14),LEN(T14))</f>
        <v>4</v>
      </c>
      <c r="W14" s="63" t="e">
        <f t="shared" ref="W14" si="103">FIND("target:",T14)+7</f>
        <v>#VALUE!</v>
      </c>
      <c r="X14" s="63" t="e">
        <f t="shared" ref="X14" si="104">FIND(",",T14,V14+1)</f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21" customHeight="1" x14ac:dyDescent="0.15">
      <c r="A15" s="105">
        <v>40036013</v>
      </c>
      <c r="B15" s="105" t="s">
        <v>391</v>
      </c>
      <c r="C15" s="106">
        <v>3</v>
      </c>
      <c r="D15" s="106" t="s">
        <v>128</v>
      </c>
      <c r="E15" s="107" t="s">
        <v>423</v>
      </c>
      <c r="F15" s="107" t="s">
        <v>256</v>
      </c>
      <c r="G15" s="63" t="str">
        <f t="shared" ref="G15" si="105">IFERROR(LEFT(B15,FIND("],",B15)),B15)</f>
        <v>[effect:heal, target:enemy_all, val:0.3, animation:enemy_heal]</v>
      </c>
      <c r="H15" s="63">
        <f t="shared" ref="H15" si="106">FIND("effect:",G15)+7</f>
        <v>9</v>
      </c>
      <c r="I15" s="63">
        <f t="shared" ref="I15" si="107">IFERROR(FIND(",",G15),LEN(G15))</f>
        <v>13</v>
      </c>
      <c r="J15" s="63">
        <f t="shared" ref="J15" si="108">FIND("target:",G15)+7</f>
        <v>22</v>
      </c>
      <c r="K15" s="63">
        <f t="shared" ref="K15" si="109">FIND(",",G15,I15+1)</f>
        <v>31</v>
      </c>
      <c r="L15" s="63" t="str">
        <f>IFERROR(VLOOKUP(MID(G15,J15,K15-J15),[6]skilldef!$C:$D,2,FALSE),"-") &amp; " / " &amp; IFERROR(VLOOKUP(MID(G15,H15,I15-H15),[6]skilldef!$A:$B,2,FALSE),"-")</f>
        <v>敵全体に / 回復</v>
      </c>
      <c r="M15" s="63" t="str">
        <f t="shared" ref="M15" si="110">IFERROR(RIGHT(B15,LEN(B15)-FIND("],",B15)-1),"none")</f>
        <v>[effect:enemy_message, val1:1.0, val2:1.5]</v>
      </c>
      <c r="N15" s="48" t="str">
        <f>IFERROR(LEFT(M15,FIND("],",M15)+#REF!),M15)</f>
        <v>[effect:enemy_message, val1:1.0, val2:1.5]</v>
      </c>
      <c r="O15" s="63">
        <f t="shared" ref="O15" si="111">FIND("effect:",N15)+7</f>
        <v>9</v>
      </c>
      <c r="P15" s="63">
        <f t="shared" ref="P15" si="112">IFERROR(FIND(",",N15),LEN(N15))</f>
        <v>22</v>
      </c>
      <c r="Q15" s="63" t="e">
        <f t="shared" ref="Q15" si="113">FIND("target:",N15)+7</f>
        <v>#VALUE!</v>
      </c>
      <c r="R15" s="63">
        <f t="shared" ref="R15" si="114">FIND(",",N15,P15+1)</f>
        <v>32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ref="T15" si="115">IFERROR(RIGHT(M15,LEN(M15)-FIND("],",M15)-1),"none")</f>
        <v>none</v>
      </c>
      <c r="U15" s="63" t="e">
        <f t="shared" ref="U15" si="116">FIND("effect:",T15)+7</f>
        <v>#VALUE!</v>
      </c>
      <c r="V15" s="63">
        <f t="shared" ref="V15" si="117">IFERROR(FIND(",",T15),LEN(T15))</f>
        <v>4</v>
      </c>
      <c r="W15" s="63" t="e">
        <f t="shared" ref="W15" si="118">FIND("target:",T15)+7</f>
        <v>#VALUE!</v>
      </c>
      <c r="X15" s="63" t="e">
        <f t="shared" ref="X15" si="119">FIND(",",T15,V15+1)</f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50" customHeight="1" x14ac:dyDescent="0.15">
      <c r="A16" s="105">
        <v>40036014</v>
      </c>
      <c r="B16" s="105" t="s">
        <v>435</v>
      </c>
      <c r="C16" s="106">
        <v>3</v>
      </c>
      <c r="D16" s="106" t="s">
        <v>128</v>
      </c>
      <c r="E16" s="107" t="s">
        <v>281</v>
      </c>
      <c r="F16" s="107" t="s">
        <v>256</v>
      </c>
      <c r="G16" s="63" t="str">
        <f t="shared" si="75"/>
        <v>[effect:heal, target:enemy_all, val:0.3, animation:enemy_heal]</v>
      </c>
      <c r="H16" s="63">
        <f t="shared" si="76"/>
        <v>9</v>
      </c>
      <c r="I16" s="63">
        <f t="shared" si="77"/>
        <v>13</v>
      </c>
      <c r="J16" s="63">
        <f t="shared" si="78"/>
        <v>22</v>
      </c>
      <c r="K16" s="63">
        <f t="shared" si="79"/>
        <v>31</v>
      </c>
      <c r="L16" s="63" t="str">
        <f>IFERROR(VLOOKUP(MID(G16,J16,K16-J16),[6]skilldef!$C:$D,2,FALSE),"-") &amp; " / " &amp; IFERROR(VLOOKUP(MID(G16,H16,I16-H16),[6]skilldef!$A:$B,2,FALSE),"-")</f>
        <v>敵全体に / 回復</v>
      </c>
      <c r="M16" s="63" t="str">
        <f t="shared" si="80"/>
        <v>[effect:enemy_message, val1:1.4, val2:1.5]</v>
      </c>
      <c r="N16" s="48" t="str">
        <f>IFERROR(LEFT(M16,FIND("],",M16)+#REF!),M16)</f>
        <v>[effect:enemy_message, val1:1.4, val2:1.5]</v>
      </c>
      <c r="O16" s="63">
        <f t="shared" si="81"/>
        <v>9</v>
      </c>
      <c r="P16" s="63">
        <f t="shared" si="82"/>
        <v>22</v>
      </c>
      <c r="Q16" s="63" t="e">
        <f t="shared" si="83"/>
        <v>#VALUE!</v>
      </c>
      <c r="R16" s="63">
        <f t="shared" si="84"/>
        <v>32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85"/>
        <v>none</v>
      </c>
      <c r="U16" s="63" t="e">
        <f t="shared" si="86"/>
        <v>#VALUE!</v>
      </c>
      <c r="V16" s="63">
        <f t="shared" si="87"/>
        <v>4</v>
      </c>
      <c r="W16" s="63" t="e">
        <f t="shared" si="88"/>
        <v>#VALUE!</v>
      </c>
      <c r="X16" s="63" t="e">
        <f t="shared" si="89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48" customHeight="1" x14ac:dyDescent="0.15">
      <c r="A17" s="105">
        <v>40036015</v>
      </c>
      <c r="B17" s="105" t="s">
        <v>436</v>
      </c>
      <c r="C17" s="106">
        <v>3</v>
      </c>
      <c r="D17" s="106" t="s">
        <v>128</v>
      </c>
      <c r="E17" s="107" t="s">
        <v>282</v>
      </c>
      <c r="F17" s="107" t="s">
        <v>275</v>
      </c>
      <c r="G17" s="63" t="str">
        <f t="shared" ref="G17" si="120">IFERROR(LEFT(B17,FIND("],",B17)),B17)</f>
        <v>[effect:enhance_enemy, target:myself, turn:-1, status:attack, val:0.5, calc:mul, animation:enemy_enhance_attack]</v>
      </c>
      <c r="H17" s="63">
        <f t="shared" ref="H17" si="121">FIND("effect:",G17)+7</f>
        <v>9</v>
      </c>
      <c r="I17" s="63">
        <f t="shared" ref="I17" si="122">IFERROR(FIND(",",G17),LEN(G17))</f>
        <v>22</v>
      </c>
      <c r="J17" s="63">
        <f t="shared" ref="J17" si="123">FIND("target:",G17)+7</f>
        <v>31</v>
      </c>
      <c r="K17" s="63">
        <f t="shared" ref="K17" si="124">FIND(",",G17,I17+1)</f>
        <v>37</v>
      </c>
      <c r="L17" s="63" t="str">
        <f>IFERROR(VLOOKUP(MID(G17,J17,K17-J17),[6]skilldef!$C:$D,2,FALSE),"-") &amp; " / " &amp; IFERROR(VLOOKUP(MID(G17,H17,I17-H17),[6]skilldef!$A:$B,2,FALSE),"-")</f>
        <v>自分自身に / ステータス強化</v>
      </c>
      <c r="M17" s="63" t="str">
        <f t="shared" ref="M17" si="125">IFERROR(RIGHT(B17,LEN(B17)-FIND("],",B17)-1),"none")</f>
        <v>[effect:enemy_message, val1:1.2, val2:1.5]</v>
      </c>
      <c r="N17" s="48" t="str">
        <f>IFERROR(LEFT(M17,FIND("],",M17)+#REF!),M17)</f>
        <v>[effect:enemy_message, val1:1.2, val2:1.5]</v>
      </c>
      <c r="O17" s="63">
        <f t="shared" ref="O17" si="126">FIND("effect:",N17)+7</f>
        <v>9</v>
      </c>
      <c r="P17" s="63">
        <f t="shared" ref="P17" si="127">IFERROR(FIND(",",N17),LEN(N17))</f>
        <v>22</v>
      </c>
      <c r="Q17" s="63" t="e">
        <f t="shared" ref="Q17" si="128">FIND("target:",N17)+7</f>
        <v>#VALUE!</v>
      </c>
      <c r="R17" s="63">
        <f t="shared" ref="R17" si="129">FIND(",",N17,P17+1)</f>
        <v>32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ref="T17" si="130">IFERROR(RIGHT(M17,LEN(M17)-FIND("],",M17)-1),"none")</f>
        <v>none</v>
      </c>
      <c r="U17" s="63" t="e">
        <f t="shared" ref="U17" si="131">FIND("effect:",T17)+7</f>
        <v>#VALUE!</v>
      </c>
      <c r="V17" s="63">
        <f t="shared" ref="V17" si="132">IFERROR(FIND(",",T17),LEN(T17))</f>
        <v>4</v>
      </c>
      <c r="W17" s="63" t="e">
        <f t="shared" ref="W17" si="133">FIND("target:",T17)+7</f>
        <v>#VALUE!</v>
      </c>
      <c r="X17" s="63" t="e">
        <f t="shared" ref="X17" si="134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44" customHeight="1" x14ac:dyDescent="0.15">
      <c r="A18" s="108">
        <v>40036100</v>
      </c>
      <c r="B18" s="108" t="s">
        <v>438</v>
      </c>
      <c r="C18" s="109">
        <v>3</v>
      </c>
      <c r="D18" s="109" t="s">
        <v>128</v>
      </c>
      <c r="E18" s="110" t="s">
        <v>357</v>
      </c>
      <c r="F18" s="110" t="s">
        <v>439</v>
      </c>
      <c r="G18" s="63" t="str">
        <f t="shared" si="0"/>
        <v>[effect:rush, count:1, val:1.0]</v>
      </c>
      <c r="H18" s="63">
        <f t="shared" si="1"/>
        <v>9</v>
      </c>
      <c r="I18" s="63">
        <f t="shared" si="2"/>
        <v>13</v>
      </c>
      <c r="J18" s="63" t="e">
        <f t="shared" si="3"/>
        <v>#VALUE!</v>
      </c>
      <c r="K18" s="63">
        <f t="shared" si="4"/>
        <v>22</v>
      </c>
      <c r="L18" s="63" t="str">
        <f>IFERROR(VLOOKUP(MID(G18,J18,K18-J18),[6]skilldef!$C:$D,2,FALSE),"-") &amp; " / " &amp; IFERROR(VLOOKUP(MID(G18,H18,I18-H18),[6]skilldef!$A:$B,2,FALSE),"-")</f>
        <v>- / 連続攻撃</v>
      </c>
      <c r="M18" s="63" t="str">
        <f t="shared" si="5"/>
        <v>[effect:enhance_enemy, target:myself, turn:-1, status:attack, val:0.25, calc:mul, animation:enemy_enhance_attack],[effect:enemy_message, val1:1.2, val2:1.5]</v>
      </c>
      <c r="N18" s="48" t="str">
        <f>IFERROR(LEFT(M18,FIND("],",M18)+S23),M18)</f>
        <v>[effect:enhance_enemy, target:myself, turn:-1, status:attack, val:0.25, calc:mul, animation:enemy_enhance_attack],[effect:enemy_message, val1:1.2, val2:1.5]</v>
      </c>
      <c r="O18" s="63">
        <f t="shared" si="6"/>
        <v>9</v>
      </c>
      <c r="P18" s="63">
        <f t="shared" si="7"/>
        <v>22</v>
      </c>
      <c r="Q18" s="63">
        <f t="shared" si="8"/>
        <v>31</v>
      </c>
      <c r="R18" s="63">
        <f t="shared" si="9"/>
        <v>37</v>
      </c>
      <c r="S18" s="63" t="str">
        <f>IFERROR(VLOOKUP(MID(N18,Q18,R18-Q18),[6]skilldef!$C:$D,2,FALSE),"-") &amp; " / " &amp; IFERROR(VLOOKUP(MID(N18,O18,P18-O18),[6]skilldef!$A:$B,2,FALSE),"-")</f>
        <v>自分自身に / ステータス強化</v>
      </c>
      <c r="T18" s="48" t="str">
        <f t="shared" si="10"/>
        <v>[effect:enemy_message, val1:1.2, val2:1.5]</v>
      </c>
      <c r="U18" s="63">
        <f t="shared" si="11"/>
        <v>9</v>
      </c>
      <c r="V18" s="63">
        <f t="shared" si="12"/>
        <v>22</v>
      </c>
      <c r="W18" s="63" t="e">
        <f t="shared" si="13"/>
        <v>#VALUE!</v>
      </c>
      <c r="X18" s="63">
        <f t="shared" si="14"/>
        <v>32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32" customHeight="1" x14ac:dyDescent="0.15">
      <c r="A19" s="108">
        <v>40036101</v>
      </c>
      <c r="B19" s="108" t="s">
        <v>319</v>
      </c>
      <c r="C19" s="109">
        <v>3</v>
      </c>
      <c r="D19" s="109" t="s">
        <v>128</v>
      </c>
      <c r="E19" s="110" t="s">
        <v>358</v>
      </c>
      <c r="F19" s="110" t="s">
        <v>440</v>
      </c>
      <c r="G19" s="63" t="str">
        <f t="shared" si="0"/>
        <v>[effect:rush, count:1, val:1.0]</v>
      </c>
      <c r="H19" s="63">
        <f t="shared" si="1"/>
        <v>9</v>
      </c>
      <c r="I19" s="63">
        <f t="shared" si="2"/>
        <v>13</v>
      </c>
      <c r="J19" s="63" t="e">
        <f t="shared" si="3"/>
        <v>#VALUE!</v>
      </c>
      <c r="K19" s="63">
        <f t="shared" si="4"/>
        <v>22</v>
      </c>
      <c r="L19" s="63" t="str">
        <f>IFERROR(VLOOKUP(MID(G19,J19,K19-J19),[6]skilldef!$C:$D,2,FALSE),"-") &amp; " / " &amp; IFERROR(VLOOKUP(MID(G19,H19,I19-H19),[6]skilldef!$A:$B,2,FALSE),"-")</f>
        <v>- / 連続攻撃</v>
      </c>
      <c r="M19" s="63" t="str">
        <f t="shared" si="5"/>
        <v>[effect:enhance_enemy, target:myself, turn:-1, status:attack, val:0.5, calc:mul, animation:enemy_enhance_attack],[effect:enemy_message, val1:1.2, val2:1.5]</v>
      </c>
      <c r="N19" s="48" t="str">
        <f>IFERROR(LEFT(M19,FIND("],",M19)+S37),M19)</f>
        <v>[effect:enhance_enemy, target:myself, turn:-1, status:attack, val:0.5, calc:mul, animation:enemy_enhance_attack],[effect:enemy_message, val1:1.2, val2:1.5]</v>
      </c>
      <c r="O19" s="63">
        <f t="shared" si="6"/>
        <v>9</v>
      </c>
      <c r="P19" s="63">
        <f t="shared" si="7"/>
        <v>22</v>
      </c>
      <c r="Q19" s="63">
        <f t="shared" si="8"/>
        <v>31</v>
      </c>
      <c r="R19" s="63">
        <f t="shared" si="9"/>
        <v>37</v>
      </c>
      <c r="S19" s="63" t="str">
        <f>IFERROR(VLOOKUP(MID(N19,Q19,R19-Q19),[6]skilldef!$C:$D,2,FALSE),"-") &amp; " / " &amp; IFERROR(VLOOKUP(MID(N19,O19,P19-O19),[6]skilldef!$A:$B,2,FALSE),"-")</f>
        <v>自分自身に / ステータス強化</v>
      </c>
      <c r="T19" s="48" t="str">
        <f t="shared" si="10"/>
        <v>[effect:enemy_message, val1:1.2, val2:1.5]</v>
      </c>
      <c r="U19" s="63">
        <f t="shared" si="11"/>
        <v>9</v>
      </c>
      <c r="V19" s="63">
        <f t="shared" si="12"/>
        <v>22</v>
      </c>
      <c r="W19" s="63" t="e">
        <f t="shared" si="13"/>
        <v>#VALUE!</v>
      </c>
      <c r="X19" s="63">
        <f t="shared" si="14"/>
        <v>32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34" customHeight="1" x14ac:dyDescent="0.15">
      <c r="A20" s="108">
        <v>40036102</v>
      </c>
      <c r="B20" s="108" t="s">
        <v>320</v>
      </c>
      <c r="C20" s="109">
        <v>3</v>
      </c>
      <c r="D20" s="109" t="s">
        <v>128</v>
      </c>
      <c r="E20" s="110" t="s">
        <v>292</v>
      </c>
      <c r="F20" s="110" t="s">
        <v>440</v>
      </c>
      <c r="G20" s="63" t="str">
        <f t="shared" si="0"/>
        <v>[effect:rush, count:1, val:1.0]</v>
      </c>
      <c r="H20" s="63">
        <f t="shared" si="1"/>
        <v>9</v>
      </c>
      <c r="I20" s="63">
        <f t="shared" si="2"/>
        <v>13</v>
      </c>
      <c r="J20" s="63" t="e">
        <f t="shared" si="3"/>
        <v>#VALUE!</v>
      </c>
      <c r="K20" s="63">
        <f t="shared" si="4"/>
        <v>22</v>
      </c>
      <c r="L20" s="63" t="str">
        <f>IFERROR(VLOOKUP(MID(G20,J20,K20-J20),[6]skilldef!$C:$D,2,FALSE),"-") &amp; " / " &amp; IFERROR(VLOOKUP(MID(G20,H20,I20-H20),[6]skilldef!$A:$B,2,FALSE),"-")</f>
        <v>- / 連続攻撃</v>
      </c>
      <c r="M20" s="63" t="str">
        <f t="shared" si="5"/>
        <v>[effect:enhance_enemy, target:myself, turn:-1, status:attack, val:0.75, calc:mul, animation:enemy_enhance_attack],[effect:enemy_message, val1:1.2, val2:1.5]</v>
      </c>
      <c r="N20" s="48" t="str">
        <f>IFERROR(LEFT(M20,FIND("],",M20)+S42),M20)</f>
        <v>[effect:enhance_enemy, target:myself, turn:-1, status:attack, val:0.75, calc:mul, animation:enemy_enhance_attack],[effect:enemy_message, val1:1.2, val2:1.5]</v>
      </c>
      <c r="O20" s="63">
        <f t="shared" si="6"/>
        <v>9</v>
      </c>
      <c r="P20" s="63">
        <f t="shared" si="7"/>
        <v>22</v>
      </c>
      <c r="Q20" s="63">
        <f t="shared" si="8"/>
        <v>31</v>
      </c>
      <c r="R20" s="63">
        <f t="shared" si="9"/>
        <v>37</v>
      </c>
      <c r="S20" s="63" t="str">
        <f>IFERROR(VLOOKUP(MID(N20,Q20,R20-Q20),[6]skilldef!$C:$D,2,FALSE),"-") &amp; " / " &amp; IFERROR(VLOOKUP(MID(N20,O20,P20-O20),[6]skilldef!$A:$B,2,FALSE),"-")</f>
        <v>自分自身に / ステータス強化</v>
      </c>
      <c r="T20" s="48" t="str">
        <f t="shared" si="10"/>
        <v>[effect:enemy_message, val1:1.2, val2:1.5]</v>
      </c>
      <c r="U20" s="63">
        <f t="shared" si="11"/>
        <v>9</v>
      </c>
      <c r="V20" s="63">
        <f t="shared" si="12"/>
        <v>22</v>
      </c>
      <c r="W20" s="63" t="e">
        <f t="shared" si="13"/>
        <v>#VALUE!</v>
      </c>
      <c r="X20" s="63">
        <f t="shared" si="14"/>
        <v>32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35" customHeight="1" x14ac:dyDescent="0.15">
      <c r="A21" s="108">
        <v>40036103</v>
      </c>
      <c r="B21" s="108" t="s">
        <v>321</v>
      </c>
      <c r="C21" s="109">
        <v>3</v>
      </c>
      <c r="D21" s="109" t="s">
        <v>128</v>
      </c>
      <c r="E21" s="110" t="s">
        <v>293</v>
      </c>
      <c r="F21" s="110" t="s">
        <v>441</v>
      </c>
      <c r="G21" s="63" t="str">
        <f t="shared" si="0"/>
        <v>[effect:rush, count:1, val:1.0]</v>
      </c>
      <c r="H21" s="63">
        <f t="shared" si="1"/>
        <v>9</v>
      </c>
      <c r="I21" s="63">
        <f t="shared" si="2"/>
        <v>13</v>
      </c>
      <c r="J21" s="63" t="e">
        <f t="shared" si="3"/>
        <v>#VALUE!</v>
      </c>
      <c r="K21" s="63">
        <f t="shared" si="4"/>
        <v>22</v>
      </c>
      <c r="L21" s="63" t="str">
        <f>IFERROR(VLOOKUP(MID(G21,J21,K21-J21),[6]skilldef!$C:$D,2,FALSE),"-") &amp; " / " &amp; IFERROR(VLOOKUP(MID(G21,H21,I21-H21),[6]skilldef!$A:$B,2,FALSE),"-")</f>
        <v>- / 連続攻撃</v>
      </c>
      <c r="M21" s="63" t="str">
        <f t="shared" si="5"/>
        <v>[effect:enhance_enemy, target:myself, turn:-1, status:attack, val:1.0, calc:mul, animation:enemy_enhance_attack],[effect:enemy_message, val1:1.2, val2:1.5]</v>
      </c>
      <c r="N21" s="48" t="str">
        <f>IFERROR(LEFT(M21,FIND("],",M21)+S44),M21)</f>
        <v>[effect:enhance_enemy, target:myself, turn:-1, status:attack, val:1.0, calc:mul, animation:enemy_enhance_attack],[effect:enemy_message, val1:1.2, val2:1.5]</v>
      </c>
      <c r="O21" s="63">
        <f t="shared" si="6"/>
        <v>9</v>
      </c>
      <c r="P21" s="63">
        <f t="shared" si="7"/>
        <v>22</v>
      </c>
      <c r="Q21" s="63">
        <f t="shared" si="8"/>
        <v>31</v>
      </c>
      <c r="R21" s="63">
        <f t="shared" si="9"/>
        <v>37</v>
      </c>
      <c r="S21" s="63" t="str">
        <f>IFERROR(VLOOKUP(MID(N21,Q21,R21-Q21),[6]skilldef!$C:$D,2,FALSE),"-") &amp; " / " &amp; IFERROR(VLOOKUP(MID(N21,O21,P21-O21),[6]skilldef!$A:$B,2,FALSE),"-")</f>
        <v>自分自身に / ステータス強化</v>
      </c>
      <c r="T21" s="48" t="str">
        <f t="shared" si="10"/>
        <v>[effect:enemy_message, val1:1.2, val2:1.5]</v>
      </c>
      <c r="U21" s="63">
        <f t="shared" si="11"/>
        <v>9</v>
      </c>
      <c r="V21" s="63">
        <f t="shared" si="12"/>
        <v>22</v>
      </c>
      <c r="W21" s="63" t="e">
        <f t="shared" si="13"/>
        <v>#VALUE!</v>
      </c>
      <c r="X21" s="63">
        <f t="shared" si="14"/>
        <v>32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38" customHeight="1" x14ac:dyDescent="0.15">
      <c r="A22" s="108">
        <v>40036104</v>
      </c>
      <c r="B22" s="108" t="s">
        <v>322</v>
      </c>
      <c r="C22" s="109">
        <v>3</v>
      </c>
      <c r="D22" s="109" t="s">
        <v>128</v>
      </c>
      <c r="E22" s="110" t="s">
        <v>292</v>
      </c>
      <c r="F22" s="110" t="s">
        <v>441</v>
      </c>
      <c r="G22" s="63" t="str">
        <f t="shared" si="0"/>
        <v>[effect:rush, count:1, val:1.0]</v>
      </c>
      <c r="H22" s="63">
        <f t="shared" si="1"/>
        <v>9</v>
      </c>
      <c r="I22" s="63">
        <f t="shared" si="2"/>
        <v>13</v>
      </c>
      <c r="J22" s="63" t="e">
        <f t="shared" si="3"/>
        <v>#VALUE!</v>
      </c>
      <c r="K22" s="63">
        <f t="shared" si="4"/>
        <v>22</v>
      </c>
      <c r="L22" s="63" t="str">
        <f>IFERROR(VLOOKUP(MID(G22,J22,K22-J22),[6]skilldef!$C:$D,2,FALSE),"-") &amp; " / " &amp; IFERROR(VLOOKUP(MID(G22,H22,I22-H22),[6]skilldef!$A:$B,2,FALSE),"-")</f>
        <v>- / 連続攻撃</v>
      </c>
      <c r="M22" s="63" t="str">
        <f t="shared" si="5"/>
        <v>[effect:enhance_enemy, target:myself, turn:-1, status:attack, val:1.25, calc:mul, animation:enemy_enhance_attack],[effect:enemy_message, val1:1.2, val2:1.5]</v>
      </c>
      <c r="N22" s="48" t="str">
        <f>IFERROR(LEFT(M22,FIND("],",M22)+S52),M22)</f>
        <v>[effect:enhance_enemy, target:myself, turn:-1, status:attack, val:1.25, calc:mul, animation:enemy_enhance_attack],[effect:enemy_message, val1:1.2, val2:1.5]</v>
      </c>
      <c r="O22" s="63">
        <f t="shared" si="6"/>
        <v>9</v>
      </c>
      <c r="P22" s="63">
        <f t="shared" si="7"/>
        <v>22</v>
      </c>
      <c r="Q22" s="63">
        <f t="shared" si="8"/>
        <v>31</v>
      </c>
      <c r="R22" s="63">
        <f t="shared" si="9"/>
        <v>37</v>
      </c>
      <c r="S22" s="63" t="str">
        <f>IFERROR(VLOOKUP(MID(N22,Q22,R22-Q22),[6]skilldef!$C:$D,2,FALSE),"-") &amp; " / " &amp; IFERROR(VLOOKUP(MID(N22,O22,P22-O22),[6]skilldef!$A:$B,2,FALSE),"-")</f>
        <v>自分自身に / ステータス強化</v>
      </c>
      <c r="T22" s="48" t="str">
        <f t="shared" si="10"/>
        <v>[effect:enemy_message, val1:1.2, val2:1.5]</v>
      </c>
      <c r="U22" s="63">
        <f t="shared" si="11"/>
        <v>9</v>
      </c>
      <c r="V22" s="63">
        <f t="shared" si="12"/>
        <v>22</v>
      </c>
      <c r="W22" s="63" t="e">
        <f t="shared" si="13"/>
        <v>#VALUE!</v>
      </c>
      <c r="X22" s="63">
        <f t="shared" si="14"/>
        <v>32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37" customHeight="1" x14ac:dyDescent="0.15">
      <c r="A23" s="108">
        <v>40036105</v>
      </c>
      <c r="B23" s="108" t="s">
        <v>323</v>
      </c>
      <c r="C23" s="109">
        <v>3</v>
      </c>
      <c r="D23" s="109" t="s">
        <v>128</v>
      </c>
      <c r="E23" s="110" t="s">
        <v>293</v>
      </c>
      <c r="F23" s="110" t="s">
        <v>441</v>
      </c>
      <c r="G23" s="63" t="str">
        <f t="shared" si="0"/>
        <v>[effect:rush, count:1, val:1.0]</v>
      </c>
      <c r="H23" s="63">
        <f t="shared" si="1"/>
        <v>9</v>
      </c>
      <c r="I23" s="63">
        <f t="shared" si="2"/>
        <v>13</v>
      </c>
      <c r="J23" s="63" t="e">
        <f t="shared" si="3"/>
        <v>#VALUE!</v>
      </c>
      <c r="K23" s="63">
        <f t="shared" si="4"/>
        <v>22</v>
      </c>
      <c r="L23" s="63" t="str">
        <f>IFERROR(VLOOKUP(MID(G23,J23,K23-J23),[6]skilldef!$C:$D,2,FALSE),"-") &amp; " / " &amp; IFERROR(VLOOKUP(MID(G23,H23,I23-H23),[6]skilldef!$A:$B,2,FALSE),"-")</f>
        <v>- / 連続攻撃</v>
      </c>
      <c r="M23" s="63" t="str">
        <f t="shared" si="5"/>
        <v>[effect:enhance_enemy, target:myself, turn:-1, status:attack, val:1.5, calc:mul, animation:enemy_enhance_attack],[effect:enemy_message, val1:1.2, val2:1.5]</v>
      </c>
      <c r="N23" s="48" t="str">
        <f>IFERROR(LEFT(M23,FIND("],",M23)+S54),M23)</f>
        <v>[effect:enhance_enemy, target:myself, turn:-1, status:attack, val:1.5, calc:mul, animation:enemy_enhance_attack],[effect:enemy_message, val1:1.2, val2:1.5]</v>
      </c>
      <c r="O23" s="63">
        <f t="shared" si="6"/>
        <v>9</v>
      </c>
      <c r="P23" s="63">
        <f t="shared" si="7"/>
        <v>22</v>
      </c>
      <c r="Q23" s="63">
        <f t="shared" si="8"/>
        <v>31</v>
      </c>
      <c r="R23" s="63">
        <f t="shared" si="9"/>
        <v>37</v>
      </c>
      <c r="S23" s="63" t="str">
        <f>IFERROR(VLOOKUP(MID(N23,Q23,R23-Q23),[6]skilldef!$C:$D,2,FALSE),"-") &amp; " / " &amp; IFERROR(VLOOKUP(MID(N23,O23,P23-O23),[6]skilldef!$A:$B,2,FALSE),"-")</f>
        <v>自分自身に / ステータス強化</v>
      </c>
      <c r="T23" s="48" t="str">
        <f t="shared" si="10"/>
        <v>[effect:enemy_message, val1:1.2, val2:1.5]</v>
      </c>
      <c r="U23" s="63">
        <f t="shared" si="11"/>
        <v>9</v>
      </c>
      <c r="V23" s="63">
        <f t="shared" si="12"/>
        <v>22</v>
      </c>
      <c r="W23" s="63" t="e">
        <f t="shared" si="13"/>
        <v>#VALUE!</v>
      </c>
      <c r="X23" s="63">
        <f t="shared" si="14"/>
        <v>32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45" customHeight="1" x14ac:dyDescent="0.15">
      <c r="A24" s="108">
        <v>40036106</v>
      </c>
      <c r="B24" s="108" t="s">
        <v>324</v>
      </c>
      <c r="C24" s="109">
        <v>3</v>
      </c>
      <c r="D24" s="109" t="s">
        <v>128</v>
      </c>
      <c r="E24" s="110" t="s">
        <v>292</v>
      </c>
      <c r="F24" s="110" t="s">
        <v>441</v>
      </c>
      <c r="G24" s="63" t="str">
        <f t="shared" ref="G24:G31" si="135">IFERROR(LEFT(B24,FIND("],",B24)),B24)</f>
        <v>[effect:rush, count:1, val:1.0]</v>
      </c>
      <c r="H24" s="63">
        <f t="shared" ref="H24:H31" si="136">FIND("effect:",G24)+7</f>
        <v>9</v>
      </c>
      <c r="I24" s="63">
        <f t="shared" ref="I24:I31" si="137">IFERROR(FIND(",",G24),LEN(G24))</f>
        <v>13</v>
      </c>
      <c r="J24" s="63" t="e">
        <f t="shared" ref="J24:J31" si="138">FIND("target:",G24)+7</f>
        <v>#VALUE!</v>
      </c>
      <c r="K24" s="63">
        <f t="shared" ref="K24:K31" si="139">FIND(",",G24,I24+1)</f>
        <v>22</v>
      </c>
      <c r="L24" s="63" t="str">
        <f>IFERROR(VLOOKUP(MID(G24,J24,K24-J24),[6]skilldef!$C:$D,2,FALSE),"-") &amp; " / " &amp; IFERROR(VLOOKUP(MID(G24,H24,I24-H24),[6]skilldef!$A:$B,2,FALSE),"-")</f>
        <v>- / 連続攻撃</v>
      </c>
      <c r="M24" s="63" t="str">
        <f t="shared" ref="M24:M31" si="140">IFERROR(RIGHT(B24,LEN(B24)-FIND("],",B24)-1),"none")</f>
        <v>[effect:enhance_enemy, target:myself, turn:-1, status:attack, val:2.0, calc:mul, animation:enemy_enhance_attack],[effect:enemy_message, val1:1.2, val2:1.5]</v>
      </c>
      <c r="N24" s="48" t="str">
        <f>IFERROR(LEFT(M24,FIND("],",M24)+S54),M24)</f>
        <v>[effect:enhance_enemy, target:myself, turn:-1, status:attack, val:2.0, calc:mul, animation:enemy_enhance_attack],[effect:enemy_message, val1:1.2, val2:1.5]</v>
      </c>
      <c r="O24" s="63">
        <f t="shared" ref="O24:O31" si="141">FIND("effect:",N24)+7</f>
        <v>9</v>
      </c>
      <c r="P24" s="63">
        <f t="shared" ref="P24:P31" si="142">IFERROR(FIND(",",N24),LEN(N24))</f>
        <v>22</v>
      </c>
      <c r="Q24" s="63">
        <f t="shared" ref="Q24:Q31" si="143">FIND("target:",N24)+7</f>
        <v>31</v>
      </c>
      <c r="R24" s="63">
        <f t="shared" ref="R24:R31" si="144">FIND(",",N24,P24+1)</f>
        <v>37</v>
      </c>
      <c r="S24" s="63" t="str">
        <f>IFERROR(VLOOKUP(MID(N24,Q24,R24-Q24),[6]skilldef!$C:$D,2,FALSE),"-") &amp; " / " &amp; IFERROR(VLOOKUP(MID(N24,O24,P24-O24),[6]skilldef!$A:$B,2,FALSE),"-")</f>
        <v>自分自身に / ステータス強化</v>
      </c>
      <c r="T24" s="48" t="str">
        <f t="shared" ref="T24:T31" si="145">IFERROR(RIGHT(M24,LEN(M24)-FIND("],",M24)-1),"none")</f>
        <v>[effect:enemy_message, val1:1.2, val2:1.5]</v>
      </c>
      <c r="U24" s="63">
        <f t="shared" ref="U24:U31" si="146">FIND("effect:",T24)+7</f>
        <v>9</v>
      </c>
      <c r="V24" s="63">
        <f t="shared" ref="V24:V31" si="147">IFERROR(FIND(",",T24),LEN(T24))</f>
        <v>22</v>
      </c>
      <c r="W24" s="63" t="e">
        <f t="shared" ref="W24:W31" si="148">FIND("target:",T24)+7</f>
        <v>#VALUE!</v>
      </c>
      <c r="X24" s="63">
        <f t="shared" ref="X24:X31" si="149">FIND(",",T24,V24+1)</f>
        <v>32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53" customHeight="1" x14ac:dyDescent="0.15">
      <c r="A25" s="108">
        <v>40036107</v>
      </c>
      <c r="B25" s="108" t="s">
        <v>325</v>
      </c>
      <c r="C25" s="109">
        <v>3</v>
      </c>
      <c r="D25" s="109" t="s">
        <v>128</v>
      </c>
      <c r="E25" s="110" t="s">
        <v>294</v>
      </c>
      <c r="F25" s="110" t="s">
        <v>441</v>
      </c>
      <c r="G25" s="63" t="str">
        <f t="shared" si="135"/>
        <v>[effect:rush, count:1, val:1.0]</v>
      </c>
      <c r="H25" s="63">
        <f t="shared" si="136"/>
        <v>9</v>
      </c>
      <c r="I25" s="63">
        <f t="shared" si="137"/>
        <v>13</v>
      </c>
      <c r="J25" s="63" t="e">
        <f t="shared" si="138"/>
        <v>#VALUE!</v>
      </c>
      <c r="K25" s="63">
        <f t="shared" si="139"/>
        <v>22</v>
      </c>
      <c r="L25" s="63" t="str">
        <f>IFERROR(VLOOKUP(MID(G25,J25,K25-J25),[6]skilldef!$C:$D,2,FALSE),"-") &amp; " / " &amp; IFERROR(VLOOKUP(MID(G25,H25,I25-H25),[6]skilldef!$A:$B,2,FALSE),"-")</f>
        <v>- / 連続攻撃</v>
      </c>
      <c r="M25" s="63" t="str">
        <f t="shared" si="140"/>
        <v>[effect:enhance_enemy, target:myself, turn:-1, status:attack, val:2.5, calc:mul, animation:enemy_enhance_attack],[effect:enemy_message, val1:1.2, val2:1.5]</v>
      </c>
      <c r="N25" s="48" t="str">
        <f>IFERROR(LEFT(M25,FIND("],",M25)+S56),M25)</f>
        <v>[effect:enhance_enemy, target:myself, turn:-1, status:attack, val:2.5, calc:mul, animation:enemy_enhance_attack],[effect:enemy_message, val1:1.2, val2:1.5]</v>
      </c>
      <c r="O25" s="63">
        <f t="shared" si="141"/>
        <v>9</v>
      </c>
      <c r="P25" s="63">
        <f t="shared" si="142"/>
        <v>22</v>
      </c>
      <c r="Q25" s="63">
        <f t="shared" si="143"/>
        <v>31</v>
      </c>
      <c r="R25" s="63">
        <f t="shared" si="144"/>
        <v>37</v>
      </c>
      <c r="S25" s="63" t="str">
        <f>IFERROR(VLOOKUP(MID(N25,Q25,R25-Q25),[6]skilldef!$C:$D,2,FALSE),"-") &amp; " / " &amp; IFERROR(VLOOKUP(MID(N25,O25,P25-O25),[6]skilldef!$A:$B,2,FALSE),"-")</f>
        <v>自分自身に / ステータス強化</v>
      </c>
      <c r="T25" s="48" t="str">
        <f t="shared" si="145"/>
        <v>[effect:enemy_message, val1:1.2, val2:1.5]</v>
      </c>
      <c r="U25" s="63">
        <f t="shared" si="146"/>
        <v>9</v>
      </c>
      <c r="V25" s="63">
        <f t="shared" si="147"/>
        <v>22</v>
      </c>
      <c r="W25" s="63" t="e">
        <f t="shared" si="148"/>
        <v>#VALUE!</v>
      </c>
      <c r="X25" s="63">
        <f t="shared" si="149"/>
        <v>32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44" customHeight="1" x14ac:dyDescent="0.15">
      <c r="A26" s="108">
        <v>40036108</v>
      </c>
      <c r="B26" s="108" t="s">
        <v>394</v>
      </c>
      <c r="C26" s="109">
        <v>3</v>
      </c>
      <c r="D26" s="109" t="s">
        <v>128</v>
      </c>
      <c r="E26" s="110" t="s">
        <v>357</v>
      </c>
      <c r="F26" s="110" t="s">
        <v>439</v>
      </c>
      <c r="G26" s="63" t="str">
        <f t="shared" si="135"/>
        <v>[effect:rush, count:1, val:1.0]</v>
      </c>
      <c r="H26" s="63">
        <f t="shared" si="136"/>
        <v>9</v>
      </c>
      <c r="I26" s="63">
        <f t="shared" si="137"/>
        <v>13</v>
      </c>
      <c r="J26" s="63" t="e">
        <f t="shared" si="138"/>
        <v>#VALUE!</v>
      </c>
      <c r="K26" s="63">
        <f t="shared" si="139"/>
        <v>22</v>
      </c>
      <c r="L26" s="63" t="str">
        <f>IFERROR(VLOOKUP(MID(G26,J26,K26-J26),[6]skilldef!$C:$D,2,FALSE),"-") &amp; " / " &amp; IFERROR(VLOOKUP(MID(G26,H26,I26-H26),[6]skilldef!$A:$B,2,FALSE),"-")</f>
        <v>- / 連続攻撃</v>
      </c>
      <c r="M26" s="63" t="str">
        <f t="shared" si="140"/>
        <v>[effect:enhance_enemy, target:myself, turn:-1, status:attack, val:0.2, calc:mul, animation:enemy_enhance_attack],[effect:enemy_message, val1:1.2, val2:1.5]</v>
      </c>
      <c r="N26" s="48" t="str">
        <f>IFERROR(LEFT(M26,FIND("],",M26)+S31),M26)</f>
        <v>[effect:enhance_enemy, target:myself, turn:-1, status:attack, val:0.2, calc:mul, animation:enemy_enhance_attack],[effect:enemy_message, val1:1.2, val2:1.5]</v>
      </c>
      <c r="O26" s="63">
        <f t="shared" si="141"/>
        <v>9</v>
      </c>
      <c r="P26" s="63">
        <f t="shared" si="142"/>
        <v>22</v>
      </c>
      <c r="Q26" s="63">
        <f t="shared" si="143"/>
        <v>31</v>
      </c>
      <c r="R26" s="63">
        <f t="shared" si="144"/>
        <v>37</v>
      </c>
      <c r="S26" s="63" t="str">
        <f>IFERROR(VLOOKUP(MID(N26,Q26,R26-Q26),[6]skilldef!$C:$D,2,FALSE),"-") &amp; " / " &amp; IFERROR(VLOOKUP(MID(N26,O26,P26-O26),[6]skilldef!$A:$B,2,FALSE),"-")</f>
        <v>自分自身に / ステータス強化</v>
      </c>
      <c r="T26" s="48" t="str">
        <f t="shared" si="145"/>
        <v>[effect:enemy_message, val1:1.2, val2:1.5]</v>
      </c>
      <c r="U26" s="63">
        <f t="shared" si="146"/>
        <v>9</v>
      </c>
      <c r="V26" s="63">
        <f t="shared" si="147"/>
        <v>22</v>
      </c>
      <c r="W26" s="63" t="e">
        <f t="shared" si="148"/>
        <v>#VALUE!</v>
      </c>
      <c r="X26" s="63">
        <f t="shared" si="149"/>
        <v>32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32" customHeight="1" x14ac:dyDescent="0.15">
      <c r="A27" s="108">
        <v>40036109</v>
      </c>
      <c r="B27" s="108" t="s">
        <v>395</v>
      </c>
      <c r="C27" s="109">
        <v>3</v>
      </c>
      <c r="D27" s="109" t="s">
        <v>128</v>
      </c>
      <c r="E27" s="110" t="s">
        <v>358</v>
      </c>
      <c r="F27" s="110" t="s">
        <v>439</v>
      </c>
      <c r="G27" s="63" t="str">
        <f t="shared" si="135"/>
        <v>[effect:rush, count:1, val:1.0]</v>
      </c>
      <c r="H27" s="63">
        <f t="shared" si="136"/>
        <v>9</v>
      </c>
      <c r="I27" s="63">
        <f t="shared" si="137"/>
        <v>13</v>
      </c>
      <c r="J27" s="63" t="e">
        <f t="shared" si="138"/>
        <v>#VALUE!</v>
      </c>
      <c r="K27" s="63">
        <f t="shared" si="139"/>
        <v>22</v>
      </c>
      <c r="L27" s="63" t="str">
        <f>IFERROR(VLOOKUP(MID(G27,J27,K27-J27),[6]skilldef!$C:$D,2,FALSE),"-") &amp; " / " &amp; IFERROR(VLOOKUP(MID(G27,H27,I27-H27),[6]skilldef!$A:$B,2,FALSE),"-")</f>
        <v>- / 連続攻撃</v>
      </c>
      <c r="M27" s="63" t="str">
        <f t="shared" si="140"/>
        <v>[effect:enhance_enemy, target:myself, turn:-1, status:attack, val:0.4, calc:mul, animation:enemy_enhance_attack],[effect:enemy_message, val1:1.2, val2:1.5]</v>
      </c>
      <c r="N27" s="48" t="str">
        <f>IFERROR(LEFT(M27,FIND("],",M27)+S45),M27)</f>
        <v>[effect:enhance_enemy, target:myself, turn:-1, status:attack, val:0.4, calc:mul, animation:enemy_enhance_attack],[effect:enemy_message, val1:1.2, val2:1.5]</v>
      </c>
      <c r="O27" s="63">
        <f t="shared" si="141"/>
        <v>9</v>
      </c>
      <c r="P27" s="63">
        <f t="shared" si="142"/>
        <v>22</v>
      </c>
      <c r="Q27" s="63">
        <f t="shared" si="143"/>
        <v>31</v>
      </c>
      <c r="R27" s="63">
        <f t="shared" si="144"/>
        <v>37</v>
      </c>
      <c r="S27" s="63" t="str">
        <f>IFERROR(VLOOKUP(MID(N27,Q27,R27-Q27),[6]skilldef!$C:$D,2,FALSE),"-") &amp; " / " &amp; IFERROR(VLOOKUP(MID(N27,O27,P27-O27),[6]skilldef!$A:$B,2,FALSE),"-")</f>
        <v>自分自身に / ステータス強化</v>
      </c>
      <c r="T27" s="48" t="str">
        <f t="shared" si="145"/>
        <v>[effect:enemy_message, val1:1.2, val2:1.5]</v>
      </c>
      <c r="U27" s="63">
        <f t="shared" si="146"/>
        <v>9</v>
      </c>
      <c r="V27" s="63">
        <f t="shared" si="147"/>
        <v>22</v>
      </c>
      <c r="W27" s="63" t="e">
        <f t="shared" si="148"/>
        <v>#VALUE!</v>
      </c>
      <c r="X27" s="63">
        <f t="shared" si="149"/>
        <v>32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34" customHeight="1" x14ac:dyDescent="0.15">
      <c r="A28" s="108">
        <v>40036110</v>
      </c>
      <c r="B28" s="108" t="s">
        <v>396</v>
      </c>
      <c r="C28" s="109">
        <v>3</v>
      </c>
      <c r="D28" s="109" t="s">
        <v>128</v>
      </c>
      <c r="E28" s="110" t="s">
        <v>292</v>
      </c>
      <c r="F28" s="110" t="s">
        <v>440</v>
      </c>
      <c r="G28" s="63" t="str">
        <f t="shared" si="135"/>
        <v>[effect:rush, count:1, val:1.0]</v>
      </c>
      <c r="H28" s="63">
        <f t="shared" si="136"/>
        <v>9</v>
      </c>
      <c r="I28" s="63">
        <f t="shared" si="137"/>
        <v>13</v>
      </c>
      <c r="J28" s="63" t="e">
        <f t="shared" si="138"/>
        <v>#VALUE!</v>
      </c>
      <c r="K28" s="63">
        <f t="shared" si="139"/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140"/>
        <v>[effect:enhance_enemy, target:myself, turn:-1, status:attack, val:0.6, calc:mul, animation:enemy_enhance_attack],[effect:enemy_message, val1:1.2, val2:1.5]</v>
      </c>
      <c r="N28" s="48" t="str">
        <f>IFERROR(LEFT(M28,FIND("],",M28)+S50),M28)</f>
        <v>[effect:enhance_enemy, target:myself, turn:-1, status:attack, val:0.6, calc:mul, animation:enemy_enhance_attack],[effect:enemy_message, val1:1.2, val2:1.5]</v>
      </c>
      <c r="O28" s="63">
        <f t="shared" si="141"/>
        <v>9</v>
      </c>
      <c r="P28" s="63">
        <f t="shared" si="142"/>
        <v>22</v>
      </c>
      <c r="Q28" s="63">
        <f t="shared" si="143"/>
        <v>31</v>
      </c>
      <c r="R28" s="63">
        <f t="shared" si="144"/>
        <v>37</v>
      </c>
      <c r="S28" s="63" t="str">
        <f>IFERROR(VLOOKUP(MID(N28,Q28,R28-Q28),[6]skilldef!$C:$D,2,FALSE),"-") &amp; " / " &amp; IFERROR(VLOOKUP(MID(N28,O28,P28-O28),[6]skilldef!$A:$B,2,FALSE),"-")</f>
        <v>自分自身に / ステータス強化</v>
      </c>
      <c r="T28" s="48" t="str">
        <f t="shared" si="145"/>
        <v>[effect:enemy_message, val1:1.2, val2:1.5]</v>
      </c>
      <c r="U28" s="63">
        <f t="shared" si="146"/>
        <v>9</v>
      </c>
      <c r="V28" s="63">
        <f t="shared" si="147"/>
        <v>22</v>
      </c>
      <c r="W28" s="63" t="e">
        <f t="shared" si="148"/>
        <v>#VALUE!</v>
      </c>
      <c r="X28" s="63">
        <f t="shared" si="149"/>
        <v>32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35" customHeight="1" x14ac:dyDescent="0.15">
      <c r="A29" s="108">
        <v>40036111</v>
      </c>
      <c r="B29" s="108" t="s">
        <v>397</v>
      </c>
      <c r="C29" s="109">
        <v>3</v>
      </c>
      <c r="D29" s="109" t="s">
        <v>128</v>
      </c>
      <c r="E29" s="110" t="s">
        <v>293</v>
      </c>
      <c r="F29" s="110" t="s">
        <v>442</v>
      </c>
      <c r="G29" s="63" t="str">
        <f t="shared" si="135"/>
        <v>[effect:rush, count:1, val:1.0]</v>
      </c>
      <c r="H29" s="63">
        <f t="shared" si="136"/>
        <v>9</v>
      </c>
      <c r="I29" s="63">
        <f t="shared" si="137"/>
        <v>13</v>
      </c>
      <c r="J29" s="63" t="e">
        <f t="shared" si="138"/>
        <v>#VALUE!</v>
      </c>
      <c r="K29" s="63">
        <f t="shared" si="139"/>
        <v>22</v>
      </c>
      <c r="L29" s="63" t="str">
        <f>IFERROR(VLOOKUP(MID(G29,J29,K29-J29),[6]skilldef!$C:$D,2,FALSE),"-") &amp; " / " &amp; IFERROR(VLOOKUP(MID(G29,H29,I29-H29),[6]skilldef!$A:$B,2,FALSE),"-")</f>
        <v>- / 連続攻撃</v>
      </c>
      <c r="M29" s="63" t="str">
        <f t="shared" si="140"/>
        <v>[effect:enhance_enemy, target:myself, turn:-1, status:attack, val:0.8, calc:mul, animation:enemy_enhance_attack],[effect:enemy_message, val1:1.2, val2:1.5]</v>
      </c>
      <c r="N29" s="48" t="str">
        <f>IFERROR(LEFT(M29,FIND("],",M29)+S52),M29)</f>
        <v>[effect:enhance_enemy, target:myself, turn:-1, status:attack, val:0.8, calc:mul, animation:enemy_enhance_attack],[effect:enemy_message, val1:1.2, val2:1.5]</v>
      </c>
      <c r="O29" s="63">
        <f t="shared" si="141"/>
        <v>9</v>
      </c>
      <c r="P29" s="63">
        <f t="shared" si="142"/>
        <v>22</v>
      </c>
      <c r="Q29" s="63">
        <f t="shared" si="143"/>
        <v>31</v>
      </c>
      <c r="R29" s="63">
        <f t="shared" si="144"/>
        <v>37</v>
      </c>
      <c r="S29" s="63" t="str">
        <f>IFERROR(VLOOKUP(MID(N29,Q29,R29-Q29),[6]skilldef!$C:$D,2,FALSE),"-") &amp; " / " &amp; IFERROR(VLOOKUP(MID(N29,O29,P29-O29),[6]skilldef!$A:$B,2,FALSE),"-")</f>
        <v>自分自身に / ステータス強化</v>
      </c>
      <c r="T29" s="48" t="str">
        <f t="shared" si="145"/>
        <v>[effect:enemy_message, val1:1.2, val2:1.5]</v>
      </c>
      <c r="U29" s="63">
        <f t="shared" si="146"/>
        <v>9</v>
      </c>
      <c r="V29" s="63">
        <f t="shared" si="147"/>
        <v>22</v>
      </c>
      <c r="W29" s="63" t="e">
        <f t="shared" si="148"/>
        <v>#VALUE!</v>
      </c>
      <c r="X29" s="63">
        <f t="shared" si="149"/>
        <v>32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38" customHeight="1" x14ac:dyDescent="0.15">
      <c r="A30" s="108">
        <v>40036112</v>
      </c>
      <c r="B30" s="108" t="s">
        <v>321</v>
      </c>
      <c r="C30" s="109">
        <v>3</v>
      </c>
      <c r="D30" s="109" t="s">
        <v>128</v>
      </c>
      <c r="E30" s="110" t="s">
        <v>292</v>
      </c>
      <c r="F30" s="110" t="s">
        <v>441</v>
      </c>
      <c r="G30" s="63" t="str">
        <f t="shared" si="135"/>
        <v>[effect:rush, count:1, val:1.0]</v>
      </c>
      <c r="H30" s="63">
        <f t="shared" si="136"/>
        <v>9</v>
      </c>
      <c r="I30" s="63">
        <f t="shared" si="137"/>
        <v>13</v>
      </c>
      <c r="J30" s="63" t="e">
        <f t="shared" si="138"/>
        <v>#VALUE!</v>
      </c>
      <c r="K30" s="63">
        <f t="shared" si="139"/>
        <v>22</v>
      </c>
      <c r="L30" s="63" t="str">
        <f>IFERROR(VLOOKUP(MID(G30,J30,K30-J30),[6]skilldef!$C:$D,2,FALSE),"-") &amp; " / " &amp; IFERROR(VLOOKUP(MID(G30,H30,I30-H30),[6]skilldef!$A:$B,2,FALSE),"-")</f>
        <v>- / 連続攻撃</v>
      </c>
      <c r="M30" s="63" t="str">
        <f t="shared" si="140"/>
        <v>[effect:enhance_enemy, target:myself, turn:-1, status:attack, val:1.0, calc:mul, animation:enemy_enhance_attack],[effect:enemy_message, val1:1.2, val2:1.5]</v>
      </c>
      <c r="N30" s="48" t="str">
        <f>IFERROR(LEFT(M30,FIND("],",M30)+S60),M30)</f>
        <v>[effect:enhance_enemy, target:myself, turn:-1, status:attack, val:1.0, calc:mul, animation:enemy_enhance_attack],[effect:enemy_message, val1:1.2, val2:1.5]</v>
      </c>
      <c r="O30" s="63">
        <f t="shared" si="141"/>
        <v>9</v>
      </c>
      <c r="P30" s="63">
        <f t="shared" si="142"/>
        <v>22</v>
      </c>
      <c r="Q30" s="63">
        <f t="shared" si="143"/>
        <v>31</v>
      </c>
      <c r="R30" s="63">
        <f t="shared" si="144"/>
        <v>37</v>
      </c>
      <c r="S30" s="63" t="str">
        <f>IFERROR(VLOOKUP(MID(N30,Q30,R30-Q30),[6]skilldef!$C:$D,2,FALSE),"-") &amp; " / " &amp; IFERROR(VLOOKUP(MID(N30,O30,P30-O30),[6]skilldef!$A:$B,2,FALSE),"-")</f>
        <v>自分自身に / ステータス強化</v>
      </c>
      <c r="T30" s="48" t="str">
        <f t="shared" si="145"/>
        <v>[effect:enemy_message, val1:1.2, val2:1.5]</v>
      </c>
      <c r="U30" s="63">
        <f t="shared" si="146"/>
        <v>9</v>
      </c>
      <c r="V30" s="63">
        <f t="shared" si="147"/>
        <v>22</v>
      </c>
      <c r="W30" s="63" t="e">
        <f t="shared" si="148"/>
        <v>#VALUE!</v>
      </c>
      <c r="X30" s="63">
        <f t="shared" si="149"/>
        <v>32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</row>
    <row r="31" spans="1:28" ht="37" customHeight="1" x14ac:dyDescent="0.15">
      <c r="A31" s="108">
        <v>40036113</v>
      </c>
      <c r="B31" s="108" t="s">
        <v>398</v>
      </c>
      <c r="C31" s="109">
        <v>3</v>
      </c>
      <c r="D31" s="109" t="s">
        <v>128</v>
      </c>
      <c r="E31" s="110" t="s">
        <v>293</v>
      </c>
      <c r="F31" s="110" t="s">
        <v>441</v>
      </c>
      <c r="G31" s="63" t="str">
        <f t="shared" si="135"/>
        <v>[effect:rush, count:1, val:1.0]</v>
      </c>
      <c r="H31" s="63">
        <f t="shared" si="136"/>
        <v>9</v>
      </c>
      <c r="I31" s="63">
        <f t="shared" si="137"/>
        <v>13</v>
      </c>
      <c r="J31" s="63" t="e">
        <f t="shared" si="138"/>
        <v>#VALUE!</v>
      </c>
      <c r="K31" s="63">
        <f t="shared" si="139"/>
        <v>22</v>
      </c>
      <c r="L31" s="63" t="str">
        <f>IFERROR(VLOOKUP(MID(G31,J31,K31-J31),[6]skilldef!$C:$D,2,FALSE),"-") &amp; " / " &amp; IFERROR(VLOOKUP(MID(G31,H31,I31-H31),[6]skilldef!$A:$B,2,FALSE),"-")</f>
        <v>- / 連続攻撃</v>
      </c>
      <c r="M31" s="63" t="str">
        <f t="shared" si="140"/>
        <v>[effect:enhance_enemy, target:myself, turn:-1, status:attack, val:1.2, calc:mul, animation:enemy_enhance_attack],[effect:enemy_message, val1:1.2, val2:1.5]</v>
      </c>
      <c r="N31" s="48" t="str">
        <f>IFERROR(LEFT(M31,FIND("],",M31)+S62),M31)</f>
        <v>[effect:enhance_enemy, target:myself, turn:-1, status:attack, val:1.2, calc:mul, animation:enemy_enhance_attack],[effect:enemy_message, val1:1.2, val2:1.5]</v>
      </c>
      <c r="O31" s="63">
        <f t="shared" si="141"/>
        <v>9</v>
      </c>
      <c r="P31" s="63">
        <f t="shared" si="142"/>
        <v>22</v>
      </c>
      <c r="Q31" s="63">
        <f t="shared" si="143"/>
        <v>31</v>
      </c>
      <c r="R31" s="63">
        <f t="shared" si="144"/>
        <v>37</v>
      </c>
      <c r="S31" s="63" t="str">
        <f>IFERROR(VLOOKUP(MID(N31,Q31,R31-Q31),[6]skilldef!$C:$D,2,FALSE),"-") &amp; " / " &amp; IFERROR(VLOOKUP(MID(N31,O31,P31-O31),[6]skilldef!$A:$B,2,FALSE),"-")</f>
        <v>自分自身に / ステータス強化</v>
      </c>
      <c r="T31" s="48" t="str">
        <f t="shared" si="145"/>
        <v>[effect:enemy_message, val1:1.2, val2:1.5]</v>
      </c>
      <c r="U31" s="63">
        <f t="shared" si="146"/>
        <v>9</v>
      </c>
      <c r="V31" s="63">
        <f t="shared" si="147"/>
        <v>22</v>
      </c>
      <c r="W31" s="63" t="e">
        <f t="shared" si="148"/>
        <v>#VALUE!</v>
      </c>
      <c r="X31" s="63">
        <f t="shared" si="149"/>
        <v>32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45" customHeight="1" x14ac:dyDescent="0.15">
      <c r="A32" s="108">
        <v>40036114</v>
      </c>
      <c r="B32" s="108" t="s">
        <v>399</v>
      </c>
      <c r="C32" s="109">
        <v>3</v>
      </c>
      <c r="D32" s="109" t="s">
        <v>128</v>
      </c>
      <c r="E32" s="110" t="s">
        <v>292</v>
      </c>
      <c r="F32" s="110" t="s">
        <v>441</v>
      </c>
      <c r="G32" s="63" t="str">
        <f t="shared" ref="G32:G33" si="150">IFERROR(LEFT(B32,FIND("],",B32)),B32)</f>
        <v>[effect:rush, count:1, val:1.0]</v>
      </c>
      <c r="H32" s="63">
        <f t="shared" ref="H32:H33" si="151">FIND("effect:",G32)+7</f>
        <v>9</v>
      </c>
      <c r="I32" s="63">
        <f t="shared" ref="I32:I33" si="152">IFERROR(FIND(",",G32),LEN(G32))</f>
        <v>13</v>
      </c>
      <c r="J32" s="63" t="e">
        <f t="shared" ref="J32:J33" si="153">FIND("target:",G32)+7</f>
        <v>#VALUE!</v>
      </c>
      <c r="K32" s="63">
        <f t="shared" ref="K32:K33" si="154">FIND(",",G32,I32+1)</f>
        <v>22</v>
      </c>
      <c r="L32" s="63" t="str">
        <f>IFERROR(VLOOKUP(MID(G32,J32,K32-J32),[6]skilldef!$C:$D,2,FALSE),"-") &amp; " / " &amp; IFERROR(VLOOKUP(MID(G32,H32,I32-H32),[6]skilldef!$A:$B,2,FALSE),"-")</f>
        <v>- / 連続攻撃</v>
      </c>
      <c r="M32" s="63" t="str">
        <f t="shared" ref="M32:M33" si="155">IFERROR(RIGHT(B32,LEN(B32)-FIND("],",B32)-1),"none")</f>
        <v>[effect:enhance_enemy, target:myself, turn:-1, status:attack, val:1.4, calc:mul, animation:enemy_enhance_attack],[effect:enemy_message, val1:1.2, val2:1.5]</v>
      </c>
      <c r="N32" s="48" t="str">
        <f>IFERROR(LEFT(M32,FIND("],",M32)+S62),M32)</f>
        <v>[effect:enhance_enemy, target:myself, turn:-1, status:attack, val:1.4, calc:mul, animation:enemy_enhance_attack],[effect:enemy_message, val1:1.2, val2:1.5]</v>
      </c>
      <c r="O32" s="63">
        <f t="shared" ref="O32:O33" si="156">FIND("effect:",N32)+7</f>
        <v>9</v>
      </c>
      <c r="P32" s="63">
        <f t="shared" ref="P32:P33" si="157">IFERROR(FIND(",",N32),LEN(N32))</f>
        <v>22</v>
      </c>
      <c r="Q32" s="63">
        <f t="shared" ref="Q32:Q33" si="158">FIND("target:",N32)+7</f>
        <v>31</v>
      </c>
      <c r="R32" s="63">
        <f t="shared" ref="R32:R33" si="159">FIND(",",N32,P32+1)</f>
        <v>37</v>
      </c>
      <c r="S32" s="63" t="str">
        <f>IFERROR(VLOOKUP(MID(N32,Q32,R32-Q32),[6]skilldef!$C:$D,2,FALSE),"-") &amp; " / " &amp; IFERROR(VLOOKUP(MID(N32,O32,P32-O32),[6]skilldef!$A:$B,2,FALSE),"-")</f>
        <v>自分自身に / ステータス強化</v>
      </c>
      <c r="T32" s="48" t="str">
        <f t="shared" ref="T32:T33" si="160">IFERROR(RIGHT(M32,LEN(M32)-FIND("],",M32)-1),"none")</f>
        <v>[effect:enemy_message, val1:1.2, val2:1.5]</v>
      </c>
      <c r="U32" s="63">
        <f t="shared" ref="U32:U33" si="161">FIND("effect:",T32)+7</f>
        <v>9</v>
      </c>
      <c r="V32" s="63">
        <f t="shared" ref="V32:V33" si="162">IFERROR(FIND(",",T32),LEN(T32))</f>
        <v>22</v>
      </c>
      <c r="W32" s="63" t="e">
        <f t="shared" ref="W32:W33" si="163">FIND("target:",T32)+7</f>
        <v>#VALUE!</v>
      </c>
      <c r="X32" s="63">
        <f t="shared" ref="X32:X33" si="164">FIND(",",T32,V32+1)</f>
        <v>32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</row>
    <row r="33" spans="1:28" ht="53" customHeight="1" x14ac:dyDescent="0.15">
      <c r="A33" s="108">
        <v>40036115</v>
      </c>
      <c r="B33" s="108" t="s">
        <v>437</v>
      </c>
      <c r="C33" s="109">
        <v>3</v>
      </c>
      <c r="D33" s="109" t="s">
        <v>128</v>
      </c>
      <c r="E33" s="110" t="s">
        <v>294</v>
      </c>
      <c r="F33" s="110" t="s">
        <v>441</v>
      </c>
      <c r="G33" s="63" t="str">
        <f t="shared" si="150"/>
        <v>[effect:rush, count:1, val:1.0]</v>
      </c>
      <c r="H33" s="63">
        <f t="shared" si="151"/>
        <v>9</v>
      </c>
      <c r="I33" s="63">
        <f t="shared" si="152"/>
        <v>13</v>
      </c>
      <c r="J33" s="63" t="e">
        <f t="shared" si="153"/>
        <v>#VALUE!</v>
      </c>
      <c r="K33" s="63">
        <f t="shared" si="154"/>
        <v>22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si="155"/>
        <v>[effect:enhance_enemy, target:myself, turn:-1, status:attack, val:1.6, calc:mul, animation:enemy_enhance_attack],[effect:enemy_message, val1:1.2, val2:1.5]</v>
      </c>
      <c r="N33" s="48" t="str">
        <f>IFERROR(LEFT(M33,FIND("],",M33)+S64),M33)</f>
        <v>[effect:enhance_enemy, target:myself, turn:-1, status:attack, val:1.6, calc:mul, animation:enemy_enhance_attack],[effect:enemy_message, val1:1.2, val2:1.5]</v>
      </c>
      <c r="O33" s="63">
        <f t="shared" si="156"/>
        <v>9</v>
      </c>
      <c r="P33" s="63">
        <f t="shared" si="157"/>
        <v>22</v>
      </c>
      <c r="Q33" s="63">
        <f t="shared" si="158"/>
        <v>31</v>
      </c>
      <c r="R33" s="63">
        <f t="shared" si="159"/>
        <v>37</v>
      </c>
      <c r="S33" s="63" t="str">
        <f>IFERROR(VLOOKUP(MID(N33,Q33,R33-Q33),[6]skilldef!$C:$D,2,FALSE),"-") &amp; " / " &amp; IFERROR(VLOOKUP(MID(N33,O33,P33-O33),[6]skilldef!$A:$B,2,FALSE),"-")</f>
        <v>自分自身に / ステータス強化</v>
      </c>
      <c r="T33" s="48" t="str">
        <f t="shared" si="160"/>
        <v>[effect:enemy_message, val1:1.2, val2:1.5]</v>
      </c>
      <c r="U33" s="63">
        <f t="shared" si="161"/>
        <v>9</v>
      </c>
      <c r="V33" s="63">
        <f t="shared" si="162"/>
        <v>22</v>
      </c>
      <c r="W33" s="63" t="e">
        <f t="shared" si="163"/>
        <v>#VALUE!</v>
      </c>
      <c r="X33" s="63">
        <f t="shared" si="164"/>
        <v>32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21" customHeight="1" x14ac:dyDescent="0.15">
      <c r="A34" s="111">
        <v>40036200</v>
      </c>
      <c r="B34" s="111" t="s">
        <v>326</v>
      </c>
      <c r="C34" s="112">
        <v>3</v>
      </c>
      <c r="D34" s="112" t="s">
        <v>128</v>
      </c>
      <c r="E34" s="113" t="s">
        <v>362</v>
      </c>
      <c r="F34" s="113" t="s">
        <v>265</v>
      </c>
      <c r="G34" s="63" t="str">
        <f t="shared" si="0"/>
        <v>[effect:damage_gravity, val:0.6, animation:fevergauge_down]</v>
      </c>
      <c r="H34" s="63">
        <f t="shared" si="1"/>
        <v>9</v>
      </c>
      <c r="I34" s="63">
        <f t="shared" si="2"/>
        <v>23</v>
      </c>
      <c r="J34" s="63" t="e">
        <f t="shared" si="3"/>
        <v>#VALUE!</v>
      </c>
      <c r="K34" s="63">
        <f t="shared" si="4"/>
        <v>32</v>
      </c>
      <c r="L34" s="63" t="str">
        <f>IFERROR(VLOOKUP(MID(G34,J34,K34-J34),[6]skilldef!$C:$D,2,FALSE),"-") &amp; " / " &amp; IFERROR(VLOOKUP(MID(G34,H34,I34-H34),[6]skilldef!$A:$B,2,FALSE),"-")</f>
        <v>- / 割合ダメージ</v>
      </c>
      <c r="M34" s="63" t="str">
        <f t="shared" si="5"/>
        <v>[effect:enemy_message, val1:1.2, val2:1.5]</v>
      </c>
      <c r="N34" s="48" t="str">
        <f>IFERROR(LEFT(M34,FIND("],",M34)+S55),M34)</f>
        <v>[effect:enemy_message, val1:1.2, val2:1.5]</v>
      </c>
      <c r="O34" s="63">
        <f t="shared" si="6"/>
        <v>9</v>
      </c>
      <c r="P34" s="63">
        <f t="shared" si="7"/>
        <v>22</v>
      </c>
      <c r="Q34" s="63" t="e">
        <f t="shared" si="8"/>
        <v>#VALUE!</v>
      </c>
      <c r="R34" s="63">
        <f t="shared" si="9"/>
        <v>32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0"/>
        <v>none</v>
      </c>
      <c r="U34" s="63" t="e">
        <f t="shared" si="11"/>
        <v>#VALUE!</v>
      </c>
      <c r="V34" s="63">
        <f t="shared" si="12"/>
        <v>4</v>
      </c>
      <c r="W34" s="63" t="e">
        <f t="shared" si="13"/>
        <v>#VALUE!</v>
      </c>
      <c r="X34" s="63" t="e">
        <f t="shared" si="14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21" customHeight="1" x14ac:dyDescent="0.15">
      <c r="A35" s="111">
        <v>40036201</v>
      </c>
      <c r="B35" s="111" t="s">
        <v>327</v>
      </c>
      <c r="C35" s="112">
        <v>3</v>
      </c>
      <c r="D35" s="112" t="s">
        <v>128</v>
      </c>
      <c r="E35" s="113" t="s">
        <v>283</v>
      </c>
      <c r="F35" s="113" t="s">
        <v>266</v>
      </c>
      <c r="G35" s="63" t="str">
        <f t="shared" ref="G35" si="165">IFERROR(LEFT(B35,FIND("],",B35)),B35)</f>
        <v>[effect:spread, val:0.30]</v>
      </c>
      <c r="H35" s="63">
        <f t="shared" ref="H35" si="166">FIND("effect:",G35)+7</f>
        <v>9</v>
      </c>
      <c r="I35" s="63">
        <f t="shared" ref="I35" si="167">IFERROR(FIND(",",G35),LEN(G35))</f>
        <v>15</v>
      </c>
      <c r="J35" s="63" t="e">
        <f t="shared" ref="J35" si="168">FIND("target:",G35)+7</f>
        <v>#VALUE!</v>
      </c>
      <c r="K35" s="63" t="e">
        <f t="shared" ref="K35" si="169">FIND(",",G35,I35+1)</f>
        <v>#VALUE!</v>
      </c>
      <c r="L35" s="63" t="str">
        <f>IFERROR(VLOOKUP(MID(G35,J35,K35-J35),[6]skilldef!$C:$D,2,FALSE),"-") &amp; " / " &amp; IFERROR(VLOOKUP(MID(G35,H35,I35-H35),[6]skilldef!$A:$B,2,FALSE),"-")</f>
        <v>- / 全体攻撃</v>
      </c>
      <c r="M35" s="63" t="str">
        <f t="shared" ref="M35" si="170">IFERROR(RIGHT(B35,LEN(B35)-FIND("],",B35)-1),"none")</f>
        <v>[effect:enemy_message, val1:1.0, val2:1.5]</v>
      </c>
      <c r="N35" s="48" t="str">
        <f>IFERROR(LEFT(M35,FIND("],",M35)+S56),M35)</f>
        <v>[effect:enemy_message, val1:1.0, val2:1.5]</v>
      </c>
      <c r="O35" s="63">
        <f t="shared" ref="O35" si="171">FIND("effect:",N35)+7</f>
        <v>9</v>
      </c>
      <c r="P35" s="63">
        <f t="shared" ref="P35" si="172">IFERROR(FIND(",",N35),LEN(N35))</f>
        <v>22</v>
      </c>
      <c r="Q35" s="63" t="e">
        <f t="shared" ref="Q35" si="173">FIND("target:",N35)+7</f>
        <v>#VALUE!</v>
      </c>
      <c r="R35" s="63">
        <f t="shared" ref="R35" si="174">FIND(",",N35,P35+1)</f>
        <v>32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ref="T35" si="175">IFERROR(RIGHT(M35,LEN(M35)-FIND("],",M35)-1),"none")</f>
        <v>none</v>
      </c>
      <c r="U35" s="63" t="e">
        <f t="shared" ref="U35" si="176">FIND("effect:",T35)+7</f>
        <v>#VALUE!</v>
      </c>
      <c r="V35" s="63">
        <f t="shared" ref="V35" si="177">IFERROR(FIND(",",T35),LEN(T35))</f>
        <v>4</v>
      </c>
      <c r="W35" s="63" t="e">
        <f t="shared" ref="W35" si="178">FIND("target:",T35)+7</f>
        <v>#VALUE!</v>
      </c>
      <c r="X35" s="63" t="e">
        <f t="shared" ref="X35" si="179">FIND(",",T35,V35+1)</f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</row>
    <row r="36" spans="1:28" ht="21" customHeight="1" x14ac:dyDescent="0.15">
      <c r="A36" s="111">
        <v>40036202</v>
      </c>
      <c r="B36" s="111" t="s">
        <v>328</v>
      </c>
      <c r="C36" s="112">
        <v>3</v>
      </c>
      <c r="D36" s="112" t="s">
        <v>128</v>
      </c>
      <c r="E36" s="113" t="s">
        <v>285</v>
      </c>
      <c r="F36" s="113" t="s">
        <v>267</v>
      </c>
      <c r="G36" s="63" t="str">
        <f t="shared" ref="G36" si="180">IFERROR(LEFT(B36,FIND("],",B36)),B36)</f>
        <v>[effect:enemy_message, val1:1.4, val2:1.8]</v>
      </c>
      <c r="H36" s="63">
        <f t="shared" ref="H36" si="181">FIND("effect:",G36)+7</f>
        <v>9</v>
      </c>
      <c r="I36" s="63">
        <f t="shared" ref="I36" si="182">IFERROR(FIND(",",G36),LEN(G36))</f>
        <v>22</v>
      </c>
      <c r="J36" s="63" t="e">
        <f t="shared" ref="J36" si="183">FIND("target:",G36)+7</f>
        <v>#VALUE!</v>
      </c>
      <c r="K36" s="63">
        <f t="shared" ref="K36" si="184">FIND(",",G36,I36+1)</f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ref="M36" si="185">IFERROR(RIGHT(B36,LEN(B36)-FIND("],",B36)-1),"none")</f>
        <v>none</v>
      </c>
      <c r="N36" s="48" t="str">
        <f>IFERROR(LEFT(M36,FIND("],",M36)+S57),M36)</f>
        <v>none</v>
      </c>
      <c r="O36" s="63" t="e">
        <f t="shared" ref="O36" si="186">FIND("effect:",N36)+7</f>
        <v>#VALUE!</v>
      </c>
      <c r="P36" s="63">
        <f t="shared" ref="P36" si="187">IFERROR(FIND(",",N36),LEN(N36))</f>
        <v>4</v>
      </c>
      <c r="Q36" s="63" t="e">
        <f t="shared" ref="Q36" si="188">FIND("target:",N36)+7</f>
        <v>#VALUE!</v>
      </c>
      <c r="R36" s="63" t="e">
        <f t="shared" ref="R36" si="189">FIND(",",N36,P36+1)</f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ref="T36" si="190">IFERROR(RIGHT(M36,LEN(M36)-FIND("],",M36)-1),"none")</f>
        <v>none</v>
      </c>
      <c r="U36" s="63" t="e">
        <f t="shared" ref="U36" si="191">FIND("effect:",T36)+7</f>
        <v>#VALUE!</v>
      </c>
      <c r="V36" s="63">
        <f t="shared" ref="V36" si="192">IFERROR(FIND(",",T36),LEN(T36))</f>
        <v>4</v>
      </c>
      <c r="W36" s="63" t="e">
        <f t="shared" ref="W36" si="193">FIND("target:",T36)+7</f>
        <v>#VALUE!</v>
      </c>
      <c r="X36" s="63" t="e">
        <f t="shared" ref="X36" si="194">FIND(",",T36,V36+1)</f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21" customHeight="1" x14ac:dyDescent="0.15">
      <c r="A37" s="114">
        <v>40036300</v>
      </c>
      <c r="B37" s="114" t="s">
        <v>329</v>
      </c>
      <c r="C37" s="115">
        <v>3</v>
      </c>
      <c r="D37" s="115" t="s">
        <v>128</v>
      </c>
      <c r="E37" s="116" t="s">
        <v>363</v>
      </c>
      <c r="F37" s="116" t="s">
        <v>273</v>
      </c>
      <c r="G37" s="63" t="str">
        <f t="shared" si="0"/>
        <v>[effect:degrade_unit, target:unit_all, turn:5, status:attack, val:0.5, calc:mul]</v>
      </c>
      <c r="H37" s="63">
        <f t="shared" si="1"/>
        <v>9</v>
      </c>
      <c r="I37" s="63">
        <f t="shared" si="2"/>
        <v>21</v>
      </c>
      <c r="J37" s="63">
        <f t="shared" si="3"/>
        <v>30</v>
      </c>
      <c r="K37" s="63">
        <f t="shared" si="4"/>
        <v>38</v>
      </c>
      <c r="L37" s="63" t="str">
        <f>IFERROR(VLOOKUP(MID(G37,J37,K37-J37),[6]skilldef!$C:$D,2,FALSE),"-") &amp; " / " &amp; IFERROR(VLOOKUP(MID(G37,H37,I37-H37),[6]skilldef!$A:$B,2,FALSE),"-")</f>
        <v>味方全体に / ステータスDOWN</v>
      </c>
      <c r="M37" s="63" t="str">
        <f t="shared" si="5"/>
        <v>[effect:enemy_message, val1:1.5, val2:2.1]</v>
      </c>
      <c r="N37" s="48" t="str">
        <f>IFERROR(LEFT(M37,FIND("],",M37)+S56),M37)</f>
        <v>[effect:enemy_message, val1:1.5, val2:2.1]</v>
      </c>
      <c r="O37" s="63">
        <f t="shared" si="6"/>
        <v>9</v>
      </c>
      <c r="P37" s="63">
        <f t="shared" si="7"/>
        <v>22</v>
      </c>
      <c r="Q37" s="63" t="e">
        <f t="shared" si="8"/>
        <v>#VALUE!</v>
      </c>
      <c r="R37" s="63">
        <f t="shared" si="9"/>
        <v>32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21" customHeight="1" x14ac:dyDescent="0.15">
      <c r="A38" s="114">
        <v>40036301</v>
      </c>
      <c r="B38" s="114" t="s">
        <v>327</v>
      </c>
      <c r="C38" s="115">
        <v>3</v>
      </c>
      <c r="D38" s="115" t="s">
        <v>128</v>
      </c>
      <c r="E38" s="116" t="s">
        <v>284</v>
      </c>
      <c r="F38" s="116" t="s">
        <v>268</v>
      </c>
      <c r="G38" s="63" t="str">
        <f t="shared" ref="G38" si="195">IFERROR(LEFT(B38,FIND("],",B38)),B38)</f>
        <v>[effect:spread, val:0.30]</v>
      </c>
      <c r="H38" s="63">
        <f t="shared" ref="H38" si="196">FIND("effect:",G38)+7</f>
        <v>9</v>
      </c>
      <c r="I38" s="63">
        <f t="shared" ref="I38" si="197">IFERROR(FIND(",",G38),LEN(G38))</f>
        <v>15</v>
      </c>
      <c r="J38" s="63" t="e">
        <f t="shared" ref="J38" si="198">FIND("target:",G38)+7</f>
        <v>#VALUE!</v>
      </c>
      <c r="K38" s="63" t="e">
        <f t="shared" ref="K38" si="199">FIND(",",G38,I38+1)</f>
        <v>#VALUE!</v>
      </c>
      <c r="L38" s="63" t="str">
        <f>IFERROR(VLOOKUP(MID(G38,J38,K38-J38),[6]skilldef!$C:$D,2,FALSE),"-") &amp; " / " &amp; IFERROR(VLOOKUP(MID(G38,H38,I38-H38),[6]skilldef!$A:$B,2,FALSE),"-")</f>
        <v>- / 全体攻撃</v>
      </c>
      <c r="M38" s="63" t="str">
        <f t="shared" ref="M38" si="200">IFERROR(RIGHT(B38,LEN(B38)-FIND("],",B38)-1),"none")</f>
        <v>[effect:enemy_message, val1:1.0, val2:1.5]</v>
      </c>
      <c r="N38" s="48" t="str">
        <f>IFERROR(LEFT(M38,FIND("],",M38)+S57),M38)</f>
        <v>[effect:enemy_message, val1:1.0, val2:1.5]</v>
      </c>
      <c r="O38" s="63">
        <f t="shared" ref="O38" si="201">FIND("effect:",N38)+7</f>
        <v>9</v>
      </c>
      <c r="P38" s="63">
        <f t="shared" ref="P38" si="202">IFERROR(FIND(",",N38),LEN(N38))</f>
        <v>22</v>
      </c>
      <c r="Q38" s="63" t="e">
        <f t="shared" ref="Q38" si="203">FIND("target:",N38)+7</f>
        <v>#VALUE!</v>
      </c>
      <c r="R38" s="63">
        <f t="shared" ref="R38" si="204">FIND(",",N38,P38+1)</f>
        <v>32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ref="T38" si="205">IFERROR(RIGHT(M38,LEN(M38)-FIND("],",M38)-1),"none")</f>
        <v>none</v>
      </c>
      <c r="U38" s="63" t="e">
        <f t="shared" ref="U38" si="206">FIND("effect:",T38)+7</f>
        <v>#VALUE!</v>
      </c>
      <c r="V38" s="63">
        <f t="shared" ref="V38" si="207">IFERROR(FIND(",",T38),LEN(T38))</f>
        <v>4</v>
      </c>
      <c r="W38" s="63" t="e">
        <f t="shared" ref="W38" si="208">FIND("target:",T38)+7</f>
        <v>#VALUE!</v>
      </c>
      <c r="X38" s="63" t="e">
        <f t="shared" ref="X38" si="209">FIND(",",T38,V38+1)</f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21" customHeight="1" x14ac:dyDescent="0.15">
      <c r="A39" s="114">
        <v>40036302</v>
      </c>
      <c r="B39" s="114" t="s">
        <v>330</v>
      </c>
      <c r="C39" s="115">
        <v>3</v>
      </c>
      <c r="D39" s="115" t="s">
        <v>128</v>
      </c>
      <c r="E39" s="116" t="s">
        <v>286</v>
      </c>
      <c r="F39" s="116" t="s">
        <v>287</v>
      </c>
      <c r="G39" s="63" t="str">
        <f t="shared" ref="G39" si="210">IFERROR(LEFT(B39,FIND("],",B39)),B39)</f>
        <v>[effect:enemy_message, val1:1.4, val2:0]</v>
      </c>
      <c r="H39" s="63">
        <f t="shared" ref="H39" si="211">FIND("effect:",G39)+7</f>
        <v>9</v>
      </c>
      <c r="I39" s="63">
        <f t="shared" ref="I39" si="212">IFERROR(FIND(",",G39),LEN(G39))</f>
        <v>22</v>
      </c>
      <c r="J39" s="63" t="e">
        <f t="shared" ref="J39" si="213">FIND("target:",G39)+7</f>
        <v>#VALUE!</v>
      </c>
      <c r="K39" s="63">
        <f t="shared" ref="K39" si="214">FIND(",",G39,I39+1)</f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ref="M39" si="215">IFERROR(RIGHT(B39,LEN(B39)-FIND("],",B39)-1),"none")</f>
        <v>[effect:fix_speed, target:enemy_all, turn:1]</v>
      </c>
      <c r="N39" s="48" t="str">
        <f>IFERROR(LEFT(M39,FIND("],",M39)+S68),M39)</f>
        <v>[effect:fix_speed, target:enemy_all, turn:1]</v>
      </c>
      <c r="O39" s="63">
        <f t="shared" ref="O39" si="216">FIND("effect:",N39)+7</f>
        <v>9</v>
      </c>
      <c r="P39" s="63">
        <f t="shared" ref="P39" si="217">IFERROR(FIND(",",N39),LEN(N39))</f>
        <v>18</v>
      </c>
      <c r="Q39" s="63">
        <f t="shared" ref="Q39" si="218">FIND("target:",N39)+7</f>
        <v>27</v>
      </c>
      <c r="R39" s="63">
        <f t="shared" ref="R39" si="219">FIND(",",N39,P39+1)</f>
        <v>36</v>
      </c>
      <c r="S39" s="63" t="str">
        <f>IFERROR(VLOOKUP(MID(N39,Q39,R39-Q39),[6]skilldef!$C:$D,2,FALSE),"-") &amp; " / " &amp; IFERROR(VLOOKUP(MID(N39,O39,P39-O39),[6]skilldef!$A:$B,2,FALSE),"-")</f>
        <v>敵全体に / 行動値設定</v>
      </c>
      <c r="T39" s="48" t="str">
        <f t="shared" ref="T39" si="220">IFERROR(RIGHT(M39,LEN(M39)-FIND("],",M39)-1),"none")</f>
        <v>none</v>
      </c>
      <c r="U39" s="63" t="e">
        <f t="shared" ref="U39" si="221">FIND("effect:",T39)+7</f>
        <v>#VALUE!</v>
      </c>
      <c r="V39" s="63">
        <f t="shared" ref="V39" si="222">IFERROR(FIND(",",T39),LEN(T39))</f>
        <v>4</v>
      </c>
      <c r="W39" s="63" t="e">
        <f t="shared" ref="W39" si="223">FIND("target:",T39)+7</f>
        <v>#VALUE!</v>
      </c>
      <c r="X39" s="63" t="e">
        <f t="shared" ref="X39" si="224">FIND(",",T39,V39+1)</f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</row>
    <row r="40" spans="1:28" ht="21" customHeight="1" x14ac:dyDescent="0.15">
      <c r="A40" s="117">
        <v>40036400</v>
      </c>
      <c r="B40" s="117" t="s">
        <v>331</v>
      </c>
      <c r="C40" s="118">
        <v>3</v>
      </c>
      <c r="D40" s="118" t="s">
        <v>128</v>
      </c>
      <c r="E40" s="119" t="s">
        <v>426</v>
      </c>
      <c r="F40" s="119" t="s">
        <v>272</v>
      </c>
      <c r="G40" s="63" t="str">
        <f t="shared" si="0"/>
        <v>[effect:heal, target:myself/not, val:0.3, animation:enemy_heal]</v>
      </c>
      <c r="H40" s="63">
        <f t="shared" si="1"/>
        <v>9</v>
      </c>
      <c r="I40" s="63">
        <f t="shared" si="2"/>
        <v>13</v>
      </c>
      <c r="J40" s="63">
        <f t="shared" si="3"/>
        <v>22</v>
      </c>
      <c r="K40" s="63">
        <f t="shared" si="4"/>
        <v>32</v>
      </c>
      <c r="L40" s="63" t="str">
        <f>IFERROR(VLOOKUP(MID(G40,J40,K40-J40),[6]skilldef!$C:$D,2,FALSE),"-") &amp; " / " &amp; IFERROR(VLOOKUP(MID(G40,H40,I40-H40),[6]skilldef!$A:$B,2,FALSE),"-")</f>
        <v>- / 回復</v>
      </c>
      <c r="M40" s="63" t="str">
        <f t="shared" si="5"/>
        <v>[effect:enemy_message, val1:1.3, val2:1.5]</v>
      </c>
      <c r="N40" s="48" t="str">
        <f>IFERROR(LEFT(M40,FIND("],",M40)+S57),M40)</f>
        <v>[effect:enemy_message, val1:1.3, val2:1.5]</v>
      </c>
      <c r="O40" s="63">
        <f t="shared" si="6"/>
        <v>9</v>
      </c>
      <c r="P40" s="63">
        <f t="shared" si="7"/>
        <v>22</v>
      </c>
      <c r="Q40" s="63" t="e">
        <f t="shared" si="8"/>
        <v>#VALUE!</v>
      </c>
      <c r="R40" s="63">
        <f t="shared" si="9"/>
        <v>32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0"/>
        <v>none</v>
      </c>
      <c r="U40" s="63" t="e">
        <f t="shared" si="11"/>
        <v>#VALUE!</v>
      </c>
      <c r="V40" s="63">
        <f t="shared" si="12"/>
        <v>4</v>
      </c>
      <c r="W40" s="63" t="e">
        <f t="shared" si="13"/>
        <v>#VALUE!</v>
      </c>
      <c r="X40" s="63" t="e">
        <f t="shared" si="14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21" customHeight="1" x14ac:dyDescent="0.15">
      <c r="A41" s="117">
        <v>40036401</v>
      </c>
      <c r="B41" s="117" t="s">
        <v>332</v>
      </c>
      <c r="C41" s="118">
        <v>3</v>
      </c>
      <c r="D41" s="118" t="s">
        <v>128</v>
      </c>
      <c r="E41" s="119" t="s">
        <v>427</v>
      </c>
      <c r="F41" s="119" t="s">
        <v>269</v>
      </c>
      <c r="G41" s="63" t="str">
        <f t="shared" ref="G41" si="225">IFERROR(LEFT(B41,FIND("],",B41)),B41)</f>
        <v>[effect:spread, val:0.30]</v>
      </c>
      <c r="H41" s="63">
        <f t="shared" ref="H41" si="226">FIND("effect:",G41)+7</f>
        <v>9</v>
      </c>
      <c r="I41" s="63">
        <f t="shared" ref="I41" si="227">IFERROR(FIND(",",G41),LEN(G41))</f>
        <v>15</v>
      </c>
      <c r="J41" s="63" t="e">
        <f t="shared" ref="J41" si="228">FIND("target:",G41)+7</f>
        <v>#VALUE!</v>
      </c>
      <c r="K41" s="63" t="e">
        <f t="shared" ref="K41" si="229">FIND(",",G41,I41+1)</f>
        <v>#VALUE!</v>
      </c>
      <c r="L41" s="63" t="str">
        <f>IFERROR(VLOOKUP(MID(G41,J41,K41-J41),[6]skilldef!$C:$D,2,FALSE),"-") &amp; " / " &amp; IFERROR(VLOOKUP(MID(G41,H41,I41-H41),[6]skilldef!$A:$B,2,FALSE),"-")</f>
        <v>- / 全体攻撃</v>
      </c>
      <c r="M41" s="63" t="str">
        <f t="shared" ref="M41" si="230">IFERROR(RIGHT(B41,LEN(B41)-FIND("],",B41)-1),"none")</f>
        <v>[effect:enemy_message, val1:1.0, val2:1.5]</v>
      </c>
      <c r="N41" s="48" t="str">
        <f>IFERROR(LEFT(M41,FIND("],",M41)+S68),M41)</f>
        <v>[effect:enemy_message, val1:1.0, val2:1.5]</v>
      </c>
      <c r="O41" s="63">
        <f t="shared" ref="O41" si="231">FIND("effect:",N41)+7</f>
        <v>9</v>
      </c>
      <c r="P41" s="63">
        <f t="shared" ref="P41" si="232">IFERROR(FIND(",",N41),LEN(N41))</f>
        <v>22</v>
      </c>
      <c r="Q41" s="63" t="e">
        <f t="shared" ref="Q41" si="233">FIND("target:",N41)+7</f>
        <v>#VALUE!</v>
      </c>
      <c r="R41" s="63">
        <f t="shared" ref="R41" si="234">FIND(",",N41,P41+1)</f>
        <v>32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ref="T41" si="235">IFERROR(RIGHT(M41,LEN(M41)-FIND("],",M41)-1),"none")</f>
        <v>none</v>
      </c>
      <c r="U41" s="63" t="e">
        <f t="shared" ref="U41" si="236">FIND("effect:",T41)+7</f>
        <v>#VALUE!</v>
      </c>
      <c r="V41" s="63">
        <f t="shared" ref="V41" si="237">IFERROR(FIND(",",T41),LEN(T41))</f>
        <v>4</v>
      </c>
      <c r="W41" s="63" t="e">
        <f t="shared" ref="W41" si="238">FIND("target:",T41)+7</f>
        <v>#VALUE!</v>
      </c>
      <c r="X41" s="63" t="e">
        <f t="shared" ref="X41" si="239">FIND(",",T41,V41+1)</f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50" customHeight="1" x14ac:dyDescent="0.15">
      <c r="A42" s="105">
        <v>40036500</v>
      </c>
      <c r="B42" s="105" t="s">
        <v>371</v>
      </c>
      <c r="C42" s="106">
        <v>3</v>
      </c>
      <c r="D42" s="106" t="s">
        <v>128</v>
      </c>
      <c r="E42" s="107" t="s">
        <v>288</v>
      </c>
      <c r="F42" s="107" t="s">
        <v>450</v>
      </c>
      <c r="G42" s="63" t="str">
        <f t="shared" si="0"/>
        <v>[effect:crash_growth, val:-46, count:-1, animation:change_block]</v>
      </c>
      <c r="H42" s="63">
        <f t="shared" si="1"/>
        <v>9</v>
      </c>
      <c r="I42" s="63">
        <f t="shared" si="2"/>
        <v>21</v>
      </c>
      <c r="J42" s="63" t="e">
        <f t="shared" si="3"/>
        <v>#VALUE!</v>
      </c>
      <c r="K42" s="63">
        <f t="shared" si="4"/>
        <v>30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5"/>
        <v>[effect:degrade_unit, target:unit_all, turn:4, status:attack, val:0.5, calc:mul],[effect:fix_speed, target:myself, turn:1],[effect:enemy_message, val1:1.2, val2:2.7]</v>
      </c>
      <c r="N42" s="48" t="str">
        <f>IFERROR(LEFT(M42,FIND("],",M42)+S68),M42)</f>
        <v>[effect:degrade_unit, target:unit_all, turn:4, status:attack, val:0.5, calc:mul],[effect:fix_speed, target:myself, turn:1],[effect:enemy_message, val1:1.2, val2:2.7]</v>
      </c>
      <c r="O42" s="63">
        <f t="shared" si="6"/>
        <v>9</v>
      </c>
      <c r="P42" s="63">
        <f t="shared" si="7"/>
        <v>21</v>
      </c>
      <c r="Q42" s="63">
        <f t="shared" si="8"/>
        <v>30</v>
      </c>
      <c r="R42" s="63">
        <f t="shared" si="9"/>
        <v>38</v>
      </c>
      <c r="S42" s="63" t="str">
        <f>IFERROR(VLOOKUP(MID(N42,Q42,R42-Q42),[6]skilldef!$C:$D,2,FALSE),"-") &amp; " / " &amp; IFERROR(VLOOKUP(MID(N42,O42,P42-O42),[6]skilldef!$A:$B,2,FALSE),"-")</f>
        <v>味方全体に / ステータスDOWN</v>
      </c>
      <c r="T42" s="48" t="str">
        <f t="shared" si="10"/>
        <v>[effect:fix_speed, target:myself, turn:1],[effect:enemy_message, val1:1.2, val2:2.7]</v>
      </c>
      <c r="U42" s="63">
        <f t="shared" si="11"/>
        <v>9</v>
      </c>
      <c r="V42" s="63">
        <f t="shared" si="12"/>
        <v>18</v>
      </c>
      <c r="W42" s="63">
        <f t="shared" si="13"/>
        <v>27</v>
      </c>
      <c r="X42" s="63">
        <f t="shared" si="14"/>
        <v>33</v>
      </c>
      <c r="Y42" s="63" t="str">
        <f>IFERROR(VLOOKUP(MID(T42,W42,X42-W42),[6]skilldef!$C:$D,2,FALSE),"-") &amp; " / " &amp; IFERROR(VLOOKUP(MID(T42,U42,V42-U42),[6]skilldef!$A:$B,2,FALSE),"-")</f>
        <v>自分自身に / 行動値設定</v>
      </c>
      <c r="Z42" s="50"/>
      <c r="AA42" s="51"/>
      <c r="AB42" s="50"/>
    </row>
    <row r="43" spans="1:28" ht="21" customHeight="1" x14ac:dyDescent="0.15">
      <c r="A43" s="105">
        <v>40036501</v>
      </c>
      <c r="B43" s="105" t="s">
        <v>333</v>
      </c>
      <c r="C43" s="106">
        <v>3</v>
      </c>
      <c r="D43" s="106" t="s">
        <v>128</v>
      </c>
      <c r="E43" s="107" t="s">
        <v>289</v>
      </c>
      <c r="F43" s="107" t="s">
        <v>375</v>
      </c>
      <c r="G43" s="63" t="str">
        <f t="shared" si="0"/>
        <v>[effect:damage_anti_color, target:unit_all, color:yellow, val1:2, val2:0.2]</v>
      </c>
      <c r="H43" s="63">
        <f t="shared" si="1"/>
        <v>9</v>
      </c>
      <c r="I43" s="63">
        <f t="shared" si="2"/>
        <v>26</v>
      </c>
      <c r="J43" s="63">
        <f t="shared" si="3"/>
        <v>35</v>
      </c>
      <c r="K43" s="63">
        <f t="shared" si="4"/>
        <v>43</v>
      </c>
      <c r="L43" s="63" t="str">
        <f>IFERROR(VLOOKUP(MID(G43,J43,K43-J43),[6]skilldef!$C:$D,2,FALSE),"-") &amp; " / " &amp; IFERROR(VLOOKUP(MID(G43,H43,I43-H43),[6]skilldef!$A:$B,2,FALSE),"-")</f>
        <v>味方全体に / 属性キラー</v>
      </c>
      <c r="M43" s="63" t="str">
        <f t="shared" si="5"/>
        <v>[effect:enemy_message, val1:1.0, val2:1.9]</v>
      </c>
      <c r="N43" s="48" t="str">
        <f>IFERROR(LEFT(M43,FIND("],",M43)+S69),M43)</f>
        <v>[effect:enemy_message, val1:1.0, val2:1.9]</v>
      </c>
      <c r="O43" s="63">
        <f t="shared" si="6"/>
        <v>9</v>
      </c>
      <c r="P43" s="63">
        <f t="shared" si="7"/>
        <v>22</v>
      </c>
      <c r="Q43" s="63" t="e">
        <f t="shared" si="8"/>
        <v>#VALUE!</v>
      </c>
      <c r="R43" s="63">
        <f t="shared" si="9"/>
        <v>32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0"/>
        <v>none</v>
      </c>
      <c r="U43" s="63" t="e">
        <f t="shared" si="11"/>
        <v>#VALUE!</v>
      </c>
      <c r="V43" s="63">
        <f t="shared" si="12"/>
        <v>4</v>
      </c>
      <c r="W43" s="63" t="e">
        <f t="shared" si="13"/>
        <v>#VALUE!</v>
      </c>
      <c r="X43" s="63" t="e">
        <f t="shared" si="14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21" customHeight="1" x14ac:dyDescent="0.15">
      <c r="A44" s="105">
        <v>40036502</v>
      </c>
      <c r="B44" s="105" t="s">
        <v>334</v>
      </c>
      <c r="C44" s="106">
        <v>3</v>
      </c>
      <c r="D44" s="106" t="s">
        <v>128</v>
      </c>
      <c r="E44" s="107" t="s">
        <v>373</v>
      </c>
      <c r="F44" s="107" t="s">
        <v>270</v>
      </c>
      <c r="G44" s="63" t="str">
        <f t="shared" si="0"/>
        <v>[effect:degrade_unit, target:unit_all, turn:4, status:attack, val:0.5, calc:mul]</v>
      </c>
      <c r="H44" s="63">
        <f t="shared" si="1"/>
        <v>9</v>
      </c>
      <c r="I44" s="63">
        <f t="shared" si="2"/>
        <v>21</v>
      </c>
      <c r="J44" s="63">
        <f t="shared" si="3"/>
        <v>30</v>
      </c>
      <c r="K44" s="63">
        <f t="shared" si="4"/>
        <v>38</v>
      </c>
      <c r="L44" s="63" t="str">
        <f>IFERROR(VLOOKUP(MID(G44,J44,K44-J44),[6]skilldef!$C:$D,2,FALSE),"-") &amp; " / " &amp; IFERROR(VLOOKUP(MID(G44,H44,I44-H44),[6]skilldef!$A:$B,2,FALSE),"-")</f>
        <v>味方全体に / ステータスDOWN</v>
      </c>
      <c r="M44" s="63" t="str">
        <f t="shared" si="5"/>
        <v>[effect:enemy_message, val1:1.2, val2:2.1]</v>
      </c>
      <c r="N44" s="48" t="str">
        <f>IFERROR(LEFT(M44,FIND("],",M44)+S70),M44)</f>
        <v>[effect:enemy_message, val1:1.2, val2:2.1]</v>
      </c>
      <c r="O44" s="63">
        <f t="shared" si="6"/>
        <v>9</v>
      </c>
      <c r="P44" s="63">
        <f t="shared" si="7"/>
        <v>22</v>
      </c>
      <c r="Q44" s="63" t="e">
        <f t="shared" si="8"/>
        <v>#VALUE!</v>
      </c>
      <c r="R44" s="63">
        <f t="shared" si="9"/>
        <v>32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0"/>
        <v>none</v>
      </c>
      <c r="U44" s="63" t="e">
        <f t="shared" si="11"/>
        <v>#VALUE!</v>
      </c>
      <c r="V44" s="63">
        <f t="shared" si="12"/>
        <v>4</v>
      </c>
      <c r="W44" s="63" t="e">
        <f t="shared" si="13"/>
        <v>#VALUE!</v>
      </c>
      <c r="X44" s="63" t="e">
        <f t="shared" si="14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</row>
    <row r="45" spans="1:28" ht="50" customHeight="1" x14ac:dyDescent="0.15">
      <c r="A45" s="105">
        <v>40036503</v>
      </c>
      <c r="B45" s="105" t="s">
        <v>430</v>
      </c>
      <c r="C45" s="106">
        <v>3</v>
      </c>
      <c r="D45" s="106" t="s">
        <v>128</v>
      </c>
      <c r="E45" s="107" t="s">
        <v>372</v>
      </c>
      <c r="F45" s="107" t="s">
        <v>451</v>
      </c>
      <c r="G45" s="63" t="str">
        <f t="shared" ref="G45" si="240">IFERROR(LEFT(B45,FIND("],",B45)),B45)</f>
        <v>[effect:crash_growth, val:-46, count:-1, animation:change_block]</v>
      </c>
      <c r="H45" s="63">
        <f t="shared" ref="H45" si="241">FIND("effect:",G45)+7</f>
        <v>9</v>
      </c>
      <c r="I45" s="63">
        <f t="shared" ref="I45" si="242">IFERROR(FIND(",",G45),LEN(G45))</f>
        <v>21</v>
      </c>
      <c r="J45" s="63" t="e">
        <f t="shared" ref="J45" si="243">FIND("target:",G45)+7</f>
        <v>#VALUE!</v>
      </c>
      <c r="K45" s="63">
        <f t="shared" ref="K45" si="244">FIND(",",G45,I45+1)</f>
        <v>30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ref="M45" si="245">IFERROR(RIGHT(B45,LEN(B45)-FIND("],",B45)-1),"none")</f>
        <v>[effect:fix_speed, target:myself, turn:1],[effect:enemy_message, val1:1.2, val2:1.5]</v>
      </c>
      <c r="N45" s="48" t="str">
        <f>IFERROR(LEFT(M45,FIND("],",M45)+S71),M45)</f>
        <v>[effect:fix_speed, target:myself, turn:1],[effect:enemy_message, val1:1.2, val2:1.5]</v>
      </c>
      <c r="O45" s="63">
        <f t="shared" ref="O45" si="246">FIND("effect:",N45)+7</f>
        <v>9</v>
      </c>
      <c r="P45" s="63">
        <f t="shared" ref="P45" si="247">IFERROR(FIND(",",N45),LEN(N45))</f>
        <v>18</v>
      </c>
      <c r="Q45" s="63">
        <f t="shared" ref="Q45" si="248">FIND("target:",N45)+7</f>
        <v>27</v>
      </c>
      <c r="R45" s="63">
        <f t="shared" ref="R45" si="249">FIND(",",N45,P45+1)</f>
        <v>33</v>
      </c>
      <c r="S45" s="63" t="str">
        <f>IFERROR(VLOOKUP(MID(N45,Q45,R45-Q45),[6]skilldef!$C:$D,2,FALSE),"-") &amp; " / " &amp; IFERROR(VLOOKUP(MID(N45,O45,P45-O45),[6]skilldef!$A:$B,2,FALSE),"-")</f>
        <v>自分自身に / 行動値設定</v>
      </c>
      <c r="T45" s="48" t="str">
        <f t="shared" ref="T45" si="250">IFERROR(RIGHT(M45,LEN(M45)-FIND("],",M45)-1),"none")</f>
        <v>[effect:enemy_message, val1:1.2, val2:1.5]</v>
      </c>
      <c r="U45" s="63">
        <f t="shared" ref="U45" si="251">FIND("effect:",T45)+7</f>
        <v>9</v>
      </c>
      <c r="V45" s="63">
        <f t="shared" ref="V45" si="252">IFERROR(FIND(",",T45),LEN(T45))</f>
        <v>22</v>
      </c>
      <c r="W45" s="63" t="e">
        <f t="shared" ref="W45" si="253">FIND("target:",T45)+7</f>
        <v>#VALUE!</v>
      </c>
      <c r="X45" s="63">
        <f t="shared" ref="X45" si="254">FIND(",",T45,V45+1)</f>
        <v>32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</row>
    <row r="46" spans="1:28" ht="46" customHeight="1" x14ac:dyDescent="0.15">
      <c r="A46" s="108">
        <v>40036600</v>
      </c>
      <c r="B46" s="108" t="s">
        <v>374</v>
      </c>
      <c r="C46" s="109">
        <v>3</v>
      </c>
      <c r="D46" s="109" t="s">
        <v>128</v>
      </c>
      <c r="E46" s="110" t="s">
        <v>388</v>
      </c>
      <c r="F46" s="110" t="s">
        <v>452</v>
      </c>
      <c r="G46" s="63" t="str">
        <f t="shared" si="0"/>
        <v>[effect:crash_condition, target:unit_all, turn:7, val:4, animation:enemy_crash_extend]</v>
      </c>
      <c r="H46" s="63">
        <f t="shared" si="1"/>
        <v>9</v>
      </c>
      <c r="I46" s="63">
        <f t="shared" si="2"/>
        <v>24</v>
      </c>
      <c r="J46" s="63">
        <f t="shared" si="3"/>
        <v>33</v>
      </c>
      <c r="K46" s="63">
        <f t="shared" si="4"/>
        <v>41</v>
      </c>
      <c r="L46" s="63" t="str">
        <f>IFERROR(VLOOKUP(MID(G46,J46,K46-J46),[6]skilldef!$C:$D,2,FALSE),"-") &amp; " / " &amp; IFERROR(VLOOKUP(MID(G46,H46,I46-H46),[6]skilldef!$A:$B,2,FALSE),"-")</f>
        <v>味方全体に / -</v>
      </c>
      <c r="M46" s="63" t="str">
        <f t="shared" si="5"/>
        <v>[effect:hungup, target:unit_hp, turn:7, rate:1, calc_type:target_all, animation:hungup01],[effect:fix_speed, target:myself, turn:1],[effect:enemy_message, val1:1.5, val2:4.0]</v>
      </c>
      <c r="N46" s="48" t="str">
        <f>IFERROR(LEFT(M46,FIND("],",M46)+S71),M46)</f>
        <v>[effect:hungup, target:unit_hp, turn:7, rate:1, calc_type:target_all, animation:hungup01],[effect:fix_speed, target:myself, turn:1],[effect:enemy_message, val1:1.5, val2:4.0]</v>
      </c>
      <c r="O46" s="63">
        <f t="shared" si="6"/>
        <v>9</v>
      </c>
      <c r="P46" s="63">
        <f t="shared" si="7"/>
        <v>15</v>
      </c>
      <c r="Q46" s="63">
        <f t="shared" si="8"/>
        <v>24</v>
      </c>
      <c r="R46" s="63">
        <f t="shared" si="9"/>
        <v>31</v>
      </c>
      <c r="S46" s="63" t="str">
        <f>IFERROR(VLOOKUP(MID(N46,Q46,R46-Q46),[6]skilldef!$C:$D,2,FALSE),"-") &amp; " / " &amp; IFERROR(VLOOKUP(MID(N46,O46,P46-O46),[6]skilldef!$A:$B,2,FALSE),"-")</f>
        <v>体力タイプの味方に / ハングアップ</v>
      </c>
      <c r="T46" s="48" t="str">
        <f t="shared" si="10"/>
        <v>[effect:fix_speed, target:myself, turn:1],[effect:enemy_message, val1:1.5, val2:4.0]</v>
      </c>
      <c r="U46" s="63">
        <f t="shared" si="11"/>
        <v>9</v>
      </c>
      <c r="V46" s="63">
        <f t="shared" si="12"/>
        <v>18</v>
      </c>
      <c r="W46" s="63">
        <f t="shared" si="13"/>
        <v>27</v>
      </c>
      <c r="X46" s="63">
        <f t="shared" si="14"/>
        <v>33</v>
      </c>
      <c r="Y46" s="63" t="str">
        <f>IFERROR(VLOOKUP(MID(T46,W46,X46-W46),[6]skilldef!$C:$D,2,FALSE),"-") &amp; " / " &amp; IFERROR(VLOOKUP(MID(T46,U46,V46-U46),[6]skilldef!$A:$B,2,FALSE),"-")</f>
        <v>自分自身に / 行動値設定</v>
      </c>
      <c r="Z46" s="50"/>
      <c r="AA46" s="51"/>
      <c r="AB46" s="50"/>
    </row>
    <row r="47" spans="1:28" ht="42" customHeight="1" x14ac:dyDescent="0.15">
      <c r="A47" s="108">
        <v>40036601</v>
      </c>
      <c r="B47" s="108" t="s">
        <v>335</v>
      </c>
      <c r="C47" s="109">
        <v>3</v>
      </c>
      <c r="D47" s="109" t="s">
        <v>128</v>
      </c>
      <c r="E47" s="110">
        <v>5</v>
      </c>
      <c r="F47" s="110" t="s">
        <v>443</v>
      </c>
      <c r="G47" s="63" t="str">
        <f t="shared" ref="G47:G51" si="255">IFERROR(LEFT(B47,FIND("],",B47)),B47)</f>
        <v>[effect:rush, count:1, val:1.0]</v>
      </c>
      <c r="H47" s="63">
        <f t="shared" si="1"/>
        <v>9</v>
      </c>
      <c r="I47" s="63">
        <f t="shared" ref="I47:I51" si="256">IFERROR(FIND(",",G47),LEN(G47))</f>
        <v>13</v>
      </c>
      <c r="J47" s="63" t="e">
        <f t="shared" ref="J47:J51" si="257">FIND("target:",G47)+7</f>
        <v>#VALUE!</v>
      </c>
      <c r="K47" s="63">
        <f t="shared" ref="K47:K51" si="258">FIND(",",G47,I47+1)</f>
        <v>22</v>
      </c>
      <c r="L47" s="63" t="str">
        <f>IFERROR(VLOOKUP(MID(G47,J47,K47-J47),[6]skilldef!$C:$D,2,FALSE),"-") &amp; " / " &amp; IFERROR(VLOOKUP(MID(G47,H47,I47-H47),[6]skilldef!$A:$B,2,FALSE),"-")</f>
        <v>- / 連続攻撃</v>
      </c>
      <c r="M47" s="63" t="str">
        <f t="shared" ref="M47:M51" si="259">IFERROR(RIGHT(B47,LEN(B47)-FIND("],",B47)-1),"none")</f>
        <v>[effect:enemy_message, val1:1.0, val2:2.0]</v>
      </c>
      <c r="N47" s="48" t="str">
        <f t="shared" ref="N47" si="260">IFERROR(LEFT(M47,FIND("],",M47)+S57),M47)</f>
        <v>[effect:enemy_message, val1:1.0, val2:2.0]</v>
      </c>
      <c r="O47" s="63">
        <f t="shared" si="6"/>
        <v>9</v>
      </c>
      <c r="P47" s="63">
        <f t="shared" ref="P47:P51" si="261">IFERROR(FIND(",",N47),LEN(N47))</f>
        <v>22</v>
      </c>
      <c r="Q47" s="63" t="e">
        <f t="shared" ref="Q47:Q51" si="262">FIND("target:",N47)+7</f>
        <v>#VALUE!</v>
      </c>
      <c r="R47" s="63">
        <f t="shared" ref="R47:R51" si="263">FIND(",",N47,P47+1)</f>
        <v>32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ref="T47:T51" si="264">IFERROR(RIGHT(M47,LEN(M47)-FIND("],",M47)-1),"none")</f>
        <v>none</v>
      </c>
      <c r="U47" s="63" t="e">
        <f t="shared" si="11"/>
        <v>#VALUE!</v>
      </c>
      <c r="V47" s="63">
        <f t="shared" ref="V47:V51" si="265">IFERROR(FIND(",",T47),LEN(T47))</f>
        <v>4</v>
      </c>
      <c r="W47" s="63" t="e">
        <f t="shared" ref="W47:W51" si="266">FIND("target:",T47)+7</f>
        <v>#VALUE!</v>
      </c>
      <c r="X47" s="63" t="e">
        <f t="shared" ref="X47:X51" si="267">FIND(",",T47,V47+1)</f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</row>
    <row r="48" spans="1:28" ht="38" customHeight="1" x14ac:dyDescent="0.15">
      <c r="A48" s="108">
        <v>40036602</v>
      </c>
      <c r="B48" s="108" t="s">
        <v>336</v>
      </c>
      <c r="C48" s="109">
        <v>3</v>
      </c>
      <c r="D48" s="109" t="s">
        <v>128</v>
      </c>
      <c r="E48" s="110">
        <v>4</v>
      </c>
      <c r="F48" s="110" t="s">
        <v>444</v>
      </c>
      <c r="G48" s="63" t="str">
        <f t="shared" si="255"/>
        <v>[effect:rush, count:1, val:1.0]</v>
      </c>
      <c r="H48" s="63">
        <f t="shared" si="1"/>
        <v>9</v>
      </c>
      <c r="I48" s="63">
        <f t="shared" si="256"/>
        <v>13</v>
      </c>
      <c r="J48" s="63" t="e">
        <f t="shared" si="257"/>
        <v>#VALUE!</v>
      </c>
      <c r="K48" s="63">
        <f t="shared" si="258"/>
        <v>22</v>
      </c>
      <c r="L48" s="63" t="str">
        <f>IFERROR(VLOOKUP(MID(G48,J48,K48-J48),[6]skilldef!$C:$D,2,FALSE),"-") &amp; " / " &amp; IFERROR(VLOOKUP(MID(G48,H48,I48-H48),[6]skilldef!$A:$B,2,FALSE),"-")</f>
        <v>- / 連続攻撃</v>
      </c>
      <c r="M48" s="63" t="str">
        <f t="shared" si="259"/>
        <v>[effect:enemy_message, val1:1.0, val2:2.0]</v>
      </c>
      <c r="N48" s="48" t="str">
        <f>IFERROR(LEFT(M48,FIND("],",M48)+S68),M48)</f>
        <v>[effect:enemy_message, val1:1.0, val2:2.0]</v>
      </c>
      <c r="O48" s="63">
        <f t="shared" si="6"/>
        <v>9</v>
      </c>
      <c r="P48" s="63">
        <f t="shared" si="261"/>
        <v>22</v>
      </c>
      <c r="Q48" s="63" t="e">
        <f t="shared" si="262"/>
        <v>#VALUE!</v>
      </c>
      <c r="R48" s="63">
        <f t="shared" si="263"/>
        <v>32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264"/>
        <v>none</v>
      </c>
      <c r="U48" s="63" t="e">
        <f t="shared" si="11"/>
        <v>#VALUE!</v>
      </c>
      <c r="V48" s="63">
        <f t="shared" si="265"/>
        <v>4</v>
      </c>
      <c r="W48" s="63" t="e">
        <f t="shared" si="266"/>
        <v>#VALUE!</v>
      </c>
      <c r="X48" s="63" t="e">
        <f t="shared" si="267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</row>
    <row r="49" spans="1:28" ht="40" customHeight="1" x14ac:dyDescent="0.15">
      <c r="A49" s="108">
        <v>40036603</v>
      </c>
      <c r="B49" s="108" t="s">
        <v>335</v>
      </c>
      <c r="C49" s="109">
        <v>3</v>
      </c>
      <c r="D49" s="109" t="s">
        <v>128</v>
      </c>
      <c r="E49" s="110">
        <v>3</v>
      </c>
      <c r="F49" s="110" t="s">
        <v>445</v>
      </c>
      <c r="G49" s="63" t="str">
        <f t="shared" si="255"/>
        <v>[effect:rush, count:1, val:1.0]</v>
      </c>
      <c r="H49" s="63">
        <f t="shared" si="1"/>
        <v>9</v>
      </c>
      <c r="I49" s="63">
        <f t="shared" si="256"/>
        <v>13</v>
      </c>
      <c r="J49" s="63" t="e">
        <f t="shared" si="257"/>
        <v>#VALUE!</v>
      </c>
      <c r="K49" s="63">
        <f t="shared" si="258"/>
        <v>22</v>
      </c>
      <c r="L49" s="63" t="str">
        <f>IFERROR(VLOOKUP(MID(G49,J49,K49-J49),[6]skilldef!$C:$D,2,FALSE),"-") &amp; " / " &amp; IFERROR(VLOOKUP(MID(G49,H49,I49-H49),[6]skilldef!$A:$B,2,FALSE),"-")</f>
        <v>- / 連続攻撃</v>
      </c>
      <c r="M49" s="63" t="str">
        <f t="shared" si="259"/>
        <v>[effect:enemy_message, val1:1.0, val2:2.0]</v>
      </c>
      <c r="N49" s="48" t="str">
        <f>IFERROR(LEFT(M49,FIND("],",M49)+S69),M49)</f>
        <v>[effect:enemy_message, val1:1.0, val2:2.0]</v>
      </c>
      <c r="O49" s="63">
        <f t="shared" si="6"/>
        <v>9</v>
      </c>
      <c r="P49" s="63">
        <f t="shared" si="261"/>
        <v>22</v>
      </c>
      <c r="Q49" s="63" t="e">
        <f t="shared" si="262"/>
        <v>#VALUE!</v>
      </c>
      <c r="R49" s="63">
        <f t="shared" si="263"/>
        <v>32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264"/>
        <v>none</v>
      </c>
      <c r="U49" s="63" t="e">
        <f t="shared" si="11"/>
        <v>#VALUE!</v>
      </c>
      <c r="V49" s="63">
        <f t="shared" si="265"/>
        <v>4</v>
      </c>
      <c r="W49" s="63" t="e">
        <f t="shared" si="266"/>
        <v>#VALUE!</v>
      </c>
      <c r="X49" s="63" t="e">
        <f t="shared" si="267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1"/>
      <c r="AB49" s="50"/>
    </row>
    <row r="50" spans="1:28" ht="34" customHeight="1" x14ac:dyDescent="0.15">
      <c r="A50" s="108">
        <v>40036604</v>
      </c>
      <c r="B50" s="108" t="s">
        <v>336</v>
      </c>
      <c r="C50" s="109">
        <v>3</v>
      </c>
      <c r="D50" s="109" t="s">
        <v>128</v>
      </c>
      <c r="E50" s="110">
        <v>2</v>
      </c>
      <c r="F50" s="110" t="s">
        <v>446</v>
      </c>
      <c r="G50" s="63" t="str">
        <f t="shared" si="255"/>
        <v>[effect:rush, count:1, val:1.0]</v>
      </c>
      <c r="H50" s="63">
        <f t="shared" si="1"/>
        <v>9</v>
      </c>
      <c r="I50" s="63">
        <f t="shared" si="256"/>
        <v>13</v>
      </c>
      <c r="J50" s="63" t="e">
        <f t="shared" si="257"/>
        <v>#VALUE!</v>
      </c>
      <c r="K50" s="63">
        <f t="shared" si="258"/>
        <v>22</v>
      </c>
      <c r="L50" s="63" t="str">
        <f>IFERROR(VLOOKUP(MID(G50,J50,K50-J50),[6]skilldef!$C:$D,2,FALSE),"-") &amp; " / " &amp; IFERROR(VLOOKUP(MID(G50,H50,I50-H50),[6]skilldef!$A:$B,2,FALSE),"-")</f>
        <v>- / 連続攻撃</v>
      </c>
      <c r="M50" s="63" t="str">
        <f t="shared" si="259"/>
        <v>[effect:enemy_message, val1:1.0, val2:2.0]</v>
      </c>
      <c r="N50" s="48" t="str">
        <f>IFERROR(LEFT(M50,FIND("],",M50)+S70),M50)</f>
        <v>[effect:enemy_message, val1:1.0, val2:2.0]</v>
      </c>
      <c r="O50" s="63">
        <f t="shared" si="6"/>
        <v>9</v>
      </c>
      <c r="P50" s="63">
        <f t="shared" si="261"/>
        <v>22</v>
      </c>
      <c r="Q50" s="63" t="e">
        <f t="shared" si="262"/>
        <v>#VALUE!</v>
      </c>
      <c r="R50" s="63">
        <f t="shared" si="263"/>
        <v>32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264"/>
        <v>none</v>
      </c>
      <c r="U50" s="63" t="e">
        <f t="shared" si="11"/>
        <v>#VALUE!</v>
      </c>
      <c r="V50" s="63">
        <f t="shared" si="265"/>
        <v>4</v>
      </c>
      <c r="W50" s="63" t="e">
        <f t="shared" si="266"/>
        <v>#VALUE!</v>
      </c>
      <c r="X50" s="63" t="e">
        <f t="shared" si="267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1"/>
      <c r="AB50" s="50"/>
    </row>
    <row r="51" spans="1:28" ht="38" customHeight="1" x14ac:dyDescent="0.15">
      <c r="A51" s="108">
        <v>40036605</v>
      </c>
      <c r="B51" s="108" t="s">
        <v>335</v>
      </c>
      <c r="C51" s="109">
        <v>3</v>
      </c>
      <c r="D51" s="109" t="s">
        <v>128</v>
      </c>
      <c r="E51" s="110">
        <v>1</v>
      </c>
      <c r="F51" s="110" t="s">
        <v>447</v>
      </c>
      <c r="G51" s="63" t="str">
        <f t="shared" si="255"/>
        <v>[effect:rush, count:1, val:1.0]</v>
      </c>
      <c r="H51" s="63">
        <f t="shared" si="1"/>
        <v>9</v>
      </c>
      <c r="I51" s="63">
        <f t="shared" si="256"/>
        <v>13</v>
      </c>
      <c r="J51" s="63" t="e">
        <f t="shared" si="257"/>
        <v>#VALUE!</v>
      </c>
      <c r="K51" s="63">
        <f t="shared" si="258"/>
        <v>22</v>
      </c>
      <c r="L51" s="63" t="str">
        <f>IFERROR(VLOOKUP(MID(G51,J51,K51-J51),[6]skilldef!$C:$D,2,FALSE),"-") &amp; " / " &amp; IFERROR(VLOOKUP(MID(G51,H51,I51-H51),[6]skilldef!$A:$B,2,FALSE),"-")</f>
        <v>- / 連続攻撃</v>
      </c>
      <c r="M51" s="63" t="str">
        <f t="shared" si="259"/>
        <v>[effect:enemy_message, val1:1.0, val2:2.0]</v>
      </c>
      <c r="N51" s="48" t="str">
        <f>IFERROR(LEFT(M51,FIND("],",M51)+S71),M51)</f>
        <v>[effect:enemy_message, val1:1.0, val2:2.0]</v>
      </c>
      <c r="O51" s="63">
        <f t="shared" si="6"/>
        <v>9</v>
      </c>
      <c r="P51" s="63">
        <f t="shared" si="261"/>
        <v>22</v>
      </c>
      <c r="Q51" s="63" t="e">
        <f t="shared" si="262"/>
        <v>#VALUE!</v>
      </c>
      <c r="R51" s="63">
        <f t="shared" si="263"/>
        <v>32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264"/>
        <v>none</v>
      </c>
      <c r="U51" s="63" t="e">
        <f t="shared" si="11"/>
        <v>#VALUE!</v>
      </c>
      <c r="V51" s="63">
        <f t="shared" si="265"/>
        <v>4</v>
      </c>
      <c r="W51" s="63" t="e">
        <f t="shared" si="266"/>
        <v>#VALUE!</v>
      </c>
      <c r="X51" s="63" t="e">
        <f t="shared" si="267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1"/>
      <c r="AB51" s="50"/>
    </row>
    <row r="52" spans="1:28" ht="21" customHeight="1" x14ac:dyDescent="0.15">
      <c r="A52" s="108">
        <v>40036606</v>
      </c>
      <c r="B52" s="108" t="s">
        <v>257</v>
      </c>
      <c r="C52" s="109">
        <v>3</v>
      </c>
      <c r="D52" s="109" t="s">
        <v>128</v>
      </c>
      <c r="E52" s="110" t="s">
        <v>389</v>
      </c>
      <c r="F52" s="110" t="s">
        <v>376</v>
      </c>
      <c r="G52" s="63" t="str">
        <f t="shared" si="0"/>
        <v>[effect:damage_fix_absolute, target:unit_one, val:100000]</v>
      </c>
      <c r="H52" s="63">
        <f t="shared" si="1"/>
        <v>9</v>
      </c>
      <c r="I52" s="63">
        <f t="shared" si="2"/>
        <v>28</v>
      </c>
      <c r="J52" s="63">
        <f t="shared" si="3"/>
        <v>37</v>
      </c>
      <c r="K52" s="63">
        <f t="shared" si="4"/>
        <v>45</v>
      </c>
      <c r="L52" s="63" t="str">
        <f>IFERROR(VLOOKUP(MID(G52,J52,K52-J52),[6]skilldef!$C:$D,2,FALSE),"-") &amp; " / " &amp; IFERROR(VLOOKUP(MID(G52,H52,I52-H52),[6]skilldef!$A:$B,2,FALSE),"-")</f>
        <v>味方単体に / -</v>
      </c>
      <c r="M52" s="63" t="str">
        <f t="shared" si="5"/>
        <v>none</v>
      </c>
      <c r="N52" s="48" t="str">
        <f>IFERROR(LEFT(M52,FIND("],",M52)+S76),M52)</f>
        <v>none</v>
      </c>
      <c r="O52" s="63" t="e">
        <f t="shared" si="6"/>
        <v>#VALUE!</v>
      </c>
      <c r="P52" s="63">
        <f t="shared" si="7"/>
        <v>4</v>
      </c>
      <c r="Q52" s="63" t="e">
        <f t="shared" si="8"/>
        <v>#VALUE!</v>
      </c>
      <c r="R52" s="63" t="e">
        <f t="shared" si="9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10"/>
        <v>none</v>
      </c>
      <c r="U52" s="63" t="e">
        <f t="shared" si="11"/>
        <v>#VALUE!</v>
      </c>
      <c r="V52" s="63">
        <f t="shared" si="12"/>
        <v>4</v>
      </c>
      <c r="W52" s="63" t="e">
        <f t="shared" si="13"/>
        <v>#VALUE!</v>
      </c>
      <c r="X52" s="63" t="e">
        <f t="shared" si="14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1"/>
      <c r="AB52" s="50"/>
    </row>
    <row r="53" spans="1:28" ht="48" customHeight="1" x14ac:dyDescent="0.15">
      <c r="A53" s="108">
        <v>40036607</v>
      </c>
      <c r="B53" s="108" t="s">
        <v>337</v>
      </c>
      <c r="C53" s="109">
        <v>3</v>
      </c>
      <c r="D53" s="109" t="s">
        <v>128</v>
      </c>
      <c r="E53" s="110" t="s">
        <v>390</v>
      </c>
      <c r="F53" s="110" t="s">
        <v>271</v>
      </c>
      <c r="G53" s="63" t="str">
        <f t="shared" si="0"/>
        <v>[effect:degrade_unit, target:unit_all, turn:4, status:action, val:2, calc:add, animation:enemy_tap_down]</v>
      </c>
      <c r="H53" s="63">
        <f t="shared" si="1"/>
        <v>9</v>
      </c>
      <c r="I53" s="63">
        <f t="shared" si="2"/>
        <v>21</v>
      </c>
      <c r="J53" s="63">
        <f t="shared" si="3"/>
        <v>30</v>
      </c>
      <c r="K53" s="63">
        <f t="shared" si="4"/>
        <v>38</v>
      </c>
      <c r="L53" s="63" t="str">
        <f>IFERROR(VLOOKUP(MID(G53,J53,K53-J53),[6]skilldef!$C:$D,2,FALSE),"-") &amp; " / " &amp; IFERROR(VLOOKUP(MID(G53,H53,I53-H53),[6]skilldef!$A:$B,2,FALSE),"-")</f>
        <v>味方全体に / ステータスDOWN</v>
      </c>
      <c r="M53" s="63" t="str">
        <f t="shared" si="5"/>
        <v>[effect:degrade_unit, target:unit_all, turn:4, status:attack, val:0.5, calc:mul],[effect:enemy_message, val1:1.0, val2:3.3]</v>
      </c>
      <c r="N53" s="48" t="str">
        <f>IFERROR(LEFT(M53,FIND("],",M53)+S77),M53)</f>
        <v>[effect:degrade_unit, target:unit_all, turn:4, status:attack, val:0.5, calc:mul],[effect:enemy_message, val1:1.0, val2:3.3]</v>
      </c>
      <c r="O53" s="63">
        <f t="shared" si="6"/>
        <v>9</v>
      </c>
      <c r="P53" s="63">
        <f t="shared" si="7"/>
        <v>21</v>
      </c>
      <c r="Q53" s="63">
        <f t="shared" si="8"/>
        <v>30</v>
      </c>
      <c r="R53" s="63">
        <f t="shared" si="9"/>
        <v>38</v>
      </c>
      <c r="S53" s="63" t="str">
        <f>IFERROR(VLOOKUP(MID(N53,Q53,R53-Q53),[6]skilldef!$C:$D,2,FALSE),"-") &amp; " / " &amp; IFERROR(VLOOKUP(MID(N53,O53,P53-O53),[6]skilldef!$A:$B,2,FALSE),"-")</f>
        <v>味方全体に / ステータスDOWN</v>
      </c>
      <c r="T53" s="48" t="str">
        <f t="shared" si="10"/>
        <v>[effect:enemy_message, val1:1.0, val2:3.3]</v>
      </c>
      <c r="U53" s="63">
        <f t="shared" si="11"/>
        <v>9</v>
      </c>
      <c r="V53" s="63">
        <f t="shared" si="12"/>
        <v>22</v>
      </c>
      <c r="W53" s="63" t="e">
        <f t="shared" si="13"/>
        <v>#VALUE!</v>
      </c>
      <c r="X53" s="63">
        <f t="shared" si="14"/>
        <v>32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1"/>
      <c r="AB53" s="50"/>
    </row>
    <row r="54" spans="1:28" ht="44" customHeight="1" x14ac:dyDescent="0.15">
      <c r="A54" s="111">
        <v>40036700</v>
      </c>
      <c r="B54" s="111" t="s">
        <v>338</v>
      </c>
      <c r="C54" s="112">
        <v>3</v>
      </c>
      <c r="D54" s="112" t="s">
        <v>128</v>
      </c>
      <c r="E54" s="113" t="s">
        <v>298</v>
      </c>
      <c r="F54" s="113" t="s">
        <v>297</v>
      </c>
      <c r="G54" s="63" t="str">
        <f t="shared" si="0"/>
        <v>[effect:remove_enhancement, target:unit_all, target_effect:all, animation:frozen_wave]</v>
      </c>
      <c r="H54" s="63">
        <f t="shared" si="1"/>
        <v>9</v>
      </c>
      <c r="I54" s="63">
        <f t="shared" si="2"/>
        <v>27</v>
      </c>
      <c r="J54" s="63">
        <f t="shared" si="3"/>
        <v>36</v>
      </c>
      <c r="K54" s="63">
        <f t="shared" si="4"/>
        <v>44</v>
      </c>
      <c r="L54" s="63" t="str">
        <f>IFERROR(VLOOKUP(MID(G54,J54,K54-J54),[6]skilldef!$C:$D,2,FALSE),"-") &amp; " / " &amp; IFERROR(VLOOKUP(MID(G54,H54,I54-H54),[6]skilldef!$A:$B,2,FALSE),"-")</f>
        <v>味方全体に / -</v>
      </c>
      <c r="M54" s="63" t="str">
        <f t="shared" si="5"/>
        <v>[effect:enemy_message, val1:1.7, val2:1.5]</v>
      </c>
      <c r="N54" s="48" t="str">
        <f>IFERROR(LEFT(M54,FIND("],",M54)+S78),M54)</f>
        <v>[effect:enemy_message, val1:1.7, val2:1.5]</v>
      </c>
      <c r="O54" s="63">
        <f t="shared" si="6"/>
        <v>9</v>
      </c>
      <c r="P54" s="63">
        <f t="shared" si="7"/>
        <v>22</v>
      </c>
      <c r="Q54" s="63" t="e">
        <f t="shared" si="8"/>
        <v>#VALUE!</v>
      </c>
      <c r="R54" s="63">
        <f t="shared" si="9"/>
        <v>32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10"/>
        <v>none</v>
      </c>
      <c r="U54" s="63" t="e">
        <f t="shared" si="11"/>
        <v>#VALUE!</v>
      </c>
      <c r="V54" s="63">
        <f t="shared" si="12"/>
        <v>4</v>
      </c>
      <c r="W54" s="63" t="e">
        <f t="shared" si="13"/>
        <v>#VALUE!</v>
      </c>
      <c r="X54" s="63" t="e">
        <f t="shared" si="14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1"/>
      <c r="AB54" s="50"/>
    </row>
    <row r="55" spans="1:28" ht="41" customHeight="1" x14ac:dyDescent="0.15">
      <c r="A55" s="111">
        <v>40036701</v>
      </c>
      <c r="B55" s="111" t="s">
        <v>339</v>
      </c>
      <c r="C55" s="112">
        <v>3</v>
      </c>
      <c r="D55" s="112" t="s">
        <v>128</v>
      </c>
      <c r="E55" s="113" t="s">
        <v>448</v>
      </c>
      <c r="F55" s="113" t="s">
        <v>296</v>
      </c>
      <c r="G55" s="63" t="str">
        <f t="shared" si="0"/>
        <v>[effect:degrade_unit, target:unit_all, turn:2, status:attack, val:0.6, calc:mul]</v>
      </c>
      <c r="H55" s="63">
        <f t="shared" si="1"/>
        <v>9</v>
      </c>
      <c r="I55" s="63">
        <f t="shared" si="2"/>
        <v>21</v>
      </c>
      <c r="J55" s="63">
        <f t="shared" si="3"/>
        <v>30</v>
      </c>
      <c r="K55" s="63">
        <f t="shared" si="4"/>
        <v>38</v>
      </c>
      <c r="L55" s="63" t="str">
        <f>IFERROR(VLOOKUP(MID(G55,J55,K55-J55),[6]skilldef!$C:$D,2,FALSE),"-") &amp; " / " &amp; IFERROR(VLOOKUP(MID(G55,H55,I55-H55),[6]skilldef!$A:$B,2,FALSE),"-")</f>
        <v>味方全体に / ステータスDOWN</v>
      </c>
      <c r="M55" s="63" t="str">
        <f t="shared" si="5"/>
        <v>[effect:spread, val:0.35],[effect:enemy_message, val1:2.0, val2:2.0]</v>
      </c>
      <c r="N55" s="48" t="str">
        <f>IFERROR(LEFT(M55,FIND("],",M55)+S79),M55)</f>
        <v>[effect:spread, val:0.35],[effect:enemy_message, val1:2.0, val2:2.0]</v>
      </c>
      <c r="O55" s="63">
        <f t="shared" si="6"/>
        <v>9</v>
      </c>
      <c r="P55" s="63">
        <f t="shared" si="7"/>
        <v>15</v>
      </c>
      <c r="Q55" s="63" t="e">
        <f t="shared" si="8"/>
        <v>#VALUE!</v>
      </c>
      <c r="R55" s="63">
        <f t="shared" si="9"/>
        <v>26</v>
      </c>
      <c r="S55" s="63" t="str">
        <f>IFERROR(VLOOKUP(MID(N55,Q55,R55-Q55),[6]skilldef!$C:$D,2,FALSE),"-") &amp; " / " &amp; IFERROR(VLOOKUP(MID(N55,O55,P55-O55),[6]skilldef!$A:$B,2,FALSE),"-")</f>
        <v>- / 全体攻撃</v>
      </c>
      <c r="T55" s="48" t="str">
        <f t="shared" si="10"/>
        <v>[effect:enemy_message, val1:2.0, val2:2.0]</v>
      </c>
      <c r="U55" s="63">
        <f t="shared" si="11"/>
        <v>9</v>
      </c>
      <c r="V55" s="63">
        <f t="shared" si="12"/>
        <v>22</v>
      </c>
      <c r="W55" s="63" t="e">
        <f t="shared" si="13"/>
        <v>#VALUE!</v>
      </c>
      <c r="X55" s="63">
        <f t="shared" si="14"/>
        <v>32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1"/>
      <c r="AB55" s="50"/>
    </row>
    <row r="56" spans="1:28" ht="21" customHeight="1" x14ac:dyDescent="0.15">
      <c r="A56" s="111">
        <v>40036702</v>
      </c>
      <c r="B56" s="111" t="s">
        <v>340</v>
      </c>
      <c r="C56" s="112">
        <v>3</v>
      </c>
      <c r="D56" s="112" t="s">
        <v>128</v>
      </c>
      <c r="E56" s="113" t="s">
        <v>366</v>
      </c>
      <c r="F56" s="113" t="s">
        <v>377</v>
      </c>
      <c r="G56" s="63" t="str">
        <f t="shared" si="0"/>
        <v>[effect:damage_gravity, val:0.5, animation:fevergauge_down]</v>
      </c>
      <c r="H56" s="63">
        <f t="shared" si="1"/>
        <v>9</v>
      </c>
      <c r="I56" s="63">
        <f t="shared" si="2"/>
        <v>23</v>
      </c>
      <c r="J56" s="63" t="e">
        <f t="shared" si="3"/>
        <v>#VALUE!</v>
      </c>
      <c r="K56" s="63">
        <f t="shared" si="4"/>
        <v>32</v>
      </c>
      <c r="L56" s="63" t="str">
        <f>IFERROR(VLOOKUP(MID(G56,J56,K56-J56),[6]skilldef!$C:$D,2,FALSE),"-") &amp; " / " &amp; IFERROR(VLOOKUP(MID(G56,H56,I56-H56),[6]skilldef!$A:$B,2,FALSE),"-")</f>
        <v>- / 割合ダメージ</v>
      </c>
      <c r="M56" s="63" t="str">
        <f t="shared" si="5"/>
        <v>[effect:enemy_message, val1:1.3, val2:1.6]</v>
      </c>
      <c r="N56" s="48" t="str">
        <f>IFERROR(LEFT(M56,FIND("],",M56)+#REF!),M56)</f>
        <v>[effect:enemy_message, val1:1.3, val2:1.6]</v>
      </c>
      <c r="O56" s="63">
        <f t="shared" si="6"/>
        <v>9</v>
      </c>
      <c r="P56" s="63">
        <f t="shared" si="7"/>
        <v>22</v>
      </c>
      <c r="Q56" s="63" t="e">
        <f t="shared" si="8"/>
        <v>#VALUE!</v>
      </c>
      <c r="R56" s="63">
        <f t="shared" si="9"/>
        <v>32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10"/>
        <v>none</v>
      </c>
      <c r="U56" s="63" t="e">
        <f t="shared" si="11"/>
        <v>#VALUE!</v>
      </c>
      <c r="V56" s="63">
        <f t="shared" si="12"/>
        <v>4</v>
      </c>
      <c r="W56" s="63" t="e">
        <f t="shared" si="13"/>
        <v>#VALUE!</v>
      </c>
      <c r="X56" s="63" t="e">
        <f t="shared" si="14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1"/>
      <c r="AB56" s="50"/>
    </row>
    <row r="57" spans="1:28" ht="44" customHeight="1" x14ac:dyDescent="0.15">
      <c r="A57" s="111">
        <v>40036703</v>
      </c>
      <c r="B57" s="111" t="s">
        <v>380</v>
      </c>
      <c r="C57" s="112">
        <v>3</v>
      </c>
      <c r="D57" s="112" t="s">
        <v>128</v>
      </c>
      <c r="E57" s="113" t="s">
        <v>299</v>
      </c>
      <c r="F57" s="113" t="s">
        <v>453</v>
      </c>
      <c r="G57" s="63" t="str">
        <f t="shared" si="0"/>
        <v>[effect:crash_condition, target:unit_all, turn:5, val:4, animation:enemy_crash_extend]</v>
      </c>
      <c r="H57" s="63">
        <f t="shared" si="1"/>
        <v>9</v>
      </c>
      <c r="I57" s="63">
        <f t="shared" si="2"/>
        <v>24</v>
      </c>
      <c r="J57" s="63">
        <f t="shared" si="3"/>
        <v>33</v>
      </c>
      <c r="K57" s="63">
        <f t="shared" si="4"/>
        <v>41</v>
      </c>
      <c r="L57" s="63" t="str">
        <f>IFERROR(VLOOKUP(MID(G57,J57,K57-J57),[6]skilldef!$C:$D,2,FALSE),"-") &amp; " / " &amp; IFERROR(VLOOKUP(MID(G57,H57,I57-H57),[6]skilldef!$A:$B,2,FALSE),"-")</f>
        <v>味方全体に / -</v>
      </c>
      <c r="M57" s="63" t="str">
        <f t="shared" si="5"/>
        <v>[effect:spread, val:0.35],[effect:enemy_message, val1:1.4, val2:2.5]</v>
      </c>
      <c r="N57" s="48" t="str">
        <f>IFERROR(LEFT(M57,FIND("],",M57)+#REF!),M57)</f>
        <v>[effect:spread, val:0.35],[effect:enemy_message, val1:1.4, val2:2.5]</v>
      </c>
      <c r="O57" s="63">
        <f t="shared" si="6"/>
        <v>9</v>
      </c>
      <c r="P57" s="63">
        <f t="shared" si="7"/>
        <v>15</v>
      </c>
      <c r="Q57" s="63" t="e">
        <f t="shared" si="8"/>
        <v>#VALUE!</v>
      </c>
      <c r="R57" s="63">
        <f t="shared" si="9"/>
        <v>26</v>
      </c>
      <c r="S57" s="63" t="str">
        <f>IFERROR(VLOOKUP(MID(N57,Q57,R57-Q57),[6]skilldef!$C:$D,2,FALSE),"-") &amp; " / " &amp; IFERROR(VLOOKUP(MID(N57,O57,P57-O57),[6]skilldef!$A:$B,2,FALSE),"-")</f>
        <v>- / 全体攻撃</v>
      </c>
      <c r="T57" s="48" t="str">
        <f t="shared" si="10"/>
        <v>[effect:enemy_message, val1:1.4, val2:2.5]</v>
      </c>
      <c r="U57" s="63">
        <f t="shared" si="11"/>
        <v>9</v>
      </c>
      <c r="V57" s="63">
        <f t="shared" si="12"/>
        <v>22</v>
      </c>
      <c r="W57" s="63" t="e">
        <f t="shared" si="13"/>
        <v>#VALUE!</v>
      </c>
      <c r="X57" s="63">
        <f t="shared" si="14"/>
        <v>32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1"/>
      <c r="AB57" s="50"/>
    </row>
    <row r="58" spans="1:28" ht="41" customHeight="1" x14ac:dyDescent="0.15">
      <c r="A58" s="111">
        <v>40036704</v>
      </c>
      <c r="B58" s="111" t="s">
        <v>341</v>
      </c>
      <c r="C58" s="112">
        <v>3</v>
      </c>
      <c r="D58" s="112" t="s">
        <v>128</v>
      </c>
      <c r="E58" s="113" t="s">
        <v>449</v>
      </c>
      <c r="F58" s="113" t="s">
        <v>296</v>
      </c>
      <c r="G58" s="63" t="str">
        <f t="shared" ref="G58:G60" si="268">IFERROR(LEFT(B58,FIND("],",B58)),B58)</f>
        <v>[effect:degrade_unit, target:unit_all, turn:2, status:attack, val:0.6, calc:mul]</v>
      </c>
      <c r="H58" s="63">
        <f t="shared" ref="H58:H60" si="269">FIND("effect:",G58)+7</f>
        <v>9</v>
      </c>
      <c r="I58" s="63">
        <f t="shared" ref="I58:I60" si="270">IFERROR(FIND(",",G58),LEN(G58))</f>
        <v>21</v>
      </c>
      <c r="J58" s="63">
        <f t="shared" ref="J58:J60" si="271">FIND("target:",G58)+7</f>
        <v>30</v>
      </c>
      <c r="K58" s="63">
        <f t="shared" ref="K58:K60" si="272">FIND(",",G58,I58+1)</f>
        <v>38</v>
      </c>
      <c r="L58" s="63" t="str">
        <f>IFERROR(VLOOKUP(MID(G58,J58,K58-J58),[6]skilldef!$C:$D,2,FALSE),"-") &amp; " / " &amp; IFERROR(VLOOKUP(MID(G58,H58,I58-H58),[6]skilldef!$A:$B,2,FALSE),"-")</f>
        <v>味方全体に / ステータスDOWN</v>
      </c>
      <c r="M58" s="63" t="str">
        <f t="shared" ref="M58:M60" si="273">IFERROR(RIGHT(B58,LEN(B58)-FIND("],",B58)-1),"none")</f>
        <v>[effect:spread, val:0.35],[effect:enemy_message, val1:1.9, val2:2.0]</v>
      </c>
      <c r="N58" s="48" t="str">
        <f>IFERROR(LEFT(M58,FIND("],",M58)+S84),M58)</f>
        <v>[effect:spread, val:0.35],[effect:enemy_message, val1:1.9, val2:2.0]</v>
      </c>
      <c r="O58" s="63">
        <f t="shared" ref="O58:O60" si="274">FIND("effect:",N58)+7</f>
        <v>9</v>
      </c>
      <c r="P58" s="63">
        <f t="shared" ref="P58:P60" si="275">IFERROR(FIND(",",N58),LEN(N58))</f>
        <v>15</v>
      </c>
      <c r="Q58" s="63" t="e">
        <f t="shared" ref="Q58:Q60" si="276">FIND("target:",N58)+7</f>
        <v>#VALUE!</v>
      </c>
      <c r="R58" s="63">
        <f t="shared" ref="R58:R60" si="277">FIND(",",N58,P58+1)</f>
        <v>26</v>
      </c>
      <c r="S58" s="63" t="str">
        <f>IFERROR(VLOOKUP(MID(N58,Q58,R58-Q58),[6]skilldef!$C:$D,2,FALSE),"-") &amp; " / " &amp; IFERROR(VLOOKUP(MID(N58,O58,P58-O58),[6]skilldef!$A:$B,2,FALSE),"-")</f>
        <v>- / 全体攻撃</v>
      </c>
      <c r="T58" s="48" t="str">
        <f t="shared" ref="T58:T60" si="278">IFERROR(RIGHT(M58,LEN(M58)-FIND("],",M58)-1),"none")</f>
        <v>[effect:enemy_message, val1:1.9, val2:2.0]</v>
      </c>
      <c r="U58" s="63">
        <f t="shared" ref="U58:U60" si="279">FIND("effect:",T58)+7</f>
        <v>9</v>
      </c>
      <c r="V58" s="63">
        <f t="shared" ref="V58:V60" si="280">IFERROR(FIND(",",T58),LEN(T58))</f>
        <v>22</v>
      </c>
      <c r="W58" s="63" t="e">
        <f t="shared" ref="W58:W60" si="281">FIND("target:",T58)+7</f>
        <v>#VALUE!</v>
      </c>
      <c r="X58" s="63">
        <f t="shared" ref="X58:X60" si="282">FIND(",",T58,V58+1)</f>
        <v>32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1"/>
      <c r="AB58" s="50"/>
    </row>
    <row r="59" spans="1:28" ht="21" customHeight="1" x14ac:dyDescent="0.15">
      <c r="A59" s="111">
        <v>40036705</v>
      </c>
      <c r="B59" s="111" t="s">
        <v>342</v>
      </c>
      <c r="C59" s="112">
        <v>3</v>
      </c>
      <c r="D59" s="112" t="s">
        <v>128</v>
      </c>
      <c r="E59" s="113" t="s">
        <v>365</v>
      </c>
      <c r="F59" s="113" t="s">
        <v>377</v>
      </c>
      <c r="G59" s="63" t="str">
        <f t="shared" si="268"/>
        <v>[effect:damage_gravity, val:0.5, animation:fevergauge_down]</v>
      </c>
      <c r="H59" s="63">
        <f t="shared" si="269"/>
        <v>9</v>
      </c>
      <c r="I59" s="63">
        <f t="shared" si="270"/>
        <v>23</v>
      </c>
      <c r="J59" s="63" t="e">
        <f t="shared" si="271"/>
        <v>#VALUE!</v>
      </c>
      <c r="K59" s="63">
        <f t="shared" si="272"/>
        <v>32</v>
      </c>
      <c r="L59" s="63" t="str">
        <f>IFERROR(VLOOKUP(MID(G59,J59,K59-J59),[6]skilldef!$C:$D,2,FALSE),"-") &amp; " / " &amp; IFERROR(VLOOKUP(MID(G59,H59,I59-H59),[6]skilldef!$A:$B,2,FALSE),"-")</f>
        <v>- / 割合ダメージ</v>
      </c>
      <c r="M59" s="63" t="str">
        <f t="shared" si="273"/>
        <v>[effect:enemy_message, val1:1.3, val2:1.7]</v>
      </c>
      <c r="N59" s="48" t="str">
        <f>IFERROR(LEFT(M59,FIND("],",M59)+#REF!),M59)</f>
        <v>[effect:enemy_message, val1:1.3, val2:1.7]</v>
      </c>
      <c r="O59" s="63">
        <f t="shared" si="274"/>
        <v>9</v>
      </c>
      <c r="P59" s="63">
        <f t="shared" si="275"/>
        <v>22</v>
      </c>
      <c r="Q59" s="63" t="e">
        <f t="shared" si="276"/>
        <v>#VALUE!</v>
      </c>
      <c r="R59" s="63">
        <f t="shared" si="277"/>
        <v>32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278"/>
        <v>none</v>
      </c>
      <c r="U59" s="63" t="e">
        <f t="shared" si="279"/>
        <v>#VALUE!</v>
      </c>
      <c r="V59" s="63">
        <f t="shared" si="280"/>
        <v>4</v>
      </c>
      <c r="W59" s="63" t="e">
        <f t="shared" si="281"/>
        <v>#VALUE!</v>
      </c>
      <c r="X59" s="63" t="e">
        <f t="shared" si="282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1"/>
      <c r="AB59" s="50"/>
    </row>
    <row r="60" spans="1:28" ht="44" customHeight="1" x14ac:dyDescent="0.15">
      <c r="A60" s="111">
        <v>40036706</v>
      </c>
      <c r="B60" s="111" t="s">
        <v>343</v>
      </c>
      <c r="C60" s="112">
        <v>3</v>
      </c>
      <c r="D60" s="112" t="s">
        <v>128</v>
      </c>
      <c r="E60" s="113" t="s">
        <v>305</v>
      </c>
      <c r="F60" s="113" t="s">
        <v>297</v>
      </c>
      <c r="G60" s="63" t="str">
        <f t="shared" si="268"/>
        <v>[effect:remove_enhancement, target:unit_all, target_effect:all, animation:frozen_wave]</v>
      </c>
      <c r="H60" s="63">
        <f t="shared" si="269"/>
        <v>9</v>
      </c>
      <c r="I60" s="63">
        <f t="shared" si="270"/>
        <v>27</v>
      </c>
      <c r="J60" s="63">
        <f t="shared" si="271"/>
        <v>36</v>
      </c>
      <c r="K60" s="63">
        <f t="shared" si="272"/>
        <v>44</v>
      </c>
      <c r="L60" s="63" t="str">
        <f>IFERROR(VLOOKUP(MID(G60,J60,K60-J60),[6]skilldef!$C:$D,2,FALSE),"-") &amp; " / " &amp; IFERROR(VLOOKUP(MID(G60,H60,I60-H60),[6]skilldef!$A:$B,2,FALSE),"-")</f>
        <v>味方全体に / -</v>
      </c>
      <c r="M60" s="63" t="str">
        <f t="shared" si="273"/>
        <v>[effect:enemy_message, val1:1.5, val2:1.2]</v>
      </c>
      <c r="N60" s="48" t="str">
        <f>IFERROR(LEFT(M60,FIND("],",M60)+S86),M60)</f>
        <v>[effect:enemy_message, val1:1.5, val2:1.2]</v>
      </c>
      <c r="O60" s="63">
        <f t="shared" si="274"/>
        <v>9</v>
      </c>
      <c r="P60" s="63">
        <f t="shared" si="275"/>
        <v>22</v>
      </c>
      <c r="Q60" s="63" t="e">
        <f t="shared" si="276"/>
        <v>#VALUE!</v>
      </c>
      <c r="R60" s="63">
        <f t="shared" si="277"/>
        <v>32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278"/>
        <v>none</v>
      </c>
      <c r="U60" s="63" t="e">
        <f t="shared" si="279"/>
        <v>#VALUE!</v>
      </c>
      <c r="V60" s="63">
        <f t="shared" si="280"/>
        <v>4</v>
      </c>
      <c r="W60" s="63" t="e">
        <f t="shared" si="281"/>
        <v>#VALUE!</v>
      </c>
      <c r="X60" s="63" t="e">
        <f t="shared" si="282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1"/>
      <c r="AB60" s="50"/>
    </row>
    <row r="61" spans="1:28" ht="44" customHeight="1" x14ac:dyDescent="0.15">
      <c r="A61" s="111">
        <v>40036707</v>
      </c>
      <c r="B61" s="111" t="s">
        <v>344</v>
      </c>
      <c r="C61" s="112">
        <v>3</v>
      </c>
      <c r="D61" s="112" t="s">
        <v>128</v>
      </c>
      <c r="E61" s="113" t="s">
        <v>305</v>
      </c>
      <c r="F61" s="113" t="s">
        <v>297</v>
      </c>
      <c r="G61" s="63" t="str">
        <f t="shared" ref="G61" si="283">IFERROR(LEFT(B61,FIND("],",B61)),B61)</f>
        <v>[effect:remove_enhancement, target:unit_all, target_effect:all, animation:frozen_wave]</v>
      </c>
      <c r="H61" s="63">
        <f t="shared" ref="H61" si="284">FIND("effect:",G61)+7</f>
        <v>9</v>
      </c>
      <c r="I61" s="63">
        <f t="shared" ref="I61" si="285">IFERROR(FIND(",",G61),LEN(G61))</f>
        <v>27</v>
      </c>
      <c r="J61" s="63">
        <f t="shared" ref="J61" si="286">FIND("target:",G61)+7</f>
        <v>36</v>
      </c>
      <c r="K61" s="63">
        <f t="shared" ref="K61" si="287">FIND(",",G61,I61+1)</f>
        <v>44</v>
      </c>
      <c r="L61" s="63" t="str">
        <f>IFERROR(VLOOKUP(MID(G61,J61,K61-J61),[6]skilldef!$C:$D,2,FALSE),"-") &amp; " / " &amp; IFERROR(VLOOKUP(MID(G61,H61,I61-H61),[6]skilldef!$A:$B,2,FALSE),"-")</f>
        <v>味方全体に / -</v>
      </c>
      <c r="M61" s="63" t="str">
        <f t="shared" ref="M61" si="288">IFERROR(RIGHT(B61,LEN(B61)-FIND("],",B61)-1),"none")</f>
        <v>[effect:enemy_message, val1:1.5, val2:1.2]</v>
      </c>
      <c r="N61" s="48" t="str">
        <f>IFERROR(LEFT(M61,FIND("],",M61)+S87),M61)</f>
        <v>[effect:enemy_message, val1:1.5, val2:1.2]</v>
      </c>
      <c r="O61" s="63">
        <f t="shared" ref="O61" si="289">FIND("effect:",N61)+7</f>
        <v>9</v>
      </c>
      <c r="P61" s="63">
        <f t="shared" ref="P61" si="290">IFERROR(FIND(",",N61),LEN(N61))</f>
        <v>22</v>
      </c>
      <c r="Q61" s="63" t="e">
        <f t="shared" ref="Q61" si="291">FIND("target:",N61)+7</f>
        <v>#VALUE!</v>
      </c>
      <c r="R61" s="63">
        <f t="shared" ref="R61" si="292">FIND(",",N61,P61+1)</f>
        <v>32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ref="T61" si="293">IFERROR(RIGHT(M61,LEN(M61)-FIND("],",M61)-1),"none")</f>
        <v>none</v>
      </c>
      <c r="U61" s="63" t="e">
        <f t="shared" ref="U61" si="294">FIND("effect:",T61)+7</f>
        <v>#VALUE!</v>
      </c>
      <c r="V61" s="63">
        <f t="shared" ref="V61" si="295">IFERROR(FIND(",",T61),LEN(T61))</f>
        <v>4</v>
      </c>
      <c r="W61" s="63" t="e">
        <f t="shared" ref="W61" si="296">FIND("target:",T61)+7</f>
        <v>#VALUE!</v>
      </c>
      <c r="X61" s="63" t="e">
        <f t="shared" ref="X61" si="297">FIND(",",T61,V61+1)</f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1"/>
      <c r="AB61" s="50"/>
    </row>
    <row r="62" spans="1:28" ht="44" customHeight="1" x14ac:dyDescent="0.15">
      <c r="A62" s="111">
        <v>40036708</v>
      </c>
      <c r="B62" s="111" t="s">
        <v>345</v>
      </c>
      <c r="C62" s="112">
        <v>3</v>
      </c>
      <c r="D62" s="112" t="s">
        <v>128</v>
      </c>
      <c r="E62" s="113" t="s">
        <v>310</v>
      </c>
      <c r="F62" s="113" t="s">
        <v>297</v>
      </c>
      <c r="G62" s="63" t="str">
        <f t="shared" ref="G62" si="298">IFERROR(LEFT(B62,FIND("],",B62)),B62)</f>
        <v>[effect:remove_enhancement, target:unit_all, target_effect:all, animation:frozen_wave]</v>
      </c>
      <c r="H62" s="63">
        <f t="shared" ref="H62" si="299">FIND("effect:",G62)+7</f>
        <v>9</v>
      </c>
      <c r="I62" s="63">
        <f t="shared" ref="I62" si="300">IFERROR(FIND(",",G62),LEN(G62))</f>
        <v>27</v>
      </c>
      <c r="J62" s="63">
        <f t="shared" ref="J62" si="301">FIND("target:",G62)+7</f>
        <v>36</v>
      </c>
      <c r="K62" s="63">
        <f t="shared" ref="K62" si="302">FIND(",",G62,I62+1)</f>
        <v>44</v>
      </c>
      <c r="L62" s="63" t="str">
        <f>IFERROR(VLOOKUP(MID(G62,J62,K62-J62),[6]skilldef!$C:$D,2,FALSE),"-") &amp; " / " &amp; IFERROR(VLOOKUP(MID(G62,H62,I62-H62),[6]skilldef!$A:$B,2,FALSE),"-")</f>
        <v>味方全体に / -</v>
      </c>
      <c r="M62" s="63" t="str">
        <f t="shared" ref="M62" si="303">IFERROR(RIGHT(B62,LEN(B62)-FIND("],",B62)-1),"none")</f>
        <v>[effect:enemy_message, val1:2.1, val2:1.2]</v>
      </c>
      <c r="N62" s="48" t="str">
        <f>IFERROR(LEFT(M62,FIND("],",M62)+S87),M62)</f>
        <v>[effect:enemy_message, val1:2.1, val2:1.2]</v>
      </c>
      <c r="O62" s="63">
        <f t="shared" ref="O62" si="304">FIND("effect:",N62)+7</f>
        <v>9</v>
      </c>
      <c r="P62" s="63">
        <f t="shared" ref="P62" si="305">IFERROR(FIND(",",N62),LEN(N62))</f>
        <v>22</v>
      </c>
      <c r="Q62" s="63" t="e">
        <f t="shared" ref="Q62" si="306">FIND("target:",N62)+7</f>
        <v>#VALUE!</v>
      </c>
      <c r="R62" s="63">
        <f t="shared" ref="R62" si="307">FIND(",",N62,P62+1)</f>
        <v>32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ref="T62" si="308">IFERROR(RIGHT(M62,LEN(M62)-FIND("],",M62)-1),"none")</f>
        <v>none</v>
      </c>
      <c r="U62" s="63" t="e">
        <f t="shared" ref="U62" si="309">FIND("effect:",T62)+7</f>
        <v>#VALUE!</v>
      </c>
      <c r="V62" s="63">
        <f t="shared" ref="V62" si="310">IFERROR(FIND(",",T62),LEN(T62))</f>
        <v>4</v>
      </c>
      <c r="W62" s="63" t="e">
        <f t="shared" ref="W62" si="311">FIND("target:",T62)+7</f>
        <v>#VALUE!</v>
      </c>
      <c r="X62" s="63" t="e">
        <f t="shared" ref="X62" si="312">FIND(",",T62,V62+1)</f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1"/>
      <c r="AB62" s="50"/>
    </row>
    <row r="63" spans="1:28" ht="44" customHeight="1" x14ac:dyDescent="0.15">
      <c r="A63" s="111">
        <v>40036709</v>
      </c>
      <c r="B63" s="111" t="s">
        <v>346</v>
      </c>
      <c r="C63" s="112">
        <v>3</v>
      </c>
      <c r="D63" s="112" t="s">
        <v>128</v>
      </c>
      <c r="E63" s="113" t="s">
        <v>310</v>
      </c>
      <c r="F63" s="113" t="s">
        <v>297</v>
      </c>
      <c r="G63" s="63" t="str">
        <f t="shared" ref="G63" si="313">IFERROR(LEFT(B63,FIND("],",B63)),B63)</f>
        <v>[effect:remove_enhancement, target:unit_all, target_effect:all, animation:frozen_wave]</v>
      </c>
      <c r="H63" s="63">
        <f t="shared" ref="H63" si="314">FIND("effect:",G63)+7</f>
        <v>9</v>
      </c>
      <c r="I63" s="63">
        <f t="shared" ref="I63" si="315">IFERROR(FIND(",",G63),LEN(G63))</f>
        <v>27</v>
      </c>
      <c r="J63" s="63">
        <f t="shared" ref="J63" si="316">FIND("target:",G63)+7</f>
        <v>36</v>
      </c>
      <c r="K63" s="63">
        <f t="shared" ref="K63" si="317">FIND(",",G63,I63+1)</f>
        <v>44</v>
      </c>
      <c r="L63" s="63" t="str">
        <f>IFERROR(VLOOKUP(MID(G63,J63,K63-J63),[6]skilldef!$C:$D,2,FALSE),"-") &amp; " / " &amp; IFERROR(VLOOKUP(MID(G63,H63,I63-H63),[6]skilldef!$A:$B,2,FALSE),"-")</f>
        <v>味方全体に / -</v>
      </c>
      <c r="M63" s="63" t="str">
        <f t="shared" ref="M63" si="318">IFERROR(RIGHT(B63,LEN(B63)-FIND("],",B63)-1),"none")</f>
        <v>[effect:enemy_message, val1:2.1, val2:1.2]</v>
      </c>
      <c r="N63" s="48" t="str">
        <f>IFERROR(LEFT(M63,FIND("],",M63)+S88),M63)</f>
        <v>[effect:enemy_message, val1:2.1, val2:1.2]</v>
      </c>
      <c r="O63" s="63">
        <f t="shared" ref="O63" si="319">FIND("effect:",N63)+7</f>
        <v>9</v>
      </c>
      <c r="P63" s="63">
        <f t="shared" ref="P63" si="320">IFERROR(FIND(",",N63),LEN(N63))</f>
        <v>22</v>
      </c>
      <c r="Q63" s="63" t="e">
        <f t="shared" ref="Q63" si="321">FIND("target:",N63)+7</f>
        <v>#VALUE!</v>
      </c>
      <c r="R63" s="63">
        <f t="shared" ref="R63" si="322">FIND(",",N63,P63+1)</f>
        <v>32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ref="T63" si="323">IFERROR(RIGHT(M63,LEN(M63)-FIND("],",M63)-1),"none")</f>
        <v>none</v>
      </c>
      <c r="U63" s="63" t="e">
        <f t="shared" ref="U63" si="324">FIND("effect:",T63)+7</f>
        <v>#VALUE!</v>
      </c>
      <c r="V63" s="63">
        <f t="shared" ref="V63" si="325">IFERROR(FIND(",",T63),LEN(T63))</f>
        <v>4</v>
      </c>
      <c r="W63" s="63" t="e">
        <f t="shared" ref="W63" si="326">FIND("target:",T63)+7</f>
        <v>#VALUE!</v>
      </c>
      <c r="X63" s="63" t="e">
        <f t="shared" ref="X63" si="327">FIND(",",T63,V63+1)</f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1"/>
      <c r="AB63" s="50"/>
    </row>
    <row r="64" spans="1:28" ht="44" customHeight="1" x14ac:dyDescent="0.15">
      <c r="A64" s="111">
        <v>40036710</v>
      </c>
      <c r="B64" s="111" t="s">
        <v>361</v>
      </c>
      <c r="C64" s="112">
        <v>3</v>
      </c>
      <c r="D64" s="112" t="s">
        <v>128</v>
      </c>
      <c r="E64" s="113" t="s">
        <v>313</v>
      </c>
      <c r="F64" s="113" t="s">
        <v>297</v>
      </c>
      <c r="G64" s="63" t="str">
        <f t="shared" ref="G64" si="328">IFERROR(LEFT(B64,FIND("],",B64)),B64)</f>
        <v>[effect:remove_enhancement, target:unit_all, target_effect:all, animation:frozen_wave]</v>
      </c>
      <c r="H64" s="63">
        <f t="shared" ref="H64" si="329">FIND("effect:",G64)+7</f>
        <v>9</v>
      </c>
      <c r="I64" s="63">
        <f t="shared" ref="I64" si="330">IFERROR(FIND(",",G64),LEN(G64))</f>
        <v>27</v>
      </c>
      <c r="J64" s="63">
        <f t="shared" ref="J64" si="331">FIND("target:",G64)+7</f>
        <v>36</v>
      </c>
      <c r="K64" s="63">
        <f t="shared" ref="K64" si="332">FIND(",",G64,I64+1)</f>
        <v>44</v>
      </c>
      <c r="L64" s="63" t="str">
        <f>IFERROR(VLOOKUP(MID(G64,J64,K64-J64),[6]skilldef!$C:$D,2,FALSE),"-") &amp; " / " &amp; IFERROR(VLOOKUP(MID(G64,H64,I64-H64),[6]skilldef!$A:$B,2,FALSE),"-")</f>
        <v>味方全体に / -</v>
      </c>
      <c r="M64" s="63" t="str">
        <f t="shared" ref="M64" si="333">IFERROR(RIGHT(B64,LEN(B64)-FIND("],",B64)-1),"none")</f>
        <v>[effect:enemy_message, val1:1.7, val2:1.2]</v>
      </c>
      <c r="N64" s="48" t="str">
        <f>IFERROR(LEFT(M64,FIND("],",M64)+S88),M64)</f>
        <v>[effect:enemy_message, val1:1.7, val2:1.2]</v>
      </c>
      <c r="O64" s="63">
        <f t="shared" ref="O64" si="334">FIND("effect:",N64)+7</f>
        <v>9</v>
      </c>
      <c r="P64" s="63">
        <f t="shared" ref="P64" si="335">IFERROR(FIND(",",N64),LEN(N64))</f>
        <v>22</v>
      </c>
      <c r="Q64" s="63" t="e">
        <f t="shared" ref="Q64" si="336">FIND("target:",N64)+7</f>
        <v>#VALUE!</v>
      </c>
      <c r="R64" s="63">
        <f t="shared" ref="R64" si="337">FIND(",",N64,P64+1)</f>
        <v>32</v>
      </c>
      <c r="S64" s="63" t="str">
        <f>IFERROR(VLOOKUP(MID(N64,Q64,R64-Q64),[6]skilldef!$C:$D,2,FALSE),"-") &amp; " / " &amp; IFERROR(VLOOKUP(MID(N64,O64,P64-O64),[6]skilldef!$A:$B,2,FALSE),"-")</f>
        <v>- / -</v>
      </c>
      <c r="T64" s="48" t="str">
        <f t="shared" ref="T64" si="338">IFERROR(RIGHT(M64,LEN(M64)-FIND("],",M64)-1),"none")</f>
        <v>none</v>
      </c>
      <c r="U64" s="63" t="e">
        <f t="shared" ref="U64" si="339">FIND("effect:",T64)+7</f>
        <v>#VALUE!</v>
      </c>
      <c r="V64" s="63">
        <f t="shared" ref="V64" si="340">IFERROR(FIND(",",T64),LEN(T64))</f>
        <v>4</v>
      </c>
      <c r="W64" s="63" t="e">
        <f t="shared" ref="W64" si="341">FIND("target:",T64)+7</f>
        <v>#VALUE!</v>
      </c>
      <c r="X64" s="63" t="e">
        <f t="shared" ref="X64" si="342">FIND(",",T64,V64+1)</f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1"/>
      <c r="AB64" s="50"/>
    </row>
    <row r="65" spans="1:28" ht="44" customHeight="1" x14ac:dyDescent="0.15">
      <c r="A65" s="111">
        <v>40036711</v>
      </c>
      <c r="B65" s="111" t="s">
        <v>347</v>
      </c>
      <c r="C65" s="112">
        <v>3</v>
      </c>
      <c r="D65" s="112" t="s">
        <v>128</v>
      </c>
      <c r="E65" s="113" t="s">
        <v>313</v>
      </c>
      <c r="F65" s="113" t="s">
        <v>297</v>
      </c>
      <c r="G65" s="63" t="str">
        <f t="shared" ref="G65:G67" si="343">IFERROR(LEFT(B65,FIND("],",B65)),B65)</f>
        <v>[effect:remove_enhancement, target:unit_all, target_effect:all, animation:frozen_wave]</v>
      </c>
      <c r="H65" s="63">
        <f t="shared" ref="H65:H67" si="344">FIND("effect:",G65)+7</f>
        <v>9</v>
      </c>
      <c r="I65" s="63">
        <f t="shared" ref="I65:I67" si="345">IFERROR(FIND(",",G65),LEN(G65))</f>
        <v>27</v>
      </c>
      <c r="J65" s="63">
        <f t="shared" ref="J65:J67" si="346">FIND("target:",G65)+7</f>
        <v>36</v>
      </c>
      <c r="K65" s="63">
        <f t="shared" ref="K65:K67" si="347">FIND(",",G65,I65+1)</f>
        <v>44</v>
      </c>
      <c r="L65" s="63" t="str">
        <f>IFERROR(VLOOKUP(MID(G65,J65,K65-J65),[6]skilldef!$C:$D,2,FALSE),"-") &amp; " / " &amp; IFERROR(VLOOKUP(MID(G65,H65,I65-H65),[6]skilldef!$A:$B,2,FALSE),"-")</f>
        <v>味方全体に / -</v>
      </c>
      <c r="M65" s="63" t="str">
        <f t="shared" ref="M65:M67" si="348">IFERROR(RIGHT(B65,LEN(B65)-FIND("],",B65)-1),"none")</f>
        <v>[effect:enemy_message, val1:1.7, val2:1.2]</v>
      </c>
      <c r="N65" s="48" t="str">
        <f>IFERROR(LEFT(M65,FIND("],",M65)+S89),M65)</f>
        <v>[effect:enemy_message, val1:1.7, val2:1.2]</v>
      </c>
      <c r="O65" s="63">
        <f t="shared" ref="O65:O67" si="349">FIND("effect:",N65)+7</f>
        <v>9</v>
      </c>
      <c r="P65" s="63">
        <f t="shared" ref="P65:P67" si="350">IFERROR(FIND(",",N65),LEN(N65))</f>
        <v>22</v>
      </c>
      <c r="Q65" s="63" t="e">
        <f t="shared" ref="Q65:Q67" si="351">FIND("target:",N65)+7</f>
        <v>#VALUE!</v>
      </c>
      <c r="R65" s="63">
        <f t="shared" ref="R65:R67" si="352">FIND(",",N65,P65+1)</f>
        <v>32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ref="T65:T67" si="353">IFERROR(RIGHT(M65,LEN(M65)-FIND("],",M65)-1),"none")</f>
        <v>none</v>
      </c>
      <c r="U65" s="63" t="e">
        <f t="shared" ref="U65:U67" si="354">FIND("effect:",T65)+7</f>
        <v>#VALUE!</v>
      </c>
      <c r="V65" s="63">
        <f t="shared" ref="V65:V67" si="355">IFERROR(FIND(",",T65),LEN(T65))</f>
        <v>4</v>
      </c>
      <c r="W65" s="63" t="e">
        <f t="shared" ref="W65:W67" si="356">FIND("target:",T65)+7</f>
        <v>#VALUE!</v>
      </c>
      <c r="X65" s="63" t="e">
        <f t="shared" ref="X65:X67" si="357">FIND(",",T65,V65+1)</f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1"/>
      <c r="AB65" s="50"/>
    </row>
    <row r="66" spans="1:28" ht="41" customHeight="1" x14ac:dyDescent="0.15">
      <c r="A66" s="111">
        <v>40036712</v>
      </c>
      <c r="B66" s="111" t="s">
        <v>431</v>
      </c>
      <c r="C66" s="112">
        <v>3</v>
      </c>
      <c r="D66" s="112" t="s">
        <v>128</v>
      </c>
      <c r="E66" s="113" t="s">
        <v>448</v>
      </c>
      <c r="F66" s="113" t="s">
        <v>266</v>
      </c>
      <c r="G66" s="63" t="str">
        <f t="shared" si="343"/>
        <v>[effect:spread, val:0.35]</v>
      </c>
      <c r="H66" s="63">
        <f t="shared" si="344"/>
        <v>9</v>
      </c>
      <c r="I66" s="63">
        <f t="shared" si="345"/>
        <v>15</v>
      </c>
      <c r="J66" s="63" t="e">
        <f t="shared" si="346"/>
        <v>#VALUE!</v>
      </c>
      <c r="K66" s="63" t="e">
        <f t="shared" si="347"/>
        <v>#VALUE!</v>
      </c>
      <c r="L66" s="63" t="str">
        <f>IFERROR(VLOOKUP(MID(G66,J66,K66-J66),[6]skilldef!$C:$D,2,FALSE),"-") &amp; " / " &amp; IFERROR(VLOOKUP(MID(G66,H66,I66-H66),[6]skilldef!$A:$B,2,FALSE),"-")</f>
        <v>- / 全体攻撃</v>
      </c>
      <c r="M66" s="63" t="str">
        <f t="shared" si="348"/>
        <v>[effect:enemy_message, val1:2.0, val2:1.5]</v>
      </c>
      <c r="N66" s="48" t="str">
        <f>IFERROR(LEFT(M66,FIND("],",M66)+S89),M66)</f>
        <v>[effect:enemy_message, val1:2.0, val2:1.5]</v>
      </c>
      <c r="O66" s="63">
        <f t="shared" si="349"/>
        <v>9</v>
      </c>
      <c r="P66" s="63">
        <f t="shared" si="350"/>
        <v>22</v>
      </c>
      <c r="Q66" s="63" t="e">
        <f t="shared" si="351"/>
        <v>#VALUE!</v>
      </c>
      <c r="R66" s="63">
        <f t="shared" si="352"/>
        <v>32</v>
      </c>
      <c r="S66" s="63" t="str">
        <f>IFERROR(VLOOKUP(MID(N66,Q66,R66-Q66),[6]skilldef!$C:$D,2,FALSE),"-") &amp; " / " &amp; IFERROR(VLOOKUP(MID(N66,O66,P66-O66),[6]skilldef!$A:$B,2,FALSE),"-")</f>
        <v>- / -</v>
      </c>
      <c r="T66" s="48" t="str">
        <f t="shared" si="353"/>
        <v>none</v>
      </c>
      <c r="U66" s="63" t="e">
        <f t="shared" si="354"/>
        <v>#VALUE!</v>
      </c>
      <c r="V66" s="63">
        <f t="shared" si="355"/>
        <v>4</v>
      </c>
      <c r="W66" s="63" t="e">
        <f t="shared" si="356"/>
        <v>#VALUE!</v>
      </c>
      <c r="X66" s="63" t="e">
        <f t="shared" si="357"/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1"/>
      <c r="AB66" s="50"/>
    </row>
    <row r="67" spans="1:28" ht="41" customHeight="1" x14ac:dyDescent="0.15">
      <c r="A67" s="111">
        <v>40036713</v>
      </c>
      <c r="B67" s="111" t="s">
        <v>432</v>
      </c>
      <c r="C67" s="112">
        <v>3</v>
      </c>
      <c r="D67" s="112" t="s">
        <v>128</v>
      </c>
      <c r="E67" s="113" t="s">
        <v>449</v>
      </c>
      <c r="F67" s="113" t="s">
        <v>266</v>
      </c>
      <c r="G67" s="63" t="str">
        <f t="shared" si="343"/>
        <v>[effect:spread, val:0.35]</v>
      </c>
      <c r="H67" s="63">
        <f t="shared" si="344"/>
        <v>9</v>
      </c>
      <c r="I67" s="63">
        <f t="shared" si="345"/>
        <v>15</v>
      </c>
      <c r="J67" s="63" t="e">
        <f t="shared" si="346"/>
        <v>#VALUE!</v>
      </c>
      <c r="K67" s="63" t="e">
        <f t="shared" si="347"/>
        <v>#VALUE!</v>
      </c>
      <c r="L67" s="63" t="str">
        <f>IFERROR(VLOOKUP(MID(G67,J67,K67-J67),[6]skilldef!$C:$D,2,FALSE),"-") &amp; " / " &amp; IFERROR(VLOOKUP(MID(G67,H67,I67-H67),[6]skilldef!$A:$B,2,FALSE),"-")</f>
        <v>- / 全体攻撃</v>
      </c>
      <c r="M67" s="63" t="str">
        <f t="shared" si="348"/>
        <v>[effect:enemy_message, val1:1.9, val2:1.5]</v>
      </c>
      <c r="N67" s="48" t="str">
        <f>IFERROR(LEFT(M67,FIND("],",M67)+S92),M67)</f>
        <v>[effect:enemy_message, val1:1.9, val2:1.5]</v>
      </c>
      <c r="O67" s="63">
        <f t="shared" si="349"/>
        <v>9</v>
      </c>
      <c r="P67" s="63">
        <f t="shared" si="350"/>
        <v>22</v>
      </c>
      <c r="Q67" s="63" t="e">
        <f t="shared" si="351"/>
        <v>#VALUE!</v>
      </c>
      <c r="R67" s="63">
        <f t="shared" si="352"/>
        <v>32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si="353"/>
        <v>none</v>
      </c>
      <c r="U67" s="63" t="e">
        <f t="shared" si="354"/>
        <v>#VALUE!</v>
      </c>
      <c r="V67" s="63">
        <f t="shared" si="355"/>
        <v>4</v>
      </c>
      <c r="W67" s="63" t="e">
        <f t="shared" si="356"/>
        <v>#VALUE!</v>
      </c>
      <c r="X67" s="63" t="e">
        <f t="shared" si="357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1"/>
      <c r="AB67" s="50"/>
    </row>
    <row r="68" spans="1:28" ht="39" customHeight="1" x14ac:dyDescent="0.15">
      <c r="A68" s="120">
        <v>40036800</v>
      </c>
      <c r="B68" s="120" t="s">
        <v>348</v>
      </c>
      <c r="C68" s="121">
        <v>3</v>
      </c>
      <c r="D68" s="121" t="s">
        <v>128</v>
      </c>
      <c r="E68" s="122" t="s">
        <v>301</v>
      </c>
      <c r="F68" s="122" t="s">
        <v>304</v>
      </c>
      <c r="G68" s="63" t="str">
        <f t="shared" si="0"/>
        <v>[effect:drop_block, block_type:time_bomb, block_color:block_red, color:block_all, val:0.2, rate:0.1, turn:-1, animation:time_bomb_influence04]</v>
      </c>
      <c r="H68" s="63">
        <f t="shared" si="1"/>
        <v>9</v>
      </c>
      <c r="I68" s="63">
        <f t="shared" si="2"/>
        <v>19</v>
      </c>
      <c r="J68" s="63" t="e">
        <f t="shared" si="3"/>
        <v>#VALUE!</v>
      </c>
      <c r="K68" s="63">
        <f t="shared" si="4"/>
        <v>41</v>
      </c>
      <c r="L68" s="63" t="str">
        <f>IFERROR(VLOOKUP(MID(G68,J68,K68-J68),[6]skilldef!$C:$D,2,FALSE),"-") &amp; " / " &amp; IFERROR(VLOOKUP(MID(G68,H68,I68-H68),[6]skilldef!$A:$B,2,FALSE),"-")</f>
        <v>- / 特定ブロックの割合ドロップ</v>
      </c>
      <c r="M68" s="63" t="str">
        <f t="shared" si="5"/>
        <v>[effect:fix_speed, target:myself, turn:2],[effect:enemy_message, val1:1.7, val2:2.5]</v>
      </c>
      <c r="N68" s="48" t="str">
        <f t="shared" ref="N68" si="358">IFERROR(LEFT(M68,FIND("],",M68)+S80),M68)</f>
        <v>[effect:fix_speed, target:myself, turn:2],[effect:enemy_message, val1:1.7, val2:2.5]</v>
      </c>
      <c r="O68" s="63">
        <f t="shared" si="6"/>
        <v>9</v>
      </c>
      <c r="P68" s="63">
        <f t="shared" si="7"/>
        <v>18</v>
      </c>
      <c r="Q68" s="63">
        <f t="shared" si="8"/>
        <v>27</v>
      </c>
      <c r="R68" s="63">
        <f t="shared" si="9"/>
        <v>33</v>
      </c>
      <c r="S68" s="63" t="str">
        <f>IFERROR(VLOOKUP(MID(N68,Q68,R68-Q68),[6]skilldef!$C:$D,2,FALSE),"-") &amp; " / " &amp; IFERROR(VLOOKUP(MID(N68,O68,P68-O68),[6]skilldef!$A:$B,2,FALSE),"-")</f>
        <v>自分自身に / 行動値設定</v>
      </c>
      <c r="T68" s="48" t="str">
        <f t="shared" si="10"/>
        <v>[effect:enemy_message, val1:1.7, val2:2.5]</v>
      </c>
      <c r="U68" s="63">
        <f t="shared" si="11"/>
        <v>9</v>
      </c>
      <c r="V68" s="63">
        <f t="shared" si="12"/>
        <v>22</v>
      </c>
      <c r="W68" s="63" t="e">
        <f t="shared" si="13"/>
        <v>#VALUE!</v>
      </c>
      <c r="X68" s="63">
        <f t="shared" si="14"/>
        <v>32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1"/>
      <c r="AB68" s="50"/>
    </row>
    <row r="69" spans="1:28" ht="40" customHeight="1" x14ac:dyDescent="0.15">
      <c r="A69" s="120">
        <v>40036801</v>
      </c>
      <c r="B69" s="120" t="s">
        <v>424</v>
      </c>
      <c r="C69" s="121">
        <v>3</v>
      </c>
      <c r="D69" s="121" t="s">
        <v>128</v>
      </c>
      <c r="E69" s="122" t="s">
        <v>369</v>
      </c>
      <c r="F69" s="122" t="s">
        <v>456</v>
      </c>
      <c r="G69" s="63" t="str">
        <f t="shared" si="0"/>
        <v>[effect:crash_condition, target:unit_all, turn:5, val:4, animation:enemy_crash_extend]</v>
      </c>
      <c r="H69" s="63">
        <f t="shared" si="1"/>
        <v>9</v>
      </c>
      <c r="I69" s="63">
        <f t="shared" si="2"/>
        <v>24</v>
      </c>
      <c r="J69" s="63">
        <f t="shared" si="3"/>
        <v>33</v>
      </c>
      <c r="K69" s="63">
        <f t="shared" si="4"/>
        <v>41</v>
      </c>
      <c r="L69" s="63" t="str">
        <f>IFERROR(VLOOKUP(MID(G69,J69,K69-J69),[6]skilldef!$C:$D,2,FALSE),"-") &amp; " / " &amp; IFERROR(VLOOKUP(MID(G69,H69,I69-H69),[6]skilldef!$A:$B,2,FALSE),"-")</f>
        <v>味方全体に / -</v>
      </c>
      <c r="M69" s="63" t="str">
        <f t="shared" si="5"/>
        <v>[effect:spread, val:0.35],[effect:enemy_message, val1:1.5, val2:2.5]</v>
      </c>
      <c r="N69" s="48" t="str">
        <f>IFERROR(LEFT(M69,FIND("],",M69)+S82),M69)</f>
        <v>[effect:spread, val:0.35],[effect:enemy_message, val1:1.5, val2:2.5]</v>
      </c>
      <c r="O69" s="63">
        <f t="shared" si="6"/>
        <v>9</v>
      </c>
      <c r="P69" s="63">
        <f t="shared" si="7"/>
        <v>15</v>
      </c>
      <c r="Q69" s="63" t="e">
        <f t="shared" si="8"/>
        <v>#VALUE!</v>
      </c>
      <c r="R69" s="63">
        <f t="shared" si="9"/>
        <v>26</v>
      </c>
      <c r="S69" s="63" t="str">
        <f>IFERROR(VLOOKUP(MID(N69,Q69,R69-Q69),[6]skilldef!$C:$D,2,FALSE),"-") &amp; " / " &amp; IFERROR(VLOOKUP(MID(N69,O69,P69-O69),[6]skilldef!$A:$B,2,FALSE),"-")</f>
        <v>- / 全体攻撃</v>
      </c>
      <c r="T69" s="48" t="str">
        <f t="shared" si="10"/>
        <v>[effect:enemy_message, val1:1.5, val2:2.5]</v>
      </c>
      <c r="U69" s="63">
        <f t="shared" si="11"/>
        <v>9</v>
      </c>
      <c r="V69" s="63">
        <f t="shared" si="12"/>
        <v>22</v>
      </c>
      <c r="W69" s="63" t="e">
        <f t="shared" si="13"/>
        <v>#VALUE!</v>
      </c>
      <c r="X69" s="63">
        <f t="shared" si="14"/>
        <v>32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1"/>
      <c r="AB69" s="50"/>
    </row>
    <row r="70" spans="1:28" ht="32" customHeight="1" x14ac:dyDescent="0.15">
      <c r="A70" s="120">
        <v>40036802</v>
      </c>
      <c r="B70" s="120" t="s">
        <v>350</v>
      </c>
      <c r="C70" s="121">
        <v>3</v>
      </c>
      <c r="D70" s="121" t="s">
        <v>128</v>
      </c>
      <c r="E70" s="122" t="s">
        <v>454</v>
      </c>
      <c r="F70" s="122" t="s">
        <v>458</v>
      </c>
      <c r="G70" s="63" t="str">
        <f t="shared" si="0"/>
        <v>[effect:break_attack_fix, target:unit_one, val:850, lowest_val:8500, count:-1, color:red, block01:block_red]</v>
      </c>
      <c r="H70" s="63">
        <f t="shared" si="1"/>
        <v>9</v>
      </c>
      <c r="I70" s="63">
        <f t="shared" si="2"/>
        <v>25</v>
      </c>
      <c r="J70" s="63">
        <f t="shared" si="3"/>
        <v>34</v>
      </c>
      <c r="K70" s="63">
        <f t="shared" si="4"/>
        <v>42</v>
      </c>
      <c r="L70" s="63" t="str">
        <f>IFERROR(VLOOKUP(MID(G70,J70,K70-J70),[6]skilldef!$C:$D,2,FALSE),"-") &amp; " / " &amp; IFERROR(VLOOKUP(MID(G70,H70,I70-H70),[6]skilldef!$A:$B,2,FALSE),"-")</f>
        <v>味方単体に / -</v>
      </c>
      <c r="M70" s="63" t="str">
        <f t="shared" si="5"/>
        <v>[effect:enemy_message, val1:1.3, val2:1.6]</v>
      </c>
      <c r="N70" s="48" t="str">
        <f>IFERROR(LEFT(M70,FIND("],",M70)+S84),M70)</f>
        <v>[effect:enemy_message, val1:1.3, val2:1.6]</v>
      </c>
      <c r="O70" s="63">
        <f t="shared" si="6"/>
        <v>9</v>
      </c>
      <c r="P70" s="63">
        <f t="shared" si="7"/>
        <v>22</v>
      </c>
      <c r="Q70" s="63" t="e">
        <f t="shared" si="8"/>
        <v>#VALUE!</v>
      </c>
      <c r="R70" s="63">
        <f t="shared" si="9"/>
        <v>32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10"/>
        <v>none</v>
      </c>
      <c r="U70" s="63" t="e">
        <f t="shared" si="11"/>
        <v>#VALUE!</v>
      </c>
      <c r="V70" s="63">
        <f t="shared" si="12"/>
        <v>4</v>
      </c>
      <c r="W70" s="63" t="e">
        <f t="shared" si="13"/>
        <v>#VALUE!</v>
      </c>
      <c r="X70" s="63" t="e">
        <f t="shared" si="14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1"/>
      <c r="AB70" s="50"/>
    </row>
    <row r="71" spans="1:28" ht="21" customHeight="1" x14ac:dyDescent="0.15">
      <c r="A71" s="120">
        <v>40036803</v>
      </c>
      <c r="B71" s="120" t="s">
        <v>349</v>
      </c>
      <c r="C71" s="121">
        <v>3</v>
      </c>
      <c r="D71" s="121" t="s">
        <v>128</v>
      </c>
      <c r="E71" s="122" t="s">
        <v>300</v>
      </c>
      <c r="F71" s="122" t="s">
        <v>265</v>
      </c>
      <c r="G71" s="63" t="str">
        <f t="shared" si="0"/>
        <v>[effect:damage_gravity, val:0.6, animation:fevergauge_down]</v>
      </c>
      <c r="H71" s="63">
        <f t="shared" si="1"/>
        <v>9</v>
      </c>
      <c r="I71" s="63">
        <f t="shared" si="2"/>
        <v>23</v>
      </c>
      <c r="J71" s="63" t="e">
        <f t="shared" si="3"/>
        <v>#VALUE!</v>
      </c>
      <c r="K71" s="63">
        <f t="shared" si="4"/>
        <v>32</v>
      </c>
      <c r="L71" s="63" t="str">
        <f>IFERROR(VLOOKUP(MID(G71,J71,K71-J71),[6]skilldef!$C:$D,2,FALSE),"-") &amp; " / " &amp; IFERROR(VLOOKUP(MID(G71,H71,I71-H71),[6]skilldef!$A:$B,2,FALSE),"-")</f>
        <v>- / 割合ダメージ</v>
      </c>
      <c r="M71" s="63" t="str">
        <f t="shared" si="5"/>
        <v>[effect:enemy_message, val1:1.1, val2:1.7]</v>
      </c>
      <c r="N71" s="48" t="str">
        <f>IFERROR(LEFT(M71,FIND("],",M71)+#REF!),M71)</f>
        <v>[effect:enemy_message, val1:1.1, val2:1.7]</v>
      </c>
      <c r="O71" s="63">
        <f t="shared" si="6"/>
        <v>9</v>
      </c>
      <c r="P71" s="63">
        <f t="shared" si="7"/>
        <v>22</v>
      </c>
      <c r="Q71" s="63" t="e">
        <f t="shared" si="8"/>
        <v>#VALUE!</v>
      </c>
      <c r="R71" s="63">
        <f t="shared" si="9"/>
        <v>32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10"/>
        <v>none</v>
      </c>
      <c r="U71" s="63" t="e">
        <f t="shared" si="11"/>
        <v>#VALUE!</v>
      </c>
      <c r="V71" s="63">
        <f t="shared" si="12"/>
        <v>4</v>
      </c>
      <c r="W71" s="63" t="e">
        <f t="shared" si="13"/>
        <v>#VALUE!</v>
      </c>
      <c r="X71" s="63" t="e">
        <f t="shared" si="14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1"/>
      <c r="AB71" s="50"/>
    </row>
    <row r="72" spans="1:28" ht="41" customHeight="1" x14ac:dyDescent="0.15">
      <c r="A72" s="120">
        <v>40036804</v>
      </c>
      <c r="B72" s="120" t="s">
        <v>378</v>
      </c>
      <c r="C72" s="121">
        <v>3</v>
      </c>
      <c r="D72" s="121" t="s">
        <v>128</v>
      </c>
      <c r="E72" s="122" t="s">
        <v>455</v>
      </c>
      <c r="F72" s="122" t="s">
        <v>458</v>
      </c>
      <c r="G72" s="63" t="str">
        <f t="shared" ref="G72:G75" si="359">IFERROR(LEFT(B72,FIND("],",B72)),B72)</f>
        <v>[effect:break_attack_fix, target:unit_one, val:850, lowest_val:8500, count:-1, color:red, block01:block_red]</v>
      </c>
      <c r="H72" s="63">
        <f t="shared" ref="H72:H75" si="360">FIND("effect:",G72)+7</f>
        <v>9</v>
      </c>
      <c r="I72" s="63">
        <f t="shared" ref="I72:I75" si="361">IFERROR(FIND(",",G72),LEN(G72))</f>
        <v>25</v>
      </c>
      <c r="J72" s="63">
        <f t="shared" ref="J72:J75" si="362">FIND("target:",G72)+7</f>
        <v>34</v>
      </c>
      <c r="K72" s="63">
        <f t="shared" ref="K72:K75" si="363">FIND(",",G72,I72+1)</f>
        <v>42</v>
      </c>
      <c r="L72" s="63" t="str">
        <f>IFERROR(VLOOKUP(MID(G72,J72,K72-J72),[6]skilldef!$C:$D,2,FALSE),"-") &amp; " / " &amp; IFERROR(VLOOKUP(MID(G72,H72,I72-H72),[6]skilldef!$A:$B,2,FALSE),"-")</f>
        <v>味方単体に / -</v>
      </c>
      <c r="M72" s="63" t="str">
        <f t="shared" ref="M72:M75" si="364">IFERROR(RIGHT(B72,LEN(B72)-FIND("],",B72)-1),"none")</f>
        <v>[effect:enemy_message, val1:1.3, val2:1.6]</v>
      </c>
      <c r="N72" s="48" t="str">
        <f>IFERROR(LEFT(M72,FIND("],",M72)+S86),M72)</f>
        <v>[effect:enemy_message, val1:1.3, val2:1.6]</v>
      </c>
      <c r="O72" s="63">
        <f t="shared" ref="O72:O75" si="365">FIND("effect:",N72)+7</f>
        <v>9</v>
      </c>
      <c r="P72" s="63">
        <f t="shared" ref="P72:P75" si="366">IFERROR(FIND(",",N72),LEN(N72))</f>
        <v>22</v>
      </c>
      <c r="Q72" s="63" t="e">
        <f t="shared" ref="Q72:Q75" si="367">FIND("target:",N72)+7</f>
        <v>#VALUE!</v>
      </c>
      <c r="R72" s="63">
        <f t="shared" ref="R72:R75" si="368">FIND(",",N72,P72+1)</f>
        <v>32</v>
      </c>
      <c r="S72" s="63" t="str">
        <f>IFERROR(VLOOKUP(MID(N72,Q72,R72-Q72),[6]skilldef!$C:$D,2,FALSE),"-") &amp; " / " &amp; IFERROR(VLOOKUP(MID(N72,O72,P72-O72),[6]skilldef!$A:$B,2,FALSE),"-")</f>
        <v>- / -</v>
      </c>
      <c r="T72" s="48" t="str">
        <f t="shared" ref="T72:T75" si="369">IFERROR(RIGHT(M72,LEN(M72)-FIND("],",M72)-1),"none")</f>
        <v>none</v>
      </c>
      <c r="U72" s="63" t="e">
        <f t="shared" ref="U72:U75" si="370">FIND("effect:",T72)+7</f>
        <v>#VALUE!</v>
      </c>
      <c r="V72" s="63">
        <f t="shared" ref="V72:V75" si="371">IFERROR(FIND(",",T72),LEN(T72))</f>
        <v>4</v>
      </c>
      <c r="W72" s="63" t="e">
        <f t="shared" ref="W72:W75" si="372">FIND("target:",T72)+7</f>
        <v>#VALUE!</v>
      </c>
      <c r="X72" s="63" t="e">
        <f t="shared" ref="X72:X75" si="373">FIND(",",T72,V72+1)</f>
        <v>#VALUE!</v>
      </c>
      <c r="Y72" s="63" t="str">
        <f>IFERROR(VLOOKUP(MID(T72,W72,X72-W72),[6]skilldef!$C:$D,2,FALSE),"-") &amp; " / " &amp; IFERROR(VLOOKUP(MID(T72,U72,V72-U72),[6]skilldef!$A:$B,2,FALSE),"-")</f>
        <v>- / -</v>
      </c>
      <c r="Z72" s="50"/>
      <c r="AA72" s="51"/>
      <c r="AB72" s="50"/>
    </row>
    <row r="73" spans="1:28" ht="21" customHeight="1" x14ac:dyDescent="0.15">
      <c r="A73" s="120">
        <v>40036805</v>
      </c>
      <c r="B73" s="120" t="s">
        <v>379</v>
      </c>
      <c r="C73" s="121">
        <v>3</v>
      </c>
      <c r="D73" s="121" t="s">
        <v>128</v>
      </c>
      <c r="E73" s="122" t="s">
        <v>370</v>
      </c>
      <c r="F73" s="122" t="s">
        <v>265</v>
      </c>
      <c r="G73" s="63" t="str">
        <f t="shared" si="359"/>
        <v>[effect:damage_gravity, val:0.6, animation:fevergauge_down]</v>
      </c>
      <c r="H73" s="63">
        <f t="shared" si="360"/>
        <v>9</v>
      </c>
      <c r="I73" s="63">
        <f t="shared" si="361"/>
        <v>23</v>
      </c>
      <c r="J73" s="63" t="e">
        <f t="shared" si="362"/>
        <v>#VALUE!</v>
      </c>
      <c r="K73" s="63">
        <f t="shared" si="363"/>
        <v>32</v>
      </c>
      <c r="L73" s="63" t="str">
        <f>IFERROR(VLOOKUP(MID(G73,J73,K73-J73),[6]skilldef!$C:$D,2,FALSE),"-") &amp; " / " &amp; IFERROR(VLOOKUP(MID(G73,H73,I73-H73),[6]skilldef!$A:$B,2,FALSE),"-")</f>
        <v>- / 割合ダメージ</v>
      </c>
      <c r="M73" s="63" t="str">
        <f t="shared" si="364"/>
        <v>[effect:enemy_message, val1:1.1, val2:1.7]</v>
      </c>
      <c r="N73" s="48" t="str">
        <f>IFERROR(LEFT(M73,FIND("],",M73)+S87),M73)</f>
        <v>[effect:enemy_message, val1:1.1, val2:1.7]</v>
      </c>
      <c r="O73" s="63">
        <f t="shared" si="365"/>
        <v>9</v>
      </c>
      <c r="P73" s="63">
        <f t="shared" si="366"/>
        <v>22</v>
      </c>
      <c r="Q73" s="63" t="e">
        <f t="shared" si="367"/>
        <v>#VALUE!</v>
      </c>
      <c r="R73" s="63">
        <f t="shared" si="368"/>
        <v>32</v>
      </c>
      <c r="S73" s="63" t="str">
        <f>IFERROR(VLOOKUP(MID(N73,Q73,R73-Q73),[6]skilldef!$C:$D,2,FALSE),"-") &amp; " / " &amp; IFERROR(VLOOKUP(MID(N73,O73,P73-O73),[6]skilldef!$A:$B,2,FALSE),"-")</f>
        <v>- / -</v>
      </c>
      <c r="T73" s="48" t="str">
        <f t="shared" si="369"/>
        <v>none</v>
      </c>
      <c r="U73" s="63" t="e">
        <f t="shared" si="370"/>
        <v>#VALUE!</v>
      </c>
      <c r="V73" s="63">
        <f t="shared" si="371"/>
        <v>4</v>
      </c>
      <c r="W73" s="63" t="e">
        <f t="shared" si="372"/>
        <v>#VALUE!</v>
      </c>
      <c r="X73" s="63" t="e">
        <f t="shared" si="373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1"/>
      <c r="AB73" s="50"/>
    </row>
    <row r="74" spans="1:28" ht="32" customHeight="1" x14ac:dyDescent="0.15">
      <c r="A74" s="120">
        <v>40036806</v>
      </c>
      <c r="B74" s="120" t="s">
        <v>367</v>
      </c>
      <c r="C74" s="121">
        <v>3</v>
      </c>
      <c r="D74" s="121" t="s">
        <v>128</v>
      </c>
      <c r="E74" s="122" t="s">
        <v>454</v>
      </c>
      <c r="F74" s="122" t="s">
        <v>458</v>
      </c>
      <c r="G74" s="63" t="str">
        <f t="shared" si="359"/>
        <v>[effect:break_attack_fix, target:unit_one, val:600, lowest_val:6000, count:-1, color:red, block01:block_red]</v>
      </c>
      <c r="H74" s="63">
        <f t="shared" si="360"/>
        <v>9</v>
      </c>
      <c r="I74" s="63">
        <f t="shared" si="361"/>
        <v>25</v>
      </c>
      <c r="J74" s="63">
        <f t="shared" si="362"/>
        <v>34</v>
      </c>
      <c r="K74" s="63">
        <f t="shared" si="363"/>
        <v>42</v>
      </c>
      <c r="L74" s="63" t="str">
        <f>IFERROR(VLOOKUP(MID(G74,J74,K74-J74),[6]skilldef!$C:$D,2,FALSE),"-") &amp; " / " &amp; IFERROR(VLOOKUP(MID(G74,H74,I74-H74),[6]skilldef!$A:$B,2,FALSE),"-")</f>
        <v>味方単体に / -</v>
      </c>
      <c r="M74" s="63" t="str">
        <f t="shared" si="364"/>
        <v>[effect:enemy_message, val1:1.3, val2:1.6]</v>
      </c>
      <c r="N74" s="48" t="str">
        <f>IFERROR(LEFT(M74,FIND("],",M74)+S86),M74)</f>
        <v>[effect:enemy_message, val1:1.3, val2:1.6]</v>
      </c>
      <c r="O74" s="63">
        <f t="shared" si="365"/>
        <v>9</v>
      </c>
      <c r="P74" s="63">
        <f t="shared" si="366"/>
        <v>22</v>
      </c>
      <c r="Q74" s="63" t="e">
        <f t="shared" si="367"/>
        <v>#VALUE!</v>
      </c>
      <c r="R74" s="63">
        <f t="shared" si="368"/>
        <v>32</v>
      </c>
      <c r="S74" s="63" t="str">
        <f>IFERROR(VLOOKUP(MID(N74,Q74,R74-Q74),[6]skilldef!$C:$D,2,FALSE),"-") &amp; " / " &amp; IFERROR(VLOOKUP(MID(N74,O74,P74-O74),[6]skilldef!$A:$B,2,FALSE),"-")</f>
        <v>- / -</v>
      </c>
      <c r="T74" s="48" t="str">
        <f t="shared" si="369"/>
        <v>none</v>
      </c>
      <c r="U74" s="63" t="e">
        <f t="shared" si="370"/>
        <v>#VALUE!</v>
      </c>
      <c r="V74" s="63">
        <f t="shared" si="371"/>
        <v>4</v>
      </c>
      <c r="W74" s="63" t="e">
        <f t="shared" si="372"/>
        <v>#VALUE!</v>
      </c>
      <c r="X74" s="63" t="e">
        <f t="shared" si="373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1"/>
      <c r="AB74" s="50"/>
    </row>
    <row r="75" spans="1:28" ht="40" customHeight="1" x14ac:dyDescent="0.15">
      <c r="A75" s="120">
        <v>40036807</v>
      </c>
      <c r="B75" s="120" t="s">
        <v>382</v>
      </c>
      <c r="C75" s="121">
        <v>3</v>
      </c>
      <c r="D75" s="121" t="s">
        <v>128</v>
      </c>
      <c r="E75" s="122" t="s">
        <v>369</v>
      </c>
      <c r="F75" s="122" t="s">
        <v>383</v>
      </c>
      <c r="G75" s="63" t="str">
        <f t="shared" si="359"/>
        <v>[effect:degrade_unit, target:unit_all, turn:5, status:attack, val:0.6, calc:mul]</v>
      </c>
      <c r="H75" s="63">
        <f t="shared" si="360"/>
        <v>9</v>
      </c>
      <c r="I75" s="63">
        <f t="shared" si="361"/>
        <v>21</v>
      </c>
      <c r="J75" s="63">
        <f t="shared" si="362"/>
        <v>30</v>
      </c>
      <c r="K75" s="63">
        <f t="shared" si="363"/>
        <v>38</v>
      </c>
      <c r="L75" s="63" t="str">
        <f>IFERROR(VLOOKUP(MID(G75,J75,K75-J75),[6]skilldef!$C:$D,2,FALSE),"-") &amp; " / " &amp; IFERROR(VLOOKUP(MID(G75,H75,I75-H75),[6]skilldef!$A:$B,2,FALSE),"-")</f>
        <v>味方全体に / ステータスDOWN</v>
      </c>
      <c r="M75" s="63" t="str">
        <f t="shared" si="364"/>
        <v>[effect:spread, val:0.40],[effect:enemy_message, val1:1.5, val2:2.5]</v>
      </c>
      <c r="N75" s="48" t="str">
        <f>IFERROR(LEFT(M75,FIND("],",M75)+S88),M75)</f>
        <v>[effect:spread, val:0.40]</v>
      </c>
      <c r="O75" s="63">
        <f t="shared" si="365"/>
        <v>9</v>
      </c>
      <c r="P75" s="63">
        <f t="shared" si="366"/>
        <v>15</v>
      </c>
      <c r="Q75" s="63" t="e">
        <f t="shared" si="367"/>
        <v>#VALUE!</v>
      </c>
      <c r="R75" s="63" t="e">
        <f t="shared" si="368"/>
        <v>#VALUE!</v>
      </c>
      <c r="S75" s="63" t="str">
        <f>IFERROR(VLOOKUP(MID(N75,Q75,R75-Q75),[6]skilldef!$C:$D,2,FALSE),"-") &amp; " / " &amp; IFERROR(VLOOKUP(MID(N75,O75,P75-O75),[6]skilldef!$A:$B,2,FALSE),"-")</f>
        <v>- / 全体攻撃</v>
      </c>
      <c r="T75" s="48" t="str">
        <f t="shared" si="369"/>
        <v>[effect:enemy_message, val1:1.5, val2:2.5]</v>
      </c>
      <c r="U75" s="63">
        <f t="shared" si="370"/>
        <v>9</v>
      </c>
      <c r="V75" s="63">
        <f t="shared" si="371"/>
        <v>22</v>
      </c>
      <c r="W75" s="63" t="e">
        <f t="shared" si="372"/>
        <v>#VALUE!</v>
      </c>
      <c r="X75" s="63">
        <f t="shared" si="373"/>
        <v>32</v>
      </c>
      <c r="Y75" s="63" t="str">
        <f>IFERROR(VLOOKUP(MID(T75,W75,X75-W75),[6]skilldef!$C:$D,2,FALSE),"-") &amp; " / " &amp; IFERROR(VLOOKUP(MID(T75,U75,V75-U75),[6]skilldef!$A:$B,2,FALSE),"-")</f>
        <v>- / -</v>
      </c>
      <c r="Z75" s="50"/>
      <c r="AA75" s="51"/>
      <c r="AB75" s="50"/>
    </row>
    <row r="76" spans="1:28" ht="45" customHeight="1" x14ac:dyDescent="0.15">
      <c r="A76" s="123">
        <v>40036900</v>
      </c>
      <c r="B76" s="123" t="s">
        <v>428</v>
      </c>
      <c r="C76" s="124">
        <v>3</v>
      </c>
      <c r="D76" s="124" t="s">
        <v>128</v>
      </c>
      <c r="E76" s="125" t="s">
        <v>303</v>
      </c>
      <c r="F76" s="125" t="s">
        <v>457</v>
      </c>
      <c r="G76" s="63" t="str">
        <f t="shared" si="0"/>
        <v>[effect:change_panel_ratio, turn:-1, block_type:blue, val:0, animation:block_incidence04]</v>
      </c>
      <c r="H76" s="63">
        <f t="shared" si="1"/>
        <v>9</v>
      </c>
      <c r="I76" s="63">
        <f t="shared" si="2"/>
        <v>27</v>
      </c>
      <c r="J76" s="63" t="e">
        <f t="shared" si="3"/>
        <v>#VALUE!</v>
      </c>
      <c r="K76" s="63">
        <f t="shared" si="4"/>
        <v>36</v>
      </c>
      <c r="L76" s="63" t="str">
        <f>IFERROR(VLOOKUP(MID(G76,J76,K76-J76),[6]skilldef!$C:$D,2,FALSE),"-") &amp; " / " &amp; IFERROR(VLOOKUP(MID(G76,H76,I76-H76),[6]skilldef!$A:$B,2,FALSE),"-")</f>
        <v>- / -</v>
      </c>
      <c r="M76" s="63" t="str">
        <f t="shared" si="5"/>
        <v>[effect:crash_condition, target:unit_all, turn:-1, val:6, animation:enemy_crash_extend],[effect:fix_speed, target:myself, turn:2],[effect:enemy_message, val1:2.1, val2:3.7]</v>
      </c>
      <c r="N76" s="48" t="str">
        <f t="shared" ref="N76:N83" si="374">IFERROR(LEFT(M76,FIND("],",M76)+S86),M76)</f>
        <v>[effect:crash_condition, target:unit_all, turn:-1, val:6, animation:enemy_crash_extend],[effect:fix_speed, target:myself, turn:2],[effect:enemy_message, val1:2.1, val2:3.7]</v>
      </c>
      <c r="O76" s="63">
        <f t="shared" si="6"/>
        <v>9</v>
      </c>
      <c r="P76" s="63">
        <f t="shared" si="7"/>
        <v>24</v>
      </c>
      <c r="Q76" s="63">
        <f t="shared" si="8"/>
        <v>33</v>
      </c>
      <c r="R76" s="63">
        <f t="shared" si="9"/>
        <v>41</v>
      </c>
      <c r="S76" s="63" t="str">
        <f>IFERROR(VLOOKUP(MID(N76,Q76,R76-Q76),[6]skilldef!$C:$D,2,FALSE),"-") &amp; " / " &amp; IFERROR(VLOOKUP(MID(N76,O76,P76-O76),[6]skilldef!$A:$B,2,FALSE),"-")</f>
        <v>味方全体に / -</v>
      </c>
      <c r="T76" s="48" t="str">
        <f t="shared" si="10"/>
        <v>[effect:fix_speed, target:myself, turn:2],[effect:enemy_message, val1:2.1, val2:3.7]</v>
      </c>
      <c r="U76" s="63">
        <f t="shared" si="11"/>
        <v>9</v>
      </c>
      <c r="V76" s="63">
        <f t="shared" si="12"/>
        <v>18</v>
      </c>
      <c r="W76" s="63">
        <f t="shared" si="13"/>
        <v>27</v>
      </c>
      <c r="X76" s="63">
        <f t="shared" si="14"/>
        <v>33</v>
      </c>
      <c r="Y76" s="63" t="str">
        <f>IFERROR(VLOOKUP(MID(T76,W76,X76-W76),[6]skilldef!$C:$D,2,FALSE),"-") &amp; " / " &amp; IFERROR(VLOOKUP(MID(T76,U76,V76-U76),[6]skilldef!$A:$B,2,FALSE),"-")</f>
        <v>自分自身に / 行動値設定</v>
      </c>
      <c r="Z76" s="50"/>
      <c r="AA76" s="51"/>
      <c r="AB76" s="50"/>
    </row>
    <row r="77" spans="1:28" ht="50" customHeight="1" x14ac:dyDescent="0.15">
      <c r="A77" s="123">
        <v>40036901</v>
      </c>
      <c r="B77" s="123" t="s">
        <v>434</v>
      </c>
      <c r="C77" s="124">
        <v>3</v>
      </c>
      <c r="D77" s="124" t="s">
        <v>128</v>
      </c>
      <c r="E77" s="125" t="s">
        <v>302</v>
      </c>
      <c r="F77" s="125" t="s">
        <v>381</v>
      </c>
      <c r="G77" s="63" t="str">
        <f t="shared" si="0"/>
        <v>[effect:degrade_unit, target:unit_all, turn:4, status:attack, val:0.6, calc:mul]</v>
      </c>
      <c r="H77" s="63">
        <f t="shared" si="1"/>
        <v>9</v>
      </c>
      <c r="I77" s="63">
        <f t="shared" si="2"/>
        <v>21</v>
      </c>
      <c r="J77" s="63">
        <f t="shared" si="3"/>
        <v>30</v>
      </c>
      <c r="K77" s="63">
        <f t="shared" si="4"/>
        <v>38</v>
      </c>
      <c r="L77" s="63" t="str">
        <f>IFERROR(VLOOKUP(MID(G77,J77,K77-J77),[6]skilldef!$C:$D,2,FALSE),"-") &amp; " / " &amp; IFERROR(VLOOKUP(MID(G77,H77,I77-H77),[6]skilldef!$A:$B,2,FALSE),"-")</f>
        <v>味方全体に / ステータスDOWN</v>
      </c>
      <c r="M77" s="63" t="str">
        <f t="shared" si="5"/>
        <v>[effect:spread, val:0.35],[effect:enemy_message, val1:1.1, val2:2.0]</v>
      </c>
      <c r="N77" s="48" t="str">
        <f t="shared" si="374"/>
        <v>[effect:spread, val:0.35],[effect:enemy_message, val1:1.1, val2:2.0]</v>
      </c>
      <c r="O77" s="63">
        <f t="shared" si="6"/>
        <v>9</v>
      </c>
      <c r="P77" s="63">
        <f t="shared" si="7"/>
        <v>15</v>
      </c>
      <c r="Q77" s="63" t="e">
        <f t="shared" si="8"/>
        <v>#VALUE!</v>
      </c>
      <c r="R77" s="63">
        <f t="shared" si="9"/>
        <v>26</v>
      </c>
      <c r="S77" s="63" t="str">
        <f>IFERROR(VLOOKUP(MID(N77,Q77,R77-Q77),[6]skilldef!$C:$D,2,FALSE),"-") &amp; " / " &amp; IFERROR(VLOOKUP(MID(N77,O77,P77-O77),[6]skilldef!$A:$B,2,FALSE),"-")</f>
        <v>- / 全体攻撃</v>
      </c>
      <c r="T77" s="48" t="str">
        <f t="shared" si="10"/>
        <v>[effect:enemy_message, val1:1.1, val2:2.0]</v>
      </c>
      <c r="U77" s="63">
        <f t="shared" si="11"/>
        <v>9</v>
      </c>
      <c r="V77" s="63">
        <f t="shared" si="12"/>
        <v>22</v>
      </c>
      <c r="W77" s="63" t="e">
        <f t="shared" si="13"/>
        <v>#VALUE!</v>
      </c>
      <c r="X77" s="63">
        <f t="shared" si="14"/>
        <v>32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1"/>
      <c r="AB77" s="50"/>
    </row>
    <row r="78" spans="1:28" ht="21" customHeight="1" x14ac:dyDescent="0.15">
      <c r="A78" s="123">
        <v>40036902</v>
      </c>
      <c r="B78" s="123" t="s">
        <v>351</v>
      </c>
      <c r="C78" s="124">
        <v>3</v>
      </c>
      <c r="D78" s="124" t="s">
        <v>128</v>
      </c>
      <c r="E78" s="125" t="s">
        <v>359</v>
      </c>
      <c r="F78" s="125" t="s">
        <v>458</v>
      </c>
      <c r="G78" s="63" t="str">
        <f t="shared" si="0"/>
        <v>[effect:break_attack_fix, target:unit_one, val:850, lowest_val:8500, count:-1, color:red, block01:block_red]</v>
      </c>
      <c r="H78" s="63">
        <f t="shared" si="1"/>
        <v>9</v>
      </c>
      <c r="I78" s="63">
        <f t="shared" si="2"/>
        <v>25</v>
      </c>
      <c r="J78" s="63">
        <f t="shared" si="3"/>
        <v>34</v>
      </c>
      <c r="K78" s="63">
        <f t="shared" si="4"/>
        <v>42</v>
      </c>
      <c r="L78" s="63" t="str">
        <f>IFERROR(VLOOKUP(MID(G78,J78,K78-J78),[6]skilldef!$C:$D,2,FALSE),"-") &amp; " / " &amp; IFERROR(VLOOKUP(MID(G78,H78,I78-H78),[6]skilldef!$A:$B,2,FALSE),"-")</f>
        <v>味方単体に / -</v>
      </c>
      <c r="M78" s="63" t="str">
        <f t="shared" si="5"/>
        <v>[effect:enemy_message, val1:1.0, val2:1.6]</v>
      </c>
      <c r="N78" s="48" t="str">
        <f t="shared" si="374"/>
        <v>[effect:enemy_message, val1:1.0, val2:1.6]</v>
      </c>
      <c r="O78" s="63">
        <f t="shared" si="6"/>
        <v>9</v>
      </c>
      <c r="P78" s="63">
        <f t="shared" si="7"/>
        <v>22</v>
      </c>
      <c r="Q78" s="63" t="e">
        <f t="shared" si="8"/>
        <v>#VALUE!</v>
      </c>
      <c r="R78" s="63">
        <f t="shared" si="9"/>
        <v>32</v>
      </c>
      <c r="S78" s="63" t="str">
        <f>IFERROR(VLOOKUP(MID(N78,Q78,R78-Q78),[6]skilldef!$C:$D,2,FALSE),"-") &amp; " / " &amp; IFERROR(VLOOKUP(MID(N78,O78,P78-O78),[6]skilldef!$A:$B,2,FALSE),"-")</f>
        <v>- / -</v>
      </c>
      <c r="T78" s="48" t="str">
        <f t="shared" si="10"/>
        <v>none</v>
      </c>
      <c r="U78" s="63" t="e">
        <f t="shared" si="11"/>
        <v>#VALUE!</v>
      </c>
      <c r="V78" s="63">
        <f t="shared" si="12"/>
        <v>4</v>
      </c>
      <c r="W78" s="63" t="e">
        <f t="shared" si="13"/>
        <v>#VALUE!</v>
      </c>
      <c r="X78" s="63" t="e">
        <f t="shared" si="14"/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1"/>
      <c r="AB78" s="50"/>
    </row>
    <row r="79" spans="1:28" ht="21" customHeight="1" x14ac:dyDescent="0.15">
      <c r="A79" s="123">
        <v>40036903</v>
      </c>
      <c r="B79" s="123" t="s">
        <v>352</v>
      </c>
      <c r="C79" s="124">
        <v>3</v>
      </c>
      <c r="D79" s="124" t="s">
        <v>128</v>
      </c>
      <c r="E79" s="125" t="s">
        <v>360</v>
      </c>
      <c r="F79" s="125" t="s">
        <v>274</v>
      </c>
      <c r="G79" s="63" t="str">
        <f t="shared" si="0"/>
        <v>[effect:damage_gravity, val:0.8, animation:fevergauge_down]</v>
      </c>
      <c r="H79" s="63">
        <f t="shared" si="1"/>
        <v>9</v>
      </c>
      <c r="I79" s="63">
        <f t="shared" si="2"/>
        <v>23</v>
      </c>
      <c r="J79" s="63" t="e">
        <f t="shared" si="3"/>
        <v>#VALUE!</v>
      </c>
      <c r="K79" s="63">
        <f t="shared" si="4"/>
        <v>32</v>
      </c>
      <c r="L79" s="63" t="str">
        <f>IFERROR(VLOOKUP(MID(G79,J79,K79-J79),[6]skilldef!$C:$D,2,FALSE),"-") &amp; " / " &amp; IFERROR(VLOOKUP(MID(G79,H79,I79-H79),[6]skilldef!$A:$B,2,FALSE),"-")</f>
        <v>- / 割合ダメージ</v>
      </c>
      <c r="M79" s="63" t="str">
        <f t="shared" si="5"/>
        <v>[effect:enemy_message, val1:1.1, val2:1.6]</v>
      </c>
      <c r="N79" s="48" t="str">
        <f t="shared" si="374"/>
        <v>[effect:enemy_message, val1:1.1, val2:1.6]</v>
      </c>
      <c r="O79" s="63">
        <f t="shared" si="6"/>
        <v>9</v>
      </c>
      <c r="P79" s="63">
        <f t="shared" si="7"/>
        <v>22</v>
      </c>
      <c r="Q79" s="63" t="e">
        <f t="shared" si="8"/>
        <v>#VALUE!</v>
      </c>
      <c r="R79" s="63">
        <f t="shared" si="9"/>
        <v>32</v>
      </c>
      <c r="S79" s="63" t="str">
        <f>IFERROR(VLOOKUP(MID(N79,Q79,R79-Q79),[6]skilldef!$C:$D,2,FALSE),"-") &amp; " / " &amp; IFERROR(VLOOKUP(MID(N79,O79,P79-O79),[6]skilldef!$A:$B,2,FALSE),"-")</f>
        <v>- / -</v>
      </c>
      <c r="T79" s="48" t="str">
        <f t="shared" si="10"/>
        <v>none</v>
      </c>
      <c r="U79" s="63" t="e">
        <f t="shared" si="11"/>
        <v>#VALUE!</v>
      </c>
      <c r="V79" s="63">
        <f t="shared" si="12"/>
        <v>4</v>
      </c>
      <c r="W79" s="63" t="e">
        <f t="shared" si="13"/>
        <v>#VALUE!</v>
      </c>
      <c r="X79" s="63" t="e">
        <f t="shared" si="14"/>
        <v>#VALUE!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1"/>
      <c r="AB79" s="50"/>
    </row>
    <row r="80" spans="1:28" ht="50" customHeight="1" x14ac:dyDescent="0.15">
      <c r="A80" s="123">
        <v>40036904</v>
      </c>
      <c r="B80" s="123" t="s">
        <v>353</v>
      </c>
      <c r="C80" s="124">
        <v>3</v>
      </c>
      <c r="D80" s="124" t="s">
        <v>128</v>
      </c>
      <c r="E80" s="125" t="s">
        <v>307</v>
      </c>
      <c r="F80" s="125" t="s">
        <v>306</v>
      </c>
      <c r="G80" s="63" t="str">
        <f t="shared" ref="G80:G81" si="375">IFERROR(LEFT(B80,FIND("],",B80)),B80)</f>
        <v>[effect:degrade_unit, target:unit_all, turn:4, status:attack, val:0.8, calc:mul]</v>
      </c>
      <c r="H80" s="63">
        <f t="shared" ref="H80:H81" si="376">FIND("effect:",G80)+7</f>
        <v>9</v>
      </c>
      <c r="I80" s="63">
        <f t="shared" ref="I80:I81" si="377">IFERROR(FIND(",",G80),LEN(G80))</f>
        <v>21</v>
      </c>
      <c r="J80" s="63">
        <f t="shared" ref="J80:J81" si="378">FIND("target:",G80)+7</f>
        <v>30</v>
      </c>
      <c r="K80" s="63">
        <f t="shared" ref="K80:K81" si="379">FIND(",",G80,I80+1)</f>
        <v>38</v>
      </c>
      <c r="L80" s="63" t="str">
        <f>IFERROR(VLOOKUP(MID(G80,J80,K80-J80),[6]skilldef!$C:$D,2,FALSE),"-") &amp; " / " &amp; IFERROR(VLOOKUP(MID(G80,H80,I80-H80),[6]skilldef!$A:$B,2,FALSE),"-")</f>
        <v>味方全体に / ステータスDOWN</v>
      </c>
      <c r="M80" s="63" t="str">
        <f t="shared" ref="M80:M81" si="380">IFERROR(RIGHT(B80,LEN(B80)-FIND("],",B80)-1),"none")</f>
        <v>[effect:spread, val:0.35],[effect:enemy_message, val1:1.1, val2:3.3]</v>
      </c>
      <c r="N80" s="48" t="str">
        <f t="shared" si="374"/>
        <v>[effect:spread, val:0.35]</v>
      </c>
      <c r="O80" s="63">
        <f t="shared" ref="O80:O81" si="381">FIND("effect:",N80)+7</f>
        <v>9</v>
      </c>
      <c r="P80" s="63">
        <f t="shared" ref="P80:P81" si="382">IFERROR(FIND(",",N80),LEN(N80))</f>
        <v>15</v>
      </c>
      <c r="Q80" s="63" t="e">
        <f t="shared" ref="Q80:Q81" si="383">FIND("target:",N80)+7</f>
        <v>#VALUE!</v>
      </c>
      <c r="R80" s="63" t="e">
        <f t="shared" ref="R80:R81" si="384">FIND(",",N80,P80+1)</f>
        <v>#VALUE!</v>
      </c>
      <c r="S80" s="63" t="str">
        <f>IFERROR(VLOOKUP(MID(N80,Q80,R80-Q80),[6]skilldef!$C:$D,2,FALSE),"-") &amp; " / " &amp; IFERROR(VLOOKUP(MID(N80,O80,P80-O80),[6]skilldef!$A:$B,2,FALSE),"-")</f>
        <v>- / 全体攻撃</v>
      </c>
      <c r="T80" s="48" t="str">
        <f t="shared" ref="T80:T81" si="385">IFERROR(RIGHT(M80,LEN(M80)-FIND("],",M80)-1),"none")</f>
        <v>[effect:enemy_message, val1:1.1, val2:3.3]</v>
      </c>
      <c r="U80" s="63">
        <f t="shared" ref="U80:U81" si="386">FIND("effect:",T80)+7</f>
        <v>9</v>
      </c>
      <c r="V80" s="63">
        <f t="shared" ref="V80:V81" si="387">IFERROR(FIND(",",T80),LEN(T80))</f>
        <v>22</v>
      </c>
      <c r="W80" s="63" t="e">
        <f t="shared" ref="W80:W81" si="388">FIND("target:",T80)+7</f>
        <v>#VALUE!</v>
      </c>
      <c r="X80" s="63">
        <f t="shared" ref="X80:X81" si="389">FIND(",",T80,V80+1)</f>
        <v>32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1"/>
      <c r="AB80" s="50"/>
    </row>
    <row r="81" spans="1:28" ht="45" customHeight="1" x14ac:dyDescent="0.15">
      <c r="A81" s="123">
        <v>40036905</v>
      </c>
      <c r="B81" s="123" t="s">
        <v>354</v>
      </c>
      <c r="C81" s="124">
        <v>3</v>
      </c>
      <c r="D81" s="124" t="s">
        <v>128</v>
      </c>
      <c r="E81" s="125" t="s">
        <v>308</v>
      </c>
      <c r="F81" s="125" t="s">
        <v>309</v>
      </c>
      <c r="G81" s="63" t="str">
        <f t="shared" si="375"/>
        <v>[effect:enemy_message, val1:1.1, val2:2.4]</v>
      </c>
      <c r="H81" s="63">
        <f t="shared" si="376"/>
        <v>9</v>
      </c>
      <c r="I81" s="63">
        <f t="shared" si="377"/>
        <v>22</v>
      </c>
      <c r="J81" s="63" t="e">
        <f t="shared" si="378"/>
        <v>#VALUE!</v>
      </c>
      <c r="K81" s="63">
        <f t="shared" si="379"/>
        <v>32</v>
      </c>
      <c r="L81" s="63" t="str">
        <f>IFERROR(VLOOKUP(MID(G81,J81,K81-J81),[6]skilldef!$C:$D,2,FALSE),"-") &amp; " / " &amp; IFERROR(VLOOKUP(MID(G81,H81,I81-H81),[6]skilldef!$A:$B,2,FALSE),"-")</f>
        <v>- / -</v>
      </c>
      <c r="M81" s="63" t="str">
        <f t="shared" si="380"/>
        <v>none</v>
      </c>
      <c r="N81" s="48" t="str">
        <f t="shared" si="374"/>
        <v>none</v>
      </c>
      <c r="O81" s="63" t="e">
        <f t="shared" si="381"/>
        <v>#VALUE!</v>
      </c>
      <c r="P81" s="63">
        <f t="shared" si="382"/>
        <v>4</v>
      </c>
      <c r="Q81" s="63" t="e">
        <f t="shared" si="383"/>
        <v>#VALUE!</v>
      </c>
      <c r="R81" s="63" t="e">
        <f t="shared" si="384"/>
        <v>#VALUE!</v>
      </c>
      <c r="S81" s="63" t="str">
        <f>IFERROR(VLOOKUP(MID(N81,Q81,R81-Q81),[6]skilldef!$C:$D,2,FALSE),"-") &amp; " / " &amp; IFERROR(VLOOKUP(MID(N81,O81,P81-O81),[6]skilldef!$A:$B,2,FALSE),"-")</f>
        <v>- / -</v>
      </c>
      <c r="T81" s="48" t="str">
        <f t="shared" si="385"/>
        <v>none</v>
      </c>
      <c r="U81" s="63" t="e">
        <f t="shared" si="386"/>
        <v>#VALUE!</v>
      </c>
      <c r="V81" s="63">
        <f t="shared" si="387"/>
        <v>4</v>
      </c>
      <c r="W81" s="63" t="e">
        <f t="shared" si="388"/>
        <v>#VALUE!</v>
      </c>
      <c r="X81" s="63" t="e">
        <f t="shared" si="389"/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1"/>
      <c r="AB81" s="50"/>
    </row>
    <row r="82" spans="1:28" ht="45" customHeight="1" x14ac:dyDescent="0.15">
      <c r="A82" s="123">
        <v>40036906</v>
      </c>
      <c r="B82" s="123" t="s">
        <v>355</v>
      </c>
      <c r="C82" s="124">
        <v>3</v>
      </c>
      <c r="D82" s="124" t="s">
        <v>128</v>
      </c>
      <c r="E82" s="125" t="s">
        <v>312</v>
      </c>
      <c r="F82" s="125" t="s">
        <v>311</v>
      </c>
      <c r="G82" s="63" t="str">
        <f t="shared" ref="G82" si="390">IFERROR(LEFT(B82,FIND("],",B82)),B82)</f>
        <v>[effect:enemy_message, val1:1.0, val2:2.4]</v>
      </c>
      <c r="H82" s="63">
        <f t="shared" ref="H82" si="391">FIND("effect:",G82)+7</f>
        <v>9</v>
      </c>
      <c r="I82" s="63">
        <f t="shared" ref="I82" si="392">IFERROR(FIND(",",G82),LEN(G82))</f>
        <v>22</v>
      </c>
      <c r="J82" s="63" t="e">
        <f t="shared" ref="J82" si="393">FIND("target:",G82)+7</f>
        <v>#VALUE!</v>
      </c>
      <c r="K82" s="63">
        <f t="shared" ref="K82" si="394">FIND(",",G82,I82+1)</f>
        <v>32</v>
      </c>
      <c r="L82" s="63" t="str">
        <f>IFERROR(VLOOKUP(MID(G82,J82,K82-J82),[6]skilldef!$C:$D,2,FALSE),"-") &amp; " / " &amp; IFERROR(VLOOKUP(MID(G82,H82,I82-H82),[6]skilldef!$A:$B,2,FALSE),"-")</f>
        <v>- / -</v>
      </c>
      <c r="M82" s="63" t="str">
        <f t="shared" ref="M82" si="395">IFERROR(RIGHT(B82,LEN(B82)-FIND("],",B82)-1),"none")</f>
        <v>none</v>
      </c>
      <c r="N82" s="48" t="str">
        <f t="shared" si="374"/>
        <v>none</v>
      </c>
      <c r="O82" s="63" t="e">
        <f t="shared" ref="O82" si="396">FIND("effect:",N82)+7</f>
        <v>#VALUE!</v>
      </c>
      <c r="P82" s="63">
        <f t="shared" ref="P82" si="397">IFERROR(FIND(",",N82),LEN(N82))</f>
        <v>4</v>
      </c>
      <c r="Q82" s="63" t="e">
        <f t="shared" ref="Q82" si="398">FIND("target:",N82)+7</f>
        <v>#VALUE!</v>
      </c>
      <c r="R82" s="63" t="e">
        <f t="shared" ref="R82" si="399">FIND(",",N82,P82+1)</f>
        <v>#VALUE!</v>
      </c>
      <c r="S82" s="63" t="str">
        <f>IFERROR(VLOOKUP(MID(N82,Q82,R82-Q82),[6]skilldef!$C:$D,2,FALSE),"-") &amp; " / " &amp; IFERROR(VLOOKUP(MID(N82,O82,P82-O82),[6]skilldef!$A:$B,2,FALSE),"-")</f>
        <v>- / -</v>
      </c>
      <c r="T82" s="48" t="str">
        <f t="shared" ref="T82" si="400">IFERROR(RIGHT(M82,LEN(M82)-FIND("],",M82)-1),"none")</f>
        <v>none</v>
      </c>
      <c r="U82" s="63" t="e">
        <f t="shared" ref="U82" si="401">FIND("effect:",T82)+7</f>
        <v>#VALUE!</v>
      </c>
      <c r="V82" s="63">
        <f t="shared" ref="V82" si="402">IFERROR(FIND(",",T82),LEN(T82))</f>
        <v>4</v>
      </c>
      <c r="W82" s="63" t="e">
        <f t="shared" ref="W82" si="403">FIND("target:",T82)+7</f>
        <v>#VALUE!</v>
      </c>
      <c r="X82" s="63" t="e">
        <f t="shared" ref="X82" si="404">FIND(",",T82,V82+1)</f>
        <v>#VALUE!</v>
      </c>
      <c r="Y82" s="63" t="str">
        <f>IFERROR(VLOOKUP(MID(T82,W82,X82-W82),[6]skilldef!$C:$D,2,FALSE),"-") &amp; " / " &amp; IFERROR(VLOOKUP(MID(T82,U82,V82-U82),[6]skilldef!$A:$B,2,FALSE),"-")</f>
        <v>- / -</v>
      </c>
      <c r="Z82" s="50"/>
      <c r="AA82" s="51"/>
      <c r="AB82" s="50"/>
    </row>
    <row r="83" spans="1:28" ht="45" customHeight="1" x14ac:dyDescent="0.15">
      <c r="A83" s="123">
        <v>40036907</v>
      </c>
      <c r="B83" s="123" t="s">
        <v>355</v>
      </c>
      <c r="C83" s="124">
        <v>3</v>
      </c>
      <c r="D83" s="124" t="s">
        <v>128</v>
      </c>
      <c r="E83" s="125" t="s">
        <v>312</v>
      </c>
      <c r="F83" s="125" t="s">
        <v>311</v>
      </c>
      <c r="G83" s="63" t="str">
        <f t="shared" ref="G83" si="405">IFERROR(LEFT(B83,FIND("],",B83)),B83)</f>
        <v>[effect:enemy_message, val1:1.0, val2:2.4]</v>
      </c>
      <c r="H83" s="63">
        <f t="shared" ref="H83" si="406">FIND("effect:",G83)+7</f>
        <v>9</v>
      </c>
      <c r="I83" s="63">
        <f t="shared" ref="I83" si="407">IFERROR(FIND(",",G83),LEN(G83))</f>
        <v>22</v>
      </c>
      <c r="J83" s="63" t="e">
        <f t="shared" ref="J83" si="408">FIND("target:",G83)+7</f>
        <v>#VALUE!</v>
      </c>
      <c r="K83" s="63">
        <f t="shared" ref="K83" si="409">FIND(",",G83,I83+1)</f>
        <v>32</v>
      </c>
      <c r="L83" s="63" t="str">
        <f>IFERROR(VLOOKUP(MID(G83,J83,K83-J83),[6]skilldef!$C:$D,2,FALSE),"-") &amp; " / " &amp; IFERROR(VLOOKUP(MID(G83,H83,I83-H83),[6]skilldef!$A:$B,2,FALSE),"-")</f>
        <v>- / -</v>
      </c>
      <c r="M83" s="63" t="str">
        <f t="shared" ref="M83" si="410">IFERROR(RIGHT(B83,LEN(B83)-FIND("],",B83)-1),"none")</f>
        <v>none</v>
      </c>
      <c r="N83" s="48" t="str">
        <f t="shared" si="374"/>
        <v>none</v>
      </c>
      <c r="O83" s="63" t="e">
        <f t="shared" ref="O83" si="411">FIND("effect:",N83)+7</f>
        <v>#VALUE!</v>
      </c>
      <c r="P83" s="63">
        <f t="shared" ref="P83" si="412">IFERROR(FIND(",",N83),LEN(N83))</f>
        <v>4</v>
      </c>
      <c r="Q83" s="63" t="e">
        <f t="shared" ref="Q83" si="413">FIND("target:",N83)+7</f>
        <v>#VALUE!</v>
      </c>
      <c r="R83" s="63" t="e">
        <f t="shared" ref="R83" si="414">FIND(",",N83,P83+1)</f>
        <v>#VALUE!</v>
      </c>
      <c r="S83" s="63" t="str">
        <f>IFERROR(VLOOKUP(MID(N83,Q83,R83-Q83),[6]skilldef!$C:$D,2,FALSE),"-") &amp; " / " &amp; IFERROR(VLOOKUP(MID(N83,O83,P83-O83),[6]skilldef!$A:$B,2,FALSE),"-")</f>
        <v>- / -</v>
      </c>
      <c r="T83" s="48" t="str">
        <f t="shared" ref="T83" si="415">IFERROR(RIGHT(M83,LEN(M83)-FIND("],",M83)-1),"none")</f>
        <v>none</v>
      </c>
      <c r="U83" s="63" t="e">
        <f t="shared" ref="U83" si="416">FIND("effect:",T83)+7</f>
        <v>#VALUE!</v>
      </c>
      <c r="V83" s="63">
        <f t="shared" ref="V83" si="417">IFERROR(FIND(",",T83),LEN(T83))</f>
        <v>4</v>
      </c>
      <c r="W83" s="63" t="e">
        <f t="shared" ref="W83" si="418">FIND("target:",T83)+7</f>
        <v>#VALUE!</v>
      </c>
      <c r="X83" s="63" t="e">
        <f t="shared" ref="X83" si="419">FIND(",",T83,V83+1)</f>
        <v>#VALUE!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1"/>
      <c r="AB83" s="50"/>
    </row>
    <row r="84" spans="1:28" ht="45" customHeight="1" x14ac:dyDescent="0.15">
      <c r="A84" s="123">
        <v>40036908</v>
      </c>
      <c r="B84" s="123" t="s">
        <v>356</v>
      </c>
      <c r="C84" s="124">
        <v>3</v>
      </c>
      <c r="D84" s="124" t="s">
        <v>128</v>
      </c>
      <c r="E84" s="125" t="s">
        <v>314</v>
      </c>
      <c r="F84" s="125" t="s">
        <v>315</v>
      </c>
      <c r="G84" s="63" t="str">
        <f t="shared" ref="G84" si="420">IFERROR(LEFT(B84,FIND("],",B84)),B84)</f>
        <v>[effect:enemy_message, val1:2.0, val2:2.0]</v>
      </c>
      <c r="H84" s="63">
        <f t="shared" ref="H84" si="421">FIND("effect:",G84)+7</f>
        <v>9</v>
      </c>
      <c r="I84" s="63">
        <f t="shared" ref="I84" si="422">IFERROR(FIND(",",G84),LEN(G84))</f>
        <v>22</v>
      </c>
      <c r="J84" s="63" t="e">
        <f t="shared" ref="J84" si="423">FIND("target:",G84)+7</f>
        <v>#VALUE!</v>
      </c>
      <c r="K84" s="63">
        <f t="shared" ref="K84" si="424">FIND(",",G84,I84+1)</f>
        <v>32</v>
      </c>
      <c r="L84" s="63" t="str">
        <f>IFERROR(VLOOKUP(MID(G84,J84,K84-J84),[6]skilldef!$C:$D,2,FALSE),"-") &amp; " / " &amp; IFERROR(VLOOKUP(MID(G84,H84,I84-H84),[6]skilldef!$A:$B,2,FALSE),"-")</f>
        <v>- / -</v>
      </c>
      <c r="M84" s="63" t="str">
        <f t="shared" ref="M84" si="425">IFERROR(RIGHT(B84,LEN(B84)-FIND("],",B84)-1),"none")</f>
        <v>none</v>
      </c>
      <c r="N84" s="48" t="str">
        <f>IFERROR(LEFT(M84,FIND("],",M84)+S93),M84)</f>
        <v>none</v>
      </c>
      <c r="O84" s="63" t="e">
        <f t="shared" ref="O84" si="426">FIND("effect:",N84)+7</f>
        <v>#VALUE!</v>
      </c>
      <c r="P84" s="63">
        <f t="shared" ref="P84" si="427">IFERROR(FIND(",",N84),LEN(N84))</f>
        <v>4</v>
      </c>
      <c r="Q84" s="63" t="e">
        <f t="shared" ref="Q84" si="428">FIND("target:",N84)+7</f>
        <v>#VALUE!</v>
      </c>
      <c r="R84" s="63" t="e">
        <f t="shared" ref="R84" si="429">FIND(",",N84,P84+1)</f>
        <v>#VALUE!</v>
      </c>
      <c r="S84" s="63" t="str">
        <f>IFERROR(VLOOKUP(MID(N84,Q84,R84-Q84),[6]skilldef!$C:$D,2,FALSE),"-") &amp; " / " &amp; IFERROR(VLOOKUP(MID(N84,O84,P84-O84),[6]skilldef!$A:$B,2,FALSE),"-")</f>
        <v>- / -</v>
      </c>
      <c r="T84" s="48" t="str">
        <f t="shared" ref="T84" si="430">IFERROR(RIGHT(M84,LEN(M84)-FIND("],",M84)-1),"none")</f>
        <v>none</v>
      </c>
      <c r="U84" s="63" t="e">
        <f t="shared" ref="U84" si="431">FIND("effect:",T84)+7</f>
        <v>#VALUE!</v>
      </c>
      <c r="V84" s="63">
        <f t="shared" ref="V84" si="432">IFERROR(FIND(",",T84),LEN(T84))</f>
        <v>4</v>
      </c>
      <c r="W84" s="63" t="e">
        <f t="shared" ref="W84" si="433">FIND("target:",T84)+7</f>
        <v>#VALUE!</v>
      </c>
      <c r="X84" s="63" t="e">
        <f t="shared" ref="X84" si="434">FIND(",",T84,V84+1)</f>
        <v>#VALUE!</v>
      </c>
      <c r="Y84" s="63" t="str">
        <f>IFERROR(VLOOKUP(MID(T84,W84,X84-W84),[6]skilldef!$C:$D,2,FALSE),"-") &amp; " / " &amp; IFERROR(VLOOKUP(MID(T84,U84,V84-U84),[6]skilldef!$A:$B,2,FALSE),"-")</f>
        <v>- / -</v>
      </c>
      <c r="Z84" s="50"/>
      <c r="AA84" s="51"/>
      <c r="AB84" s="50"/>
    </row>
    <row r="85" spans="1:28" ht="45" customHeight="1" x14ac:dyDescent="0.15">
      <c r="A85" s="123">
        <v>40036909</v>
      </c>
      <c r="B85" s="123" t="s">
        <v>356</v>
      </c>
      <c r="C85" s="124">
        <v>3</v>
      </c>
      <c r="D85" s="124" t="s">
        <v>128</v>
      </c>
      <c r="E85" s="125" t="s">
        <v>314</v>
      </c>
      <c r="F85" s="125" t="s">
        <v>315</v>
      </c>
      <c r="G85" s="63" t="str">
        <f t="shared" ref="G85:G87" si="435">IFERROR(LEFT(B85,FIND("],",B85)),B85)</f>
        <v>[effect:enemy_message, val1:2.0, val2:2.0]</v>
      </c>
      <c r="H85" s="63">
        <f t="shared" ref="H85:H87" si="436">FIND("effect:",G85)+7</f>
        <v>9</v>
      </c>
      <c r="I85" s="63">
        <f t="shared" ref="I85:I87" si="437">IFERROR(FIND(",",G85),LEN(G85))</f>
        <v>22</v>
      </c>
      <c r="J85" s="63" t="e">
        <f t="shared" ref="J85:J87" si="438">FIND("target:",G85)+7</f>
        <v>#VALUE!</v>
      </c>
      <c r="K85" s="63">
        <f t="shared" ref="K85:K87" si="439">FIND(",",G85,I85+1)</f>
        <v>32</v>
      </c>
      <c r="L85" s="63" t="str">
        <f>IFERROR(VLOOKUP(MID(G85,J85,K85-J85),[6]skilldef!$C:$D,2,FALSE),"-") &amp; " / " &amp; IFERROR(VLOOKUP(MID(G85,H85,I85-H85),[6]skilldef!$A:$B,2,FALSE),"-")</f>
        <v>- / -</v>
      </c>
      <c r="M85" s="63" t="str">
        <f t="shared" ref="M85:M87" si="440">IFERROR(RIGHT(B85,LEN(B85)-FIND("],",B85)-1),"none")</f>
        <v>none</v>
      </c>
      <c r="N85" s="48" t="str">
        <f>IFERROR(LEFT(M85,FIND("],",M85)+S94),M85)</f>
        <v>none</v>
      </c>
      <c r="O85" s="63" t="e">
        <f t="shared" ref="O85:O87" si="441">FIND("effect:",N85)+7</f>
        <v>#VALUE!</v>
      </c>
      <c r="P85" s="63">
        <f t="shared" ref="P85:P87" si="442">IFERROR(FIND(",",N85),LEN(N85))</f>
        <v>4</v>
      </c>
      <c r="Q85" s="63" t="e">
        <f t="shared" ref="Q85:Q87" si="443">FIND("target:",N85)+7</f>
        <v>#VALUE!</v>
      </c>
      <c r="R85" s="63" t="e">
        <f t="shared" ref="R85:R87" si="444">FIND(",",N85,P85+1)</f>
        <v>#VALUE!</v>
      </c>
      <c r="S85" s="63" t="str">
        <f>IFERROR(VLOOKUP(MID(N85,Q85,R85-Q85),[6]skilldef!$C:$D,2,FALSE),"-") &amp; " / " &amp; IFERROR(VLOOKUP(MID(N85,O85,P85-O85),[6]skilldef!$A:$B,2,FALSE),"-")</f>
        <v>- / -</v>
      </c>
      <c r="T85" s="48" t="str">
        <f t="shared" ref="T85:T87" si="445">IFERROR(RIGHT(M85,LEN(M85)-FIND("],",M85)-1),"none")</f>
        <v>none</v>
      </c>
      <c r="U85" s="63" t="e">
        <f t="shared" ref="U85:U87" si="446">FIND("effect:",T85)+7</f>
        <v>#VALUE!</v>
      </c>
      <c r="V85" s="63">
        <f t="shared" ref="V85:V87" si="447">IFERROR(FIND(",",T85),LEN(T85))</f>
        <v>4</v>
      </c>
      <c r="W85" s="63" t="e">
        <f t="shared" ref="W85:W87" si="448">FIND("target:",T85)+7</f>
        <v>#VALUE!</v>
      </c>
      <c r="X85" s="63" t="e">
        <f t="shared" ref="X85:X87" si="449">FIND(",",T85,V85+1)</f>
        <v>#VALUE!</v>
      </c>
      <c r="Y85" s="63" t="str">
        <f>IFERROR(VLOOKUP(MID(T85,W85,X85-W85),[6]skilldef!$C:$D,2,FALSE),"-") &amp; " / " &amp; IFERROR(VLOOKUP(MID(T85,U85,V85-U85),[6]skilldef!$A:$B,2,FALSE),"-")</f>
        <v>- / -</v>
      </c>
      <c r="Z85" s="50"/>
      <c r="AA85" s="51"/>
      <c r="AB85" s="50"/>
    </row>
    <row r="86" spans="1:28" ht="21" customHeight="1" x14ac:dyDescent="0.15">
      <c r="A86" s="123">
        <v>40036910</v>
      </c>
      <c r="B86" s="123" t="s">
        <v>368</v>
      </c>
      <c r="C86" s="124">
        <v>3</v>
      </c>
      <c r="D86" s="124" t="s">
        <v>128</v>
      </c>
      <c r="E86" s="125" t="s">
        <v>359</v>
      </c>
      <c r="F86" s="125" t="s">
        <v>458</v>
      </c>
      <c r="G86" s="63" t="str">
        <f t="shared" si="435"/>
        <v>[effect:break_attack_fix, target:unit_one, val:600, lowest_val:6000, count:-1, color:red, block01:block_red]</v>
      </c>
      <c r="H86" s="63">
        <f t="shared" si="436"/>
        <v>9</v>
      </c>
      <c r="I86" s="63">
        <f t="shared" si="437"/>
        <v>25</v>
      </c>
      <c r="J86" s="63">
        <f t="shared" si="438"/>
        <v>34</v>
      </c>
      <c r="K86" s="63">
        <f t="shared" si="439"/>
        <v>42</v>
      </c>
      <c r="L86" s="63" t="str">
        <f>IFERROR(VLOOKUP(MID(G86,J86,K86-J86),[6]skilldef!$C:$D,2,FALSE),"-") &amp; " / " &amp; IFERROR(VLOOKUP(MID(G86,H86,I86-H86),[6]skilldef!$A:$B,2,FALSE),"-")</f>
        <v>味方単体に / -</v>
      </c>
      <c r="M86" s="63" t="str">
        <f t="shared" si="440"/>
        <v>[effect:enemy_message, val1:1.0, val2:1.6]</v>
      </c>
      <c r="N86" s="48" t="str">
        <f>IFERROR(LEFT(M86,FIND("],",M86)+S97),M86)</f>
        <v>[effect:enemy_message, val1:1.0, val2:1.6]</v>
      </c>
      <c r="O86" s="63">
        <f t="shared" si="441"/>
        <v>9</v>
      </c>
      <c r="P86" s="63">
        <f t="shared" si="442"/>
        <v>22</v>
      </c>
      <c r="Q86" s="63" t="e">
        <f t="shared" si="443"/>
        <v>#VALUE!</v>
      </c>
      <c r="R86" s="63">
        <f t="shared" si="444"/>
        <v>32</v>
      </c>
      <c r="S86" s="63" t="str">
        <f>IFERROR(VLOOKUP(MID(N86,Q86,R86-Q86),[6]skilldef!$C:$D,2,FALSE),"-") &amp; " / " &amp; IFERROR(VLOOKUP(MID(N86,O86,P86-O86),[6]skilldef!$A:$B,2,FALSE),"-")</f>
        <v>- / -</v>
      </c>
      <c r="T86" s="48" t="str">
        <f t="shared" si="445"/>
        <v>none</v>
      </c>
      <c r="U86" s="63" t="e">
        <f t="shared" si="446"/>
        <v>#VALUE!</v>
      </c>
      <c r="V86" s="63">
        <f t="shared" si="447"/>
        <v>4</v>
      </c>
      <c r="W86" s="63" t="e">
        <f t="shared" si="448"/>
        <v>#VALUE!</v>
      </c>
      <c r="X86" s="63" t="e">
        <f t="shared" si="449"/>
        <v>#VALUE!</v>
      </c>
      <c r="Y86" s="63" t="str">
        <f>IFERROR(VLOOKUP(MID(T86,W86,X86-W86),[6]skilldef!$C:$D,2,FALSE),"-") &amp; " / " &amp; IFERROR(VLOOKUP(MID(T86,U86,V86-U86),[6]skilldef!$A:$B,2,FALSE),"-")</f>
        <v>- / -</v>
      </c>
      <c r="Z86" s="50"/>
      <c r="AA86" s="51"/>
      <c r="AB86" s="50"/>
    </row>
    <row r="87" spans="1:28" ht="50" customHeight="1" x14ac:dyDescent="0.15">
      <c r="A87" s="123">
        <v>40036911</v>
      </c>
      <c r="B87" s="123" t="s">
        <v>433</v>
      </c>
      <c r="C87" s="124">
        <v>3</v>
      </c>
      <c r="D87" s="124" t="s">
        <v>128</v>
      </c>
      <c r="E87" s="125" t="s">
        <v>302</v>
      </c>
      <c r="F87" s="125" t="s">
        <v>384</v>
      </c>
      <c r="G87" s="63" t="str">
        <f t="shared" si="435"/>
        <v>[effect:spread, val:0.35]</v>
      </c>
      <c r="H87" s="63">
        <f t="shared" si="436"/>
        <v>9</v>
      </c>
      <c r="I87" s="63">
        <f t="shared" si="437"/>
        <v>15</v>
      </c>
      <c r="J87" s="63" t="e">
        <f t="shared" si="438"/>
        <v>#VALUE!</v>
      </c>
      <c r="K87" s="63" t="e">
        <f t="shared" si="439"/>
        <v>#VALUE!</v>
      </c>
      <c r="L87" s="63" t="str">
        <f>IFERROR(VLOOKUP(MID(G87,J87,K87-J87),[6]skilldef!$C:$D,2,FALSE),"-") &amp; " / " &amp; IFERROR(VLOOKUP(MID(G87,H87,I87-H87),[6]skilldef!$A:$B,2,FALSE),"-")</f>
        <v>- / 全体攻撃</v>
      </c>
      <c r="M87" s="63" t="str">
        <f t="shared" si="440"/>
        <v>[effect:enemy_message, val1:1.1, val2:1.5]</v>
      </c>
      <c r="N87" s="48" t="str">
        <f>IFERROR(LEFT(M87,FIND("],",M87)+S97),M87)</f>
        <v>[effect:enemy_message, val1:1.1, val2:1.5]</v>
      </c>
      <c r="O87" s="63">
        <f t="shared" si="441"/>
        <v>9</v>
      </c>
      <c r="P87" s="63">
        <f t="shared" si="442"/>
        <v>22</v>
      </c>
      <c r="Q87" s="63" t="e">
        <f t="shared" si="443"/>
        <v>#VALUE!</v>
      </c>
      <c r="R87" s="63">
        <f t="shared" si="444"/>
        <v>32</v>
      </c>
      <c r="S87" s="63" t="str">
        <f>IFERROR(VLOOKUP(MID(N87,Q87,R87-Q87),[6]skilldef!$C:$D,2,FALSE),"-") &amp; " / " &amp; IFERROR(VLOOKUP(MID(N87,O87,P87-O87),[6]skilldef!$A:$B,2,FALSE),"-")</f>
        <v>- / -</v>
      </c>
      <c r="T87" s="48" t="str">
        <f t="shared" si="445"/>
        <v>none</v>
      </c>
      <c r="U87" s="63" t="e">
        <f t="shared" si="446"/>
        <v>#VALUE!</v>
      </c>
      <c r="V87" s="63">
        <f t="shared" si="447"/>
        <v>4</v>
      </c>
      <c r="W87" s="63" t="e">
        <f t="shared" si="448"/>
        <v>#VALUE!</v>
      </c>
      <c r="X87" s="63" t="e">
        <f t="shared" si="449"/>
        <v>#VALUE!</v>
      </c>
      <c r="Y87" s="63" t="str">
        <f>IFERROR(VLOOKUP(MID(T87,W87,X87-W87),[6]skilldef!$C:$D,2,FALSE),"-") &amp; " / " &amp; IFERROR(VLOOKUP(MID(T87,U87,V87-U87),[6]skilldef!$A:$B,2,FALSE),"-")</f>
        <v>- / -</v>
      </c>
      <c r="Z87" s="50"/>
      <c r="AA87" s="51"/>
      <c r="AB87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2"/>
  <sheetViews>
    <sheetView showGridLines="0" zoomScale="75" zoomScaleNormal="75" zoomScalePageLayoutView="75" workbookViewId="0">
      <pane ySplit="1" topLeftCell="A2" activePane="bottomLeft" state="frozenSplit"/>
      <selection pane="bottomLeft" activeCell="H18" sqref="H1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05">
        <v>40036000</v>
      </c>
      <c r="B2" s="47">
        <v>1</v>
      </c>
      <c r="C2" s="47" t="s">
        <v>89</v>
      </c>
      <c r="D2" s="47">
        <v>100</v>
      </c>
      <c r="E2" s="47" t="s">
        <v>258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5" customHeight="1" x14ac:dyDescent="0.15">
      <c r="A3" s="105">
        <v>40036001</v>
      </c>
      <c r="B3" s="126">
        <v>0</v>
      </c>
      <c r="C3" s="126">
        <v>10</v>
      </c>
      <c r="D3" s="126">
        <v>100</v>
      </c>
      <c r="E3" s="126" t="s">
        <v>259</v>
      </c>
      <c r="F3" s="126" t="s">
        <v>260</v>
      </c>
      <c r="G3" s="126">
        <v>1</v>
      </c>
      <c r="H3" s="126">
        <v>1</v>
      </c>
      <c r="I3" s="126" t="s">
        <v>258</v>
      </c>
      <c r="J3" s="48">
        <f t="shared" ref="J3:J66" si="1">D3</f>
        <v>100</v>
      </c>
    </row>
    <row r="4" spans="1:11" ht="25" customHeight="1" x14ac:dyDescent="0.15">
      <c r="A4" s="105">
        <v>40036002</v>
      </c>
      <c r="B4" s="126">
        <v>0</v>
      </c>
      <c r="C4" s="126">
        <v>9</v>
      </c>
      <c r="D4" s="126">
        <v>100</v>
      </c>
      <c r="E4" s="126" t="s">
        <v>259</v>
      </c>
      <c r="F4" s="126" t="s">
        <v>89</v>
      </c>
      <c r="G4" s="126">
        <v>1</v>
      </c>
      <c r="H4" s="126">
        <v>1</v>
      </c>
      <c r="I4" s="126" t="s">
        <v>89</v>
      </c>
      <c r="J4" s="48">
        <f t="shared" ref="J4:J5" si="2">D4</f>
        <v>100</v>
      </c>
    </row>
    <row r="5" spans="1:11" ht="25" customHeight="1" x14ac:dyDescent="0.15">
      <c r="A5" s="105">
        <v>40036003</v>
      </c>
      <c r="B5" s="126">
        <v>0</v>
      </c>
      <c r="C5" s="126">
        <v>8</v>
      </c>
      <c r="D5" s="126">
        <v>100</v>
      </c>
      <c r="E5" s="126" t="s">
        <v>259</v>
      </c>
      <c r="F5" s="126" t="s">
        <v>89</v>
      </c>
      <c r="G5" s="126">
        <v>1</v>
      </c>
      <c r="H5" s="126">
        <v>1</v>
      </c>
      <c r="I5" s="126" t="s">
        <v>89</v>
      </c>
      <c r="J5" s="48">
        <f t="shared" si="2"/>
        <v>100</v>
      </c>
    </row>
    <row r="6" spans="1:11" ht="25" customHeight="1" x14ac:dyDescent="0.15">
      <c r="A6" s="105">
        <v>40036004</v>
      </c>
      <c r="B6" s="126">
        <v>0</v>
      </c>
      <c r="C6" s="126">
        <v>7</v>
      </c>
      <c r="D6" s="126">
        <v>100</v>
      </c>
      <c r="E6" s="126" t="s">
        <v>259</v>
      </c>
      <c r="F6" s="126" t="s">
        <v>89</v>
      </c>
      <c r="G6" s="126">
        <v>1</v>
      </c>
      <c r="H6" s="126">
        <v>1</v>
      </c>
      <c r="I6" s="126" t="s">
        <v>89</v>
      </c>
      <c r="J6" s="48">
        <f t="shared" ref="J6:J7" si="3">D6</f>
        <v>100</v>
      </c>
    </row>
    <row r="7" spans="1:11" ht="25" customHeight="1" x14ac:dyDescent="0.15">
      <c r="A7" s="105">
        <v>40036005</v>
      </c>
      <c r="B7" s="126">
        <v>0</v>
      </c>
      <c r="C7" s="126">
        <v>6</v>
      </c>
      <c r="D7" s="126">
        <v>100</v>
      </c>
      <c r="E7" s="126" t="s">
        <v>259</v>
      </c>
      <c r="F7" s="126" t="s">
        <v>89</v>
      </c>
      <c r="G7" s="126">
        <v>1</v>
      </c>
      <c r="H7" s="126">
        <v>1</v>
      </c>
      <c r="I7" s="126" t="s">
        <v>89</v>
      </c>
      <c r="J7" s="48">
        <f t="shared" si="3"/>
        <v>100</v>
      </c>
    </row>
    <row r="8" spans="1:11" ht="21" customHeight="1" x14ac:dyDescent="0.15">
      <c r="A8" s="105">
        <v>40036006</v>
      </c>
      <c r="B8" s="126">
        <v>0</v>
      </c>
      <c r="C8" s="126">
        <v>20</v>
      </c>
      <c r="D8" s="126">
        <v>100</v>
      </c>
      <c r="E8" s="126" t="s">
        <v>261</v>
      </c>
      <c r="F8" s="126" t="s">
        <v>90</v>
      </c>
      <c r="G8" s="126">
        <v>1</v>
      </c>
      <c r="H8" s="126">
        <v>6</v>
      </c>
      <c r="I8" s="126" t="s">
        <v>262</v>
      </c>
      <c r="J8" s="48">
        <f t="shared" si="1"/>
        <v>100</v>
      </c>
    </row>
    <row r="9" spans="1:11" ht="21" customHeight="1" x14ac:dyDescent="0.15">
      <c r="A9" s="105">
        <v>40036007</v>
      </c>
      <c r="B9" s="47">
        <v>1</v>
      </c>
      <c r="C9" s="47" t="s">
        <v>53</v>
      </c>
      <c r="D9" s="47">
        <v>100</v>
      </c>
      <c r="E9" s="47" t="s">
        <v>258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5" customHeight="1" x14ac:dyDescent="0.15">
      <c r="A10" s="105">
        <v>40036008</v>
      </c>
      <c r="B10" s="126">
        <v>0</v>
      </c>
      <c r="C10" s="126">
        <v>10</v>
      </c>
      <c r="D10" s="126">
        <v>100</v>
      </c>
      <c r="E10" s="126" t="s">
        <v>53</v>
      </c>
      <c r="F10" s="126" t="s">
        <v>260</v>
      </c>
      <c r="G10" s="126">
        <v>1</v>
      </c>
      <c r="H10" s="126">
        <v>1</v>
      </c>
      <c r="I10" s="126" t="s">
        <v>258</v>
      </c>
      <c r="J10" s="48">
        <f t="shared" ref="J10:J17" si="4">D10</f>
        <v>100</v>
      </c>
    </row>
    <row r="11" spans="1:11" ht="25" customHeight="1" x14ac:dyDescent="0.15">
      <c r="A11" s="105">
        <v>40036009</v>
      </c>
      <c r="B11" s="126">
        <v>0</v>
      </c>
      <c r="C11" s="126">
        <v>9</v>
      </c>
      <c r="D11" s="126">
        <v>100</v>
      </c>
      <c r="E11" s="126" t="s">
        <v>53</v>
      </c>
      <c r="F11" s="126" t="s">
        <v>53</v>
      </c>
      <c r="G11" s="126">
        <v>1</v>
      </c>
      <c r="H11" s="126">
        <v>1</v>
      </c>
      <c r="I11" s="126" t="s">
        <v>53</v>
      </c>
      <c r="J11" s="48">
        <f t="shared" si="4"/>
        <v>100</v>
      </c>
    </row>
    <row r="12" spans="1:11" ht="25" customHeight="1" x14ac:dyDescent="0.15">
      <c r="A12" s="105">
        <v>40036010</v>
      </c>
      <c r="B12" s="126">
        <v>0</v>
      </c>
      <c r="C12" s="126">
        <v>8</v>
      </c>
      <c r="D12" s="126">
        <v>100</v>
      </c>
      <c r="E12" s="126" t="s">
        <v>53</v>
      </c>
      <c r="F12" s="126" t="s">
        <v>53</v>
      </c>
      <c r="G12" s="126">
        <v>1</v>
      </c>
      <c r="H12" s="126">
        <v>1</v>
      </c>
      <c r="I12" s="126" t="s">
        <v>53</v>
      </c>
      <c r="J12" s="48">
        <f t="shared" si="4"/>
        <v>100</v>
      </c>
    </row>
    <row r="13" spans="1:11" ht="25" customHeight="1" x14ac:dyDescent="0.15">
      <c r="A13" s="105">
        <v>40036011</v>
      </c>
      <c r="B13" s="126">
        <v>0</v>
      </c>
      <c r="C13" s="126">
        <v>7</v>
      </c>
      <c r="D13" s="126">
        <v>100</v>
      </c>
      <c r="E13" s="126" t="s">
        <v>53</v>
      </c>
      <c r="F13" s="126" t="s">
        <v>53</v>
      </c>
      <c r="G13" s="126">
        <v>1</v>
      </c>
      <c r="H13" s="126">
        <v>1</v>
      </c>
      <c r="I13" s="126" t="s">
        <v>53</v>
      </c>
      <c r="J13" s="48">
        <f t="shared" si="4"/>
        <v>100</v>
      </c>
    </row>
    <row r="14" spans="1:11" ht="25" customHeight="1" x14ac:dyDescent="0.15">
      <c r="A14" s="105">
        <v>40036012</v>
      </c>
      <c r="B14" s="126">
        <v>0</v>
      </c>
      <c r="C14" s="126">
        <v>6</v>
      </c>
      <c r="D14" s="126">
        <v>100</v>
      </c>
      <c r="E14" s="126" t="s">
        <v>53</v>
      </c>
      <c r="F14" s="126" t="s">
        <v>53</v>
      </c>
      <c r="G14" s="126">
        <v>1</v>
      </c>
      <c r="H14" s="126">
        <v>1</v>
      </c>
      <c r="I14" s="126" t="s">
        <v>53</v>
      </c>
      <c r="J14" s="48">
        <f t="shared" si="4"/>
        <v>100</v>
      </c>
    </row>
    <row r="15" spans="1:11" ht="25" customHeight="1" x14ac:dyDescent="0.15">
      <c r="A15" s="105">
        <v>40036013</v>
      </c>
      <c r="B15" s="126">
        <v>0</v>
      </c>
      <c r="C15" s="126">
        <v>5</v>
      </c>
      <c r="D15" s="126">
        <v>100</v>
      </c>
      <c r="E15" s="126" t="s">
        <v>53</v>
      </c>
      <c r="F15" s="126" t="s">
        <v>53</v>
      </c>
      <c r="G15" s="126">
        <v>1</v>
      </c>
      <c r="H15" s="126">
        <v>1</v>
      </c>
      <c r="I15" s="126" t="s">
        <v>53</v>
      </c>
      <c r="J15" s="48">
        <f t="shared" si="4"/>
        <v>100</v>
      </c>
    </row>
    <row r="16" spans="1:11" ht="25" customHeight="1" x14ac:dyDescent="0.15">
      <c r="A16" s="105">
        <v>40036014</v>
      </c>
      <c r="B16" s="126">
        <v>0</v>
      </c>
      <c r="C16" s="126">
        <v>4</v>
      </c>
      <c r="D16" s="126">
        <v>100</v>
      </c>
      <c r="E16" s="126" t="s">
        <v>53</v>
      </c>
      <c r="F16" s="126" t="s">
        <v>53</v>
      </c>
      <c r="G16" s="126">
        <v>1</v>
      </c>
      <c r="H16" s="126">
        <v>1</v>
      </c>
      <c r="I16" s="126" t="s">
        <v>53</v>
      </c>
      <c r="J16" s="48">
        <f t="shared" ref="J16" si="5">D16</f>
        <v>100</v>
      </c>
    </row>
    <row r="17" spans="1:10" ht="21" customHeight="1" x14ac:dyDescent="0.15">
      <c r="A17" s="105">
        <v>40036015</v>
      </c>
      <c r="B17" s="126">
        <v>0</v>
      </c>
      <c r="C17" s="126">
        <v>20</v>
      </c>
      <c r="D17" s="126">
        <v>100</v>
      </c>
      <c r="E17" s="126" t="s">
        <v>53</v>
      </c>
      <c r="F17" s="126" t="s">
        <v>90</v>
      </c>
      <c r="G17" s="126">
        <v>1</v>
      </c>
      <c r="H17" s="126">
        <v>8</v>
      </c>
      <c r="I17" s="126" t="s">
        <v>262</v>
      </c>
      <c r="J17" s="48">
        <f t="shared" si="4"/>
        <v>100</v>
      </c>
    </row>
    <row r="18" spans="1:10" ht="21" customHeight="1" x14ac:dyDescent="0.15">
      <c r="A18" s="108">
        <v>40036100</v>
      </c>
      <c r="B18" s="126">
        <v>0</v>
      </c>
      <c r="C18" s="126">
        <v>60</v>
      </c>
      <c r="D18" s="126">
        <v>100</v>
      </c>
      <c r="E18" s="126" t="s">
        <v>90</v>
      </c>
      <c r="F18" s="126" t="s">
        <v>259</v>
      </c>
      <c r="G18" s="126">
        <v>1</v>
      </c>
      <c r="H18" s="126">
        <v>1</v>
      </c>
      <c r="I18" s="126" t="s">
        <v>90</v>
      </c>
      <c r="J18" s="48">
        <f t="shared" si="1"/>
        <v>100</v>
      </c>
    </row>
    <row r="19" spans="1:10" ht="21" customHeight="1" x14ac:dyDescent="0.15">
      <c r="A19" s="108">
        <v>40036101</v>
      </c>
      <c r="B19" s="126">
        <v>0</v>
      </c>
      <c r="C19" s="126">
        <v>50</v>
      </c>
      <c r="D19" s="126">
        <v>100</v>
      </c>
      <c r="E19" s="126" t="s">
        <v>90</v>
      </c>
      <c r="F19" s="126" t="s">
        <v>259</v>
      </c>
      <c r="G19" s="126">
        <v>1</v>
      </c>
      <c r="H19" s="126">
        <v>1</v>
      </c>
      <c r="I19" s="126" t="s">
        <v>90</v>
      </c>
      <c r="J19" s="48">
        <f t="shared" si="1"/>
        <v>100</v>
      </c>
    </row>
    <row r="20" spans="1:10" ht="21" customHeight="1" x14ac:dyDescent="0.15">
      <c r="A20" s="108">
        <v>40036102</v>
      </c>
      <c r="B20" s="126">
        <v>0</v>
      </c>
      <c r="C20" s="126">
        <v>40</v>
      </c>
      <c r="D20" s="126">
        <v>100</v>
      </c>
      <c r="E20" s="126" t="s">
        <v>90</v>
      </c>
      <c r="F20" s="126" t="s">
        <v>259</v>
      </c>
      <c r="G20" s="126">
        <v>1</v>
      </c>
      <c r="H20" s="126">
        <v>1</v>
      </c>
      <c r="I20" s="126" t="s">
        <v>90</v>
      </c>
      <c r="J20" s="48">
        <f t="shared" si="1"/>
        <v>100</v>
      </c>
    </row>
    <row r="21" spans="1:10" ht="21" customHeight="1" x14ac:dyDescent="0.15">
      <c r="A21" s="108">
        <v>40036103</v>
      </c>
      <c r="B21" s="126">
        <v>0</v>
      </c>
      <c r="C21" s="126">
        <v>30</v>
      </c>
      <c r="D21" s="126">
        <v>100</v>
      </c>
      <c r="E21" s="126" t="s">
        <v>90</v>
      </c>
      <c r="F21" s="126" t="s">
        <v>259</v>
      </c>
      <c r="G21" s="126">
        <v>1</v>
      </c>
      <c r="H21" s="126">
        <v>1</v>
      </c>
      <c r="I21" s="126" t="s">
        <v>90</v>
      </c>
      <c r="J21" s="48">
        <f t="shared" si="1"/>
        <v>100</v>
      </c>
    </row>
    <row r="22" spans="1:10" ht="21" customHeight="1" x14ac:dyDescent="0.15">
      <c r="A22" s="108">
        <v>40036104</v>
      </c>
      <c r="B22" s="126">
        <v>0</v>
      </c>
      <c r="C22" s="126">
        <v>20</v>
      </c>
      <c r="D22" s="126">
        <v>100</v>
      </c>
      <c r="E22" s="126" t="s">
        <v>90</v>
      </c>
      <c r="F22" s="126" t="s">
        <v>259</v>
      </c>
      <c r="G22" s="126">
        <v>1</v>
      </c>
      <c r="H22" s="126">
        <v>1</v>
      </c>
      <c r="I22" s="126" t="s">
        <v>90</v>
      </c>
      <c r="J22" s="48">
        <f t="shared" si="1"/>
        <v>100</v>
      </c>
    </row>
    <row r="23" spans="1:10" ht="21" customHeight="1" x14ac:dyDescent="0.15">
      <c r="A23" s="108">
        <v>40036105</v>
      </c>
      <c r="B23" s="126">
        <v>0</v>
      </c>
      <c r="C23" s="126">
        <v>10</v>
      </c>
      <c r="D23" s="126">
        <v>100</v>
      </c>
      <c r="E23" s="126" t="s">
        <v>90</v>
      </c>
      <c r="F23" s="126" t="s">
        <v>259</v>
      </c>
      <c r="G23" s="126">
        <v>1</v>
      </c>
      <c r="H23" s="126">
        <v>1</v>
      </c>
      <c r="I23" s="126" t="s">
        <v>90</v>
      </c>
      <c r="J23" s="48">
        <f t="shared" si="1"/>
        <v>100</v>
      </c>
    </row>
    <row r="24" spans="1:10" ht="21" customHeight="1" x14ac:dyDescent="0.15">
      <c r="A24" s="108">
        <v>40036106</v>
      </c>
      <c r="B24" s="126">
        <v>0</v>
      </c>
      <c r="C24" s="126">
        <v>9</v>
      </c>
      <c r="D24" s="126">
        <v>100</v>
      </c>
      <c r="E24" s="126" t="s">
        <v>90</v>
      </c>
      <c r="F24" s="126" t="s">
        <v>259</v>
      </c>
      <c r="G24" s="126">
        <v>1</v>
      </c>
      <c r="H24" s="126">
        <v>1</v>
      </c>
      <c r="I24" s="126" t="s">
        <v>90</v>
      </c>
      <c r="J24" s="48">
        <f t="shared" ref="J24:J25" si="6">D24</f>
        <v>100</v>
      </c>
    </row>
    <row r="25" spans="1:10" ht="21" customHeight="1" x14ac:dyDescent="0.15">
      <c r="A25" s="108">
        <v>40036107</v>
      </c>
      <c r="B25" s="126">
        <v>0</v>
      </c>
      <c r="C25" s="126">
        <v>8</v>
      </c>
      <c r="D25" s="126">
        <v>100</v>
      </c>
      <c r="E25" s="126" t="s">
        <v>90</v>
      </c>
      <c r="F25" s="126" t="s">
        <v>259</v>
      </c>
      <c r="G25" s="126">
        <v>1</v>
      </c>
      <c r="H25" s="126">
        <v>1</v>
      </c>
      <c r="I25" s="126" t="s">
        <v>90</v>
      </c>
      <c r="J25" s="48">
        <f t="shared" si="6"/>
        <v>100</v>
      </c>
    </row>
    <row r="26" spans="1:10" ht="21" customHeight="1" x14ac:dyDescent="0.15">
      <c r="A26" s="111">
        <v>40036200</v>
      </c>
      <c r="B26" s="126">
        <v>0</v>
      </c>
      <c r="C26" s="126">
        <v>20</v>
      </c>
      <c r="D26" s="126">
        <v>100</v>
      </c>
      <c r="E26" s="126" t="s">
        <v>90</v>
      </c>
      <c r="F26" s="126" t="s">
        <v>260</v>
      </c>
      <c r="G26" s="126">
        <v>1</v>
      </c>
      <c r="H26" s="126">
        <v>2</v>
      </c>
      <c r="I26" s="126" t="s">
        <v>261</v>
      </c>
      <c r="J26" s="48">
        <f t="shared" si="1"/>
        <v>100</v>
      </c>
    </row>
    <row r="27" spans="1:10" ht="21" customHeight="1" x14ac:dyDescent="0.15">
      <c r="A27" s="111">
        <v>40036201</v>
      </c>
      <c r="B27" s="126">
        <v>0</v>
      </c>
      <c r="C27" s="126">
        <v>10</v>
      </c>
      <c r="D27" s="126">
        <v>100</v>
      </c>
      <c r="E27" s="126" t="s">
        <v>90</v>
      </c>
      <c r="F27" s="126" t="s">
        <v>89</v>
      </c>
      <c r="G27" s="126" t="s">
        <v>90</v>
      </c>
      <c r="H27" s="126">
        <v>1</v>
      </c>
      <c r="I27" s="126" t="s">
        <v>261</v>
      </c>
      <c r="J27" s="48">
        <f t="shared" si="1"/>
        <v>100</v>
      </c>
    </row>
    <row r="28" spans="1:10" ht="21" customHeight="1" x14ac:dyDescent="0.15">
      <c r="A28" s="111">
        <v>40036202</v>
      </c>
      <c r="B28" s="126">
        <v>0</v>
      </c>
      <c r="C28" s="126">
        <v>30</v>
      </c>
      <c r="D28" s="126">
        <v>100</v>
      </c>
      <c r="E28" s="126" t="s">
        <v>90</v>
      </c>
      <c r="F28" s="126" t="s">
        <v>89</v>
      </c>
      <c r="G28" s="126">
        <v>1</v>
      </c>
      <c r="H28" s="126">
        <v>1</v>
      </c>
      <c r="I28" s="126" t="s">
        <v>261</v>
      </c>
      <c r="J28" s="48">
        <f t="shared" ref="J28:J29" si="7">D28</f>
        <v>100</v>
      </c>
    </row>
    <row r="29" spans="1:10" ht="21" customHeight="1" x14ac:dyDescent="0.15">
      <c r="A29" s="114">
        <v>40036300</v>
      </c>
      <c r="B29" s="126">
        <v>0</v>
      </c>
      <c r="C29" s="126">
        <v>10</v>
      </c>
      <c r="D29" s="126">
        <v>100</v>
      </c>
      <c r="E29" s="126" t="s">
        <v>90</v>
      </c>
      <c r="F29" s="126" t="s">
        <v>89</v>
      </c>
      <c r="G29" s="126">
        <v>1</v>
      </c>
      <c r="H29" s="126">
        <v>3</v>
      </c>
      <c r="I29" s="126" t="s">
        <v>261</v>
      </c>
      <c r="J29" s="48">
        <f t="shared" si="7"/>
        <v>100</v>
      </c>
    </row>
    <row r="30" spans="1:10" ht="21" customHeight="1" x14ac:dyDescent="0.15">
      <c r="A30" s="114">
        <v>40036301</v>
      </c>
      <c r="B30" s="126">
        <v>0</v>
      </c>
      <c r="C30" s="126">
        <v>5</v>
      </c>
      <c r="D30" s="126">
        <v>100</v>
      </c>
      <c r="E30" s="126" t="s">
        <v>90</v>
      </c>
      <c r="F30" s="126" t="s">
        <v>260</v>
      </c>
      <c r="G30" s="126" t="s">
        <v>90</v>
      </c>
      <c r="H30" s="126">
        <v>1</v>
      </c>
      <c r="I30" s="126" t="s">
        <v>261</v>
      </c>
      <c r="J30" s="48">
        <f t="shared" si="1"/>
        <v>100</v>
      </c>
    </row>
    <row r="31" spans="1:10" ht="21" customHeight="1" x14ac:dyDescent="0.15">
      <c r="A31" s="114">
        <v>40036302</v>
      </c>
      <c r="B31" s="126">
        <v>1</v>
      </c>
      <c r="C31" s="126" t="s">
        <v>90</v>
      </c>
      <c r="D31" s="126">
        <v>100</v>
      </c>
      <c r="E31" s="126" t="s">
        <v>90</v>
      </c>
      <c r="F31" s="126" t="s">
        <v>90</v>
      </c>
      <c r="G31" s="126">
        <v>1</v>
      </c>
      <c r="H31" s="126" t="s">
        <v>90</v>
      </c>
      <c r="I31" s="126" t="s">
        <v>89</v>
      </c>
      <c r="J31" s="48">
        <f t="shared" ref="J31" si="8">D31</f>
        <v>100</v>
      </c>
    </row>
    <row r="32" spans="1:10" ht="21" customHeight="1" x14ac:dyDescent="0.15">
      <c r="A32" s="117">
        <v>40036400</v>
      </c>
      <c r="B32" s="126">
        <v>0</v>
      </c>
      <c r="C32" s="126">
        <v>20</v>
      </c>
      <c r="D32" s="126">
        <v>100</v>
      </c>
      <c r="E32" s="126" t="s">
        <v>90</v>
      </c>
      <c r="F32" s="126" t="s">
        <v>89</v>
      </c>
      <c r="G32" s="126">
        <v>4</v>
      </c>
      <c r="H32" s="126">
        <v>2</v>
      </c>
      <c r="I32" s="126" t="s">
        <v>261</v>
      </c>
      <c r="J32" s="48">
        <f t="shared" ref="J32" si="9">D32</f>
        <v>100</v>
      </c>
    </row>
    <row r="33" spans="1:10" ht="21" customHeight="1" x14ac:dyDescent="0.15">
      <c r="A33" s="117">
        <v>40036401</v>
      </c>
      <c r="B33" s="126">
        <v>0</v>
      </c>
      <c r="C33" s="126">
        <v>10</v>
      </c>
      <c r="D33" s="126">
        <v>100</v>
      </c>
      <c r="E33" s="126" t="s">
        <v>90</v>
      </c>
      <c r="F33" s="126" t="s">
        <v>260</v>
      </c>
      <c r="G33" s="126" t="s">
        <v>89</v>
      </c>
      <c r="H33" s="126">
        <v>1</v>
      </c>
      <c r="I33" s="126" t="s">
        <v>261</v>
      </c>
      <c r="J33" s="48">
        <f t="shared" si="1"/>
        <v>100</v>
      </c>
    </row>
    <row r="34" spans="1:10" ht="21" customHeight="1" x14ac:dyDescent="0.15">
      <c r="A34" s="105">
        <v>40036500</v>
      </c>
      <c r="B34" s="126">
        <v>1</v>
      </c>
      <c r="C34" s="126" t="s">
        <v>258</v>
      </c>
      <c r="D34" s="126">
        <v>100</v>
      </c>
      <c r="E34" s="126" t="s">
        <v>90</v>
      </c>
      <c r="F34" s="126" t="s">
        <v>90</v>
      </c>
      <c r="G34" s="126">
        <v>1</v>
      </c>
      <c r="H34" s="126" t="s">
        <v>258</v>
      </c>
      <c r="I34" s="126" t="s">
        <v>260</v>
      </c>
      <c r="J34" s="48">
        <f t="shared" si="1"/>
        <v>100</v>
      </c>
    </row>
    <row r="35" spans="1:10" ht="21" customHeight="1" x14ac:dyDescent="0.15">
      <c r="A35" s="105">
        <v>40036501</v>
      </c>
      <c r="B35" s="126">
        <v>0</v>
      </c>
      <c r="C35" s="126">
        <v>10</v>
      </c>
      <c r="D35" s="126">
        <v>100</v>
      </c>
      <c r="E35" s="126" t="s">
        <v>90</v>
      </c>
      <c r="F35" s="126" t="s">
        <v>260</v>
      </c>
      <c r="G35" s="126">
        <v>2</v>
      </c>
      <c r="H35" s="126">
        <v>1</v>
      </c>
      <c r="I35" s="126" t="s">
        <v>261</v>
      </c>
      <c r="J35" s="48">
        <f t="shared" si="1"/>
        <v>100</v>
      </c>
    </row>
    <row r="36" spans="1:10" ht="21" customHeight="1" x14ac:dyDescent="0.15">
      <c r="A36" s="105">
        <v>40036502</v>
      </c>
      <c r="B36" s="126">
        <v>0</v>
      </c>
      <c r="C36" s="126">
        <v>20</v>
      </c>
      <c r="D36" s="126">
        <v>100</v>
      </c>
      <c r="E36" s="126" t="s">
        <v>261</v>
      </c>
      <c r="F36" s="126" t="s">
        <v>90</v>
      </c>
      <c r="G36" s="126">
        <v>1</v>
      </c>
      <c r="H36" s="126">
        <v>4</v>
      </c>
      <c r="I36" s="126" t="s">
        <v>262</v>
      </c>
      <c r="J36" s="48">
        <f t="shared" si="1"/>
        <v>100</v>
      </c>
    </row>
    <row r="37" spans="1:10" ht="21" customHeight="1" x14ac:dyDescent="0.15">
      <c r="A37" s="108">
        <v>40036600</v>
      </c>
      <c r="B37" s="126">
        <v>1</v>
      </c>
      <c r="C37" s="126" t="s">
        <v>258</v>
      </c>
      <c r="D37" s="126">
        <v>100</v>
      </c>
      <c r="E37" s="126" t="s">
        <v>90</v>
      </c>
      <c r="F37" s="126" t="s">
        <v>90</v>
      </c>
      <c r="G37" s="126">
        <v>1</v>
      </c>
      <c r="H37" s="126" t="s">
        <v>258</v>
      </c>
      <c r="I37" s="126" t="s">
        <v>260</v>
      </c>
      <c r="J37" s="48">
        <f t="shared" si="1"/>
        <v>100</v>
      </c>
    </row>
    <row r="38" spans="1:10" ht="21" customHeight="1" x14ac:dyDescent="0.15">
      <c r="A38" s="108">
        <v>40036601</v>
      </c>
      <c r="B38" s="126">
        <v>0</v>
      </c>
      <c r="C38" s="126">
        <v>50</v>
      </c>
      <c r="D38" s="126">
        <v>100</v>
      </c>
      <c r="E38" s="126" t="s">
        <v>90</v>
      </c>
      <c r="F38" s="126" t="s">
        <v>259</v>
      </c>
      <c r="G38" s="126">
        <v>1</v>
      </c>
      <c r="H38" s="126">
        <v>1</v>
      </c>
      <c r="I38" s="126" t="s">
        <v>90</v>
      </c>
      <c r="J38" s="48">
        <f t="shared" ref="J38" si="10">D38</f>
        <v>100</v>
      </c>
    </row>
    <row r="39" spans="1:10" ht="21" customHeight="1" x14ac:dyDescent="0.15">
      <c r="A39" s="108">
        <v>40036602</v>
      </c>
      <c r="B39" s="126">
        <v>0</v>
      </c>
      <c r="C39" s="126">
        <v>40</v>
      </c>
      <c r="D39" s="126">
        <v>100</v>
      </c>
      <c r="E39" s="126" t="s">
        <v>90</v>
      </c>
      <c r="F39" s="126" t="s">
        <v>259</v>
      </c>
      <c r="G39" s="126">
        <v>1</v>
      </c>
      <c r="H39" s="126">
        <v>1</v>
      </c>
      <c r="I39" s="126" t="s">
        <v>90</v>
      </c>
      <c r="J39" s="48">
        <f t="shared" ref="J39:J42" si="11">D39</f>
        <v>100</v>
      </c>
    </row>
    <row r="40" spans="1:10" ht="21" customHeight="1" x14ac:dyDescent="0.15">
      <c r="A40" s="108">
        <v>40036603</v>
      </c>
      <c r="B40" s="126">
        <v>0</v>
      </c>
      <c r="C40" s="126">
        <v>30</v>
      </c>
      <c r="D40" s="126">
        <v>100</v>
      </c>
      <c r="E40" s="126" t="s">
        <v>90</v>
      </c>
      <c r="F40" s="126" t="s">
        <v>259</v>
      </c>
      <c r="G40" s="126">
        <v>1</v>
      </c>
      <c r="H40" s="126">
        <v>1</v>
      </c>
      <c r="I40" s="126" t="s">
        <v>90</v>
      </c>
      <c r="J40" s="48">
        <f t="shared" si="11"/>
        <v>100</v>
      </c>
    </row>
    <row r="41" spans="1:10" ht="21" customHeight="1" x14ac:dyDescent="0.15">
      <c r="A41" s="108">
        <v>40036604</v>
      </c>
      <c r="B41" s="126">
        <v>0</v>
      </c>
      <c r="C41" s="126">
        <v>20</v>
      </c>
      <c r="D41" s="126">
        <v>100</v>
      </c>
      <c r="E41" s="126" t="s">
        <v>90</v>
      </c>
      <c r="F41" s="126" t="s">
        <v>259</v>
      </c>
      <c r="G41" s="126">
        <v>1</v>
      </c>
      <c r="H41" s="126">
        <v>1</v>
      </c>
      <c r="I41" s="126" t="s">
        <v>90</v>
      </c>
      <c r="J41" s="48">
        <f t="shared" si="11"/>
        <v>100</v>
      </c>
    </row>
    <row r="42" spans="1:10" ht="21" customHeight="1" x14ac:dyDescent="0.15">
      <c r="A42" s="108">
        <v>40036605</v>
      </c>
      <c r="B42" s="126">
        <v>0</v>
      </c>
      <c r="C42" s="126">
        <v>10</v>
      </c>
      <c r="D42" s="126">
        <v>100</v>
      </c>
      <c r="E42" s="126" t="s">
        <v>90</v>
      </c>
      <c r="F42" s="126" t="s">
        <v>259</v>
      </c>
      <c r="G42" s="126">
        <v>1</v>
      </c>
      <c r="H42" s="126">
        <v>1</v>
      </c>
      <c r="I42" s="126" t="s">
        <v>90</v>
      </c>
      <c r="J42" s="48">
        <f t="shared" si="11"/>
        <v>100</v>
      </c>
    </row>
    <row r="43" spans="1:10" ht="21" customHeight="1" x14ac:dyDescent="0.15">
      <c r="A43" s="108">
        <v>40036606</v>
      </c>
      <c r="B43" s="126">
        <v>0</v>
      </c>
      <c r="C43" s="126">
        <v>5</v>
      </c>
      <c r="D43" s="126">
        <v>100</v>
      </c>
      <c r="E43" s="126" t="s">
        <v>90</v>
      </c>
      <c r="F43" s="126" t="s">
        <v>259</v>
      </c>
      <c r="G43" s="126">
        <v>1</v>
      </c>
      <c r="H43" s="126">
        <v>1</v>
      </c>
      <c r="I43" s="126" t="s">
        <v>90</v>
      </c>
      <c r="J43" s="48">
        <f t="shared" si="1"/>
        <v>100</v>
      </c>
    </row>
    <row r="44" spans="1:10" ht="21" customHeight="1" x14ac:dyDescent="0.15">
      <c r="A44" s="108">
        <v>40036607</v>
      </c>
      <c r="B44" s="126">
        <v>0</v>
      </c>
      <c r="C44" s="126" t="s">
        <v>90</v>
      </c>
      <c r="D44" s="126">
        <v>100</v>
      </c>
      <c r="E44" s="126" t="s">
        <v>90</v>
      </c>
      <c r="F44" s="126" t="s">
        <v>90</v>
      </c>
      <c r="G44" s="126">
        <v>1</v>
      </c>
      <c r="H44" s="126" t="s">
        <v>258</v>
      </c>
      <c r="I44" s="126">
        <v>589</v>
      </c>
      <c r="J44" s="48">
        <f t="shared" si="1"/>
        <v>100</v>
      </c>
    </row>
    <row r="45" spans="1:10" ht="21" customHeight="1" x14ac:dyDescent="0.15">
      <c r="A45" s="111">
        <v>40036700</v>
      </c>
      <c r="B45" s="126">
        <v>1</v>
      </c>
      <c r="C45" s="126">
        <v>10</v>
      </c>
      <c r="D45" s="126">
        <v>100</v>
      </c>
      <c r="E45" s="126" t="s">
        <v>90</v>
      </c>
      <c r="F45" s="126" t="s">
        <v>90</v>
      </c>
      <c r="G45" s="126">
        <v>1</v>
      </c>
      <c r="H45" s="126" t="s">
        <v>258</v>
      </c>
      <c r="I45" s="126" t="s">
        <v>260</v>
      </c>
      <c r="J45" s="48">
        <f t="shared" si="1"/>
        <v>100</v>
      </c>
    </row>
    <row r="46" spans="1:10" ht="21" customHeight="1" x14ac:dyDescent="0.15">
      <c r="A46" s="111">
        <v>40036701</v>
      </c>
      <c r="B46" s="126">
        <v>0</v>
      </c>
      <c r="C46" s="126">
        <v>10</v>
      </c>
      <c r="D46" s="126">
        <v>100</v>
      </c>
      <c r="E46" s="126" t="s">
        <v>90</v>
      </c>
      <c r="F46" s="126">
        <v>50</v>
      </c>
      <c r="G46" s="126" t="s">
        <v>90</v>
      </c>
      <c r="H46" s="126">
        <v>1</v>
      </c>
      <c r="I46" s="126" t="s">
        <v>261</v>
      </c>
      <c r="J46" s="48">
        <f t="shared" si="1"/>
        <v>100</v>
      </c>
    </row>
    <row r="47" spans="1:10" ht="21" customHeight="1" x14ac:dyDescent="0.15">
      <c r="A47" s="111">
        <v>40036702</v>
      </c>
      <c r="B47" s="126">
        <v>0</v>
      </c>
      <c r="C47" s="126">
        <v>20</v>
      </c>
      <c r="D47" s="126">
        <v>100</v>
      </c>
      <c r="E47" s="126" t="s">
        <v>259</v>
      </c>
      <c r="F47" s="126">
        <v>50</v>
      </c>
      <c r="G47" s="126" t="s">
        <v>90</v>
      </c>
      <c r="H47" s="126">
        <v>2</v>
      </c>
      <c r="I47" s="126" t="s">
        <v>258</v>
      </c>
      <c r="J47" s="48">
        <f t="shared" si="1"/>
        <v>100</v>
      </c>
    </row>
    <row r="48" spans="1:10" ht="21" customHeight="1" x14ac:dyDescent="0.15">
      <c r="A48" s="111">
        <v>40036703</v>
      </c>
      <c r="B48" s="126">
        <v>0</v>
      </c>
      <c r="C48" s="126">
        <v>30</v>
      </c>
      <c r="D48" s="126">
        <v>100</v>
      </c>
      <c r="E48" s="126">
        <v>50</v>
      </c>
      <c r="F48" s="126" t="s">
        <v>259</v>
      </c>
      <c r="G48" s="126">
        <v>1</v>
      </c>
      <c r="H48" s="126">
        <v>2</v>
      </c>
      <c r="I48" s="126" t="s">
        <v>90</v>
      </c>
      <c r="J48" s="48">
        <f t="shared" si="1"/>
        <v>100</v>
      </c>
    </row>
    <row r="49" spans="1:10" ht="21" customHeight="1" x14ac:dyDescent="0.15">
      <c r="A49" s="111">
        <v>40036704</v>
      </c>
      <c r="B49" s="126">
        <v>0</v>
      </c>
      <c r="C49" s="126">
        <v>20</v>
      </c>
      <c r="D49" s="126">
        <v>100</v>
      </c>
      <c r="E49" s="126">
        <v>50</v>
      </c>
      <c r="F49" s="126" t="s">
        <v>89</v>
      </c>
      <c r="G49" s="126" t="s">
        <v>89</v>
      </c>
      <c r="H49" s="126">
        <v>2</v>
      </c>
      <c r="I49" s="126" t="s">
        <v>89</v>
      </c>
      <c r="J49" s="48">
        <f t="shared" ref="J49:J51" si="12">D49</f>
        <v>100</v>
      </c>
    </row>
    <row r="50" spans="1:10" ht="21" customHeight="1" x14ac:dyDescent="0.15">
      <c r="A50" s="111">
        <v>40036705</v>
      </c>
      <c r="B50" s="126">
        <v>0</v>
      </c>
      <c r="C50" s="126">
        <v>10</v>
      </c>
      <c r="D50" s="126">
        <v>100</v>
      </c>
      <c r="E50" s="126">
        <v>50</v>
      </c>
      <c r="F50" s="126" t="s">
        <v>89</v>
      </c>
      <c r="G50" s="126" t="s">
        <v>89</v>
      </c>
      <c r="H50" s="126">
        <v>1</v>
      </c>
      <c r="I50" s="126" t="s">
        <v>89</v>
      </c>
      <c r="J50" s="48">
        <f t="shared" si="12"/>
        <v>100</v>
      </c>
    </row>
    <row r="51" spans="1:10" ht="21" customHeight="1" x14ac:dyDescent="0.15">
      <c r="A51" s="111">
        <v>40036706</v>
      </c>
      <c r="B51" s="126">
        <v>1</v>
      </c>
      <c r="C51" s="126">
        <v>30</v>
      </c>
      <c r="D51" s="126">
        <v>100</v>
      </c>
      <c r="E51" s="126" t="s">
        <v>90</v>
      </c>
      <c r="F51" s="126" t="s">
        <v>90</v>
      </c>
      <c r="G51" s="126">
        <v>1</v>
      </c>
      <c r="H51" s="126" t="s">
        <v>90</v>
      </c>
      <c r="I51" s="126">
        <v>1212</v>
      </c>
      <c r="J51" s="48">
        <f t="shared" si="12"/>
        <v>100</v>
      </c>
    </row>
    <row r="52" spans="1:10" ht="21" customHeight="1" x14ac:dyDescent="0.15">
      <c r="A52" s="111">
        <v>40036707</v>
      </c>
      <c r="B52" s="126">
        <v>1</v>
      </c>
      <c r="C52" s="126">
        <v>30</v>
      </c>
      <c r="D52" s="126">
        <v>100</v>
      </c>
      <c r="E52" s="126" t="s">
        <v>90</v>
      </c>
      <c r="F52" s="126" t="s">
        <v>90</v>
      </c>
      <c r="G52" s="126">
        <v>1</v>
      </c>
      <c r="H52" s="126" t="s">
        <v>90</v>
      </c>
      <c r="I52" s="126">
        <v>1213</v>
      </c>
      <c r="J52" s="48">
        <f t="shared" ref="J52" si="13">D52</f>
        <v>100</v>
      </c>
    </row>
    <row r="53" spans="1:10" ht="21" customHeight="1" x14ac:dyDescent="0.15">
      <c r="A53" s="111">
        <v>40036708</v>
      </c>
      <c r="B53" s="126">
        <v>1</v>
      </c>
      <c r="C53" s="126">
        <v>20</v>
      </c>
      <c r="D53" s="126">
        <v>100</v>
      </c>
      <c r="E53" s="126" t="s">
        <v>90</v>
      </c>
      <c r="F53" s="126" t="s">
        <v>90</v>
      </c>
      <c r="G53" s="126">
        <v>1</v>
      </c>
      <c r="H53" s="126" t="s">
        <v>90</v>
      </c>
      <c r="I53" s="126">
        <v>1200</v>
      </c>
      <c r="J53" s="48">
        <f t="shared" ref="J53:J55" si="14">D53</f>
        <v>100</v>
      </c>
    </row>
    <row r="54" spans="1:10" ht="21" customHeight="1" x14ac:dyDescent="0.15">
      <c r="A54" s="111">
        <v>40036709</v>
      </c>
      <c r="B54" s="126">
        <v>1</v>
      </c>
      <c r="C54" s="126">
        <v>20</v>
      </c>
      <c r="D54" s="126">
        <v>100</v>
      </c>
      <c r="E54" s="126" t="s">
        <v>90</v>
      </c>
      <c r="F54" s="126" t="s">
        <v>90</v>
      </c>
      <c r="G54" s="126">
        <v>1</v>
      </c>
      <c r="H54" s="126" t="s">
        <v>90</v>
      </c>
      <c r="I54" s="126">
        <v>1201</v>
      </c>
      <c r="J54" s="48">
        <f t="shared" si="14"/>
        <v>100</v>
      </c>
    </row>
    <row r="55" spans="1:10" ht="21" customHeight="1" x14ac:dyDescent="0.15">
      <c r="A55" s="111">
        <v>40036710</v>
      </c>
      <c r="B55" s="126">
        <v>1</v>
      </c>
      <c r="C55" s="126">
        <v>25</v>
      </c>
      <c r="D55" s="126">
        <v>100</v>
      </c>
      <c r="E55" s="126" t="s">
        <v>90</v>
      </c>
      <c r="F55" s="126" t="s">
        <v>90</v>
      </c>
      <c r="G55" s="126">
        <v>1</v>
      </c>
      <c r="H55" s="126" t="s">
        <v>90</v>
      </c>
      <c r="I55" s="126">
        <v>929</v>
      </c>
      <c r="J55" s="48">
        <f t="shared" si="14"/>
        <v>100</v>
      </c>
    </row>
    <row r="56" spans="1:10" ht="21" customHeight="1" x14ac:dyDescent="0.15">
      <c r="A56" s="111">
        <v>40036711</v>
      </c>
      <c r="B56" s="126">
        <v>1</v>
      </c>
      <c r="C56" s="126">
        <v>25</v>
      </c>
      <c r="D56" s="126">
        <v>100</v>
      </c>
      <c r="E56" s="126" t="s">
        <v>90</v>
      </c>
      <c r="F56" s="126" t="s">
        <v>90</v>
      </c>
      <c r="G56" s="126">
        <v>1</v>
      </c>
      <c r="H56" s="126" t="s">
        <v>90</v>
      </c>
      <c r="I56" s="126">
        <v>930</v>
      </c>
      <c r="J56" s="48">
        <f t="shared" ref="J56" si="15">D56</f>
        <v>100</v>
      </c>
    </row>
    <row r="57" spans="1:10" ht="21" customHeight="1" x14ac:dyDescent="0.15">
      <c r="A57" s="120">
        <v>40036800</v>
      </c>
      <c r="B57" s="126">
        <v>1</v>
      </c>
      <c r="C57" s="126" t="s">
        <v>258</v>
      </c>
      <c r="D57" s="126">
        <v>100</v>
      </c>
      <c r="E57" s="126" t="s">
        <v>90</v>
      </c>
      <c r="F57" s="126" t="s">
        <v>90</v>
      </c>
      <c r="G57" s="126">
        <v>1</v>
      </c>
      <c r="H57" s="126" t="s">
        <v>290</v>
      </c>
      <c r="I57" s="126" t="s">
        <v>260</v>
      </c>
      <c r="J57" s="48">
        <f t="shared" si="1"/>
        <v>100</v>
      </c>
    </row>
    <row r="58" spans="1:10" ht="21" customHeight="1" x14ac:dyDescent="0.15">
      <c r="A58" s="120">
        <v>40036801</v>
      </c>
      <c r="B58" s="126">
        <v>0</v>
      </c>
      <c r="C58" s="126">
        <v>30</v>
      </c>
      <c r="D58" s="126">
        <v>100</v>
      </c>
      <c r="E58" s="126">
        <v>50</v>
      </c>
      <c r="F58" s="126" t="s">
        <v>264</v>
      </c>
      <c r="G58" s="126">
        <v>1</v>
      </c>
      <c r="H58" s="126">
        <v>2</v>
      </c>
      <c r="I58" s="126" t="s">
        <v>261</v>
      </c>
      <c r="J58" s="48">
        <f t="shared" si="1"/>
        <v>100</v>
      </c>
    </row>
    <row r="59" spans="1:10" ht="21" customHeight="1" x14ac:dyDescent="0.15">
      <c r="A59" s="120">
        <v>40036802</v>
      </c>
      <c r="B59" s="126">
        <v>0</v>
      </c>
      <c r="C59" s="126">
        <v>20</v>
      </c>
      <c r="D59" s="126">
        <v>100</v>
      </c>
      <c r="E59" s="126" t="s">
        <v>90</v>
      </c>
      <c r="F59" s="126">
        <v>50</v>
      </c>
      <c r="G59" s="126" t="s">
        <v>90</v>
      </c>
      <c r="H59" s="126">
        <v>2</v>
      </c>
      <c r="I59" s="126" t="s">
        <v>261</v>
      </c>
      <c r="J59" s="48">
        <f t="shared" si="1"/>
        <v>100</v>
      </c>
    </row>
    <row r="60" spans="1:10" ht="21" customHeight="1" x14ac:dyDescent="0.15">
      <c r="A60" s="120">
        <v>40036803</v>
      </c>
      <c r="B60" s="126">
        <v>0</v>
      </c>
      <c r="C60" s="126">
        <v>10</v>
      </c>
      <c r="D60" s="126">
        <v>100</v>
      </c>
      <c r="E60" s="126" t="s">
        <v>259</v>
      </c>
      <c r="F60" s="126">
        <v>50</v>
      </c>
      <c r="G60" s="126" t="s">
        <v>90</v>
      </c>
      <c r="H60" s="126">
        <v>1</v>
      </c>
      <c r="I60" s="126" t="s">
        <v>258</v>
      </c>
      <c r="J60" s="48">
        <f t="shared" si="1"/>
        <v>100</v>
      </c>
    </row>
    <row r="61" spans="1:10" ht="21" customHeight="1" x14ac:dyDescent="0.15">
      <c r="A61" s="120">
        <v>40036804</v>
      </c>
      <c r="B61" s="126">
        <v>0</v>
      </c>
      <c r="C61" s="126">
        <v>10</v>
      </c>
      <c r="D61" s="126">
        <v>100</v>
      </c>
      <c r="E61" s="126">
        <v>50</v>
      </c>
      <c r="F61" s="126" t="s">
        <v>89</v>
      </c>
      <c r="G61" s="126" t="s">
        <v>89</v>
      </c>
      <c r="H61" s="126">
        <v>1</v>
      </c>
      <c r="I61" s="126" t="s">
        <v>89</v>
      </c>
      <c r="J61" s="48">
        <f t="shared" ref="J61:J62" si="16">D61</f>
        <v>100</v>
      </c>
    </row>
    <row r="62" spans="1:10" ht="21" customHeight="1" x14ac:dyDescent="0.15">
      <c r="A62" s="120">
        <v>40036805</v>
      </c>
      <c r="B62" s="126">
        <v>0</v>
      </c>
      <c r="C62" s="126">
        <v>20</v>
      </c>
      <c r="D62" s="126">
        <v>100</v>
      </c>
      <c r="E62" s="126">
        <v>50</v>
      </c>
      <c r="F62" s="126" t="s">
        <v>89</v>
      </c>
      <c r="G62" s="126" t="s">
        <v>90</v>
      </c>
      <c r="H62" s="126">
        <v>2</v>
      </c>
      <c r="I62" s="126" t="s">
        <v>89</v>
      </c>
      <c r="J62" s="48">
        <f t="shared" si="16"/>
        <v>100</v>
      </c>
    </row>
    <row r="63" spans="1:10" ht="21" customHeight="1" x14ac:dyDescent="0.15">
      <c r="A63" s="123">
        <v>40036900</v>
      </c>
      <c r="B63" s="126">
        <v>1</v>
      </c>
      <c r="C63" s="126" t="s">
        <v>291</v>
      </c>
      <c r="D63" s="126">
        <v>100</v>
      </c>
      <c r="E63" s="126" t="s">
        <v>90</v>
      </c>
      <c r="F63" s="126" t="s">
        <v>90</v>
      </c>
      <c r="G63" s="126">
        <v>1</v>
      </c>
      <c r="H63" s="126" t="s">
        <v>295</v>
      </c>
      <c r="I63" s="126" t="s">
        <v>260</v>
      </c>
      <c r="J63" s="48">
        <f t="shared" si="1"/>
        <v>100</v>
      </c>
    </row>
    <row r="64" spans="1:10" ht="21" customHeight="1" x14ac:dyDescent="0.15">
      <c r="A64" s="123">
        <v>40036901</v>
      </c>
      <c r="B64" s="126">
        <v>0</v>
      </c>
      <c r="C64" s="126">
        <v>30</v>
      </c>
      <c r="D64" s="126">
        <v>100</v>
      </c>
      <c r="E64" s="126" t="s">
        <v>90</v>
      </c>
      <c r="F64" s="126" t="s">
        <v>260</v>
      </c>
      <c r="G64" s="126" t="s">
        <v>90</v>
      </c>
      <c r="H64" s="126">
        <v>3</v>
      </c>
      <c r="I64" s="126" t="s">
        <v>261</v>
      </c>
      <c r="J64" s="48">
        <f t="shared" si="1"/>
        <v>100</v>
      </c>
    </row>
    <row r="65" spans="1:10" ht="21" customHeight="1" x14ac:dyDescent="0.15">
      <c r="A65" s="123">
        <v>40036902</v>
      </c>
      <c r="B65" s="126">
        <v>0</v>
      </c>
      <c r="C65" s="126">
        <v>10</v>
      </c>
      <c r="D65" s="126">
        <v>100</v>
      </c>
      <c r="E65" s="126" t="s">
        <v>259</v>
      </c>
      <c r="F65" s="126" t="s">
        <v>260</v>
      </c>
      <c r="G65" s="126" t="s">
        <v>90</v>
      </c>
      <c r="H65" s="126">
        <v>1</v>
      </c>
      <c r="I65" s="126" t="s">
        <v>258</v>
      </c>
      <c r="J65" s="48">
        <f t="shared" si="1"/>
        <v>100</v>
      </c>
    </row>
    <row r="66" spans="1:10" ht="21" customHeight="1" x14ac:dyDescent="0.15">
      <c r="A66" s="123">
        <v>40036903</v>
      </c>
      <c r="B66" s="126">
        <v>0</v>
      </c>
      <c r="C66" s="126">
        <v>40</v>
      </c>
      <c r="D66" s="126">
        <v>100</v>
      </c>
      <c r="E66" s="126">
        <v>50</v>
      </c>
      <c r="F66" s="126" t="s">
        <v>259</v>
      </c>
      <c r="G66" s="126">
        <v>1</v>
      </c>
      <c r="H66" s="126">
        <v>1</v>
      </c>
      <c r="I66" s="126" t="s">
        <v>90</v>
      </c>
      <c r="J66" s="48">
        <f t="shared" si="1"/>
        <v>100</v>
      </c>
    </row>
    <row r="67" spans="1:10" ht="21" customHeight="1" x14ac:dyDescent="0.15">
      <c r="A67" s="123">
        <v>40036904</v>
      </c>
      <c r="B67" s="126">
        <v>0</v>
      </c>
      <c r="C67" s="126">
        <v>50</v>
      </c>
      <c r="D67" s="126">
        <v>100</v>
      </c>
      <c r="E67" s="126">
        <v>50</v>
      </c>
      <c r="F67" s="126" t="s">
        <v>89</v>
      </c>
      <c r="G67" s="126">
        <v>1</v>
      </c>
      <c r="H67" s="126">
        <v>1</v>
      </c>
      <c r="I67" s="126" t="s">
        <v>89</v>
      </c>
      <c r="J67" s="48">
        <f t="shared" ref="J67" si="17">D67</f>
        <v>100</v>
      </c>
    </row>
    <row r="68" spans="1:10" ht="21" customHeight="1" x14ac:dyDescent="0.15">
      <c r="A68" s="123">
        <v>40036905</v>
      </c>
      <c r="B68" s="126">
        <v>0</v>
      </c>
      <c r="C68" s="126">
        <v>10</v>
      </c>
      <c r="D68" s="126">
        <v>100</v>
      </c>
      <c r="E68" s="126">
        <v>50</v>
      </c>
      <c r="F68" s="126" t="s">
        <v>89</v>
      </c>
      <c r="G68" s="126">
        <v>0</v>
      </c>
      <c r="H68" s="126" t="s">
        <v>290</v>
      </c>
      <c r="I68" s="126">
        <v>0</v>
      </c>
      <c r="J68" s="48">
        <f t="shared" ref="J68" si="18">D68</f>
        <v>100</v>
      </c>
    </row>
    <row r="69" spans="1:10" ht="21" customHeight="1" x14ac:dyDescent="0.15">
      <c r="A69" s="123">
        <v>40036906</v>
      </c>
      <c r="B69" s="126">
        <v>0</v>
      </c>
      <c r="C69" s="126">
        <v>30</v>
      </c>
      <c r="D69" s="126">
        <v>100</v>
      </c>
      <c r="E69" s="126">
        <v>50</v>
      </c>
      <c r="F69" s="126" t="s">
        <v>89</v>
      </c>
      <c r="G69" s="126">
        <v>0</v>
      </c>
      <c r="H69" s="126" t="s">
        <v>290</v>
      </c>
      <c r="I69" s="126">
        <v>1212</v>
      </c>
      <c r="J69" s="48">
        <f t="shared" ref="J69:J70" si="19">D69</f>
        <v>100</v>
      </c>
    </row>
    <row r="70" spans="1:10" ht="21" customHeight="1" x14ac:dyDescent="0.15">
      <c r="A70" s="123">
        <v>40036907</v>
      </c>
      <c r="B70" s="126">
        <v>0</v>
      </c>
      <c r="C70" s="126">
        <v>30</v>
      </c>
      <c r="D70" s="126">
        <v>100</v>
      </c>
      <c r="E70" s="126">
        <v>50</v>
      </c>
      <c r="F70" s="126" t="s">
        <v>89</v>
      </c>
      <c r="G70" s="126">
        <v>0</v>
      </c>
      <c r="H70" s="126" t="s">
        <v>290</v>
      </c>
      <c r="I70" s="126">
        <v>1213</v>
      </c>
      <c r="J70" s="48">
        <f t="shared" si="19"/>
        <v>100</v>
      </c>
    </row>
    <row r="71" spans="1:10" ht="21" customHeight="1" x14ac:dyDescent="0.15">
      <c r="A71" s="123">
        <v>40036908</v>
      </c>
      <c r="B71" s="126">
        <v>0</v>
      </c>
      <c r="C71" s="126">
        <v>20</v>
      </c>
      <c r="D71" s="126">
        <v>100</v>
      </c>
      <c r="E71" s="126">
        <v>50</v>
      </c>
      <c r="F71" s="126" t="s">
        <v>89</v>
      </c>
      <c r="G71" s="126">
        <v>0</v>
      </c>
      <c r="H71" s="126" t="s">
        <v>290</v>
      </c>
      <c r="I71" s="126">
        <v>929</v>
      </c>
      <c r="J71" s="48">
        <f t="shared" ref="J71:J72" si="20">D71</f>
        <v>100</v>
      </c>
    </row>
    <row r="72" spans="1:10" ht="21" customHeight="1" x14ac:dyDescent="0.15">
      <c r="A72" s="123">
        <v>40036909</v>
      </c>
      <c r="B72" s="126">
        <v>0</v>
      </c>
      <c r="C72" s="126">
        <v>20</v>
      </c>
      <c r="D72" s="126">
        <v>100</v>
      </c>
      <c r="E72" s="126">
        <v>50</v>
      </c>
      <c r="F72" s="126" t="s">
        <v>89</v>
      </c>
      <c r="G72" s="126">
        <v>0</v>
      </c>
      <c r="H72" s="126" t="s">
        <v>290</v>
      </c>
      <c r="I72" s="126">
        <v>930</v>
      </c>
      <c r="J72" s="48">
        <f t="shared" si="20"/>
        <v>100</v>
      </c>
    </row>
  </sheetData>
  <autoFilter ref="A1:G1"/>
  <phoneticPr fontId="5"/>
  <conditionalFormatting sqref="K57:K60 K43:K48 K1:K3 K8 K26 K30 K33:K37 K63:K66 K73:K1048576 K18:K23">
    <cfRule type="duplicateValues" dxfId="32" priority="35"/>
  </conditionalFormatting>
  <conditionalFormatting sqref="K38:K42">
    <cfRule type="duplicateValues" dxfId="31" priority="34"/>
  </conditionalFormatting>
  <conditionalFormatting sqref="K4">
    <cfRule type="duplicateValues" dxfId="30" priority="33"/>
  </conditionalFormatting>
  <conditionalFormatting sqref="K5">
    <cfRule type="duplicateValues" dxfId="29" priority="32"/>
  </conditionalFormatting>
  <conditionalFormatting sqref="K6">
    <cfRule type="duplicateValues" dxfId="28" priority="31"/>
  </conditionalFormatting>
  <conditionalFormatting sqref="K7">
    <cfRule type="duplicateValues" dxfId="27" priority="30"/>
  </conditionalFormatting>
  <conditionalFormatting sqref="K24:K25">
    <cfRule type="duplicateValues" dxfId="26" priority="28"/>
  </conditionalFormatting>
  <conditionalFormatting sqref="K28">
    <cfRule type="duplicateValues" dxfId="25" priority="27"/>
  </conditionalFormatting>
  <conditionalFormatting sqref="K27">
    <cfRule type="duplicateValues" dxfId="24" priority="26"/>
  </conditionalFormatting>
  <conditionalFormatting sqref="K29">
    <cfRule type="duplicateValues" dxfId="23" priority="25"/>
  </conditionalFormatting>
  <conditionalFormatting sqref="K32">
    <cfRule type="duplicateValues" dxfId="22" priority="24"/>
  </conditionalFormatting>
  <conditionalFormatting sqref="K49:K50">
    <cfRule type="duplicateValues" dxfId="21" priority="23"/>
  </conditionalFormatting>
  <conditionalFormatting sqref="K61:K62">
    <cfRule type="duplicateValues" dxfId="20" priority="22"/>
  </conditionalFormatting>
  <conditionalFormatting sqref="K67">
    <cfRule type="duplicateValues" dxfId="19" priority="21"/>
  </conditionalFormatting>
  <conditionalFormatting sqref="K31">
    <cfRule type="duplicateValues" dxfId="18" priority="20"/>
  </conditionalFormatting>
  <conditionalFormatting sqref="K51">
    <cfRule type="duplicateValues" dxfId="17" priority="19"/>
  </conditionalFormatting>
  <conditionalFormatting sqref="K68">
    <cfRule type="duplicateValues" dxfId="16" priority="18"/>
  </conditionalFormatting>
  <conditionalFormatting sqref="K69">
    <cfRule type="duplicateValues" dxfId="15" priority="17"/>
  </conditionalFormatting>
  <conditionalFormatting sqref="K70">
    <cfRule type="duplicateValues" dxfId="14" priority="16"/>
  </conditionalFormatting>
  <conditionalFormatting sqref="K53">
    <cfRule type="duplicateValues" dxfId="13" priority="15"/>
  </conditionalFormatting>
  <conditionalFormatting sqref="K52">
    <cfRule type="duplicateValues" dxfId="12" priority="14"/>
  </conditionalFormatting>
  <conditionalFormatting sqref="K54">
    <cfRule type="duplicateValues" dxfId="11" priority="13"/>
  </conditionalFormatting>
  <conditionalFormatting sqref="K56">
    <cfRule type="duplicateValues" dxfId="10" priority="12"/>
  </conditionalFormatting>
  <conditionalFormatting sqref="K55">
    <cfRule type="duplicateValues" dxfId="9" priority="11"/>
  </conditionalFormatting>
  <conditionalFormatting sqref="K71">
    <cfRule type="duplicateValues" dxfId="8" priority="10"/>
  </conditionalFormatting>
  <conditionalFormatting sqref="K72">
    <cfRule type="duplicateValues" dxfId="7" priority="9"/>
  </conditionalFormatting>
  <conditionalFormatting sqref="K17 K9:K10">
    <cfRule type="duplicateValues" dxfId="6" priority="8"/>
  </conditionalFormatting>
  <conditionalFormatting sqref="K11">
    <cfRule type="duplicateValues" dxfId="5" priority="7"/>
  </conditionalFormatting>
  <conditionalFormatting sqref="K12">
    <cfRule type="duplicateValues" dxfId="4" priority="6"/>
  </conditionalFormatting>
  <conditionalFormatting sqref="K13">
    <cfRule type="duplicateValues" dxfId="3" priority="5"/>
  </conditionalFormatting>
  <conditionalFormatting sqref="K14">
    <cfRule type="duplicateValues" dxfId="2" priority="4"/>
  </conditionalFormatting>
  <conditionalFormatting sqref="K15">
    <cfRule type="duplicateValues" dxfId="1" priority="3"/>
  </conditionalFormatting>
  <conditionalFormatting sqref="K16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E19" sqref="E19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ht="16" thickBot="1" x14ac:dyDescent="0.2">
      <c r="A2" s="128">
        <v>40036</v>
      </c>
      <c r="B2" s="129">
        <v>1</v>
      </c>
      <c r="C2" s="130" t="str">
        <f>A2&amp; "_"&amp;B2</f>
        <v>40036_1</v>
      </c>
      <c r="D2" s="13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32">
        <v>1</v>
      </c>
      <c r="F2" s="132" t="s">
        <v>169</v>
      </c>
      <c r="G2" s="132">
        <v>40000</v>
      </c>
      <c r="H2" s="132" t="s">
        <v>53</v>
      </c>
      <c r="I2" s="132">
        <v>1</v>
      </c>
      <c r="J2" s="132">
        <v>1</v>
      </c>
      <c r="K2" s="132">
        <v>0</v>
      </c>
      <c r="L2" s="132">
        <v>0</v>
      </c>
      <c r="M2" s="132">
        <v>0</v>
      </c>
      <c r="N2" s="132">
        <v>0</v>
      </c>
      <c r="O2" s="132">
        <v>1</v>
      </c>
      <c r="P2" s="132">
        <v>150</v>
      </c>
      <c r="Q2" s="132" t="s">
        <v>170</v>
      </c>
      <c r="R2" s="133" t="s">
        <v>171</v>
      </c>
    </row>
    <row r="3" spans="1:18" ht="16" thickBot="1" x14ac:dyDescent="0.2">
      <c r="A3" s="128">
        <v>40036</v>
      </c>
      <c r="B3" s="134">
        <v>1</v>
      </c>
      <c r="C3" s="71" t="str">
        <f t="shared" ref="C3:C18" si="0">A3&amp; "_"&amp;B3</f>
        <v>40036_1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404</v>
      </c>
      <c r="G3" s="56">
        <v>30</v>
      </c>
      <c r="H3" s="56" t="s">
        <v>405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150</v>
      </c>
      <c r="Q3" s="56" t="s">
        <v>170</v>
      </c>
      <c r="R3" s="135" t="s">
        <v>171</v>
      </c>
    </row>
    <row r="4" spans="1:18" ht="16" thickBot="1" x14ac:dyDescent="0.2">
      <c r="A4" s="128">
        <v>40036</v>
      </c>
      <c r="B4" s="134">
        <v>1</v>
      </c>
      <c r="C4" s="71" t="str">
        <f t="shared" si="0"/>
        <v>40036_1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406</v>
      </c>
      <c r="G4" s="56">
        <v>333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28</v>
      </c>
      <c r="Q4" s="56" t="s">
        <v>170</v>
      </c>
      <c r="R4" s="135" t="s">
        <v>171</v>
      </c>
    </row>
    <row r="5" spans="1:18" ht="16" thickBot="1" x14ac:dyDescent="0.2">
      <c r="A5" s="128">
        <v>40036</v>
      </c>
      <c r="B5" s="134">
        <v>1</v>
      </c>
      <c r="C5" s="71" t="str">
        <f t="shared" si="0"/>
        <v>40036_1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406</v>
      </c>
      <c r="G5" s="56">
        <v>334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112</v>
      </c>
      <c r="Q5" s="56" t="s">
        <v>170</v>
      </c>
      <c r="R5" s="135" t="s">
        <v>171</v>
      </c>
    </row>
    <row r="6" spans="1:18" ht="16" thickBot="1" x14ac:dyDescent="0.2">
      <c r="A6" s="128">
        <v>40036</v>
      </c>
      <c r="B6" s="134">
        <v>1</v>
      </c>
      <c r="C6" s="71" t="str">
        <f t="shared" si="0"/>
        <v>40036_1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406</v>
      </c>
      <c r="G6" s="56">
        <v>121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100</v>
      </c>
      <c r="Q6" s="56" t="s">
        <v>170</v>
      </c>
      <c r="R6" s="135" t="s">
        <v>171</v>
      </c>
    </row>
    <row r="7" spans="1:18" ht="16" thickBot="1" x14ac:dyDescent="0.2">
      <c r="A7" s="128">
        <v>40036</v>
      </c>
      <c r="B7" s="134">
        <v>1</v>
      </c>
      <c r="C7" s="71" t="str">
        <f t="shared" si="0"/>
        <v>40036_1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406</v>
      </c>
      <c r="G7" s="56">
        <v>122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100</v>
      </c>
      <c r="Q7" s="56" t="s">
        <v>170</v>
      </c>
      <c r="R7" s="135" t="s">
        <v>171</v>
      </c>
    </row>
    <row r="8" spans="1:18" ht="16" thickBot="1" x14ac:dyDescent="0.2">
      <c r="A8" s="128">
        <v>40036</v>
      </c>
      <c r="B8" s="134">
        <v>1</v>
      </c>
      <c r="C8" s="71" t="str">
        <f t="shared" si="0"/>
        <v>40036_1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406</v>
      </c>
      <c r="G8" s="56">
        <v>123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100</v>
      </c>
      <c r="Q8" s="56" t="s">
        <v>170</v>
      </c>
      <c r="R8" s="135" t="s">
        <v>171</v>
      </c>
    </row>
    <row r="9" spans="1:18" ht="16" thickBot="1" x14ac:dyDescent="0.2">
      <c r="A9" s="128">
        <v>40036</v>
      </c>
      <c r="B9" s="134">
        <v>1</v>
      </c>
      <c r="C9" s="71" t="str">
        <f t="shared" si="0"/>
        <v>40036_1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406</v>
      </c>
      <c r="G9" s="56">
        <v>125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10</v>
      </c>
      <c r="Q9" s="56" t="s">
        <v>170</v>
      </c>
      <c r="R9" s="135" t="s">
        <v>171</v>
      </c>
    </row>
    <row r="10" spans="1:18" ht="16" thickBot="1" x14ac:dyDescent="0.2">
      <c r="A10" s="128">
        <v>40036</v>
      </c>
      <c r="B10" s="134">
        <v>1</v>
      </c>
      <c r="C10" s="71" t="str">
        <f t="shared" si="0"/>
        <v>40036_1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406</v>
      </c>
      <c r="G10" s="56">
        <v>348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150</v>
      </c>
      <c r="Q10" s="56" t="s">
        <v>170</v>
      </c>
      <c r="R10" s="135" t="s">
        <v>171</v>
      </c>
    </row>
    <row r="11" spans="1:18" ht="16" thickBot="1" x14ac:dyDescent="0.2">
      <c r="A11" s="128">
        <v>40036</v>
      </c>
      <c r="B11" s="136">
        <v>1</v>
      </c>
      <c r="C11" s="137" t="str">
        <f t="shared" si="0"/>
        <v>40036_1</v>
      </c>
      <c r="D11" s="13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39">
        <v>10</v>
      </c>
      <c r="F11" s="139" t="s">
        <v>406</v>
      </c>
      <c r="G11" s="139">
        <v>1202</v>
      </c>
      <c r="H11" s="139">
        <v>1</v>
      </c>
      <c r="I11" s="139">
        <v>1</v>
      </c>
      <c r="J11" s="139">
        <v>1</v>
      </c>
      <c r="K11" s="139">
        <v>0</v>
      </c>
      <c r="L11" s="139">
        <v>0</v>
      </c>
      <c r="M11" s="139">
        <v>0</v>
      </c>
      <c r="N11" s="139">
        <v>0</v>
      </c>
      <c r="O11" s="139">
        <v>1</v>
      </c>
      <c r="P11" s="139">
        <v>100</v>
      </c>
      <c r="Q11" s="139" t="s">
        <v>170</v>
      </c>
      <c r="R11" s="140" t="s">
        <v>171</v>
      </c>
    </row>
    <row r="12" spans="1:18" ht="16" thickBot="1" x14ac:dyDescent="0.2">
      <c r="A12" s="128">
        <v>40036</v>
      </c>
      <c r="B12" s="129">
        <v>2</v>
      </c>
      <c r="C12" s="130" t="str">
        <f t="shared" si="0"/>
        <v>40036_2</v>
      </c>
      <c r="D12" s="13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32">
        <v>1</v>
      </c>
      <c r="F12" s="132" t="s">
        <v>406</v>
      </c>
      <c r="G12" s="132">
        <v>334</v>
      </c>
      <c r="H12" s="132">
        <v>1</v>
      </c>
      <c r="I12" s="132">
        <v>1</v>
      </c>
      <c r="J12" s="132">
        <v>1</v>
      </c>
      <c r="K12" s="132">
        <v>0</v>
      </c>
      <c r="L12" s="132">
        <v>0</v>
      </c>
      <c r="M12" s="132">
        <v>0</v>
      </c>
      <c r="N12" s="132">
        <v>0</v>
      </c>
      <c r="O12" s="132">
        <v>1</v>
      </c>
      <c r="P12" s="132">
        <v>50</v>
      </c>
      <c r="Q12" s="132" t="s">
        <v>170</v>
      </c>
      <c r="R12" s="133" t="s">
        <v>171</v>
      </c>
    </row>
    <row r="13" spans="1:18" ht="16" thickBot="1" x14ac:dyDescent="0.2">
      <c r="A13" s="128">
        <v>40036</v>
      </c>
      <c r="B13" s="134">
        <v>2</v>
      </c>
      <c r="C13" s="71" t="str">
        <f t="shared" si="0"/>
        <v>40036_2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2</v>
      </c>
      <c r="F13" s="56" t="s">
        <v>406</v>
      </c>
      <c r="G13" s="56">
        <v>607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100</v>
      </c>
      <c r="Q13" s="56" t="s">
        <v>170</v>
      </c>
      <c r="R13" s="135" t="s">
        <v>171</v>
      </c>
    </row>
    <row r="14" spans="1:18" ht="16" thickBot="1" x14ac:dyDescent="0.2">
      <c r="A14" s="128">
        <v>40036</v>
      </c>
      <c r="B14" s="134">
        <v>2</v>
      </c>
      <c r="C14" s="71" t="str">
        <f t="shared" si="0"/>
        <v>40036_2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3</v>
      </c>
      <c r="F14" s="56" t="s">
        <v>406</v>
      </c>
      <c r="G14" s="56">
        <v>608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100</v>
      </c>
      <c r="Q14" s="56" t="s">
        <v>170</v>
      </c>
      <c r="R14" s="135" t="s">
        <v>171</v>
      </c>
    </row>
    <row r="15" spans="1:18" ht="16" thickBot="1" x14ac:dyDescent="0.2">
      <c r="A15" s="128">
        <v>40036</v>
      </c>
      <c r="B15" s="134">
        <v>2</v>
      </c>
      <c r="C15" s="71" t="str">
        <f t="shared" si="0"/>
        <v>40036_2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4</v>
      </c>
      <c r="F15" s="56" t="s">
        <v>406</v>
      </c>
      <c r="G15" s="56">
        <v>609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170</v>
      </c>
      <c r="R15" s="135" t="s">
        <v>171</v>
      </c>
    </row>
    <row r="16" spans="1:18" ht="16" thickBot="1" x14ac:dyDescent="0.2">
      <c r="A16" s="128">
        <v>40036</v>
      </c>
      <c r="B16" s="134">
        <v>2</v>
      </c>
      <c r="C16" s="71" t="str">
        <f t="shared" si="0"/>
        <v>40036_2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5</v>
      </c>
      <c r="F16" s="56" t="s">
        <v>406</v>
      </c>
      <c r="G16" s="56">
        <v>125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30</v>
      </c>
      <c r="Q16" s="56" t="s">
        <v>170</v>
      </c>
      <c r="R16" s="135" t="s">
        <v>171</v>
      </c>
    </row>
    <row r="17" spans="1:18" ht="16" thickBot="1" x14ac:dyDescent="0.2">
      <c r="A17" s="128">
        <v>40036</v>
      </c>
      <c r="B17" s="134">
        <v>2</v>
      </c>
      <c r="C17" s="71" t="str">
        <f t="shared" si="0"/>
        <v>40036_2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6</v>
      </c>
      <c r="F17" s="56" t="s">
        <v>406</v>
      </c>
      <c r="G17" s="56">
        <v>1202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500</v>
      </c>
      <c r="Q17" s="56" t="s">
        <v>170</v>
      </c>
      <c r="R17" s="135" t="s">
        <v>171</v>
      </c>
    </row>
    <row r="18" spans="1:18" ht="16" thickBot="1" x14ac:dyDescent="0.2">
      <c r="A18" s="128">
        <v>40036</v>
      </c>
      <c r="B18" s="136">
        <v>2</v>
      </c>
      <c r="C18" s="137" t="str">
        <f t="shared" si="0"/>
        <v>40036_2</v>
      </c>
      <c r="D18" s="13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39">
        <v>7</v>
      </c>
      <c r="F18" s="139" t="s">
        <v>406</v>
      </c>
      <c r="G18" s="139">
        <v>348</v>
      </c>
      <c r="H18" s="139">
        <v>1</v>
      </c>
      <c r="I18" s="139">
        <v>1</v>
      </c>
      <c r="J18" s="139">
        <v>1</v>
      </c>
      <c r="K18" s="139">
        <v>0</v>
      </c>
      <c r="L18" s="139">
        <v>0</v>
      </c>
      <c r="M18" s="139">
        <v>0</v>
      </c>
      <c r="N18" s="139">
        <v>0</v>
      </c>
      <c r="O18" s="139">
        <v>1</v>
      </c>
      <c r="P18" s="139">
        <v>120</v>
      </c>
      <c r="Q18" s="139" t="s">
        <v>170</v>
      </c>
      <c r="R18" s="140" t="s">
        <v>171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13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127</v>
      </c>
      <c r="K1" s="78" t="s">
        <v>187</v>
      </c>
      <c r="L1" s="92" t="s">
        <v>186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8"/>
  <sheetViews>
    <sheetView showGridLines="0" workbookViewId="0">
      <pane ySplit="1" topLeftCell="A10" activePane="bottomLeft" state="frozen"/>
      <selection pane="bottomLeft" activeCell="A18" sqref="A18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189</v>
      </c>
      <c r="B1" s="73" t="s">
        <v>151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127</v>
      </c>
      <c r="L1" s="78" t="s">
        <v>187</v>
      </c>
      <c r="M1" s="92" t="s">
        <v>186</v>
      </c>
      <c r="N1" s="80" t="s">
        <v>197</v>
      </c>
    </row>
    <row r="2" spans="1:15" ht="70" x14ac:dyDescent="0.15">
      <c r="A2" s="81" t="s">
        <v>198</v>
      </c>
      <c r="B2" s="82">
        <f>floors!$C$2</f>
        <v>40036</v>
      </c>
      <c r="C2" s="83" t="str">
        <f ca="1">VLOOKUP($B2,OFFSET([2]quests!$A$1,0,0,COUNTA([2]quests!$A:$A),MATCH(C$1,[2]quests!$1:$1,0)-MATCH($B$1,[2]quests!$1:$1,0)+1),MATCH(C$1,[2]quests!$1:$1,0)-MATCH($B$1,[2]quests!$1:$1,0)+1,FALSE)</f>
        <v>ウラヌス襲来！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降臨36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【超絶級】ウラヌス襲来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降臨36</v>
      </c>
      <c r="H2" s="85">
        <v>1</v>
      </c>
      <c r="I2" s="90">
        <f t="shared" ref="I2:I18" si="0">ROW()-1</f>
        <v>1</v>
      </c>
      <c r="J2" s="86" t="str">
        <f t="shared" ref="J2:J18" si="1">B2&amp;TEXT(I2,"00")</f>
        <v>4003601</v>
      </c>
      <c r="K2" s="84" t="s">
        <v>199</v>
      </c>
      <c r="L2" s="87" t="s">
        <v>200</v>
      </c>
      <c r="M2" s="127" t="s">
        <v>410</v>
      </c>
      <c r="N2" s="56" t="s">
        <v>201</v>
      </c>
      <c r="O2">
        <f t="shared" ref="O2:O18" si="2">LEN(M2)</f>
        <v>64</v>
      </c>
    </row>
    <row r="3" spans="1:15" ht="56" x14ac:dyDescent="0.15">
      <c r="A3" s="81" t="s">
        <v>198</v>
      </c>
      <c r="B3" s="82">
        <f>floors!$C$2</f>
        <v>40036</v>
      </c>
      <c r="C3" s="83" t="str">
        <f ca="1">VLOOKUP($B3,OFFSET([2]quests!$A$1,0,0,COUNTA([2]quests!$A:$A),MATCH(C$1,[2]quests!$1:$1,0)-MATCH($B$1,[2]quests!$1:$1,0)+1),MATCH(C$1,[2]quests!$1:$1,0)-MATCH($B$1,[2]quests!$1:$1,0)+1,FALSE)</f>
        <v>ウラヌス襲来！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降臨36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【超絶級】ウラヌス襲来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降臨36</v>
      </c>
      <c r="H3" s="85">
        <v>2</v>
      </c>
      <c r="I3" s="90">
        <f t="shared" si="0"/>
        <v>2</v>
      </c>
      <c r="J3" s="86" t="str">
        <f t="shared" si="1"/>
        <v>4003602</v>
      </c>
      <c r="K3" s="84" t="s">
        <v>128</v>
      </c>
      <c r="L3" s="87" t="s">
        <v>200</v>
      </c>
      <c r="M3" s="127" t="s">
        <v>411</v>
      </c>
      <c r="N3" s="56" t="s">
        <v>201</v>
      </c>
      <c r="O3">
        <f t="shared" si="2"/>
        <v>42</v>
      </c>
    </row>
    <row r="4" spans="1:15" ht="70" x14ac:dyDescent="0.15">
      <c r="A4" s="81" t="s">
        <v>198</v>
      </c>
      <c r="B4" s="82">
        <f>floors!$C$2</f>
        <v>40036</v>
      </c>
      <c r="C4" s="83" t="str">
        <f ca="1">VLOOKUP($B4,OFFSET([2]quests!$A$1,0,0,COUNTA([2]quests!$A:$A),MATCH(C$1,[2]quests!$1:$1,0)-MATCH($B$1,[2]quests!$1:$1,0)+1),MATCH(C$1,[2]quests!$1:$1,0)-MATCH($B$1,[2]quests!$1:$1,0)+1,FALSE)</f>
        <v>ウラヌス襲来！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降臨36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【超絶級】ウラヌス襲来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降臨36</v>
      </c>
      <c r="H4" s="85">
        <v>3</v>
      </c>
      <c r="I4" s="90">
        <f t="shared" si="0"/>
        <v>3</v>
      </c>
      <c r="J4" s="86" t="str">
        <f t="shared" si="1"/>
        <v>4003603</v>
      </c>
      <c r="K4" s="84" t="s">
        <v>128</v>
      </c>
      <c r="L4" s="87" t="s">
        <v>200</v>
      </c>
      <c r="M4" s="127" t="s">
        <v>412</v>
      </c>
      <c r="N4" s="56" t="s">
        <v>201</v>
      </c>
      <c r="O4">
        <f t="shared" si="2"/>
        <v>60</v>
      </c>
    </row>
    <row r="5" spans="1:15" ht="56" x14ac:dyDescent="0.15">
      <c r="A5" s="81" t="s">
        <v>198</v>
      </c>
      <c r="B5" s="82">
        <f>floors!$C$2</f>
        <v>40036</v>
      </c>
      <c r="C5" s="83" t="str">
        <f ca="1">VLOOKUP($B5,OFFSET([2]quests!$A$1,0,0,COUNTA([2]quests!$A:$A),MATCH(C$1,[2]quests!$1:$1,0)-MATCH($B$1,[2]quests!$1:$1,0)+1),MATCH(C$1,[2]quests!$1:$1,0)-MATCH($B$1,[2]quests!$1:$1,0)+1,FALSE)</f>
        <v>ウラヌス襲来！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降臨36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【超絶級】ウラヌス襲来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降臨36</v>
      </c>
      <c r="H5" s="85">
        <v>4</v>
      </c>
      <c r="I5" s="90">
        <f t="shared" si="0"/>
        <v>4</v>
      </c>
      <c r="J5" s="86" t="str">
        <f t="shared" si="1"/>
        <v>4003604</v>
      </c>
      <c r="K5" s="84" t="s">
        <v>128</v>
      </c>
      <c r="L5" s="87" t="s">
        <v>200</v>
      </c>
      <c r="M5" s="127" t="s">
        <v>414</v>
      </c>
      <c r="N5" s="56" t="s">
        <v>201</v>
      </c>
      <c r="O5">
        <f t="shared" si="2"/>
        <v>58</v>
      </c>
    </row>
    <row r="6" spans="1:15" ht="56" x14ac:dyDescent="0.15">
      <c r="A6" s="81" t="s">
        <v>198</v>
      </c>
      <c r="B6" s="82">
        <f>floors!$C$2</f>
        <v>40036</v>
      </c>
      <c r="C6" s="83" t="str">
        <f ca="1">VLOOKUP($B6,OFFSET([2]quests!$A$1,0,0,COUNTA([2]quests!$A:$A),MATCH(C$1,[2]quests!$1:$1,0)-MATCH($B$1,[2]quests!$1:$1,0)+1),MATCH(C$1,[2]quests!$1:$1,0)-MATCH($B$1,[2]quests!$1:$1,0)+1,FALSE)</f>
        <v>ウラヌス襲来！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降臨36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【超絶級】ウラヌス襲来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降臨36</v>
      </c>
      <c r="H6" s="85">
        <v>4</v>
      </c>
      <c r="I6" s="90">
        <f t="shared" si="0"/>
        <v>5</v>
      </c>
      <c r="J6" s="86" t="str">
        <f t="shared" si="1"/>
        <v>4003605</v>
      </c>
      <c r="K6" s="84" t="s">
        <v>128</v>
      </c>
      <c r="L6" s="87" t="s">
        <v>200</v>
      </c>
      <c r="M6" s="127" t="s">
        <v>413</v>
      </c>
      <c r="N6" s="56" t="s">
        <v>201</v>
      </c>
      <c r="O6">
        <f t="shared" si="2"/>
        <v>40</v>
      </c>
    </row>
    <row r="7" spans="1:15" ht="42" x14ac:dyDescent="0.15">
      <c r="A7" s="81" t="s">
        <v>425</v>
      </c>
      <c r="B7" s="82">
        <f>floors!$C$2</f>
        <v>40036</v>
      </c>
      <c r="C7" s="83" t="str">
        <f ca="1">VLOOKUP($B7,OFFSET([2]quests!$A$1,0,0,COUNTA([2]quests!$A:$A),MATCH(C$1,[2]quests!$1:$1,0)-MATCH($B$1,[2]quests!$1:$1,0)+1),MATCH(C$1,[2]quests!$1:$1,0)-MATCH($B$1,[2]quests!$1:$1,0)+1,FALSE)</f>
        <v>ウラヌス襲来！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降臨36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【超絶級】ウラヌス襲来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降臨36</v>
      </c>
      <c r="H7" s="85">
        <v>0</v>
      </c>
      <c r="I7" s="90">
        <f t="shared" si="0"/>
        <v>6</v>
      </c>
      <c r="J7" s="86" t="str">
        <f t="shared" si="1"/>
        <v>4003606</v>
      </c>
      <c r="K7" s="84" t="s">
        <v>128</v>
      </c>
      <c r="L7" s="87" t="s">
        <v>415</v>
      </c>
      <c r="M7" s="127" t="s">
        <v>416</v>
      </c>
      <c r="N7" s="56" t="s">
        <v>201</v>
      </c>
      <c r="O7">
        <f t="shared" si="2"/>
        <v>52</v>
      </c>
    </row>
    <row r="8" spans="1:15" ht="56" x14ac:dyDescent="0.15">
      <c r="A8" s="81" t="s">
        <v>425</v>
      </c>
      <c r="B8" s="82">
        <f>floors!$C$2</f>
        <v>40036</v>
      </c>
      <c r="C8" s="83" t="str">
        <f ca="1">VLOOKUP($B8,OFFSET([2]quests!$A$1,0,0,COUNTA([2]quests!$A:$A),MATCH(C$1,[2]quests!$1:$1,0)-MATCH($B$1,[2]quests!$1:$1,0)+1),MATCH(C$1,[2]quests!$1:$1,0)-MATCH($B$1,[2]quests!$1:$1,0)+1,FALSE)</f>
        <v>ウラヌス襲来！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降臨36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【超絶級】ウラヌス襲来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降臨36</v>
      </c>
      <c r="H8" s="85">
        <v>0</v>
      </c>
      <c r="I8" s="90">
        <f t="shared" si="0"/>
        <v>7</v>
      </c>
      <c r="J8" s="86" t="str">
        <f t="shared" si="1"/>
        <v>4003607</v>
      </c>
      <c r="K8" s="84" t="s">
        <v>128</v>
      </c>
      <c r="L8" s="87" t="s">
        <v>417</v>
      </c>
      <c r="M8" s="127" t="s">
        <v>418</v>
      </c>
      <c r="N8" s="56" t="s">
        <v>201</v>
      </c>
      <c r="O8">
        <f t="shared" si="2"/>
        <v>58</v>
      </c>
    </row>
    <row r="9" spans="1:15" ht="56" x14ac:dyDescent="0.15">
      <c r="A9" s="81" t="s">
        <v>425</v>
      </c>
      <c r="B9" s="82">
        <f>floors!$C$2</f>
        <v>40036</v>
      </c>
      <c r="C9" s="83" t="str">
        <f ca="1">VLOOKUP($B9,OFFSET([2]quests!$A$1,0,0,COUNTA([2]quests!$A:$A),MATCH(C$1,[2]quests!$1:$1,0)-MATCH($B$1,[2]quests!$1:$1,0)+1),MATCH(C$1,[2]quests!$1:$1,0)-MATCH($B$1,[2]quests!$1:$1,0)+1,FALSE)</f>
        <v>ウラヌス襲来！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降臨36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【超絶級】ウラヌス襲来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降臨36</v>
      </c>
      <c r="H9" s="85">
        <v>0</v>
      </c>
      <c r="I9" s="90">
        <f t="shared" si="0"/>
        <v>8</v>
      </c>
      <c r="J9" s="86" t="str">
        <f t="shared" si="1"/>
        <v>4003608</v>
      </c>
      <c r="K9" s="84" t="s">
        <v>128</v>
      </c>
      <c r="L9" s="87" t="s">
        <v>419</v>
      </c>
      <c r="M9" s="127" t="s">
        <v>420</v>
      </c>
      <c r="N9" s="56" t="s">
        <v>201</v>
      </c>
      <c r="O9">
        <f t="shared" si="2"/>
        <v>63</v>
      </c>
    </row>
    <row r="10" spans="1:15" ht="70" x14ac:dyDescent="0.15">
      <c r="A10" s="81" t="s">
        <v>198</v>
      </c>
      <c r="B10" s="82">
        <f>floors!$C$2</f>
        <v>40036</v>
      </c>
      <c r="C10" s="83" t="str">
        <f ca="1">VLOOKUP($B10,OFFSET([2]quests!$A$1,0,0,COUNTA([2]quests!$A:$A),MATCH(C$1,[2]quests!$1:$1,0)-MATCH($B$1,[2]quests!$1:$1,0)+1),MATCH(C$1,[2]quests!$1:$1,0)-MATCH($B$1,[2]quests!$1:$1,0)+1,FALSE)</f>
        <v>ウラヌス襲来！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降臨36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降臨36</v>
      </c>
      <c r="H10" s="85">
        <v>1</v>
      </c>
      <c r="I10" s="90">
        <f t="shared" si="0"/>
        <v>9</v>
      </c>
      <c r="J10" s="86" t="str">
        <f t="shared" si="1"/>
        <v>4003609</v>
      </c>
      <c r="K10" s="84" t="s">
        <v>128</v>
      </c>
      <c r="L10" s="87" t="s">
        <v>200</v>
      </c>
      <c r="M10" s="127" t="s">
        <v>410</v>
      </c>
      <c r="N10" s="56" t="s">
        <v>201</v>
      </c>
      <c r="O10">
        <f t="shared" si="2"/>
        <v>64</v>
      </c>
    </row>
    <row r="11" spans="1:15" ht="56" x14ac:dyDescent="0.15">
      <c r="A11" s="81" t="s">
        <v>198</v>
      </c>
      <c r="B11" s="82">
        <f>floors!$C$2</f>
        <v>40036</v>
      </c>
      <c r="C11" s="83" t="str">
        <f ca="1">VLOOKUP($B11,OFFSET([2]quests!$A$1,0,0,COUNTA([2]quests!$A:$A),MATCH(C$1,[2]quests!$1:$1,0)-MATCH($B$1,[2]quests!$1:$1,0)+1),MATCH(C$1,[2]quests!$1:$1,0)-MATCH($B$1,[2]quests!$1:$1,0)+1,FALSE)</f>
        <v>ウラヌス襲来！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降臨36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降臨36</v>
      </c>
      <c r="H11" s="85">
        <v>2</v>
      </c>
      <c r="I11" s="90">
        <f t="shared" si="0"/>
        <v>10</v>
      </c>
      <c r="J11" s="86" t="str">
        <f t="shared" si="1"/>
        <v>4003610</v>
      </c>
      <c r="K11" s="84" t="s">
        <v>128</v>
      </c>
      <c r="L11" s="87" t="s">
        <v>200</v>
      </c>
      <c r="M11" s="127" t="s">
        <v>411</v>
      </c>
      <c r="N11" s="56" t="s">
        <v>201</v>
      </c>
      <c r="O11">
        <f t="shared" si="2"/>
        <v>42</v>
      </c>
    </row>
    <row r="12" spans="1:15" ht="70" x14ac:dyDescent="0.15">
      <c r="A12" s="81" t="s">
        <v>198</v>
      </c>
      <c r="B12" s="82">
        <f>floors!$C$2</f>
        <v>40036</v>
      </c>
      <c r="C12" s="83" t="str">
        <f ca="1">VLOOKUP($B12,OFFSET([2]quests!$A$1,0,0,COUNTA([2]quests!$A:$A),MATCH(C$1,[2]quests!$1:$1,0)-MATCH($B$1,[2]quests!$1:$1,0)+1),MATCH(C$1,[2]quests!$1:$1,0)-MATCH($B$1,[2]quests!$1:$1,0)+1,FALSE)</f>
        <v>ウラヌス襲来！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降臨36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降臨36</v>
      </c>
      <c r="H12" s="85">
        <v>3</v>
      </c>
      <c r="I12" s="90">
        <f t="shared" si="0"/>
        <v>11</v>
      </c>
      <c r="J12" s="86" t="str">
        <f t="shared" si="1"/>
        <v>4003611</v>
      </c>
      <c r="K12" s="84" t="s">
        <v>128</v>
      </c>
      <c r="L12" s="87" t="s">
        <v>200</v>
      </c>
      <c r="M12" s="127" t="s">
        <v>412</v>
      </c>
      <c r="N12" s="56" t="s">
        <v>201</v>
      </c>
      <c r="O12">
        <f t="shared" si="2"/>
        <v>60</v>
      </c>
    </row>
    <row r="13" spans="1:15" ht="56" x14ac:dyDescent="0.15">
      <c r="A13" s="81" t="s">
        <v>198</v>
      </c>
      <c r="B13" s="82">
        <f>floors!$C$2</f>
        <v>40036</v>
      </c>
      <c r="C13" s="83" t="str">
        <f ca="1">VLOOKUP($B13,OFFSET([2]quests!$A$1,0,0,COUNTA([2]quests!$A:$A),MATCH(C$1,[2]quests!$1:$1,0)-MATCH($B$1,[2]quests!$1:$1,0)+1),MATCH(C$1,[2]quests!$1:$1,0)-MATCH($B$1,[2]quests!$1:$1,0)+1,FALSE)</f>
        <v>ウラヌス襲来！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降臨36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降臨36</v>
      </c>
      <c r="H13" s="85">
        <v>4</v>
      </c>
      <c r="I13" s="90">
        <f t="shared" si="0"/>
        <v>12</v>
      </c>
      <c r="J13" s="86" t="str">
        <f t="shared" si="1"/>
        <v>4003612</v>
      </c>
      <c r="K13" s="84" t="s">
        <v>128</v>
      </c>
      <c r="L13" s="87" t="s">
        <v>200</v>
      </c>
      <c r="M13" s="127" t="s">
        <v>414</v>
      </c>
      <c r="N13" s="56" t="s">
        <v>201</v>
      </c>
      <c r="O13">
        <f t="shared" si="2"/>
        <v>58</v>
      </c>
    </row>
    <row r="14" spans="1:15" ht="56" x14ac:dyDescent="0.15">
      <c r="A14" s="81" t="s">
        <v>198</v>
      </c>
      <c r="B14" s="82">
        <f>floors!$C$2</f>
        <v>40036</v>
      </c>
      <c r="C14" s="83" t="str">
        <f ca="1">VLOOKUP($B14,OFFSET([2]quests!$A$1,0,0,COUNTA([2]quests!$A:$A),MATCH(C$1,[2]quests!$1:$1,0)-MATCH($B$1,[2]quests!$1:$1,0)+1),MATCH(C$1,[2]quests!$1:$1,0)-MATCH($B$1,[2]quests!$1:$1,0)+1,FALSE)</f>
        <v>ウラヌス襲来！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降臨36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降臨36</v>
      </c>
      <c r="H14" s="85">
        <v>4</v>
      </c>
      <c r="I14" s="90">
        <f t="shared" si="0"/>
        <v>13</v>
      </c>
      <c r="J14" s="86" t="str">
        <f t="shared" si="1"/>
        <v>4003613</v>
      </c>
      <c r="K14" s="84" t="s">
        <v>128</v>
      </c>
      <c r="L14" s="87" t="s">
        <v>200</v>
      </c>
      <c r="M14" s="127" t="s">
        <v>413</v>
      </c>
      <c r="N14" s="56" t="s">
        <v>201</v>
      </c>
      <c r="O14">
        <f t="shared" si="2"/>
        <v>40</v>
      </c>
    </row>
    <row r="15" spans="1:15" ht="56" x14ac:dyDescent="0.15">
      <c r="A15" s="81" t="s">
        <v>198</v>
      </c>
      <c r="B15" s="82">
        <f>floors!$C$2</f>
        <v>40036</v>
      </c>
      <c r="C15" s="83" t="str">
        <f ca="1">VLOOKUP($B15,OFFSET([2]quests!$A$1,0,0,COUNTA([2]quests!$A:$A),MATCH(C$1,[2]quests!$1:$1,0)-MATCH($B$1,[2]quests!$1:$1,0)+1),MATCH(C$1,[2]quests!$1:$1,0)-MATCH($B$1,[2]quests!$1:$1,0)+1,FALSE)</f>
        <v>ウラヌス襲来！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降臨36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降臨36</v>
      </c>
      <c r="H15" s="85">
        <v>4</v>
      </c>
      <c r="I15" s="90">
        <f t="shared" si="0"/>
        <v>14</v>
      </c>
      <c r="J15" s="86" t="str">
        <f t="shared" si="1"/>
        <v>4003614</v>
      </c>
      <c r="K15" s="84" t="s">
        <v>128</v>
      </c>
      <c r="L15" s="87" t="s">
        <v>200</v>
      </c>
      <c r="M15" s="127" t="s">
        <v>421</v>
      </c>
      <c r="N15" s="56" t="s">
        <v>201</v>
      </c>
      <c r="O15">
        <f t="shared" si="2"/>
        <v>49</v>
      </c>
    </row>
    <row r="16" spans="1:15" ht="42" x14ac:dyDescent="0.15">
      <c r="A16" s="81" t="s">
        <v>425</v>
      </c>
      <c r="B16" s="82">
        <f>floors!$C$2</f>
        <v>40036</v>
      </c>
      <c r="C16" s="83" t="str">
        <f ca="1">VLOOKUP($B16,OFFSET([2]quests!$A$1,0,0,COUNTA([2]quests!$A:$A),MATCH(C$1,[2]quests!$1:$1,0)-MATCH($B$1,[2]quests!$1:$1,0)+1),MATCH(C$1,[2]quests!$1:$1,0)-MATCH($B$1,[2]quests!$1:$1,0)+1,FALSE)</f>
        <v>ウラヌス襲来！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降臨36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降臨36</v>
      </c>
      <c r="H16" s="85">
        <v>0</v>
      </c>
      <c r="I16" s="90">
        <f t="shared" si="0"/>
        <v>15</v>
      </c>
      <c r="J16" s="86" t="str">
        <f t="shared" si="1"/>
        <v>4003615</v>
      </c>
      <c r="K16" s="84" t="s">
        <v>128</v>
      </c>
      <c r="L16" s="87" t="s">
        <v>415</v>
      </c>
      <c r="M16" s="127" t="s">
        <v>416</v>
      </c>
      <c r="N16" s="56" t="s">
        <v>201</v>
      </c>
      <c r="O16">
        <f t="shared" si="2"/>
        <v>52</v>
      </c>
    </row>
    <row r="17" spans="1:15" ht="56" x14ac:dyDescent="0.15">
      <c r="A17" s="81" t="s">
        <v>425</v>
      </c>
      <c r="B17" s="82">
        <f>floors!$C$2</f>
        <v>40036</v>
      </c>
      <c r="C17" s="83" t="str">
        <f ca="1">VLOOKUP($B17,OFFSET([2]quests!$A$1,0,0,COUNTA([2]quests!$A:$A),MATCH(C$1,[2]quests!$1:$1,0)-MATCH($B$1,[2]quests!$1:$1,0)+1),MATCH(C$1,[2]quests!$1:$1,0)-MATCH($B$1,[2]quests!$1:$1,0)+1,FALSE)</f>
        <v>ウラヌス襲来！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降臨36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降臨36</v>
      </c>
      <c r="H17" s="85">
        <v>0</v>
      </c>
      <c r="I17" s="90">
        <f t="shared" si="0"/>
        <v>16</v>
      </c>
      <c r="J17" s="86" t="str">
        <f t="shared" si="1"/>
        <v>4003616</v>
      </c>
      <c r="K17" s="84" t="s">
        <v>128</v>
      </c>
      <c r="L17" s="87" t="s">
        <v>417</v>
      </c>
      <c r="M17" s="127" t="s">
        <v>418</v>
      </c>
      <c r="N17" s="56" t="s">
        <v>201</v>
      </c>
      <c r="O17">
        <f t="shared" si="2"/>
        <v>58</v>
      </c>
    </row>
    <row r="18" spans="1:15" ht="56" x14ac:dyDescent="0.15">
      <c r="A18" s="81" t="s">
        <v>425</v>
      </c>
      <c r="B18" s="82">
        <f>floors!$C$2</f>
        <v>40036</v>
      </c>
      <c r="C18" s="83" t="str">
        <f ca="1">VLOOKUP($B18,OFFSET([2]quests!$A$1,0,0,COUNTA([2]quests!$A:$A),MATCH(C$1,[2]quests!$1:$1,0)-MATCH($B$1,[2]quests!$1:$1,0)+1),MATCH(C$1,[2]quests!$1:$1,0)-MATCH($B$1,[2]quests!$1:$1,0)+1,FALSE)</f>
        <v>ウラヌス襲来！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降臨36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降臨36</v>
      </c>
      <c r="H18" s="85">
        <v>0</v>
      </c>
      <c r="I18" s="90">
        <f t="shared" si="0"/>
        <v>17</v>
      </c>
      <c r="J18" s="86" t="str">
        <f t="shared" si="1"/>
        <v>4003617</v>
      </c>
      <c r="K18" s="84" t="s">
        <v>128</v>
      </c>
      <c r="L18" s="87" t="s">
        <v>419</v>
      </c>
      <c r="M18" s="127" t="s">
        <v>420</v>
      </c>
      <c r="N18" s="56" t="s">
        <v>201</v>
      </c>
      <c r="O18">
        <f t="shared" si="2"/>
        <v>63</v>
      </c>
    </row>
  </sheetData>
  <phoneticPr fontId="5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157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40036_2_everyone_full_member_1</v>
      </c>
      <c r="B2" s="82">
        <v>40036</v>
      </c>
      <c r="C2" s="83" t="str">
        <f ca="1">VLOOKUP($B2,OFFSET([2]quests!$A$1,0,0,COUNTA([2]quests!$A:$A),MATCH(C$1,[2]quests!$1:$1,0)-MATCH($B$1,[2]quests!$1:$1,0)+1),MATCH(C$1,[2]quests!$1:$1,0)-MATCH($B$1,[2]quests!$1:$1,0)+1,FALSE)</f>
        <v>ウラヌス襲来！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降臨36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降臨36</v>
      </c>
      <c r="H2" s="85" t="s">
        <v>227</v>
      </c>
      <c r="I2" s="84" t="s">
        <v>408</v>
      </c>
      <c r="J2" s="84">
        <v>1</v>
      </c>
      <c r="K2" s="84">
        <v>1000</v>
      </c>
      <c r="L2" s="84" t="s">
        <v>228</v>
      </c>
      <c r="M2" s="84">
        <v>1202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ウラヌス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229</v>
      </c>
      <c r="X2" s="99" t="s">
        <v>230</v>
      </c>
    </row>
    <row r="3" spans="1:24" x14ac:dyDescent="0.15">
      <c r="A3" s="96" t="str">
        <f>B3&amp;"_"&amp;E3&amp;"_"&amp;H3&amp;"_"&amp;I3&amp;"_"&amp;J3</f>
        <v>40036_2_everyone_no_continue_1</v>
      </c>
      <c r="B3" s="82">
        <v>40036</v>
      </c>
      <c r="C3" s="83" t="str">
        <f ca="1">VLOOKUP($B3,OFFSET([2]quests!$A$1,0,0,COUNTA([2]quests!$A:$A),MATCH(C$1,[2]quests!$1:$1,0)-MATCH($B$1,[2]quests!$1:$1,0)+1),MATCH(C$1,[2]quests!$1:$1,0)-MATCH($B$1,[2]quests!$1:$1,0)+1,FALSE)</f>
        <v>ウラヌス襲来！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降臨36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【ウィザード級】ウラヌス襲来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降臨36</v>
      </c>
      <c r="H3" s="85" t="s">
        <v>227</v>
      </c>
      <c r="I3" s="84" t="s">
        <v>231</v>
      </c>
      <c r="J3" s="84">
        <v>1</v>
      </c>
      <c r="K3" s="84">
        <v>1000</v>
      </c>
      <c r="L3" s="84" t="s">
        <v>228</v>
      </c>
      <c r="M3" s="84">
        <v>1202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ウラヌス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229</v>
      </c>
      <c r="X3" s="99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2016-11-02T12:06:03Z</dcterms:modified>
</cp:coreProperties>
</file>