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6320" yWindow="1460" windowWidth="22020" windowHeight="19640" tabRatio="740" firstSheet="2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8" i="21" l="1"/>
  <c r="O9" i="21"/>
  <c r="O10" i="21"/>
  <c r="O11" i="21"/>
  <c r="O12" i="21"/>
  <c r="O3" i="21"/>
  <c r="O4" i="21"/>
  <c r="O5" i="21"/>
  <c r="O6" i="21"/>
  <c r="O7" i="21"/>
  <c r="O2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G3" i="21"/>
  <c r="F3" i="21"/>
  <c r="G2" i="21"/>
  <c r="F2" i="21"/>
  <c r="I12" i="21"/>
  <c r="J12" i="21"/>
  <c r="D12" i="21"/>
  <c r="C12" i="21"/>
  <c r="I11" i="21"/>
  <c r="J11" i="21"/>
  <c r="D11" i="21"/>
  <c r="C11" i="21"/>
  <c r="I10" i="21"/>
  <c r="J10" i="21"/>
  <c r="D10" i="21"/>
  <c r="C10" i="21"/>
  <c r="I9" i="21"/>
  <c r="J9" i="21"/>
  <c r="D9" i="21"/>
  <c r="C9" i="21"/>
  <c r="I8" i="21"/>
  <c r="J8" i="21"/>
  <c r="D8" i="21"/>
  <c r="C8" i="21"/>
  <c r="I7" i="21"/>
  <c r="J7" i="21"/>
  <c r="D7" i="21"/>
  <c r="C7" i="21"/>
  <c r="I6" i="21"/>
  <c r="J6" i="21"/>
  <c r="D6" i="21"/>
  <c r="C6" i="21"/>
  <c r="I5" i="21"/>
  <c r="J5" i="21"/>
  <c r="D5" i="21"/>
  <c r="C5" i="21"/>
  <c r="I4" i="21"/>
  <c r="J4" i="21"/>
  <c r="D4" i="21"/>
  <c r="C4" i="21"/>
  <c r="I3" i="21"/>
  <c r="J3" i="21"/>
  <c r="D3" i="21"/>
  <c r="C3" i="21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G4" i="10"/>
  <c r="H4" i="10"/>
  <c r="I4" i="10"/>
  <c r="J4" i="10"/>
  <c r="K4" i="10"/>
  <c r="L4" i="10"/>
  <c r="M4" i="10"/>
  <c r="M14" i="10"/>
  <c r="M24" i="10"/>
  <c r="M34" i="10"/>
  <c r="M44" i="10"/>
  <c r="M54" i="10"/>
  <c r="M64" i="10"/>
  <c r="M74" i="10"/>
  <c r="M84" i="10"/>
  <c r="N84" i="10"/>
  <c r="Q84" i="10"/>
  <c r="P84" i="10"/>
  <c r="R84" i="10"/>
  <c r="O84" i="10"/>
  <c r="S84" i="10"/>
  <c r="N74" i="10"/>
  <c r="Q74" i="10"/>
  <c r="P74" i="10"/>
  <c r="R74" i="10"/>
  <c r="O74" i="10"/>
  <c r="S74" i="10"/>
  <c r="N64" i="10"/>
  <c r="Q64" i="10"/>
  <c r="P64" i="10"/>
  <c r="R64" i="10"/>
  <c r="O64" i="10"/>
  <c r="S64" i="10"/>
  <c r="N54" i="10"/>
  <c r="Q54" i="10"/>
  <c r="P54" i="10"/>
  <c r="R54" i="10"/>
  <c r="O54" i="10"/>
  <c r="S54" i="10"/>
  <c r="N44" i="10"/>
  <c r="Q44" i="10"/>
  <c r="P44" i="10"/>
  <c r="R44" i="10"/>
  <c r="O44" i="10"/>
  <c r="S44" i="10"/>
  <c r="N34" i="10"/>
  <c r="Q34" i="10"/>
  <c r="P34" i="10"/>
  <c r="R34" i="10"/>
  <c r="O34" i="10"/>
  <c r="S34" i="10"/>
  <c r="N24" i="10"/>
  <c r="Q24" i="10"/>
  <c r="P24" i="10"/>
  <c r="R24" i="10"/>
  <c r="O24" i="10"/>
  <c r="S24" i="10"/>
  <c r="N14" i="10"/>
  <c r="Q14" i="10"/>
  <c r="P14" i="10"/>
  <c r="R14" i="10"/>
  <c r="O14" i="10"/>
  <c r="S14" i="10"/>
  <c r="N4" i="10"/>
  <c r="O4" i="10"/>
  <c r="P4" i="10"/>
  <c r="Q4" i="10"/>
  <c r="R4" i="10"/>
  <c r="S4" i="10"/>
  <c r="T4" i="10"/>
  <c r="U4" i="10"/>
  <c r="V4" i="10"/>
  <c r="W4" i="10"/>
  <c r="X4" i="10"/>
  <c r="Y4" i="10"/>
  <c r="G5" i="10"/>
  <c r="H5" i="10"/>
  <c r="I5" i="10"/>
  <c r="J5" i="10"/>
  <c r="K5" i="10"/>
  <c r="L5" i="10"/>
  <c r="M5" i="10"/>
  <c r="M15" i="10"/>
  <c r="M25" i="10"/>
  <c r="M35" i="10"/>
  <c r="M45" i="10"/>
  <c r="M55" i="10"/>
  <c r="M65" i="10"/>
  <c r="M75" i="10"/>
  <c r="M85" i="10"/>
  <c r="N85" i="10"/>
  <c r="Q85" i="10"/>
  <c r="P85" i="10"/>
  <c r="R85" i="10"/>
  <c r="O85" i="10"/>
  <c r="S85" i="10"/>
  <c r="N75" i="10"/>
  <c r="Q75" i="10"/>
  <c r="P75" i="10"/>
  <c r="R75" i="10"/>
  <c r="O75" i="10"/>
  <c r="S75" i="10"/>
  <c r="N65" i="10"/>
  <c r="Q65" i="10"/>
  <c r="P65" i="10"/>
  <c r="R65" i="10"/>
  <c r="O65" i="10"/>
  <c r="S65" i="10"/>
  <c r="N55" i="10"/>
  <c r="Q55" i="10"/>
  <c r="P55" i="10"/>
  <c r="R55" i="10"/>
  <c r="O55" i="10"/>
  <c r="S55" i="10"/>
  <c r="N45" i="10"/>
  <c r="Q45" i="10"/>
  <c r="P45" i="10"/>
  <c r="R45" i="10"/>
  <c r="O45" i="10"/>
  <c r="S45" i="10"/>
  <c r="N35" i="10"/>
  <c r="Q35" i="10"/>
  <c r="P35" i="10"/>
  <c r="R35" i="10"/>
  <c r="O35" i="10"/>
  <c r="S35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M16" i="10"/>
  <c r="M26" i="10"/>
  <c r="M36" i="10"/>
  <c r="M46" i="10"/>
  <c r="M56" i="10"/>
  <c r="M66" i="10"/>
  <c r="M76" i="10"/>
  <c r="M86" i="10"/>
  <c r="N86" i="10"/>
  <c r="Q86" i="10"/>
  <c r="P86" i="10"/>
  <c r="R86" i="10"/>
  <c r="O86" i="10"/>
  <c r="S86" i="10"/>
  <c r="N76" i="10"/>
  <c r="Q76" i="10"/>
  <c r="P76" i="10"/>
  <c r="R76" i="10"/>
  <c r="O76" i="10"/>
  <c r="S76" i="10"/>
  <c r="N66" i="10"/>
  <c r="Q66" i="10"/>
  <c r="P66" i="10"/>
  <c r="R66" i="10"/>
  <c r="O66" i="10"/>
  <c r="S66" i="10"/>
  <c r="N56" i="10"/>
  <c r="Q56" i="10"/>
  <c r="P56" i="10"/>
  <c r="R56" i="10"/>
  <c r="O56" i="10"/>
  <c r="S56" i="10"/>
  <c r="N46" i="10"/>
  <c r="Q46" i="10"/>
  <c r="P46" i="10"/>
  <c r="R46" i="10"/>
  <c r="O46" i="10"/>
  <c r="S46" i="10"/>
  <c r="N36" i="10"/>
  <c r="Q36" i="10"/>
  <c r="P36" i="10"/>
  <c r="R36" i="10"/>
  <c r="O36" i="10"/>
  <c r="S36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M17" i="10"/>
  <c r="M27" i="10"/>
  <c r="M37" i="10"/>
  <c r="M47" i="10"/>
  <c r="M57" i="10"/>
  <c r="M67" i="10"/>
  <c r="M77" i="10"/>
  <c r="M87" i="10"/>
  <c r="N87" i="10"/>
  <c r="Q87" i="10"/>
  <c r="P87" i="10"/>
  <c r="R87" i="10"/>
  <c r="O87" i="10"/>
  <c r="S87" i="10"/>
  <c r="N77" i="10"/>
  <c r="Q77" i="10"/>
  <c r="P77" i="10"/>
  <c r="R77" i="10"/>
  <c r="O77" i="10"/>
  <c r="S77" i="10"/>
  <c r="N67" i="10"/>
  <c r="Q67" i="10"/>
  <c r="P67" i="10"/>
  <c r="R67" i="10"/>
  <c r="O67" i="10"/>
  <c r="S67" i="10"/>
  <c r="N57" i="10"/>
  <c r="Q57" i="10"/>
  <c r="P57" i="10"/>
  <c r="R57" i="10"/>
  <c r="O57" i="10"/>
  <c r="S57" i="10"/>
  <c r="N47" i="10"/>
  <c r="Q47" i="10"/>
  <c r="P47" i="10"/>
  <c r="R47" i="10"/>
  <c r="O47" i="10"/>
  <c r="S47" i="10"/>
  <c r="N37" i="10"/>
  <c r="Q37" i="10"/>
  <c r="P37" i="10"/>
  <c r="R37" i="10"/>
  <c r="O37" i="10"/>
  <c r="S37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M38" i="10"/>
  <c r="M48" i="10"/>
  <c r="M58" i="10"/>
  <c r="M68" i="10"/>
  <c r="M78" i="10"/>
  <c r="M88" i="10"/>
  <c r="N88" i="10"/>
  <c r="Q88" i="10"/>
  <c r="P88" i="10"/>
  <c r="R88" i="10"/>
  <c r="O88" i="10"/>
  <c r="S88" i="10"/>
  <c r="N78" i="10"/>
  <c r="Q78" i="10"/>
  <c r="P78" i="10"/>
  <c r="R78" i="10"/>
  <c r="O78" i="10"/>
  <c r="S78" i="10"/>
  <c r="N68" i="10"/>
  <c r="Q68" i="10"/>
  <c r="P68" i="10"/>
  <c r="R68" i="10"/>
  <c r="O68" i="10"/>
  <c r="S68" i="10"/>
  <c r="N58" i="10"/>
  <c r="Q58" i="10"/>
  <c r="P58" i="10"/>
  <c r="R58" i="10"/>
  <c r="O58" i="10"/>
  <c r="S58" i="10"/>
  <c r="N48" i="10"/>
  <c r="Q48" i="10"/>
  <c r="P48" i="10"/>
  <c r="R48" i="10"/>
  <c r="O48" i="10"/>
  <c r="S48" i="10"/>
  <c r="N38" i="10"/>
  <c r="Q38" i="10"/>
  <c r="P38" i="10"/>
  <c r="R38" i="10"/>
  <c r="O38" i="10"/>
  <c r="S38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M39" i="10"/>
  <c r="M49" i="10"/>
  <c r="M59" i="10"/>
  <c r="M69" i="10"/>
  <c r="M79" i="10"/>
  <c r="M89" i="10"/>
  <c r="N89" i="10"/>
  <c r="Q89" i="10"/>
  <c r="P89" i="10"/>
  <c r="R89" i="10"/>
  <c r="O89" i="10"/>
  <c r="S89" i="10"/>
  <c r="N79" i="10"/>
  <c r="Q79" i="10"/>
  <c r="P79" i="10"/>
  <c r="R79" i="10"/>
  <c r="O79" i="10"/>
  <c r="S79" i="10"/>
  <c r="N69" i="10"/>
  <c r="Q69" i="10"/>
  <c r="P69" i="10"/>
  <c r="R69" i="10"/>
  <c r="O69" i="10"/>
  <c r="S69" i="10"/>
  <c r="N59" i="10"/>
  <c r="Q59" i="10"/>
  <c r="P59" i="10"/>
  <c r="R59" i="10"/>
  <c r="O59" i="10"/>
  <c r="S59" i="10"/>
  <c r="N49" i="10"/>
  <c r="Q49" i="10"/>
  <c r="P49" i="10"/>
  <c r="R49" i="10"/>
  <c r="O49" i="10"/>
  <c r="S49" i="10"/>
  <c r="N39" i="10"/>
  <c r="Q39" i="10"/>
  <c r="P39" i="10"/>
  <c r="R39" i="10"/>
  <c r="O39" i="10"/>
  <c r="S39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M40" i="10"/>
  <c r="M50" i="10"/>
  <c r="M60" i="10"/>
  <c r="M70" i="10"/>
  <c r="M80" i="10"/>
  <c r="M90" i="10"/>
  <c r="N90" i="10"/>
  <c r="Q90" i="10"/>
  <c r="P90" i="10"/>
  <c r="R90" i="10"/>
  <c r="O90" i="10"/>
  <c r="S90" i="10"/>
  <c r="N80" i="10"/>
  <c r="Q80" i="10"/>
  <c r="P80" i="10"/>
  <c r="R80" i="10"/>
  <c r="O80" i="10"/>
  <c r="S80" i="10"/>
  <c r="N70" i="10"/>
  <c r="Q70" i="10"/>
  <c r="P70" i="10"/>
  <c r="R70" i="10"/>
  <c r="O70" i="10"/>
  <c r="S70" i="10"/>
  <c r="N60" i="10"/>
  <c r="Q60" i="10"/>
  <c r="P60" i="10"/>
  <c r="R60" i="10"/>
  <c r="O60" i="10"/>
  <c r="S60" i="10"/>
  <c r="N50" i="10"/>
  <c r="Q50" i="10"/>
  <c r="P50" i="10"/>
  <c r="R50" i="10"/>
  <c r="O50" i="10"/>
  <c r="S50" i="10"/>
  <c r="N40" i="10"/>
  <c r="Q40" i="10"/>
  <c r="P40" i="10"/>
  <c r="R40" i="10"/>
  <c r="O40" i="10"/>
  <c r="S40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1" i="10"/>
  <c r="M51" i="10"/>
  <c r="M61" i="10"/>
  <c r="M71" i="10"/>
  <c r="M81" i="10"/>
  <c r="M91" i="10"/>
  <c r="N91" i="10"/>
  <c r="Q91" i="10"/>
  <c r="P91" i="10"/>
  <c r="R91" i="10"/>
  <c r="O91" i="10"/>
  <c r="S91" i="10"/>
  <c r="N81" i="10"/>
  <c r="Q81" i="10"/>
  <c r="P81" i="10"/>
  <c r="R81" i="10"/>
  <c r="O81" i="10"/>
  <c r="S81" i="10"/>
  <c r="N71" i="10"/>
  <c r="Q71" i="10"/>
  <c r="P71" i="10"/>
  <c r="R71" i="10"/>
  <c r="O71" i="10"/>
  <c r="S71" i="10"/>
  <c r="N61" i="10"/>
  <c r="Q61" i="10"/>
  <c r="P61" i="10"/>
  <c r="R61" i="10"/>
  <c r="O61" i="10"/>
  <c r="S61" i="10"/>
  <c r="N51" i="10"/>
  <c r="Q51" i="10"/>
  <c r="P51" i="10"/>
  <c r="R51" i="10"/>
  <c r="O51" i="10"/>
  <c r="S51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M42" i="10"/>
  <c r="M52" i="10"/>
  <c r="M62" i="10"/>
  <c r="M72" i="10"/>
  <c r="M82" i="10"/>
  <c r="M92" i="10"/>
  <c r="N92" i="10"/>
  <c r="Q92" i="10"/>
  <c r="P92" i="10"/>
  <c r="R92" i="10"/>
  <c r="O92" i="10"/>
  <c r="S92" i="10"/>
  <c r="N82" i="10"/>
  <c r="Q82" i="10"/>
  <c r="P82" i="10"/>
  <c r="R82" i="10"/>
  <c r="O82" i="10"/>
  <c r="S82" i="10"/>
  <c r="N72" i="10"/>
  <c r="Q72" i="10"/>
  <c r="P72" i="10"/>
  <c r="R72" i="10"/>
  <c r="O72" i="10"/>
  <c r="S72" i="10"/>
  <c r="N62" i="10"/>
  <c r="Q62" i="10"/>
  <c r="P62" i="10"/>
  <c r="R62" i="10"/>
  <c r="O62" i="10"/>
  <c r="S62" i="10"/>
  <c r="N52" i="10"/>
  <c r="Q52" i="10"/>
  <c r="P52" i="10"/>
  <c r="R52" i="10"/>
  <c r="O52" i="10"/>
  <c r="S52" i="10"/>
  <c r="N42" i="10"/>
  <c r="Q42" i="10"/>
  <c r="P42" i="10"/>
  <c r="R42" i="10"/>
  <c r="O42" i="10"/>
  <c r="S4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3" i="10"/>
  <c r="M33" i="10"/>
  <c r="M43" i="10"/>
  <c r="M53" i="10"/>
  <c r="M63" i="10"/>
  <c r="M73" i="10"/>
  <c r="M83" i="10"/>
  <c r="M93" i="10"/>
  <c r="N93" i="10"/>
  <c r="Q93" i="10"/>
  <c r="P93" i="10"/>
  <c r="R93" i="10"/>
  <c r="O93" i="10"/>
  <c r="S93" i="10"/>
  <c r="N83" i="10"/>
  <c r="Q83" i="10"/>
  <c r="P83" i="10"/>
  <c r="R83" i="10"/>
  <c r="O83" i="10"/>
  <c r="S83" i="10"/>
  <c r="N73" i="10"/>
  <c r="Q73" i="10"/>
  <c r="P73" i="10"/>
  <c r="R73" i="10"/>
  <c r="O73" i="10"/>
  <c r="S73" i="10"/>
  <c r="N63" i="10"/>
  <c r="Q63" i="10"/>
  <c r="P63" i="10"/>
  <c r="R63" i="10"/>
  <c r="O63" i="10"/>
  <c r="S63" i="10"/>
  <c r="N53" i="10"/>
  <c r="Q53" i="10"/>
  <c r="P53" i="10"/>
  <c r="R53" i="10"/>
  <c r="O53" i="10"/>
  <c r="S53" i="10"/>
  <c r="N43" i="10"/>
  <c r="Q43" i="10"/>
  <c r="P43" i="10"/>
  <c r="R43" i="10"/>
  <c r="O43" i="10"/>
  <c r="S43" i="10"/>
  <c r="N33" i="10"/>
  <c r="Q33" i="10"/>
  <c r="P33" i="10"/>
  <c r="R33" i="10"/>
  <c r="O33" i="10"/>
  <c r="S33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3" i="10"/>
  <c r="H33" i="10"/>
  <c r="I33" i="10"/>
  <c r="J33" i="10"/>
  <c r="K33" i="10"/>
  <c r="L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0" i="10"/>
  <c r="H50" i="10"/>
  <c r="I50" i="10"/>
  <c r="J50" i="10"/>
  <c r="K50" i="10"/>
  <c r="L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G59" i="10"/>
  <c r="H59" i="10"/>
  <c r="I59" i="10"/>
  <c r="J59" i="10"/>
  <c r="K59" i="10"/>
  <c r="L59" i="10"/>
  <c r="T59" i="10"/>
  <c r="U59" i="10"/>
  <c r="V59" i="10"/>
  <c r="W59" i="10"/>
  <c r="X59" i="10"/>
  <c r="Y59" i="10"/>
  <c r="G60" i="10"/>
  <c r="H60" i="10"/>
  <c r="I60" i="10"/>
  <c r="J60" i="10"/>
  <c r="K60" i="10"/>
  <c r="L60" i="10"/>
  <c r="T60" i="10"/>
  <c r="U60" i="10"/>
  <c r="V60" i="10"/>
  <c r="W60" i="10"/>
  <c r="X60" i="10"/>
  <c r="Y60" i="10"/>
  <c r="G61" i="10"/>
  <c r="H61" i="10"/>
  <c r="I61" i="10"/>
  <c r="J61" i="10"/>
  <c r="K61" i="10"/>
  <c r="L61" i="10"/>
  <c r="T61" i="10"/>
  <c r="U61" i="10"/>
  <c r="V61" i="10"/>
  <c r="W61" i="10"/>
  <c r="X61" i="10"/>
  <c r="Y61" i="10"/>
  <c r="G62" i="10"/>
  <c r="H62" i="10"/>
  <c r="I62" i="10"/>
  <c r="J62" i="10"/>
  <c r="K62" i="10"/>
  <c r="L62" i="10"/>
  <c r="T62" i="10"/>
  <c r="U62" i="10"/>
  <c r="V62" i="10"/>
  <c r="W62" i="10"/>
  <c r="X62" i="10"/>
  <c r="Y62" i="10"/>
  <c r="G63" i="10"/>
  <c r="H63" i="10"/>
  <c r="I63" i="10"/>
  <c r="J63" i="10"/>
  <c r="K63" i="10"/>
  <c r="L63" i="10"/>
  <c r="T63" i="10"/>
  <c r="U63" i="10"/>
  <c r="V63" i="10"/>
  <c r="W63" i="10"/>
  <c r="X63" i="10"/>
  <c r="Y63" i="10"/>
  <c r="G64" i="10"/>
  <c r="H64" i="10"/>
  <c r="I64" i="10"/>
  <c r="J64" i="10"/>
  <c r="K64" i="10"/>
  <c r="L64" i="10"/>
  <c r="T64" i="10"/>
  <c r="U64" i="10"/>
  <c r="V64" i="10"/>
  <c r="W64" i="10"/>
  <c r="X64" i="10"/>
  <c r="Y64" i="10"/>
  <c r="G65" i="10"/>
  <c r="H65" i="10"/>
  <c r="I65" i="10"/>
  <c r="J65" i="10"/>
  <c r="K65" i="10"/>
  <c r="L65" i="10"/>
  <c r="T65" i="10"/>
  <c r="U65" i="10"/>
  <c r="V65" i="10"/>
  <c r="W65" i="10"/>
  <c r="X65" i="10"/>
  <c r="Y65" i="10"/>
  <c r="G66" i="10"/>
  <c r="H66" i="10"/>
  <c r="I66" i="10"/>
  <c r="J66" i="10"/>
  <c r="K66" i="10"/>
  <c r="L66" i="10"/>
  <c r="T66" i="10"/>
  <c r="U66" i="10"/>
  <c r="V66" i="10"/>
  <c r="W66" i="10"/>
  <c r="X66" i="10"/>
  <c r="Y66" i="10"/>
  <c r="G67" i="10"/>
  <c r="H67" i="10"/>
  <c r="I67" i="10"/>
  <c r="J67" i="10"/>
  <c r="K67" i="10"/>
  <c r="L67" i="10"/>
  <c r="T67" i="10"/>
  <c r="U67" i="10"/>
  <c r="V67" i="10"/>
  <c r="W67" i="10"/>
  <c r="X67" i="10"/>
  <c r="Y67" i="10"/>
  <c r="G68" i="10"/>
  <c r="H68" i="10"/>
  <c r="I68" i="10"/>
  <c r="J68" i="10"/>
  <c r="K68" i="10"/>
  <c r="L68" i="10"/>
  <c r="T68" i="10"/>
  <c r="U68" i="10"/>
  <c r="V68" i="10"/>
  <c r="W68" i="10"/>
  <c r="X68" i="10"/>
  <c r="Y68" i="10"/>
  <c r="G69" i="10"/>
  <c r="H69" i="10"/>
  <c r="I69" i="10"/>
  <c r="J69" i="10"/>
  <c r="K69" i="10"/>
  <c r="L69" i="10"/>
  <c r="T69" i="10"/>
  <c r="U69" i="10"/>
  <c r="V69" i="10"/>
  <c r="W69" i="10"/>
  <c r="X69" i="10"/>
  <c r="Y69" i="10"/>
  <c r="G70" i="10"/>
  <c r="H70" i="10"/>
  <c r="I70" i="10"/>
  <c r="J70" i="10"/>
  <c r="K70" i="10"/>
  <c r="L70" i="10"/>
  <c r="T70" i="10"/>
  <c r="U70" i="10"/>
  <c r="V70" i="10"/>
  <c r="W70" i="10"/>
  <c r="X70" i="10"/>
  <c r="Y70" i="10"/>
  <c r="G71" i="10"/>
  <c r="H71" i="10"/>
  <c r="I71" i="10"/>
  <c r="J71" i="10"/>
  <c r="K71" i="10"/>
  <c r="L71" i="10"/>
  <c r="T71" i="10"/>
  <c r="U71" i="10"/>
  <c r="V71" i="10"/>
  <c r="W71" i="10"/>
  <c r="X71" i="10"/>
  <c r="Y71" i="10"/>
  <c r="G72" i="10"/>
  <c r="H72" i="10"/>
  <c r="I72" i="10"/>
  <c r="J72" i="10"/>
  <c r="K72" i="10"/>
  <c r="L72" i="10"/>
  <c r="T72" i="10"/>
  <c r="U72" i="10"/>
  <c r="V72" i="10"/>
  <c r="W72" i="10"/>
  <c r="X72" i="10"/>
  <c r="Y72" i="10"/>
  <c r="G73" i="10"/>
  <c r="H73" i="10"/>
  <c r="I73" i="10"/>
  <c r="J73" i="10"/>
  <c r="K73" i="10"/>
  <c r="L73" i="10"/>
  <c r="T73" i="10"/>
  <c r="U73" i="10"/>
  <c r="V73" i="10"/>
  <c r="W73" i="10"/>
  <c r="X73" i="10"/>
  <c r="Y73" i="10"/>
  <c r="G74" i="10"/>
  <c r="H74" i="10"/>
  <c r="I74" i="10"/>
  <c r="J74" i="10"/>
  <c r="K74" i="10"/>
  <c r="L74" i="10"/>
  <c r="T74" i="10"/>
  <c r="U74" i="10"/>
  <c r="V74" i="10"/>
  <c r="W74" i="10"/>
  <c r="X74" i="10"/>
  <c r="Y74" i="10"/>
  <c r="G75" i="10"/>
  <c r="H75" i="10"/>
  <c r="I75" i="10"/>
  <c r="J75" i="10"/>
  <c r="K75" i="10"/>
  <c r="L75" i="10"/>
  <c r="T75" i="10"/>
  <c r="U75" i="10"/>
  <c r="V75" i="10"/>
  <c r="W75" i="10"/>
  <c r="X75" i="10"/>
  <c r="Y75" i="10"/>
  <c r="G76" i="10"/>
  <c r="H76" i="10"/>
  <c r="I76" i="10"/>
  <c r="J76" i="10"/>
  <c r="K76" i="10"/>
  <c r="L76" i="10"/>
  <c r="T76" i="10"/>
  <c r="U76" i="10"/>
  <c r="V76" i="10"/>
  <c r="W76" i="10"/>
  <c r="X76" i="10"/>
  <c r="Y76" i="10"/>
  <c r="G77" i="10"/>
  <c r="H77" i="10"/>
  <c r="I77" i="10"/>
  <c r="J77" i="10"/>
  <c r="K77" i="10"/>
  <c r="L77" i="10"/>
  <c r="T77" i="10"/>
  <c r="U77" i="10"/>
  <c r="V77" i="10"/>
  <c r="W77" i="10"/>
  <c r="X77" i="10"/>
  <c r="Y77" i="10"/>
  <c r="G78" i="10"/>
  <c r="H78" i="10"/>
  <c r="I78" i="10"/>
  <c r="J78" i="10"/>
  <c r="K78" i="10"/>
  <c r="L78" i="10"/>
  <c r="T78" i="10"/>
  <c r="U78" i="10"/>
  <c r="V78" i="10"/>
  <c r="W78" i="10"/>
  <c r="X78" i="10"/>
  <c r="Y78" i="10"/>
  <c r="G79" i="10"/>
  <c r="H79" i="10"/>
  <c r="I79" i="10"/>
  <c r="J79" i="10"/>
  <c r="K79" i="10"/>
  <c r="L79" i="10"/>
  <c r="T79" i="10"/>
  <c r="U79" i="10"/>
  <c r="V79" i="10"/>
  <c r="W79" i="10"/>
  <c r="X79" i="10"/>
  <c r="Y79" i="10"/>
  <c r="G80" i="10"/>
  <c r="H80" i="10"/>
  <c r="I80" i="10"/>
  <c r="J80" i="10"/>
  <c r="K80" i="10"/>
  <c r="L80" i="10"/>
  <c r="T80" i="10"/>
  <c r="U80" i="10"/>
  <c r="V80" i="10"/>
  <c r="W80" i="10"/>
  <c r="X80" i="10"/>
  <c r="Y80" i="10"/>
  <c r="G81" i="10"/>
  <c r="H81" i="10"/>
  <c r="I81" i="10"/>
  <c r="J81" i="10"/>
  <c r="K81" i="10"/>
  <c r="L81" i="10"/>
  <c r="T81" i="10"/>
  <c r="U81" i="10"/>
  <c r="V81" i="10"/>
  <c r="W81" i="10"/>
  <c r="X81" i="10"/>
  <c r="Y81" i="10"/>
  <c r="G82" i="10"/>
  <c r="H82" i="10"/>
  <c r="I82" i="10"/>
  <c r="J82" i="10"/>
  <c r="K82" i="10"/>
  <c r="L82" i="10"/>
  <c r="T82" i="10"/>
  <c r="U82" i="10"/>
  <c r="V82" i="10"/>
  <c r="W82" i="10"/>
  <c r="X82" i="10"/>
  <c r="Y82" i="10"/>
  <c r="G83" i="10"/>
  <c r="H83" i="10"/>
  <c r="I83" i="10"/>
  <c r="J83" i="10"/>
  <c r="K83" i="10"/>
  <c r="L83" i="10"/>
  <c r="T83" i="10"/>
  <c r="U83" i="10"/>
  <c r="V83" i="10"/>
  <c r="W83" i="10"/>
  <c r="X83" i="10"/>
  <c r="Y83" i="10"/>
  <c r="G84" i="10"/>
  <c r="H84" i="10"/>
  <c r="I84" i="10"/>
  <c r="J84" i="10"/>
  <c r="K84" i="10"/>
  <c r="L84" i="10"/>
  <c r="T84" i="10"/>
  <c r="U84" i="10"/>
  <c r="V84" i="10"/>
  <c r="W84" i="10"/>
  <c r="X84" i="10"/>
  <c r="Y84" i="10"/>
  <c r="G85" i="10"/>
  <c r="H85" i="10"/>
  <c r="I85" i="10"/>
  <c r="J85" i="10"/>
  <c r="K85" i="10"/>
  <c r="L85" i="10"/>
  <c r="T85" i="10"/>
  <c r="U85" i="10"/>
  <c r="V85" i="10"/>
  <c r="W85" i="10"/>
  <c r="X85" i="10"/>
  <c r="Y85" i="10"/>
  <c r="G86" i="10"/>
  <c r="H86" i="10"/>
  <c r="I86" i="10"/>
  <c r="J86" i="10"/>
  <c r="K86" i="10"/>
  <c r="L86" i="10"/>
  <c r="T86" i="10"/>
  <c r="U86" i="10"/>
  <c r="V86" i="10"/>
  <c r="W86" i="10"/>
  <c r="X86" i="10"/>
  <c r="Y86" i="10"/>
  <c r="G87" i="10"/>
  <c r="H87" i="10"/>
  <c r="I87" i="10"/>
  <c r="J87" i="10"/>
  <c r="K87" i="10"/>
  <c r="L87" i="10"/>
  <c r="T87" i="10"/>
  <c r="U87" i="10"/>
  <c r="V87" i="10"/>
  <c r="W87" i="10"/>
  <c r="X87" i="10"/>
  <c r="Y87" i="10"/>
  <c r="G88" i="10"/>
  <c r="H88" i="10"/>
  <c r="I88" i="10"/>
  <c r="J88" i="10"/>
  <c r="K88" i="10"/>
  <c r="L88" i="10"/>
  <c r="T88" i="10"/>
  <c r="U88" i="10"/>
  <c r="V88" i="10"/>
  <c r="W88" i="10"/>
  <c r="X88" i="10"/>
  <c r="Y88" i="10"/>
  <c r="G89" i="10"/>
  <c r="H89" i="10"/>
  <c r="I89" i="10"/>
  <c r="J89" i="10"/>
  <c r="K89" i="10"/>
  <c r="L89" i="10"/>
  <c r="T89" i="10"/>
  <c r="U89" i="10"/>
  <c r="V89" i="10"/>
  <c r="W89" i="10"/>
  <c r="X89" i="10"/>
  <c r="Y89" i="10"/>
  <c r="G90" i="10"/>
  <c r="H90" i="10"/>
  <c r="I90" i="10"/>
  <c r="J90" i="10"/>
  <c r="K90" i="10"/>
  <c r="L90" i="10"/>
  <c r="T90" i="10"/>
  <c r="U90" i="10"/>
  <c r="V90" i="10"/>
  <c r="W90" i="10"/>
  <c r="X90" i="10"/>
  <c r="Y90" i="10"/>
  <c r="G91" i="10"/>
  <c r="H91" i="10"/>
  <c r="I91" i="10"/>
  <c r="J91" i="10"/>
  <c r="K91" i="10"/>
  <c r="L91" i="10"/>
  <c r="T91" i="10"/>
  <c r="U91" i="10"/>
  <c r="V91" i="10"/>
  <c r="W91" i="10"/>
  <c r="X91" i="10"/>
  <c r="Y91" i="10"/>
  <c r="G92" i="10"/>
  <c r="H92" i="10"/>
  <c r="I92" i="10"/>
  <c r="J92" i="10"/>
  <c r="K92" i="10"/>
  <c r="L92" i="10"/>
  <c r="T92" i="10"/>
  <c r="U92" i="10"/>
  <c r="V92" i="10"/>
  <c r="W92" i="10"/>
  <c r="X92" i="10"/>
  <c r="Y92" i="10"/>
  <c r="G93" i="10"/>
  <c r="H93" i="10"/>
  <c r="I93" i="10"/>
  <c r="J93" i="10"/>
  <c r="K93" i="10"/>
  <c r="L93" i="10"/>
  <c r="T93" i="10"/>
  <c r="U93" i="10"/>
  <c r="V93" i="10"/>
  <c r="W93" i="10"/>
  <c r="X93" i="10"/>
  <c r="Y93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O64" i="9"/>
  <c r="N64" i="9"/>
  <c r="M64" i="9"/>
  <c r="L64" i="9"/>
  <c r="K64" i="9"/>
  <c r="J64" i="9"/>
  <c r="I64" i="9"/>
  <c r="H64" i="9"/>
  <c r="G64" i="9"/>
  <c r="E64" i="9"/>
  <c r="D64" i="9"/>
  <c r="A64" i="9"/>
  <c r="O63" i="9"/>
  <c r="N63" i="9"/>
  <c r="M63" i="9"/>
  <c r="L63" i="9"/>
  <c r="K63" i="9"/>
  <c r="J63" i="9"/>
  <c r="I63" i="9"/>
  <c r="H63" i="9"/>
  <c r="G63" i="9"/>
  <c r="E63" i="9"/>
  <c r="D63" i="9"/>
  <c r="A63" i="9"/>
  <c r="O62" i="9"/>
  <c r="N62" i="9"/>
  <c r="M62" i="9"/>
  <c r="L62" i="9"/>
  <c r="K62" i="9"/>
  <c r="J62" i="9"/>
  <c r="I62" i="9"/>
  <c r="H62" i="9"/>
  <c r="G62" i="9"/>
  <c r="E62" i="9"/>
  <c r="D62" i="9"/>
  <c r="A62" i="9"/>
  <c r="O61" i="9"/>
  <c r="N61" i="9"/>
  <c r="M61" i="9"/>
  <c r="L61" i="9"/>
  <c r="K61" i="9"/>
  <c r="J61" i="9"/>
  <c r="I61" i="9"/>
  <c r="H61" i="9"/>
  <c r="G61" i="9"/>
  <c r="E61" i="9"/>
  <c r="D61" i="9"/>
  <c r="A61" i="9"/>
  <c r="O60" i="9"/>
  <c r="N60" i="9"/>
  <c r="M60" i="9"/>
  <c r="L60" i="9"/>
  <c r="K60" i="9"/>
  <c r="J60" i="9"/>
  <c r="I60" i="9"/>
  <c r="H60" i="9"/>
  <c r="G60" i="9"/>
  <c r="E60" i="9"/>
  <c r="D60" i="9"/>
  <c r="A60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O19" i="9"/>
  <c r="N19" i="9"/>
  <c r="M19" i="9"/>
  <c r="L19" i="9"/>
  <c r="K19" i="9"/>
  <c r="J19" i="9"/>
  <c r="I19" i="9"/>
  <c r="H19" i="9"/>
  <c r="G19" i="9"/>
  <c r="E19" i="9"/>
  <c r="D19" i="9"/>
  <c r="A19" i="9"/>
  <c r="O18" i="9"/>
  <c r="N18" i="9"/>
  <c r="M18" i="9"/>
  <c r="L18" i="9"/>
  <c r="K18" i="9"/>
  <c r="J18" i="9"/>
  <c r="I18" i="9"/>
  <c r="H18" i="9"/>
  <c r="G18" i="9"/>
  <c r="E18" i="9"/>
  <c r="D18" i="9"/>
  <c r="A18" i="9"/>
  <c r="O17" i="9"/>
  <c r="N17" i="9"/>
  <c r="M17" i="9"/>
  <c r="L17" i="9"/>
  <c r="K17" i="9"/>
  <c r="J17" i="9"/>
  <c r="I17" i="9"/>
  <c r="H17" i="9"/>
  <c r="G17" i="9"/>
  <c r="E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E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E13" i="9"/>
  <c r="D13" i="9"/>
  <c r="A13" i="9"/>
  <c r="O12" i="9"/>
  <c r="N12" i="9"/>
  <c r="M12" i="9"/>
  <c r="L12" i="9"/>
  <c r="K12" i="9"/>
  <c r="J12" i="9"/>
  <c r="I12" i="9"/>
  <c r="H12" i="9"/>
  <c r="G12" i="9"/>
  <c r="E12" i="9"/>
  <c r="D12" i="9"/>
  <c r="A12" i="9"/>
  <c r="O11" i="9"/>
  <c r="N11" i="9"/>
  <c r="M11" i="9"/>
  <c r="L11" i="9"/>
  <c r="K11" i="9"/>
  <c r="J11" i="9"/>
  <c r="I11" i="9"/>
  <c r="H11" i="9"/>
  <c r="G11" i="9"/>
  <c r="E11" i="9"/>
  <c r="D11" i="9"/>
  <c r="A11" i="9"/>
  <c r="O10" i="9"/>
  <c r="N10" i="9"/>
  <c r="M10" i="9"/>
  <c r="L10" i="9"/>
  <c r="K10" i="9"/>
  <c r="J10" i="9"/>
  <c r="I10" i="9"/>
  <c r="H10" i="9"/>
  <c r="G10" i="9"/>
  <c r="E10" i="9"/>
  <c r="D10" i="9"/>
  <c r="A10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E7" i="9"/>
  <c r="D7" i="9"/>
  <c r="A7" i="9"/>
  <c r="O6" i="9"/>
  <c r="N6" i="9"/>
  <c r="M6" i="9"/>
  <c r="L6" i="9"/>
  <c r="K6" i="9"/>
  <c r="J6" i="9"/>
  <c r="I6" i="9"/>
  <c r="H6" i="9"/>
  <c r="G6" i="9"/>
  <c r="E6" i="9"/>
  <c r="D6" i="9"/>
  <c r="A6" i="9"/>
  <c r="O5" i="9"/>
  <c r="N5" i="9"/>
  <c r="M5" i="9"/>
  <c r="L5" i="9"/>
  <c r="K5" i="9"/>
  <c r="J5" i="9"/>
  <c r="I5" i="9"/>
  <c r="H5" i="9"/>
  <c r="G5" i="9"/>
  <c r="E5" i="9"/>
  <c r="D5" i="9"/>
  <c r="A5" i="9"/>
  <c r="O4" i="9"/>
  <c r="N4" i="9"/>
  <c r="M4" i="9"/>
  <c r="L4" i="9"/>
  <c r="K4" i="9"/>
  <c r="J4" i="9"/>
  <c r="I4" i="9"/>
  <c r="H4" i="9"/>
  <c r="G4" i="9"/>
  <c r="E4" i="9"/>
  <c r="D4" i="9"/>
  <c r="A4" i="9"/>
  <c r="O3" i="9"/>
  <c r="N3" i="9"/>
  <c r="M3" i="9"/>
  <c r="L3" i="9"/>
  <c r="K3" i="9"/>
  <c r="J3" i="9"/>
  <c r="I3" i="9"/>
  <c r="H3" i="9"/>
  <c r="G3" i="9"/>
  <c r="E3" i="9"/>
  <c r="D3" i="9"/>
  <c r="A3" i="9"/>
  <c r="W5" i="7"/>
  <c r="U5" i="7"/>
  <c r="R5" i="7"/>
  <c r="Q5" i="7"/>
  <c r="P5" i="7"/>
  <c r="O5" i="7"/>
  <c r="N5" i="7"/>
  <c r="H5" i="7"/>
  <c r="G2" i="2"/>
  <c r="A2" i="2"/>
  <c r="G3" i="2"/>
  <c r="A3" i="2"/>
  <c r="G4" i="2"/>
  <c r="A4" i="2"/>
  <c r="G5" i="2"/>
  <c r="A5" i="2"/>
  <c r="G6" i="2"/>
  <c r="A6" i="2"/>
  <c r="J5" i="7"/>
  <c r="I5" i="7"/>
  <c r="D5" i="7"/>
  <c r="F5" i="7"/>
  <c r="E5" i="7"/>
  <c r="A5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8" i="1"/>
  <c r="AF8" i="1"/>
  <c r="AI8" i="1"/>
  <c r="AG8" i="1"/>
  <c r="AE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6" i="2"/>
  <c r="E6" i="2"/>
  <c r="D6" i="2"/>
  <c r="H2" i="1"/>
  <c r="B6" i="2"/>
  <c r="H5" i="2"/>
  <c r="E5" i="2"/>
  <c r="D5" i="2"/>
  <c r="B5" i="2"/>
  <c r="H4" i="2"/>
  <c r="E4" i="2"/>
  <c r="D4" i="2"/>
  <c r="B4" i="2"/>
  <c r="H3" i="2"/>
  <c r="E3" i="2"/>
  <c r="D3" i="2"/>
  <c r="B3" i="2"/>
  <c r="W2" i="7"/>
  <c r="U2" i="7"/>
  <c r="V2" i="1"/>
  <c r="T2" i="1"/>
  <c r="E13" i="16"/>
  <c r="N2" i="22"/>
  <c r="G2" i="22"/>
  <c r="F2" i="22"/>
  <c r="D2" i="22"/>
  <c r="C2" i="22"/>
  <c r="A2" i="22"/>
  <c r="I2" i="21"/>
  <c r="J2" i="21"/>
  <c r="D2" i="21"/>
  <c r="C2" i="21"/>
  <c r="E12" i="16"/>
  <c r="E11" i="16"/>
  <c r="E10" i="16"/>
  <c r="C2" i="18"/>
  <c r="D2" i="18"/>
  <c r="J2" i="11"/>
  <c r="O2" i="9"/>
  <c r="N2" i="9"/>
  <c r="M2" i="9"/>
  <c r="L2" i="9"/>
  <c r="K2" i="9"/>
  <c r="J2" i="9"/>
  <c r="I2" i="9"/>
  <c r="H2" i="9"/>
  <c r="G2" i="9"/>
  <c r="E2" i="9"/>
  <c r="D2" i="9"/>
  <c r="E9" i="16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H2" i="7"/>
  <c r="J2" i="7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<sst xmlns="http://schemas.openxmlformats.org/spreadsheetml/2006/main" count="1284" uniqueCount="436">
  <si>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</si>
  <si>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</si>
  <si>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</si>
  <si>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</si>
  <si>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</si>
  <si>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</si>
  <si>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</si>
  <si>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</si>
  <si>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</si>
  <si>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</si>
  <si>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</si>
  <si>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</si>
  <si>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</si>
  <si>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</si>
  <si>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</si>
  <si>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</si>
  <si>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</si>
  <si>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</si>
  <si>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</si>
  <si>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</si>
  <si>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</si>
  <si>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</si>
  <si>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</si>
  <si>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</si>
  <si>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</si>
  <si>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</si>
  <si>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</si>
  <si>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</si>
  <si>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</si>
  <si>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</si>
  <si>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</si>
  <si>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</si>
  <si>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</si>
  <si>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</si>
  <si>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</si>
  <si>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</si>
  <si>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</si>
  <si>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</si>
  <si>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</si>
  <si>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</si>
  <si>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</si>
  <si>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</si>
  <si>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</si>
  <si>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</si>
  <si>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</si>
  <si>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</si>
  <si>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</si>
  <si>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</si>
  <si>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</si>
  <si>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</si>
  <si>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</si>
  <si>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</si>
  <si>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</si>
  <si>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</si>
  <si>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</si>
  <si>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</si>
  <si>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</si>
  <si>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</si>
  <si>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</si>
  <si>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</si>
  <si>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</si>
  <si>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</si>
  <si>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</si>
  <si>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</si>
  <si>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</si>
  <si>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</si>
  <si>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</si>
  <si>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</si>
  <si>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</si>
  <si>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</si>
  <si>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</si>
  <si>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</si>
  <si>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</si>
  <si>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</si>
  <si>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</si>
  <si>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</si>
  <si>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</si>
  <si>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</si>
  <si>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</si>
  <si>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</si>
  <si>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</si>
  <si>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</si>
  <si>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</si>
  <si>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</si>
  <si>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</si>
  <si>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</si>
  <si>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</si>
  <si>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</si>
  <si>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</si>
  <si>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</si>
  <si>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</si>
  <si>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</si>
  <si>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</si>
  <si>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</si>
  <si>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</si>
  <si>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</si>
  <si>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</si>
  <si>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</si>
  <si>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</si>
  <si>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</si>
  <si>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</si>
  <si>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</si>
  <si>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</si>
  <si>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</si>
  <si>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</si>
  <si>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</si>
  <si>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</si>
  <si>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</si>
  <si>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</si>
  <si>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</si>
  <si>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</si>
  <si>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</si>
  <si>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</si>
  <si>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</si>
  <si>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</si>
  <si>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</si>
  <si>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</si>
  <si>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</si>
  <si>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</si>
  <si>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</si>
  <si>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</si>
  <si>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</si>
  <si>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</si>
  <si>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</si>
  <si>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</si>
  <si>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</si>
  <si>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</si>
  <si>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</si>
  <si>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</si>
  <si>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</si>
  <si>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</si>
  <si>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</si>
  <si>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</si>
  <si>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</si>
  <si>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</si>
  <si>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</si>
  <si>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</si>
  <si>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</si>
  <si>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</si>
  <si>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</si>
  <si>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</si>
  <si>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</si>
  <si>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</si>
  <si>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</si>
  <si>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</si>
  <si>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</si>
  <si>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</si>
  <si>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</si>
  <si>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</si>
  <si>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</si>
  <si>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</si>
  <si>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</si>
  <si>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</si>
  <si>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</si>
  <si>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</si>
  <si>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</si>
  <si>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</si>
  <si>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</si>
  <si>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</si>
  <si>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</si>
  <si>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</si>
  <si>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</si>
  <si>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</si>
  <si>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</si>
  <si>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</si>
  <si>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</si>
  <si>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</si>
  <si>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</si>
  <si>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</si>
  <si>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</si>
  <si>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</si>
  <si>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</si>
  <si>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</si>
  <si>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</si>
  <si>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</si>
  <si>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</si>
  <si>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</si>
  <si>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</si>
  <si>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</si>
  <si>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</si>
  <si>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</si>
  <si>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</si>
  <si>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</si>
  <si>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</si>
  <si>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</si>
  <si>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</si>
  <si>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</si>
  <si>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</si>
  <si>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</si>
  <si>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</si>
  <si>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</si>
  <si>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</si>
  <si>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</si>
  <si>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</si>
  <si>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</si>
  <si>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</si>
  <si>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</si>
  <si>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</si>
  <si>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</si>
  <si>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</si>
  <si>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</si>
  <si>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</si>
  <si>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</si>
  <si>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</si>
  <si>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</si>
  <si>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</si>
  <si>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</si>
  <si>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</si>
  <si>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</si>
  <si>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</si>
  <si>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</si>
  <si>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</si>
  <si>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</si>
  <si>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</si>
  <si>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</si>
  <si>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</si>
  <si>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</si>
  <si>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</si>
  <si>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</si>
  <si>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</si>
  <si>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</si>
  <si>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</si>
  <si>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</si>
  <si>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</si>
  <si>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</si>
  <si>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</si>
  <si>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</si>
  <si>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</si>
  <si>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</si>
  <si>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</si>
  <si>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</si>
  <si>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</si>
  <si>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</si>
  <si>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</si>
  <si>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</si>
  <si>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</si>
  <si>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</si>
  <si>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</si>
  <si>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</si>
  <si>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</si>
  <si>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</si>
  <si>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</si>
  <si>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</si>
  <si>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</si>
  <si>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</si>
  <si>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</si>
  <si>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</si>
  <si>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</si>
  <si>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</si>
  <si>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</si>
  <si>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</si>
  <si>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ja</t>
    <phoneticPr fontId="5"/>
  </si>
  <si>
    <t>ヒダルマダ！</t>
    <phoneticPr fontId="5"/>
  </si>
  <si>
    <t>クリティカル！</t>
    <phoneticPr fontId="5"/>
  </si>
  <si>
    <t>ヤキツクス！</t>
    <phoneticPr fontId="5"/>
  </si>
  <si>
    <t>種族マシンのユニットに大ダメージの全体攻撃</t>
    <rPh sb="0" eb="2">
      <t>ｓｙ</t>
    </rPh>
    <rPh sb="11" eb="12">
      <t>ダ</t>
    </rPh>
    <rPh sb="17" eb="21">
      <t>ゼｎ</t>
    </rPh>
    <phoneticPr fontId="5"/>
  </si>
  <si>
    <t>タイチ</t>
    <phoneticPr fontId="5"/>
  </si>
  <si>
    <t>予備枠</t>
    <rPh sb="0" eb="3">
      <t>ヨｂ</t>
    </rPh>
    <phoneticPr fontId="5"/>
  </si>
  <si>
    <t>強乱打</t>
    <rPh sb="0" eb="1">
      <t>キョウ</t>
    </rPh>
    <rPh sb="1" eb="3">
      <t>ランダ</t>
    </rPh>
    <phoneticPr fontId="5"/>
  </si>
  <si>
    <t>4回連続攻撃</t>
    <rPh sb="1" eb="2">
      <t>カ</t>
    </rPh>
    <rPh sb="2" eb="6">
      <t>レンゾｋ</t>
    </rPh>
    <phoneticPr fontId="5"/>
  </si>
  <si>
    <t>猿流武闘</t>
    <rPh sb="0" eb="2">
      <t>エンリュウ</t>
    </rPh>
    <rPh sb="2" eb="4">
      <t>ブｔ</t>
    </rPh>
    <phoneticPr fontId="5"/>
  </si>
  <si>
    <t>種族サムライ以外のユニットに大ダメージの全体攻撃</t>
    <rPh sb="0" eb="2">
      <t>ｓｙ</t>
    </rPh>
    <rPh sb="6" eb="8">
      <t>イガ</t>
    </rPh>
    <rPh sb="14" eb="15">
      <t>ダ</t>
    </rPh>
    <rPh sb="20" eb="24">
      <t>ゼｎ</t>
    </rPh>
    <phoneticPr fontId="5"/>
  </si>
  <si>
    <t>ゴクウ</t>
    <phoneticPr fontId="5"/>
  </si>
  <si>
    <t>これより先、通すわけにはいきません</t>
    <rPh sb="6" eb="7">
      <t>10ｓ</t>
    </rPh>
    <phoneticPr fontId="5"/>
  </si>
  <si>
    <t>状態異常耐性</t>
    <rPh sb="0" eb="4">
      <t>ジョウタ</t>
    </rPh>
    <rPh sb="4" eb="6">
      <t>タイセ</t>
    </rPh>
    <phoneticPr fontId="5"/>
  </si>
  <si>
    <t>玉石の舞</t>
    <phoneticPr fontId="5"/>
  </si>
  <si>
    <t>…果てなさい</t>
    <rPh sb="1" eb="2">
      <t>ハテナサイ</t>
    </rPh>
    <phoneticPr fontId="5"/>
  </si>
  <si>
    <t>お邪魔パネルを吸収して全体攻撃</t>
    <rPh sb="7" eb="9">
      <t>キュウシュ</t>
    </rPh>
    <rPh sb="11" eb="13">
      <t>ゼｎ</t>
    </rPh>
    <rPh sb="13" eb="15">
      <t>コウゲｋ</t>
    </rPh>
    <phoneticPr fontId="5"/>
  </si>
  <si>
    <t>士道を見極めて差し上げましょう…</t>
    <rPh sb="0" eb="2">
      <t>sidou</t>
    </rPh>
    <rPh sb="3" eb="5">
      <t>ミキワｍ</t>
    </rPh>
    <rPh sb="7" eb="8">
      <t>サｓ</t>
    </rPh>
    <phoneticPr fontId="5"/>
  </si>
  <si>
    <t>貂蝉1</t>
    <rPh sb="0" eb="2">
      <t>チョ</t>
    </rPh>
    <phoneticPr fontId="5"/>
  </si>
  <si>
    <t>貴方達はまだ邂逅すべきではない…</t>
    <rPh sb="0" eb="2">
      <t>アナｔ</t>
    </rPh>
    <rPh sb="2" eb="3">
      <t>タチ</t>
    </rPh>
    <phoneticPr fontId="5"/>
  </si>
  <si>
    <t>どうしても行くというのですね…</t>
    <rPh sb="5" eb="6">
      <t>イクｔ</t>
    </rPh>
    <phoneticPr fontId="5"/>
  </si>
  <si>
    <t>わかりました…</t>
    <phoneticPr fontId="5"/>
  </si>
  <si>
    <t>くれぐれもお気をつけを…</t>
    <phoneticPr fontId="5"/>
  </si>
  <si>
    <t>貂蝉2</t>
    <rPh sb="0" eb="2">
      <t>チョ</t>
    </rPh>
    <phoneticPr fontId="5"/>
  </si>
  <si>
    <t>連撃</t>
    <rPh sb="0" eb="2">
      <t>レンゲキ</t>
    </rPh>
    <phoneticPr fontId="5"/>
  </si>
  <si>
    <t>3ターンハートパネル無効+6回連続攻撃</t>
    <rPh sb="10" eb="12">
      <t>ムコ</t>
    </rPh>
    <rPh sb="14" eb="15">
      <t>カ</t>
    </rPh>
    <rPh sb="15" eb="17">
      <t>レｎ</t>
    </rPh>
    <rPh sb="17" eb="19">
      <t>コウゲｋ</t>
    </rPh>
    <phoneticPr fontId="5"/>
  </si>
  <si>
    <t>ja</t>
    <phoneticPr fontId="5"/>
  </si>
  <si>
    <t>内丹掌底打ち</t>
    <rPh sb="0" eb="2">
      <t>ナイｔ</t>
    </rPh>
    <rPh sb="2" eb="5">
      <t>ショウテイ</t>
    </rPh>
    <phoneticPr fontId="5"/>
  </si>
  <si>
    <t>ハートパネルを吸収して攻撃</t>
    <rPh sb="7" eb="9">
      <t>キュウシュ</t>
    </rPh>
    <rPh sb="11" eb="13">
      <t>コウゲｋ</t>
    </rPh>
    <phoneticPr fontId="5"/>
  </si>
  <si>
    <t>一気集中</t>
    <rPh sb="0" eb="4">
      <t>イｋｋ</t>
    </rPh>
    <phoneticPr fontId="5"/>
  </si>
  <si>
    <t>気合充実</t>
    <rPh sb="0" eb="2">
      <t>キア</t>
    </rPh>
    <phoneticPr fontId="5"/>
  </si>
  <si>
    <t>ランラン</t>
    <phoneticPr fontId="5"/>
  </si>
  <si>
    <t>大炎会芸</t>
    <rPh sb="0" eb="4">
      <t>ダイエｎ</t>
    </rPh>
    <phoneticPr fontId="5"/>
  </si>
  <si>
    <t>酔拳乱打</t>
    <rPh sb="0" eb="2">
      <t>ス</t>
    </rPh>
    <rPh sb="2" eb="4">
      <t>ランダ</t>
    </rPh>
    <phoneticPr fontId="5"/>
  </si>
  <si>
    <t>瓦割り</t>
    <rPh sb="0" eb="2">
      <t>カｗ</t>
    </rPh>
    <phoneticPr fontId="5"/>
  </si>
  <si>
    <t>チェン</t>
    <phoneticPr fontId="5"/>
  </si>
  <si>
    <t>ここはワタクシが相手よ！</t>
    <rPh sb="8" eb="10">
      <t>アイテ</t>
    </rPh>
    <phoneticPr fontId="5"/>
  </si>
  <si>
    <t>チャフ・サブマリン</t>
    <phoneticPr fontId="5"/>
  </si>
  <si>
    <t>テールバインド</t>
    <phoneticPr fontId="5"/>
  </si>
  <si>
    <t>混迷の海域</t>
    <rPh sb="0" eb="2">
      <t>コｎ</t>
    </rPh>
    <rPh sb="3" eb="5">
      <t>カ</t>
    </rPh>
    <phoneticPr fontId="5"/>
  </si>
  <si>
    <t>蛟龍1</t>
    <rPh sb="0" eb="1">
      <t>ミズチ</t>
    </rPh>
    <rPh sb="1" eb="2">
      <t>リュ</t>
    </rPh>
    <phoneticPr fontId="5"/>
  </si>
  <si>
    <t>曹操様まで辿りつかせはしない…！</t>
    <phoneticPr fontId="5"/>
  </si>
  <si>
    <t>テールウィップ</t>
    <phoneticPr fontId="5"/>
  </si>
  <si>
    <t>露払いはワタクシの仕事…！</t>
    <rPh sb="0" eb="2">
      <t>ツｙ</t>
    </rPh>
    <rPh sb="9" eb="11">
      <t>シゴｔ</t>
    </rPh>
    <phoneticPr fontId="5"/>
  </si>
  <si>
    <t>蛟龍2</t>
    <rPh sb="0" eb="1">
      <t>ミズチ</t>
    </rPh>
    <rPh sb="1" eb="2">
      <t>リュ</t>
    </rPh>
    <phoneticPr fontId="5"/>
  </si>
  <si>
    <t>君達も我が覇道に挑むのか…？</t>
    <rPh sb="0" eb="1">
      <t>キｍ</t>
    </rPh>
    <rPh sb="1" eb="2">
      <t>タチ</t>
    </rPh>
    <rPh sb="3" eb="4">
      <t>ワｇ</t>
    </rPh>
    <rPh sb="5" eb="7">
      <t>ハド</t>
    </rPh>
    <rPh sb="8" eb="9">
      <t>イドｍ</t>
    </rPh>
    <phoneticPr fontId="5"/>
  </si>
  <si>
    <t>状態異常耐性+ハートパネルドロップ率UP</t>
    <rPh sb="0" eb="6">
      <t>ｊｙ</t>
    </rPh>
    <phoneticPr fontId="5"/>
  </si>
  <si>
    <t>まずは動きを止める</t>
    <rPh sb="3" eb="4">
      <t>ウゴｋ</t>
    </rPh>
    <rPh sb="6" eb="7">
      <t>トｍ</t>
    </rPh>
    <phoneticPr fontId="5"/>
  </si>
  <si>
    <t>油断してくれるなよ？</t>
    <rPh sb="0" eb="2">
      <t>ユダｎ</t>
    </rPh>
    <phoneticPr fontId="5"/>
  </si>
  <si>
    <t>我の手にかかれば造作もない</t>
    <rPh sb="0" eb="1">
      <t>ワｒ</t>
    </rPh>
    <rPh sb="2" eb="3">
      <t>テ</t>
    </rPh>
    <rPh sb="8" eb="10">
      <t>ゾウｓ</t>
    </rPh>
    <phoneticPr fontId="5"/>
  </si>
  <si>
    <t>これで身動きがとれまい</t>
    <rPh sb="3" eb="5">
      <t>ミウゴｋ</t>
    </rPh>
    <phoneticPr fontId="5"/>
  </si>
  <si>
    <t>これが王の一撃である</t>
    <rPh sb="3" eb="4">
      <t>オ</t>
    </rPh>
    <rPh sb="5" eb="7">
      <t>イチゲｋ</t>
    </rPh>
    <phoneticPr fontId="5"/>
  </si>
  <si>
    <t>ja</t>
    <phoneticPr fontId="5"/>
  </si>
  <si>
    <t>志ない者に我が剣は折れぬ…</t>
    <rPh sb="0" eb="1">
      <t>ココロザｓ</t>
    </rPh>
    <rPh sb="3" eb="4">
      <t>モノニ</t>
    </rPh>
    <rPh sb="5" eb="6">
      <t>ワｇ</t>
    </rPh>
    <rPh sb="7" eb="8">
      <t>ケｎ</t>
    </rPh>
    <rPh sb="9" eb="10">
      <t>オレヌ</t>
    </rPh>
    <phoneticPr fontId="5"/>
  </si>
  <si>
    <t>これでもなお叛意を見せるか…</t>
    <rPh sb="6" eb="8">
      <t>hanni</t>
    </rPh>
    <rPh sb="9" eb="10">
      <t>ミｓ</t>
    </rPh>
    <phoneticPr fontId="5"/>
  </si>
  <si>
    <t>君は…ふむ、只者ではないようだな</t>
    <rPh sb="0" eb="1">
      <t>キｍ</t>
    </rPh>
    <rPh sb="6" eb="8">
      <t>タダモｎ</t>
    </rPh>
    <phoneticPr fontId="5"/>
  </si>
  <si>
    <t>興味深い力だ…受けて立とう</t>
    <phoneticPr fontId="5"/>
  </si>
  <si>
    <t>よかろう、本気で相手をしよう</t>
    <rPh sb="5" eb="7">
      <t>ホｎ</t>
    </rPh>
    <rPh sb="8" eb="10">
      <t>ア</t>
    </rPh>
    <phoneticPr fontId="5"/>
  </si>
  <si>
    <t>手は緩めぬぞ…</t>
    <phoneticPr fontId="5"/>
  </si>
  <si>
    <t>ja</t>
    <phoneticPr fontId="5"/>
  </si>
  <si>
    <t>迷いは敗北を生むぞ…</t>
    <rPh sb="0" eb="1">
      <t>マヨ</t>
    </rPh>
    <rPh sb="3" eb="5">
      <t>ハイボｋ</t>
    </rPh>
    <rPh sb="6" eb="7">
      <t>ウｍ</t>
    </rPh>
    <phoneticPr fontId="5"/>
  </si>
  <si>
    <t>身動きを封じよう…</t>
    <rPh sb="0" eb="2">
      <t>ミウゴｋ</t>
    </rPh>
    <rPh sb="4" eb="5">
      <t>フ</t>
    </rPh>
    <phoneticPr fontId="5"/>
  </si>
  <si>
    <t>ハートパネルをお邪魔パネルに変換</t>
    <rPh sb="14" eb="16">
      <t>ヘｎ</t>
    </rPh>
    <phoneticPr fontId="5"/>
  </si>
  <si>
    <t>これに耐えられるか…？</t>
    <rPh sb="3" eb="4">
      <t>タ</t>
    </rPh>
    <phoneticPr fontId="5"/>
  </si>
  <si>
    <t>曹操2</t>
    <rPh sb="0" eb="2">
      <t>ソウソウ</t>
    </rPh>
    <phoneticPr fontId="5"/>
  </si>
  <si>
    <t>おもしろい…実におもしろいな</t>
    <rPh sb="6" eb="7">
      <t>ジｔ</t>
    </rPh>
    <phoneticPr fontId="5"/>
  </si>
  <si>
    <t>状態異常耐性+赤パネルドロップ率UP</t>
    <rPh sb="0" eb="6">
      <t>ｊｙ</t>
    </rPh>
    <rPh sb="7" eb="8">
      <t>アｋ</t>
    </rPh>
    <phoneticPr fontId="5"/>
  </si>
  <si>
    <t>その強い心を折る…</t>
    <phoneticPr fontId="5"/>
  </si>
  <si>
    <t>動けまい…覚悟するがいい</t>
    <rPh sb="0" eb="1">
      <t>ウゴｋ</t>
    </rPh>
    <rPh sb="5" eb="7">
      <t>カｋ</t>
    </rPh>
    <phoneticPr fontId="5"/>
  </si>
  <si>
    <t>赤パネルとハートパネルをお邪魔パネルに変換</t>
    <rPh sb="0" eb="1">
      <t>アｋ</t>
    </rPh>
    <rPh sb="19" eb="21">
      <t>ヘｎ</t>
    </rPh>
    <phoneticPr fontId="5"/>
  </si>
  <si>
    <t>これが覇道に背いた末路だ</t>
    <rPh sb="3" eb="5">
      <t>ハド</t>
    </rPh>
    <rPh sb="6" eb="7">
      <t>ソｍ</t>
    </rPh>
    <rPh sb="9" eb="11">
      <t>マツｒ</t>
    </rPh>
    <phoneticPr fontId="5"/>
  </si>
  <si>
    <t>お邪魔パネルを吸収して全体攻撃</t>
    <rPh sb="7" eb="9">
      <t>キュウシュ</t>
    </rPh>
    <rPh sb="11" eb="15">
      <t>ゼｎ</t>
    </rPh>
    <phoneticPr fontId="5"/>
  </si>
  <si>
    <t>我が天命、未だ尽きぬ</t>
    <rPh sb="0" eb="1">
      <t>ワｇ</t>
    </rPh>
    <rPh sb="2" eb="4">
      <t>テｎ</t>
    </rPh>
    <rPh sb="5" eb="6">
      <t>イｍ</t>
    </rPh>
    <rPh sb="7" eb="8">
      <t>ツキヌ</t>
    </rPh>
    <phoneticPr fontId="5"/>
  </si>
  <si>
    <t>これが天下に立つ者の力だ</t>
    <rPh sb="3" eb="5">
      <t>テンカ</t>
    </rPh>
    <rPh sb="6" eb="7">
      <t>タｔ</t>
    </rPh>
    <rPh sb="8" eb="9">
      <t>モノノ</t>
    </rPh>
    <rPh sb="10" eb="11">
      <t>チカｒ</t>
    </rPh>
    <phoneticPr fontId="5"/>
  </si>
  <si>
    <t>その目、その力…実に素晴らしい</t>
    <rPh sb="8" eb="9">
      <t>ジｔ</t>
    </rPh>
    <rPh sb="10" eb="12">
      <t>スバラシ</t>
    </rPh>
    <phoneticPr fontId="5"/>
  </si>
  <si>
    <t>関羽、君とは共に覇道を歩みたいものだ…</t>
    <rPh sb="0" eb="2">
      <t>カｎ</t>
    </rPh>
    <rPh sb="3" eb="4">
      <t>キｍ</t>
    </rPh>
    <phoneticPr fontId="5"/>
  </si>
  <si>
    <t>強い…だが美しくないな</t>
    <rPh sb="0" eb="1">
      <t>ツヨ</t>
    </rPh>
    <rPh sb="5" eb="6">
      <t>ウツｋ</t>
    </rPh>
    <phoneticPr fontId="5"/>
  </si>
  <si>
    <t>呂布…君はいつか我が手にて始末しよう</t>
    <rPh sb="0" eb="2">
      <t>リョｆ</t>
    </rPh>
    <rPh sb="3" eb="4">
      <t>キｍ</t>
    </rPh>
    <rPh sb="8" eb="9">
      <t>ワｇ</t>
    </rPh>
    <rPh sb="13" eb="15">
      <t>シマｔ</t>
    </rPh>
    <phoneticPr fontId="5"/>
  </si>
  <si>
    <t>知らぬうちに強者が増えたものだ…</t>
    <rPh sb="0" eb="1">
      <t>シｒ</t>
    </rPh>
    <rPh sb="6" eb="8">
      <t>キョ</t>
    </rPh>
    <rPh sb="9" eb="10">
      <t>フ</t>
    </rPh>
    <phoneticPr fontId="5"/>
  </si>
  <si>
    <t>力による支配…実におもしろそうだ</t>
    <rPh sb="0" eb="1">
      <t>チカｒ</t>
    </rPh>
    <rPh sb="4" eb="6">
      <t>シｈ</t>
    </rPh>
    <rPh sb="7" eb="8">
      <t>ジツｎ</t>
    </rPh>
    <phoneticPr fontId="5"/>
  </si>
  <si>
    <t>ja</t>
    <phoneticPr fontId="5"/>
  </si>
  <si>
    <t>null</t>
    <phoneticPr fontId="5"/>
  </si>
  <si>
    <t>null</t>
  </si>
  <si>
    <t>unit</t>
  </si>
  <si>
    <t>タイチとゴクウはそれぞれ
種族サムライ以外と種族マシンに対して
大ダメージの攻撃を行います
パーティ編成時に注意しておきましょう</t>
    <phoneticPr fontId="5"/>
  </si>
  <si>
    <t>貂蝉はお邪魔パネルを生成し
さらにお邪魔パネルを吸収して
強力な攻撃を行います
お邪魔パネルを処理できるスキルや
アビリティが役に立つでしょう</t>
    <rPh sb="65" eb="66">
      <t>タｔ</t>
    </rPh>
    <phoneticPr fontId="5"/>
  </si>
  <si>
    <t>ランランはハートパネル無効や
ハートパネルを吸収して攻撃を行います
回復が難しくなるので回復のスキルを持つ
ユニットが役に立つでしょう</t>
    <phoneticPr fontId="5"/>
  </si>
  <si>
    <t>1ゲージ目の蛟龍は攻撃力DOWNや
パネルのプロテクト、タップ回数DOWNなど
様々な妨害を行ってきます
スキルで対応して倒しましょう</t>
    <rPh sb="4" eb="5">
      <t>メ</t>
    </rPh>
    <phoneticPr fontId="5"/>
  </si>
  <si>
    <t>2ゲージ目の蛟龍は攻撃力UPを行い
さらに強力な連続攻撃を行います
回復困難な大ダメージを受ける前に
速やかに倒しましょう</t>
    <rPh sb="4" eb="5">
      <t>メ</t>
    </rPh>
    <phoneticPr fontId="5"/>
  </si>
  <si>
    <t>1ゲージ目の曹操はパネルプロテクトや
ダメージパネル変換などのスキルを
決まった順番で行います
順番を覚えて対処することで
攻略がスムーズになるでしょう</t>
    <rPh sb="4" eb="5">
      <t>メ</t>
    </rPh>
    <phoneticPr fontId="5"/>
  </si>
  <si>
    <t>3ゲージ目の曹操は回復力DOWNや赤・ハート
パネルをプロテクト・お邪魔パネル変換する
など変化に富んだスキルを使用します
攻撃力も高いのでパターンを覚えて
油断せずに攻略しましょう</t>
    <rPh sb="4" eb="5">
      <t>メ</t>
    </rPh>
    <phoneticPr fontId="5"/>
  </si>
  <si>
    <t>魏の王・曹操</t>
    <phoneticPr fontId="5"/>
  </si>
  <si>
    <t>曹操はクラッカーの中でも
「本気を出させたら最も恐ろしい男」
と噂されています</t>
    <rPh sb="22" eb="23">
      <t>モットモ</t>
    </rPh>
    <phoneticPr fontId="5"/>
  </si>
  <si>
    <t>野心家・曹操</t>
    <phoneticPr fontId="5"/>
  </si>
  <si>
    <t>曹操はアナタの尽力で活動を停止しました
しかし野心家である彼は関羽やアナタなど
実力ある者に強い興味を持ったようです</t>
    <rPh sb="44" eb="45">
      <t>モノ</t>
    </rPh>
    <phoneticPr fontId="5"/>
  </si>
  <si>
    <t>曹操と関羽</t>
    <phoneticPr fontId="5"/>
  </si>
  <si>
    <t>曹操は関羽の実力や人格を評価しており
いつか自分の部下に引き入れたいと
考えているようです</t>
    <phoneticPr fontId="5"/>
  </si>
  <si>
    <t>曹操と呂布</t>
    <phoneticPr fontId="5"/>
  </si>
  <si>
    <t>お互いにトップクラスの力を持つ二人ですが
その信じる道は交わることがなく
戦うことでしか本心を交わすことが
できないようです</t>
    <rPh sb="47" eb="48">
      <t>カワｓ</t>
    </rPh>
    <phoneticPr fontId="5"/>
  </si>
  <si>
    <t>everyone</t>
    <phoneticPr fontId="5"/>
  </si>
  <si>
    <t>full_member</t>
    <phoneticPr fontId="5"/>
  </si>
  <si>
    <t>unit</t>
    <phoneticPr fontId="5"/>
  </si>
  <si>
    <t>old</t>
  </si>
  <si>
    <t>[effect:enemy_message, val1:1.2, val2:1.2],[effect:rush, count:4, val:0.28]</t>
  </si>
  <si>
    <t>[effect:enemy_message, val1:1.2, val2:1.2],[effect:critical, val:1.4, animation:enemy_critical]</t>
  </si>
  <si>
    <t>ランランはハートパネル無効や
ハートパネル吸収攻撃を行います
回復スキルを持つユニットが
役に立つでしょう</t>
    <phoneticPr fontId="5"/>
  </si>
  <si>
    <t>蛟龍の2ゲージ目は攻撃力UPを行い
さらに強力な連続攻撃を行います
回復困難な大ダメージを受ける前に
速やかに倒しましょう</t>
    <rPh sb="7" eb="8">
      <t>メ</t>
    </rPh>
    <phoneticPr fontId="5"/>
  </si>
  <si>
    <t>曹操の1ゲージ目はパネルプロテクトや
ダメージパネル変換などのスキルを
決まった順番で行います</t>
    <rPh sb="7" eb="8">
      <t>メ</t>
    </rPh>
    <phoneticPr fontId="5"/>
  </si>
  <si>
    <t>[effect:enemy_message, val1:1.2, val2:2.1],[effect:damage_anti_tribe, target:unit_all, tribe:machine, val1:1, val2:0.25]</t>
  </si>
  <si>
    <t>[effect:enemy_message, val1:1.2, val2:1.2]</t>
  </si>
  <si>
    <t>[effect:enemy_message, val1:1.2, val2:2.4],[effect:damage_anti_tribe, target:unit_all, tribe:samurai, val1:0.2, val2:0.6]</t>
  </si>
  <si>
    <t>[effect:enemy_message, val1:1.7, val2:1.2],[effect:fix_speed, target:myself, turn:1],[effect:tolerance, target:myself, turn:-1, count:-1, tolerance_effect:all, animation:enemy_tolerance]</t>
  </si>
  <si>
    <t>[effect:enemy_message, val1:1.2, val2:1.5],[effect:break_attack, target:unit_all, val:0.05, lowest_val:1000, count:-1, color:yellow, block01:jammer]</t>
  </si>
  <si>
    <t>[effect:enemy_message, val1:1.6, val2:2.4],[effect:damage_anti_tribe, target:unit_all, tribe:samurai, val1:0.2, val2:0.6]</t>
  </si>
  <si>
    <t>[effect:enemy_message, val1:1.6, val2:1.2],[effect:fix_speed, target:myself, turn:1],[effect:tolerance, target:myself, turn:-1, count:-1, tolerance_effect:all, animation:enemy_tolerance]</t>
  </si>
  <si>
    <t>[effect:enemy_message, val1:1.5, val2:1.2],[effect:enhance_enemy, target:myself, turn:-1, status:attack, val:0.5, calc:mul, animation:enemy_enhance_attack]</t>
  </si>
  <si>
    <t>[effect:enemy_message, val1:1.2, val2:1.9],[effect:dis_heart, turn:3, animation:enemy_dis_heart],[effect:rush, count:6, val:0.2]</t>
  </si>
  <si>
    <t>[effect:enemy_message, val1:1.2, val2:1.3],[effect:break_attack, target:unit_one, val:0.1, lowest_val:1000, count:-1, color:green, block01:block_heart]</t>
  </si>
  <si>
    <t>[effect:enemy_message, val1:1.2, val2:1.2],[effect:fix_speed, target:myself, turn:1]</t>
  </si>
  <si>
    <t>[effect:enemy_message, val1:1.2, val2:1.2],[effect:enhance_enemy, target:enemy_all, turn:-1, status:attack, val:1.1, calc:mul, animation:enemy_enhance_attack]</t>
  </si>
  <si>
    <t>[effect:enemy_message, val1:1.2, val2:1.2],[effect:rush, count:4, val:0.3]</t>
  </si>
  <si>
    <t>[effect:enemy_message, val1:1.3, val2:1.2],[effect:enhance_enemy, target:myself, turn:-1, status:attack, val:0.8, calc:mul, animation:enemy_enhance_attack]</t>
  </si>
  <si>
    <t>[effect:enemy_message, val1:1.4, val2:2.0],[effect:fix_speed, target:myself, turn:2],[effect:tolerance, target:myself, turn:-1, count:-1, tolerance_effect:all, animation:enemy_tolerance],[effect:change_panel_ratio, turn:-1, block_type:heal, val:0.4, animation:block_incidence04]</t>
  </si>
  <si>
    <t>[effect:enemy_message, val1:1.3, val2:2.1],[effect:damage_anti_tribe, target:unit_all, tribe:machine, val1:1, val2:0.3]</t>
  </si>
  <si>
    <t>[effect:enemy_message, val1:1.2, val2:1.5],[effect:break_attack, target:unit_all, val:0.1, lowest_val:1000, count:-1, color:yellow, block01:jammer]</t>
  </si>
  <si>
    <t>[effect:enemy_message, val1:1.6, val2:2.0],[effect:fix_speed, target:myself, turn:2],[effect:tolerance, target:myself, turn:-1, count:-1, tolerance_effect:all, animation:enemy_tolerance],[effect:change_panel_ratio, turn:-1, block_type:heal, val:0.4, animation:block_incidence04]</t>
  </si>
  <si>
    <t>[effect:enemy_message, val1:1.3, val2:2.0],[effect:fix_speed, target:myself, turn:2],[effect:tolerance, target:myself, turn:-1, count:-1, tolerance_effect:all, animation:enemy_tolerance],[effect:change_panel_ratio, turn:-1, block_type:heal, val:0.4, animation:block_incidence04]</t>
  </si>
  <si>
    <t>[effect:enemy_message, val1:1.4, val2:2.0],[effect:fix_speed, target:myself, turn:1],[effect:tolerance, target:myself, turn:-1, count:-1, tolerance_effect:all, animation:enemy_tolerance],[effect:change_panel_ratio, turn:-1, block_type:heal, val:0.5, animation:block_incidence04]</t>
  </si>
  <si>
    <t>[effect:enemy_message, val1:1.4, val2:1.8],[effect:fix_speed, target:myself, turn:1],[effect:tolerance, target:myself, turn:-1, count:-1, tolerance_effect:all, animation:enemy_tolerance],[effect:change_panel_ratio, turn:-1, block_type:red, val:0.6, animation:block_incidence04]</t>
  </si>
  <si>
    <t>[effect:enemy_message, val1:2.0, val2:2.4]</t>
  </si>
  <si>
    <t>[effect:enemy_message, val1:1.7, val2:2.3]</t>
  </si>
  <si>
    <t>[effect:enemy_message, val1:2.1, val2:2.1]</t>
  </si>
  <si>
    <t>攻撃力大UP</t>
    <rPh sb="0" eb="3">
      <t>コウゲｋ</t>
    </rPh>
    <phoneticPr fontId="5"/>
  </si>
  <si>
    <t>敵全体の攻撃力超大UP</t>
    <rPh sb="0" eb="1">
      <t>テｋ</t>
    </rPh>
    <rPh sb="1" eb="3">
      <t>テｋ</t>
    </rPh>
    <rPh sb="4" eb="7">
      <t>コウゲｋ</t>
    </rPh>
    <phoneticPr fontId="5"/>
  </si>
  <si>
    <t>状態異常耐性+3ターン防御力大UP</t>
    <rPh sb="0" eb="6">
      <t>ｊｙ</t>
    </rPh>
    <rPh sb="11" eb="14">
      <t>ボ</t>
    </rPh>
    <phoneticPr fontId="5"/>
  </si>
  <si>
    <t>状態異常耐性+3ターン攻撃力大UP</t>
    <rPh sb="0" eb="6">
      <t>ｊｙ</t>
    </rPh>
    <rPh sb="11" eb="14">
      <t>コ</t>
    </rPh>
    <phoneticPr fontId="5"/>
  </si>
  <si>
    <t>ハートパネルが出現しない+防御力大UP</t>
    <rPh sb="7" eb="9">
      <t>ｓｙ</t>
    </rPh>
    <rPh sb="13" eb="16">
      <t>ボ</t>
    </rPh>
    <phoneticPr fontId="5"/>
  </si>
  <si>
    <t>属性パネルプロテクト(最大10個)+
2ターン全ユニットのタップ回数を2DOWN</t>
    <rPh sb="11" eb="13">
      <t>サ</t>
    </rPh>
    <rPh sb="15" eb="16">
      <t>コ</t>
    </rPh>
    <phoneticPr fontId="5"/>
  </si>
  <si>
    <t>攻撃力超大UP+4回連続攻撃</t>
    <rPh sb="0" eb="3">
      <t>コウゲｋ</t>
    </rPh>
    <rPh sb="9" eb="10">
      <t>カ</t>
    </rPh>
    <rPh sb="10" eb="14">
      <t>レンゾｋ</t>
    </rPh>
    <phoneticPr fontId="5"/>
  </si>
  <si>
    <t>[effect:enemy_message, val1:1.2, val2:2.1],[effect:force_change_block, new_block:jammer, target:block_heart, count:0, val:0],[effect:rush, count:1, val:1]</t>
  </si>
  <si>
    <t>[effect:enemy_message, val1:1.2, val2:1.6],[effect:force_change_block, new_block:jammer, target:block_heart, count:0, val:0]</t>
  </si>
  <si>
    <t>貂蝉は変換したお邪魔パネルを
吸収して強力な攻撃を行います
お邪魔パネルを処理できるスキルや
アビリティが役に立つでしょう</t>
    <phoneticPr fontId="5"/>
  </si>
  <si>
    <t>蛟龍の1ゲージ目は攻撃力DOWNや
パネルプロテクトにタップ回数DOWNなど
様々な妨害を行ってきます</t>
    <rPh sb="7" eb="8">
      <t>メ</t>
    </rPh>
    <phoneticPr fontId="5"/>
  </si>
  <si>
    <t>3ターン全ユニットの攻撃力50%DOWN+単体攻撃</t>
    <rPh sb="10" eb="13">
      <t>コウゲｋ</t>
    </rPh>
    <rPh sb="23" eb="25">
      <t>コ</t>
    </rPh>
    <phoneticPr fontId="5"/>
  </si>
  <si>
    <t>3ターンハートパネル無効+
ハートパネルプロテクト+単体攻撃</t>
    <rPh sb="10" eb="12">
      <t>ムコ</t>
    </rPh>
    <rPh sb="28" eb="30">
      <t>コウゲｋ</t>
    </rPh>
    <phoneticPr fontId="5"/>
  </si>
  <si>
    <t>ハートパネルをお邪魔パネルに変換+単体攻撃</t>
    <rPh sb="14" eb="16">
      <t>ヘｎ</t>
    </rPh>
    <rPh sb="19" eb="21">
      <t>タンタ</t>
    </rPh>
    <phoneticPr fontId="5"/>
  </si>
  <si>
    <t>3ターン全ユニットの回復力60%DOWN+
ハートパネルプロテクト+単体攻撃</t>
    <rPh sb="4" eb="5">
      <t>ゼｎ</t>
    </rPh>
    <rPh sb="10" eb="13">
      <t>カ</t>
    </rPh>
    <rPh sb="36" eb="38">
      <t>コウゲｋ</t>
    </rPh>
    <phoneticPr fontId="5"/>
  </si>
  <si>
    <t>[effect:enemy_message, val1:1.2, val2:1.6],[effect:enhance_enemy, target:myself, turn:3, status:attack, val:1.2, calc:mul, animation:enemy_enhance_attack]</t>
  </si>
  <si>
    <t>[effect:enemy_message, val1:1.2, val2:1.7],[effect:fix_speed, target:myself, turn:1],[effect:tolerance, target:myself, turn:-1, count:-1, tolerance_effect:all, animation:enemy_tolerance],[effect:enhance_enemy, target:myself, turn:3, status:defense, val:5000, calc:add, animation:enemy_enhance_defense]</t>
  </si>
  <si>
    <t>[effect:enemy_message, val1:1.2, val2:3.9],[effect:panel_freeze, target:normal, count:10],[effect:degrade_unit, target:unit_all, turn:2, status:action, val:2, calc:add, animation:enemy_tap_down]</t>
  </si>
  <si>
    <t>[effect:enemy_message, val1:1.6, val2:1.7],[effect:fix_speed, target:myself, turn:1],[effect:tolerance, target:myself, turn:-1, count:-1, tolerance_effect:all, animation:enemy_tolerance],[effect:enhance_enemy, target:myself, turn:3, status:attack, val:0.6, calc:mul, animation:enemy_enhance_attack]</t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</si>
  <si>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</t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</si>
  <si>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t>
  </si>
  <si>
    <t>[effect:enemy_message, val1:1.2, val2:4.4],[effect:damage_anti_tribe,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t>
  </si>
  <si>
    <t>[effect:enemy_message, val1:1.2, val2:2.9],[effect:dis_heart, turn:3, animation:enemy_dis_heart],[effect:panel_freeze, target:normal, color:block_heart, count:-1],[effect:rush, count:1, val:1]</t>
  </si>
  <si>
    <t>[effect:enemy_message, val1:1.3, val2:4.4],[effect:damage_anti_tribe, target:unit_one, tribe:samurai, val1:0.3, val2:0.6],[effect:damage_anti_tribe, target:unit_one, tribe:samurai, val1:0.3, val2:0.6],[effect:damage_anti_tribe, target:unit_one, tribe:samurai, val1:0.3, val2:0.6]</t>
  </si>
  <si>
    <t>[effect:enemy_message, val1:1.4, val2:1.4],[effect:enhance_enemy, target:myself, turn:-1, status:attack, val:1.2, calc:mul, animation:enemy_enhance_attack],[effect:rush, count:4, val:0.3]</t>
  </si>
  <si>
    <t>[effect:enemy_message, val1:1.2, val2:3.7],[effect:degrade_unit, target:unit_all, turn:3, status:heal, val:0.6, calc:mul, animation:degrade_unit_all_heal],[effect:panel_freeze, target:normal, color:block_heart, count:-1],[effect:rush, count:1, val:1]</t>
  </si>
  <si>
    <t>[effect:enemy_message, val1:1.2, val2:4.2],[effect:degrade_unit, target:unit_all, turn:3, status:heal, val:0.6, calc:mul, animation:degrade_unit_all_heal],[effect:panel_freeze, target:normal, color:block_red, count:-1],[effect:panel_freeze, target:normal, color:block_heart, count:-1],[effect:rush, count:1, val:1]</t>
  </si>
  <si>
    <t>[effect:enemy_message, val1:1.2, val2:1.5],[effect:break_attack, target:unit_all, val:0.03, lowest_val:1000, count:-1, color:yellow, block01:jammer]</t>
  </si>
  <si>
    <t>[effect:enemy_message, val1:1.2, val2:1.9],[effect:fix_speed, target:myself, turn:1],[effect:change_panel_ratio, turn:-1, block_type:heal, val:0.0, animation:block_incidence04],[effect:enhance_enemy, target:myself, turn:-1, status:defense, val:5000, calc:add, animation:enemy_enhance_defense]</t>
  </si>
  <si>
    <t>自身の行動頻度UP</t>
    <rPh sb="3" eb="7">
      <t>コウド</t>
    </rPh>
    <phoneticPr fontId="5"/>
  </si>
  <si>
    <t>3ターン自身の攻撃力超大UP</t>
    <rPh sb="7" eb="10">
      <t>コウゲｋ</t>
    </rPh>
    <phoneticPr fontId="5"/>
  </si>
  <si>
    <t>種族サムライ以外に大ダメージの3回連続攻撃
(種族サムライを優先して攻撃)</t>
    <phoneticPr fontId="5"/>
  </si>
  <si>
    <t>種族サムライ以外に大ダメージの4回連続攻撃
(種族サムライを優先して攻撃)</t>
  </si>
  <si>
    <t>種族サムライ以外に大ダメージの5回連続攻撃
(種族サムライを優先して攻撃)</t>
  </si>
  <si>
    <t>3ターン全ユニットの回復力60%DOWN+
赤&amp;ハートパネルプロテクト+単体攻撃</t>
    <rPh sb="4" eb="5">
      <t>ゼｎ</t>
    </rPh>
    <rPh sb="10" eb="13">
      <t>カイフｋ</t>
    </rPh>
    <rPh sb="22" eb="23">
      <t>アｋ</t>
    </rPh>
    <rPh sb="38" eb="40">
      <t>コウゲｋ</t>
    </rPh>
    <phoneticPr fontId="5"/>
  </si>
  <si>
    <t>ゴクウは種族サムライ以外
タイチは種族マシンに対して
それぞれ大ダメージの攻撃を行います
パーティ編成時に注意しておきましょう</t>
    <phoneticPr fontId="5"/>
  </si>
  <si>
    <t>曹操の3ゲージ目は回復力DOWNや
赤・ハートパネルをプロテクトしたり
お邪魔パネルに変換するスキルを使用します</t>
    <rPh sb="7" eb="8">
      <t>メ</t>
    </rPh>
    <phoneticPr fontId="5"/>
  </si>
  <si>
    <t>[effect:enemy_message, val1:1.2, val2:2.5],[effect:attack_break, target:unit_all, turn:3, val:0.5, calc:mul, animation:attack_break02],[effect:rush, count:1, val:1]</t>
    <phoneticPr fontId="5"/>
  </si>
  <si>
    <t>属性パネルをお邪魔パネルに最大5個変換+単体攻撃</t>
    <rPh sb="13" eb="15">
      <t>サ</t>
    </rPh>
    <rPh sb="16" eb="17">
      <t>コ</t>
    </rPh>
    <rPh sb="17" eb="19">
      <t>ヘンカｎ</t>
    </rPh>
    <rPh sb="22" eb="24">
      <t>コウゲｋ</t>
    </rPh>
    <phoneticPr fontId="5"/>
  </si>
  <si>
    <t>[effect:enemy_message, val1:1.2, val2:2.4],[effect:force_change_block, new_block:jammer, target:normal, count:5, val:0],[effect:rush, count:1, val:1]</t>
    <phoneticPr fontId="5"/>
  </si>
  <si>
    <t>[effect:enemy_message, val1:1.2, val2:2.4],[effect:force_change_block, new_block:jammer, target:normal, count:5, val:0],[effect:rush, count:1, val:1]</t>
    <phoneticPr fontId="5"/>
  </si>
  <si>
    <t>[effect:enemy_message, val1:1.2, val2:2.4],[effect:force_change_block, new_block:jammer, target:normal, count:5, val:0],[effect:rush, count:1, val:1]</t>
    <phoneticPr fontId="5"/>
  </si>
  <si>
    <t>[effect:enemy_message, val1:1.2, val2:2.5],[effect:force_change_block, new_block:damage, target:normal, count:8, val:0.06],[effect:rush, count:1, val:1]</t>
    <phoneticPr fontId="5"/>
  </si>
  <si>
    <t>属性パネルを黄のダメージパネルに最大8個変換+
単体攻撃</t>
    <rPh sb="20" eb="22">
      <t>ヘンカｎ</t>
    </rPh>
    <rPh sb="26" eb="28">
      <t>コウゲｋ</t>
    </rPh>
    <phoneticPr fontId="5"/>
  </si>
  <si>
    <t>[effect:enemy_message, val1:1.2, val2:2.5],[effect:force_change_block, new_block:damage, target:normal, count:8, val:0.06],[effect:rush, count:1, val:1]</t>
    <phoneticPr fontId="5"/>
  </si>
  <si>
    <t>属性パネルを黄のダメージパネルに最大8個変換+
単体攻撃</t>
    <phoneticPr fontId="5"/>
  </si>
  <si>
    <t>[effect:enemy_message, val1:1.2, val2:2.1],[effect:force_change_block, new_block:jammer, target:normal, ignore01:block_yellow, ignore02:block_green, ignore03:block_blue, count:0, val:0]</t>
    <phoneticPr fontId="5"/>
  </si>
  <si>
    <t>1ターン赤パネルとハートパネル吸収して攻撃力UP+
4回連続攻撃</t>
    <rPh sb="4" eb="5">
      <t>アｋ</t>
    </rPh>
    <rPh sb="15" eb="17">
      <t>キュウシュ</t>
    </rPh>
    <rPh sb="19" eb="22">
      <t>コウゲｋ</t>
    </rPh>
    <rPh sb="27" eb="28">
      <t>カ</t>
    </rPh>
    <rPh sb="28" eb="32">
      <t>レｎ</t>
    </rPh>
    <phoneticPr fontId="5"/>
  </si>
  <si>
    <t>[effect:enemy_message, val1:1.2, val2:2.7],[effect:break_enchance_enemy, target:myself, val:0.1, lowest_val:1, count:-1, status:attack, turn:1, block01:block_red, block02:block_heart, calc:mul, animation:enemy_enhance_attack],[effect:rush, count:4, val:0.25]</t>
    <phoneticPr fontId="5"/>
  </si>
  <si>
    <t>属性パネルを強力な青のダメージパネルに
最大4個変換+単体攻撃</t>
    <rPh sb="24" eb="26">
      <t>ヘンカｎ</t>
    </rPh>
    <rPh sb="29" eb="31">
      <t>コウゲｋ</t>
    </rPh>
    <phoneticPr fontId="5"/>
  </si>
  <si>
    <t>属性パネルを強力な青のダメージパネルに
最大4個変換+単体攻撃</t>
    <phoneticPr fontId="5"/>
  </si>
  <si>
    <t>[effect:enemy_message, val1:1.2, val2:2.8],[effect:force_change_block, new_block:damage, target:normal, count:4, val:0.25],[effect:rush, count:1, val:1]</t>
    <phoneticPr fontId="5"/>
  </si>
  <si>
    <t>[effect:enemy_message, val1:1.2, val2:2.8],[effect:force_change_block, new_block:damage, target:normal, count:4, val:0.3],[effect:rush, count:1, val:1]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</si>
</sst>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11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0" borderId="7" xfId="0" applyFont="1" applyFill="1" applyBorder="1" applyAlignment="1">
      <alignment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16" fillId="13" borderId="7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wrapText="1"/>
    </xf>
    <xf numFmtId="38" fontId="16" fillId="0" borderId="7" xfId="628" applyFont="1" applyFill="1" applyBorder="1" applyAlignment="1">
      <alignment vertical="top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48504</v>
          </cell>
        </row>
        <row r="263">
          <cell r="A263">
            <v>48701</v>
          </cell>
        </row>
        <row r="264">
          <cell r="A264">
            <v>48702</v>
          </cell>
        </row>
        <row r="265">
          <cell r="A265">
            <v>41001</v>
          </cell>
        </row>
        <row r="266">
          <cell r="A266">
            <v>41002</v>
          </cell>
        </row>
        <row r="267">
          <cell r="A267">
            <v>41003</v>
          </cell>
        </row>
        <row r="268">
          <cell r="A268">
            <v>41004</v>
          </cell>
        </row>
        <row r="269">
          <cell r="A269">
            <v>41005</v>
          </cell>
        </row>
        <row r="270">
          <cell r="A270">
            <v>41006</v>
          </cell>
        </row>
        <row r="271">
          <cell r="A271">
            <v>41007</v>
          </cell>
        </row>
        <row r="272">
          <cell r="A272">
            <v>41008</v>
          </cell>
        </row>
        <row r="273">
          <cell r="A273">
            <v>41009</v>
          </cell>
        </row>
        <row r="274">
          <cell r="A274">
            <v>41010</v>
          </cell>
        </row>
        <row r="275">
          <cell r="A275">
            <v>41011</v>
          </cell>
        </row>
        <row r="276">
          <cell r="A276">
            <v>41012</v>
          </cell>
        </row>
        <row r="277">
          <cell r="A277">
            <v>41013</v>
          </cell>
        </row>
        <row r="278">
          <cell r="A278">
            <v>41014</v>
          </cell>
        </row>
        <row r="279">
          <cell r="A279">
            <v>41015</v>
          </cell>
        </row>
        <row r="280">
          <cell r="A280">
            <v>47001</v>
          </cell>
        </row>
        <row r="281">
          <cell r="A281">
            <v>47002</v>
          </cell>
        </row>
        <row r="282">
          <cell r="A282">
            <v>47003</v>
          </cell>
        </row>
        <row r="283">
          <cell r="A283">
            <v>47004</v>
          </cell>
        </row>
        <row r="284">
          <cell r="A284">
            <v>47005</v>
          </cell>
        </row>
        <row r="285">
          <cell r="A285">
            <v>47006</v>
          </cell>
        </row>
        <row r="286">
          <cell r="A286">
            <v>47007</v>
          </cell>
        </row>
        <row r="287">
          <cell r="A287">
            <v>47008</v>
          </cell>
        </row>
        <row r="288">
          <cell r="A288">
            <v>47009</v>
          </cell>
        </row>
        <row r="289">
          <cell r="A289">
            <v>47010</v>
          </cell>
        </row>
        <row r="290">
          <cell r="A290">
            <v>47011</v>
          </cell>
        </row>
        <row r="291">
          <cell r="A291">
            <v>47012</v>
          </cell>
        </row>
        <row r="292">
          <cell r="A292">
            <v>47013</v>
          </cell>
        </row>
        <row r="293">
          <cell r="A293">
            <v>47014</v>
          </cell>
        </row>
        <row r="294">
          <cell r="A294">
            <v>47015</v>
          </cell>
        </row>
        <row r="295">
          <cell r="A295">
            <v>47016</v>
          </cell>
        </row>
        <row r="296">
          <cell r="A296">
            <v>49001</v>
          </cell>
        </row>
        <row r="297">
          <cell r="A297">
            <v>49002</v>
          </cell>
        </row>
        <row r="298">
          <cell r="A298">
            <v>49003</v>
          </cell>
        </row>
        <row r="299">
          <cell r="A299">
            <v>49004</v>
          </cell>
        </row>
        <row r="300">
          <cell r="A300">
            <v>49005</v>
          </cell>
        </row>
        <row r="301">
          <cell r="A301">
            <v>49006</v>
          </cell>
        </row>
        <row r="302">
          <cell r="A302">
            <v>49007</v>
          </cell>
        </row>
        <row r="303">
          <cell r="A303">
            <v>49008</v>
          </cell>
        </row>
        <row r="304">
          <cell r="A304">
            <v>49009</v>
          </cell>
        </row>
        <row r="305">
          <cell r="A305">
            <v>49010</v>
          </cell>
        </row>
        <row r="306">
          <cell r="A306">
            <v>49011</v>
          </cell>
        </row>
        <row r="307">
          <cell r="A307">
            <v>49012</v>
          </cell>
        </row>
        <row r="308">
          <cell r="A308">
            <v>49013</v>
          </cell>
        </row>
        <row r="309">
          <cell r="A309">
            <v>49014</v>
          </cell>
        </row>
        <row r="310">
          <cell r="A310">
            <v>49015</v>
          </cell>
        </row>
        <row r="311">
          <cell r="A311">
            <v>49016</v>
          </cell>
        </row>
        <row r="312">
          <cell r="A312">
            <v>50001</v>
          </cell>
        </row>
        <row r="313">
          <cell r="A313">
            <v>50002</v>
          </cell>
        </row>
        <row r="314">
          <cell r="A314">
            <v>50003</v>
          </cell>
        </row>
        <row r="315">
          <cell r="A315">
            <v>50004</v>
          </cell>
        </row>
        <row r="316">
          <cell r="A316">
            <v>50005</v>
          </cell>
        </row>
        <row r="317">
          <cell r="A317">
            <v>50006</v>
          </cell>
        </row>
        <row r="318">
          <cell r="A318">
            <v>50007</v>
          </cell>
        </row>
        <row r="319">
          <cell r="A319">
            <v>50008</v>
          </cell>
        </row>
        <row r="320">
          <cell r="A320">
            <v>50009</v>
          </cell>
        </row>
        <row r="321">
          <cell r="A321">
            <v>50010</v>
          </cell>
        </row>
        <row r="322">
          <cell r="A322">
            <v>50011</v>
          </cell>
        </row>
        <row r="323">
          <cell r="A323">
            <v>50012</v>
          </cell>
        </row>
        <row r="324">
          <cell r="A324">
            <v>50013</v>
          </cell>
        </row>
        <row r="325">
          <cell r="A325">
            <v>50014</v>
          </cell>
        </row>
        <row r="326">
          <cell r="A326">
            <v>50015</v>
          </cell>
        </row>
        <row r="327">
          <cell r="A327">
            <v>50016</v>
          </cell>
        </row>
        <row r="328">
          <cell r="A328">
            <v>51001</v>
          </cell>
        </row>
        <row r="329">
          <cell r="A329">
            <v>51002</v>
          </cell>
        </row>
        <row r="330">
          <cell r="A330">
            <v>58001</v>
          </cell>
        </row>
        <row r="331">
          <cell r="A331">
            <v>58002</v>
          </cell>
        </row>
        <row r="332">
          <cell r="A332">
            <v>58003</v>
          </cell>
        </row>
        <row r="333">
          <cell r="A333">
            <v>58101</v>
          </cell>
        </row>
        <row r="334">
          <cell r="A334">
            <v>59001</v>
          </cell>
        </row>
        <row r="335">
          <cell r="A335">
            <v>59002</v>
          </cell>
        </row>
        <row r="336">
          <cell r="A336">
            <v>59003</v>
          </cell>
        </row>
        <row r="337">
          <cell r="A337">
            <v>60001</v>
          </cell>
        </row>
        <row r="338">
          <cell r="A338">
            <v>60002</v>
          </cell>
        </row>
        <row r="339">
          <cell r="A339">
            <v>60003</v>
          </cell>
        </row>
        <row r="340">
          <cell r="A340">
            <v>60004</v>
          </cell>
        </row>
        <row r="341">
          <cell r="A341">
            <v>60005</v>
          </cell>
        </row>
        <row r="342">
          <cell r="A342">
            <v>60006</v>
          </cell>
        </row>
        <row r="343">
          <cell r="A343">
            <v>60007</v>
          </cell>
        </row>
        <row r="344">
          <cell r="A344">
            <v>60010</v>
          </cell>
        </row>
        <row r="345">
          <cell r="A345">
            <v>60011</v>
          </cell>
        </row>
        <row r="346">
          <cell r="A346">
            <v>61011</v>
          </cell>
        </row>
        <row r="347">
          <cell r="A347">
            <v>60012</v>
          </cell>
        </row>
        <row r="348">
          <cell r="A348">
            <v>60013</v>
          </cell>
        </row>
        <row r="349">
          <cell r="A349">
            <v>60014</v>
          </cell>
        </row>
        <row r="350">
          <cell r="A350">
            <v>60015</v>
          </cell>
        </row>
        <row r="351">
          <cell r="A351">
            <v>60016</v>
          </cell>
        </row>
        <row r="352">
          <cell r="A352">
            <v>60017</v>
          </cell>
        </row>
        <row r="353">
          <cell r="A353">
            <v>60018</v>
          </cell>
        </row>
        <row r="354">
          <cell r="A354">
            <v>60019</v>
          </cell>
        </row>
        <row r="355">
          <cell r="A355">
            <v>60020</v>
          </cell>
        </row>
        <row r="356">
          <cell r="A356">
            <v>60025</v>
          </cell>
        </row>
        <row r="357">
          <cell r="A357">
            <v>60026</v>
          </cell>
        </row>
        <row r="358">
          <cell r="A358">
            <v>60027</v>
          </cell>
        </row>
        <row r="359">
          <cell r="A359">
            <v>60028</v>
          </cell>
        </row>
        <row r="360">
          <cell r="A360">
            <v>60029</v>
          </cell>
        </row>
        <row r="361">
          <cell r="A361">
            <v>60030</v>
          </cell>
        </row>
        <row r="362">
          <cell r="A362">
            <v>60031</v>
          </cell>
        </row>
        <row r="363">
          <cell r="A363">
            <v>60032</v>
          </cell>
        </row>
        <row r="364">
          <cell r="A364">
            <v>61001</v>
          </cell>
        </row>
        <row r="365">
          <cell r="A365">
            <v>65523</v>
          </cell>
        </row>
        <row r="366">
          <cell r="A366">
            <v>65524</v>
          </cell>
        </row>
        <row r="367">
          <cell r="A367">
            <v>65525</v>
          </cell>
        </row>
        <row r="368">
          <cell r="A368">
            <v>65526</v>
          </cell>
        </row>
        <row r="369">
          <cell r="A369">
            <v>65527</v>
          </cell>
        </row>
        <row r="370">
          <cell r="A370">
            <v>65528</v>
          </cell>
        </row>
        <row r="371">
          <cell r="A371">
            <v>65529</v>
          </cell>
        </row>
        <row r="372">
          <cell r="A372">
            <v>65530</v>
          </cell>
        </row>
        <row r="373">
          <cell r="A373">
            <v>65531</v>
          </cell>
        </row>
        <row r="374">
          <cell r="A374">
            <v>65532</v>
          </cell>
        </row>
        <row r="375">
          <cell r="A375">
            <v>65533</v>
          </cell>
        </row>
        <row r="376">
          <cell r="A376">
            <v>65534</v>
          </cell>
        </row>
        <row r="377">
          <cell r="A377">
            <v>65535</v>
          </cell>
        </row>
        <row r="378">
          <cell r="A378">
            <v>60021</v>
          </cell>
        </row>
        <row r="379">
          <cell r="A379">
            <v>60022</v>
          </cell>
        </row>
        <row r="380">
          <cell r="A380">
            <v>60023</v>
          </cell>
        </row>
        <row r="381">
          <cell r="A38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41003_4</v>
          </cell>
        </row>
        <row r="819">
          <cell r="A819" t="str">
            <v>41004_1</v>
          </cell>
        </row>
        <row r="820">
          <cell r="A820" t="str">
            <v>41004_2</v>
          </cell>
        </row>
        <row r="821">
          <cell r="A821" t="str">
            <v>41004_3</v>
          </cell>
        </row>
        <row r="822">
          <cell r="A822" t="str">
            <v>41005_1</v>
          </cell>
        </row>
        <row r="823">
          <cell r="A823" t="str">
            <v>41005_2</v>
          </cell>
        </row>
        <row r="824">
          <cell r="A824" t="str">
            <v>41005_3</v>
          </cell>
        </row>
        <row r="825">
          <cell r="A825" t="str">
            <v>41006_1</v>
          </cell>
        </row>
        <row r="826">
          <cell r="A826" t="str">
            <v>41006_2</v>
          </cell>
        </row>
        <row r="827">
          <cell r="A827" t="str">
            <v>41006_3</v>
          </cell>
        </row>
        <row r="828">
          <cell r="A828" t="str">
            <v>41007_1</v>
          </cell>
        </row>
        <row r="829">
          <cell r="A829" t="str">
            <v>41007_2</v>
          </cell>
        </row>
        <row r="830">
          <cell r="A830" t="str">
            <v>41007_3</v>
          </cell>
        </row>
        <row r="831">
          <cell r="A831" t="str">
            <v>41008_1</v>
          </cell>
        </row>
        <row r="832">
          <cell r="A832" t="str">
            <v>41008_2</v>
          </cell>
        </row>
        <row r="833">
          <cell r="A833" t="str">
            <v>41008_3</v>
          </cell>
        </row>
        <row r="834">
          <cell r="A834" t="str">
            <v>41009_1</v>
          </cell>
        </row>
        <row r="835">
          <cell r="A835" t="str">
            <v>41009_2</v>
          </cell>
        </row>
        <row r="836">
          <cell r="A836" t="str">
            <v>41009_3</v>
          </cell>
        </row>
        <row r="837">
          <cell r="A837" t="str">
            <v>41010_1</v>
          </cell>
        </row>
        <row r="838">
          <cell r="A838" t="str">
            <v>41010_2</v>
          </cell>
        </row>
        <row r="839">
          <cell r="A839" t="str">
            <v>41010_3</v>
          </cell>
        </row>
        <row r="840">
          <cell r="A840" t="str">
            <v>41011_1</v>
          </cell>
        </row>
        <row r="841">
          <cell r="A841" t="str">
            <v>41011_2</v>
          </cell>
        </row>
        <row r="842">
          <cell r="A842" t="str">
            <v>41012_1</v>
          </cell>
        </row>
        <row r="843">
          <cell r="A843" t="str">
            <v>41012_2</v>
          </cell>
        </row>
        <row r="844">
          <cell r="A844" t="str">
            <v>41013_1</v>
          </cell>
        </row>
        <row r="845">
          <cell r="A845" t="str">
            <v>41013_2</v>
          </cell>
        </row>
        <row r="846">
          <cell r="A846" t="str">
            <v>41014_1</v>
          </cell>
        </row>
        <row r="847">
          <cell r="A847" t="str">
            <v>41014_2</v>
          </cell>
        </row>
        <row r="848">
          <cell r="A848" t="str">
            <v>41015_1</v>
          </cell>
        </row>
        <row r="849">
          <cell r="A849" t="str">
            <v>41015_2</v>
          </cell>
        </row>
        <row r="850">
          <cell r="A850" t="str">
            <v>47001_1</v>
          </cell>
        </row>
        <row r="851">
          <cell r="A851" t="str">
            <v>47001_2</v>
          </cell>
        </row>
        <row r="852">
          <cell r="A852" t="str">
            <v>47002_1</v>
          </cell>
        </row>
        <row r="853">
          <cell r="A853" t="str">
            <v>47002_2</v>
          </cell>
        </row>
        <row r="854">
          <cell r="A854" t="str">
            <v>47003_1</v>
          </cell>
        </row>
        <row r="855">
          <cell r="A855" t="str">
            <v>47003_2</v>
          </cell>
        </row>
        <row r="856">
          <cell r="A856" t="str">
            <v>47003_3</v>
          </cell>
        </row>
        <row r="857">
          <cell r="A857" t="str">
            <v>47003_4</v>
          </cell>
        </row>
        <row r="858">
          <cell r="A858" t="str">
            <v>47004_1</v>
          </cell>
        </row>
        <row r="859">
          <cell r="A859" t="str">
            <v>47004_2</v>
          </cell>
        </row>
        <row r="860">
          <cell r="A860" t="str">
            <v>47004_3</v>
          </cell>
        </row>
        <row r="861">
          <cell r="A861" t="str">
            <v>47004_4</v>
          </cell>
        </row>
        <row r="862">
          <cell r="A862" t="str">
            <v>47005_1</v>
          </cell>
        </row>
        <row r="863">
          <cell r="A863" t="str">
            <v>47006_1</v>
          </cell>
        </row>
        <row r="864">
          <cell r="A864" t="str">
            <v>47006_2</v>
          </cell>
        </row>
        <row r="865">
          <cell r="A865" t="str">
            <v>47007_1</v>
          </cell>
        </row>
        <row r="866">
          <cell r="A866" t="str">
            <v>47007_2</v>
          </cell>
        </row>
        <row r="867">
          <cell r="A867" t="str">
            <v>47008_1</v>
          </cell>
        </row>
        <row r="868">
          <cell r="A868" t="str">
            <v>47008_2</v>
          </cell>
        </row>
        <row r="869">
          <cell r="A869" t="str">
            <v>47009_1</v>
          </cell>
        </row>
        <row r="870">
          <cell r="A870" t="str">
            <v>47009_2</v>
          </cell>
        </row>
        <row r="871">
          <cell r="A871" t="str">
            <v>47010_1</v>
          </cell>
        </row>
        <row r="872">
          <cell r="A872" t="str">
            <v>47010_2</v>
          </cell>
        </row>
        <row r="873">
          <cell r="A873" t="str">
            <v>47011_1</v>
          </cell>
        </row>
        <row r="874">
          <cell r="A874" t="str">
            <v>47012_1</v>
          </cell>
        </row>
        <row r="875">
          <cell r="A875" t="str">
            <v>47012_2</v>
          </cell>
        </row>
        <row r="876">
          <cell r="A876" t="str">
            <v>47013_1</v>
          </cell>
        </row>
        <row r="877">
          <cell r="A877" t="str">
            <v>47013_2</v>
          </cell>
        </row>
        <row r="878">
          <cell r="A878" t="str">
            <v>47013_3</v>
          </cell>
        </row>
        <row r="879">
          <cell r="A879" t="str">
            <v>47013_4</v>
          </cell>
        </row>
        <row r="880">
          <cell r="A880" t="str">
            <v>47014_1</v>
          </cell>
        </row>
        <row r="881">
          <cell r="A881" t="str">
            <v>47014_2</v>
          </cell>
        </row>
        <row r="882">
          <cell r="A882" t="str">
            <v>47014_3</v>
          </cell>
        </row>
        <row r="883">
          <cell r="A883" t="str">
            <v>47015_1</v>
          </cell>
        </row>
        <row r="884">
          <cell r="A884" t="str">
            <v>47015_2</v>
          </cell>
        </row>
        <row r="885">
          <cell r="A885" t="str">
            <v>47015_3</v>
          </cell>
        </row>
        <row r="886">
          <cell r="A886" t="str">
            <v>47016_1</v>
          </cell>
        </row>
        <row r="887">
          <cell r="A887" t="str">
            <v>47016_2</v>
          </cell>
        </row>
        <row r="888">
          <cell r="A888" t="str">
            <v>47016_3</v>
          </cell>
        </row>
        <row r="889">
          <cell r="A889" t="str">
            <v>48001_1</v>
          </cell>
        </row>
        <row r="890">
          <cell r="A890" t="str">
            <v>48002_1</v>
          </cell>
        </row>
        <row r="891">
          <cell r="A891" t="str">
            <v>48002_2</v>
          </cell>
        </row>
        <row r="892">
          <cell r="A892" t="str">
            <v>48002_3</v>
          </cell>
        </row>
        <row r="893">
          <cell r="A893" t="str">
            <v>48003_1</v>
          </cell>
        </row>
        <row r="894">
          <cell r="A894" t="str">
            <v>48003_2</v>
          </cell>
        </row>
        <row r="895">
          <cell r="A895" t="str">
            <v>48004_1</v>
          </cell>
        </row>
        <row r="896">
          <cell r="A896" t="str">
            <v>48004_2</v>
          </cell>
        </row>
        <row r="897">
          <cell r="A897" t="str">
            <v>48005_1</v>
          </cell>
        </row>
        <row r="898">
          <cell r="A898" t="str">
            <v>48005_2</v>
          </cell>
        </row>
        <row r="899">
          <cell r="A899" t="str">
            <v>48006_1</v>
          </cell>
        </row>
        <row r="900">
          <cell r="A900" t="str">
            <v>48006_2</v>
          </cell>
        </row>
        <row r="901">
          <cell r="A901" t="str">
            <v>48007_1</v>
          </cell>
        </row>
        <row r="902">
          <cell r="A902" t="str">
            <v>48007_2</v>
          </cell>
        </row>
        <row r="903">
          <cell r="A903" t="str">
            <v>48008_1</v>
          </cell>
        </row>
        <row r="904">
          <cell r="A904" t="str">
            <v>48008_2</v>
          </cell>
        </row>
        <row r="905">
          <cell r="A905" t="str">
            <v>48009_1</v>
          </cell>
        </row>
        <row r="906">
          <cell r="A906" t="str">
            <v>48009_2</v>
          </cell>
        </row>
        <row r="907">
          <cell r="A907" t="str">
            <v>48010_1</v>
          </cell>
        </row>
        <row r="908">
          <cell r="A908" t="str">
            <v>48011_1</v>
          </cell>
        </row>
        <row r="909">
          <cell r="A909" t="str">
            <v>48011_2</v>
          </cell>
        </row>
        <row r="910">
          <cell r="A910" t="str">
            <v>48012_1</v>
          </cell>
        </row>
        <row r="911">
          <cell r="A911" t="str">
            <v>48012_2</v>
          </cell>
        </row>
        <row r="912">
          <cell r="A912" t="str">
            <v>48013_1</v>
          </cell>
        </row>
        <row r="913">
          <cell r="A913" t="str">
            <v>48013_2</v>
          </cell>
        </row>
        <row r="914">
          <cell r="A914" t="str">
            <v>48014_1</v>
          </cell>
        </row>
        <row r="915">
          <cell r="A915" t="str">
            <v>48014_2</v>
          </cell>
        </row>
        <row r="916">
          <cell r="A916" t="str">
            <v>48015_1</v>
          </cell>
        </row>
        <row r="917">
          <cell r="A917" t="str">
            <v>48015_2</v>
          </cell>
        </row>
        <row r="918">
          <cell r="A918" t="str">
            <v>48101_1</v>
          </cell>
        </row>
        <row r="919">
          <cell r="A919" t="str">
            <v>48101_2</v>
          </cell>
        </row>
        <row r="920">
          <cell r="A920" t="str">
            <v>48501_1</v>
          </cell>
        </row>
        <row r="921">
          <cell r="A921" t="str">
            <v>48501_2</v>
          </cell>
        </row>
        <row r="922">
          <cell r="A922" t="str">
            <v>48502_1</v>
          </cell>
        </row>
        <row r="923">
          <cell r="A923" t="str">
            <v>48502_2</v>
          </cell>
        </row>
        <row r="924">
          <cell r="A924" t="str">
            <v>48503_1</v>
          </cell>
        </row>
        <row r="925">
          <cell r="A925" t="str">
            <v>48503_2</v>
          </cell>
        </row>
        <row r="926">
          <cell r="A926" t="str">
            <v>48504_1</v>
          </cell>
        </row>
        <row r="927">
          <cell r="A927" t="str">
            <v>48504_2</v>
          </cell>
        </row>
        <row r="928">
          <cell r="A928" t="str">
            <v>48701_1</v>
          </cell>
        </row>
        <row r="929">
          <cell r="A929" t="str">
            <v>48701_2</v>
          </cell>
        </row>
        <row r="930">
          <cell r="A930" t="str">
            <v>48702_1</v>
          </cell>
        </row>
        <row r="931">
          <cell r="A931" t="str">
            <v>48702_2</v>
          </cell>
        </row>
        <row r="932">
          <cell r="A932" t="str">
            <v>49001_1</v>
          </cell>
        </row>
        <row r="933">
          <cell r="A933" t="str">
            <v>49002_1</v>
          </cell>
        </row>
        <row r="934">
          <cell r="A934" t="str">
            <v>49002_2</v>
          </cell>
        </row>
        <row r="935">
          <cell r="A935" t="str">
            <v>49003_1</v>
          </cell>
        </row>
        <row r="936">
          <cell r="A936" t="str">
            <v>49003_2</v>
          </cell>
        </row>
        <row r="937">
          <cell r="A937" t="str">
            <v>49004_1</v>
          </cell>
        </row>
        <row r="938">
          <cell r="A938" t="str">
            <v>49004_2</v>
          </cell>
        </row>
        <row r="939">
          <cell r="A939" t="str">
            <v>49004_3</v>
          </cell>
        </row>
        <row r="940">
          <cell r="A940" t="str">
            <v>49005_1</v>
          </cell>
        </row>
        <row r="941">
          <cell r="A941" t="str">
            <v>49006_1</v>
          </cell>
        </row>
        <row r="942">
          <cell r="A942" t="str">
            <v>49006_2</v>
          </cell>
        </row>
        <row r="943">
          <cell r="A943" t="str">
            <v>49007_1</v>
          </cell>
        </row>
        <row r="944">
          <cell r="A944" t="str">
            <v>49007_2</v>
          </cell>
        </row>
        <row r="945">
          <cell r="A945" t="str">
            <v>49007_3</v>
          </cell>
        </row>
        <row r="946">
          <cell r="A946" t="str">
            <v>49008_1</v>
          </cell>
        </row>
        <row r="947">
          <cell r="A947" t="str">
            <v>49009_1</v>
          </cell>
        </row>
        <row r="948">
          <cell r="A948" t="str">
            <v>49010_1</v>
          </cell>
        </row>
        <row r="949">
          <cell r="A949" t="str">
            <v>49011_1</v>
          </cell>
        </row>
        <row r="950">
          <cell r="A950" t="str">
            <v>49012_1</v>
          </cell>
        </row>
        <row r="951">
          <cell r="A951" t="str">
            <v>49013_1</v>
          </cell>
        </row>
        <row r="952">
          <cell r="A952" t="str">
            <v>49014_1</v>
          </cell>
        </row>
        <row r="953">
          <cell r="A953" t="str">
            <v>49014_2</v>
          </cell>
        </row>
        <row r="954">
          <cell r="A954" t="str">
            <v>49015_1</v>
          </cell>
        </row>
        <row r="955">
          <cell r="A955" t="str">
            <v>49015_2</v>
          </cell>
        </row>
        <row r="956">
          <cell r="A956" t="str">
            <v>49015_3</v>
          </cell>
        </row>
        <row r="957">
          <cell r="A957" t="str">
            <v>49016_1</v>
          </cell>
        </row>
        <row r="958">
          <cell r="A958" t="str">
            <v>49016_2</v>
          </cell>
        </row>
        <row r="959">
          <cell r="A959" t="str">
            <v>50001_1</v>
          </cell>
        </row>
        <row r="960">
          <cell r="A960" t="str">
            <v>50002_1</v>
          </cell>
        </row>
        <row r="961">
          <cell r="A961" t="str">
            <v>50003_1</v>
          </cell>
        </row>
        <row r="962">
          <cell r="A962" t="str">
            <v>50004_1</v>
          </cell>
        </row>
        <row r="963">
          <cell r="A963" t="str">
            <v>50005_1</v>
          </cell>
        </row>
        <row r="964">
          <cell r="A964" t="str">
            <v>50006_1</v>
          </cell>
        </row>
        <row r="965">
          <cell r="A965" t="str">
            <v>50007_1</v>
          </cell>
        </row>
        <row r="966">
          <cell r="A966" t="str">
            <v>50008_1</v>
          </cell>
        </row>
        <row r="967">
          <cell r="A967" t="str">
            <v>50009_1</v>
          </cell>
        </row>
        <row r="968">
          <cell r="A968" t="str">
            <v>50010_1</v>
          </cell>
        </row>
        <row r="969">
          <cell r="A969" t="str">
            <v>50011_1</v>
          </cell>
        </row>
        <row r="970">
          <cell r="A970" t="str">
            <v>50012_1</v>
          </cell>
        </row>
        <row r="971">
          <cell r="A971" t="str">
            <v>50013_1</v>
          </cell>
        </row>
        <row r="972">
          <cell r="A972" t="str">
            <v>50014_1</v>
          </cell>
        </row>
        <row r="973">
          <cell r="A973" t="str">
            <v>50015_1</v>
          </cell>
        </row>
        <row r="974">
          <cell r="A974" t="str">
            <v>50016_1</v>
          </cell>
        </row>
        <row r="975">
          <cell r="A975" t="str">
            <v>51001_1</v>
          </cell>
        </row>
        <row r="976">
          <cell r="A976" t="str">
            <v>51002_1</v>
          </cell>
        </row>
        <row r="977">
          <cell r="A977" t="str">
            <v>58001_1</v>
          </cell>
        </row>
        <row r="978">
          <cell r="A978" t="str">
            <v>58002_1</v>
          </cell>
        </row>
        <row r="979">
          <cell r="A979" t="str">
            <v>58003_1</v>
          </cell>
        </row>
        <row r="980">
          <cell r="A980" t="str">
            <v>58101_1</v>
          </cell>
        </row>
        <row r="981">
          <cell r="A981" t="str">
            <v>59001_1</v>
          </cell>
        </row>
        <row r="982">
          <cell r="A982" t="str">
            <v>59002_1</v>
          </cell>
        </row>
        <row r="983">
          <cell r="A983" t="str">
            <v>59003_1</v>
          </cell>
        </row>
        <row r="984">
          <cell r="A984" t="str">
            <v>59003_2</v>
          </cell>
        </row>
        <row r="985">
          <cell r="A985" t="str">
            <v>60001_1</v>
          </cell>
        </row>
        <row r="986">
          <cell r="A986" t="str">
            <v>60002_1</v>
          </cell>
        </row>
        <row r="987">
          <cell r="A987" t="str">
            <v>60002_2</v>
          </cell>
        </row>
        <row r="988">
          <cell r="A988" t="str">
            <v>60003_1</v>
          </cell>
        </row>
        <row r="989">
          <cell r="A989" t="str">
            <v>60003_2</v>
          </cell>
        </row>
        <row r="990">
          <cell r="A990" t="str">
            <v>60003_3</v>
          </cell>
        </row>
        <row r="991">
          <cell r="A991" t="str">
            <v>60004_1</v>
          </cell>
        </row>
        <row r="992">
          <cell r="A992" t="str">
            <v>60005_1</v>
          </cell>
        </row>
        <row r="993">
          <cell r="A993" t="str">
            <v>60006_1</v>
          </cell>
        </row>
        <row r="994">
          <cell r="A994" t="str">
            <v>60006_2</v>
          </cell>
        </row>
        <row r="995">
          <cell r="A995" t="str">
            <v>60006_3</v>
          </cell>
        </row>
        <row r="996">
          <cell r="A996" t="str">
            <v>60007_1</v>
          </cell>
        </row>
        <row r="997">
          <cell r="A997" t="str">
            <v>60007_2</v>
          </cell>
        </row>
        <row r="998">
          <cell r="A998" t="str">
            <v>60007_3</v>
          </cell>
        </row>
        <row r="999">
          <cell r="A999" t="str">
            <v>60010_1</v>
          </cell>
        </row>
        <row r="1000">
          <cell r="A1000" t="str">
            <v>60011_1</v>
          </cell>
        </row>
        <row r="1001">
          <cell r="A1001" t="str">
            <v>60011_2</v>
          </cell>
        </row>
        <row r="1002">
          <cell r="A1002" t="str">
            <v>60012_1</v>
          </cell>
        </row>
        <row r="1003">
          <cell r="A1003" t="str">
            <v>60013_1</v>
          </cell>
        </row>
        <row r="1004">
          <cell r="A1004" t="str">
            <v>60013_2</v>
          </cell>
        </row>
        <row r="1005">
          <cell r="A1005" t="str">
            <v>60013_3</v>
          </cell>
        </row>
        <row r="1006">
          <cell r="A1006" t="str">
            <v>60014_1</v>
          </cell>
        </row>
        <row r="1007">
          <cell r="A1007" t="str">
            <v>60015_1</v>
          </cell>
        </row>
        <row r="1008">
          <cell r="A1008" t="str">
            <v>60016_1</v>
          </cell>
        </row>
        <row r="1009">
          <cell r="A1009" t="str">
            <v>60017_1</v>
          </cell>
        </row>
        <row r="1010">
          <cell r="A1010" t="str">
            <v>60018_1</v>
          </cell>
        </row>
        <row r="1011">
          <cell r="A1011" t="str">
            <v>60019_1</v>
          </cell>
        </row>
        <row r="1012">
          <cell r="A1012" t="str">
            <v>60020_1</v>
          </cell>
        </row>
        <row r="1013">
          <cell r="A1013" t="str">
            <v>60021_3</v>
          </cell>
        </row>
        <row r="1014">
          <cell r="A1014" t="str">
            <v>60022_3</v>
          </cell>
        </row>
        <row r="1015">
          <cell r="A1015" t="str">
            <v>60023_3</v>
          </cell>
        </row>
        <row r="1016">
          <cell r="A1016" t="str">
            <v>60024_3</v>
          </cell>
        </row>
        <row r="1017">
          <cell r="A1017" t="str">
            <v>60025_1</v>
          </cell>
        </row>
        <row r="1018">
          <cell r="A1018" t="str">
            <v>60026_1</v>
          </cell>
        </row>
        <row r="1019">
          <cell r="A1019" t="str">
            <v>61011_1</v>
          </cell>
        </row>
        <row r="1020">
          <cell r="A1020" t="str">
            <v>60027_1</v>
          </cell>
        </row>
        <row r="1021">
          <cell r="A1021" t="str">
            <v>60028_1</v>
          </cell>
        </row>
        <row r="1022">
          <cell r="A1022" t="str">
            <v>60029_1</v>
          </cell>
        </row>
        <row r="1023">
          <cell r="A1023" t="str">
            <v>60030_1</v>
          </cell>
        </row>
        <row r="1024">
          <cell r="A1024" t="str">
            <v>60031_1</v>
          </cell>
        </row>
        <row r="1025">
          <cell r="A1025" t="str">
            <v>60032_1</v>
          </cell>
        </row>
        <row r="1026">
          <cell r="A1026" t="str">
            <v>61001_1</v>
          </cell>
        </row>
        <row r="1027">
          <cell r="A1027" t="str">
            <v>61001_2</v>
          </cell>
        </row>
        <row r="1028">
          <cell r="A1028" t="str">
            <v>61001_3</v>
          </cell>
        </row>
        <row r="1029">
          <cell r="A1029" t="str">
            <v>61001_4</v>
          </cell>
        </row>
        <row r="1030">
          <cell r="A1030" t="str">
            <v>61001_5</v>
          </cell>
        </row>
        <row r="1031">
          <cell r="A1031" t="str">
            <v>61001_6</v>
          </cell>
        </row>
        <row r="1032">
          <cell r="A1032" t="str">
            <v>61001_7</v>
          </cell>
        </row>
        <row r="1033">
          <cell r="A1033" t="str">
            <v>65523_1</v>
          </cell>
        </row>
        <row r="1034">
          <cell r="A1034" t="str">
            <v>65523_2</v>
          </cell>
        </row>
        <row r="1035">
          <cell r="A1035" t="str">
            <v>65523_3</v>
          </cell>
        </row>
        <row r="1036">
          <cell r="A1036" t="str">
            <v>65524_1</v>
          </cell>
        </row>
        <row r="1037">
          <cell r="A1037" t="str">
            <v>65524_2</v>
          </cell>
        </row>
        <row r="1038">
          <cell r="A1038" t="str">
            <v>65525_1</v>
          </cell>
        </row>
        <row r="1039">
          <cell r="A1039" t="str">
            <v>65526_1</v>
          </cell>
        </row>
        <row r="1040">
          <cell r="A1040" t="str">
            <v>65526_2</v>
          </cell>
        </row>
        <row r="1041">
          <cell r="A1041" t="str">
            <v>65527_1</v>
          </cell>
        </row>
        <row r="1042">
          <cell r="A1042" t="str">
            <v>65528_1</v>
          </cell>
        </row>
        <row r="1043">
          <cell r="A1043" t="str">
            <v>65529_1</v>
          </cell>
        </row>
        <row r="1044">
          <cell r="A1044" t="str">
            <v>65530_1</v>
          </cell>
        </row>
        <row r="1045">
          <cell r="A1045" t="str">
            <v>65531_1</v>
          </cell>
        </row>
        <row r="1046">
          <cell r="A1046" t="str">
            <v>65531_2</v>
          </cell>
        </row>
        <row r="1047">
          <cell r="A1047" t="str">
            <v>65532_1</v>
          </cell>
        </row>
        <row r="1048">
          <cell r="A1048" t="str">
            <v>65532_2</v>
          </cell>
        </row>
        <row r="1049">
          <cell r="A1049" t="str">
            <v>65533_1</v>
          </cell>
        </row>
        <row r="1050">
          <cell r="A1050" t="str">
            <v>65533_2</v>
          </cell>
        </row>
        <row r="1051">
          <cell r="A1051" t="str">
            <v>65534_1</v>
          </cell>
        </row>
        <row r="1052">
          <cell r="A1052" t="str">
            <v>65535_1</v>
          </cell>
        </row>
        <row r="1053">
          <cell r="A1053" t="str">
            <v>65535_2</v>
          </cell>
        </row>
        <row r="1054">
          <cell r="A1054" t="str">
            <v>65535_3</v>
          </cell>
        </row>
        <row r="1055">
          <cell r="A1055" t="str">
            <v>65535_4</v>
          </cell>
        </row>
        <row r="1056">
          <cell r="A1056" t="str">
            <v>65535_5</v>
          </cell>
        </row>
        <row r="1057">
          <cell r="A1057" t="str">
            <v>65535_6</v>
          </cell>
        </row>
        <row r="1058">
          <cell r="A1058" t="str">
            <v>65535_7</v>
          </cell>
        </row>
        <row r="1059">
          <cell r="A1059" t="str">
            <v>65535_8</v>
          </cell>
        </row>
        <row r="1060">
          <cell r="A1060" t="str">
            <v>65535_9</v>
          </cell>
        </row>
        <row r="1061">
          <cell r="A106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6001</v>
          </cell>
        </row>
        <row r="1465">
          <cell r="A1465">
            <v>6002</v>
          </cell>
        </row>
        <row r="1466">
          <cell r="A1466">
            <v>6003</v>
          </cell>
        </row>
        <row r="1467">
          <cell r="A1467">
            <v>6004</v>
          </cell>
        </row>
        <row r="1468">
          <cell r="A1468">
            <v>6005</v>
          </cell>
        </row>
        <row r="1469">
          <cell r="A1469">
            <v>6006</v>
          </cell>
        </row>
        <row r="1470">
          <cell r="A1470">
            <v>6007</v>
          </cell>
        </row>
        <row r="1471">
          <cell r="A1471">
            <v>6008</v>
          </cell>
        </row>
        <row r="1472">
          <cell r="A1472">
            <v>6009</v>
          </cell>
        </row>
        <row r="1473">
          <cell r="A1473">
            <v>6010</v>
          </cell>
        </row>
        <row r="1474">
          <cell r="A1474">
            <v>6011</v>
          </cell>
        </row>
        <row r="1475">
          <cell r="A1475">
            <v>6012</v>
          </cell>
        </row>
        <row r="1476">
          <cell r="A1476">
            <v>6013</v>
          </cell>
        </row>
        <row r="1477">
          <cell r="A1477">
            <v>6014</v>
          </cell>
        </row>
        <row r="1478">
          <cell r="A1478">
            <v>6015</v>
          </cell>
        </row>
        <row r="1479">
          <cell r="A1479">
            <v>6016</v>
          </cell>
        </row>
        <row r="1480">
          <cell r="A1480">
            <v>6017</v>
          </cell>
        </row>
        <row r="1481">
          <cell r="A1481">
            <v>6018</v>
          </cell>
        </row>
        <row r="1482">
          <cell r="A1482">
            <v>6019</v>
          </cell>
        </row>
        <row r="1483">
          <cell r="A1483">
            <v>6020</v>
          </cell>
        </row>
        <row r="1484">
          <cell r="A1484">
            <v>8001</v>
          </cell>
        </row>
        <row r="1485">
          <cell r="A1485">
            <v>8002</v>
          </cell>
        </row>
        <row r="1486">
          <cell r="A1486">
            <v>8003</v>
          </cell>
        </row>
        <row r="1487">
          <cell r="A1487">
            <v>8004</v>
          </cell>
        </row>
        <row r="1488">
          <cell r="A1488">
            <v>8005</v>
          </cell>
        </row>
        <row r="1489">
          <cell r="A1489">
            <v>8006</v>
          </cell>
        </row>
        <row r="1490">
          <cell r="A1490">
            <v>8007</v>
          </cell>
        </row>
        <row r="1491">
          <cell r="A1491">
            <v>8008</v>
          </cell>
        </row>
        <row r="1492">
          <cell r="A1492">
            <v>8009</v>
          </cell>
        </row>
        <row r="1493">
          <cell r="A1493">
            <v>8010</v>
          </cell>
        </row>
        <row r="1494">
          <cell r="A1494">
            <v>8011</v>
          </cell>
        </row>
        <row r="1495">
          <cell r="A1495">
            <v>8012</v>
          </cell>
        </row>
        <row r="1496">
          <cell r="A1496">
            <v>8013</v>
          </cell>
        </row>
        <row r="1497">
          <cell r="A1497">
            <v>8014</v>
          </cell>
        </row>
        <row r="1498">
          <cell r="A1498">
            <v>8015</v>
          </cell>
        </row>
        <row r="1499">
          <cell r="A1499">
            <v>8016</v>
          </cell>
        </row>
        <row r="1500">
          <cell r="A1500">
            <v>8017</v>
          </cell>
        </row>
        <row r="1501">
          <cell r="A1501">
            <v>8018</v>
          </cell>
        </row>
        <row r="1502">
          <cell r="A1502">
            <v>8019</v>
          </cell>
        </row>
        <row r="1503">
          <cell r="A1503">
            <v>8020</v>
          </cell>
        </row>
        <row r="1504">
          <cell r="A1504">
            <v>8021</v>
          </cell>
        </row>
        <row r="1505">
          <cell r="A1505">
            <v>8022</v>
          </cell>
        </row>
        <row r="1506">
          <cell r="A1506">
            <v>8023</v>
          </cell>
        </row>
        <row r="1507">
          <cell r="A1507">
            <v>8024</v>
          </cell>
        </row>
        <row r="1508">
          <cell r="A1508">
            <v>8025</v>
          </cell>
        </row>
        <row r="1509">
          <cell r="A1509">
            <v>8026</v>
          </cell>
        </row>
        <row r="1510">
          <cell r="A1510">
            <v>8027</v>
          </cell>
        </row>
        <row r="1511">
          <cell r="A1511">
            <v>8028</v>
          </cell>
        </row>
        <row r="1512">
          <cell r="A1512">
            <v>8029</v>
          </cell>
        </row>
        <row r="1513">
          <cell r="A1513">
            <v>8030</v>
          </cell>
        </row>
        <row r="1514">
          <cell r="A1514">
            <v>8031</v>
          </cell>
        </row>
        <row r="1515">
          <cell r="A1515">
            <v>8032</v>
          </cell>
        </row>
        <row r="1516">
          <cell r="A1516">
            <v>8033</v>
          </cell>
        </row>
        <row r="1517">
          <cell r="A1517">
            <v>8034</v>
          </cell>
        </row>
        <row r="1518">
          <cell r="A1518">
            <v>8035</v>
          </cell>
        </row>
        <row r="1519">
          <cell r="A1519">
            <v>8036</v>
          </cell>
        </row>
        <row r="1520">
          <cell r="A1520">
            <v>8037</v>
          </cell>
        </row>
        <row r="1521">
          <cell r="A1521">
            <v>8038</v>
          </cell>
        </row>
        <row r="1522">
          <cell r="A1522">
            <v>8039</v>
          </cell>
        </row>
        <row r="1523">
          <cell r="A1523">
            <v>8040</v>
          </cell>
        </row>
        <row r="1524">
          <cell r="A1524">
            <v>8041</v>
          </cell>
        </row>
        <row r="1525">
          <cell r="A1525">
            <v>8042</v>
          </cell>
        </row>
        <row r="1526">
          <cell r="A1526">
            <v>8043</v>
          </cell>
        </row>
        <row r="1527">
          <cell r="A1527">
            <v>8044</v>
          </cell>
        </row>
        <row r="1528">
          <cell r="A1528">
            <v>8045</v>
          </cell>
        </row>
        <row r="1529">
          <cell r="A1529">
            <v>8046</v>
          </cell>
        </row>
        <row r="1530">
          <cell r="A1530">
            <v>8047</v>
          </cell>
        </row>
        <row r="1531">
          <cell r="A1531">
            <v>8048</v>
          </cell>
        </row>
        <row r="1532">
          <cell r="A1532">
            <v>8049</v>
          </cell>
        </row>
        <row r="1533">
          <cell r="A1533">
            <v>8050</v>
          </cell>
        </row>
        <row r="1534">
          <cell r="A1534">
            <v>8051</v>
          </cell>
        </row>
        <row r="1535">
          <cell r="A1535">
            <v>8052</v>
          </cell>
        </row>
        <row r="1536">
          <cell r="A1536">
            <v>8053</v>
          </cell>
        </row>
        <row r="1537">
          <cell r="A1537">
            <v>8054</v>
          </cell>
        </row>
        <row r="1538">
          <cell r="A1538">
            <v>8055</v>
          </cell>
        </row>
        <row r="1539">
          <cell r="A1539">
            <v>8056</v>
          </cell>
        </row>
        <row r="1540">
          <cell r="A1540">
            <v>8057</v>
          </cell>
        </row>
        <row r="1541">
          <cell r="A1541">
            <v>8058</v>
          </cell>
        </row>
        <row r="1542">
          <cell r="A1542">
            <v>8059</v>
          </cell>
        </row>
        <row r="1543">
          <cell r="A1543">
            <v>8060</v>
          </cell>
        </row>
        <row r="1544">
          <cell r="A1544">
            <v>8061</v>
          </cell>
        </row>
        <row r="1545">
          <cell r="A1545">
            <v>8062</v>
          </cell>
        </row>
        <row r="1546">
          <cell r="A1546">
            <v>8063</v>
          </cell>
        </row>
        <row r="1547">
          <cell r="A1547">
            <v>8064</v>
          </cell>
        </row>
        <row r="1548">
          <cell r="A1548">
            <v>8065</v>
          </cell>
        </row>
        <row r="1549">
          <cell r="A1549">
            <v>8066</v>
          </cell>
        </row>
        <row r="1550">
          <cell r="A1550">
            <v>8067</v>
          </cell>
        </row>
        <row r="1551">
          <cell r="A1551">
            <v>8068</v>
          </cell>
        </row>
        <row r="1552">
          <cell r="A1552">
            <v>8069</v>
          </cell>
        </row>
        <row r="1553">
          <cell r="A1553">
            <v>8070</v>
          </cell>
        </row>
        <row r="1554">
          <cell r="A1554">
            <v>8071</v>
          </cell>
        </row>
        <row r="1555">
          <cell r="A1555">
            <v>8072</v>
          </cell>
        </row>
        <row r="1556">
          <cell r="A1556">
            <v>8073</v>
          </cell>
        </row>
        <row r="1557">
          <cell r="A1557">
            <v>8074</v>
          </cell>
        </row>
        <row r="1558">
          <cell r="A1558">
            <v>8077</v>
          </cell>
        </row>
        <row r="1559">
          <cell r="A1559">
            <v>8078</v>
          </cell>
        </row>
        <row r="1560">
          <cell r="A1560">
            <v>8079</v>
          </cell>
        </row>
        <row r="1561">
          <cell r="A1561">
            <v>8080</v>
          </cell>
        </row>
        <row r="1562">
          <cell r="A1562">
            <v>8081</v>
          </cell>
        </row>
        <row r="1563">
          <cell r="A1563">
            <v>8082</v>
          </cell>
        </row>
        <row r="1564">
          <cell r="A1564">
            <v>8083</v>
          </cell>
        </row>
        <row r="1565">
          <cell r="A1565">
            <v>8084</v>
          </cell>
        </row>
        <row r="1566">
          <cell r="A1566">
            <v>8085</v>
          </cell>
        </row>
        <row r="1567">
          <cell r="A1567">
            <v>8086</v>
          </cell>
        </row>
        <row r="1568">
          <cell r="A1568">
            <v>8087</v>
          </cell>
        </row>
        <row r="1569">
          <cell r="A1569">
            <v>8088</v>
          </cell>
        </row>
        <row r="1570">
          <cell r="A1570">
            <v>8089</v>
          </cell>
        </row>
        <row r="1571">
          <cell r="A1571">
            <v>8090</v>
          </cell>
        </row>
        <row r="1572">
          <cell r="A1572">
            <v>8095</v>
          </cell>
        </row>
        <row r="1573">
          <cell r="A1573">
            <v>8096</v>
          </cell>
        </row>
        <row r="1574">
          <cell r="A1574">
            <v>8097</v>
          </cell>
        </row>
        <row r="1575">
          <cell r="A1575">
            <v>8098</v>
          </cell>
        </row>
        <row r="1576">
          <cell r="A1576">
            <v>8099</v>
          </cell>
        </row>
        <row r="1577">
          <cell r="A1577">
            <v>8100</v>
          </cell>
        </row>
        <row r="1578">
          <cell r="A1578">
            <v>8101</v>
          </cell>
        </row>
        <row r="1579">
          <cell r="A1579">
            <v>8102</v>
          </cell>
        </row>
        <row r="1580">
          <cell r="A1580">
            <v>8103</v>
          </cell>
        </row>
        <row r="1581">
          <cell r="A1581">
            <v>8104</v>
          </cell>
        </row>
        <row r="1582">
          <cell r="A1582">
            <v>8105</v>
          </cell>
        </row>
        <row r="1583">
          <cell r="A1583">
            <v>8106</v>
          </cell>
        </row>
        <row r="1584">
          <cell r="A1584">
            <v>8111</v>
          </cell>
        </row>
        <row r="1585">
          <cell r="A1585">
            <v>8112</v>
          </cell>
        </row>
        <row r="1586">
          <cell r="A1586">
            <v>8113</v>
          </cell>
        </row>
        <row r="1587">
          <cell r="A1587">
            <v>8114</v>
          </cell>
        </row>
        <row r="1588">
          <cell r="A1588">
            <v>8115</v>
          </cell>
        </row>
        <row r="1589">
          <cell r="A1589">
            <v>8116</v>
          </cell>
        </row>
        <row r="1590">
          <cell r="A1590">
            <v>8117</v>
          </cell>
        </row>
        <row r="1591">
          <cell r="A1591">
            <v>8118</v>
          </cell>
        </row>
        <row r="1592">
          <cell r="A1592">
            <v>8119</v>
          </cell>
        </row>
        <row r="1593">
          <cell r="A1593">
            <v>8120</v>
          </cell>
        </row>
        <row r="1594">
          <cell r="A1594">
            <v>8121</v>
          </cell>
        </row>
        <row r="1595">
          <cell r="A1595">
            <v>8122</v>
          </cell>
        </row>
        <row r="1596">
          <cell r="A1596">
            <v>8127</v>
          </cell>
        </row>
        <row r="1597">
          <cell r="A1597">
            <v>8128</v>
          </cell>
        </row>
        <row r="1598">
          <cell r="A1598">
            <v>8129</v>
          </cell>
        </row>
        <row r="1599">
          <cell r="A1599">
            <v>8130</v>
          </cell>
        </row>
        <row r="1600">
          <cell r="A1600">
            <v>8131</v>
          </cell>
        </row>
        <row r="1601">
          <cell r="A1601">
            <v>8132</v>
          </cell>
        </row>
        <row r="1602">
          <cell r="A1602">
            <v>8133</v>
          </cell>
        </row>
        <row r="1603">
          <cell r="A1603">
            <v>8134</v>
          </cell>
        </row>
        <row r="1604">
          <cell r="A1604">
            <v>8135</v>
          </cell>
        </row>
        <row r="1605">
          <cell r="A1605">
            <v>8136</v>
          </cell>
        </row>
        <row r="1606">
          <cell r="A1606">
            <v>8137</v>
          </cell>
        </row>
        <row r="1607">
          <cell r="A1607">
            <v>8138</v>
          </cell>
        </row>
        <row r="1608">
          <cell r="A1608">
            <v>9001</v>
          </cell>
        </row>
        <row r="1609">
          <cell r="A1609">
            <v>9002</v>
          </cell>
        </row>
        <row r="1610">
          <cell r="A1610">
            <v>9003</v>
          </cell>
        </row>
        <row r="1611">
          <cell r="A1611">
            <v>9004</v>
          </cell>
        </row>
        <row r="1612">
          <cell r="A1612">
            <v>9005</v>
          </cell>
        </row>
        <row r="1613">
          <cell r="A1613">
            <v>9006</v>
          </cell>
        </row>
        <row r="1614">
          <cell r="A1614">
            <v>9007</v>
          </cell>
        </row>
        <row r="1615">
          <cell r="A1615">
            <v>9008</v>
          </cell>
        </row>
        <row r="1616">
          <cell r="A1616">
            <v>10101</v>
          </cell>
        </row>
        <row r="1617">
          <cell r="A1617">
            <v>10102</v>
          </cell>
        </row>
        <row r="1618">
          <cell r="A1618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I13" sqref="I13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128</v>
      </c>
      <c r="B1" s="53" t="s">
        <v>98</v>
      </c>
      <c r="C1" s="53" t="s">
        <v>99</v>
      </c>
      <c r="D1" s="53" t="s">
        <v>100</v>
      </c>
      <c r="E1" s="53" t="s">
        <v>101</v>
      </c>
      <c r="F1" s="53" t="s">
        <v>102</v>
      </c>
      <c r="G1" s="53" t="s">
        <v>103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353</v>
      </c>
      <c r="B2" s="55" t="s">
        <v>104</v>
      </c>
      <c r="C2" s="61">
        <v>58003</v>
      </c>
      <c r="D2" s="55" t="s">
        <v>105</v>
      </c>
      <c r="E2" s="54" t="str">
        <f>B2&amp;C2&amp;D2</f>
        <v>floors_58003.tmp</v>
      </c>
      <c r="F2" s="55" t="s">
        <v>106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353</v>
      </c>
      <c r="B3" s="55" t="s">
        <v>107</v>
      </c>
      <c r="C3" s="61">
        <v>58003</v>
      </c>
      <c r="D3" s="55" t="s">
        <v>105</v>
      </c>
      <c r="E3" s="54" t="str">
        <f>B3&amp;C3&amp;D3</f>
        <v>enemy_habitats_58003.tmp</v>
      </c>
      <c r="F3" s="55" t="s">
        <v>108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53</v>
      </c>
      <c r="AD3" s="56" t="s">
        <v>176</v>
      </c>
    </row>
    <row r="4" spans="1:30" x14ac:dyDescent="0.15">
      <c r="A4" s="59" t="s">
        <v>353</v>
      </c>
      <c r="B4" s="55" t="s">
        <v>109</v>
      </c>
      <c r="C4" s="61">
        <v>58003</v>
      </c>
      <c r="D4" s="55" t="s">
        <v>105</v>
      </c>
      <c r="E4" s="54" t="str">
        <f>B4&amp;C4&amp;D4</f>
        <v>enemy_habitat_S_58003.tmp</v>
      </c>
      <c r="F4" s="55" t="s">
        <v>110</v>
      </c>
      <c r="G4" s="56" t="s">
        <v>0</v>
      </c>
      <c r="H4" s="56" t="s">
        <v>1</v>
      </c>
      <c r="I4" s="56" t="s">
        <v>13</v>
      </c>
      <c r="J4" s="56" t="s">
        <v>53</v>
      </c>
      <c r="K4" s="56" t="s">
        <v>54</v>
      </c>
      <c r="L4" s="56" t="s">
        <v>55</v>
      </c>
      <c r="M4" s="56" t="s">
        <v>56</v>
      </c>
      <c r="N4" s="56" t="s">
        <v>57</v>
      </c>
      <c r="O4" s="56" t="s">
        <v>58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353</v>
      </c>
      <c r="B5" s="55" t="s">
        <v>111</v>
      </c>
      <c r="C5" s="61">
        <v>58003</v>
      </c>
      <c r="D5" s="55" t="s">
        <v>105</v>
      </c>
      <c r="E5" s="54" t="str">
        <f>B5&amp;C5&amp;D5</f>
        <v>enemy_skill_sets_58003.tmp</v>
      </c>
      <c r="F5" s="55" t="s">
        <v>112</v>
      </c>
      <c r="G5" s="57" t="s">
        <v>22</v>
      </c>
      <c r="H5" s="57" t="s">
        <v>97</v>
      </c>
      <c r="I5" s="57" t="s">
        <v>92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353</v>
      </c>
      <c r="B6" s="55" t="s">
        <v>113</v>
      </c>
      <c r="C6" s="61">
        <v>58003</v>
      </c>
      <c r="D6" s="55" t="s">
        <v>114</v>
      </c>
      <c r="E6" s="54" t="str">
        <f t="shared" ref="E6:E10" si="0">B6&amp;C6&amp;D6</f>
        <v>enemy_skills_tmp_58003.tmp</v>
      </c>
      <c r="F6" s="55" t="s">
        <v>88</v>
      </c>
      <c r="G6" s="56" t="s">
        <v>78</v>
      </c>
      <c r="H6" s="56" t="s">
        <v>79</v>
      </c>
      <c r="I6" s="56" t="s">
        <v>80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353</v>
      </c>
      <c r="B7" s="55" t="s">
        <v>115</v>
      </c>
      <c r="C7" s="61">
        <v>58003</v>
      </c>
      <c r="D7" s="55" t="s">
        <v>105</v>
      </c>
      <c r="E7" s="54" t="str">
        <f>B7&amp;C7&amp;D7</f>
        <v>enemy_skills_i18n_58003.tmp</v>
      </c>
      <c r="F7" s="55" t="s">
        <v>116</v>
      </c>
      <c r="G7" s="56" t="s">
        <v>78</v>
      </c>
      <c r="H7" s="56" t="s">
        <v>89</v>
      </c>
      <c r="I7" s="56" t="s">
        <v>90</v>
      </c>
      <c r="J7" s="56" t="s">
        <v>91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353</v>
      </c>
      <c r="B8" s="55" t="s">
        <v>117</v>
      </c>
      <c r="C8" s="61">
        <v>58003</v>
      </c>
      <c r="D8" s="55" t="s">
        <v>118</v>
      </c>
      <c r="E8" s="54" t="str">
        <f t="shared" si="0"/>
        <v>enemy_skill_triggers_58003.tmp</v>
      </c>
      <c r="F8" s="55" t="s">
        <v>119</v>
      </c>
      <c r="G8" s="56" t="s">
        <v>92</v>
      </c>
      <c r="H8" s="56" t="s">
        <v>93</v>
      </c>
      <c r="I8" s="56" t="s">
        <v>94</v>
      </c>
      <c r="J8" s="56" t="s">
        <v>95</v>
      </c>
      <c r="K8" s="56" t="s">
        <v>120</v>
      </c>
      <c r="L8" s="56" t="s">
        <v>96</v>
      </c>
      <c r="M8" s="56" t="s">
        <v>121</v>
      </c>
      <c r="N8" s="56" t="s">
        <v>122</v>
      </c>
      <c r="O8" s="56" t="s">
        <v>123</v>
      </c>
      <c r="P8" s="56" t="s">
        <v>66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353</v>
      </c>
      <c r="B9" s="66" t="s">
        <v>175</v>
      </c>
      <c r="C9" s="61">
        <v>58003</v>
      </c>
      <c r="D9" s="66" t="s">
        <v>169</v>
      </c>
      <c r="E9" s="67" t="str">
        <f t="shared" si="0"/>
        <v>stage_bug_bonuses_58003.tmp</v>
      </c>
      <c r="F9" s="66" t="s">
        <v>170</v>
      </c>
      <c r="G9" s="63" t="s">
        <v>148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154</v>
      </c>
      <c r="M9" s="63" t="s">
        <v>155</v>
      </c>
      <c r="N9" s="63" t="s">
        <v>156</v>
      </c>
      <c r="O9" s="63" t="s">
        <v>157</v>
      </c>
      <c r="P9" s="63" t="s">
        <v>158</v>
      </c>
      <c r="Q9" s="63" t="s">
        <v>159</v>
      </c>
      <c r="R9" s="63" t="s">
        <v>160</v>
      </c>
      <c r="S9" s="63" t="s">
        <v>161</v>
      </c>
      <c r="T9" s="63" t="s">
        <v>162</v>
      </c>
      <c r="U9" s="63" t="s">
        <v>163</v>
      </c>
      <c r="V9" s="63" t="s">
        <v>164</v>
      </c>
      <c r="W9" s="63" t="s">
        <v>165</v>
      </c>
      <c r="X9" s="55"/>
      <c r="Y9" s="55"/>
      <c r="Z9" s="55"/>
      <c r="AA9" s="55"/>
      <c r="AB9" s="55"/>
      <c r="AC9" s="55"/>
      <c r="AD9" s="55"/>
    </row>
    <row r="10" spans="1:30" s="73" customFormat="1" x14ac:dyDescent="0.15">
      <c r="A10" s="59" t="s">
        <v>185</v>
      </c>
      <c r="B10" s="66" t="s">
        <v>199</v>
      </c>
      <c r="C10" s="61">
        <v>58003</v>
      </c>
      <c r="D10" s="66" t="s">
        <v>178</v>
      </c>
      <c r="E10" s="67" t="str">
        <f t="shared" si="0"/>
        <v>stage_hints_data_c_58003.tmp</v>
      </c>
      <c r="F10" s="66" t="s">
        <v>207</v>
      </c>
      <c r="G10" s="71" t="s">
        <v>179</v>
      </c>
      <c r="H10" s="71" t="s">
        <v>171</v>
      </c>
      <c r="I10" s="72" t="s">
        <v>180</v>
      </c>
      <c r="J10" s="65" t="s">
        <v>181</v>
      </c>
      <c r="K10" s="65" t="s">
        <v>182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59" t="s">
        <v>353</v>
      </c>
      <c r="B11" s="66" t="s">
        <v>200</v>
      </c>
      <c r="C11" s="61">
        <v>58003</v>
      </c>
      <c r="D11" s="66" t="s">
        <v>169</v>
      </c>
      <c r="E11" s="67" t="str">
        <f t="shared" ref="E11:E13" si="1">B11&amp;C11&amp;D11</f>
        <v>stage_hints_data_f_58003.tmp</v>
      </c>
      <c r="F11" s="66" t="s">
        <v>208</v>
      </c>
      <c r="G11" s="71" t="s">
        <v>179</v>
      </c>
      <c r="H11" s="71" t="s">
        <v>171</v>
      </c>
      <c r="I11" s="72" t="s">
        <v>180</v>
      </c>
      <c r="J11" s="65" t="s">
        <v>181</v>
      </c>
      <c r="K11" s="65" t="s">
        <v>182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59" t="s">
        <v>353</v>
      </c>
      <c r="B12" s="66" t="s">
        <v>201</v>
      </c>
      <c r="C12" s="61">
        <v>58003</v>
      </c>
      <c r="D12" s="66" t="s">
        <v>169</v>
      </c>
      <c r="E12" s="67" t="str">
        <f t="shared" si="1"/>
        <v>stage_hints_i18n_58003.tmp</v>
      </c>
      <c r="F12" s="66" t="s">
        <v>209</v>
      </c>
      <c r="G12" s="72" t="s">
        <v>202</v>
      </c>
      <c r="H12" s="91" t="s">
        <v>203</v>
      </c>
      <c r="I12" s="71" t="s">
        <v>204</v>
      </c>
      <c r="J12" s="99" t="s">
        <v>205</v>
      </c>
      <c r="K12" s="65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59" t="s">
        <v>353</v>
      </c>
      <c r="B13" s="66" t="s">
        <v>246</v>
      </c>
      <c r="C13" s="61">
        <v>58003</v>
      </c>
      <c r="D13" s="66" t="s">
        <v>227</v>
      </c>
      <c r="E13" s="67" t="str">
        <f t="shared" si="1"/>
        <v>stage_bonuses_58003.tmp</v>
      </c>
      <c r="F13" s="66" t="s">
        <v>226</v>
      </c>
      <c r="G13" s="71" t="s">
        <v>228</v>
      </c>
      <c r="H13" s="71" t="s">
        <v>229</v>
      </c>
      <c r="I13" s="71" t="s">
        <v>230</v>
      </c>
      <c r="J13" s="71" t="s">
        <v>231</v>
      </c>
      <c r="K13" s="71" t="s">
        <v>232</v>
      </c>
      <c r="L13" s="71" t="s">
        <v>233</v>
      </c>
      <c r="M13" s="71" t="s">
        <v>234</v>
      </c>
      <c r="N13" s="71" t="s">
        <v>235</v>
      </c>
      <c r="O13" s="71" t="s">
        <v>236</v>
      </c>
      <c r="P13" s="71" t="s">
        <v>237</v>
      </c>
      <c r="Q13" s="71" t="s">
        <v>238</v>
      </c>
      <c r="R13" s="71" t="s">
        <v>239</v>
      </c>
      <c r="S13" s="71" t="s">
        <v>240</v>
      </c>
      <c r="T13" s="71" t="s">
        <v>241</v>
      </c>
      <c r="U13" s="71" t="s">
        <v>242</v>
      </c>
      <c r="V13" s="71" t="s">
        <v>243</v>
      </c>
      <c r="W13" s="71" t="s">
        <v>244</v>
      </c>
      <c r="X13" s="71" t="s">
        <v>245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J7" sqref="J7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 collapsed="1"/>
    <col min="4" max="5" width="10.33203125" style="3" hidden="1" customWidth="1" outlineLevel="1"/>
    <col min="6" max="6" width="7" style="3" bestFit="1" customWidth="1" collapsed="1"/>
    <col min="7" max="7" width="8.83203125" style="19" hidden="1" customWidth="1" outlineLevel="1"/>
    <col min="8" max="8" width="16.1640625" style="3" hidden="1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1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58003_1-1</v>
      </c>
      <c r="B2" s="16" t="str">
        <f>IF(COUNTIF(enemy_habitats!$H:$H,A2),"OK","NG")</f>
        <v>OK</v>
      </c>
      <c r="C2" s="7">
        <v>58003</v>
      </c>
      <c r="D2" s="11" t="str">
        <f ca="1">VLOOKUP($C2,OFFSET([2]quests!$A$1,0,0,COUNTA([2]quests!$A:$A),MATCH(D$1,[2]quests!$1:$1,0)-MATCH($C$1,[2]quests!$1:$1,0)+1),MATCH(D$1,[2]quests!$1:$1,0)-MATCH($C$1,[2]quests!$1:$1,0)+1,FALSE)</f>
        <v>曹操襲来！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繁体字版超降臨1</v>
      </c>
      <c r="F2" s="20">
        <v>1</v>
      </c>
      <c r="G2" s="21" t="str">
        <f>C2&amp;"_"&amp;F2</f>
        <v>58003_1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【超ウィザード級】曹操襲来</v>
      </c>
      <c r="I2" s="20">
        <v>1</v>
      </c>
      <c r="J2" s="12">
        <v>60</v>
      </c>
      <c r="K2" s="12">
        <v>60</v>
      </c>
    </row>
    <row r="3" spans="1:11" ht="21" customHeight="1" x14ac:dyDescent="0.15">
      <c r="A3" s="16" t="str">
        <f t="shared" ref="A3:A6" si="0">G3&amp;"-"&amp;I3</f>
        <v>58003_1-2</v>
      </c>
      <c r="B3" s="16" t="str">
        <f>IF(COUNTIF(enemy_habitats!$H:$H,A3),"OK","NG")</f>
        <v>OK</v>
      </c>
      <c r="C3" s="7">
        <v>58003</v>
      </c>
      <c r="D3" s="11" t="str">
        <f ca="1">VLOOKUP($C3,OFFSET([2]quests!$A$1,0,0,COUNTA([2]quests!$A:$A),MATCH(D$1,[2]quests!$1:$1,0)-MATCH($C$1,[2]quests!$1:$1,0)+1),MATCH(D$1,[2]quests!$1:$1,0)-MATCH($C$1,[2]quests!$1:$1,0)+1,FALSE)</f>
        <v>曹操襲来！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繁体字版超降臨1</v>
      </c>
      <c r="F3" s="20">
        <v>1</v>
      </c>
      <c r="G3" s="21" t="str">
        <f t="shared" ref="G3:G6" si="1">C3&amp;"_"&amp;F3</f>
        <v>58003_1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【超ウィザード級】曹操襲来</v>
      </c>
      <c r="I3" s="20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58003_1-3</v>
      </c>
      <c r="B4" s="16" t="str">
        <f>IF(COUNTIF(enemy_habitats!$H:$H,A4),"OK","NG")</f>
        <v>OK</v>
      </c>
      <c r="C4" s="7">
        <v>58003</v>
      </c>
      <c r="D4" s="11" t="str">
        <f ca="1">VLOOKUP($C4,OFFSET([2]quests!$A$1,0,0,COUNTA([2]quests!$A:$A),MATCH(D$1,[2]quests!$1:$1,0)-MATCH($C$1,[2]quests!$1:$1,0)+1),MATCH(D$1,[2]quests!$1:$1,0)-MATCH($C$1,[2]quests!$1:$1,0)+1,FALSE)</f>
        <v>曹操襲来！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繁体字版超降臨1</v>
      </c>
      <c r="F4" s="20">
        <v>1</v>
      </c>
      <c r="G4" s="21" t="str">
        <f t="shared" si="1"/>
        <v>58003_1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【超ウィザード級】曹操襲来</v>
      </c>
      <c r="I4" s="20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58003_1-4</v>
      </c>
      <c r="B5" s="16" t="str">
        <f>IF(COUNTIF(enemy_habitats!$H:$H,A5),"OK","NG")</f>
        <v>OK</v>
      </c>
      <c r="C5" s="7">
        <v>58003</v>
      </c>
      <c r="D5" s="11" t="str">
        <f ca="1">VLOOKUP($C5,OFFSET([2]quests!$A$1,0,0,COUNTA([2]quests!$A:$A),MATCH(D$1,[2]quests!$1:$1,0)-MATCH($C$1,[2]quests!$1:$1,0)+1),MATCH(D$1,[2]quests!$1:$1,0)-MATCH($C$1,[2]quests!$1:$1,0)+1,FALSE)</f>
        <v>曹操襲来！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繁体字版超降臨1</v>
      </c>
      <c r="F5" s="20">
        <v>1</v>
      </c>
      <c r="G5" s="21" t="str">
        <f t="shared" si="1"/>
        <v>58003_1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【超ウィザード級】曹操襲来</v>
      </c>
      <c r="I5" s="20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58003_1-5</v>
      </c>
      <c r="B6" s="16" t="str">
        <f>IF(COUNTIF(enemy_habitats!$H:$H,A6),"OK","NG")</f>
        <v>OK</v>
      </c>
      <c r="C6" s="7">
        <v>58003</v>
      </c>
      <c r="D6" s="11" t="str">
        <f ca="1">VLOOKUP($C6,OFFSET([2]quests!$A$1,0,0,COUNTA([2]quests!$A:$A),MATCH(D$1,[2]quests!$1:$1,0)-MATCH($C$1,[2]quests!$1:$1,0)+1),MATCH(D$1,[2]quests!$1:$1,0)-MATCH($C$1,[2]quests!$1:$1,0)+1,FALSE)</f>
        <v>曹操襲来！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繁体字版超降臨1</v>
      </c>
      <c r="F6" s="20">
        <v>1</v>
      </c>
      <c r="G6" s="21" t="str">
        <f t="shared" si="1"/>
        <v>58003_1</v>
      </c>
      <c r="H6" s="15" t="str">
        <f ca="1">VLOOKUP($G6,OFFSET([2]stages!$A$1,0,0,COUNTA([2]stages!$A:$A),MATCH(H$1,[2]stages!$2:$2,0)-MATCH($G$1,[2]stages!$2:$2,0)+1),MATCH(H$1,[2]stages!$2:$2,0)-MATCH($G$1,[2]stages!$2:$2,0)+1,FALSE)</f>
        <v>【超ウィザード級】曹操襲来</v>
      </c>
      <c r="I6" s="20">
        <v>5</v>
      </c>
      <c r="J6" s="12">
        <v>60</v>
      </c>
      <c r="K6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8"/>
  <sheetViews>
    <sheetView showGridLines="0" workbookViewId="0">
      <pane xSplit="17" ySplit="1" topLeftCell="X2" activePane="bottomRight" state="frozen"/>
      <selection pane="topRight" activeCell="N1" sqref="N1"/>
      <selection pane="bottomLeft" activeCell="A2" sqref="A2"/>
      <selection pane="bottomRight" activeCell="B13" sqref="B1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20</v>
      </c>
      <c r="F1" s="28" t="s">
        <v>20</v>
      </c>
      <c r="G1" s="26" t="s">
        <v>19</v>
      </c>
      <c r="H1" s="27" t="s">
        <v>35</v>
      </c>
      <c r="I1" s="27" t="s">
        <v>14</v>
      </c>
      <c r="J1" s="27" t="s">
        <v>15</v>
      </c>
      <c r="K1" s="34" t="s">
        <v>53</v>
      </c>
      <c r="L1" s="35" t="s">
        <v>2</v>
      </c>
      <c r="M1" s="29" t="s">
        <v>21</v>
      </c>
      <c r="N1" s="27" t="s">
        <v>24</v>
      </c>
      <c r="O1" s="27" t="s">
        <v>23</v>
      </c>
      <c r="P1" s="30" t="s">
        <v>26</v>
      </c>
      <c r="Q1" s="28" t="s">
        <v>25</v>
      </c>
      <c r="R1" s="26" t="s">
        <v>3</v>
      </c>
      <c r="S1" s="24" t="s">
        <v>48</v>
      </c>
      <c r="T1" s="100" t="s">
        <v>247</v>
      </c>
      <c r="U1" s="24" t="s">
        <v>50</v>
      </c>
      <c r="V1" s="100" t="s">
        <v>248</v>
      </c>
      <c r="W1" s="24" t="s">
        <v>52</v>
      </c>
      <c r="X1" s="27" t="s">
        <v>31</v>
      </c>
      <c r="Y1" s="26" t="s">
        <v>4</v>
      </c>
      <c r="Z1" s="26" t="s">
        <v>5</v>
      </c>
      <c r="AA1" s="26" t="s">
        <v>6</v>
      </c>
      <c r="AB1" s="26" t="s">
        <v>7</v>
      </c>
      <c r="AC1" s="26" t="s">
        <v>8</v>
      </c>
      <c r="AD1" s="31" t="s">
        <v>9</v>
      </c>
      <c r="AE1" s="32" t="s">
        <v>16</v>
      </c>
      <c r="AF1" s="32" t="s">
        <v>17</v>
      </c>
      <c r="AG1" s="32" t="s">
        <v>27</v>
      </c>
      <c r="AH1" s="31" t="s">
        <v>10</v>
      </c>
      <c r="AI1" s="26" t="s">
        <v>11</v>
      </c>
      <c r="AJ1" s="26" t="s">
        <v>12</v>
      </c>
      <c r="AK1" s="26" t="s">
        <v>38</v>
      </c>
      <c r="AL1" s="26" t="s">
        <v>40</v>
      </c>
      <c r="AM1" s="26" t="s">
        <v>42</v>
      </c>
      <c r="AN1" s="26" t="s">
        <v>44</v>
      </c>
      <c r="AO1" s="26" t="s">
        <v>46</v>
      </c>
      <c r="AP1" s="34" t="s">
        <v>177</v>
      </c>
    </row>
    <row r="2" spans="1:42" ht="21" customHeight="1" x14ac:dyDescent="0.15">
      <c r="A2" s="16" t="str">
        <f>B2&amp;"_"&amp;C2&amp;"-"&amp;G2&amp;"/"&amp;L2&amp;"&lt;lv"&amp;R2&amp;"&gt;s"&amp;AC2</f>
        <v>58003_1-1/370&lt;lv80&gt;s2</v>
      </c>
      <c r="B2" s="103">
        <v>58003</v>
      </c>
      <c r="C2" s="104">
        <v>1</v>
      </c>
      <c r="D2" s="2" t="str">
        <f>B2&amp;"_"&amp;C2</f>
        <v>58003_1</v>
      </c>
      <c r="E2" s="4" t="str">
        <f ca="1">VLOOKUP($B2,OFFSET([2]quests!$A$1,0,0,COUNTA([2]quests!$A:$A),MATCH(E$1,[2]quests!$1:$1,0)-MATCH($B$1,[2]quests!$1:$1,0)+1),MATCH(E$1,[2]quests!$1:$1,0)-MATCH($B$1,[2]quests!$1:$1,0)+1,FALSE)</f>
        <v>曹操襲来！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【超ウィザード級】曹操襲来</v>
      </c>
      <c r="G2" s="104">
        <v>1</v>
      </c>
      <c r="H2" s="15" t="str">
        <f>B2&amp;"_"&amp;C2&amp;"-"&amp;G2</f>
        <v>58003_1-1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 t="s">
        <v>250</v>
      </c>
      <c r="L2" s="105">
        <v>370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タイチ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3">
        <v>2.8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45640</v>
      </c>
      <c r="U2" s="23">
        <v>0.6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3980.3999999999996</v>
      </c>
      <c r="W2" s="5">
        <v>0</v>
      </c>
      <c r="X2" s="4"/>
      <c r="Y2" s="60">
        <v>58003001</v>
      </c>
      <c r="Z2" s="6">
        <v>2</v>
      </c>
      <c r="AA2" s="6">
        <v>100</v>
      </c>
      <c r="AB2" s="6">
        <v>0</v>
      </c>
      <c r="AC2" s="106">
        <v>2</v>
      </c>
      <c r="AD2" s="22">
        <f>L2</f>
        <v>370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タイチ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Drop1S</v>
      </c>
      <c r="AH2" s="7">
        <v>1</v>
      </c>
      <c r="AI2" s="22">
        <f ca="1">AF2</f>
        <v>2</v>
      </c>
      <c r="AJ2" s="8">
        <v>0</v>
      </c>
      <c r="AK2" s="103">
        <v>0</v>
      </c>
      <c r="AL2" s="103">
        <v>0</v>
      </c>
      <c r="AM2" s="103">
        <v>0</v>
      </c>
      <c r="AN2" s="103">
        <v>0</v>
      </c>
      <c r="AO2" s="103">
        <v>1</v>
      </c>
      <c r="AP2" s="68">
        <v>1</v>
      </c>
    </row>
    <row r="3" spans="1:42" ht="21" customHeight="1" x14ac:dyDescent="0.15">
      <c r="A3" s="16" t="str">
        <f t="shared" ref="A3:A8" si="0">B3&amp;"_"&amp;C3&amp;"-"&amp;G3&amp;"/"&amp;L3&amp;"&lt;lv"&amp;R3&amp;"&gt;s"&amp;AC3</f>
        <v>58003_1-1/33&lt;lv80&gt;s2</v>
      </c>
      <c r="B3" s="103">
        <v>58003</v>
      </c>
      <c r="C3" s="104">
        <v>1</v>
      </c>
      <c r="D3" s="2" t="str">
        <f t="shared" ref="D3:D8" si="1">B3&amp;"_"&amp;C3</f>
        <v>58003_1</v>
      </c>
      <c r="E3" s="4" t="str">
        <f ca="1">VLOOKUP($B3,OFFSET([2]quests!$A$1,0,0,COUNTA([2]quests!$A:$A),MATCH(E$1,[2]quests!$1:$1,0)-MATCH($B$1,[2]quests!$1:$1,0)+1),MATCH(E$1,[2]quests!$1:$1,0)-MATCH($B$1,[2]quests!$1:$1,0)+1,FALSE)</f>
        <v>曹操襲来！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【超ウィザード級】曹操襲来</v>
      </c>
      <c r="G3" s="104">
        <v>1</v>
      </c>
      <c r="H3" s="15" t="str">
        <f t="shared" ref="H3:H8" si="2">B3&amp;"_"&amp;C3&amp;"-"&amp;G3</f>
        <v>58003_1-1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 t="s">
        <v>250</v>
      </c>
      <c r="L3" s="105">
        <v>33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ゴクウ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3">
        <v>2.4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39120</v>
      </c>
      <c r="U3" s="23">
        <v>0.6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4378.2</v>
      </c>
      <c r="W3" s="5">
        <v>0</v>
      </c>
      <c r="X3" s="4"/>
      <c r="Y3" s="60">
        <v>58003002</v>
      </c>
      <c r="Z3" s="6">
        <v>2</v>
      </c>
      <c r="AA3" s="6">
        <v>100</v>
      </c>
      <c r="AB3" s="6">
        <v>1</v>
      </c>
      <c r="AC3" s="106">
        <v>2</v>
      </c>
      <c r="AD3" s="22">
        <f t="shared" ref="AD3:AD8" si="3">L3</f>
        <v>33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ゴクウ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2">
        <f t="shared" ref="AI3:AI8" ca="1" si="4">AF3</f>
        <v>2</v>
      </c>
      <c r="AJ3" s="8">
        <v>0</v>
      </c>
      <c r="AK3" s="103">
        <v>0</v>
      </c>
      <c r="AL3" s="103">
        <v>0</v>
      </c>
      <c r="AM3" s="103">
        <v>0</v>
      </c>
      <c r="AN3" s="103">
        <v>0</v>
      </c>
      <c r="AO3" s="103">
        <v>1</v>
      </c>
      <c r="AP3" s="68">
        <v>1</v>
      </c>
    </row>
    <row r="4" spans="1:42" ht="21" customHeight="1" x14ac:dyDescent="0.15">
      <c r="A4" s="16" t="str">
        <f t="shared" si="0"/>
        <v>58003_1-2/1133&lt;lv80&gt;s1</v>
      </c>
      <c r="B4" s="103">
        <v>58003</v>
      </c>
      <c r="C4" s="104">
        <v>1</v>
      </c>
      <c r="D4" s="2" t="str">
        <f t="shared" si="1"/>
        <v>58003_1</v>
      </c>
      <c r="E4" s="4" t="str">
        <f ca="1">VLOOKUP($B4,OFFSET([2]quests!$A$1,0,0,COUNTA([2]quests!$A:$A),MATCH(E$1,[2]quests!$1:$1,0)-MATCH($B$1,[2]quests!$1:$1,0)+1),MATCH(E$1,[2]quests!$1:$1,0)-MATCH($B$1,[2]quests!$1:$1,0)+1,FALSE)</f>
        <v>曹操襲来！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【超ウィザード級】曹操襲来</v>
      </c>
      <c r="G4" s="104">
        <v>2</v>
      </c>
      <c r="H4" s="15" t="str">
        <f t="shared" si="2"/>
        <v>58003_1-2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1</v>
      </c>
      <c r="L4" s="105">
        <v>1133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貂蝉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3">
        <v>4.5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574344</v>
      </c>
      <c r="U4" s="23">
        <v>1.2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14203.199999999999</v>
      </c>
      <c r="W4" s="5">
        <v>0</v>
      </c>
      <c r="X4" s="4"/>
      <c r="Y4" s="60">
        <v>58003003</v>
      </c>
      <c r="Z4" s="6">
        <v>1</v>
      </c>
      <c r="AA4" s="6">
        <v>100</v>
      </c>
      <c r="AB4" s="6">
        <v>1</v>
      </c>
      <c r="AC4" s="106">
        <v>1</v>
      </c>
      <c r="AD4" s="22">
        <f t="shared" si="3"/>
        <v>1133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貂蝉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2">
        <f t="shared" ca="1" si="4"/>
        <v>5</v>
      </c>
      <c r="AJ4" s="8">
        <v>0</v>
      </c>
      <c r="AK4" s="103">
        <v>0</v>
      </c>
      <c r="AL4" s="103">
        <v>0</v>
      </c>
      <c r="AM4" s="103">
        <v>0</v>
      </c>
      <c r="AN4" s="103">
        <v>0</v>
      </c>
      <c r="AO4" s="103">
        <v>1</v>
      </c>
      <c r="AP4" s="68">
        <v>1</v>
      </c>
    </row>
    <row r="5" spans="1:42" ht="21" customHeight="1" x14ac:dyDescent="0.15">
      <c r="A5" s="16" t="str">
        <f t="shared" si="0"/>
        <v>58003_1-3/153&lt;lv80&gt;s2</v>
      </c>
      <c r="B5" s="103">
        <v>58003</v>
      </c>
      <c r="C5" s="104">
        <v>1</v>
      </c>
      <c r="D5" s="2" t="str">
        <f t="shared" si="1"/>
        <v>58003_1</v>
      </c>
      <c r="E5" s="4" t="str">
        <f ca="1">VLOOKUP($B5,OFFSET([2]quests!$A$1,0,0,COUNTA([2]quests!$A:$A),MATCH(E$1,[2]quests!$1:$1,0)-MATCH($B$1,[2]quests!$1:$1,0)+1),MATCH(E$1,[2]quests!$1:$1,0)-MATCH($B$1,[2]quests!$1:$1,0)+1,FALSE)</f>
        <v>曹操襲来！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【超ウィザード級】曹操襲来</v>
      </c>
      <c r="G5" s="104">
        <v>3</v>
      </c>
      <c r="H5" s="15" t="str">
        <f t="shared" si="2"/>
        <v>58003_1-3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 t="s">
        <v>250</v>
      </c>
      <c r="L5" s="105">
        <v>153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拳聖ランラン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80</v>
      </c>
      <c r="S5" s="23">
        <v>3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243804</v>
      </c>
      <c r="U5" s="23">
        <v>1.6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10006.400000000001</v>
      </c>
      <c r="W5" s="5">
        <v>0</v>
      </c>
      <c r="X5" s="4"/>
      <c r="Y5" s="60">
        <v>58003005</v>
      </c>
      <c r="Z5" s="6">
        <v>1</v>
      </c>
      <c r="AA5" s="6">
        <v>100</v>
      </c>
      <c r="AB5" s="6">
        <v>1</v>
      </c>
      <c r="AC5" s="106">
        <v>2</v>
      </c>
      <c r="AD5" s="22">
        <f t="shared" si="3"/>
        <v>153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拳聖ランラン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2">
        <f t="shared" ca="1" si="4"/>
        <v>4</v>
      </c>
      <c r="AJ5" s="8">
        <v>0</v>
      </c>
      <c r="AK5" s="103">
        <v>0</v>
      </c>
      <c r="AL5" s="103">
        <v>0</v>
      </c>
      <c r="AM5" s="103">
        <v>0</v>
      </c>
      <c r="AN5" s="103">
        <v>0</v>
      </c>
      <c r="AO5" s="103">
        <v>1</v>
      </c>
      <c r="AP5" s="68">
        <v>1</v>
      </c>
    </row>
    <row r="6" spans="1:42" ht="21" customHeight="1" x14ac:dyDescent="0.15">
      <c r="A6" s="16" t="str">
        <f t="shared" si="0"/>
        <v>58003_1-3/57&lt;lv80&gt;s1</v>
      </c>
      <c r="B6" s="103">
        <v>58003</v>
      </c>
      <c r="C6" s="104">
        <v>1</v>
      </c>
      <c r="D6" s="2" t="str">
        <f t="shared" si="1"/>
        <v>58003_1</v>
      </c>
      <c r="E6" s="4" t="str">
        <f ca="1">VLOOKUP($B6,OFFSET([2]quests!$A$1,0,0,COUNTA([2]quests!$A:$A),MATCH(E$1,[2]quests!$1:$1,0)-MATCH($B$1,[2]quests!$1:$1,0)+1),MATCH(E$1,[2]quests!$1:$1,0)-MATCH($B$1,[2]quests!$1:$1,0)+1,FALSE)</f>
        <v>曹操襲来！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【超ウィザード級】曹操襲来</v>
      </c>
      <c r="G6" s="104">
        <v>3</v>
      </c>
      <c r="H6" s="15" t="str">
        <f t="shared" si="2"/>
        <v>58003_1-3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6" t="s">
        <v>250</v>
      </c>
      <c r="L6" s="105">
        <v>57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チェン・リー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80</v>
      </c>
      <c r="S6" s="23">
        <v>4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65200</v>
      </c>
      <c r="U6" s="23">
        <v>0.7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3840.8999999999996</v>
      </c>
      <c r="W6" s="5">
        <v>0</v>
      </c>
      <c r="X6" s="4"/>
      <c r="Y6" s="60">
        <v>58003006</v>
      </c>
      <c r="Z6" s="6">
        <v>2</v>
      </c>
      <c r="AA6" s="6">
        <v>100</v>
      </c>
      <c r="AB6" s="6">
        <v>0</v>
      </c>
      <c r="AC6" s="106">
        <v>1</v>
      </c>
      <c r="AD6" s="22">
        <f t="shared" si="3"/>
        <v>57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チェン・リー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2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Drop1N</v>
      </c>
      <c r="AH6" s="7">
        <v>1</v>
      </c>
      <c r="AI6" s="22">
        <f t="shared" ca="1" si="4"/>
        <v>2</v>
      </c>
      <c r="AJ6" s="8">
        <v>0</v>
      </c>
      <c r="AK6" s="103">
        <v>0</v>
      </c>
      <c r="AL6" s="103">
        <v>0</v>
      </c>
      <c r="AM6" s="103">
        <v>0</v>
      </c>
      <c r="AN6" s="103">
        <v>0</v>
      </c>
      <c r="AO6" s="103">
        <v>1</v>
      </c>
      <c r="AP6" s="68">
        <v>1</v>
      </c>
    </row>
    <row r="7" spans="1:42" ht="21" customHeight="1" x14ac:dyDescent="0.15">
      <c r="A7" s="16" t="str">
        <f t="shared" si="0"/>
        <v>58003_1-4/8003&lt;lv80&gt;s1</v>
      </c>
      <c r="B7" s="103">
        <v>58003</v>
      </c>
      <c r="C7" s="104">
        <v>1</v>
      </c>
      <c r="D7" s="2" t="str">
        <f t="shared" si="1"/>
        <v>58003_1</v>
      </c>
      <c r="E7" s="4" t="str">
        <f ca="1">VLOOKUP($B7,OFFSET([2]quests!$A$1,0,0,COUNTA([2]quests!$A:$A),MATCH(E$1,[2]quests!$1:$1,0)-MATCH($B$1,[2]quests!$1:$1,0)+1),MATCH(E$1,[2]quests!$1:$1,0)-MATCH($B$1,[2]quests!$1:$1,0)+1,FALSE)</f>
        <v>曹操襲来！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【超ウィザード級】曹操襲来</v>
      </c>
      <c r="G7" s="104">
        <v>4</v>
      </c>
      <c r="H7" s="15" t="str">
        <f t="shared" si="2"/>
        <v>58003_1-4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6">
        <v>2</v>
      </c>
      <c r="L7" s="105">
        <v>8003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蛟龍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dragon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3">
        <v>4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23">
        <v>1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5">
        <v>0</v>
      </c>
      <c r="X7" s="4"/>
      <c r="Y7" s="60">
        <v>58003007</v>
      </c>
      <c r="Z7" s="6">
        <v>1</v>
      </c>
      <c r="AA7" s="6">
        <v>100</v>
      </c>
      <c r="AB7" s="6">
        <v>1</v>
      </c>
      <c r="AC7" s="106">
        <v>1</v>
      </c>
      <c r="AD7" s="22">
        <f t="shared" si="3"/>
        <v>8003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蛟龍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2">
        <f t="shared" ca="1" si="4"/>
        <v>5</v>
      </c>
      <c r="AJ7" s="8">
        <v>0</v>
      </c>
      <c r="AK7" s="103">
        <v>0</v>
      </c>
      <c r="AL7" s="103">
        <v>0</v>
      </c>
      <c r="AM7" s="103">
        <v>0</v>
      </c>
      <c r="AN7" s="103">
        <v>0</v>
      </c>
      <c r="AO7" s="103">
        <v>1</v>
      </c>
      <c r="AP7" s="68">
        <v>1</v>
      </c>
    </row>
    <row r="8" spans="1:42" ht="21" customHeight="1" x14ac:dyDescent="0.15">
      <c r="A8" s="16" t="str">
        <f t="shared" si="0"/>
        <v>58003_1-5/8083&lt;lv80&gt;s2</v>
      </c>
      <c r="B8" s="103">
        <v>58003</v>
      </c>
      <c r="C8" s="104">
        <v>1</v>
      </c>
      <c r="D8" s="2" t="str">
        <f t="shared" si="1"/>
        <v>58003_1</v>
      </c>
      <c r="E8" s="4" t="str">
        <f ca="1">VLOOKUP($B8,OFFSET([2]quests!$A$1,0,0,COUNTA([2]quests!$A:$A),MATCH(E$1,[2]quests!$1:$1,0)-MATCH($B$1,[2]quests!$1:$1,0)+1),MATCH(E$1,[2]quests!$1:$1,0)-MATCH($B$1,[2]quests!$1:$1,0)+1,FALSE)</f>
        <v>曹操襲来！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【超ウィザード級】曹操襲来</v>
      </c>
      <c r="G8" s="104">
        <v>5</v>
      </c>
      <c r="H8" s="15" t="str">
        <f t="shared" si="2"/>
        <v>58003_1-5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6">
        <v>3</v>
      </c>
      <c r="L8" s="105">
        <v>8083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曹操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17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80</v>
      </c>
      <c r="S8" s="23">
        <v>5.5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0</v>
      </c>
      <c r="U8" s="23">
        <v>1.6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0</v>
      </c>
      <c r="W8" s="5">
        <v>0</v>
      </c>
      <c r="X8" s="4"/>
      <c r="Y8" s="60">
        <v>58003009</v>
      </c>
      <c r="Z8" s="6">
        <v>1</v>
      </c>
      <c r="AA8" s="6">
        <v>100</v>
      </c>
      <c r="AB8" s="6">
        <v>1</v>
      </c>
      <c r="AC8" s="106">
        <v>2</v>
      </c>
      <c r="AD8" s="22">
        <f t="shared" si="3"/>
        <v>8083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曹操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5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DropWizSS</v>
      </c>
      <c r="AH8" s="7">
        <v>1</v>
      </c>
      <c r="AI8" s="22">
        <f t="shared" ca="1" si="4"/>
        <v>5</v>
      </c>
      <c r="AJ8" s="8">
        <v>85</v>
      </c>
      <c r="AK8" s="103">
        <v>0</v>
      </c>
      <c r="AL8" s="103">
        <v>0</v>
      </c>
      <c r="AM8" s="103">
        <v>0</v>
      </c>
      <c r="AN8" s="103">
        <v>0</v>
      </c>
      <c r="AO8" s="103">
        <v>1</v>
      </c>
      <c r="AP8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zoomScale="75" zoomScaleNormal="75" zoomScalePageLayoutView="75" workbookViewId="0">
      <pane xSplit="18" ySplit="1" topLeftCell="X2" activePane="bottomRight" state="frozen"/>
      <selection activeCell="E25" sqref="E25"/>
      <selection pane="topRight" activeCell="E25" sqref="E25"/>
      <selection pane="bottomLeft" activeCell="E25" sqref="E25"/>
      <selection pane="bottomRight" activeCell="AA4" sqref="AA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3" customFormat="1" ht="21" customHeight="1" x14ac:dyDescent="0.15">
      <c r="A1" s="25" t="s">
        <v>29</v>
      </c>
      <c r="B1" s="26" t="s">
        <v>0</v>
      </c>
      <c r="C1" s="26" t="s">
        <v>1</v>
      </c>
      <c r="D1" s="27" t="s">
        <v>28</v>
      </c>
      <c r="E1" s="28" t="s">
        <v>16</v>
      </c>
      <c r="F1" s="28" t="s">
        <v>16</v>
      </c>
      <c r="G1" s="26" t="s">
        <v>19</v>
      </c>
      <c r="H1" s="27" t="s">
        <v>30</v>
      </c>
      <c r="I1" s="27" t="s">
        <v>14</v>
      </c>
      <c r="J1" s="27" t="s">
        <v>15</v>
      </c>
      <c r="K1" s="34" t="s">
        <v>53</v>
      </c>
      <c r="L1" s="34" t="s">
        <v>54</v>
      </c>
      <c r="M1" s="35" t="s">
        <v>2</v>
      </c>
      <c r="N1" s="29" t="s">
        <v>16</v>
      </c>
      <c r="O1" s="27" t="s">
        <v>24</v>
      </c>
      <c r="P1" s="27" t="s">
        <v>23</v>
      </c>
      <c r="Q1" s="30" t="s">
        <v>26</v>
      </c>
      <c r="R1" s="28" t="s">
        <v>25</v>
      </c>
      <c r="S1" s="26" t="s">
        <v>3</v>
      </c>
      <c r="T1" s="24" t="s">
        <v>48</v>
      </c>
      <c r="U1" s="100" t="s">
        <v>247</v>
      </c>
      <c r="V1" s="24" t="s">
        <v>50</v>
      </c>
      <c r="W1" s="100" t="s">
        <v>248</v>
      </c>
      <c r="X1" s="24" t="s">
        <v>52</v>
      </c>
      <c r="Y1" s="26" t="s">
        <v>127</v>
      </c>
      <c r="Z1" s="27" t="s">
        <v>126</v>
      </c>
      <c r="AA1" s="26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58003_1-2/1134&lt;lv80&gt;sq1st2</v>
      </c>
      <c r="B2" s="103">
        <v>58003</v>
      </c>
      <c r="C2" s="20">
        <v>1</v>
      </c>
      <c r="D2" s="2" t="str">
        <f>B2&amp;"_"&amp;C2</f>
        <v>58003_1</v>
      </c>
      <c r="E2" s="4" t="str">
        <f ca="1">VLOOKUP($B2,OFFSET([2]quests!$A$1,0,0,COUNTA([2]quests!$A:$A),MATCH(E$1,[2]quests!$1:$1,0)-MATCH($B$1,[2]quests!$1:$1,0)+1),MATCH(E$1,[2]quests!$1:$1,0)-MATCH($B$1,[2]quests!$1:$1,0)+1,FALSE)</f>
        <v>曹操襲来！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【超ウィザード級】曹操襲来</v>
      </c>
      <c r="G2" s="104">
        <v>2</v>
      </c>
      <c r="H2" s="15" t="str">
        <f>B2&amp;"_"&amp;C2&amp;"-"&amp;G2</f>
        <v>58003_1-2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6">
        <v>1</v>
      </c>
      <c r="L2" s="36">
        <v>2</v>
      </c>
      <c r="M2" s="105">
        <v>1134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月隠れの美麗酔 貂蝉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3">
        <v>4.5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574344</v>
      </c>
      <c r="V2" s="23">
        <v>1.4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16570.399999999998</v>
      </c>
      <c r="X2" s="5">
        <v>0</v>
      </c>
      <c r="Y2" s="4"/>
      <c r="Z2" s="4">
        <v>58003004</v>
      </c>
      <c r="AA2" s="107">
        <v>1</v>
      </c>
    </row>
    <row r="3" spans="1:27" ht="21" customHeight="1" x14ac:dyDescent="0.15">
      <c r="A3" s="16" t="str">
        <f t="shared" ref="A3:A5" si="0">B3&amp;"_"&amp;C3&amp;"-"&amp;G3&amp;"/"&amp;M3&amp;"&lt;lv"&amp;S3&amp;"&gt;sq"&amp;K3&amp;"st"&amp;L3</f>
        <v>58003_1-4/8074&lt;lv80&gt;sq2st2</v>
      </c>
      <c r="B3" s="103">
        <v>58003</v>
      </c>
      <c r="C3" s="20">
        <v>1</v>
      </c>
      <c r="D3" s="2" t="str">
        <f t="shared" ref="D3:D5" si="1">B3&amp;"_"&amp;C3</f>
        <v>58003_1</v>
      </c>
      <c r="E3" s="4" t="str">
        <f ca="1">VLOOKUP($B3,OFFSET([2]quests!$A$1,0,0,COUNTA([2]quests!$A:$A),MATCH(E$1,[2]quests!$1:$1,0)-MATCH($B$1,[2]quests!$1:$1,0)+1),MATCH(E$1,[2]quests!$1:$1,0)-MATCH($B$1,[2]quests!$1:$1,0)+1,FALSE)</f>
        <v>曹操襲来！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【超ウィザード級】曹操襲来</v>
      </c>
      <c r="G3" s="104">
        <v>4</v>
      </c>
      <c r="H3" s="15" t="str">
        <f t="shared" ref="H3:H5" si="2">B3&amp;"_"&amp;C3&amp;"-"&amp;G3</f>
        <v>58003_1-4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6">
        <v>2</v>
      </c>
      <c r="L3" s="36">
        <v>2</v>
      </c>
      <c r="M3" s="105">
        <v>8074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海戀の絶龍姫 蛟龍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3">
        <v>4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23">
        <v>1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5">
        <v>0</v>
      </c>
      <c r="Y3" s="4"/>
      <c r="Z3" s="4">
        <v>58003008</v>
      </c>
      <c r="AA3" s="107">
        <v>1</v>
      </c>
    </row>
    <row r="4" spans="1:27" ht="21" customHeight="1" x14ac:dyDescent="0.15">
      <c r="A4" s="16" t="str">
        <f t="shared" si="0"/>
        <v>58003_1-5/8084&lt;lv80&gt;sq3st2</v>
      </c>
      <c r="B4" s="103">
        <v>58003</v>
      </c>
      <c r="C4" s="20">
        <v>1</v>
      </c>
      <c r="D4" s="2" t="str">
        <f t="shared" si="1"/>
        <v>58003_1</v>
      </c>
      <c r="E4" s="4" t="str">
        <f ca="1">VLOOKUP($B4,OFFSET([2]quests!$A$1,0,0,COUNTA([2]quests!$A:$A),MATCH(E$1,[2]quests!$1:$1,0)-MATCH($B$1,[2]quests!$1:$1,0)+1),MATCH(E$1,[2]quests!$1:$1,0)-MATCH($B$1,[2]quests!$1:$1,0)+1,FALSE)</f>
        <v>曹操襲来！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【超ウィザード級】曹操襲来</v>
      </c>
      <c r="G4" s="104">
        <v>5</v>
      </c>
      <c r="H4" s="15" t="str">
        <f t="shared" si="2"/>
        <v>58003_1-5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6">
        <v>3</v>
      </c>
      <c r="L4" s="36">
        <v>2</v>
      </c>
      <c r="M4" s="105">
        <v>8084</v>
      </c>
      <c r="N4" s="17" t="str">
        <f ca="1">VLOOKUP($M4,OFFSET([3]enemies!$A$1,0,0,COUNTA([3]enemies!$A:$A),MATCH(N$1,[3]enemies!$1:$1,0)-MATCH($M$1,[3]enemies!$1:$1,0)+1),MATCH(N$1,[3]enemies!$1:$1,0)-MATCH($M$1,[3]enemies!$1:$1,0)+1,FALSE)</f>
        <v>混沌の覇道行者 曹操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3">
        <v>6</v>
      </c>
      <c r="U4" s="101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0</v>
      </c>
      <c r="V4" s="23">
        <v>1.6</v>
      </c>
      <c r="W4" s="101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0</v>
      </c>
      <c r="X4" s="5">
        <v>0</v>
      </c>
      <c r="Y4" s="4"/>
      <c r="Z4" s="4">
        <v>58003010</v>
      </c>
      <c r="AA4" s="107">
        <v>1</v>
      </c>
    </row>
    <row r="5" spans="1:27" ht="21" customHeight="1" x14ac:dyDescent="0.15">
      <c r="A5" s="16" t="str">
        <f t="shared" si="0"/>
        <v>58003_1-5/8084&lt;lv80&gt;sq3st3</v>
      </c>
      <c r="B5" s="103">
        <v>58003</v>
      </c>
      <c r="C5" s="20">
        <v>1</v>
      </c>
      <c r="D5" s="2" t="str">
        <f t="shared" si="1"/>
        <v>58003_1</v>
      </c>
      <c r="E5" s="4" t="str">
        <f ca="1">VLOOKUP($B5,OFFSET([2]quests!$A$1,0,0,COUNTA([2]quests!$A:$A),MATCH(E$1,[2]quests!$1:$1,0)-MATCH($B$1,[2]quests!$1:$1,0)+1),MATCH(E$1,[2]quests!$1:$1,0)-MATCH($B$1,[2]quests!$1:$1,0)+1,FALSE)</f>
        <v>曹操襲来！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【超ウィザード級】曹操襲来</v>
      </c>
      <c r="G5" s="104">
        <v>5</v>
      </c>
      <c r="H5" s="15" t="str">
        <f t="shared" si="2"/>
        <v>58003_1-5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6">
        <v>3</v>
      </c>
      <c r="L5" s="36">
        <v>3</v>
      </c>
      <c r="M5" s="105">
        <v>8084</v>
      </c>
      <c r="N5" s="17" t="str">
        <f ca="1">VLOOKUP($M5,OFFSET([3]enemies!$A$1,0,0,COUNTA([3]enemies!$A:$A),MATCH(N$1,[3]enemies!$1:$1,0)-MATCH($M$1,[3]enemies!$1:$1,0)+1),MATCH(N$1,[3]enemies!$1:$1,0)-MATCH($M$1,[3]enemies!$1:$1,0)+1,FALSE)</f>
        <v>混沌の覇道行者 曹操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3">
        <v>7</v>
      </c>
      <c r="U5" s="10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23">
        <v>1.8</v>
      </c>
      <c r="W5" s="10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5">
        <v>0</v>
      </c>
      <c r="Y5" s="4"/>
      <c r="Z5" s="4">
        <v>58003011</v>
      </c>
      <c r="AA5" s="107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64"/>
  <sheetViews>
    <sheetView showGridLines="0" workbookViewId="0">
      <pane xSplit="5" ySplit="1" topLeftCell="F7" activePane="bottomRight" state="frozen"/>
      <selection pane="topRight"/>
      <selection pane="bottomLeft"/>
      <selection pane="bottomRight" activeCell="M14" sqref="A14:M17"/>
    </sheetView>
  </sheetViews>
  <sheetFormatPr baseColWidth="12" defaultColWidth="12.83203125" defaultRowHeight="21" customHeight="1" outlineLevelCol="1" x14ac:dyDescent="0.15"/>
  <cols>
    <col min="1" max="1" width="11.33203125" style="37" bestFit="1" customWidth="1"/>
    <col min="2" max="2" width="9.5" style="47" bestFit="1" customWidth="1"/>
    <col min="3" max="3" width="9.6640625" style="47" customWidth="1"/>
    <col min="4" max="4" width="18.5" style="47" customWidth="1" outlineLevel="1"/>
    <col min="5" max="5" width="44.1640625" style="47" bestFit="1" customWidth="1" outlineLevel="1"/>
    <col min="6" max="6" width="10.83203125" style="47" bestFit="1" customWidth="1"/>
    <col min="7" max="7" width="8.33203125" style="47" bestFit="1" customWidth="1" outlineLevel="1"/>
    <col min="8" max="9" width="12.83203125" style="47" outlineLevel="1"/>
    <col min="10" max="10" width="17.6640625" style="47" bestFit="1" customWidth="1" outlineLevel="1"/>
    <col min="11" max="15" width="12.83203125" style="47" outlineLevel="1"/>
    <col min="16" max="16" width="8.33203125" style="43" bestFit="1" customWidth="1"/>
    <col min="17" max="17" width="9.6640625" style="43" customWidth="1"/>
    <col min="18" max="18" width="56.5" style="43" bestFit="1" customWidth="1"/>
    <col min="19" max="16384" width="12.83203125" style="43"/>
  </cols>
  <sheetData>
    <row r="1" spans="1:18" ht="21" customHeight="1" x14ac:dyDescent="0.15">
      <c r="A1" s="37" t="s">
        <v>59</v>
      </c>
      <c r="B1" s="38" t="s">
        <v>60</v>
      </c>
      <c r="C1" s="38" t="s">
        <v>61</v>
      </c>
      <c r="D1" s="39" t="s">
        <v>62</v>
      </c>
      <c r="E1" s="39" t="s">
        <v>63</v>
      </c>
      <c r="F1" s="40" t="s">
        <v>64</v>
      </c>
      <c r="G1" s="41" t="s">
        <v>65</v>
      </c>
      <c r="H1" s="41" t="s">
        <v>67</v>
      </c>
      <c r="I1" s="41" t="s">
        <v>68</v>
      </c>
      <c r="J1" s="41" t="s">
        <v>69</v>
      </c>
      <c r="K1" s="42" t="s">
        <v>70</v>
      </c>
      <c r="L1" s="42" t="s">
        <v>71</v>
      </c>
      <c r="M1" s="41" t="s">
        <v>72</v>
      </c>
      <c r="N1" s="41" t="s">
        <v>73</v>
      </c>
      <c r="O1" s="41" t="s">
        <v>74</v>
      </c>
      <c r="P1" s="39" t="s">
        <v>75</v>
      </c>
      <c r="Q1" s="39" t="s">
        <v>76</v>
      </c>
      <c r="R1" s="39" t="s">
        <v>77</v>
      </c>
    </row>
    <row r="2" spans="1:18" ht="21" customHeight="1" x14ac:dyDescent="0.15">
      <c r="A2" s="37" t="str">
        <f t="shared" ref="A2" si="0">B2&amp;"_"&amp;C2</f>
        <v>58003001_58003000</v>
      </c>
      <c r="B2" s="45">
        <v>58003001</v>
      </c>
      <c r="C2" s="45">
        <v>58003000</v>
      </c>
      <c r="D2" s="44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ヒダルマダ！</v>
      </c>
      <c r="E2" s="44" t="str">
        <f ca="1">VLOOKUP($C2,OFFSET(enemy_skills!$A$1,0,0,COUNTA(enemy_skills!$A:$A),MATCH(E$1,enemy_skills!$1:$1,0)-MATCH("enemy_skill_id",enemy_skills!$1:$1,0)+1),MATCH(E$1,enemy_skills!$1:$1,0)-MATCH("enemy_skill_id",enemy_skills!$1:$1,0)+1,FALSE)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" s="45">
        <v>58003000</v>
      </c>
      <c r="G2" s="46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6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6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" s="46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6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6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46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6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6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" s="45"/>
      <c r="Q2" s="45"/>
      <c r="R2" s="45"/>
    </row>
    <row r="3" spans="1:18" ht="21" customHeight="1" x14ac:dyDescent="0.15">
      <c r="A3" s="37" t="str">
        <f t="shared" ref="A3:A64" si="1">B3&amp;"_"&amp;C3</f>
        <v>58003001_58003001</v>
      </c>
      <c r="B3" s="45">
        <v>58003001</v>
      </c>
      <c r="C3" s="45">
        <v>58003001</v>
      </c>
      <c r="D3" s="44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ヤキツクス！</v>
      </c>
      <c r="E3" s="44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3" s="45">
        <v>58003001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ht="21" customHeight="1" x14ac:dyDescent="0.15">
      <c r="A4" s="37" t="str">
        <f t="shared" si="1"/>
        <v>58003002_58003005</v>
      </c>
      <c r="B4" s="45">
        <v>58003002</v>
      </c>
      <c r="C4" s="45">
        <v>58003005</v>
      </c>
      <c r="D4" s="44" t="str">
        <f ca="1">VLOOKUP($C4,OFFSET(enemy_skills!$A$1,0,0,COUNTA(enemy_skills!$A:$A),MATCH(D$1,enemy_skills!$1:$1,0)-MATCH("enemy_skill_id",enemy_skills!$1:$1,0)+1),MATCH(D$1,enemy_skills!$1:$1,0)-MATCH("enemy_skill_id",enemy_skills!$1:$1,0)+1,FALSE)</f>
        <v>強乱打</v>
      </c>
      <c r="E4" s="44" t="str">
        <f ca="1">VLOOKUP($C4,OFFSET(enemy_skills!$A$1,0,0,COUNTA(enemy_skills!$A:$A),MATCH(E$1,enemy_skills!$1:$1,0)-MATCH("enemy_skill_id",enemy_skills!$1:$1,0)+1),MATCH(E$1,enemy_skills!$1:$1,0)-MATCH("enemy_skill_id",enemy_skills!$1:$1,0)+1,FALSE)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4" s="45">
        <v>58003005</v>
      </c>
      <c r="G4" s="4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6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4" s="4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6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4" s="45"/>
      <c r="Q4" s="45"/>
      <c r="R4" s="45"/>
    </row>
    <row r="5" spans="1:18" ht="21" customHeight="1" x14ac:dyDescent="0.15">
      <c r="A5" s="37" t="str">
        <f t="shared" si="1"/>
        <v>58003002_58003006</v>
      </c>
      <c r="B5" s="45">
        <v>58003002</v>
      </c>
      <c r="C5" s="45">
        <v>58003006</v>
      </c>
      <c r="D5" s="44" t="str">
        <f ca="1">VLOOKUP($C5,OFFSET(enemy_skills!$A$1,0,0,COUNTA(enemy_skills!$A:$A),MATCH(D$1,enemy_skills!$1:$1,0)-MATCH("enemy_skill_id",enemy_skills!$1:$1,0)+1),MATCH(D$1,enemy_skills!$1:$1,0)-MATCH("enemy_skill_id",enemy_skills!$1:$1,0)+1,FALSE)</f>
        <v>猿流武闘</v>
      </c>
      <c r="E5" s="44" t="str">
        <f ca="1">VLOOKUP($C5,OFFSET(enemy_skills!$A$1,0,0,COUNTA(enemy_skills!$A:$A),MATCH(E$1,enemy_skills!$1:$1,0)-MATCH("enemy_skill_id",enemy_skills!$1:$1,0)+1),MATCH(E$1,enemy_skills!$1:$1,0)-MATCH("enemy_skill_id",enemy_skills!$1:$1,0)+1,FALSE)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5" s="45">
        <v>58003006</v>
      </c>
      <c r="G5" s="46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6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6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6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6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6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6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6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6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5"/>
      <c r="Q5" s="45"/>
      <c r="R5" s="45"/>
    </row>
    <row r="6" spans="1:18" ht="21" customHeight="1" x14ac:dyDescent="0.15">
      <c r="A6" s="37" t="str">
        <f t="shared" si="1"/>
        <v>58003003_58003010</v>
      </c>
      <c r="B6" s="45">
        <v>58003003</v>
      </c>
      <c r="C6" s="45">
        <v>58003010</v>
      </c>
      <c r="D6" s="44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これより先、通すわけにはいきません</v>
      </c>
      <c r="E6" s="44" t="str">
        <f ca="1">VLOOKUP($C6,OFFSET(enemy_skills!$A$1,0,0,COUNTA(enemy_skills!$A:$A),MATCH(E$1,enemy_skills!$1:$1,0)-MATCH("enemy_skill_id",enemy_skills!$1:$1,0)+1),MATCH(E$1,enemy_skills!$1:$1,0)-MATCH("enemy_skill_id",enemy_skills!$1:$1,0)+1,FALSE)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" s="45">
        <v>58003010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6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1" customHeight="1" x14ac:dyDescent="0.15">
      <c r="A7" s="37" t="str">
        <f t="shared" si="1"/>
        <v>58003003_58003011</v>
      </c>
      <c r="B7" s="45">
        <v>58003003</v>
      </c>
      <c r="C7" s="45">
        <v>58003011</v>
      </c>
      <c r="D7" s="44" t="str">
        <f ca="1">VLOOKUP($C7,OFFSET(enemy_skills!$A$1,0,0,COUNTA(enemy_skills!$A:$A),MATCH(D$1,enemy_skills!$1:$1,0)-MATCH("enemy_skill_id",enemy_skills!$1:$1,0)+1),MATCH(D$1,enemy_skills!$1:$1,0)-MATCH("enemy_skill_id",enemy_skills!$1:$1,0)+1,FALSE)</f>
        <v>玉石の舞</v>
      </c>
      <c r="E7" s="44" t="str">
        <f ca="1">VLOOKUP($C7,OFFSET(enemy_skills!$A$1,0,0,COUNTA(enemy_skills!$A:$A),MATCH(E$1,enemy_skills!$1:$1,0)-MATCH("enemy_skill_id",enemy_skills!$1:$1,0)+1),MATCH(E$1,enemy_skills!$1:$1,0)-MATCH("enemy_skill_id",enemy_skills!$1:$1,0)+1,FALSE)</f>
        <v>属性パネルをお邪魔パネルに最大5個変換+単体攻撃</v>
      </c>
      <c r="F7" s="45">
        <v>58003011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6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ht="21" customHeight="1" x14ac:dyDescent="0.15">
      <c r="A8" s="37" t="str">
        <f t="shared" si="1"/>
        <v>58003003_58003012</v>
      </c>
      <c r="B8" s="45">
        <v>58003003</v>
      </c>
      <c r="C8" s="45">
        <v>58003012</v>
      </c>
      <c r="D8" s="44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8" s="44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8" s="45">
        <v>58003012</v>
      </c>
      <c r="G8" s="46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6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46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6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6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6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6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8" s="46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6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5"/>
      <c r="Q8" s="45"/>
      <c r="R8" s="45"/>
    </row>
    <row r="9" spans="1:18" ht="21" customHeight="1" x14ac:dyDescent="0.15">
      <c r="A9" s="37" t="str">
        <f t="shared" si="1"/>
        <v>58003003_58003013</v>
      </c>
      <c r="B9" s="45">
        <v>58003003</v>
      </c>
      <c r="C9" s="45">
        <v>58003013</v>
      </c>
      <c r="D9" s="44" t="str">
        <f ca="1">VLOOKUP($C9,OFFSET(enemy_skills!$A$1,0,0,COUNTA(enemy_skills!$A:$A),MATCH(D$1,enemy_skills!$1:$1,0)-MATCH("enemy_skill_id",enemy_skills!$1:$1,0)+1),MATCH(D$1,enemy_skills!$1:$1,0)-MATCH("enemy_skill_id",enemy_skills!$1:$1,0)+1,FALSE)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9" s="44" t="str">
        <f ca="1">VLOOKUP($C9,OFFSET(enemy_skills!$A$1,0,0,COUNTA(enemy_skills!$A:$A),MATCH(E$1,enemy_skills!$1:$1,0)-MATCH("enemy_skill_id",enemy_skills!$1:$1,0)+1),MATCH(E$1,enemy_skills!$1:$1,0)-MATCH("enemy_skill_id",enemy_skills!$1:$1,0)+1,FALSE)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9" s="45">
        <v>58003013</v>
      </c>
      <c r="G9" s="46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6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9" s="46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6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6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6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6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6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6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5"/>
      <c r="Q9" s="45"/>
      <c r="R9" s="45"/>
    </row>
    <row r="10" spans="1:18" ht="21" customHeight="1" x14ac:dyDescent="0.15">
      <c r="A10" s="37" t="str">
        <f t="shared" si="1"/>
        <v>58003004_58003020</v>
      </c>
      <c r="B10" s="45">
        <v>58003004</v>
      </c>
      <c r="C10" s="45">
        <v>58003020</v>
      </c>
      <c r="D10" s="44" t="str">
        <f ca="1">VLOOKUP($C10,OFFSET(enemy_skills!$A$1,0,0,COUNTA(enemy_skills!$A:$A),MATCH(D$1,enemy_skills!$1:$1,0)-MATCH("enemy_skill_id",enemy_skills!$1:$1,0)+1),MATCH(D$1,enemy_skills!$1:$1,0)-MATCH("enemy_skill_id",enemy_skills!$1:$1,0)+1,FALSE)</f>
        <v>貴方達はまだ邂逅すべきではない…</v>
      </c>
      <c r="E10" s="44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0" s="45">
        <v>58003020</v>
      </c>
      <c r="G10" s="46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6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6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6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6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6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6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6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6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5"/>
      <c r="Q10" s="45"/>
      <c r="R10" s="45"/>
    </row>
    <row r="11" spans="1:18" ht="21" customHeight="1" x14ac:dyDescent="0.15">
      <c r="A11" s="37" t="str">
        <f t="shared" si="1"/>
        <v>58003004_58003021</v>
      </c>
      <c r="B11" s="45">
        <v>58003004</v>
      </c>
      <c r="C11" s="45">
        <v>58003021</v>
      </c>
      <c r="D11" s="4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玉石の舞</v>
      </c>
      <c r="E11" s="4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属性パネルをお邪魔パネルに最大5個変換+単体攻撃</v>
      </c>
      <c r="F11" s="45">
        <v>58003021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1" customHeight="1" x14ac:dyDescent="0.15">
      <c r="A12" s="37" t="str">
        <f t="shared" si="1"/>
        <v>58003004_58003022</v>
      </c>
      <c r="B12" s="45">
        <v>58003004</v>
      </c>
      <c r="C12" s="45">
        <v>58003022</v>
      </c>
      <c r="D12" s="44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12" s="44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2" s="45">
        <v>58003022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5"/>
      <c r="Q12" s="45"/>
      <c r="R12" s="45"/>
    </row>
    <row r="13" spans="1:18" ht="21" customHeight="1" x14ac:dyDescent="0.15">
      <c r="A13" s="37" t="str">
        <f t="shared" si="1"/>
        <v>58003004_58003023</v>
      </c>
      <c r="B13" s="45">
        <v>58003004</v>
      </c>
      <c r="C13" s="45">
        <v>58003023</v>
      </c>
      <c r="D13" s="44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13" s="44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13" s="45">
        <v>58003023</v>
      </c>
      <c r="G13" s="46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6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3" s="46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6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6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6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6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6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5"/>
      <c r="Q13" s="45"/>
      <c r="R13" s="45"/>
    </row>
    <row r="14" spans="1:18" ht="21" customHeight="1" x14ac:dyDescent="0.15">
      <c r="A14" s="37" t="str">
        <f t="shared" si="1"/>
        <v>58003004_58003024</v>
      </c>
      <c r="B14" s="45">
        <v>58003004</v>
      </c>
      <c r="C14" s="45">
        <v>58003024</v>
      </c>
      <c r="D14" s="44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どうしても行くというのですね…</v>
      </c>
      <c r="E14" s="44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14" s="45">
        <v>58003024</v>
      </c>
      <c r="G14" s="46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6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4" s="46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6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6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6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6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6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6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5"/>
      <c r="Q14" s="45"/>
      <c r="R14" s="45"/>
    </row>
    <row r="15" spans="1:18" ht="21" customHeight="1" x14ac:dyDescent="0.15">
      <c r="A15" s="37" t="str">
        <f t="shared" si="1"/>
        <v>58003004_58003025</v>
      </c>
      <c r="B15" s="45">
        <v>58003004</v>
      </c>
      <c r="C15" s="45">
        <v>58003025</v>
      </c>
      <c r="D15" s="44" t="str">
        <f ca="1">VLOOKUP($C15,OFFSET(enemy_skills!$A$1,0,0,COUNTA(enemy_skills!$A:$A),MATCH(D$1,enemy_skills!$1:$1,0)-MATCH("enemy_skill_id",enemy_skills!$1:$1,0)+1),MATCH(D$1,enemy_skills!$1:$1,0)-MATCH("enemy_skill_id",enemy_skills!$1:$1,0)+1,FALSE)</f>
        <v>玉石の舞</v>
      </c>
      <c r="E15" s="44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属性パネルをお邪魔パネルに最大5個変換+単体攻撃</v>
      </c>
      <c r="F15" s="45">
        <v>58003025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6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5"/>
      <c r="Q15" s="45"/>
      <c r="R15" s="45"/>
    </row>
    <row r="16" spans="1:18" ht="21" customHeight="1" x14ac:dyDescent="0.15">
      <c r="A16" s="37" t="str">
        <f t="shared" si="1"/>
        <v>58003004_58003026</v>
      </c>
      <c r="B16" s="45">
        <v>58003004</v>
      </c>
      <c r="C16" s="45">
        <v>58003026</v>
      </c>
      <c r="D16" s="44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…果てなさい</v>
      </c>
      <c r="E16" s="44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6" s="45">
        <v>58003026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1" customHeight="1" x14ac:dyDescent="0.15">
      <c r="A17" s="37" t="str">
        <f t="shared" si="1"/>
        <v>58003004_58003027</v>
      </c>
      <c r="B17" s="45">
        <v>58003004</v>
      </c>
      <c r="C17" s="45">
        <v>58003027</v>
      </c>
      <c r="D17" s="44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士道を見極めて差し上げましょう…</v>
      </c>
      <c r="E17" s="44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種族サムライ以外のユニットに大ダメージの全体攻撃</v>
      </c>
      <c r="F17" s="45">
        <v>58003027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6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  <row r="18" spans="1:18" ht="21" customHeight="1" x14ac:dyDescent="0.15">
      <c r="A18" s="37" t="str">
        <f t="shared" si="1"/>
        <v>58003005_58003030</v>
      </c>
      <c r="B18" s="45">
        <v>58003005</v>
      </c>
      <c r="C18" s="45">
        <v>58003030</v>
      </c>
      <c r="D18" s="44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連撃</v>
      </c>
      <c r="E18" s="44" t="str">
        <f ca="1">VLOOKUP($C18,OFFSET(enemy_skills!$A$1,0,0,COUNTA(enemy_skills!$A:$A),MATCH(E$1,enemy_skills!$1:$1,0)-MATCH("enemy_skill_id",enemy_skills!$1:$1,0)+1),MATCH(E$1,enemy_skills!$1:$1,0)-MATCH("enemy_skill_id",enemy_skills!$1:$1,0)+1,FALSE)</f>
        <v>3ターンハートパネル無効+6回連続攻撃</v>
      </c>
      <c r="F18" s="45">
        <v>58003030</v>
      </c>
      <c r="G18" s="46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6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8" s="46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6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6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6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6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6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6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5"/>
      <c r="Q18" s="45"/>
      <c r="R18" s="45"/>
    </row>
    <row r="19" spans="1:18" ht="21" customHeight="1" x14ac:dyDescent="0.15">
      <c r="A19" s="37" t="str">
        <f t="shared" si="1"/>
        <v>58003005_58003031</v>
      </c>
      <c r="B19" s="45">
        <v>58003005</v>
      </c>
      <c r="C19" s="45">
        <v>58003031</v>
      </c>
      <c r="D19" s="44" t="str">
        <f ca="1">VLOOKUP($C19,OFFSET(enemy_skills!$A$1,0,0,COUNTA(enemy_skills!$A:$A),MATCH(D$1,enemy_skills!$1:$1,0)-MATCH("enemy_skill_id",enemy_skills!$1:$1,0)+1),MATCH(D$1,enemy_skills!$1:$1,0)-MATCH("enemy_skill_id",enemy_skills!$1:$1,0)+1,FALSE)</f>
        <v>内丹掌底打ち</v>
      </c>
      <c r="E19" s="44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ハートパネルを吸収して攻撃</v>
      </c>
      <c r="F19" s="45">
        <v>58003031</v>
      </c>
      <c r="G19" s="46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6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9" s="46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6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6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6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6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6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6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5"/>
      <c r="Q19" s="45"/>
      <c r="R19" s="45"/>
    </row>
    <row r="20" spans="1:18" ht="21" customHeight="1" x14ac:dyDescent="0.15">
      <c r="A20" s="37" t="str">
        <f t="shared" si="1"/>
        <v>58003005_58003032</v>
      </c>
      <c r="B20" s="45">
        <v>58003005</v>
      </c>
      <c r="C20" s="45">
        <v>58003032</v>
      </c>
      <c r="D20" s="44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一気集中</v>
      </c>
      <c r="E20" s="44" t="str">
        <f ca="1">VLOOKUP($C20,OFFSET(enemy_skills!$A$1,0,0,COUNTA(enemy_skills!$A:$A),MATCH(E$1,enemy_skills!$1:$1,0)-MATCH("enemy_skill_id",enemy_skills!$1:$1,0)+1),MATCH(E$1,enemy_skills!$1:$1,0)-MATCH("enemy_skill_id",enemy_skills!$1:$1,0)+1,FALSE)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20" s="45">
        <v>58003032</v>
      </c>
      <c r="G20" s="46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6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6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6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6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6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6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6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57</v>
      </c>
      <c r="O20" s="46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5"/>
      <c r="Q20" s="45"/>
      <c r="R20" s="45"/>
    </row>
    <row r="21" spans="1:18" ht="21" customHeight="1" x14ac:dyDescent="0.15">
      <c r="A21" s="37" t="str">
        <f t="shared" si="1"/>
        <v>58003005_58003033</v>
      </c>
      <c r="B21" s="45">
        <v>58003005</v>
      </c>
      <c r="C21" s="45">
        <v>58003033</v>
      </c>
      <c r="D21" s="44" t="str">
        <f ca="1">VLOOKUP($C21,OFFSET(enemy_skills!$A$1,0,0,COUNTA(enemy_skills!$A:$A),MATCH(D$1,enemy_skills!$1:$1,0)-MATCH("enemy_skill_id",enemy_skills!$1:$1,0)+1),MATCH(D$1,enemy_skills!$1:$1,0)-MATCH("enemy_skill_id",enemy_skills!$1:$1,0)+1,FALSE)</f>
        <v>気合充実</v>
      </c>
      <c r="E21" s="44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3ターン自身の攻撃力超大UP</v>
      </c>
      <c r="F21" s="45">
        <v>58003033</v>
      </c>
      <c r="G21" s="46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6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6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6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6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6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6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6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57</v>
      </c>
      <c r="O21" s="46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5"/>
      <c r="Q21" s="45"/>
      <c r="R21" s="45"/>
    </row>
    <row r="22" spans="1:18" ht="21" customHeight="1" x14ac:dyDescent="0.15">
      <c r="A22" s="37" t="str">
        <f t="shared" si="1"/>
        <v>58003006_58003035</v>
      </c>
      <c r="B22" s="45">
        <v>58003006</v>
      </c>
      <c r="C22" s="45">
        <v>58003035</v>
      </c>
      <c r="D22" s="44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大炎会芸</v>
      </c>
      <c r="E22" s="44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敵全体の攻撃力超大UP</v>
      </c>
      <c r="F22" s="45">
        <v>58003035</v>
      </c>
      <c r="G22" s="46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6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6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2" s="46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6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6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6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2" s="46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6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2" s="45"/>
      <c r="Q22" s="45"/>
      <c r="R22" s="45"/>
    </row>
    <row r="23" spans="1:18" ht="21" customHeight="1" x14ac:dyDescent="0.15">
      <c r="A23" s="37" t="str">
        <f t="shared" si="1"/>
        <v>58003006_58003036</v>
      </c>
      <c r="B23" s="45">
        <v>58003006</v>
      </c>
      <c r="C23" s="45">
        <v>58003036</v>
      </c>
      <c r="D23" s="44" t="str">
        <f ca="1">VLOOKUP($C23,OFFSET(enemy_skills!$A$1,0,0,COUNTA(enemy_skills!$A:$A),MATCH(D$1,enemy_skills!$1:$1,0)-MATCH("enemy_skill_id",enemy_skills!$1:$1,0)+1),MATCH(D$1,enemy_skills!$1:$1,0)-MATCH("enemy_skill_id",enemy_skills!$1:$1,0)+1,FALSE)</f>
        <v>酔拳乱打</v>
      </c>
      <c r="E23" s="44" t="str">
        <f ca="1">VLOOKUP($C23,OFFSET(enemy_skills!$A$1,0,0,COUNTA(enemy_skills!$A:$A),MATCH(E$1,enemy_skills!$1:$1,0)-MATCH("enemy_skill_id",enemy_skills!$1:$1,0)+1),MATCH(E$1,enemy_skills!$1:$1,0)-MATCH("enemy_skill_id",enemy_skills!$1:$1,0)+1,FALSE)</f>
        <v>4回連続攻撃</v>
      </c>
      <c r="F23" s="45">
        <v>58003036</v>
      </c>
      <c r="G23" s="46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6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3" s="46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3" s="46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6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6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6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6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6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3" s="45"/>
      <c r="Q23" s="45"/>
      <c r="R23" s="45"/>
    </row>
    <row r="24" spans="1:18" ht="21" customHeight="1" x14ac:dyDescent="0.15">
      <c r="A24" s="37" t="str">
        <f t="shared" si="1"/>
        <v>58003006_58003037</v>
      </c>
      <c r="B24" s="45">
        <v>58003006</v>
      </c>
      <c r="C24" s="45">
        <v>58003037</v>
      </c>
      <c r="D24" s="4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瓦割り</v>
      </c>
      <c r="E24" s="4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24" s="45">
        <v>58003037</v>
      </c>
      <c r="G24" s="46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6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6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6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6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6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6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6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6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5"/>
      <c r="Q24" s="45"/>
      <c r="R24" s="45"/>
    </row>
    <row r="25" spans="1:18" ht="21" customHeight="1" x14ac:dyDescent="0.15">
      <c r="A25" s="37" t="str">
        <f t="shared" si="1"/>
        <v>58003007_58003040</v>
      </c>
      <c r="B25" s="45">
        <v>58003007</v>
      </c>
      <c r="C25" s="45">
        <v>58003040</v>
      </c>
      <c r="D25" s="44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ここはワタクシが相手よ！</v>
      </c>
      <c r="E25" s="44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状態異常耐性+3ターン防御力大UP</v>
      </c>
      <c r="F25" s="45">
        <v>58003040</v>
      </c>
      <c r="G25" s="46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6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6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6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6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6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6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6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6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5"/>
      <c r="Q25" s="45"/>
      <c r="R25" s="45"/>
    </row>
    <row r="26" spans="1:18" ht="21" customHeight="1" x14ac:dyDescent="0.15">
      <c r="A26" s="37" t="str">
        <f t="shared" si="1"/>
        <v>58003007_58003041</v>
      </c>
      <c r="B26" s="45">
        <v>58003007</v>
      </c>
      <c r="C26" s="45">
        <v>58003041</v>
      </c>
      <c r="D26" s="44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チャフ・サブマリン</v>
      </c>
      <c r="E26" s="44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3ターン全ユニットの攻撃力50%DOWN+単体攻撃</v>
      </c>
      <c r="F26" s="45">
        <v>58003041</v>
      </c>
      <c r="G26" s="46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6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6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6" s="46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6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6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6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6" s="46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6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6" s="45"/>
      <c r="Q26" s="45"/>
      <c r="R26" s="45"/>
    </row>
    <row r="27" spans="1:18" ht="21" customHeight="1" x14ac:dyDescent="0.15">
      <c r="A27" s="37" t="str">
        <f t="shared" si="1"/>
        <v>58003007_58003042</v>
      </c>
      <c r="B27" s="45">
        <v>58003007</v>
      </c>
      <c r="C27" s="45">
        <v>58003042</v>
      </c>
      <c r="D27" s="44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テールバインド</v>
      </c>
      <c r="E27" s="44" t="str">
        <f ca="1">VLOOKUP($C27,OFFSET(enemy_skills!$A$1,0,0,COUNTA(enemy_skills!$A:$A),MATCH(E$1,enemy_skills!$1:$1,0)-MATCH("enemy_skill_id",enemy_skills!$1:$1,0)+1),MATCH(E$1,enemy_skills!$1:$1,0)-MATCH("enemy_skill_id",enemy_skills!$1:$1,0)+1,FALSE)</f>
        <v>属性パネルプロテクト(最大10個)+_x000D_2ターン全ユニットのタップ回数を2DOWN</v>
      </c>
      <c r="F27" s="45">
        <v>58003042</v>
      </c>
      <c r="G27" s="4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7" s="4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27" s="4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6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6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7" s="46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27" s="45"/>
      <c r="Q27" s="45"/>
      <c r="R27" s="45"/>
    </row>
    <row r="28" spans="1:18" ht="21" customHeight="1" x14ac:dyDescent="0.15">
      <c r="A28" s="37" t="str">
        <f t="shared" si="1"/>
        <v>58003007_58003043</v>
      </c>
      <c r="B28" s="45">
        <v>58003007</v>
      </c>
      <c r="C28" s="45">
        <v>58003043</v>
      </c>
      <c r="D28" s="44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混迷の海域</v>
      </c>
      <c r="E28" s="44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属性パネルを強力な青のダメージパネルに_x000D_最大4個変換+単体攻撃</v>
      </c>
      <c r="F28" s="45">
        <v>58003043</v>
      </c>
      <c r="G28" s="46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6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8" s="46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28" s="46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6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6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6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8" s="46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6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28" s="45"/>
      <c r="Q28" s="45"/>
      <c r="R28" s="45"/>
    </row>
    <row r="29" spans="1:18" ht="21" customHeight="1" x14ac:dyDescent="0.15">
      <c r="A29" s="37" t="str">
        <f t="shared" si="1"/>
        <v>58003008_58003050</v>
      </c>
      <c r="B29" s="45">
        <v>58003008</v>
      </c>
      <c r="C29" s="45">
        <v>58003050</v>
      </c>
      <c r="D29" s="44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曹操様まで辿りつかせはしない…！</v>
      </c>
      <c r="E29" s="44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状態異常耐性+3ターン攻撃力大UP</v>
      </c>
      <c r="F29" s="45">
        <v>58003050</v>
      </c>
      <c r="G29" s="4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6" t="str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9" s="4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6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5"/>
      <c r="Q29" s="45"/>
      <c r="R29" s="45"/>
    </row>
    <row r="30" spans="1:18" ht="21" customHeight="1" x14ac:dyDescent="0.15">
      <c r="A30" s="37" t="str">
        <f t="shared" si="1"/>
        <v>58003008_58003051</v>
      </c>
      <c r="B30" s="45">
        <v>58003008</v>
      </c>
      <c r="C30" s="45">
        <v>58003051</v>
      </c>
      <c r="D30" s="44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0" s="44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種族サムライ以外に大ダメージの3回連続攻撃_x000D_(種族サムライを優先して攻撃)</v>
      </c>
      <c r="F30" s="45">
        <v>58003051</v>
      </c>
      <c r="G30" s="46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6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0" s="46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0" s="46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6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0" s="46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6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6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6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0" s="45"/>
      <c r="Q30" s="45"/>
      <c r="R30" s="45"/>
    </row>
    <row r="31" spans="1:18" ht="21" customHeight="1" x14ac:dyDescent="0.15">
      <c r="A31" s="37" t="str">
        <f t="shared" si="1"/>
        <v>58003008_58003052</v>
      </c>
      <c r="B31" s="45">
        <v>58003008</v>
      </c>
      <c r="C31" s="45">
        <v>58003052</v>
      </c>
      <c r="D31" s="4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1" s="4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種族サムライ以外に大ダメージの4回連続攻撃_x000D_(種族サムライを優先して攻撃)</v>
      </c>
      <c r="F31" s="45">
        <v>58003052</v>
      </c>
      <c r="G31" s="46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6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1" s="46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1" s="46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6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1" s="46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6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6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6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1" s="45"/>
      <c r="Q31" s="45"/>
      <c r="R31" s="45"/>
    </row>
    <row r="32" spans="1:18" ht="21" customHeight="1" x14ac:dyDescent="0.15">
      <c r="A32" s="37" t="str">
        <f t="shared" si="1"/>
        <v>58003008_58003053</v>
      </c>
      <c r="B32" s="45">
        <v>58003008</v>
      </c>
      <c r="C32" s="45">
        <v>58003053</v>
      </c>
      <c r="D32" s="44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2" s="44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種族サムライ以外に大ダメージの5回連続攻撃_x000D_(種族サムライを優先して攻撃)</v>
      </c>
      <c r="F32" s="45">
        <v>58003053</v>
      </c>
      <c r="G32" s="46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6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2" s="46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75</v>
      </c>
      <c r="J32" s="46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6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2" s="46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6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6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6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75</v>
      </c>
      <c r="P32" s="45"/>
      <c r="Q32" s="45"/>
      <c r="R32" s="45"/>
    </row>
    <row r="33" spans="1:18" ht="21" customHeight="1" x14ac:dyDescent="0.15">
      <c r="A33" s="37" t="str">
        <f t="shared" si="1"/>
        <v>58003008_58003054</v>
      </c>
      <c r="B33" s="45">
        <v>58003008</v>
      </c>
      <c r="C33" s="45">
        <v>58003054</v>
      </c>
      <c r="D33" s="44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混迷の海域</v>
      </c>
      <c r="E33" s="44" t="str">
        <f ca="1">VLOOKUP($C33,OFFSET(enemy_skills!$A$1,0,0,COUNTA(enemy_skills!$A:$A),MATCH(E$1,enemy_skills!$1:$1,0)-MATCH("enemy_skill_id",enemy_skills!$1:$1,0)+1),MATCH(E$1,enemy_skills!$1:$1,0)-MATCH("enemy_skill_id",enemy_skills!$1:$1,0)+1,FALSE)</f>
        <v>属性パネルを強力な青のダメージパネルに_x000D_最大4個変換+単体攻撃</v>
      </c>
      <c r="F33" s="45">
        <v>58003054</v>
      </c>
      <c r="G33" s="46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6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3" s="46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6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6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33" s="46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6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6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6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5"/>
      <c r="Q33" s="45"/>
      <c r="R33" s="45"/>
    </row>
    <row r="34" spans="1:18" ht="21" customHeight="1" x14ac:dyDescent="0.15">
      <c r="A34" s="37" t="str">
        <f t="shared" si="1"/>
        <v>58003008_58003055</v>
      </c>
      <c r="B34" s="45">
        <v>58003008</v>
      </c>
      <c r="C34" s="45">
        <v>58003055</v>
      </c>
      <c r="D34" s="44" t="str">
        <f ca="1">VLOOKUP($C34,OFFSET(enemy_skills!$A$1,0,0,COUNTA(enemy_skills!$A:$A),MATCH(D$1,enemy_skills!$1:$1,0)-MATCH("enemy_skill_id",enemy_skills!$1:$1,0)+1),MATCH(D$1,enemy_skills!$1:$1,0)-MATCH("enemy_skill_id",enemy_skills!$1:$1,0)+1,FALSE)</f>
        <v>露払いはワタクシの仕事…！</v>
      </c>
      <c r="E34" s="44" t="str">
        <f ca="1">VLOOKUP($C34,OFFSET(enemy_skills!$A$1,0,0,COUNTA(enemy_skills!$A:$A),MATCH(E$1,enemy_skills!$1:$1,0)-MATCH("enemy_skill_id",enemy_skills!$1:$1,0)+1),MATCH(E$1,enemy_skills!$1:$1,0)-MATCH("enemy_skill_id",enemy_skills!$1:$1,0)+1,FALSE)</f>
        <v>攻撃力大UP</v>
      </c>
      <c r="F34" s="45">
        <v>58003055</v>
      </c>
      <c r="G34" s="46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6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34" s="46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6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6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6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6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6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6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5"/>
      <c r="Q34" s="45"/>
      <c r="R34" s="45"/>
    </row>
    <row r="35" spans="1:18" ht="21" customHeight="1" x14ac:dyDescent="0.15">
      <c r="A35" s="37" t="str">
        <f t="shared" si="1"/>
        <v>58003008_58003056</v>
      </c>
      <c r="B35" s="45">
        <v>58003008</v>
      </c>
      <c r="C35" s="45">
        <v>58003056</v>
      </c>
      <c r="D35" s="44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5" s="44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種族サムライ以外に大ダメージの3回連続攻撃_x000D_(種族サムライを優先して攻撃)</v>
      </c>
      <c r="F35" s="45">
        <v>58003056</v>
      </c>
      <c r="G35" s="4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35" s="4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5" s="46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5" s="4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6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5" s="45"/>
      <c r="Q35" s="45"/>
      <c r="R35" s="45"/>
    </row>
    <row r="36" spans="1:18" ht="21" customHeight="1" x14ac:dyDescent="0.15">
      <c r="A36" s="37" t="str">
        <f t="shared" si="1"/>
        <v>58003008_58003057</v>
      </c>
      <c r="B36" s="45">
        <v>58003008</v>
      </c>
      <c r="C36" s="45">
        <v>58003057</v>
      </c>
      <c r="D36" s="44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6" s="44" t="str">
        <f ca="1">VLOOKUP($C36,OFFSET(enemy_skills!$A$1,0,0,COUNTA(enemy_skills!$A:$A),MATCH(E$1,enemy_skills!$1:$1,0)-MATCH("enemy_skill_id",enemy_skills!$1:$1,0)+1),MATCH(E$1,enemy_skills!$1:$1,0)-MATCH("enemy_skill_id",enemy_skills!$1:$1,0)+1,FALSE)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種族サムライ以外に大ダメージの4回連続攻撃_x000D_(種族サムライを優先して攻撃)</v>
      </c>
      <c r="F36" s="45">
        <v>58003057</v>
      </c>
      <c r="G36" s="46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6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36" s="46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6" s="46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6" s="46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6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6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6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6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6" s="45"/>
      <c r="Q36" s="45"/>
      <c r="R36" s="45"/>
    </row>
    <row r="37" spans="1:18" ht="21" customHeight="1" x14ac:dyDescent="0.15">
      <c r="A37" s="37" t="str">
        <f t="shared" si="1"/>
        <v>58003008_58003058</v>
      </c>
      <c r="B37" s="45">
        <v>58003008</v>
      </c>
      <c r="C37" s="45">
        <v>58003058</v>
      </c>
      <c r="D37" s="44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テールウィップ</v>
      </c>
      <c r="E37" s="44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種族サムライ以外に大ダメージの5回連続攻撃_x000D_(種族サムライを優先して攻撃)</v>
      </c>
      <c r="F37" s="45">
        <v>58003058</v>
      </c>
      <c r="G37" s="46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6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7" s="46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6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7" s="46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6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6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6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6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5"/>
      <c r="Q37" s="45"/>
      <c r="R37" s="45"/>
    </row>
    <row r="38" spans="1:18" ht="21" customHeight="1" x14ac:dyDescent="0.15">
      <c r="A38" s="37" t="str">
        <f t="shared" si="1"/>
        <v>58003009_58003060</v>
      </c>
      <c r="B38" s="45">
        <v>58003009</v>
      </c>
      <c r="C38" s="45">
        <v>58003060</v>
      </c>
      <c r="D38" s="44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君達も我が覇道に挑むのか…？</v>
      </c>
      <c r="E38" s="44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38" s="45">
        <v>58003060</v>
      </c>
      <c r="G38" s="46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46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38" s="46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6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6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6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6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6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6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5"/>
      <c r="Q38" s="45"/>
      <c r="R38" s="45"/>
    </row>
    <row r="39" spans="1:18" ht="21" customHeight="1" x14ac:dyDescent="0.15">
      <c r="A39" s="37" t="str">
        <f t="shared" si="1"/>
        <v>58003009_58003061</v>
      </c>
      <c r="B39" s="45">
        <v>58003009</v>
      </c>
      <c r="C39" s="45">
        <v>58003061</v>
      </c>
      <c r="D39" s="44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まずは動きを止める</v>
      </c>
      <c r="E39" s="44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3ターンハートパネル無効+_x000D_ハートパネルプロテクト+単体攻撃</v>
      </c>
      <c r="F39" s="45">
        <v>58003061</v>
      </c>
      <c r="G39" s="46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6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6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6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6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6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6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6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6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5"/>
      <c r="Q39" s="45"/>
      <c r="R39" s="45"/>
    </row>
    <row r="40" spans="1:18" ht="21" customHeight="1" x14ac:dyDescent="0.15">
      <c r="A40" s="37" t="str">
        <f t="shared" si="1"/>
        <v>58003009_58003062</v>
      </c>
      <c r="B40" s="45">
        <v>58003009</v>
      </c>
      <c r="C40" s="45">
        <v>58003062</v>
      </c>
      <c r="D40" s="44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油断してくれるなよ？</v>
      </c>
      <c r="E40" s="44" t="str">
        <f ca="1">VLOOKUP($C40,OFFSET(enemy_skills!$A$1,0,0,COUNTA(enemy_skills!$A:$A),MATCH(E$1,enemy_skills!$1:$1,0)-MATCH("enemy_skill_id",enemy_skills!$1:$1,0)+1),MATCH(E$1,enemy_skills!$1:$1,0)-MATCH("enemy_skill_id",enemy_skills!$1:$1,0)+1,FALSE)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属性パネルを黄のダメージパネルに最大8個変換+_x000D_単体攻撃</v>
      </c>
      <c r="F40" s="45">
        <v>58003062</v>
      </c>
      <c r="G40" s="46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6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46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6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6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6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6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6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6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5"/>
      <c r="Q40" s="45"/>
      <c r="R40" s="45"/>
    </row>
    <row r="41" spans="1:18" ht="21" customHeight="1" x14ac:dyDescent="0.15">
      <c r="A41" s="37" t="str">
        <f t="shared" si="1"/>
        <v>58003009_58003063</v>
      </c>
      <c r="B41" s="45">
        <v>58003009</v>
      </c>
      <c r="C41" s="45">
        <v>58003063</v>
      </c>
      <c r="D41" s="4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我の手にかかれば造作もない</v>
      </c>
      <c r="E41" s="4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種族マシンのユニットに大ダメージの全体攻撃</v>
      </c>
      <c r="F41" s="45">
        <v>58003063</v>
      </c>
      <c r="G41" s="46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6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46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6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6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6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6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1" s="46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6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5"/>
      <c r="Q41" s="45"/>
      <c r="R41" s="45"/>
    </row>
    <row r="42" spans="1:18" ht="21" customHeight="1" x14ac:dyDescent="0.15">
      <c r="A42" s="37" t="str">
        <f t="shared" si="1"/>
        <v>58003009_58003064</v>
      </c>
      <c r="B42" s="45">
        <v>58003009</v>
      </c>
      <c r="C42" s="45">
        <v>58003064</v>
      </c>
      <c r="D42" s="44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これで身動きがとれまい</v>
      </c>
      <c r="E42" s="44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ハートパネルをお邪魔パネルに変換+単体攻撃</v>
      </c>
      <c r="F42" s="45">
        <v>58003064</v>
      </c>
      <c r="G42" s="4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6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4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6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6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2" s="4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5"/>
      <c r="Q42" s="45"/>
      <c r="R42" s="45"/>
    </row>
    <row r="43" spans="1:18" ht="21" customHeight="1" x14ac:dyDescent="0.15">
      <c r="A43" s="37" t="str">
        <f t="shared" si="1"/>
        <v>58003009_58003065</v>
      </c>
      <c r="B43" s="45">
        <v>58003009</v>
      </c>
      <c r="C43" s="45">
        <v>58003065</v>
      </c>
      <c r="D43" s="44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これが王の一撃である</v>
      </c>
      <c r="E43" s="44" t="str">
        <f ca="1">VLOOKUP($C43,OFFSET(enemy_skills!$A$1,0,0,COUNTA(enemy_skills!$A:$A),MATCH(E$1,enemy_skills!$1:$1,0)-MATCH("enemy_skill_id",enemy_skills!$1:$1,0)+1),MATCH(E$1,enemy_skills!$1:$1,0)-MATCH("enemy_skill_id",enemy_skills!$1:$1,0)+1,FALSE)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43" s="45">
        <v>58003065</v>
      </c>
      <c r="G43" s="46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6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46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6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6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6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6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3" s="46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6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5"/>
      <c r="Q43" s="45"/>
      <c r="R43" s="45"/>
    </row>
    <row r="44" spans="1:18" ht="21" customHeight="1" x14ac:dyDescent="0.15">
      <c r="A44" s="37" t="str">
        <f t="shared" si="1"/>
        <v>58003009_58003066</v>
      </c>
      <c r="B44" s="45">
        <v>58003009</v>
      </c>
      <c r="C44" s="45">
        <v>58003066</v>
      </c>
      <c r="D44" s="44" t="str">
        <f ca="1">VLOOKUP($C44,OFFSET(enemy_skills!$A$1,0,0,COUNTA(enemy_skills!$A:$A),MATCH(D$1,enemy_skills!$1:$1,0)-MATCH("enemy_skill_id",enemy_skills!$1:$1,0)+1),MATCH(D$1,enemy_skills!$1:$1,0)-MATCH("enemy_skill_id",enemy_skills!$1:$1,0)+1,FALSE)</f>
        <v>志ない者に我が剣は折れぬ…</v>
      </c>
      <c r="E44" s="44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種族サムライ以外に大ダメージの3回連続攻撃_x000D_(種族サムライを優先して攻撃)</v>
      </c>
      <c r="F44" s="45">
        <v>58003066</v>
      </c>
      <c r="G44" s="46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6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46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6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6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6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6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44" s="46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6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5"/>
      <c r="Q44" s="45"/>
      <c r="R44" s="45"/>
    </row>
    <row r="45" spans="1:18" ht="21" customHeight="1" x14ac:dyDescent="0.15">
      <c r="A45" s="37" t="str">
        <f t="shared" si="1"/>
        <v>58003009_58003067</v>
      </c>
      <c r="B45" s="45">
        <v>58003009</v>
      </c>
      <c r="C45" s="45">
        <v>58003067</v>
      </c>
      <c r="D45" s="44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これでもなお叛意を見せるか…</v>
      </c>
      <c r="E45" s="44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攻撃力超大UP+4回連続攻撃</v>
      </c>
      <c r="F45" s="45">
        <v>58003067</v>
      </c>
      <c r="G45" s="4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6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6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5"/>
      <c r="Q45" s="45"/>
      <c r="R45" s="45"/>
    </row>
    <row r="46" spans="1:18" ht="21" customHeight="1" x14ac:dyDescent="0.15">
      <c r="A46" s="37" t="str">
        <f t="shared" si="1"/>
        <v>58003009_58003068</v>
      </c>
      <c r="B46" s="45">
        <v>58003009</v>
      </c>
      <c r="C46" s="45">
        <v>58003068</v>
      </c>
      <c r="D46" s="44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君は…ふむ、只者ではないようだな</v>
      </c>
      <c r="E46" s="44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6" s="45">
        <v>58003068</v>
      </c>
      <c r="G46" s="46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6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6" s="46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6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6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6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6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6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8081</v>
      </c>
      <c r="O46" s="46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5"/>
      <c r="Q46" s="45"/>
      <c r="R46" s="45"/>
    </row>
    <row r="47" spans="1:18" ht="21" customHeight="1" x14ac:dyDescent="0.15">
      <c r="A47" s="37" t="str">
        <f t="shared" si="1"/>
        <v>58003009_58003069</v>
      </c>
      <c r="B47" s="45">
        <v>58003009</v>
      </c>
      <c r="C47" s="45">
        <v>58003069</v>
      </c>
      <c r="D47" s="44" t="str">
        <f ca="1">VLOOKUP($C47,OFFSET(enemy_skills!$A$1,0,0,COUNTA(enemy_skills!$A:$A),MATCH(D$1,enemy_skills!$1:$1,0)-MATCH("enemy_skill_id",enemy_skills!$1:$1,0)+1),MATCH(D$1,enemy_skills!$1:$1,0)-MATCH("enemy_skill_id",enemy_skills!$1:$1,0)+1,FALSE)</f>
        <v>興味深い力だ…受けて立とう</v>
      </c>
      <c r="E47" s="44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7" s="45">
        <v>58003069</v>
      </c>
      <c r="G47" s="46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6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47" s="46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6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6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6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6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6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47" s="46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5"/>
      <c r="Q47" s="45"/>
      <c r="R47" s="45"/>
    </row>
    <row r="48" spans="1:18" ht="21" customHeight="1" x14ac:dyDescent="0.15">
      <c r="A48" s="37" t="str">
        <f t="shared" si="1"/>
        <v>58003010_58003070</v>
      </c>
      <c r="B48" s="45">
        <v>58003010</v>
      </c>
      <c r="C48" s="45">
        <v>58003070</v>
      </c>
      <c r="D48" s="44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よかろう、本気で相手をしよう</v>
      </c>
      <c r="E48" s="44" t="str">
        <f ca="1">VLOOKUP($C48,OFFSET(enemy_skills!$A$1,0,0,COUNTA(enemy_skills!$A:$A),MATCH(E$1,enemy_skills!$1:$1,0)-MATCH("enemy_skill_id",enemy_skills!$1:$1,0)+1),MATCH(E$1,enemy_skills!$1:$1,0)-MATCH("enemy_skill_id",enemy_skills!$1:$1,0)+1,FALSE)</f>
        <v>状態異常耐性+ハートパネルドロップ率UP</v>
      </c>
      <c r="F48" s="45">
        <v>58003070</v>
      </c>
      <c r="G48" s="46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6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6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6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6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6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6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6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6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5"/>
      <c r="Q48" s="45"/>
      <c r="R48" s="45"/>
    </row>
    <row r="49" spans="1:18" ht="21" customHeight="1" x14ac:dyDescent="0.15">
      <c r="A49" s="37" t="str">
        <f t="shared" si="1"/>
        <v>58003010_58003071</v>
      </c>
      <c r="B49" s="45">
        <v>58003010</v>
      </c>
      <c r="C49" s="45">
        <v>58003071</v>
      </c>
      <c r="D49" s="44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手は緩めぬぞ…</v>
      </c>
      <c r="E49" s="44" t="str">
        <f ca="1">VLOOKUP($C49,OFFSET(enemy_skills!$A$1,0,0,COUNTA(enemy_skills!$A:$A),MATCH(E$1,enemy_skills!$1:$1,0)-MATCH("enemy_skill_id",enemy_skills!$1:$1,0)+1),MATCH(E$1,enemy_skills!$1:$1,0)-MATCH("enemy_skill_id",enemy_skills!$1:$1,0)+1,FALSE)</f>
        <v>3ターン全ユニットの回復力60%DOWN+_x000D_ハートパネルプロテクト+単体攻撃</v>
      </c>
      <c r="F49" s="45">
        <v>58003071</v>
      </c>
      <c r="G49" s="46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6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9" s="46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49" s="46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6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6" t="str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9" s="46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6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6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49" s="45"/>
      <c r="Q49" s="45"/>
      <c r="R49" s="45"/>
    </row>
    <row r="50" spans="1:18" ht="21" customHeight="1" x14ac:dyDescent="0.15">
      <c r="A50" s="37" t="str">
        <f t="shared" si="1"/>
        <v>58003010_58003072</v>
      </c>
      <c r="B50" s="45">
        <v>58003010</v>
      </c>
      <c r="C50" s="45">
        <v>58003072</v>
      </c>
      <c r="D50" s="44" t="str">
        <f ca="1">VLOOKUP($C50,OFFSET(enemy_skills!$A$1,0,0,COUNTA(enemy_skills!$A:$A),MATCH(D$1,enemy_skills!$1:$1,0)-MATCH("enemy_skill_id",enemy_skills!$1:$1,0)+1),MATCH(D$1,enemy_skills!$1:$1,0)-MATCH("enemy_skill_id",enemy_skills!$1:$1,0)+1,FALSE)</f>
        <v>迷いは敗北を生むぞ…</v>
      </c>
      <c r="E50" s="44" t="str">
        <f ca="1">VLOOKUP($C50,OFFSET(enemy_skills!$A$1,0,0,COUNTA(enemy_skills!$A:$A),MATCH(E$1,enemy_skills!$1:$1,0)-MATCH("enemy_skill_id",enemy_skills!$1:$1,0)+1),MATCH(E$1,enemy_skills!$1:$1,0)-MATCH("enemy_skill_id",enemy_skills!$1:$1,0)+1,FALSE)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属性パネルを黄のダメージパネルに最大8個変換+_x000D_単体攻撃</v>
      </c>
      <c r="F50" s="45">
        <v>58003072</v>
      </c>
      <c r="G50" s="46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6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0" s="46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0" s="46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6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6" t="str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0" s="46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6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6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0" s="45"/>
      <c r="Q50" s="45"/>
      <c r="R50" s="45"/>
    </row>
    <row r="51" spans="1:18" ht="21" customHeight="1" x14ac:dyDescent="0.15">
      <c r="A51" s="37" t="str">
        <f t="shared" si="1"/>
        <v>58003010_58003073</v>
      </c>
      <c r="B51" s="45">
        <v>58003010</v>
      </c>
      <c r="C51" s="45">
        <v>58003073</v>
      </c>
      <c r="D51" s="44" t="str">
        <f ca="1">VLOOKUP($C51,OFFSET(enemy_skills!$A$1,0,0,COUNTA(enemy_skills!$A:$A),MATCH(D$1,enemy_skills!$1:$1,0)-MATCH("enemy_skill_id",enemy_skills!$1:$1,0)+1),MATCH(D$1,enemy_skills!$1:$1,0)-MATCH("enemy_skill_id",enemy_skills!$1:$1,0)+1,FALSE)</f>
        <v>身動きを封じよう…</v>
      </c>
      <c r="E51" s="44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ハートパネルをお邪魔パネルに変換</v>
      </c>
      <c r="F51" s="45">
        <v>58003073</v>
      </c>
      <c r="G51" s="46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6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6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46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6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6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6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1" s="46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6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5"/>
      <c r="Q51" s="45"/>
      <c r="R51" s="45"/>
    </row>
    <row r="52" spans="1:18" ht="21" customHeight="1" x14ac:dyDescent="0.15">
      <c r="A52" s="37" t="str">
        <f t="shared" si="1"/>
        <v>58003010_58003074</v>
      </c>
      <c r="B52" s="45">
        <v>58003010</v>
      </c>
      <c r="C52" s="45">
        <v>58003074</v>
      </c>
      <c r="D52" s="44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これに耐えられるか…？</v>
      </c>
      <c r="E52" s="44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2" s="45">
        <v>58003074</v>
      </c>
      <c r="G52" s="46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6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2" s="46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6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6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6" t="str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2" s="46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2" s="46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6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5"/>
      <c r="Q52" s="45"/>
      <c r="R52" s="45"/>
    </row>
    <row r="53" spans="1:18" ht="21" customHeight="1" x14ac:dyDescent="0.15">
      <c r="A53" s="37" t="str">
        <f t="shared" si="1"/>
        <v>58003011_58003080</v>
      </c>
      <c r="B53" s="45">
        <v>58003011</v>
      </c>
      <c r="C53" s="45">
        <v>58003080</v>
      </c>
      <c r="D53" s="44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おもしろい…実におもしろいな</v>
      </c>
      <c r="E53" s="44" t="str">
        <f ca="1">VLOOKUP($C53,OFFSET(enemy_skills!$A$1,0,0,COUNTA(enemy_skills!$A:$A),MATCH(E$1,enemy_skills!$1:$1,0)-MATCH("enemy_skill_id",enemy_skills!$1:$1,0)+1),MATCH(E$1,enemy_skills!$1:$1,0)-MATCH("enemy_skill_id",enemy_skills!$1:$1,0)+1,FALSE)</f>
        <v>状態異常耐性+赤パネルドロップ率UP</v>
      </c>
      <c r="F53" s="45">
        <v>58003080</v>
      </c>
      <c r="G53" s="46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3" s="46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46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6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6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6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6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6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6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5"/>
      <c r="Q53" s="45"/>
      <c r="R53" s="45"/>
    </row>
    <row r="54" spans="1:18" ht="21" customHeight="1" x14ac:dyDescent="0.15">
      <c r="A54" s="37" t="str">
        <f t="shared" si="1"/>
        <v>58003011_58003081</v>
      </c>
      <c r="B54" s="45">
        <v>58003011</v>
      </c>
      <c r="C54" s="45">
        <v>58003081</v>
      </c>
      <c r="D54" s="44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その強い心を折る…</v>
      </c>
      <c r="E54" s="44" t="str">
        <f ca="1">VLOOKUP($C54,OFFSET(enemy_skills!$A$1,0,0,COUNTA(enemy_skills!$A:$A),MATCH(E$1,enemy_skills!$1:$1,0)-MATCH("enemy_skill_id",enemy_skills!$1:$1,0)+1),MATCH(E$1,enemy_skills!$1:$1,0)-MATCH("enemy_skill_id",enemy_skills!$1:$1,0)+1,FALSE)</f>
        <v>3ターン全ユニットの回復力60%DOWN+_x000D_赤&amp;ハートパネルプロテクト+単体攻撃</v>
      </c>
      <c r="F54" s="45">
        <v>58003081</v>
      </c>
      <c r="G54" s="46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6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4" s="46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6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6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4" s="46" t="str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4" s="46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6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6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5"/>
      <c r="Q54" s="45"/>
      <c r="R54" s="45"/>
    </row>
    <row r="55" spans="1:18" ht="21" customHeight="1" x14ac:dyDescent="0.15">
      <c r="A55" s="37" t="str">
        <f t="shared" si="1"/>
        <v>58003011_58003082</v>
      </c>
      <c r="B55" s="45">
        <v>58003011</v>
      </c>
      <c r="C55" s="45">
        <v>58003082</v>
      </c>
      <c r="D55" s="44" t="str">
        <f ca="1">VLOOKUP($C55,OFFSET(enemy_skills!$A$1,0,0,COUNTA(enemy_skills!$A:$A),MATCH(D$1,enemy_skills!$1:$1,0)-MATCH("enemy_skill_id",enemy_skills!$1:$1,0)+1),MATCH(D$1,enemy_skills!$1:$1,0)-MATCH("enemy_skill_id",enemy_skills!$1:$1,0)+1,FALSE)</f>
        <v>迷いは敗北を生むぞ…</v>
      </c>
      <c r="E55" s="44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属性パネルを黄のダメージパネルに最大8個変換+_x000D_単体攻撃</v>
      </c>
      <c r="F55" s="45">
        <v>58003082</v>
      </c>
      <c r="G55" s="46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6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5" s="46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5" s="46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6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5" s="46" t="str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5" s="46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6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6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5" s="45"/>
      <c r="Q55" s="45"/>
      <c r="R55" s="45"/>
    </row>
    <row r="56" spans="1:18" ht="21" customHeight="1" x14ac:dyDescent="0.15">
      <c r="A56" s="37" t="str">
        <f t="shared" si="1"/>
        <v>58003011_58003083</v>
      </c>
      <c r="B56" s="45">
        <v>58003011</v>
      </c>
      <c r="C56" s="45">
        <v>58003083</v>
      </c>
      <c r="D56" s="44" t="str">
        <f ca="1">VLOOKUP($C56,OFFSET(enemy_skills!$A$1,0,0,COUNTA(enemy_skills!$A:$A),MATCH(D$1,enemy_skills!$1:$1,0)-MATCH("enemy_skill_id",enemy_skills!$1:$1,0)+1),MATCH(D$1,enemy_skills!$1:$1,0)-MATCH("enemy_skill_id",enemy_skills!$1:$1,0)+1,FALSE)</f>
        <v>動けまい…覚悟するがいい</v>
      </c>
      <c r="E56" s="44" t="str">
        <f ca="1">VLOOKUP($C56,OFFSET(enemy_skills!$A$1,0,0,COUNTA(enemy_skills!$A:$A),MATCH(E$1,enemy_skills!$1:$1,0)-MATCH("enemy_skill_id",enemy_skills!$1:$1,0)+1),MATCH(E$1,enemy_skills!$1:$1,0)-MATCH("enemy_skill_id",enemy_skills!$1:$1,0)+1,FALSE)</f>
        <v>赤パネルとハートパネルをお邪魔パネルに変換</v>
      </c>
      <c r="F56" s="45">
        <v>58003083</v>
      </c>
      <c r="G56" s="4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6" s="4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6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6" s="46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6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6" s="4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5"/>
      <c r="Q56" s="45"/>
      <c r="R56" s="45"/>
    </row>
    <row r="57" spans="1:18" ht="21" customHeight="1" x14ac:dyDescent="0.15">
      <c r="A57" s="37" t="str">
        <f t="shared" si="1"/>
        <v>58003011_58003084</v>
      </c>
      <c r="B57" s="45">
        <v>58003011</v>
      </c>
      <c r="C57" s="45">
        <v>58003084</v>
      </c>
      <c r="D57" s="44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これが覇道に背いた末路だ</v>
      </c>
      <c r="E57" s="44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7" s="45">
        <v>58003084</v>
      </c>
      <c r="G57" s="46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6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6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6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6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71</v>
      </c>
      <c r="L57" s="46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6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7" s="46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6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5"/>
      <c r="Q57" s="45"/>
      <c r="R57" s="45"/>
    </row>
    <row r="58" spans="1:18" ht="21" customHeight="1" x14ac:dyDescent="0.15">
      <c r="A58" s="37" t="str">
        <f t="shared" si="1"/>
        <v>58003011_58003085</v>
      </c>
      <c r="B58" s="45">
        <v>58003011</v>
      </c>
      <c r="C58" s="45">
        <v>58003085</v>
      </c>
      <c r="D58" s="44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我が天命、未だ尽きぬ</v>
      </c>
      <c r="E58" s="44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ハートパネルが出現しない+防御力大UP</v>
      </c>
      <c r="F58" s="45">
        <v>58003085</v>
      </c>
      <c r="G58" s="46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6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8" s="46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6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8" s="46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6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6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6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6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5"/>
      <c r="Q58" s="45"/>
      <c r="R58" s="45"/>
    </row>
    <row r="59" spans="1:18" ht="21" customHeight="1" x14ac:dyDescent="0.15">
      <c r="A59" s="37" t="str">
        <f t="shared" si="1"/>
        <v>58003011_58003086</v>
      </c>
      <c r="B59" s="45">
        <v>58003011</v>
      </c>
      <c r="C59" s="45">
        <v>58003086</v>
      </c>
      <c r="D59" s="44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これが天下に立つ者の力だ</v>
      </c>
      <c r="E59" s="44" t="str">
        <f ca="1">VLOOKUP($C59,OFFSET(enemy_skills!$A$1,0,0,COUNTA(enemy_skills!$A:$A),MATCH(E$1,enemy_skills!$1:$1,0)-MATCH("enemy_skill_id",enemy_skills!$1:$1,0)+1),MATCH(E$1,enemy_skills!$1:$1,0)-MATCH("enemy_skill_id",enemy_skills!$1:$1,0)+1,FALSE)</f>
        <v>1ターン赤パネルとハートパネル吸収して攻撃力UP+_x000D_4回連続攻撃</v>
      </c>
      <c r="F59" s="45">
        <v>58003086</v>
      </c>
      <c r="G59" s="46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6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9" s="46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6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70</v>
      </c>
      <c r="K59" s="46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6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6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6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6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5"/>
      <c r="Q59" s="45"/>
      <c r="R59" s="45"/>
    </row>
    <row r="60" spans="1:18" ht="21" customHeight="1" x14ac:dyDescent="0.15">
      <c r="A60" s="37" t="str">
        <f t="shared" si="1"/>
        <v>58003011_58003087</v>
      </c>
      <c r="B60" s="45">
        <v>58003011</v>
      </c>
      <c r="C60" s="45">
        <v>58003087</v>
      </c>
      <c r="D60" s="44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その目、その力…実に素晴らしい</v>
      </c>
      <c r="E60" s="44" t="str">
        <f ca="1">VLOOKUP($C60,OFFSET(enemy_skills!$A$1,0,0,COUNTA(enemy_skills!$A:$A),MATCH(E$1,enemy_skills!$1:$1,0)-MATCH("enemy_skill_id",enemy_skills!$1:$1,0)+1),MATCH(E$1,enemy_skills!$1:$1,0)-MATCH("enemy_skill_id",enemy_skills!$1:$1,0)+1,FALSE)</f>
        <v>関羽、君とは共に覇道を歩みたいものだ…</v>
      </c>
      <c r="F60" s="45">
        <v>58003087</v>
      </c>
      <c r="G60" s="46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6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60" s="46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6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6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6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0" s="46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6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8081</v>
      </c>
      <c r="O60" s="46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5"/>
      <c r="Q60" s="45"/>
      <c r="R60" s="45"/>
    </row>
    <row r="61" spans="1:18" ht="21" customHeight="1" x14ac:dyDescent="0.15">
      <c r="A61" s="37" t="str">
        <f t="shared" si="1"/>
        <v>58003011_58003088</v>
      </c>
      <c r="B61" s="45">
        <v>58003011</v>
      </c>
      <c r="C61" s="45">
        <v>58003088</v>
      </c>
      <c r="D61" s="44" t="str">
        <f ca="1">VLOOKUP($C61,OFFSET(enemy_skills!$A$1,0,0,COUNTA(enemy_skills!$A:$A),MATCH(D$1,enemy_skills!$1:$1,0)-MATCH("enemy_skill_id",enemy_skills!$1:$1,0)+1),MATCH(D$1,enemy_skills!$1:$1,0)-MATCH("enemy_skill_id",enemy_skills!$1:$1,0)+1,FALSE)</f>
        <v>強い…だが美しくないな</v>
      </c>
      <c r="E61" s="44" t="str">
        <f ca="1">VLOOKUP($C61,OFFSET(enemy_skills!$A$1,0,0,COUNTA(enemy_skills!$A:$A),MATCH(E$1,enemy_skills!$1:$1,0)-MATCH("enemy_skill_id",enemy_skills!$1:$1,0)+1),MATCH(E$1,enemy_skills!$1:$1,0)-MATCH("enemy_skill_id",enemy_skills!$1:$1,0)+1,FALSE)</f>
        <v>呂布…君はいつか我が手にて始末しよう</v>
      </c>
      <c r="F61" s="45">
        <v>58003088</v>
      </c>
      <c r="G61" s="46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6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190</v>
      </c>
      <c r="I61" s="46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46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6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6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1" s="46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1" s="46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61" s="46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1" s="45"/>
      <c r="Q61" s="45"/>
      <c r="R61" s="45"/>
    </row>
    <row r="62" spans="1:18" ht="21" customHeight="1" x14ac:dyDescent="0.15">
      <c r="A62" s="37" t="str">
        <f t="shared" si="1"/>
        <v>58003011_58003089</v>
      </c>
      <c r="B62" s="45">
        <v>58003011</v>
      </c>
      <c r="C62" s="45">
        <v>58003089</v>
      </c>
      <c r="D62" s="44" t="str">
        <f ca="1">VLOOKUP($C62,OFFSET(enemy_skills!$A$1,0,0,COUNTA(enemy_skills!$A:$A),MATCH(D$1,enemy_skills!$1:$1,0)-MATCH("enemy_skill_id",enemy_skills!$1:$1,0)+1),MATCH(D$1,enemy_skills!$1:$1,0)-MATCH("enemy_skill_id",enemy_skills!$1:$1,0)+1,FALSE)</f>
        <v>知らぬうちに強者が増えたものだ…</v>
      </c>
      <c r="E62" s="44" t="str">
        <f ca="1">VLOOKUP($C62,OFFSET(enemy_skills!$A$1,0,0,COUNTA(enemy_skills!$A:$A),MATCH(E$1,enemy_skills!$1:$1,0)-MATCH("enemy_skill_id",enemy_skills!$1:$1,0)+1),MATCH(E$1,enemy_skills!$1:$1,0)-MATCH("enemy_skill_id",enemy_skills!$1:$1,0)+1,FALSE)</f>
        <v>力による支配…実におもしろそうだ</v>
      </c>
      <c r="F62" s="45">
        <v>58003089</v>
      </c>
      <c r="G62" s="46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6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180</v>
      </c>
      <c r="I62" s="46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46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6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6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2" s="46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2" s="46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2" s="46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2" s="45"/>
      <c r="Q62" s="45"/>
      <c r="R62" s="45"/>
    </row>
    <row r="63" spans="1:18" ht="21" customHeight="1" x14ac:dyDescent="0.15">
      <c r="A63" s="37" t="str">
        <f t="shared" si="1"/>
        <v>58003011_58003090</v>
      </c>
      <c r="B63" s="45">
        <v>58003011</v>
      </c>
      <c r="C63" s="45">
        <v>58003090</v>
      </c>
      <c r="D63" s="44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その目、その力…実に素晴らしい</v>
      </c>
      <c r="E63" s="44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関羽、君とは共に覇道を歩みたいものだ…</v>
      </c>
      <c r="F63" s="45">
        <v>58003090</v>
      </c>
      <c r="G63" s="46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6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199</v>
      </c>
      <c r="I63" s="46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46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6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6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3" s="46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3" s="46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8082</v>
      </c>
      <c r="O63" s="46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3" s="45"/>
      <c r="Q63" s="45"/>
      <c r="R63" s="45"/>
    </row>
    <row r="64" spans="1:18" ht="21" customHeight="1" x14ac:dyDescent="0.15">
      <c r="A64" s="37" t="str">
        <f t="shared" si="1"/>
        <v>58003011_58003091</v>
      </c>
      <c r="B64" s="45">
        <v>58003011</v>
      </c>
      <c r="C64" s="45">
        <v>58003091</v>
      </c>
      <c r="D64" s="44" t="str">
        <f ca="1">VLOOKUP($C64,OFFSET(enemy_skills!$A$1,0,0,COUNTA(enemy_skills!$A:$A),MATCH(D$1,enemy_skills!$1:$1,0)-MATCH("enemy_skill_id",enemy_skills!$1:$1,0)+1),MATCH(D$1,enemy_skills!$1:$1,0)-MATCH("enemy_skill_id",enemy_skills!$1:$1,0)+1,FALSE)</f>
        <v>強い…だが美しくないな</v>
      </c>
      <c r="E64" s="44" t="str">
        <f ca="1">VLOOKUP($C64,OFFSET(enemy_skills!$A$1,0,0,COUNTA(enemy_skills!$A:$A),MATCH(E$1,enemy_skills!$1:$1,0)-MATCH("enemy_skill_id",enemy_skills!$1:$1,0)+1),MATCH(E$1,enemy_skills!$1:$1,0)-MATCH("enemy_skill_id",enemy_skills!$1:$1,0)+1,FALSE)</f>
        <v>呂布…君はいつか我が手にて始末しよう</v>
      </c>
      <c r="F64" s="45">
        <v>58003091</v>
      </c>
      <c r="G64" s="46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6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189</v>
      </c>
      <c r="I64" s="46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6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6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6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4" s="46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4" s="46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64" s="46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5"/>
      <c r="Q64" s="45"/>
      <c r="R64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93"/>
  <sheetViews>
    <sheetView showGridLines="0" tabSelected="1" workbookViewId="0">
      <pane ySplit="1" topLeftCell="A30" activePane="bottomLeft" state="frozenSplit"/>
      <selection pane="bottomLeft" activeCell="D41" sqref="D41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x14ac:dyDescent="0.15">
      <c r="A1" s="38" t="s">
        <v>78</v>
      </c>
      <c r="B1" s="38" t="s">
        <v>79</v>
      </c>
      <c r="C1" s="38" t="s">
        <v>80</v>
      </c>
      <c r="D1" s="38" t="s">
        <v>124</v>
      </c>
      <c r="E1" s="38" t="s">
        <v>81</v>
      </c>
      <c r="F1" s="38" t="s">
        <v>82</v>
      </c>
      <c r="G1" s="39" t="s">
        <v>130</v>
      </c>
      <c r="H1" s="39" t="s">
        <v>136</v>
      </c>
      <c r="I1" s="39" t="s">
        <v>138</v>
      </c>
      <c r="J1" s="39" t="s">
        <v>137</v>
      </c>
      <c r="K1" s="39" t="s">
        <v>139</v>
      </c>
      <c r="L1" s="39" t="s">
        <v>131</v>
      </c>
      <c r="M1" s="39" t="s">
        <v>129</v>
      </c>
      <c r="N1" s="39" t="s">
        <v>132</v>
      </c>
      <c r="O1" s="39" t="s">
        <v>140</v>
      </c>
      <c r="P1" s="39" t="s">
        <v>141</v>
      </c>
      <c r="Q1" s="39" t="s">
        <v>142</v>
      </c>
      <c r="R1" s="39" t="s">
        <v>143</v>
      </c>
      <c r="S1" s="39" t="s">
        <v>133</v>
      </c>
      <c r="T1" s="39" t="s">
        <v>134</v>
      </c>
      <c r="U1" s="39" t="s">
        <v>144</v>
      </c>
      <c r="V1" s="39" t="s">
        <v>145</v>
      </c>
      <c r="W1" s="39" t="s">
        <v>146</v>
      </c>
      <c r="X1" s="39" t="s">
        <v>147</v>
      </c>
      <c r="Y1" s="39" t="s">
        <v>135</v>
      </c>
      <c r="Z1" s="39" t="s">
        <v>75</v>
      </c>
      <c r="AA1" s="39" t="s">
        <v>76</v>
      </c>
      <c r="AB1" s="39" t="s">
        <v>77</v>
      </c>
    </row>
    <row r="2" spans="1:28" ht="21" customHeight="1" x14ac:dyDescent="0.15">
      <c r="A2" s="45">
        <v>58003000</v>
      </c>
      <c r="B2" s="45" t="s">
        <v>355</v>
      </c>
      <c r="C2" s="48">
        <v>3</v>
      </c>
      <c r="D2" s="48" t="s">
        <v>251</v>
      </c>
      <c r="E2" s="49" t="s">
        <v>252</v>
      </c>
      <c r="F2" s="49" t="s">
        <v>253</v>
      </c>
      <c r="G2" s="62" t="str">
        <f>IFERROR(LEFT(B2,FIND("],",B2)),B2)</f>
        <v>[effect:enemy_message, val1:1.2, val2:1.2]</v>
      </c>
      <c r="H2" s="62">
        <f>FIND("effect:",G2)+7</f>
        <v>9</v>
      </c>
      <c r="I2" s="62">
        <f>IFERROR(FIND(",",G2),LEN(G2))</f>
        <v>22</v>
      </c>
      <c r="J2" s="62" t="e">
        <f>FIND("target:",G2)+7</f>
        <v>#VALUE!</v>
      </c>
      <c r="K2" s="62">
        <f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>IFERROR(RIGHT(B2,LEN(B2)-FIND("],",B2)-1),"none")</f>
        <v>[effect:critical, val:1.4, animation:enemy_critical]</v>
      </c>
      <c r="N2" s="46" t="str">
        <f>IFERROR(LEFT(M2,FIND("],",M2)+S12),M2)</f>
        <v>[effect:critical, val:1.4, animation:enemy_critical]</v>
      </c>
      <c r="O2" s="62">
        <f>FIND("effect:",N2)+7</f>
        <v>9</v>
      </c>
      <c r="P2" s="62">
        <f>IFERROR(FIND(",",N2),LEN(N2))</f>
        <v>17</v>
      </c>
      <c r="Q2" s="62" t="e">
        <f>FIND("target:",N2)+7</f>
        <v>#VALUE!</v>
      </c>
      <c r="R2" s="62">
        <f>FIND(",",N2,P2+1)</f>
        <v>26</v>
      </c>
      <c r="S2" s="62" t="str">
        <f>IFERROR(VLOOKUP(MID(N2,Q2,R2-Q2),[5]skilldef!$C:$D,2,FALSE),"-") &amp; " / " &amp; IFERROR(VLOOKUP(MID(N2,O2,P2-O2),[5]skilldef!$A:$B,2,FALSE),"-")</f>
        <v>- / 大攻撃</v>
      </c>
      <c r="T2" s="46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8"/>
      <c r="AA2" s="50"/>
      <c r="AB2" s="48"/>
    </row>
    <row r="3" spans="1:28" ht="21" customHeight="1" x14ac:dyDescent="0.15">
      <c r="A3" s="45">
        <v>58003001</v>
      </c>
      <c r="B3" s="45" t="s">
        <v>359</v>
      </c>
      <c r="C3" s="48">
        <v>3</v>
      </c>
      <c r="D3" s="48" t="s">
        <v>251</v>
      </c>
      <c r="E3" s="49" t="s">
        <v>254</v>
      </c>
      <c r="F3" s="49" t="s">
        <v>255</v>
      </c>
      <c r="G3" s="62" t="str">
        <f>IFERROR(LEFT(B3,FIND("],",B3)),B3)</f>
        <v>[effect:enemy_message, val1:1.2, val2:2.1]</v>
      </c>
      <c r="H3" s="62">
        <f>FIND("effect:",G3)+7</f>
        <v>9</v>
      </c>
      <c r="I3" s="62">
        <f>IFERROR(FIND(",",G3),LEN(G3))</f>
        <v>22</v>
      </c>
      <c r="J3" s="62" t="e">
        <f>FIND("target:",G3)+7</f>
        <v>#VALUE!</v>
      </c>
      <c r="K3" s="62">
        <f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>IFERROR(RIGHT(B3,LEN(B3)-FIND("],",B3)-1),"none")</f>
        <v>[effect:damage_anti_tribe, target:unit_all, tribe:machine, val1:1, val2:0.25]</v>
      </c>
      <c r="N3" s="46" t="str">
        <f>IFERROR(LEFT(M3,FIND("],",M3)+S13),M3)</f>
        <v>[effect:damage_anti_tribe, target:unit_all, tribe:machine, val1:1, val2:0.25]</v>
      </c>
      <c r="O3" s="62">
        <f>FIND("effect:",N3)+7</f>
        <v>9</v>
      </c>
      <c r="P3" s="62">
        <f>IFERROR(FIND(",",N3),LEN(N3))</f>
        <v>26</v>
      </c>
      <c r="Q3" s="62">
        <f>FIND("target:",N3)+7</f>
        <v>35</v>
      </c>
      <c r="R3" s="62">
        <f>FIND(",",N3,P3+1)</f>
        <v>43</v>
      </c>
      <c r="S3" s="62" t="str">
        <f>IFERROR(VLOOKUP(MID(N3,Q3,R3-Q3),[5]skilldef!$C:$D,2,FALSE),"-") &amp; " / " &amp; IFERROR(VLOOKUP(MID(N3,O3,P3-O3),[5]skilldef!$A:$B,2,FALSE),"-")</f>
        <v>味方全体に / 種族キラー</v>
      </c>
      <c r="T3" s="46" t="str">
        <f>IFERROR(RIGHT(M3,LEN(M3)-FIND("],",M3)-1),"none")</f>
        <v>none</v>
      </c>
      <c r="U3" s="62" t="e">
        <f>FIND("effect:",T3)+7</f>
        <v>#VALUE!</v>
      </c>
      <c r="V3" s="62">
        <f>IFERROR(FIND(",",T3),LEN(T3))</f>
        <v>4</v>
      </c>
      <c r="W3" s="62" t="e">
        <f>FIND("target:",T3)+7</f>
        <v>#VALUE!</v>
      </c>
      <c r="X3" s="62" t="e">
        <f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8"/>
      <c r="AA3" s="50"/>
      <c r="AB3" s="48"/>
    </row>
    <row r="4" spans="1:28" ht="21" customHeight="1" x14ac:dyDescent="0.15">
      <c r="A4" s="45">
        <v>58003002</v>
      </c>
      <c r="B4" s="45" t="s">
        <v>360</v>
      </c>
      <c r="C4" s="48">
        <v>3</v>
      </c>
      <c r="D4" s="48" t="s">
        <v>251</v>
      </c>
      <c r="E4" s="49" t="s">
        <v>256</v>
      </c>
      <c r="F4" s="49" t="s">
        <v>257</v>
      </c>
      <c r="G4" s="62" t="str">
        <f t="shared" ref="G4:G67" si="0">IFERROR(LEFT(B4,FIND("],",B4)),B4)</f>
        <v>[effect:enemy_message, val1:1.2, val2:1.2]</v>
      </c>
      <c r="H4" s="62">
        <f t="shared" ref="H4:H67" si="1">FIND("effect:",G4)+7</f>
        <v>9</v>
      </c>
      <c r="I4" s="62">
        <f t="shared" ref="I4:I67" si="2">IFERROR(FIND(",",G4),LEN(G4))</f>
        <v>22</v>
      </c>
      <c r="J4" s="62" t="e">
        <f t="shared" ref="J4:J67" si="3">FIND("target:",G4)+7</f>
        <v>#VALUE!</v>
      </c>
      <c r="K4" s="62">
        <f t="shared" ref="K4:K67" si="4">FIND(",",G4,I4+1)</f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ref="M4:M67" si="5">IFERROR(RIGHT(B4,LEN(B4)-FIND("],",B4)-1),"none")</f>
        <v>none</v>
      </c>
      <c r="N4" s="46" t="str">
        <f t="shared" ref="N4:N67" si="6">IFERROR(LEFT(M4,FIND("],",M4)+S14),M4)</f>
        <v>none</v>
      </c>
      <c r="O4" s="62" t="e">
        <f t="shared" ref="O4:O67" si="7">FIND("effect:",N4)+7</f>
        <v>#VALUE!</v>
      </c>
      <c r="P4" s="62">
        <f t="shared" ref="P4:P67" si="8">IFERROR(FIND(",",N4),LEN(N4))</f>
        <v>4</v>
      </c>
      <c r="Q4" s="62" t="e">
        <f t="shared" ref="Q4:Q67" si="9">FIND("target:",N4)+7</f>
        <v>#VALUE!</v>
      </c>
      <c r="R4" s="62" t="e">
        <f t="shared" ref="R4:R67" si="10">FIND(",",N4,P4+1)</f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6" t="str">
        <f t="shared" ref="T4:T67" si="11">IFERROR(RIGHT(M4,LEN(M4)-FIND("],",M4)-1),"none")</f>
        <v>none</v>
      </c>
      <c r="U4" s="62" t="e">
        <f t="shared" ref="U4:U67" si="12">FIND("effect:",T4)+7</f>
        <v>#VALUE!</v>
      </c>
      <c r="V4" s="62">
        <f t="shared" ref="V4:V67" si="13">IFERROR(FIND(",",T4),LEN(T4))</f>
        <v>4</v>
      </c>
      <c r="W4" s="62" t="e">
        <f t="shared" ref="W4:W67" si="14">FIND("target:",T4)+7</f>
        <v>#VALUE!</v>
      </c>
      <c r="X4" s="62" t="e">
        <f t="shared" ref="X4:X67" si="15"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8"/>
      <c r="AA4" s="50"/>
      <c r="AB4" s="48"/>
    </row>
    <row r="5" spans="1:28" ht="21" customHeight="1" x14ac:dyDescent="0.15">
      <c r="A5" s="45">
        <v>58003003</v>
      </c>
      <c r="B5" s="45" t="s">
        <v>360</v>
      </c>
      <c r="C5" s="48">
        <v>3</v>
      </c>
      <c r="D5" s="48" t="s">
        <v>251</v>
      </c>
      <c r="E5" s="49" t="s">
        <v>256</v>
      </c>
      <c r="F5" s="49" t="s">
        <v>257</v>
      </c>
      <c r="G5" s="62" t="str">
        <f t="shared" si="0"/>
        <v>[effect:enemy_message, val1:1.2, val2:1.2]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none</v>
      </c>
      <c r="N5" s="46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6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8"/>
      <c r="AA5" s="50"/>
      <c r="AB5" s="48"/>
    </row>
    <row r="6" spans="1:28" ht="21" customHeight="1" x14ac:dyDescent="0.15">
      <c r="A6" s="45">
        <v>58003004</v>
      </c>
      <c r="B6" s="45" t="s">
        <v>360</v>
      </c>
      <c r="C6" s="48">
        <v>3</v>
      </c>
      <c r="D6" s="48" t="s">
        <v>251</v>
      </c>
      <c r="E6" s="49" t="s">
        <v>256</v>
      </c>
      <c r="F6" s="49" t="s">
        <v>257</v>
      </c>
      <c r="G6" s="62" t="str">
        <f t="shared" si="0"/>
        <v>[effect:enemy_message, val1:1.2, val2:1.2]</v>
      </c>
      <c r="H6" s="62">
        <f t="shared" si="1"/>
        <v>9</v>
      </c>
      <c r="I6" s="62">
        <f t="shared" si="2"/>
        <v>22</v>
      </c>
      <c r="J6" s="62" t="e">
        <f t="shared" si="3"/>
        <v>#VALUE!</v>
      </c>
      <c r="K6" s="62">
        <f t="shared" si="4"/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 t="shared" si="5"/>
        <v>none</v>
      </c>
      <c r="N6" s="46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6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8"/>
      <c r="AA6" s="50"/>
      <c r="AB6" s="48"/>
    </row>
    <row r="7" spans="1:28" ht="21" customHeight="1" x14ac:dyDescent="0.15">
      <c r="A7" s="45">
        <v>58003005</v>
      </c>
      <c r="B7" s="45" t="s">
        <v>354</v>
      </c>
      <c r="C7" s="48">
        <v>3</v>
      </c>
      <c r="D7" s="48" t="s">
        <v>251</v>
      </c>
      <c r="E7" s="49" t="s">
        <v>258</v>
      </c>
      <c r="F7" s="49" t="s">
        <v>259</v>
      </c>
      <c r="G7" s="62" t="str">
        <f t="shared" si="0"/>
        <v>[effect:enemy_message, val1:1.2, val2:1.2]</v>
      </c>
      <c r="H7" s="62">
        <f t="shared" si="1"/>
        <v>9</v>
      </c>
      <c r="I7" s="62">
        <f t="shared" si="2"/>
        <v>22</v>
      </c>
      <c r="J7" s="62" t="e">
        <f t="shared" si="3"/>
        <v>#VALUE!</v>
      </c>
      <c r="K7" s="62">
        <f t="shared" si="4"/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 t="shared" si="5"/>
        <v>[effect:rush, count:4, val:0.28]</v>
      </c>
      <c r="N7" s="46" t="str">
        <f t="shared" si="6"/>
        <v>[effect:rush, count:4, val:0.28]</v>
      </c>
      <c r="O7" s="62">
        <f t="shared" si="7"/>
        <v>9</v>
      </c>
      <c r="P7" s="62">
        <f t="shared" si="8"/>
        <v>13</v>
      </c>
      <c r="Q7" s="62" t="e">
        <f t="shared" si="9"/>
        <v>#VALUE!</v>
      </c>
      <c r="R7" s="62">
        <f t="shared" si="10"/>
        <v>22</v>
      </c>
      <c r="S7" s="62" t="str">
        <f>IFERROR(VLOOKUP(MID(N7,Q7,R7-Q7),[5]skilldef!$C:$D,2,FALSE),"-") &amp; " / " &amp; IFERROR(VLOOKUP(MID(N7,O7,P7-O7),[5]skilldef!$A:$B,2,FALSE),"-")</f>
        <v>- / 連続攻撃</v>
      </c>
      <c r="T7" s="46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8"/>
      <c r="AA7" s="50"/>
      <c r="AB7" s="48"/>
    </row>
    <row r="8" spans="1:28" ht="21" customHeight="1" x14ac:dyDescent="0.15">
      <c r="A8" s="45">
        <v>58003006</v>
      </c>
      <c r="B8" s="45" t="s">
        <v>361</v>
      </c>
      <c r="C8" s="48">
        <v>3</v>
      </c>
      <c r="D8" s="48" t="s">
        <v>251</v>
      </c>
      <c r="E8" s="49" t="s">
        <v>260</v>
      </c>
      <c r="F8" s="108" t="s">
        <v>261</v>
      </c>
      <c r="G8" s="62" t="str">
        <f t="shared" si="0"/>
        <v>[effect:enemy_message, val1:1.2, val2:2.4]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[effect:damage_anti_tribe, target:unit_all, tribe:samurai, val1:0.2, val2:0.6]</v>
      </c>
      <c r="N8" s="46" t="str">
        <f t="shared" si="6"/>
        <v>[effect:damage_anti_tribe, target:unit_all, tribe:samurai, val1:0.2, val2:0.6]</v>
      </c>
      <c r="O8" s="62">
        <f t="shared" si="7"/>
        <v>9</v>
      </c>
      <c r="P8" s="62">
        <f t="shared" si="8"/>
        <v>26</v>
      </c>
      <c r="Q8" s="62">
        <f t="shared" si="9"/>
        <v>35</v>
      </c>
      <c r="R8" s="62">
        <f t="shared" si="10"/>
        <v>43</v>
      </c>
      <c r="S8" s="62" t="str">
        <f>IFERROR(VLOOKUP(MID(N8,Q8,R8-Q8),[5]skilldef!$C:$D,2,FALSE),"-") &amp; " / " &amp; IFERROR(VLOOKUP(MID(N8,O8,P8-O8),[5]skilldef!$A:$B,2,FALSE),"-")</f>
        <v>味方全体に / 種族キラー</v>
      </c>
      <c r="T8" s="46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8"/>
      <c r="AA8" s="50"/>
      <c r="AB8" s="48"/>
    </row>
    <row r="9" spans="1:28" ht="21" customHeight="1" x14ac:dyDescent="0.15">
      <c r="A9" s="45">
        <v>58003007</v>
      </c>
      <c r="B9" s="45" t="s">
        <v>360</v>
      </c>
      <c r="C9" s="48">
        <v>3</v>
      </c>
      <c r="D9" s="48" t="s">
        <v>251</v>
      </c>
      <c r="E9" s="49" t="s">
        <v>262</v>
      </c>
      <c r="F9" s="49" t="s">
        <v>257</v>
      </c>
      <c r="G9" s="62" t="str">
        <f t="shared" si="0"/>
        <v>[effect:enemy_message, val1:1.2, val2:1.2]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none</v>
      </c>
      <c r="N9" s="46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6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8"/>
      <c r="AA9" s="50"/>
      <c r="AB9" s="48"/>
    </row>
    <row r="10" spans="1:28" ht="21" customHeight="1" x14ac:dyDescent="0.15">
      <c r="A10" s="45">
        <v>58003008</v>
      </c>
      <c r="B10" s="45" t="s">
        <v>360</v>
      </c>
      <c r="C10" s="48">
        <v>3</v>
      </c>
      <c r="D10" s="48" t="s">
        <v>251</v>
      </c>
      <c r="E10" s="49" t="s">
        <v>262</v>
      </c>
      <c r="F10" s="49" t="s">
        <v>257</v>
      </c>
      <c r="G10" s="62" t="str">
        <f t="shared" si="0"/>
        <v>[effect:enemy_message, val1:1.2, val2:1.2]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none</v>
      </c>
      <c r="N10" s="46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6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8"/>
      <c r="AA10" s="50"/>
      <c r="AB10" s="48"/>
    </row>
    <row r="11" spans="1:28" ht="21" customHeight="1" x14ac:dyDescent="0.15">
      <c r="A11" s="45">
        <v>58003009</v>
      </c>
      <c r="B11" s="45" t="s">
        <v>360</v>
      </c>
      <c r="C11" s="48">
        <v>3</v>
      </c>
      <c r="D11" s="48" t="s">
        <v>251</v>
      </c>
      <c r="E11" s="49" t="s">
        <v>262</v>
      </c>
      <c r="F11" s="49" t="s">
        <v>257</v>
      </c>
      <c r="G11" s="62" t="str">
        <f t="shared" si="0"/>
        <v>[effect:enemy_message, val1:1.2, val2:1.2]</v>
      </c>
      <c r="H11" s="62">
        <f t="shared" si="1"/>
        <v>9</v>
      </c>
      <c r="I11" s="62">
        <f t="shared" si="2"/>
        <v>22</v>
      </c>
      <c r="J11" s="62" t="e">
        <f t="shared" si="3"/>
        <v>#VALUE!</v>
      </c>
      <c r="K11" s="62">
        <f t="shared" si="4"/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si="5"/>
        <v>none</v>
      </c>
      <c r="N11" s="46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6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8"/>
      <c r="AA11" s="50"/>
      <c r="AB11" s="48"/>
    </row>
    <row r="12" spans="1:28" ht="21" customHeight="1" x14ac:dyDescent="0.15">
      <c r="A12" s="45">
        <v>58003010</v>
      </c>
      <c r="B12" s="45" t="s">
        <v>362</v>
      </c>
      <c r="C12" s="48">
        <v>3</v>
      </c>
      <c r="D12" s="48" t="s">
        <v>251</v>
      </c>
      <c r="E12" s="49" t="s">
        <v>263</v>
      </c>
      <c r="F12" s="49" t="s">
        <v>264</v>
      </c>
      <c r="G12" s="62" t="str">
        <f t="shared" si="0"/>
        <v>[effect:enemy_message, val1:1.7, val2:1.2]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[effect:fix_speed, target:myself, turn:1],[effect:tolerance, target:myself, turn:-1, count:-1, tolerance_effect:all, animation:enemy_tolerance]</v>
      </c>
      <c r="N12" s="46" t="str">
        <f t="shared" si="6"/>
        <v>[effect:fix_speed, target:myself, turn:1],[effect:tolerance, target:myself, turn:-1, count:-1, tolerance_effect:all, animation:enemy_tolerance]</v>
      </c>
      <c r="O12" s="62">
        <f t="shared" si="7"/>
        <v>9</v>
      </c>
      <c r="P12" s="62">
        <f t="shared" si="8"/>
        <v>18</v>
      </c>
      <c r="Q12" s="62">
        <f t="shared" si="9"/>
        <v>27</v>
      </c>
      <c r="R12" s="62">
        <f t="shared" si="10"/>
        <v>33</v>
      </c>
      <c r="S12" s="62" t="str">
        <f>IFERROR(VLOOKUP(MID(N12,Q12,R12-Q12),[5]skilldef!$C:$D,2,FALSE),"-") &amp; " / " &amp; IFERROR(VLOOKUP(MID(N12,O12,P12-O12),[5]skilldef!$A:$B,2,FALSE),"-")</f>
        <v>自分自身に / 行動値設定</v>
      </c>
      <c r="T12" s="46" t="str">
        <f t="shared" si="11"/>
        <v>[effect:tolerance, target:myself, turn:-1, count:-1, tolerance_effect:all, animation:enemy_tolerance]</v>
      </c>
      <c r="U12" s="62">
        <f t="shared" si="12"/>
        <v>9</v>
      </c>
      <c r="V12" s="62">
        <f t="shared" si="13"/>
        <v>18</v>
      </c>
      <c r="W12" s="62">
        <f t="shared" si="14"/>
        <v>27</v>
      </c>
      <c r="X12" s="62">
        <f t="shared" si="15"/>
        <v>33</v>
      </c>
      <c r="Y12" s="62" t="str">
        <f>IFERROR(VLOOKUP(MID(T12,W12,X12-W12),[5]skilldef!$C:$D,2,FALSE),"-") &amp; " / " &amp; IFERROR(VLOOKUP(MID(T12,U12,V12-U12),[5]skilldef!$A:$B,2,FALSE),"-")</f>
        <v>自分自身に / 状態異常耐性</v>
      </c>
      <c r="Z12" s="48"/>
      <c r="AA12" s="50"/>
      <c r="AB12" s="48"/>
    </row>
    <row r="13" spans="1:28" ht="21" customHeight="1" x14ac:dyDescent="0.15">
      <c r="A13" s="45">
        <v>58003011</v>
      </c>
      <c r="B13" s="45" t="s">
        <v>422</v>
      </c>
      <c r="C13" s="48">
        <v>3</v>
      </c>
      <c r="D13" s="48" t="s">
        <v>251</v>
      </c>
      <c r="E13" s="49" t="s">
        <v>265</v>
      </c>
      <c r="F13" s="108" t="s">
        <v>421</v>
      </c>
      <c r="G13" s="62" t="str">
        <f t="shared" si="0"/>
        <v>[effect:enemy_message, val1:1.2, val2:2.4]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5"/>
        <v>[effect:force_change_block, new_block:jammer, target:normal, count:5, val:0],[effect:rush, count:1, val:1]</v>
      </c>
      <c r="N13" s="46" t="str">
        <f t="shared" si="6"/>
        <v>[effect:force_change_block, new_block:jammer, target:normal, count:5, val:0],[effect:rush, count:1, val:1]</v>
      </c>
      <c r="O13" s="62">
        <f t="shared" si="7"/>
        <v>9</v>
      </c>
      <c r="P13" s="62">
        <f t="shared" si="8"/>
        <v>27</v>
      </c>
      <c r="Q13" s="62">
        <f t="shared" si="9"/>
        <v>54</v>
      </c>
      <c r="R13" s="62">
        <f t="shared" si="10"/>
        <v>45</v>
      </c>
      <c r="S13" s="62" t="str">
        <f>IFERROR(VLOOKUP(MID(N13,Q13,R13-Q13),[5]skilldef!$C:$D,2,FALSE),"-") &amp; " / " &amp; IFERROR(VLOOKUP(MID(N13,O13,P13-O13),[5]skilldef!$A:$B,2,FALSE),"-")</f>
        <v>- / -</v>
      </c>
      <c r="T13" s="46" t="str">
        <f t="shared" si="11"/>
        <v>[effect:rush, count:1, val:1]</v>
      </c>
      <c r="U13" s="62">
        <f t="shared" si="12"/>
        <v>9</v>
      </c>
      <c r="V13" s="62">
        <f t="shared" si="13"/>
        <v>13</v>
      </c>
      <c r="W13" s="62" t="e">
        <f t="shared" si="14"/>
        <v>#VALUE!</v>
      </c>
      <c r="X13" s="62">
        <f t="shared" si="15"/>
        <v>22</v>
      </c>
      <c r="Y13" s="62" t="str">
        <f>IFERROR(VLOOKUP(MID(T13,W13,X13-W13),[5]skilldef!$C:$D,2,FALSE),"-") &amp; " / " &amp; IFERROR(VLOOKUP(MID(T13,U13,V13-U13),[5]skilldef!$A:$B,2,FALSE),"-")</f>
        <v>- / 連続攻撃</v>
      </c>
      <c r="Z13" s="48"/>
      <c r="AA13" s="50"/>
      <c r="AB13" s="48"/>
    </row>
    <row r="14" spans="1:28" ht="21" customHeight="1" x14ac:dyDescent="0.15">
      <c r="A14" s="45">
        <v>58003012</v>
      </c>
      <c r="B14" s="45" t="s">
        <v>363</v>
      </c>
      <c r="C14" s="48">
        <v>3</v>
      </c>
      <c r="D14" s="48" t="s">
        <v>251</v>
      </c>
      <c r="E14" s="49" t="s">
        <v>266</v>
      </c>
      <c r="F14" s="108" t="s">
        <v>267</v>
      </c>
      <c r="G14" s="62" t="str">
        <f t="shared" si="0"/>
        <v>[effect:enemy_message, val1:1.2, val2:1.5]</v>
      </c>
      <c r="H14" s="62">
        <f t="shared" si="1"/>
        <v>9</v>
      </c>
      <c r="I14" s="62">
        <f t="shared" si="2"/>
        <v>22</v>
      </c>
      <c r="J14" s="62" t="e">
        <f t="shared" si="3"/>
        <v>#VALUE!</v>
      </c>
      <c r="K14" s="62">
        <f t="shared" si="4"/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si="5"/>
        <v>[effect:break_attack, target:unit_all, val:0.05, lowest_val:1000, count:-1, color:yellow, block01:jammer]</v>
      </c>
      <c r="N14" s="46" t="str">
        <f t="shared" si="6"/>
        <v>[effect:break_attack, target:unit_all, val:0.05, lowest_val:1000, count:-1, color:yellow, block01:jammer]</v>
      </c>
      <c r="O14" s="62">
        <f t="shared" si="7"/>
        <v>9</v>
      </c>
      <c r="P14" s="62">
        <f t="shared" si="8"/>
        <v>21</v>
      </c>
      <c r="Q14" s="62">
        <f t="shared" si="9"/>
        <v>30</v>
      </c>
      <c r="R14" s="62">
        <f t="shared" si="10"/>
        <v>38</v>
      </c>
      <c r="S14" s="62" t="str">
        <f>IFERROR(VLOOKUP(MID(N14,Q14,R14-Q14),[5]skilldef!$C:$D,2,FALSE),"-") &amp; " / " &amp; IFERROR(VLOOKUP(MID(N14,O14,P14-O14),[5]skilldef!$A:$B,2,FALSE),"-")</f>
        <v>味方全体に / -</v>
      </c>
      <c r="T14" s="46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8"/>
      <c r="AA14" s="50"/>
      <c r="AB14" s="48"/>
    </row>
    <row r="15" spans="1:28" ht="21" customHeight="1" x14ac:dyDescent="0.15">
      <c r="A15" s="45">
        <v>58003013</v>
      </c>
      <c r="B15" s="45" t="s">
        <v>364</v>
      </c>
      <c r="C15" s="48">
        <v>3</v>
      </c>
      <c r="D15" s="48" t="s">
        <v>251</v>
      </c>
      <c r="E15" s="49" t="s">
        <v>268</v>
      </c>
      <c r="F15" s="108" t="s">
        <v>261</v>
      </c>
      <c r="G15" s="62" t="str">
        <f t="shared" si="0"/>
        <v>[effect:enemy_message, val1:1.6, val2:2.4]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[effect:damage_anti_tribe, target:unit_all, tribe:samurai, val1:0.2, val2:0.6]</v>
      </c>
      <c r="N15" s="46" t="str">
        <f t="shared" si="6"/>
        <v>[effect:damage_anti_tribe, target:unit_all, tribe:samurai, val1:0.2, val2:0.6]</v>
      </c>
      <c r="O15" s="62">
        <f t="shared" si="7"/>
        <v>9</v>
      </c>
      <c r="P15" s="62">
        <f t="shared" si="8"/>
        <v>26</v>
      </c>
      <c r="Q15" s="62">
        <f t="shared" si="9"/>
        <v>35</v>
      </c>
      <c r="R15" s="62">
        <f t="shared" si="10"/>
        <v>43</v>
      </c>
      <c r="S15" s="62" t="str">
        <f>IFERROR(VLOOKUP(MID(N15,Q15,R15-Q15),[5]skilldef!$C:$D,2,FALSE),"-") &amp; " / " &amp; IFERROR(VLOOKUP(MID(N15,O15,P15-O15),[5]skilldef!$A:$B,2,FALSE),"-")</f>
        <v>味方全体に / 種族キラー</v>
      </c>
      <c r="T15" s="46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8"/>
      <c r="AA15" s="50"/>
      <c r="AB15" s="48"/>
    </row>
    <row r="16" spans="1:28" ht="21" customHeight="1" x14ac:dyDescent="0.15">
      <c r="A16" s="45">
        <v>58003014</v>
      </c>
      <c r="B16" s="45" t="s">
        <v>360</v>
      </c>
      <c r="C16" s="48">
        <v>3</v>
      </c>
      <c r="D16" s="48" t="s">
        <v>251</v>
      </c>
      <c r="E16" s="49" t="s">
        <v>269</v>
      </c>
      <c r="F16" s="49" t="s">
        <v>257</v>
      </c>
      <c r="G16" s="62" t="str">
        <f t="shared" si="0"/>
        <v>[effect:enemy_message, val1:1.2, val2:1.2]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none</v>
      </c>
      <c r="N16" s="46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6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8"/>
      <c r="AA16" s="50"/>
      <c r="AB16" s="48"/>
    </row>
    <row r="17" spans="1:28" ht="21" customHeight="1" x14ac:dyDescent="0.15">
      <c r="A17" s="45">
        <v>58003015</v>
      </c>
      <c r="B17" s="45" t="s">
        <v>360</v>
      </c>
      <c r="C17" s="48">
        <v>3</v>
      </c>
      <c r="D17" s="48" t="s">
        <v>251</v>
      </c>
      <c r="E17" s="49" t="s">
        <v>269</v>
      </c>
      <c r="F17" s="49" t="s">
        <v>257</v>
      </c>
      <c r="G17" s="62" t="str">
        <f t="shared" si="0"/>
        <v>[effect:enemy_message, val1:1.2, val2:1.2]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none</v>
      </c>
      <c r="N17" s="46" t="str">
        <f t="shared" si="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IFERROR(VLOOKUP(MID(N17,Q17,R17-Q17),[5]skilldef!$C:$D,2,FALSE),"-") &amp; " / " &amp; IFERROR(VLOOKUP(MID(N17,O17,P17-O17),[5]skilldef!$A:$B,2,FALSE),"-")</f>
        <v>- / -</v>
      </c>
      <c r="T17" s="46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IFERROR(VLOOKUP(MID(T17,W17,X17-W17),[5]skilldef!$C:$D,2,FALSE),"-") &amp; " / " &amp; IFERROR(VLOOKUP(MID(T17,U17,V17-U17),[5]skilldef!$A:$B,2,FALSE),"-")</f>
        <v>- / -</v>
      </c>
      <c r="Z17" s="48"/>
      <c r="AA17" s="50"/>
      <c r="AB17" s="48"/>
    </row>
    <row r="18" spans="1:28" ht="21" customHeight="1" x14ac:dyDescent="0.15">
      <c r="A18" s="45">
        <v>58003016</v>
      </c>
      <c r="B18" s="45" t="s">
        <v>360</v>
      </c>
      <c r="C18" s="48">
        <v>3</v>
      </c>
      <c r="D18" s="48" t="s">
        <v>251</v>
      </c>
      <c r="E18" s="49" t="s">
        <v>269</v>
      </c>
      <c r="F18" s="49" t="s">
        <v>257</v>
      </c>
      <c r="G18" s="62" t="str">
        <f t="shared" si="0"/>
        <v>[effect:enemy_message, val1:1.2, val2:1.2]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none</v>
      </c>
      <c r="N18" s="46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6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8"/>
      <c r="AA18" s="50"/>
      <c r="AB18" s="48"/>
    </row>
    <row r="19" spans="1:28" ht="21" customHeight="1" x14ac:dyDescent="0.15">
      <c r="A19" s="45">
        <v>58003017</v>
      </c>
      <c r="B19" s="45" t="s">
        <v>360</v>
      </c>
      <c r="C19" s="48">
        <v>3</v>
      </c>
      <c r="D19" s="48" t="s">
        <v>251</v>
      </c>
      <c r="E19" s="49" t="s">
        <v>269</v>
      </c>
      <c r="F19" s="49" t="s">
        <v>257</v>
      </c>
      <c r="G19" s="62" t="str">
        <f t="shared" si="0"/>
        <v>[effect:enemy_message, val1:1.2, val2:1.2]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none</v>
      </c>
      <c r="N19" s="46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6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8"/>
      <c r="AA19" s="50"/>
      <c r="AB19" s="48"/>
    </row>
    <row r="20" spans="1:28" ht="21" customHeight="1" x14ac:dyDescent="0.15">
      <c r="A20" s="45">
        <v>58003018</v>
      </c>
      <c r="B20" s="45" t="s">
        <v>360</v>
      </c>
      <c r="C20" s="48">
        <v>3</v>
      </c>
      <c r="D20" s="48" t="s">
        <v>251</v>
      </c>
      <c r="E20" s="49" t="s">
        <v>269</v>
      </c>
      <c r="F20" s="49" t="s">
        <v>257</v>
      </c>
      <c r="G20" s="62" t="str">
        <f t="shared" si="0"/>
        <v>[effect:enemy_message, val1:1.2, val2:1.2]</v>
      </c>
      <c r="H20" s="62">
        <f t="shared" si="1"/>
        <v>9</v>
      </c>
      <c r="I20" s="62">
        <f t="shared" si="2"/>
        <v>22</v>
      </c>
      <c r="J20" s="62" t="e">
        <f t="shared" si="3"/>
        <v>#VALUE!</v>
      </c>
      <c r="K20" s="62">
        <f t="shared" si="4"/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si="5"/>
        <v>none</v>
      </c>
      <c r="N20" s="46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6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8"/>
      <c r="AA20" s="50"/>
      <c r="AB20" s="48"/>
    </row>
    <row r="21" spans="1:28" ht="21" customHeight="1" x14ac:dyDescent="0.15">
      <c r="A21" s="45">
        <v>58003019</v>
      </c>
      <c r="B21" s="45" t="s">
        <v>360</v>
      </c>
      <c r="C21" s="48">
        <v>3</v>
      </c>
      <c r="D21" s="48" t="s">
        <v>251</v>
      </c>
      <c r="E21" s="49" t="s">
        <v>269</v>
      </c>
      <c r="F21" s="49" t="s">
        <v>257</v>
      </c>
      <c r="G21" s="62" t="str">
        <f t="shared" si="0"/>
        <v>[effect:enemy_message, val1:1.2, val2:1.2]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none</v>
      </c>
      <c r="N21" s="46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IFERROR(VLOOKUP(MID(N21,Q21,R21-Q21),[5]skilldef!$C:$D,2,FALSE),"-") &amp; " / " &amp; IFERROR(VLOOKUP(MID(N21,O21,P21-O21),[5]skilldef!$A:$B,2,FALSE),"-")</f>
        <v>- / -</v>
      </c>
      <c r="T21" s="46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IFERROR(VLOOKUP(MID(T21,W21,X21-W21),[5]skilldef!$C:$D,2,FALSE),"-") &amp; " / " &amp; IFERROR(VLOOKUP(MID(T21,U21,V21-U21),[5]skilldef!$A:$B,2,FALSE),"-")</f>
        <v>- / -</v>
      </c>
      <c r="Z21" s="48"/>
      <c r="AA21" s="50"/>
      <c r="AB21" s="48"/>
    </row>
    <row r="22" spans="1:28" ht="21" customHeight="1" x14ac:dyDescent="0.15">
      <c r="A22" s="45">
        <v>58003020</v>
      </c>
      <c r="B22" s="45" t="s">
        <v>365</v>
      </c>
      <c r="C22" s="48">
        <v>3</v>
      </c>
      <c r="D22" s="48" t="s">
        <v>251</v>
      </c>
      <c r="E22" s="49" t="s">
        <v>270</v>
      </c>
      <c r="F22" s="49" t="s">
        <v>264</v>
      </c>
      <c r="G22" s="62" t="str">
        <f t="shared" si="0"/>
        <v>[effect:enemy_message, val1:1.6, val2:1.2]</v>
      </c>
      <c r="H22" s="62">
        <f t="shared" si="1"/>
        <v>9</v>
      </c>
      <c r="I22" s="62">
        <f t="shared" si="2"/>
        <v>22</v>
      </c>
      <c r="J22" s="62" t="e">
        <f t="shared" si="3"/>
        <v>#VALUE!</v>
      </c>
      <c r="K22" s="62">
        <f t="shared" si="4"/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5"/>
        <v>[effect:fix_speed, target:myself, turn:1],[effect:tolerance, target:myself, turn:-1, count:-1, tolerance_effect:all, animation:enemy_tolerance]</v>
      </c>
      <c r="N22" s="46" t="str">
        <f t="shared" si="6"/>
        <v>[effect:fix_speed, target:myself, turn:1],[effect:tolerance, target:myself, turn:-1, count:-1, tolerance_effect:all, animation:enemy_tolerance]</v>
      </c>
      <c r="O22" s="62">
        <f t="shared" si="7"/>
        <v>9</v>
      </c>
      <c r="P22" s="62">
        <f t="shared" si="8"/>
        <v>18</v>
      </c>
      <c r="Q22" s="62">
        <f t="shared" si="9"/>
        <v>27</v>
      </c>
      <c r="R22" s="62">
        <f t="shared" si="10"/>
        <v>33</v>
      </c>
      <c r="S22" s="62" t="str">
        <f>IFERROR(VLOOKUP(MID(N22,Q22,R22-Q22),[5]skilldef!$C:$D,2,FALSE),"-") &amp; " / " &amp; IFERROR(VLOOKUP(MID(N22,O22,P22-O22),[5]skilldef!$A:$B,2,FALSE),"-")</f>
        <v>自分自身に / 行動値設定</v>
      </c>
      <c r="T22" s="46" t="str">
        <f t="shared" si="11"/>
        <v>[effect:tolerance, target:myself, turn:-1, count:-1, tolerance_effect:all, animation:enemy_tolerance]</v>
      </c>
      <c r="U22" s="62">
        <f t="shared" si="12"/>
        <v>9</v>
      </c>
      <c r="V22" s="62">
        <f t="shared" si="13"/>
        <v>18</v>
      </c>
      <c r="W22" s="62">
        <f t="shared" si="14"/>
        <v>27</v>
      </c>
      <c r="X22" s="62">
        <f t="shared" si="15"/>
        <v>33</v>
      </c>
      <c r="Y22" s="62" t="str">
        <f>IFERROR(VLOOKUP(MID(T22,W22,X22-W22),[5]skilldef!$C:$D,2,FALSE),"-") &amp; " / " &amp; IFERROR(VLOOKUP(MID(T22,U22,V22-U22),[5]skilldef!$A:$B,2,FALSE),"-")</f>
        <v>自分自身に / 状態異常耐性</v>
      </c>
      <c r="Z22" s="48"/>
      <c r="AA22" s="50"/>
      <c r="AB22" s="48"/>
    </row>
    <row r="23" spans="1:28" ht="21" customHeight="1" x14ac:dyDescent="0.15">
      <c r="A23" s="45">
        <v>58003021</v>
      </c>
      <c r="B23" s="45" t="s">
        <v>423</v>
      </c>
      <c r="C23" s="48">
        <v>3</v>
      </c>
      <c r="D23" s="48" t="s">
        <v>251</v>
      </c>
      <c r="E23" s="49" t="s">
        <v>265</v>
      </c>
      <c r="F23" s="108" t="s">
        <v>421</v>
      </c>
      <c r="G23" s="62" t="str">
        <f t="shared" si="0"/>
        <v>[effect:enemy_message, val1:1.2, val2:2.4]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[effect:force_change_block, new_block:jammer, target:normal, count:5, val:0],[effect:rush, count:1, val:1]</v>
      </c>
      <c r="N23" s="46" t="str">
        <f t="shared" si="6"/>
        <v>[effect:force_change_block, new_block:jammer, target:normal, count:5, val:0],[effect:rush, count:1, val:1]</v>
      </c>
      <c r="O23" s="62">
        <f t="shared" si="7"/>
        <v>9</v>
      </c>
      <c r="P23" s="62">
        <f t="shared" si="8"/>
        <v>27</v>
      </c>
      <c r="Q23" s="62">
        <f t="shared" si="9"/>
        <v>54</v>
      </c>
      <c r="R23" s="62">
        <f t="shared" si="10"/>
        <v>45</v>
      </c>
      <c r="S23" s="62" t="str">
        <f>IFERROR(VLOOKUP(MID(N23,Q23,R23-Q23),[5]skilldef!$C:$D,2,FALSE),"-") &amp; " / " &amp; IFERROR(VLOOKUP(MID(N23,O23,P23-O23),[5]skilldef!$A:$B,2,FALSE),"-")</f>
        <v>- / -</v>
      </c>
      <c r="T23" s="46" t="str">
        <f t="shared" si="11"/>
        <v>[effect:rush, count:1, val:1]</v>
      </c>
      <c r="U23" s="62">
        <f t="shared" si="12"/>
        <v>9</v>
      </c>
      <c r="V23" s="62">
        <f t="shared" si="13"/>
        <v>13</v>
      </c>
      <c r="W23" s="62" t="e">
        <f t="shared" si="14"/>
        <v>#VALUE!</v>
      </c>
      <c r="X23" s="62">
        <f t="shared" si="15"/>
        <v>22</v>
      </c>
      <c r="Y23" s="62" t="str">
        <f>IFERROR(VLOOKUP(MID(T23,W23,X23-W23),[5]skilldef!$C:$D,2,FALSE),"-") &amp; " / " &amp; IFERROR(VLOOKUP(MID(T23,U23,V23-U23),[5]skilldef!$A:$B,2,FALSE),"-")</f>
        <v>- / 連続攻撃</v>
      </c>
      <c r="Z23" s="48"/>
      <c r="AA23" s="50"/>
      <c r="AB23" s="48"/>
    </row>
    <row r="24" spans="1:28" ht="21" customHeight="1" x14ac:dyDescent="0.15">
      <c r="A24" s="45">
        <v>58003022</v>
      </c>
      <c r="B24" s="45" t="s">
        <v>363</v>
      </c>
      <c r="C24" s="48">
        <v>3</v>
      </c>
      <c r="D24" s="48" t="s">
        <v>251</v>
      </c>
      <c r="E24" s="49" t="s">
        <v>266</v>
      </c>
      <c r="F24" s="108" t="s">
        <v>267</v>
      </c>
      <c r="G24" s="62" t="str">
        <f t="shared" si="0"/>
        <v>[effect:enemy_message, val1:1.2, val2:1.5]</v>
      </c>
      <c r="H24" s="62">
        <f t="shared" si="1"/>
        <v>9</v>
      </c>
      <c r="I24" s="62">
        <f t="shared" si="2"/>
        <v>22</v>
      </c>
      <c r="J24" s="62" t="e">
        <f t="shared" si="3"/>
        <v>#VALUE!</v>
      </c>
      <c r="K24" s="62">
        <f t="shared" si="4"/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 t="shared" si="5"/>
        <v>[effect:break_attack, target:unit_all, val:0.05, lowest_val:1000, count:-1, color:yellow, block01:jammer]</v>
      </c>
      <c r="N24" s="46" t="str">
        <f t="shared" si="6"/>
        <v>[effect:break_attack, target:unit_all, val:0.05, lowest_val:1000, count:-1, color:yellow, block01:jammer]</v>
      </c>
      <c r="O24" s="62">
        <f t="shared" si="7"/>
        <v>9</v>
      </c>
      <c r="P24" s="62">
        <f t="shared" si="8"/>
        <v>21</v>
      </c>
      <c r="Q24" s="62">
        <f t="shared" si="9"/>
        <v>30</v>
      </c>
      <c r="R24" s="62">
        <f t="shared" si="10"/>
        <v>38</v>
      </c>
      <c r="S24" s="62" t="str">
        <f>IFERROR(VLOOKUP(MID(N24,Q24,R24-Q24),[5]skilldef!$C:$D,2,FALSE),"-") &amp; " / " &amp; IFERROR(VLOOKUP(MID(N24,O24,P24-O24),[5]skilldef!$A:$B,2,FALSE),"-")</f>
        <v>味方全体に / -</v>
      </c>
      <c r="T24" s="46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8"/>
      <c r="AA24" s="50"/>
      <c r="AB24" s="48"/>
    </row>
    <row r="25" spans="1:28" ht="21" customHeight="1" x14ac:dyDescent="0.15">
      <c r="A25" s="45">
        <v>58003023</v>
      </c>
      <c r="B25" s="45" t="s">
        <v>364</v>
      </c>
      <c r="C25" s="48">
        <v>3</v>
      </c>
      <c r="D25" s="48" t="s">
        <v>251</v>
      </c>
      <c r="E25" s="49" t="s">
        <v>268</v>
      </c>
      <c r="F25" s="108" t="s">
        <v>261</v>
      </c>
      <c r="G25" s="62" t="str">
        <f t="shared" si="0"/>
        <v>[effect:enemy_message, val1:1.6, val2:2.4]</v>
      </c>
      <c r="H25" s="62">
        <f t="shared" si="1"/>
        <v>9</v>
      </c>
      <c r="I25" s="62">
        <f t="shared" si="2"/>
        <v>22</v>
      </c>
      <c r="J25" s="62" t="e">
        <f t="shared" si="3"/>
        <v>#VALUE!</v>
      </c>
      <c r="K25" s="62">
        <f t="shared" si="4"/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5"/>
        <v>[effect:damage_anti_tribe, target:unit_all, tribe:samurai, val1:0.2, val2:0.6]</v>
      </c>
      <c r="N25" s="46" t="str">
        <f t="shared" si="6"/>
        <v>[effect:damage_anti_tribe, target:unit_all, tribe:samurai, val1:0.2, val2:0.6]</v>
      </c>
      <c r="O25" s="62">
        <f t="shared" si="7"/>
        <v>9</v>
      </c>
      <c r="P25" s="62">
        <f t="shared" si="8"/>
        <v>26</v>
      </c>
      <c r="Q25" s="62">
        <f t="shared" si="9"/>
        <v>35</v>
      </c>
      <c r="R25" s="62">
        <f t="shared" si="10"/>
        <v>43</v>
      </c>
      <c r="S25" s="62" t="str">
        <f>IFERROR(VLOOKUP(MID(N25,Q25,R25-Q25),[5]skilldef!$C:$D,2,FALSE),"-") &amp; " / " &amp; IFERROR(VLOOKUP(MID(N25,O25,P25-O25),[5]skilldef!$A:$B,2,FALSE),"-")</f>
        <v>味方全体に / 種族キラー</v>
      </c>
      <c r="T25" s="46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8"/>
      <c r="AA25" s="50"/>
      <c r="AB25" s="48"/>
    </row>
    <row r="26" spans="1:28" ht="21" customHeight="1" x14ac:dyDescent="0.15">
      <c r="A26" s="45">
        <v>58003024</v>
      </c>
      <c r="B26" s="45" t="s">
        <v>366</v>
      </c>
      <c r="C26" s="48">
        <v>3</v>
      </c>
      <c r="D26" s="48" t="s">
        <v>251</v>
      </c>
      <c r="E26" s="49" t="s">
        <v>271</v>
      </c>
      <c r="F26" s="108" t="s">
        <v>383</v>
      </c>
      <c r="G26" s="62" t="str">
        <f t="shared" si="0"/>
        <v>[effect:enemy_message, val1:1.5, val2:1.2]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[effect:enhance_enemy, target:myself, turn:-1, status:attack, val:0.5, calc:mul, animation:enemy_enhance_attack]</v>
      </c>
      <c r="N26" s="46" t="str">
        <f t="shared" si="6"/>
        <v>[effect:enhance_enemy, target:myself, turn:-1, status:attack, val:0.5, calc:mul, animation:enemy_enhance_attack]</v>
      </c>
      <c r="O26" s="62">
        <f t="shared" si="7"/>
        <v>9</v>
      </c>
      <c r="P26" s="62">
        <f t="shared" si="8"/>
        <v>22</v>
      </c>
      <c r="Q26" s="62">
        <f t="shared" si="9"/>
        <v>31</v>
      </c>
      <c r="R26" s="62">
        <f t="shared" si="10"/>
        <v>37</v>
      </c>
      <c r="S26" s="62" t="str">
        <f>IFERROR(VLOOKUP(MID(N26,Q26,R26-Q26),[5]skilldef!$C:$D,2,FALSE),"-") &amp; " / " &amp; IFERROR(VLOOKUP(MID(N26,O26,P26-O26),[5]skilldef!$A:$B,2,FALSE),"-")</f>
        <v>自分自身に / ステータス強化</v>
      </c>
      <c r="T26" s="46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8"/>
      <c r="AA26" s="50"/>
      <c r="AB26" s="48"/>
    </row>
    <row r="27" spans="1:28" ht="21" customHeight="1" x14ac:dyDescent="0.15">
      <c r="A27" s="45">
        <v>58003025</v>
      </c>
      <c r="B27" s="45" t="s">
        <v>424</v>
      </c>
      <c r="C27" s="48">
        <v>3</v>
      </c>
      <c r="D27" s="48" t="s">
        <v>251</v>
      </c>
      <c r="E27" s="49" t="s">
        <v>265</v>
      </c>
      <c r="F27" s="108" t="s">
        <v>421</v>
      </c>
      <c r="G27" s="62" t="str">
        <f t="shared" si="0"/>
        <v>[effect:enemy_message, val1:1.2, val2:2.4]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[effect:force_change_block, new_block:jammer, target:normal, count:5, val:0],[effect:rush, count:1, val:1]</v>
      </c>
      <c r="N27" s="46" t="str">
        <f t="shared" si="6"/>
        <v>[effect:force_change_block, new_block:jammer, target:normal, count:5, val:0],[effect:rush, count:1, val:1]</v>
      </c>
      <c r="O27" s="62">
        <f t="shared" si="7"/>
        <v>9</v>
      </c>
      <c r="P27" s="62">
        <f t="shared" si="8"/>
        <v>27</v>
      </c>
      <c r="Q27" s="62">
        <f t="shared" si="9"/>
        <v>54</v>
      </c>
      <c r="R27" s="62">
        <f t="shared" si="10"/>
        <v>45</v>
      </c>
      <c r="S27" s="62" t="str">
        <f>IFERROR(VLOOKUP(MID(N27,Q27,R27-Q27),[5]skilldef!$C:$D,2,FALSE),"-") &amp; " / " &amp; IFERROR(VLOOKUP(MID(N27,O27,P27-O27),[5]skilldef!$A:$B,2,FALSE),"-")</f>
        <v>- / -</v>
      </c>
      <c r="T27" s="46" t="str">
        <f t="shared" si="11"/>
        <v>[effect:rush, count:1, val:1]</v>
      </c>
      <c r="U27" s="62">
        <f t="shared" si="12"/>
        <v>9</v>
      </c>
      <c r="V27" s="62">
        <f t="shared" si="13"/>
        <v>13</v>
      </c>
      <c r="W27" s="62" t="e">
        <f t="shared" si="14"/>
        <v>#VALUE!</v>
      </c>
      <c r="X27" s="62">
        <f t="shared" si="15"/>
        <v>22</v>
      </c>
      <c r="Y27" s="62" t="str">
        <f>IFERROR(VLOOKUP(MID(T27,W27,X27-W27),[5]skilldef!$C:$D,2,FALSE),"-") &amp; " / " &amp; IFERROR(VLOOKUP(MID(T27,U27,V27-U27),[5]skilldef!$A:$B,2,FALSE),"-")</f>
        <v>- / 連続攻撃</v>
      </c>
      <c r="Z27" s="48"/>
      <c r="AA27" s="50"/>
      <c r="AB27" s="48"/>
    </row>
    <row r="28" spans="1:28" ht="21" customHeight="1" x14ac:dyDescent="0.15">
      <c r="A28" s="45">
        <v>58003026</v>
      </c>
      <c r="B28" s="45" t="s">
        <v>363</v>
      </c>
      <c r="C28" s="48">
        <v>3</v>
      </c>
      <c r="D28" s="48" t="s">
        <v>251</v>
      </c>
      <c r="E28" s="49" t="s">
        <v>266</v>
      </c>
      <c r="F28" s="108" t="s">
        <v>267</v>
      </c>
      <c r="G28" s="62" t="str">
        <f t="shared" si="0"/>
        <v>[effect:enemy_message, val1:1.2, val2:1.5]</v>
      </c>
      <c r="H28" s="62">
        <f t="shared" si="1"/>
        <v>9</v>
      </c>
      <c r="I28" s="62">
        <f t="shared" si="2"/>
        <v>22</v>
      </c>
      <c r="J28" s="62" t="e">
        <f t="shared" si="3"/>
        <v>#VALUE!</v>
      </c>
      <c r="K28" s="62">
        <f t="shared" si="4"/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si="5"/>
        <v>[effect:break_attack, target:unit_all, val:0.05, lowest_val:1000, count:-1, color:yellow, block01:jammer]</v>
      </c>
      <c r="N28" s="46" t="str">
        <f t="shared" si="6"/>
        <v>[effect:break_attack, target:unit_all, val:0.05, lowest_val:1000, count:-1, color:yellow, block01:jammer]</v>
      </c>
      <c r="O28" s="62">
        <f t="shared" si="7"/>
        <v>9</v>
      </c>
      <c r="P28" s="62">
        <f t="shared" si="8"/>
        <v>21</v>
      </c>
      <c r="Q28" s="62">
        <f t="shared" si="9"/>
        <v>30</v>
      </c>
      <c r="R28" s="62">
        <f t="shared" si="10"/>
        <v>38</v>
      </c>
      <c r="S28" s="62" t="str">
        <f>IFERROR(VLOOKUP(MID(N28,Q28,R28-Q28),[5]skilldef!$C:$D,2,FALSE),"-") &amp; " / " &amp; IFERROR(VLOOKUP(MID(N28,O28,P28-O28),[5]skilldef!$A:$B,2,FALSE),"-")</f>
        <v>味方全体に / -</v>
      </c>
      <c r="T28" s="46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8"/>
      <c r="AA28" s="50"/>
      <c r="AB28" s="48"/>
    </row>
    <row r="29" spans="1:28" ht="21" customHeight="1" x14ac:dyDescent="0.15">
      <c r="A29" s="45">
        <v>58003027</v>
      </c>
      <c r="B29" s="45" t="s">
        <v>364</v>
      </c>
      <c r="C29" s="48">
        <v>3</v>
      </c>
      <c r="D29" s="48" t="s">
        <v>251</v>
      </c>
      <c r="E29" s="49" t="s">
        <v>268</v>
      </c>
      <c r="F29" s="108" t="s">
        <v>261</v>
      </c>
      <c r="G29" s="62" t="str">
        <f t="shared" si="0"/>
        <v>[effect:enemy_message, val1:1.6, val2:2.4]</v>
      </c>
      <c r="H29" s="62">
        <f t="shared" si="1"/>
        <v>9</v>
      </c>
      <c r="I29" s="62">
        <f t="shared" si="2"/>
        <v>22</v>
      </c>
      <c r="J29" s="62" t="e">
        <f t="shared" si="3"/>
        <v>#VALUE!</v>
      </c>
      <c r="K29" s="62">
        <f t="shared" si="4"/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si="5"/>
        <v>[effect:damage_anti_tribe, target:unit_all, tribe:samurai, val1:0.2, val2:0.6]</v>
      </c>
      <c r="N29" s="46" t="str">
        <f t="shared" si="6"/>
        <v>[effect:damage_anti_tribe, target:unit_all, tribe:samurai, val1:0.2, val2:0.6]</v>
      </c>
      <c r="O29" s="62">
        <f t="shared" si="7"/>
        <v>9</v>
      </c>
      <c r="P29" s="62">
        <f t="shared" si="8"/>
        <v>26</v>
      </c>
      <c r="Q29" s="62">
        <f t="shared" si="9"/>
        <v>35</v>
      </c>
      <c r="R29" s="62">
        <f t="shared" si="10"/>
        <v>43</v>
      </c>
      <c r="S29" s="62" t="str">
        <f>IFERROR(VLOOKUP(MID(N29,Q29,R29-Q29),[5]skilldef!$C:$D,2,FALSE),"-") &amp; " / " &amp; IFERROR(VLOOKUP(MID(N29,O29,P29-O29),[5]skilldef!$A:$B,2,FALSE),"-")</f>
        <v>味方全体に / 種族キラー</v>
      </c>
      <c r="T29" s="46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48"/>
      <c r="AA29" s="50"/>
      <c r="AB29" s="48"/>
    </row>
    <row r="30" spans="1:28" ht="21" customHeight="1" x14ac:dyDescent="0.15">
      <c r="A30" s="45">
        <v>58003028</v>
      </c>
      <c r="B30" s="45" t="s">
        <v>360</v>
      </c>
      <c r="C30" s="48">
        <v>3</v>
      </c>
      <c r="D30" s="48" t="s">
        <v>251</v>
      </c>
      <c r="E30" s="49" t="s">
        <v>272</v>
      </c>
      <c r="F30" s="49" t="s">
        <v>273</v>
      </c>
      <c r="G30" s="62" t="str">
        <f t="shared" si="0"/>
        <v>[effect:enemy_message, val1:1.2, val2:1.2]</v>
      </c>
      <c r="H30" s="62">
        <f t="shared" si="1"/>
        <v>9</v>
      </c>
      <c r="I30" s="62">
        <f t="shared" si="2"/>
        <v>22</v>
      </c>
      <c r="J30" s="62" t="e">
        <f t="shared" si="3"/>
        <v>#VALUE!</v>
      </c>
      <c r="K30" s="62">
        <f t="shared" si="4"/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5"/>
        <v>none</v>
      </c>
      <c r="N30" s="46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6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8"/>
      <c r="AA30" s="50"/>
      <c r="AB30" s="48"/>
    </row>
    <row r="31" spans="1:28" ht="21" customHeight="1" x14ac:dyDescent="0.15">
      <c r="A31" s="45">
        <v>58003029</v>
      </c>
      <c r="B31" s="45" t="s">
        <v>360</v>
      </c>
      <c r="C31" s="48">
        <v>3</v>
      </c>
      <c r="D31" s="48" t="s">
        <v>251</v>
      </c>
      <c r="E31" s="49" t="s">
        <v>274</v>
      </c>
      <c r="F31" s="49" t="s">
        <v>257</v>
      </c>
      <c r="G31" s="62" t="str">
        <f t="shared" si="0"/>
        <v>[effect:enemy_message, val1:1.2, val2:1.2]</v>
      </c>
      <c r="H31" s="62">
        <f t="shared" si="1"/>
        <v>9</v>
      </c>
      <c r="I31" s="62">
        <f t="shared" si="2"/>
        <v>22</v>
      </c>
      <c r="J31" s="62" t="e">
        <f t="shared" si="3"/>
        <v>#VALUE!</v>
      </c>
      <c r="K31" s="62">
        <f t="shared" si="4"/>
        <v>32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 t="shared" si="5"/>
        <v>none</v>
      </c>
      <c r="N31" s="46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6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8"/>
      <c r="AA31" s="50"/>
      <c r="AB31" s="48"/>
    </row>
    <row r="32" spans="1:28" ht="21" customHeight="1" x14ac:dyDescent="0.15">
      <c r="A32" s="45">
        <v>58003030</v>
      </c>
      <c r="B32" s="45" t="s">
        <v>367</v>
      </c>
      <c r="C32" s="48">
        <v>3</v>
      </c>
      <c r="D32" s="48" t="s">
        <v>251</v>
      </c>
      <c r="E32" s="49" t="s">
        <v>275</v>
      </c>
      <c r="F32" s="49" t="s">
        <v>276</v>
      </c>
      <c r="G32" s="62" t="str">
        <f t="shared" si="0"/>
        <v>[effect:enemy_message, val1:1.2, val2:1.9]</v>
      </c>
      <c r="H32" s="62">
        <f t="shared" si="1"/>
        <v>9</v>
      </c>
      <c r="I32" s="62">
        <f t="shared" si="2"/>
        <v>22</v>
      </c>
      <c r="J32" s="62" t="e">
        <f t="shared" si="3"/>
        <v>#VALUE!</v>
      </c>
      <c r="K32" s="62">
        <f t="shared" si="4"/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si="5"/>
        <v>[effect:dis_heart, turn:3, animation:enemy_dis_heart],[effect:rush, count:6, val:0.2]</v>
      </c>
      <c r="N32" s="46" t="str">
        <f t="shared" si="6"/>
        <v>[effect:dis_heart, turn:3, animation:enemy_dis_heart],[effect:rush, count:6, val:0.2]</v>
      </c>
      <c r="O32" s="62">
        <f t="shared" si="7"/>
        <v>9</v>
      </c>
      <c r="P32" s="62">
        <f t="shared" si="8"/>
        <v>18</v>
      </c>
      <c r="Q32" s="62" t="e">
        <f t="shared" si="9"/>
        <v>#VALUE!</v>
      </c>
      <c r="R32" s="62">
        <f t="shared" si="10"/>
        <v>26</v>
      </c>
      <c r="S32" s="62" t="str">
        <f>IFERROR(VLOOKUP(MID(N32,Q32,R32-Q32),[5]skilldef!$C:$D,2,FALSE),"-") &amp; " / " &amp; IFERROR(VLOOKUP(MID(N32,O32,P32-O32),[5]skilldef!$A:$B,2,FALSE),"-")</f>
        <v>- / ディスハート</v>
      </c>
      <c r="T32" s="46" t="str">
        <f t="shared" si="11"/>
        <v>[effect:rush, count:6, val:0.2]</v>
      </c>
      <c r="U32" s="62">
        <f t="shared" si="12"/>
        <v>9</v>
      </c>
      <c r="V32" s="62">
        <f t="shared" si="13"/>
        <v>13</v>
      </c>
      <c r="W32" s="62" t="e">
        <f t="shared" si="14"/>
        <v>#VALUE!</v>
      </c>
      <c r="X32" s="62">
        <f t="shared" si="15"/>
        <v>22</v>
      </c>
      <c r="Y32" s="62" t="str">
        <f>IFERROR(VLOOKUP(MID(T32,W32,X32-W32),[5]skilldef!$C:$D,2,FALSE),"-") &amp; " / " &amp; IFERROR(VLOOKUP(MID(T32,U32,V32-U32),[5]skilldef!$A:$B,2,FALSE),"-")</f>
        <v>- / 連続攻撃</v>
      </c>
      <c r="Z32" s="48"/>
      <c r="AA32" s="50"/>
      <c r="AB32" s="48"/>
    </row>
    <row r="33" spans="1:28" ht="21" customHeight="1" x14ac:dyDescent="0.15">
      <c r="A33" s="45">
        <v>58003031</v>
      </c>
      <c r="B33" s="45" t="s">
        <v>368</v>
      </c>
      <c r="C33" s="48">
        <v>3</v>
      </c>
      <c r="D33" s="48" t="s">
        <v>277</v>
      </c>
      <c r="E33" s="49" t="s">
        <v>278</v>
      </c>
      <c r="F33" s="108" t="s">
        <v>279</v>
      </c>
      <c r="G33" s="62" t="str">
        <f t="shared" si="0"/>
        <v>[effect:enemy_message, val1:1.2, val2:1.3]</v>
      </c>
      <c r="H33" s="62">
        <f t="shared" si="1"/>
        <v>9</v>
      </c>
      <c r="I33" s="62">
        <f t="shared" si="2"/>
        <v>22</v>
      </c>
      <c r="J33" s="62" t="e">
        <f t="shared" si="3"/>
        <v>#VALUE!</v>
      </c>
      <c r="K33" s="62">
        <f t="shared" si="4"/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si="5"/>
        <v>[effect:break_attack, target:unit_one, val:0.1, lowest_val:1000, count:-1, color:green, block01:block_heart]</v>
      </c>
      <c r="N33" s="46" t="str">
        <f t="shared" si="6"/>
        <v>[effect:break_attack, target:unit_one, val:0.1, lowest_val:1000, count:-1, color:green, block01:block_heart]</v>
      </c>
      <c r="O33" s="62">
        <f t="shared" si="7"/>
        <v>9</v>
      </c>
      <c r="P33" s="62">
        <f t="shared" si="8"/>
        <v>21</v>
      </c>
      <c r="Q33" s="62">
        <f t="shared" si="9"/>
        <v>30</v>
      </c>
      <c r="R33" s="62">
        <f t="shared" si="10"/>
        <v>38</v>
      </c>
      <c r="S33" s="62" t="str">
        <f>IFERROR(VLOOKUP(MID(N33,Q33,R33-Q33),[5]skilldef!$C:$D,2,FALSE),"-") &amp; " / " &amp; IFERROR(VLOOKUP(MID(N33,O33,P33-O33),[5]skilldef!$A:$B,2,FALSE),"-")</f>
        <v>味方単体に / -</v>
      </c>
      <c r="T33" s="46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48"/>
      <c r="AA33" s="50"/>
      <c r="AB33" s="48"/>
    </row>
    <row r="34" spans="1:28" ht="21" customHeight="1" x14ac:dyDescent="0.15">
      <c r="A34" s="45">
        <v>58003032</v>
      </c>
      <c r="B34" s="45" t="s">
        <v>369</v>
      </c>
      <c r="C34" s="48">
        <v>3</v>
      </c>
      <c r="D34" s="48" t="s">
        <v>251</v>
      </c>
      <c r="E34" s="49" t="s">
        <v>280</v>
      </c>
      <c r="F34" s="108" t="s">
        <v>412</v>
      </c>
      <c r="G34" s="62" t="str">
        <f t="shared" si="0"/>
        <v>[effect:enemy_message, val1:1.2, val2:1.2]</v>
      </c>
      <c r="H34" s="62">
        <f t="shared" si="1"/>
        <v>9</v>
      </c>
      <c r="I34" s="62">
        <f t="shared" si="2"/>
        <v>22</v>
      </c>
      <c r="J34" s="62" t="e">
        <f t="shared" si="3"/>
        <v>#VALUE!</v>
      </c>
      <c r="K34" s="62">
        <f t="shared" si="4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5"/>
        <v>[effect:fix_speed, target:myself, turn:1]</v>
      </c>
      <c r="N34" s="46" t="str">
        <f t="shared" si="6"/>
        <v>[effect:fix_speed, target:myself, turn:1]</v>
      </c>
      <c r="O34" s="62">
        <f t="shared" si="7"/>
        <v>9</v>
      </c>
      <c r="P34" s="62">
        <f t="shared" si="8"/>
        <v>18</v>
      </c>
      <c r="Q34" s="62">
        <f t="shared" si="9"/>
        <v>27</v>
      </c>
      <c r="R34" s="62">
        <f t="shared" si="10"/>
        <v>33</v>
      </c>
      <c r="S34" s="62" t="str">
        <f>IFERROR(VLOOKUP(MID(N34,Q34,R34-Q34),[5]skilldef!$C:$D,2,FALSE),"-") &amp; " / " &amp; IFERROR(VLOOKUP(MID(N34,O34,P34-O34),[5]skilldef!$A:$B,2,FALSE),"-")</f>
        <v>自分自身に / 行動値設定</v>
      </c>
      <c r="T34" s="46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8"/>
      <c r="AA34" s="50"/>
      <c r="AB34" s="48"/>
    </row>
    <row r="35" spans="1:28" ht="21" customHeight="1" x14ac:dyDescent="0.15">
      <c r="A35" s="45">
        <v>58003033</v>
      </c>
      <c r="B35" s="45" t="s">
        <v>398</v>
      </c>
      <c r="C35" s="48">
        <v>3</v>
      </c>
      <c r="D35" s="48" t="s">
        <v>277</v>
      </c>
      <c r="E35" s="49" t="s">
        <v>281</v>
      </c>
      <c r="F35" s="108" t="s">
        <v>413</v>
      </c>
      <c r="G35" s="62" t="str">
        <f t="shared" si="0"/>
        <v>[effect:enemy_message, val1:1.2, val2:1.6]</v>
      </c>
      <c r="H35" s="62">
        <f t="shared" si="1"/>
        <v>9</v>
      </c>
      <c r="I35" s="62">
        <f t="shared" si="2"/>
        <v>22</v>
      </c>
      <c r="J35" s="62" t="e">
        <f t="shared" si="3"/>
        <v>#VALUE!</v>
      </c>
      <c r="K35" s="62">
        <f t="shared" si="4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5"/>
        <v>[effect:enhance_enemy, target:myself, turn:3, status:attack, val:1.2, calc:mul, animation:enemy_enhance_attack]</v>
      </c>
      <c r="N35" s="46" t="str">
        <f t="shared" si="6"/>
        <v>[effect:enhance_enemy, target:myself, turn:3, status:attack, val:1.2, calc:mul, animation:enemy_enhance_attack]</v>
      </c>
      <c r="O35" s="62">
        <f t="shared" si="7"/>
        <v>9</v>
      </c>
      <c r="P35" s="62">
        <f t="shared" si="8"/>
        <v>22</v>
      </c>
      <c r="Q35" s="62">
        <f t="shared" si="9"/>
        <v>31</v>
      </c>
      <c r="R35" s="62">
        <f t="shared" si="10"/>
        <v>37</v>
      </c>
      <c r="S35" s="62" t="str">
        <f>IFERROR(VLOOKUP(MID(N35,Q35,R35-Q35),[5]skilldef!$C:$D,2,FALSE),"-") &amp; " / " &amp; IFERROR(VLOOKUP(MID(N35,O35,P35-O35),[5]skilldef!$A:$B,2,FALSE),"-")</f>
        <v>自分自身に / ステータス強化</v>
      </c>
      <c r="T35" s="46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48"/>
      <c r="AA35" s="50"/>
      <c r="AB35" s="48"/>
    </row>
    <row r="36" spans="1:28" ht="21" customHeight="1" x14ac:dyDescent="0.15">
      <c r="A36" s="45">
        <v>58003034</v>
      </c>
      <c r="B36" s="45" t="s">
        <v>360</v>
      </c>
      <c r="C36" s="48">
        <v>3</v>
      </c>
      <c r="D36" s="48" t="s">
        <v>277</v>
      </c>
      <c r="E36" s="49" t="s">
        <v>282</v>
      </c>
      <c r="F36" s="49" t="s">
        <v>257</v>
      </c>
      <c r="G36" s="62" t="str">
        <f t="shared" si="0"/>
        <v>[effect:enemy_message, val1:1.2, val2:1.2]</v>
      </c>
      <c r="H36" s="62">
        <f t="shared" si="1"/>
        <v>9</v>
      </c>
      <c r="I36" s="62">
        <f t="shared" si="2"/>
        <v>22</v>
      </c>
      <c r="J36" s="62" t="e">
        <f t="shared" si="3"/>
        <v>#VALUE!</v>
      </c>
      <c r="K36" s="62">
        <f t="shared" si="4"/>
        <v>32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si="5"/>
        <v>none</v>
      </c>
      <c r="N36" s="46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6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48"/>
      <c r="AA36" s="50"/>
      <c r="AB36" s="48"/>
    </row>
    <row r="37" spans="1:28" ht="21" customHeight="1" x14ac:dyDescent="0.15">
      <c r="A37" s="45">
        <v>58003035</v>
      </c>
      <c r="B37" s="45" t="s">
        <v>370</v>
      </c>
      <c r="C37" s="48">
        <v>3</v>
      </c>
      <c r="D37" s="48" t="s">
        <v>277</v>
      </c>
      <c r="E37" s="49" t="s">
        <v>283</v>
      </c>
      <c r="F37" s="49" t="s">
        <v>384</v>
      </c>
      <c r="G37" s="62" t="str">
        <f t="shared" si="0"/>
        <v>[effect:enemy_message, val1:1.2, val2:1.2]</v>
      </c>
      <c r="H37" s="62">
        <f t="shared" si="1"/>
        <v>9</v>
      </c>
      <c r="I37" s="62">
        <f t="shared" si="2"/>
        <v>22</v>
      </c>
      <c r="J37" s="62" t="e">
        <f t="shared" si="3"/>
        <v>#VALUE!</v>
      </c>
      <c r="K37" s="62">
        <f t="shared" si="4"/>
        <v>32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5"/>
        <v>[effect:enhance_enemy, target:enemy_all, turn:-1, status:attack, val:1.1, calc:mul, animation:enemy_enhance_attack]</v>
      </c>
      <c r="N37" s="46" t="str">
        <f t="shared" si="6"/>
        <v>[effect:enhance_enemy, target:enemy_all, turn:-1, status:attack, val:1.1, calc:mul, animation:enemy_enhance_attack]</v>
      </c>
      <c r="O37" s="62">
        <f t="shared" si="7"/>
        <v>9</v>
      </c>
      <c r="P37" s="62">
        <f t="shared" si="8"/>
        <v>22</v>
      </c>
      <c r="Q37" s="62">
        <f t="shared" si="9"/>
        <v>31</v>
      </c>
      <c r="R37" s="62">
        <f t="shared" si="10"/>
        <v>40</v>
      </c>
      <c r="S37" s="62" t="str">
        <f>IFERROR(VLOOKUP(MID(N37,Q37,R37-Q37),[5]skilldef!$C:$D,2,FALSE),"-") &amp; " / " &amp; IFERROR(VLOOKUP(MID(N37,O37,P37-O37),[5]skilldef!$A:$B,2,FALSE),"-")</f>
        <v>敵全体に / ステータス強化</v>
      </c>
      <c r="T37" s="46" t="str">
        <f t="shared" si="11"/>
        <v>none</v>
      </c>
      <c r="U37" s="62" t="e">
        <f t="shared" si="12"/>
        <v>#VALUE!</v>
      </c>
      <c r="V37" s="62">
        <f t="shared" si="13"/>
        <v>4</v>
      </c>
      <c r="W37" s="62" t="e">
        <f t="shared" si="14"/>
        <v>#VALUE!</v>
      </c>
      <c r="X37" s="62" t="e">
        <f t="shared" si="15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8"/>
      <c r="AA37" s="50"/>
      <c r="AB37" s="48"/>
    </row>
    <row r="38" spans="1:28" ht="21" customHeight="1" x14ac:dyDescent="0.15">
      <c r="A38" s="45">
        <v>58003036</v>
      </c>
      <c r="B38" s="45" t="s">
        <v>371</v>
      </c>
      <c r="C38" s="48">
        <v>3</v>
      </c>
      <c r="D38" s="48" t="s">
        <v>277</v>
      </c>
      <c r="E38" s="49" t="s">
        <v>284</v>
      </c>
      <c r="F38" s="49" t="s">
        <v>259</v>
      </c>
      <c r="G38" s="62" t="str">
        <f t="shared" si="0"/>
        <v>[effect:enemy_message, val1:1.2, val2:1.2]</v>
      </c>
      <c r="H38" s="62">
        <f t="shared" si="1"/>
        <v>9</v>
      </c>
      <c r="I38" s="62">
        <f t="shared" si="2"/>
        <v>22</v>
      </c>
      <c r="J38" s="62" t="e">
        <f t="shared" si="3"/>
        <v>#VALUE!</v>
      </c>
      <c r="K38" s="62">
        <f t="shared" si="4"/>
        <v>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 t="shared" si="5"/>
        <v>[effect:rush, count:4, val:0.3]</v>
      </c>
      <c r="N38" s="46" t="str">
        <f t="shared" si="6"/>
        <v>[effect:rush, count:4, val:0.3]</v>
      </c>
      <c r="O38" s="62">
        <f t="shared" si="7"/>
        <v>9</v>
      </c>
      <c r="P38" s="62">
        <f t="shared" si="8"/>
        <v>13</v>
      </c>
      <c r="Q38" s="62" t="e">
        <f t="shared" si="9"/>
        <v>#VALUE!</v>
      </c>
      <c r="R38" s="62">
        <f t="shared" si="10"/>
        <v>22</v>
      </c>
      <c r="S38" s="62" t="str">
        <f>IFERROR(VLOOKUP(MID(N38,Q38,R38-Q38),[5]skilldef!$C:$D,2,FALSE),"-") &amp; " / " &amp; IFERROR(VLOOKUP(MID(N38,O38,P38-O38),[5]skilldef!$A:$B,2,FALSE),"-")</f>
        <v>- / 連続攻撃</v>
      </c>
      <c r="T38" s="46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8"/>
      <c r="AA38" s="50"/>
      <c r="AB38" s="48"/>
    </row>
    <row r="39" spans="1:28" ht="21" customHeight="1" x14ac:dyDescent="0.15">
      <c r="A39" s="45">
        <v>58003037</v>
      </c>
      <c r="B39" s="45" t="s">
        <v>359</v>
      </c>
      <c r="C39" s="48">
        <v>3</v>
      </c>
      <c r="D39" s="48" t="s">
        <v>277</v>
      </c>
      <c r="E39" s="49" t="s">
        <v>285</v>
      </c>
      <c r="F39" s="49" t="s">
        <v>255</v>
      </c>
      <c r="G39" s="62" t="str">
        <f t="shared" si="0"/>
        <v>[effect:enemy_message, val1:1.2, val2:2.1]</v>
      </c>
      <c r="H39" s="62">
        <f t="shared" si="1"/>
        <v>9</v>
      </c>
      <c r="I39" s="62">
        <f t="shared" si="2"/>
        <v>22</v>
      </c>
      <c r="J39" s="62" t="e">
        <f t="shared" si="3"/>
        <v>#VALUE!</v>
      </c>
      <c r="K39" s="62">
        <f t="shared" si="4"/>
        <v>32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 t="shared" si="5"/>
        <v>[effect:damage_anti_tribe, target:unit_all, tribe:machine, val1:1, val2:0.25]</v>
      </c>
      <c r="N39" s="46" t="str">
        <f t="shared" si="6"/>
        <v>[effect:damage_anti_tribe, target:unit_all, tribe:machine, val1:1, val2:0.25]</v>
      </c>
      <c r="O39" s="62">
        <f t="shared" si="7"/>
        <v>9</v>
      </c>
      <c r="P39" s="62">
        <f t="shared" si="8"/>
        <v>26</v>
      </c>
      <c r="Q39" s="62">
        <f t="shared" si="9"/>
        <v>35</v>
      </c>
      <c r="R39" s="62">
        <f t="shared" si="10"/>
        <v>43</v>
      </c>
      <c r="S39" s="62" t="str">
        <f>IFERROR(VLOOKUP(MID(N39,Q39,R39-Q39),[5]skilldef!$C:$D,2,FALSE),"-") &amp; " / " &amp; IFERROR(VLOOKUP(MID(N39,O39,P39-O39),[5]skilldef!$A:$B,2,FALSE),"-")</f>
        <v>味方全体に / 種族キラー</v>
      </c>
      <c r="T39" s="46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48"/>
      <c r="AA39" s="50"/>
      <c r="AB39" s="48"/>
    </row>
    <row r="40" spans="1:28" ht="21" customHeight="1" x14ac:dyDescent="0.15">
      <c r="A40" s="45">
        <v>58003038</v>
      </c>
      <c r="B40" s="45" t="s">
        <v>360</v>
      </c>
      <c r="C40" s="48">
        <v>3</v>
      </c>
      <c r="D40" s="48" t="s">
        <v>277</v>
      </c>
      <c r="E40" s="49" t="s">
        <v>286</v>
      </c>
      <c r="F40" s="49" t="s">
        <v>257</v>
      </c>
      <c r="G40" s="62" t="str">
        <f t="shared" si="0"/>
        <v>[effect:enemy_message, val1:1.2, val2:1.2]</v>
      </c>
      <c r="H40" s="62">
        <f t="shared" si="1"/>
        <v>9</v>
      </c>
      <c r="I40" s="62">
        <f t="shared" si="2"/>
        <v>22</v>
      </c>
      <c r="J40" s="62" t="e">
        <f t="shared" si="3"/>
        <v>#VALUE!</v>
      </c>
      <c r="K40" s="62">
        <f t="shared" si="4"/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5"/>
        <v>none</v>
      </c>
      <c r="N40" s="46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IFERROR(VLOOKUP(MID(N40,Q40,R40-Q40),[5]skilldef!$C:$D,2,FALSE),"-") &amp; " / " &amp; IFERROR(VLOOKUP(MID(N40,O40,P40-O40),[5]skilldef!$A:$B,2,FALSE),"-")</f>
        <v>- / -</v>
      </c>
      <c r="T40" s="46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IFERROR(VLOOKUP(MID(T40,W40,X40-W40),[5]skilldef!$C:$D,2,FALSE),"-") &amp; " / " &amp; IFERROR(VLOOKUP(MID(T40,U40,V40-U40),[5]skilldef!$A:$B,2,FALSE),"-")</f>
        <v>- / -</v>
      </c>
      <c r="Z40" s="48"/>
      <c r="AA40" s="50"/>
      <c r="AB40" s="48"/>
    </row>
    <row r="41" spans="1:28" ht="21" customHeight="1" x14ac:dyDescent="0.15">
      <c r="A41" s="45">
        <v>58003039</v>
      </c>
      <c r="B41" s="45" t="s">
        <v>360</v>
      </c>
      <c r="C41" s="48">
        <v>3</v>
      </c>
      <c r="D41" s="48" t="s">
        <v>277</v>
      </c>
      <c r="E41" s="49" t="s">
        <v>286</v>
      </c>
      <c r="F41" s="49" t="s">
        <v>257</v>
      </c>
      <c r="G41" s="62" t="str">
        <f t="shared" si="0"/>
        <v>[effect:enemy_message, val1:1.2, val2:1.2]</v>
      </c>
      <c r="H41" s="62">
        <f t="shared" si="1"/>
        <v>9</v>
      </c>
      <c r="I41" s="62">
        <f t="shared" si="2"/>
        <v>22</v>
      </c>
      <c r="J41" s="62" t="e">
        <f t="shared" si="3"/>
        <v>#VALUE!</v>
      </c>
      <c r="K41" s="62">
        <f t="shared" si="4"/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5"/>
        <v>none</v>
      </c>
      <c r="N41" s="46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IFERROR(VLOOKUP(MID(N41,Q41,R41-Q41),[5]skilldef!$C:$D,2,FALSE),"-") &amp; " / " &amp; IFERROR(VLOOKUP(MID(N41,O41,P41-O41),[5]skilldef!$A:$B,2,FALSE),"-")</f>
        <v>- / -</v>
      </c>
      <c r="T41" s="46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8"/>
      <c r="AA41" s="50"/>
      <c r="AB41" s="48"/>
    </row>
    <row r="42" spans="1:28" ht="21" customHeight="1" x14ac:dyDescent="0.15">
      <c r="A42" s="45">
        <v>58003040</v>
      </c>
      <c r="B42" s="45" t="s">
        <v>399</v>
      </c>
      <c r="C42" s="48">
        <v>3</v>
      </c>
      <c r="D42" s="48" t="s">
        <v>277</v>
      </c>
      <c r="E42" s="49" t="s">
        <v>287</v>
      </c>
      <c r="F42" s="108" t="s">
        <v>385</v>
      </c>
      <c r="G42" s="62" t="str">
        <f t="shared" si="0"/>
        <v>[effect:enemy_message, val1:1.2, val2:1.7]</v>
      </c>
      <c r="H42" s="62">
        <f t="shared" si="1"/>
        <v>9</v>
      </c>
      <c r="I42" s="62">
        <f t="shared" si="2"/>
        <v>22</v>
      </c>
      <c r="J42" s="62" t="e">
        <f t="shared" si="3"/>
        <v>#VALUE!</v>
      </c>
      <c r="K42" s="62">
        <f t="shared" si="4"/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5"/>
        <v>[effect:fix_speed, target:myself, turn:1],[effect:tolerance, target:myself, turn:-1, count:-1, tolerance_effect:all, animation:enemy_tolerance],[effect:enhance_enemy, target:myself, turn:3, status:defense, val:5000, calc:add, animation:enemy_enhance_defense]</v>
      </c>
      <c r="N42" s="46" t="str">
        <f t="shared" si="6"/>
        <v>[effect:fix_speed, target:myself, turn:1],[effect:tolerance, target:myself, turn:-1, count:-1, tolerance_effect:all, animation:enemy_tolerance],[effect:enhance_enemy, target:myself, turn:3, status:defense, val:5000, calc:add, animation:enemy_enhance_defense]</v>
      </c>
      <c r="O42" s="62">
        <f t="shared" si="7"/>
        <v>9</v>
      </c>
      <c r="P42" s="62">
        <f t="shared" si="8"/>
        <v>18</v>
      </c>
      <c r="Q42" s="62">
        <f t="shared" si="9"/>
        <v>27</v>
      </c>
      <c r="R42" s="62">
        <f t="shared" si="10"/>
        <v>33</v>
      </c>
      <c r="S42" s="62" t="str">
        <f>IFERROR(VLOOKUP(MID(N42,Q42,R42-Q42),[5]skilldef!$C:$D,2,FALSE),"-") &amp; " / " &amp; IFERROR(VLOOKUP(MID(N42,O42,P42-O42),[5]skilldef!$A:$B,2,FALSE),"-")</f>
        <v>自分自身に / 行動値設定</v>
      </c>
      <c r="T42" s="46" t="str">
        <f t="shared" si="11"/>
        <v>[effect:tolerance, target:myself, turn:-1, count:-1, tolerance_effect:all, animation:enemy_tolerance],[effect:enhance_enemy, target:myself, turn:3, status:defense, val:5000, calc:add, animation:enemy_enhance_defense]</v>
      </c>
      <c r="U42" s="62">
        <f t="shared" si="12"/>
        <v>9</v>
      </c>
      <c r="V42" s="62">
        <f t="shared" si="13"/>
        <v>18</v>
      </c>
      <c r="W42" s="62">
        <f t="shared" si="14"/>
        <v>27</v>
      </c>
      <c r="X42" s="62">
        <f t="shared" si="15"/>
        <v>33</v>
      </c>
      <c r="Y42" s="62" t="str">
        <f>IFERROR(VLOOKUP(MID(T42,W42,X42-W42),[5]skilldef!$C:$D,2,FALSE),"-") &amp; " / " &amp; IFERROR(VLOOKUP(MID(T42,U42,V42-U42),[5]skilldef!$A:$B,2,FALSE),"-")</f>
        <v>自分自身に / 状態異常耐性</v>
      </c>
      <c r="Z42" s="48"/>
      <c r="AA42" s="50"/>
      <c r="AB42" s="48"/>
    </row>
    <row r="43" spans="1:28" ht="21" customHeight="1" x14ac:dyDescent="0.15">
      <c r="A43" s="45">
        <v>58003041</v>
      </c>
      <c r="B43" s="45" t="s">
        <v>420</v>
      </c>
      <c r="C43" s="48">
        <v>3</v>
      </c>
      <c r="D43" s="48" t="s">
        <v>277</v>
      </c>
      <c r="E43" s="49" t="s">
        <v>288</v>
      </c>
      <c r="F43" s="49" t="s">
        <v>394</v>
      </c>
      <c r="G43" s="62" t="str">
        <f t="shared" si="0"/>
        <v>[effect:enemy_message, val1:1.2, val2:2.5]</v>
      </c>
      <c r="H43" s="62">
        <f t="shared" si="1"/>
        <v>9</v>
      </c>
      <c r="I43" s="62">
        <f t="shared" si="2"/>
        <v>22</v>
      </c>
      <c r="J43" s="62" t="e">
        <f t="shared" si="3"/>
        <v>#VALUE!</v>
      </c>
      <c r="K43" s="62">
        <f t="shared" si="4"/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5"/>
        <v>[effect:attack_break, target:unit_all, turn:3, val:0.5, calc:mul, animation:attack_break02],[effect:rush, count:1, val:1]</v>
      </c>
      <c r="N43" s="46" t="str">
        <f t="shared" si="6"/>
        <v>[effect:attack_break, target:unit_all, turn:3, val:0.5, calc:mul, animation:attack_break02],[effect:rush, count:1, val:1]</v>
      </c>
      <c r="O43" s="62">
        <f t="shared" si="7"/>
        <v>9</v>
      </c>
      <c r="P43" s="62">
        <f t="shared" si="8"/>
        <v>21</v>
      </c>
      <c r="Q43" s="62">
        <f t="shared" si="9"/>
        <v>30</v>
      </c>
      <c r="R43" s="62">
        <f t="shared" si="10"/>
        <v>38</v>
      </c>
      <c r="S43" s="62" t="str">
        <f>IFERROR(VLOOKUP(MID(N43,Q43,R43-Q43),[5]skilldef!$C:$D,2,FALSE),"-") &amp; " / " &amp; IFERROR(VLOOKUP(MID(N43,O43,P43-O43),[5]skilldef!$A:$B,2,FALSE),"-")</f>
        <v>味方全体に / -</v>
      </c>
      <c r="T43" s="46" t="str">
        <f t="shared" si="11"/>
        <v>[effect:rush, count:1, val:1]</v>
      </c>
      <c r="U43" s="62">
        <f t="shared" si="12"/>
        <v>9</v>
      </c>
      <c r="V43" s="62">
        <f t="shared" si="13"/>
        <v>13</v>
      </c>
      <c r="W43" s="62" t="e">
        <f t="shared" si="14"/>
        <v>#VALUE!</v>
      </c>
      <c r="X43" s="62">
        <f t="shared" si="15"/>
        <v>22</v>
      </c>
      <c r="Y43" s="62" t="str">
        <f>IFERROR(VLOOKUP(MID(T43,W43,X43-W43),[5]skilldef!$C:$D,2,FALSE),"-") &amp; " / " &amp; IFERROR(VLOOKUP(MID(T43,U43,V43-U43),[5]skilldef!$A:$B,2,FALSE),"-")</f>
        <v>- / 連続攻撃</v>
      </c>
      <c r="Z43" s="48"/>
      <c r="AA43" s="50"/>
      <c r="AB43" s="48"/>
    </row>
    <row r="44" spans="1:28" ht="21" customHeight="1" x14ac:dyDescent="0.15">
      <c r="A44" s="45">
        <v>58003042</v>
      </c>
      <c r="B44" s="45" t="s">
        <v>400</v>
      </c>
      <c r="C44" s="48">
        <v>3</v>
      </c>
      <c r="D44" s="48" t="s">
        <v>277</v>
      </c>
      <c r="E44" s="49" t="s">
        <v>289</v>
      </c>
      <c r="F44" s="49" t="s">
        <v>388</v>
      </c>
      <c r="G44" s="62" t="str">
        <f t="shared" si="0"/>
        <v>[effect:enemy_message, val1:1.2, val2:3.9]</v>
      </c>
      <c r="H44" s="62">
        <f t="shared" si="1"/>
        <v>9</v>
      </c>
      <c r="I44" s="62">
        <f t="shared" si="2"/>
        <v>22</v>
      </c>
      <c r="J44" s="62" t="e">
        <f t="shared" si="3"/>
        <v>#VALUE!</v>
      </c>
      <c r="K44" s="62">
        <f t="shared" si="4"/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5"/>
        <v>[effect:panel_freeze, target:normal, count:10],[effect:degrade_unit, target:unit_all, turn:2, status:action, val:2, calc:add, animation:enemy_tap_down]</v>
      </c>
      <c r="N44" s="46" t="str">
        <f t="shared" si="6"/>
        <v>[effect:panel_freeze, target:normal, count:10],[effect:degrade_unit, target:unit_all, turn:2, status:action, val:2, calc:add, animation:enemy_tap_down]</v>
      </c>
      <c r="O44" s="62">
        <f t="shared" si="7"/>
        <v>9</v>
      </c>
      <c r="P44" s="62">
        <f t="shared" si="8"/>
        <v>21</v>
      </c>
      <c r="Q44" s="62">
        <f t="shared" si="9"/>
        <v>30</v>
      </c>
      <c r="R44" s="62">
        <f t="shared" si="10"/>
        <v>36</v>
      </c>
      <c r="S44" s="62" t="str">
        <f>IFERROR(VLOOKUP(MID(N44,Q44,R44-Q44),[5]skilldef!$C:$D,2,FALSE),"-") &amp; " / " &amp; IFERROR(VLOOKUP(MID(N44,O44,P44-O44),[5]skilldef!$A:$B,2,FALSE),"-")</f>
        <v>- / -</v>
      </c>
      <c r="T44" s="46" t="str">
        <f t="shared" si="11"/>
        <v>[effect:degrade_unit, target:unit_all, turn:2, status:action, val:2, calc:add, animation:enemy_tap_down]</v>
      </c>
      <c r="U44" s="62">
        <f t="shared" si="12"/>
        <v>9</v>
      </c>
      <c r="V44" s="62">
        <f t="shared" si="13"/>
        <v>21</v>
      </c>
      <c r="W44" s="62">
        <f t="shared" si="14"/>
        <v>30</v>
      </c>
      <c r="X44" s="62">
        <f t="shared" si="15"/>
        <v>38</v>
      </c>
      <c r="Y44" s="62" t="str">
        <f>IFERROR(VLOOKUP(MID(T44,W44,X44-W44),[5]skilldef!$C:$D,2,FALSE),"-") &amp; " / " &amp; IFERROR(VLOOKUP(MID(T44,U44,V44-U44),[5]skilldef!$A:$B,2,FALSE),"-")</f>
        <v>味方全体に / ステータスDOWN</v>
      </c>
      <c r="Z44" s="48"/>
      <c r="AA44" s="50"/>
      <c r="AB44" s="48"/>
    </row>
    <row r="45" spans="1:28" ht="21" customHeight="1" x14ac:dyDescent="0.15">
      <c r="A45" s="45">
        <v>58003043</v>
      </c>
      <c r="B45" s="45" t="s">
        <v>434</v>
      </c>
      <c r="C45" s="48">
        <v>3</v>
      </c>
      <c r="D45" s="48" t="s">
        <v>277</v>
      </c>
      <c r="E45" s="49" t="s">
        <v>290</v>
      </c>
      <c r="F45" s="108" t="s">
        <v>432</v>
      </c>
      <c r="G45" s="62" t="str">
        <f t="shared" si="0"/>
        <v>[effect:enemy_message, val1:1.2, val2:2.8]</v>
      </c>
      <c r="H45" s="62">
        <f t="shared" si="1"/>
        <v>9</v>
      </c>
      <c r="I45" s="62">
        <f t="shared" si="2"/>
        <v>22</v>
      </c>
      <c r="J45" s="62" t="e">
        <f t="shared" si="3"/>
        <v>#VALUE!</v>
      </c>
      <c r="K45" s="62">
        <f t="shared" si="4"/>
        <v>32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si="5"/>
        <v>[effect:force_change_block, new_block:damage, target:normal, count:4, val:0.25],[effect:rush, count:1, val:1]</v>
      </c>
      <c r="N45" s="46" t="str">
        <f t="shared" si="6"/>
        <v>[effect:force_change_block, new_block:damage, target:normal, count:4, val:0.25],[effect:rush, count:1, val:1]</v>
      </c>
      <c r="O45" s="62">
        <f t="shared" si="7"/>
        <v>9</v>
      </c>
      <c r="P45" s="62">
        <f t="shared" si="8"/>
        <v>27</v>
      </c>
      <c r="Q45" s="62">
        <f t="shared" si="9"/>
        <v>54</v>
      </c>
      <c r="R45" s="62">
        <f t="shared" si="10"/>
        <v>45</v>
      </c>
      <c r="S45" s="62" t="str">
        <f>IFERROR(VLOOKUP(MID(N45,Q45,R45-Q45),[5]skilldef!$C:$D,2,FALSE),"-") &amp; " / " &amp; IFERROR(VLOOKUP(MID(N45,O45,P45-O45),[5]skilldef!$A:$B,2,FALSE),"-")</f>
        <v>- / -</v>
      </c>
      <c r="T45" s="46" t="str">
        <f t="shared" si="11"/>
        <v>[effect:rush, count:1, val:1]</v>
      </c>
      <c r="U45" s="62">
        <f t="shared" si="12"/>
        <v>9</v>
      </c>
      <c r="V45" s="62">
        <f t="shared" si="13"/>
        <v>13</v>
      </c>
      <c r="W45" s="62" t="e">
        <f t="shared" si="14"/>
        <v>#VALUE!</v>
      </c>
      <c r="X45" s="62">
        <f t="shared" si="15"/>
        <v>22</v>
      </c>
      <c r="Y45" s="62" t="str">
        <f>IFERROR(VLOOKUP(MID(T45,W45,X45-W45),[5]skilldef!$C:$D,2,FALSE),"-") &amp; " / " &amp; IFERROR(VLOOKUP(MID(T45,U45,V45-U45),[5]skilldef!$A:$B,2,FALSE),"-")</f>
        <v>- / 連続攻撃</v>
      </c>
      <c r="Z45" s="48"/>
      <c r="AA45" s="50"/>
      <c r="AB45" s="48"/>
    </row>
    <row r="46" spans="1:28" ht="21" customHeight="1" x14ac:dyDescent="0.15">
      <c r="A46" s="45">
        <v>58003044</v>
      </c>
      <c r="B46" s="45" t="s">
        <v>360</v>
      </c>
      <c r="C46" s="48">
        <v>3</v>
      </c>
      <c r="D46" s="48" t="s">
        <v>277</v>
      </c>
      <c r="E46" s="49" t="s">
        <v>291</v>
      </c>
      <c r="F46" s="49" t="s">
        <v>257</v>
      </c>
      <c r="G46" s="62" t="str">
        <f t="shared" si="0"/>
        <v>[effect:enemy_message, val1:1.2, val2:1.2]</v>
      </c>
      <c r="H46" s="62">
        <f t="shared" si="1"/>
        <v>9</v>
      </c>
      <c r="I46" s="62">
        <f t="shared" si="2"/>
        <v>22</v>
      </c>
      <c r="J46" s="62" t="e">
        <f t="shared" si="3"/>
        <v>#VALUE!</v>
      </c>
      <c r="K46" s="62">
        <f t="shared" si="4"/>
        <v>32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si="5"/>
        <v>none</v>
      </c>
      <c r="N46" s="46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6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48"/>
      <c r="AA46" s="50"/>
      <c r="AB46" s="48"/>
    </row>
    <row r="47" spans="1:28" ht="21" customHeight="1" x14ac:dyDescent="0.15">
      <c r="A47" s="45">
        <v>58003045</v>
      </c>
      <c r="B47" s="45" t="s">
        <v>360</v>
      </c>
      <c r="C47" s="48">
        <v>3</v>
      </c>
      <c r="D47" s="48" t="s">
        <v>277</v>
      </c>
      <c r="E47" s="49" t="s">
        <v>291</v>
      </c>
      <c r="F47" s="49" t="s">
        <v>257</v>
      </c>
      <c r="G47" s="62" t="str">
        <f t="shared" si="0"/>
        <v>[effect:enemy_message, val1:1.2, val2:1.2]</v>
      </c>
      <c r="H47" s="62">
        <f t="shared" si="1"/>
        <v>9</v>
      </c>
      <c r="I47" s="62">
        <f t="shared" si="2"/>
        <v>22</v>
      </c>
      <c r="J47" s="62" t="e">
        <f t="shared" si="3"/>
        <v>#VALUE!</v>
      </c>
      <c r="K47" s="62">
        <f t="shared" si="4"/>
        <v>32</v>
      </c>
      <c r="L47" s="62" t="str">
        <f>IFERROR(VLOOKUP(MID(G47,J47,K47-J47),[5]skilldef!$C:$D,2,FALSE),"-") &amp; " / " &amp; IFERROR(VLOOKUP(MID(G47,H47,I47-H47),[5]skilldef!$A:$B,2,FALSE),"-")</f>
        <v>- / -</v>
      </c>
      <c r="M47" s="62" t="str">
        <f t="shared" si="5"/>
        <v>none</v>
      </c>
      <c r="N47" s="46" t="str">
        <f t="shared" si="6"/>
        <v>none</v>
      </c>
      <c r="O47" s="62" t="e">
        <f t="shared" si="7"/>
        <v>#VALUE!</v>
      </c>
      <c r="P47" s="62">
        <f t="shared" si="8"/>
        <v>4</v>
      </c>
      <c r="Q47" s="62" t="e">
        <f t="shared" si="9"/>
        <v>#VALUE!</v>
      </c>
      <c r="R47" s="62" t="e">
        <f t="shared" si="10"/>
        <v>#VALUE!</v>
      </c>
      <c r="S47" s="62" t="str">
        <f>IFERROR(VLOOKUP(MID(N47,Q47,R47-Q47),[5]skilldef!$C:$D,2,FALSE),"-") &amp; " / " &amp; IFERROR(VLOOKUP(MID(N47,O47,P47-O47),[5]skilldef!$A:$B,2,FALSE),"-")</f>
        <v>- / -</v>
      </c>
      <c r="T47" s="46" t="str">
        <f t="shared" si="11"/>
        <v>none</v>
      </c>
      <c r="U47" s="62" t="e">
        <f t="shared" si="12"/>
        <v>#VALUE!</v>
      </c>
      <c r="V47" s="62">
        <f t="shared" si="13"/>
        <v>4</v>
      </c>
      <c r="W47" s="62" t="e">
        <f t="shared" si="14"/>
        <v>#VALUE!</v>
      </c>
      <c r="X47" s="62" t="e">
        <f t="shared" si="15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8"/>
      <c r="AA47" s="50"/>
      <c r="AB47" s="48"/>
    </row>
    <row r="48" spans="1:28" ht="21" customHeight="1" x14ac:dyDescent="0.15">
      <c r="A48" s="45">
        <v>58003046</v>
      </c>
      <c r="B48" s="45" t="s">
        <v>360</v>
      </c>
      <c r="C48" s="48">
        <v>3</v>
      </c>
      <c r="D48" s="48" t="s">
        <v>277</v>
      </c>
      <c r="E48" s="49" t="s">
        <v>291</v>
      </c>
      <c r="F48" s="49" t="s">
        <v>257</v>
      </c>
      <c r="G48" s="62" t="str">
        <f t="shared" si="0"/>
        <v>[effect:enemy_message, val1:1.2, val2:1.2]</v>
      </c>
      <c r="H48" s="62">
        <f t="shared" si="1"/>
        <v>9</v>
      </c>
      <c r="I48" s="62">
        <f t="shared" si="2"/>
        <v>22</v>
      </c>
      <c r="J48" s="62" t="e">
        <f t="shared" si="3"/>
        <v>#VALUE!</v>
      </c>
      <c r="K48" s="62">
        <f t="shared" si="4"/>
        <v>32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si="5"/>
        <v>none</v>
      </c>
      <c r="N48" s="46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IFERROR(VLOOKUP(MID(N48,Q48,R48-Q48),[5]skilldef!$C:$D,2,FALSE),"-") &amp; " / " &amp; IFERROR(VLOOKUP(MID(N48,O48,P48-O48),[5]skilldef!$A:$B,2,FALSE),"-")</f>
        <v>- / -</v>
      </c>
      <c r="T48" s="46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IFERROR(VLOOKUP(MID(T48,W48,X48-W48),[5]skilldef!$C:$D,2,FALSE),"-") &amp; " / " &amp; IFERROR(VLOOKUP(MID(T48,U48,V48-U48),[5]skilldef!$A:$B,2,FALSE),"-")</f>
        <v>- / -</v>
      </c>
      <c r="Z48" s="48"/>
      <c r="AA48" s="50"/>
      <c r="AB48" s="48"/>
    </row>
    <row r="49" spans="1:28" ht="21" customHeight="1" x14ac:dyDescent="0.15">
      <c r="A49" s="45">
        <v>58003047</v>
      </c>
      <c r="B49" s="45" t="s">
        <v>360</v>
      </c>
      <c r="C49" s="48">
        <v>3</v>
      </c>
      <c r="D49" s="48" t="s">
        <v>277</v>
      </c>
      <c r="E49" s="49" t="s">
        <v>291</v>
      </c>
      <c r="F49" s="49" t="s">
        <v>257</v>
      </c>
      <c r="G49" s="62" t="str">
        <f t="shared" si="0"/>
        <v>[effect:enemy_message, val1:1.2, val2:1.2]</v>
      </c>
      <c r="H49" s="62">
        <f t="shared" si="1"/>
        <v>9</v>
      </c>
      <c r="I49" s="62">
        <f t="shared" si="2"/>
        <v>22</v>
      </c>
      <c r="J49" s="62" t="e">
        <f t="shared" si="3"/>
        <v>#VALUE!</v>
      </c>
      <c r="K49" s="62">
        <f t="shared" si="4"/>
        <v>32</v>
      </c>
      <c r="L49" s="62" t="str">
        <f>IFERROR(VLOOKUP(MID(G49,J49,K49-J49),[5]skilldef!$C:$D,2,FALSE),"-") &amp; " / " &amp; IFERROR(VLOOKUP(MID(G49,H49,I49-H49),[5]skilldef!$A:$B,2,FALSE),"-")</f>
        <v>- / -</v>
      </c>
      <c r="M49" s="62" t="str">
        <f t="shared" si="5"/>
        <v>none</v>
      </c>
      <c r="N49" s="46" t="str">
        <f t="shared" si="6"/>
        <v>none</v>
      </c>
      <c r="O49" s="62" t="e">
        <f t="shared" si="7"/>
        <v>#VALUE!</v>
      </c>
      <c r="P49" s="62">
        <f t="shared" si="8"/>
        <v>4</v>
      </c>
      <c r="Q49" s="62" t="e">
        <f t="shared" si="9"/>
        <v>#VALUE!</v>
      </c>
      <c r="R49" s="62" t="e">
        <f t="shared" si="10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6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8"/>
      <c r="AA49" s="50"/>
      <c r="AB49" s="48"/>
    </row>
    <row r="50" spans="1:28" ht="21" customHeight="1" x14ac:dyDescent="0.15">
      <c r="A50" s="45">
        <v>58003048</v>
      </c>
      <c r="B50" s="45" t="s">
        <v>360</v>
      </c>
      <c r="C50" s="48">
        <v>3</v>
      </c>
      <c r="D50" s="48" t="s">
        <v>277</v>
      </c>
      <c r="E50" s="49" t="s">
        <v>291</v>
      </c>
      <c r="F50" s="49" t="s">
        <v>257</v>
      </c>
      <c r="G50" s="62" t="str">
        <f t="shared" si="0"/>
        <v>[effect:enemy_message, val1:1.2, val2:1.2]</v>
      </c>
      <c r="H50" s="62">
        <f t="shared" si="1"/>
        <v>9</v>
      </c>
      <c r="I50" s="62">
        <f t="shared" si="2"/>
        <v>22</v>
      </c>
      <c r="J50" s="62" t="e">
        <f t="shared" si="3"/>
        <v>#VALUE!</v>
      </c>
      <c r="K50" s="62">
        <f t="shared" si="4"/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5"/>
        <v>none</v>
      </c>
      <c r="N50" s="46" t="str">
        <f t="shared" si="6"/>
        <v>none</v>
      </c>
      <c r="O50" s="62" t="e">
        <f t="shared" si="7"/>
        <v>#VALUE!</v>
      </c>
      <c r="P50" s="62">
        <f t="shared" si="8"/>
        <v>4</v>
      </c>
      <c r="Q50" s="62" t="e">
        <f t="shared" si="9"/>
        <v>#VALUE!</v>
      </c>
      <c r="R50" s="62" t="e">
        <f t="shared" si="10"/>
        <v>#VALUE!</v>
      </c>
      <c r="S50" s="62" t="str">
        <f>IFERROR(VLOOKUP(MID(N50,Q50,R50-Q50),[5]skilldef!$C:$D,2,FALSE),"-") &amp; " / " &amp; IFERROR(VLOOKUP(MID(N50,O50,P50-O50),[5]skilldef!$A:$B,2,FALSE),"-")</f>
        <v>- / -</v>
      </c>
      <c r="T50" s="46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IFERROR(VLOOKUP(MID(T50,W50,X50-W50),[5]skilldef!$C:$D,2,FALSE),"-") &amp; " / " &amp; IFERROR(VLOOKUP(MID(T50,U50,V50-U50),[5]skilldef!$A:$B,2,FALSE),"-")</f>
        <v>- / -</v>
      </c>
      <c r="Z50" s="48"/>
      <c r="AA50" s="50"/>
      <c r="AB50" s="48"/>
    </row>
    <row r="51" spans="1:28" ht="21" customHeight="1" x14ac:dyDescent="0.15">
      <c r="A51" s="45">
        <v>58003049</v>
      </c>
      <c r="B51" s="45" t="s">
        <v>360</v>
      </c>
      <c r="C51" s="48">
        <v>3</v>
      </c>
      <c r="D51" s="48" t="s">
        <v>277</v>
      </c>
      <c r="E51" s="49" t="s">
        <v>291</v>
      </c>
      <c r="F51" s="49" t="s">
        <v>257</v>
      </c>
      <c r="G51" s="62" t="str">
        <f t="shared" si="0"/>
        <v>[effect:enemy_message, val1:1.2, val2:1.2]</v>
      </c>
      <c r="H51" s="62">
        <f t="shared" si="1"/>
        <v>9</v>
      </c>
      <c r="I51" s="62">
        <f t="shared" si="2"/>
        <v>22</v>
      </c>
      <c r="J51" s="62" t="e">
        <f t="shared" si="3"/>
        <v>#VALUE!</v>
      </c>
      <c r="K51" s="62">
        <f t="shared" si="4"/>
        <v>32</v>
      </c>
      <c r="L51" s="62" t="str">
        <f>IFERROR(VLOOKUP(MID(G51,J51,K51-J51),[5]skilldef!$C:$D,2,FALSE),"-") &amp; " / " &amp; IFERROR(VLOOKUP(MID(G51,H51,I51-H51),[5]skilldef!$A:$B,2,FALSE),"-")</f>
        <v>- / -</v>
      </c>
      <c r="M51" s="62" t="str">
        <f t="shared" si="5"/>
        <v>none</v>
      </c>
      <c r="N51" s="46" t="str">
        <f t="shared" si="6"/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IFERROR(VLOOKUP(MID(N51,Q51,R51-Q51),[5]skilldef!$C:$D,2,FALSE),"-") &amp; " / " &amp; IFERROR(VLOOKUP(MID(N51,O51,P51-O51),[5]skilldef!$A:$B,2,FALSE),"-")</f>
        <v>- / -</v>
      </c>
      <c r="T51" s="46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IFERROR(VLOOKUP(MID(T51,W51,X51-W51),[5]skilldef!$C:$D,2,FALSE),"-") &amp; " / " &amp; IFERROR(VLOOKUP(MID(T51,U51,V51-U51),[5]skilldef!$A:$B,2,FALSE),"-")</f>
        <v>- / -</v>
      </c>
      <c r="Z51" s="48"/>
      <c r="AA51" s="50"/>
      <c r="AB51" s="48"/>
    </row>
    <row r="52" spans="1:28" ht="21" customHeight="1" x14ac:dyDescent="0.15">
      <c r="A52" s="45">
        <v>58003050</v>
      </c>
      <c r="B52" s="45" t="s">
        <v>401</v>
      </c>
      <c r="C52" s="48">
        <v>3</v>
      </c>
      <c r="D52" s="48" t="s">
        <v>277</v>
      </c>
      <c r="E52" s="49" t="s">
        <v>292</v>
      </c>
      <c r="F52" s="108" t="s">
        <v>386</v>
      </c>
      <c r="G52" s="62" t="str">
        <f t="shared" si="0"/>
        <v>[effect:enemy_message, val1:1.6, val2:1.7]</v>
      </c>
      <c r="H52" s="62">
        <f t="shared" si="1"/>
        <v>9</v>
      </c>
      <c r="I52" s="62">
        <f t="shared" si="2"/>
        <v>22</v>
      </c>
      <c r="J52" s="62" t="e">
        <f t="shared" si="3"/>
        <v>#VALUE!</v>
      </c>
      <c r="K52" s="62">
        <f t="shared" si="4"/>
        <v>32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5"/>
        <v>[effect:fix_speed, target:myself, turn:1],[effect:tolerance, target:myself, turn:-1, count:-1, tolerance_effect:all, animation:enemy_tolerance],[effect:enhance_enemy, target:myself, turn:3, status:attack, val:0.6, calc:mul, animation:enemy_enhance_attack]</v>
      </c>
      <c r="N52" s="46" t="str">
        <f t="shared" si="6"/>
        <v>[effect:fix_speed, target:myself, turn:1],[effect:tolerance, target:myself, turn:-1, count:-1, tolerance_effect:all, animation:enemy_tolerance],[effect:enhance_enemy, target:myself, turn:3, status:attack, val:0.6, calc:mul, animation:enemy_enhance_attack]</v>
      </c>
      <c r="O52" s="62">
        <f t="shared" si="7"/>
        <v>9</v>
      </c>
      <c r="P52" s="62">
        <f t="shared" si="8"/>
        <v>18</v>
      </c>
      <c r="Q52" s="62">
        <f t="shared" si="9"/>
        <v>27</v>
      </c>
      <c r="R52" s="62">
        <f t="shared" si="10"/>
        <v>33</v>
      </c>
      <c r="S52" s="62" t="str">
        <f>IFERROR(VLOOKUP(MID(N52,Q52,R52-Q52),[5]skilldef!$C:$D,2,FALSE),"-") &amp; " / " &amp; IFERROR(VLOOKUP(MID(N52,O52,P52-O52),[5]skilldef!$A:$B,2,FALSE),"-")</f>
        <v>自分自身に / 行動値設定</v>
      </c>
      <c r="T52" s="46" t="str">
        <f t="shared" si="11"/>
        <v>[effect:tolerance, target:myself, turn:-1, count:-1, tolerance_effect:all, animation:enemy_tolerance],[effect:enhance_enemy, target:myself, turn:3, status:attack, val:0.6, calc:mul, animation:enemy_enhance_attack]</v>
      </c>
      <c r="U52" s="62">
        <f t="shared" si="12"/>
        <v>9</v>
      </c>
      <c r="V52" s="62">
        <f t="shared" si="13"/>
        <v>18</v>
      </c>
      <c r="W52" s="62">
        <f t="shared" si="14"/>
        <v>27</v>
      </c>
      <c r="X52" s="62">
        <f t="shared" si="15"/>
        <v>33</v>
      </c>
      <c r="Y52" s="62" t="str">
        <f>IFERROR(VLOOKUP(MID(T52,W52,X52-W52),[5]skilldef!$C:$D,2,FALSE),"-") &amp; " / " &amp; IFERROR(VLOOKUP(MID(T52,U52,V52-U52),[5]skilldef!$A:$B,2,FALSE),"-")</f>
        <v>自分自身に / 状態異常耐性</v>
      </c>
      <c r="Z52" s="48"/>
      <c r="AA52" s="50"/>
      <c r="AB52" s="48"/>
    </row>
    <row r="53" spans="1:28" ht="21" customHeight="1" x14ac:dyDescent="0.15">
      <c r="A53" s="45">
        <v>58003051</v>
      </c>
      <c r="B53" s="45" t="s">
        <v>402</v>
      </c>
      <c r="C53" s="48">
        <v>3</v>
      </c>
      <c r="D53" s="48" t="s">
        <v>277</v>
      </c>
      <c r="E53" s="49" t="s">
        <v>293</v>
      </c>
      <c r="F53" s="108" t="s">
        <v>414</v>
      </c>
      <c r="G53" s="62" t="str">
        <f t="shared" si="0"/>
        <v>[effect:enemy_message, val1:1.2, val2:4.4]</v>
      </c>
      <c r="H53" s="62">
        <f t="shared" si="1"/>
        <v>9</v>
      </c>
      <c r="I53" s="62">
        <f t="shared" si="2"/>
        <v>22</v>
      </c>
      <c r="J53" s="62" t="e">
        <f t="shared" si="3"/>
        <v>#VALUE!</v>
      </c>
      <c r="K53" s="62">
        <f t="shared" si="4"/>
        <v>32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N53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O53" s="62">
        <f t="shared" si="7"/>
        <v>9</v>
      </c>
      <c r="P53" s="62">
        <f t="shared" si="8"/>
        <v>26</v>
      </c>
      <c r="Q53" s="62">
        <f t="shared" si="9"/>
        <v>35</v>
      </c>
      <c r="R53" s="62">
        <f t="shared" si="10"/>
        <v>43</v>
      </c>
      <c r="S53" s="62" t="str">
        <f>IFERROR(VLOOKUP(MID(N53,Q53,R53-Q53),[5]skilldef!$C:$D,2,FALSE),"-") &amp; " / " &amp; IFERROR(VLOOKUP(MID(N53,O53,P53-O53),[5]skilldef!$A:$B,2,FALSE),"-")</f>
        <v>味方単体に / 種族キラー</v>
      </c>
      <c r="T53" s="46" t="str">
        <f t="shared" si="11"/>
        <v>[effect:damage_anti_tribe, target:unit_one, tribe:samurai, val1:0.25, val2:0.3],[effect:damage_anti_tribe, target:unit_one, tribe:samurai, val1:0.25, val2:0.3]</v>
      </c>
      <c r="U53" s="62">
        <f t="shared" si="12"/>
        <v>9</v>
      </c>
      <c r="V53" s="62">
        <f t="shared" si="13"/>
        <v>26</v>
      </c>
      <c r="W53" s="62">
        <f t="shared" si="14"/>
        <v>35</v>
      </c>
      <c r="X53" s="62">
        <f t="shared" si="15"/>
        <v>43</v>
      </c>
      <c r="Y53" s="62" t="str">
        <f>IFERROR(VLOOKUP(MID(T53,W53,X53-W53),[5]skilldef!$C:$D,2,FALSE),"-") &amp; " / " &amp; IFERROR(VLOOKUP(MID(T53,U53,V53-U53),[5]skilldef!$A:$B,2,FALSE),"-")</f>
        <v>味方単体に / 種族キラー</v>
      </c>
      <c r="Z53" s="48"/>
      <c r="AA53" s="50"/>
      <c r="AB53" s="48"/>
    </row>
    <row r="54" spans="1:28" ht="21" customHeight="1" x14ac:dyDescent="0.15">
      <c r="A54" s="45">
        <v>58003052</v>
      </c>
      <c r="B54" s="45" t="s">
        <v>403</v>
      </c>
      <c r="C54" s="48">
        <v>3</v>
      </c>
      <c r="D54" s="48" t="s">
        <v>277</v>
      </c>
      <c r="E54" s="49" t="s">
        <v>293</v>
      </c>
      <c r="F54" s="108" t="s">
        <v>415</v>
      </c>
      <c r="G54" s="62" t="str">
        <f t="shared" si="0"/>
        <v>[effect:enemy_message, val1:1.2, val2:4.4]</v>
      </c>
      <c r="H54" s="62">
        <f t="shared" si="1"/>
        <v>9</v>
      </c>
      <c r="I54" s="62">
        <f t="shared" si="2"/>
        <v>22</v>
      </c>
      <c r="J54" s="62" t="e">
        <f t="shared" si="3"/>
        <v>#VALUE!</v>
      </c>
      <c r="K54" s="62">
        <f t="shared" si="4"/>
        <v>32</v>
      </c>
      <c r="L54" s="62" t="str">
        <f>IFERROR(VLOOKUP(MID(G54,J54,K54-J54),[5]skilldef!$C:$D,2,FALSE),"-") &amp; " / " &amp; IFERROR(VLOOKUP(MID(G54,H54,I54-H54),[5]skilldef!$A:$B,2,FALSE),"-")</f>
        <v>- / -</v>
      </c>
      <c r="M54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4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4" s="62">
        <f t="shared" si="7"/>
        <v>9</v>
      </c>
      <c r="P54" s="62">
        <f t="shared" si="8"/>
        <v>26</v>
      </c>
      <c r="Q54" s="62">
        <f t="shared" si="9"/>
        <v>35</v>
      </c>
      <c r="R54" s="62">
        <f t="shared" si="10"/>
        <v>43</v>
      </c>
      <c r="S54" s="62" t="str">
        <f>IFERROR(VLOOKUP(MID(N54,Q54,R54-Q54),[5]skilldef!$C:$D,2,FALSE),"-") &amp; " / " &amp; IFERROR(VLOOKUP(MID(N54,O54,P54-O54),[5]skilldef!$A:$B,2,FALSE),"-")</f>
        <v>味方単体に / 種族キラー</v>
      </c>
      <c r="T54" s="46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U54" s="62">
        <f t="shared" si="12"/>
        <v>9</v>
      </c>
      <c r="V54" s="62">
        <f t="shared" si="13"/>
        <v>26</v>
      </c>
      <c r="W54" s="62">
        <f t="shared" si="14"/>
        <v>35</v>
      </c>
      <c r="X54" s="62">
        <f t="shared" si="15"/>
        <v>43</v>
      </c>
      <c r="Y54" s="62" t="str">
        <f>IFERROR(VLOOKUP(MID(T54,W54,X54-W54),[5]skilldef!$C:$D,2,FALSE),"-") &amp; " / " &amp; IFERROR(VLOOKUP(MID(T54,U54,V54-U54),[5]skilldef!$A:$B,2,FALSE),"-")</f>
        <v>味方単体に / 種族キラー</v>
      </c>
      <c r="Z54" s="48"/>
      <c r="AA54" s="50"/>
      <c r="AB54" s="48"/>
    </row>
    <row r="55" spans="1:28" ht="21" customHeight="1" x14ac:dyDescent="0.15">
      <c r="A55" s="45">
        <v>58003053</v>
      </c>
      <c r="B55" s="45" t="s">
        <v>404</v>
      </c>
      <c r="C55" s="48">
        <v>3</v>
      </c>
      <c r="D55" s="48" t="s">
        <v>277</v>
      </c>
      <c r="E55" s="49" t="s">
        <v>293</v>
      </c>
      <c r="F55" s="108" t="s">
        <v>416</v>
      </c>
      <c r="G55" s="62" t="str">
        <f t="shared" si="0"/>
        <v>[effect:enemy_message, val1:1.2, val2:4.4]</v>
      </c>
      <c r="H55" s="62">
        <f t="shared" si="1"/>
        <v>9</v>
      </c>
      <c r="I55" s="62">
        <f t="shared" si="2"/>
        <v>22</v>
      </c>
      <c r="J55" s="62" t="e">
        <f t="shared" si="3"/>
        <v>#VALUE!</v>
      </c>
      <c r="K55" s="62">
        <f t="shared" si="4"/>
        <v>32</v>
      </c>
      <c r="L55" s="62" t="str">
        <f>IFERROR(VLOOKUP(MID(G55,J55,K55-J55),[5]skilldef!$C:$D,2,FALSE),"-") &amp; " / " &amp; IFERROR(VLOOKUP(MID(G55,H55,I55-H55),[5]skilldef!$A:$B,2,FALSE),"-")</f>
        <v>- / -</v>
      </c>
      <c r="M55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5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5" s="62">
        <f t="shared" si="7"/>
        <v>9</v>
      </c>
      <c r="P55" s="62">
        <f t="shared" si="8"/>
        <v>26</v>
      </c>
      <c r="Q55" s="62">
        <f t="shared" si="9"/>
        <v>35</v>
      </c>
      <c r="R55" s="62">
        <f t="shared" si="10"/>
        <v>43</v>
      </c>
      <c r="S55" s="62" t="str">
        <f>IFERROR(VLOOKUP(MID(N55,Q55,R55-Q55),[5]skilldef!$C:$D,2,FALSE),"-") &amp; " / " &amp; IFERROR(VLOOKUP(MID(N55,O55,P55-O55),[5]skilldef!$A:$B,2,FALSE),"-")</f>
        <v>味方単体に / 種族キラー</v>
      </c>
      <c r="T55" s="46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U55" s="62">
        <f t="shared" si="12"/>
        <v>9</v>
      </c>
      <c r="V55" s="62">
        <f t="shared" si="13"/>
        <v>26</v>
      </c>
      <c r="W55" s="62">
        <f t="shared" si="14"/>
        <v>35</v>
      </c>
      <c r="X55" s="62">
        <f t="shared" si="15"/>
        <v>43</v>
      </c>
      <c r="Y55" s="62" t="str">
        <f>IFERROR(VLOOKUP(MID(T55,W55,X55-W55),[5]skilldef!$C:$D,2,FALSE),"-") &amp; " / " &amp; IFERROR(VLOOKUP(MID(T55,U55,V55-U55),[5]skilldef!$A:$B,2,FALSE),"-")</f>
        <v>味方単体に / 種族キラー</v>
      </c>
      <c r="Z55" s="48"/>
      <c r="AA55" s="50"/>
      <c r="AB55" s="48"/>
    </row>
    <row r="56" spans="1:28" ht="21" customHeight="1" x14ac:dyDescent="0.15">
      <c r="A56" s="45">
        <v>58003054</v>
      </c>
      <c r="B56" s="45" t="s">
        <v>435</v>
      </c>
      <c r="C56" s="48">
        <v>3</v>
      </c>
      <c r="D56" s="48" t="s">
        <v>277</v>
      </c>
      <c r="E56" s="49" t="s">
        <v>290</v>
      </c>
      <c r="F56" s="108" t="s">
        <v>433</v>
      </c>
      <c r="G56" s="62" t="str">
        <f t="shared" si="0"/>
        <v>[effect:enemy_message, val1:1.2, val2:2.8]</v>
      </c>
      <c r="H56" s="62">
        <f t="shared" si="1"/>
        <v>9</v>
      </c>
      <c r="I56" s="62">
        <f t="shared" si="2"/>
        <v>22</v>
      </c>
      <c r="J56" s="62" t="e">
        <f t="shared" si="3"/>
        <v>#VALUE!</v>
      </c>
      <c r="K56" s="62">
        <f t="shared" si="4"/>
        <v>32</v>
      </c>
      <c r="L56" s="62" t="str">
        <f>IFERROR(VLOOKUP(MID(G56,J56,K56-J56),[5]skilldef!$C:$D,2,FALSE),"-") &amp; " / " &amp; IFERROR(VLOOKUP(MID(G56,H56,I56-H56),[5]skilldef!$A:$B,2,FALSE),"-")</f>
        <v>- / -</v>
      </c>
      <c r="M56" s="62" t="str">
        <f t="shared" si="5"/>
        <v>[effect:force_change_block, new_block:damage, target:normal, count:4, val:0.3],[effect:rush, count:1, val:1]</v>
      </c>
      <c r="N56" s="46" t="str">
        <f t="shared" si="6"/>
        <v>[effect:force_change_block, new_block:damage, target:normal, count:4, val:0.3],[effect:rush, count:1, val:1]</v>
      </c>
      <c r="O56" s="62">
        <f t="shared" si="7"/>
        <v>9</v>
      </c>
      <c r="P56" s="62">
        <f t="shared" si="8"/>
        <v>27</v>
      </c>
      <c r="Q56" s="62">
        <f t="shared" si="9"/>
        <v>54</v>
      </c>
      <c r="R56" s="62">
        <f t="shared" si="10"/>
        <v>45</v>
      </c>
      <c r="S56" s="62" t="str">
        <f>IFERROR(VLOOKUP(MID(N56,Q56,R56-Q56),[5]skilldef!$C:$D,2,FALSE),"-") &amp; " / " &amp; IFERROR(VLOOKUP(MID(N56,O56,P56-O56),[5]skilldef!$A:$B,2,FALSE),"-")</f>
        <v>- / -</v>
      </c>
      <c r="T56" s="46" t="str">
        <f t="shared" si="11"/>
        <v>[effect:rush, count:1, val:1]</v>
      </c>
      <c r="U56" s="62">
        <f t="shared" si="12"/>
        <v>9</v>
      </c>
      <c r="V56" s="62">
        <f t="shared" si="13"/>
        <v>13</v>
      </c>
      <c r="W56" s="62" t="e">
        <f t="shared" si="14"/>
        <v>#VALUE!</v>
      </c>
      <c r="X56" s="62">
        <f t="shared" si="15"/>
        <v>22</v>
      </c>
      <c r="Y56" s="62" t="str">
        <f>IFERROR(VLOOKUP(MID(T56,W56,X56-W56),[5]skilldef!$C:$D,2,FALSE),"-") &amp; " / " &amp; IFERROR(VLOOKUP(MID(T56,U56,V56-U56),[5]skilldef!$A:$B,2,FALSE),"-")</f>
        <v>- / 連続攻撃</v>
      </c>
      <c r="Z56" s="48"/>
      <c r="AA56" s="50"/>
      <c r="AB56" s="48"/>
    </row>
    <row r="57" spans="1:28" ht="21" customHeight="1" x14ac:dyDescent="0.15">
      <c r="A57" s="45">
        <v>58003055</v>
      </c>
      <c r="B57" s="45" t="s">
        <v>372</v>
      </c>
      <c r="C57" s="48">
        <v>3</v>
      </c>
      <c r="D57" s="48" t="s">
        <v>277</v>
      </c>
      <c r="E57" s="49" t="s">
        <v>294</v>
      </c>
      <c r="F57" s="108" t="s">
        <v>383</v>
      </c>
      <c r="G57" s="62" t="str">
        <f t="shared" si="0"/>
        <v>[effect:enemy_message, val1:1.3, val2:1.2]</v>
      </c>
      <c r="H57" s="62">
        <f t="shared" si="1"/>
        <v>9</v>
      </c>
      <c r="I57" s="62">
        <f t="shared" si="2"/>
        <v>22</v>
      </c>
      <c r="J57" s="62" t="e">
        <f t="shared" si="3"/>
        <v>#VALUE!</v>
      </c>
      <c r="K57" s="62">
        <f t="shared" si="4"/>
        <v>32</v>
      </c>
      <c r="L57" s="62" t="str">
        <f>IFERROR(VLOOKUP(MID(G57,J57,K57-J57),[5]skilldef!$C:$D,2,FALSE),"-") &amp; " / " &amp; IFERROR(VLOOKUP(MID(G57,H57,I57-H57),[5]skilldef!$A:$B,2,FALSE),"-")</f>
        <v>- / -</v>
      </c>
      <c r="M57" s="62" t="str">
        <f t="shared" si="5"/>
        <v>[effect:enhance_enemy, target:myself, turn:-1, status:attack, val:0.8, calc:mul, animation:enemy_enhance_attack]</v>
      </c>
      <c r="N57" s="46" t="str">
        <f t="shared" si="6"/>
        <v>[effect:enhance_enemy, target:myself, turn:-1, status:attack, val:0.8, calc:mul, animation:enemy_enhance_attack]</v>
      </c>
      <c r="O57" s="62">
        <f t="shared" si="7"/>
        <v>9</v>
      </c>
      <c r="P57" s="62">
        <f t="shared" si="8"/>
        <v>22</v>
      </c>
      <c r="Q57" s="62">
        <f t="shared" si="9"/>
        <v>31</v>
      </c>
      <c r="R57" s="62">
        <f t="shared" si="10"/>
        <v>37</v>
      </c>
      <c r="S57" s="62" t="str">
        <f>IFERROR(VLOOKUP(MID(N57,Q57,R57-Q57),[5]skilldef!$C:$D,2,FALSE),"-") &amp; " / " &amp; IFERROR(VLOOKUP(MID(N57,O57,P57-O57),[5]skilldef!$A:$B,2,FALSE),"-")</f>
        <v>自分自身に / ステータス強化</v>
      </c>
      <c r="T57" s="46" t="str">
        <f t="shared" si="11"/>
        <v>none</v>
      </c>
      <c r="U57" s="62" t="e">
        <f t="shared" si="12"/>
        <v>#VALUE!</v>
      </c>
      <c r="V57" s="62">
        <f t="shared" si="13"/>
        <v>4</v>
      </c>
      <c r="W57" s="62" t="e">
        <f t="shared" si="14"/>
        <v>#VALUE!</v>
      </c>
      <c r="X57" s="62" t="e">
        <f t="shared" si="15"/>
        <v>#VALUE!</v>
      </c>
      <c r="Y57" s="62" t="str">
        <f>IFERROR(VLOOKUP(MID(T57,W57,X57-W57),[5]skilldef!$C:$D,2,FALSE),"-") &amp; " / " &amp; IFERROR(VLOOKUP(MID(T57,U57,V57-U57),[5]skilldef!$A:$B,2,FALSE),"-")</f>
        <v>- / -</v>
      </c>
      <c r="Z57" s="48"/>
      <c r="AA57" s="50"/>
      <c r="AB57" s="48"/>
    </row>
    <row r="58" spans="1:28" ht="21" customHeight="1" x14ac:dyDescent="0.15">
      <c r="A58" s="45">
        <v>58003056</v>
      </c>
      <c r="B58" s="45" t="s">
        <v>402</v>
      </c>
      <c r="C58" s="48">
        <v>3</v>
      </c>
      <c r="D58" s="48" t="s">
        <v>277</v>
      </c>
      <c r="E58" s="49" t="s">
        <v>293</v>
      </c>
      <c r="F58" s="108" t="s">
        <v>414</v>
      </c>
      <c r="G58" s="62" t="str">
        <f t="shared" si="0"/>
        <v>[effect:enemy_message, val1:1.2, val2:4.4]</v>
      </c>
      <c r="H58" s="62">
        <f t="shared" si="1"/>
        <v>9</v>
      </c>
      <c r="I58" s="62">
        <f t="shared" si="2"/>
        <v>22</v>
      </c>
      <c r="J58" s="62" t="e">
        <f t="shared" si="3"/>
        <v>#VALUE!</v>
      </c>
      <c r="K58" s="62">
        <f t="shared" si="4"/>
        <v>32</v>
      </c>
      <c r="L58" s="62" t="str">
        <f>IFERROR(VLOOKUP(MID(G58,J58,K58-J58),[5]skilldef!$C:$D,2,FALSE),"-") &amp; " / " &amp; IFERROR(VLOOKUP(MID(G58,H58,I58-H58),[5]skilldef!$A:$B,2,FALSE),"-")</f>
        <v>- / -</v>
      </c>
      <c r="M58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N58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O58" s="62">
        <f t="shared" si="7"/>
        <v>9</v>
      </c>
      <c r="P58" s="62">
        <f t="shared" si="8"/>
        <v>26</v>
      </c>
      <c r="Q58" s="62">
        <f t="shared" si="9"/>
        <v>35</v>
      </c>
      <c r="R58" s="62">
        <f t="shared" si="10"/>
        <v>43</v>
      </c>
      <c r="S58" s="62" t="str">
        <f>IFERROR(VLOOKUP(MID(N58,Q58,R58-Q58),[5]skilldef!$C:$D,2,FALSE),"-") &amp; " / " &amp; IFERROR(VLOOKUP(MID(N58,O58,P58-O58),[5]skilldef!$A:$B,2,FALSE),"-")</f>
        <v>味方単体に / 種族キラー</v>
      </c>
      <c r="T58" s="46" t="str">
        <f t="shared" si="11"/>
        <v>[effect:damage_anti_tribe, target:unit_one, tribe:samurai, val1:0.25, val2:0.3],[effect:damage_anti_tribe, target:unit_one, tribe:samurai, val1:0.25, val2:0.3]</v>
      </c>
      <c r="U58" s="62">
        <f t="shared" si="12"/>
        <v>9</v>
      </c>
      <c r="V58" s="62">
        <f t="shared" si="13"/>
        <v>26</v>
      </c>
      <c r="W58" s="62">
        <f t="shared" si="14"/>
        <v>35</v>
      </c>
      <c r="X58" s="62">
        <f t="shared" si="15"/>
        <v>43</v>
      </c>
      <c r="Y58" s="62" t="str">
        <f>IFERROR(VLOOKUP(MID(T58,W58,X58-W58),[5]skilldef!$C:$D,2,FALSE),"-") &amp; " / " &amp; IFERROR(VLOOKUP(MID(T58,U58,V58-U58),[5]skilldef!$A:$B,2,FALSE),"-")</f>
        <v>味方単体に / 種族キラー</v>
      </c>
      <c r="Z58" s="48"/>
      <c r="AA58" s="50"/>
      <c r="AB58" s="48"/>
    </row>
    <row r="59" spans="1:28" ht="21" customHeight="1" x14ac:dyDescent="0.15">
      <c r="A59" s="45">
        <v>58003057</v>
      </c>
      <c r="B59" s="45" t="s">
        <v>403</v>
      </c>
      <c r="C59" s="48">
        <v>3</v>
      </c>
      <c r="D59" s="48" t="s">
        <v>277</v>
      </c>
      <c r="E59" s="49" t="s">
        <v>293</v>
      </c>
      <c r="F59" s="108" t="s">
        <v>415</v>
      </c>
      <c r="G59" s="62" t="str">
        <f t="shared" si="0"/>
        <v>[effect:enemy_message, val1:1.2, val2:4.4]</v>
      </c>
      <c r="H59" s="62">
        <f t="shared" si="1"/>
        <v>9</v>
      </c>
      <c r="I59" s="62">
        <f t="shared" si="2"/>
        <v>22</v>
      </c>
      <c r="J59" s="62" t="e">
        <f t="shared" si="3"/>
        <v>#VALUE!</v>
      </c>
      <c r="K59" s="62">
        <f t="shared" si="4"/>
        <v>32</v>
      </c>
      <c r="L59" s="62" t="str">
        <f>IFERROR(VLOOKUP(MID(G59,J59,K59-J59),[5]skilldef!$C:$D,2,FALSE),"-") &amp; " / " &amp; IFERROR(VLOOKUP(MID(G59,H59,I59-H59),[5]skilldef!$A:$B,2,FALSE),"-")</f>
        <v>- / -</v>
      </c>
      <c r="M59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59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59" s="62">
        <f t="shared" si="7"/>
        <v>9</v>
      </c>
      <c r="P59" s="62">
        <f t="shared" si="8"/>
        <v>26</v>
      </c>
      <c r="Q59" s="62">
        <f t="shared" si="9"/>
        <v>35</v>
      </c>
      <c r="R59" s="62">
        <f t="shared" si="10"/>
        <v>43</v>
      </c>
      <c r="S59" s="62" t="str">
        <f>IFERROR(VLOOKUP(MID(N59,Q59,R59-Q59),[5]skilldef!$C:$D,2,FALSE),"-") &amp; " / " &amp; IFERROR(VLOOKUP(MID(N59,O59,P59-O59),[5]skilldef!$A:$B,2,FALSE),"-")</f>
        <v>味方単体に / 種族キラー</v>
      </c>
      <c r="T59" s="46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</v>
      </c>
      <c r="U59" s="62">
        <f t="shared" si="12"/>
        <v>9</v>
      </c>
      <c r="V59" s="62">
        <f t="shared" si="13"/>
        <v>26</v>
      </c>
      <c r="W59" s="62">
        <f t="shared" si="14"/>
        <v>35</v>
      </c>
      <c r="X59" s="62">
        <f t="shared" si="15"/>
        <v>43</v>
      </c>
      <c r="Y59" s="62" t="str">
        <f>IFERROR(VLOOKUP(MID(T59,W59,X59-W59),[5]skilldef!$C:$D,2,FALSE),"-") &amp; " / " &amp; IFERROR(VLOOKUP(MID(T59,U59,V59-U59),[5]skilldef!$A:$B,2,FALSE),"-")</f>
        <v>味方単体に / 種族キラー</v>
      </c>
      <c r="Z59" s="48"/>
      <c r="AA59" s="50"/>
      <c r="AB59" s="48"/>
    </row>
    <row r="60" spans="1:28" ht="21" customHeight="1" x14ac:dyDescent="0.15">
      <c r="A60" s="45">
        <v>58003058</v>
      </c>
      <c r="B60" s="45" t="s">
        <v>404</v>
      </c>
      <c r="C60" s="48">
        <v>3</v>
      </c>
      <c r="D60" s="48" t="s">
        <v>277</v>
      </c>
      <c r="E60" s="49" t="s">
        <v>293</v>
      </c>
      <c r="F60" s="108" t="s">
        <v>416</v>
      </c>
      <c r="G60" s="62" t="str">
        <f t="shared" si="0"/>
        <v>[effect:enemy_message, val1:1.2, val2:4.4]</v>
      </c>
      <c r="H60" s="62">
        <f t="shared" si="1"/>
        <v>9</v>
      </c>
      <c r="I60" s="62">
        <f t="shared" si="2"/>
        <v>22</v>
      </c>
      <c r="J60" s="62" t="e">
        <f t="shared" si="3"/>
        <v>#VALUE!</v>
      </c>
      <c r="K60" s="62">
        <f t="shared" si="4"/>
        <v>32</v>
      </c>
      <c r="L60" s="62" t="str">
        <f>IFERROR(VLOOKUP(MID(G60,J60,K60-J60),[5]skilldef!$C:$D,2,FALSE),"-") &amp; " / " &amp; IFERROR(VLOOKUP(MID(G60,H60,I60-H60),[5]skilldef!$A:$B,2,FALSE),"-")</f>
        <v>- / -</v>
      </c>
      <c r="M60" s="62" t="str">
        <f t="shared" si="5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N60" s="46" t="str">
        <f t="shared" si="6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O60" s="62">
        <f t="shared" si="7"/>
        <v>9</v>
      </c>
      <c r="P60" s="62">
        <f t="shared" si="8"/>
        <v>26</v>
      </c>
      <c r="Q60" s="62">
        <f t="shared" si="9"/>
        <v>35</v>
      </c>
      <c r="R60" s="62">
        <f t="shared" si="10"/>
        <v>43</v>
      </c>
      <c r="S60" s="62" t="str">
        <f>IFERROR(VLOOKUP(MID(N60,Q60,R60-Q60),[5]skilldef!$C:$D,2,FALSE),"-") &amp; " / " &amp; IFERROR(VLOOKUP(MID(N60,O60,P60-O60),[5]skilldef!$A:$B,2,FALSE),"-")</f>
        <v>味方単体に / 種族キラー</v>
      </c>
      <c r="T60" s="46" t="str">
        <f t="shared" si="11"/>
        <v>[effect:damage_anti_tribe, target:unit_one, tribe:samurai, val1:0.25, val2:0.3],[effect:damage_anti_tribe, target:unit_one, tribe:samurai, val1:0.25, val2:0.3],[effect:damage_anti_tribe, target:unit_one, tribe:samurai, val1:0.25, val2:0.3],[effect:damage_anti_tribe, target:unit_one, tribe:samurai, val1:0.25, val2:0.3]</v>
      </c>
      <c r="U60" s="62">
        <f t="shared" si="12"/>
        <v>9</v>
      </c>
      <c r="V60" s="62">
        <f t="shared" si="13"/>
        <v>26</v>
      </c>
      <c r="W60" s="62">
        <f t="shared" si="14"/>
        <v>35</v>
      </c>
      <c r="X60" s="62">
        <f t="shared" si="15"/>
        <v>43</v>
      </c>
      <c r="Y60" s="62" t="str">
        <f>IFERROR(VLOOKUP(MID(T60,W60,X60-W60),[5]skilldef!$C:$D,2,FALSE),"-") &amp; " / " &amp; IFERROR(VLOOKUP(MID(T60,U60,V60-U60),[5]skilldef!$A:$B,2,FALSE),"-")</f>
        <v>味方単体に / 種族キラー</v>
      </c>
      <c r="Z60" s="48"/>
      <c r="AA60" s="50"/>
      <c r="AB60" s="48"/>
    </row>
    <row r="61" spans="1:28" ht="21" customHeight="1" x14ac:dyDescent="0.15">
      <c r="A61" s="45">
        <v>58003059</v>
      </c>
      <c r="B61" s="45" t="s">
        <v>360</v>
      </c>
      <c r="C61" s="48">
        <v>3</v>
      </c>
      <c r="D61" s="48" t="s">
        <v>277</v>
      </c>
      <c r="E61" s="49" t="s">
        <v>295</v>
      </c>
      <c r="F61" s="49" t="s">
        <v>257</v>
      </c>
      <c r="G61" s="62" t="str">
        <f t="shared" si="0"/>
        <v>[effect:enemy_message, val1:1.2, val2:1.2]</v>
      </c>
      <c r="H61" s="62">
        <f t="shared" si="1"/>
        <v>9</v>
      </c>
      <c r="I61" s="62">
        <f t="shared" si="2"/>
        <v>22</v>
      </c>
      <c r="J61" s="62" t="e">
        <f t="shared" si="3"/>
        <v>#VALUE!</v>
      </c>
      <c r="K61" s="62">
        <f t="shared" si="4"/>
        <v>32</v>
      </c>
      <c r="L61" s="62" t="str">
        <f>IFERROR(VLOOKUP(MID(G61,J61,K61-J61),[5]skilldef!$C:$D,2,FALSE),"-") &amp; " / " &amp; IFERROR(VLOOKUP(MID(G61,H61,I61-H61),[5]skilldef!$A:$B,2,FALSE),"-")</f>
        <v>- / -</v>
      </c>
      <c r="M61" s="62" t="str">
        <f t="shared" si="5"/>
        <v>none</v>
      </c>
      <c r="N61" s="46" t="str">
        <f t="shared" si="6"/>
        <v>none</v>
      </c>
      <c r="O61" s="62" t="e">
        <f t="shared" si="7"/>
        <v>#VALUE!</v>
      </c>
      <c r="P61" s="62">
        <f t="shared" si="8"/>
        <v>4</v>
      </c>
      <c r="Q61" s="62" t="e">
        <f t="shared" si="9"/>
        <v>#VALUE!</v>
      </c>
      <c r="R61" s="62" t="e">
        <f t="shared" si="10"/>
        <v>#VALUE!</v>
      </c>
      <c r="S61" s="62" t="str">
        <f>IFERROR(VLOOKUP(MID(N61,Q61,R61-Q61),[5]skilldef!$C:$D,2,FALSE),"-") &amp; " / " &amp; IFERROR(VLOOKUP(MID(N61,O61,P61-O61),[5]skilldef!$A:$B,2,FALSE),"-")</f>
        <v>- / -</v>
      </c>
      <c r="T61" s="46" t="str">
        <f t="shared" si="11"/>
        <v>none</v>
      </c>
      <c r="U61" s="62" t="e">
        <f t="shared" si="12"/>
        <v>#VALUE!</v>
      </c>
      <c r="V61" s="62">
        <f t="shared" si="13"/>
        <v>4</v>
      </c>
      <c r="W61" s="62" t="e">
        <f t="shared" si="14"/>
        <v>#VALUE!</v>
      </c>
      <c r="X61" s="62" t="e">
        <f t="shared" si="15"/>
        <v>#VALUE!</v>
      </c>
      <c r="Y61" s="62" t="str">
        <f>IFERROR(VLOOKUP(MID(T61,W61,X61-W61),[5]skilldef!$C:$D,2,FALSE),"-") &amp; " / " &amp; IFERROR(VLOOKUP(MID(T61,U61,V61-U61),[5]skilldef!$A:$B,2,FALSE),"-")</f>
        <v>- / -</v>
      </c>
      <c r="Z61" s="48"/>
      <c r="AA61" s="50"/>
      <c r="AB61" s="48"/>
    </row>
    <row r="62" spans="1:28" ht="21" customHeight="1" x14ac:dyDescent="0.15">
      <c r="A62" s="45">
        <v>58003060</v>
      </c>
      <c r="B62" s="45" t="s">
        <v>373</v>
      </c>
      <c r="C62" s="48">
        <v>3</v>
      </c>
      <c r="D62" s="48" t="s">
        <v>277</v>
      </c>
      <c r="E62" s="49" t="s">
        <v>296</v>
      </c>
      <c r="F62" s="49" t="s">
        <v>297</v>
      </c>
      <c r="G62" s="62" t="str">
        <f t="shared" si="0"/>
        <v>[effect:enemy_message, val1:1.4, val2:2.0]</v>
      </c>
      <c r="H62" s="62">
        <f t="shared" si="1"/>
        <v>9</v>
      </c>
      <c r="I62" s="62">
        <f t="shared" si="2"/>
        <v>22</v>
      </c>
      <c r="J62" s="62" t="e">
        <f t="shared" si="3"/>
        <v>#VALUE!</v>
      </c>
      <c r="K62" s="62">
        <f t="shared" si="4"/>
        <v>32</v>
      </c>
      <c r="L62" s="62" t="str">
        <f>IFERROR(VLOOKUP(MID(G62,J62,K62-J62),[5]skilldef!$C:$D,2,FALSE),"-") &amp; " / " &amp; IFERROR(VLOOKUP(MID(G62,H62,I62-H62),[5]skilldef!$A:$B,2,FALSE),"-")</f>
        <v>- / -</v>
      </c>
      <c r="M62" s="62" t="str">
        <f t="shared" si="5"/>
        <v>[effect:fix_speed, target:myself, turn:2],[effect:tolerance, target:myself, turn:-1, count:-1, tolerance_effect:all, animation:enemy_tolerance],[effect:change_panel_ratio, turn:-1, block_type:heal, val:0.4, animation:block_incidence04]</v>
      </c>
      <c r="N62" s="46" t="str">
        <f t="shared" si="6"/>
        <v>[effect:fix_speed, target:myself, turn:2],[effect:tolerance, target:myself, turn:-1, count:-1, tolerance_effect:all, animation:enemy_tolerance],[effect:change_panel_ratio, turn:-1, block_type:heal, val:0.4, animation:block_incidence04]</v>
      </c>
      <c r="O62" s="62">
        <f t="shared" si="7"/>
        <v>9</v>
      </c>
      <c r="P62" s="62">
        <f t="shared" si="8"/>
        <v>18</v>
      </c>
      <c r="Q62" s="62">
        <f t="shared" si="9"/>
        <v>27</v>
      </c>
      <c r="R62" s="62">
        <f t="shared" si="10"/>
        <v>33</v>
      </c>
      <c r="S62" s="62" t="str">
        <f>IFERROR(VLOOKUP(MID(N62,Q62,R62-Q62),[5]skilldef!$C:$D,2,FALSE),"-") &amp; " / " &amp; IFERROR(VLOOKUP(MID(N62,O62,P62-O62),[5]skilldef!$A:$B,2,FALSE),"-")</f>
        <v>自分自身に / 行動値設定</v>
      </c>
      <c r="T62" s="46" t="str">
        <f t="shared" si="11"/>
        <v>[effect:tolerance, target:myself, turn:-1, count:-1, tolerance_effect:all, animation:enemy_tolerance],[effect:change_panel_ratio, turn:-1, block_type:heal, val:0.4, animation:block_incidence04]</v>
      </c>
      <c r="U62" s="62">
        <f t="shared" si="12"/>
        <v>9</v>
      </c>
      <c r="V62" s="62">
        <f t="shared" si="13"/>
        <v>18</v>
      </c>
      <c r="W62" s="62">
        <f t="shared" si="14"/>
        <v>27</v>
      </c>
      <c r="X62" s="62">
        <f t="shared" si="15"/>
        <v>33</v>
      </c>
      <c r="Y62" s="62" t="str">
        <f>IFERROR(VLOOKUP(MID(T62,W62,X62-W62),[5]skilldef!$C:$D,2,FALSE),"-") &amp; " / " &amp; IFERROR(VLOOKUP(MID(T62,U62,V62-U62),[5]skilldef!$A:$B,2,FALSE),"-")</f>
        <v>自分自身に / 状態異常耐性</v>
      </c>
      <c r="Z62" s="48"/>
      <c r="AA62" s="50"/>
      <c r="AB62" s="48"/>
    </row>
    <row r="63" spans="1:28" ht="21" customHeight="1" x14ac:dyDescent="0.15">
      <c r="A63" s="45">
        <v>58003061</v>
      </c>
      <c r="B63" s="45" t="s">
        <v>405</v>
      </c>
      <c r="C63" s="48">
        <v>3</v>
      </c>
      <c r="D63" s="48" t="s">
        <v>277</v>
      </c>
      <c r="E63" s="49" t="s">
        <v>298</v>
      </c>
      <c r="F63" s="108" t="s">
        <v>395</v>
      </c>
      <c r="G63" s="62" t="str">
        <f t="shared" si="0"/>
        <v>[effect:enemy_message, val1:1.2, val2:2.9]</v>
      </c>
      <c r="H63" s="62">
        <f t="shared" si="1"/>
        <v>9</v>
      </c>
      <c r="I63" s="62">
        <f t="shared" si="2"/>
        <v>22</v>
      </c>
      <c r="J63" s="62" t="e">
        <f t="shared" si="3"/>
        <v>#VALUE!</v>
      </c>
      <c r="K63" s="62">
        <f t="shared" si="4"/>
        <v>32</v>
      </c>
      <c r="L63" s="62" t="str">
        <f>IFERROR(VLOOKUP(MID(G63,J63,K63-J63),[5]skilldef!$C:$D,2,FALSE),"-") &amp; " / " &amp; IFERROR(VLOOKUP(MID(G63,H63,I63-H63),[5]skilldef!$A:$B,2,FALSE),"-")</f>
        <v>- / -</v>
      </c>
      <c r="M63" s="62" t="str">
        <f t="shared" si="5"/>
        <v>[effect:dis_heart, turn:3, animation:enemy_dis_heart],[effect:panel_freeze, target:normal, color:block_heart, count:-1],[effect:rush, count:1, val:1]</v>
      </c>
      <c r="N63" s="46" t="str">
        <f t="shared" si="6"/>
        <v>[effect:dis_heart, turn:3, animation:enemy_dis_heart],[effect:panel_freeze, target:normal, color:block_heart, count:-1],[effect:rush, count:1, val:1]</v>
      </c>
      <c r="O63" s="62">
        <f t="shared" si="7"/>
        <v>9</v>
      </c>
      <c r="P63" s="62">
        <f t="shared" si="8"/>
        <v>18</v>
      </c>
      <c r="Q63" s="62">
        <f t="shared" si="9"/>
        <v>84</v>
      </c>
      <c r="R63" s="62">
        <f t="shared" si="10"/>
        <v>26</v>
      </c>
      <c r="S63" s="62" t="str">
        <f>IFERROR(VLOOKUP(MID(N63,Q63,R63-Q63),[5]skilldef!$C:$D,2,FALSE),"-") &amp; " / " &amp; IFERROR(VLOOKUP(MID(N63,O63,P63-O63),[5]skilldef!$A:$B,2,FALSE),"-")</f>
        <v>- / ディスハート</v>
      </c>
      <c r="T63" s="46" t="str">
        <f t="shared" si="11"/>
        <v>[effect:panel_freeze, target:normal, color:block_heart, count:-1],[effect:rush, count:1, val:1]</v>
      </c>
      <c r="U63" s="62">
        <f t="shared" si="12"/>
        <v>9</v>
      </c>
      <c r="V63" s="62">
        <f t="shared" si="13"/>
        <v>21</v>
      </c>
      <c r="W63" s="62">
        <f t="shared" si="14"/>
        <v>30</v>
      </c>
      <c r="X63" s="62">
        <f t="shared" si="15"/>
        <v>36</v>
      </c>
      <c r="Y63" s="62" t="str">
        <f>IFERROR(VLOOKUP(MID(T63,W63,X63-W63),[5]skilldef!$C:$D,2,FALSE),"-") &amp; " / " &amp; IFERROR(VLOOKUP(MID(T63,U63,V63-U63),[5]skilldef!$A:$B,2,FALSE),"-")</f>
        <v>- / -</v>
      </c>
      <c r="Z63" s="48"/>
      <c r="AA63" s="50"/>
      <c r="AB63" s="48"/>
    </row>
    <row r="64" spans="1:28" ht="21" customHeight="1" x14ac:dyDescent="0.15">
      <c r="A64" s="45">
        <v>58003062</v>
      </c>
      <c r="B64" s="45" t="s">
        <v>425</v>
      </c>
      <c r="C64" s="48">
        <v>3</v>
      </c>
      <c r="D64" s="48" t="s">
        <v>277</v>
      </c>
      <c r="E64" s="49" t="s">
        <v>299</v>
      </c>
      <c r="F64" s="108" t="s">
        <v>426</v>
      </c>
      <c r="G64" s="62" t="str">
        <f t="shared" si="0"/>
        <v>[effect:enemy_message, val1:1.2, val2:2.5]</v>
      </c>
      <c r="H64" s="62">
        <f t="shared" si="1"/>
        <v>9</v>
      </c>
      <c r="I64" s="62">
        <f t="shared" si="2"/>
        <v>22</v>
      </c>
      <c r="J64" s="62" t="e">
        <f t="shared" si="3"/>
        <v>#VALUE!</v>
      </c>
      <c r="K64" s="62">
        <f t="shared" si="4"/>
        <v>32</v>
      </c>
      <c r="L64" s="62" t="str">
        <f>IFERROR(VLOOKUP(MID(G64,J64,K64-J64),[5]skilldef!$C:$D,2,FALSE),"-") &amp; " / " &amp; IFERROR(VLOOKUP(MID(G64,H64,I64-H64),[5]skilldef!$A:$B,2,FALSE),"-")</f>
        <v>- / -</v>
      </c>
      <c r="M64" s="62" t="str">
        <f t="shared" si="5"/>
        <v>[effect:force_change_block, new_block:damage, target:normal, count:8, val:0.06],[effect:rush, count:1, val:1]</v>
      </c>
      <c r="N64" s="46" t="str">
        <f t="shared" si="6"/>
        <v>[effect:force_change_block, new_block:damage, target:normal, count:8, val:0.06],[effect:rush, count:1, val:1]</v>
      </c>
      <c r="O64" s="62">
        <f t="shared" si="7"/>
        <v>9</v>
      </c>
      <c r="P64" s="62">
        <f t="shared" si="8"/>
        <v>27</v>
      </c>
      <c r="Q64" s="62">
        <f t="shared" si="9"/>
        <v>54</v>
      </c>
      <c r="R64" s="62">
        <f t="shared" si="10"/>
        <v>45</v>
      </c>
      <c r="S64" s="62" t="str">
        <f>IFERROR(VLOOKUP(MID(N64,Q64,R64-Q64),[5]skilldef!$C:$D,2,FALSE),"-") &amp; " / " &amp; IFERROR(VLOOKUP(MID(N64,O64,P64-O64),[5]skilldef!$A:$B,2,FALSE),"-")</f>
        <v>- / -</v>
      </c>
      <c r="T64" s="46" t="str">
        <f t="shared" si="11"/>
        <v>[effect:rush, count:1, val:1]</v>
      </c>
      <c r="U64" s="62">
        <f t="shared" si="12"/>
        <v>9</v>
      </c>
      <c r="V64" s="62">
        <f t="shared" si="13"/>
        <v>13</v>
      </c>
      <c r="W64" s="62" t="e">
        <f t="shared" si="14"/>
        <v>#VALUE!</v>
      </c>
      <c r="X64" s="62">
        <f t="shared" si="15"/>
        <v>22</v>
      </c>
      <c r="Y64" s="62" t="str">
        <f>IFERROR(VLOOKUP(MID(T64,W64,X64-W64),[5]skilldef!$C:$D,2,FALSE),"-") &amp; " / " &amp; IFERROR(VLOOKUP(MID(T64,U64,V64-U64),[5]skilldef!$A:$B,2,FALSE),"-")</f>
        <v>- / 連続攻撃</v>
      </c>
      <c r="Z64" s="48"/>
      <c r="AA64" s="50"/>
      <c r="AB64" s="48"/>
    </row>
    <row r="65" spans="1:28" ht="21" customHeight="1" x14ac:dyDescent="0.15">
      <c r="A65" s="45">
        <v>58003063</v>
      </c>
      <c r="B65" s="45" t="s">
        <v>374</v>
      </c>
      <c r="C65" s="48">
        <v>3</v>
      </c>
      <c r="D65" s="48" t="s">
        <v>277</v>
      </c>
      <c r="E65" s="49" t="s">
        <v>300</v>
      </c>
      <c r="F65" s="49" t="s">
        <v>255</v>
      </c>
      <c r="G65" s="62" t="str">
        <f t="shared" si="0"/>
        <v>[effect:enemy_message, val1:1.3, val2:2.1]</v>
      </c>
      <c r="H65" s="62">
        <f t="shared" si="1"/>
        <v>9</v>
      </c>
      <c r="I65" s="62">
        <f t="shared" si="2"/>
        <v>22</v>
      </c>
      <c r="J65" s="62" t="e">
        <f t="shared" si="3"/>
        <v>#VALUE!</v>
      </c>
      <c r="K65" s="62">
        <f t="shared" si="4"/>
        <v>32</v>
      </c>
      <c r="L65" s="62" t="str">
        <f>IFERROR(VLOOKUP(MID(G65,J65,K65-J65),[5]skilldef!$C:$D,2,FALSE),"-") &amp; " / " &amp; IFERROR(VLOOKUP(MID(G65,H65,I65-H65),[5]skilldef!$A:$B,2,FALSE),"-")</f>
        <v>- / -</v>
      </c>
      <c r="M65" s="62" t="str">
        <f t="shared" si="5"/>
        <v>[effect:damage_anti_tribe, target:unit_all, tribe:machine, val1:1, val2:0.3]</v>
      </c>
      <c r="N65" s="46" t="str">
        <f t="shared" si="6"/>
        <v>[effect:damage_anti_tribe, target:unit_all, tribe:machine, val1:1, val2:0.3]</v>
      </c>
      <c r="O65" s="62">
        <f t="shared" si="7"/>
        <v>9</v>
      </c>
      <c r="P65" s="62">
        <f t="shared" si="8"/>
        <v>26</v>
      </c>
      <c r="Q65" s="62">
        <f t="shared" si="9"/>
        <v>35</v>
      </c>
      <c r="R65" s="62">
        <f t="shared" si="10"/>
        <v>43</v>
      </c>
      <c r="S65" s="62" t="str">
        <f>IFERROR(VLOOKUP(MID(N65,Q65,R65-Q65),[5]skilldef!$C:$D,2,FALSE),"-") &amp; " / " &amp; IFERROR(VLOOKUP(MID(N65,O65,P65-O65),[5]skilldef!$A:$B,2,FALSE),"-")</f>
        <v>味方全体に / 種族キラー</v>
      </c>
      <c r="T65" s="46" t="str">
        <f t="shared" si="11"/>
        <v>none</v>
      </c>
      <c r="U65" s="62" t="e">
        <f t="shared" si="12"/>
        <v>#VALUE!</v>
      </c>
      <c r="V65" s="62">
        <f t="shared" si="13"/>
        <v>4</v>
      </c>
      <c r="W65" s="62" t="e">
        <f t="shared" si="14"/>
        <v>#VALUE!</v>
      </c>
      <c r="X65" s="62" t="e">
        <f t="shared" si="15"/>
        <v>#VALUE!</v>
      </c>
      <c r="Y65" s="62" t="str">
        <f>IFERROR(VLOOKUP(MID(T65,W65,X65-W65),[5]skilldef!$C:$D,2,FALSE),"-") &amp; " / " &amp; IFERROR(VLOOKUP(MID(T65,U65,V65-U65),[5]skilldef!$A:$B,2,FALSE),"-")</f>
        <v>- / -</v>
      </c>
      <c r="Z65" s="48"/>
      <c r="AA65" s="50"/>
      <c r="AB65" s="48"/>
    </row>
    <row r="66" spans="1:28" ht="21" customHeight="1" x14ac:dyDescent="0.15">
      <c r="A66" s="45">
        <v>58003064</v>
      </c>
      <c r="B66" s="45" t="s">
        <v>390</v>
      </c>
      <c r="C66" s="48">
        <v>3</v>
      </c>
      <c r="D66" s="48" t="s">
        <v>277</v>
      </c>
      <c r="E66" s="49" t="s">
        <v>301</v>
      </c>
      <c r="F66" s="108" t="s">
        <v>396</v>
      </c>
      <c r="G66" s="62" t="str">
        <f t="shared" si="0"/>
        <v>[effect:enemy_message, val1:1.2, val2:2.1]</v>
      </c>
      <c r="H66" s="62">
        <f t="shared" si="1"/>
        <v>9</v>
      </c>
      <c r="I66" s="62">
        <f t="shared" si="2"/>
        <v>22</v>
      </c>
      <c r="J66" s="62" t="e">
        <f t="shared" si="3"/>
        <v>#VALUE!</v>
      </c>
      <c r="K66" s="62">
        <f t="shared" si="4"/>
        <v>32</v>
      </c>
      <c r="L66" s="62" t="str">
        <f>IFERROR(VLOOKUP(MID(G66,J66,K66-J66),[5]skilldef!$C:$D,2,FALSE),"-") &amp; " / " &amp; IFERROR(VLOOKUP(MID(G66,H66,I66-H66),[5]skilldef!$A:$B,2,FALSE),"-")</f>
        <v>- / -</v>
      </c>
      <c r="M66" s="62" t="str">
        <f t="shared" si="5"/>
        <v>[effect:force_change_block, new_block:jammer, target:block_heart, count:0, val:0],[effect:rush, count:1, val:1]</v>
      </c>
      <c r="N66" s="46" t="str">
        <f t="shared" si="6"/>
        <v>[effect:force_change_block, new_block:jammer, target:block_heart, count:0, val:0],[effect:rush, count:1, val:1]</v>
      </c>
      <c r="O66" s="62">
        <f t="shared" si="7"/>
        <v>9</v>
      </c>
      <c r="P66" s="62">
        <f t="shared" si="8"/>
        <v>27</v>
      </c>
      <c r="Q66" s="62">
        <f t="shared" si="9"/>
        <v>54</v>
      </c>
      <c r="R66" s="62">
        <f t="shared" si="10"/>
        <v>45</v>
      </c>
      <c r="S66" s="62" t="str">
        <f>IFERROR(VLOOKUP(MID(N66,Q66,R66-Q66),[5]skilldef!$C:$D,2,FALSE),"-") &amp; " / " &amp; IFERROR(VLOOKUP(MID(N66,O66,P66-O66),[5]skilldef!$A:$B,2,FALSE),"-")</f>
        <v>- / -</v>
      </c>
      <c r="T66" s="46" t="str">
        <f t="shared" si="11"/>
        <v>[effect:rush, count:1, val:1]</v>
      </c>
      <c r="U66" s="62">
        <f t="shared" si="12"/>
        <v>9</v>
      </c>
      <c r="V66" s="62">
        <f t="shared" si="13"/>
        <v>13</v>
      </c>
      <c r="W66" s="62" t="e">
        <f t="shared" si="14"/>
        <v>#VALUE!</v>
      </c>
      <c r="X66" s="62">
        <f t="shared" si="15"/>
        <v>22</v>
      </c>
      <c r="Y66" s="62" t="str">
        <f>IFERROR(VLOOKUP(MID(T66,W66,X66-W66),[5]skilldef!$C:$D,2,FALSE),"-") &amp; " / " &amp; IFERROR(VLOOKUP(MID(T66,U66,V66-U66),[5]skilldef!$A:$B,2,FALSE),"-")</f>
        <v>- / 連続攻撃</v>
      </c>
      <c r="Z66" s="48"/>
      <c r="AA66" s="50"/>
      <c r="AB66" s="48"/>
    </row>
    <row r="67" spans="1:28" ht="21" customHeight="1" x14ac:dyDescent="0.15">
      <c r="A67" s="45">
        <v>58003065</v>
      </c>
      <c r="B67" s="45" t="s">
        <v>375</v>
      </c>
      <c r="C67" s="48">
        <v>3</v>
      </c>
      <c r="D67" s="48" t="s">
        <v>277</v>
      </c>
      <c r="E67" s="49" t="s">
        <v>302</v>
      </c>
      <c r="F67" s="108" t="s">
        <v>267</v>
      </c>
      <c r="G67" s="62" t="str">
        <f t="shared" si="0"/>
        <v>[effect:enemy_message, val1:1.2, val2:1.5]</v>
      </c>
      <c r="H67" s="62">
        <f t="shared" si="1"/>
        <v>9</v>
      </c>
      <c r="I67" s="62">
        <f t="shared" si="2"/>
        <v>22</v>
      </c>
      <c r="J67" s="62" t="e">
        <f t="shared" si="3"/>
        <v>#VALUE!</v>
      </c>
      <c r="K67" s="62">
        <f t="shared" si="4"/>
        <v>32</v>
      </c>
      <c r="L67" s="62" t="str">
        <f>IFERROR(VLOOKUP(MID(G67,J67,K67-J67),[5]skilldef!$C:$D,2,FALSE),"-") &amp; " / " &amp; IFERROR(VLOOKUP(MID(G67,H67,I67-H67),[5]skilldef!$A:$B,2,FALSE),"-")</f>
        <v>- / -</v>
      </c>
      <c r="M67" s="62" t="str">
        <f t="shared" si="5"/>
        <v>[effect:break_attack, target:unit_all, val:0.1, lowest_val:1000, count:-1, color:yellow, block01:jammer]</v>
      </c>
      <c r="N67" s="46" t="str">
        <f t="shared" si="6"/>
        <v>[effect:break_attack, target:unit_all, val:0.1, lowest_val:1000, count:-1, color:yellow, block01:jammer]</v>
      </c>
      <c r="O67" s="62">
        <f t="shared" si="7"/>
        <v>9</v>
      </c>
      <c r="P67" s="62">
        <f t="shared" si="8"/>
        <v>21</v>
      </c>
      <c r="Q67" s="62">
        <f t="shared" si="9"/>
        <v>30</v>
      </c>
      <c r="R67" s="62">
        <f t="shared" si="10"/>
        <v>38</v>
      </c>
      <c r="S67" s="62" t="str">
        <f>IFERROR(VLOOKUP(MID(N67,Q67,R67-Q67),[5]skilldef!$C:$D,2,FALSE),"-") &amp; " / " &amp; IFERROR(VLOOKUP(MID(N67,O67,P67-O67),[5]skilldef!$A:$B,2,FALSE),"-")</f>
        <v>味方全体に / -</v>
      </c>
      <c r="T67" s="46" t="str">
        <f t="shared" si="11"/>
        <v>none</v>
      </c>
      <c r="U67" s="62" t="e">
        <f t="shared" si="12"/>
        <v>#VALUE!</v>
      </c>
      <c r="V67" s="62">
        <f t="shared" si="13"/>
        <v>4</v>
      </c>
      <c r="W67" s="62" t="e">
        <f t="shared" si="14"/>
        <v>#VALUE!</v>
      </c>
      <c r="X67" s="62" t="e">
        <f t="shared" si="15"/>
        <v>#VALUE!</v>
      </c>
      <c r="Y67" s="62" t="str">
        <f>IFERROR(VLOOKUP(MID(T67,W67,X67-W67),[5]skilldef!$C:$D,2,FALSE),"-") &amp; " / " &amp; IFERROR(VLOOKUP(MID(T67,U67,V67-U67),[5]skilldef!$A:$B,2,FALSE),"-")</f>
        <v>- / -</v>
      </c>
      <c r="Z67" s="48"/>
      <c r="AA67" s="50"/>
      <c r="AB67" s="48"/>
    </row>
    <row r="68" spans="1:28" ht="21" customHeight="1" x14ac:dyDescent="0.15">
      <c r="A68" s="45">
        <v>58003066</v>
      </c>
      <c r="B68" s="45" t="s">
        <v>406</v>
      </c>
      <c r="C68" s="48">
        <v>3</v>
      </c>
      <c r="D68" s="48" t="s">
        <v>303</v>
      </c>
      <c r="E68" s="49" t="s">
        <v>304</v>
      </c>
      <c r="F68" s="108" t="s">
        <v>414</v>
      </c>
      <c r="G68" s="62" t="str">
        <f t="shared" ref="G68:G93" si="16">IFERROR(LEFT(B68,FIND("],",B68)),B68)</f>
        <v>[effect:enemy_message, val1:1.3, val2:4.4]</v>
      </c>
      <c r="H68" s="62">
        <f t="shared" ref="H68:H93" si="17">FIND("effect:",G68)+7</f>
        <v>9</v>
      </c>
      <c r="I68" s="62">
        <f t="shared" ref="I68:I93" si="18">IFERROR(FIND(",",G68),LEN(G68))</f>
        <v>22</v>
      </c>
      <c r="J68" s="62" t="e">
        <f t="shared" ref="J68:J93" si="19">FIND("target:",G68)+7</f>
        <v>#VALUE!</v>
      </c>
      <c r="K68" s="62">
        <f t="shared" ref="K68:K93" si="20">FIND(",",G68,I68+1)</f>
        <v>32</v>
      </c>
      <c r="L68" s="62" t="str">
        <f>IFERROR(VLOOKUP(MID(G68,J68,K68-J68),[5]skilldef!$C:$D,2,FALSE),"-") &amp; " / " &amp; IFERROR(VLOOKUP(MID(G68,H68,I68-H68),[5]skilldef!$A:$B,2,FALSE),"-")</f>
        <v>- / -</v>
      </c>
      <c r="M68" s="62" t="str">
        <f t="shared" ref="M68:M93" si="21">IFERROR(RIGHT(B68,LEN(B68)-FIND("],",B68)-1),"none")</f>
        <v>[effect:damage_anti_tribe, target:unit_one, tribe:samurai, val1:0.3, val2:0.6],[effect:damage_anti_tribe, target:unit_one, tribe:samurai, val1:0.3, val2:0.6],[effect:damage_anti_tribe, target:unit_one, tribe:samurai, val1:0.3, val2:0.6]</v>
      </c>
      <c r="N68" s="46" t="str">
        <f t="shared" ref="N68:N93" si="22">IFERROR(LEFT(M68,FIND("],",M68)+S78),M68)</f>
        <v>[effect:damage_anti_tribe, target:unit_one, tribe:samurai, val1:0.3, val2:0.6],[effect:damage_anti_tribe, target:unit_one, tribe:samurai, val1:0.3, val2:0.6],[effect:damage_anti_tribe, target:unit_one, tribe:samurai, val1:0.3, val2:0.6]</v>
      </c>
      <c r="O68" s="62">
        <f t="shared" ref="O68:O93" si="23">FIND("effect:",N68)+7</f>
        <v>9</v>
      </c>
      <c r="P68" s="62">
        <f t="shared" ref="P68:P93" si="24">IFERROR(FIND(",",N68),LEN(N68))</f>
        <v>26</v>
      </c>
      <c r="Q68" s="62">
        <f t="shared" ref="Q68:Q93" si="25">FIND("target:",N68)+7</f>
        <v>35</v>
      </c>
      <c r="R68" s="62">
        <f t="shared" ref="R68:R93" si="26">FIND(",",N68,P68+1)</f>
        <v>43</v>
      </c>
      <c r="S68" s="62" t="str">
        <f>IFERROR(VLOOKUP(MID(N68,Q68,R68-Q68),[5]skilldef!$C:$D,2,FALSE),"-") &amp; " / " &amp; IFERROR(VLOOKUP(MID(N68,O68,P68-O68),[5]skilldef!$A:$B,2,FALSE),"-")</f>
        <v>味方単体に / 種族キラー</v>
      </c>
      <c r="T68" s="46" t="str">
        <f t="shared" ref="T68:T93" si="27">IFERROR(RIGHT(M68,LEN(M68)-FIND("],",M68)-1),"none")</f>
        <v>[effect:damage_anti_tribe, target:unit_one, tribe:samurai, val1:0.3, val2:0.6],[effect:damage_anti_tribe, target:unit_one, tribe:samurai, val1:0.3, val2:0.6]</v>
      </c>
      <c r="U68" s="62">
        <f t="shared" ref="U68:U93" si="28">FIND("effect:",T68)+7</f>
        <v>9</v>
      </c>
      <c r="V68" s="62">
        <f t="shared" ref="V68:V93" si="29">IFERROR(FIND(",",T68),LEN(T68))</f>
        <v>26</v>
      </c>
      <c r="W68" s="62">
        <f t="shared" ref="W68:W93" si="30">FIND("target:",T68)+7</f>
        <v>35</v>
      </c>
      <c r="X68" s="62">
        <f t="shared" ref="X68:X93" si="31">FIND(",",T68,V68+1)</f>
        <v>43</v>
      </c>
      <c r="Y68" s="62" t="str">
        <f>IFERROR(VLOOKUP(MID(T68,W68,X68-W68),[5]skilldef!$C:$D,2,FALSE),"-") &amp; " / " &amp; IFERROR(VLOOKUP(MID(T68,U68,V68-U68),[5]skilldef!$A:$B,2,FALSE),"-")</f>
        <v>味方単体に / 種族キラー</v>
      </c>
      <c r="Z68" s="48"/>
      <c r="AA68" s="50"/>
      <c r="AB68" s="48"/>
    </row>
    <row r="69" spans="1:28" ht="21" customHeight="1" x14ac:dyDescent="0.15">
      <c r="A69" s="45">
        <v>58003067</v>
      </c>
      <c r="B69" s="45" t="s">
        <v>407</v>
      </c>
      <c r="C69" s="48">
        <v>3</v>
      </c>
      <c r="D69" s="48" t="s">
        <v>303</v>
      </c>
      <c r="E69" s="49" t="s">
        <v>305</v>
      </c>
      <c r="F69" s="108" t="s">
        <v>389</v>
      </c>
      <c r="G69" s="62" t="str">
        <f t="shared" si="16"/>
        <v>[effect:enemy_message, val1:1.4, val2:1.4]</v>
      </c>
      <c r="H69" s="62">
        <f t="shared" si="17"/>
        <v>9</v>
      </c>
      <c r="I69" s="62">
        <f t="shared" si="18"/>
        <v>22</v>
      </c>
      <c r="J69" s="62" t="e">
        <f t="shared" si="19"/>
        <v>#VALUE!</v>
      </c>
      <c r="K69" s="62">
        <f t="shared" si="20"/>
        <v>32</v>
      </c>
      <c r="L69" s="62" t="str">
        <f>IFERROR(VLOOKUP(MID(G69,J69,K69-J69),[5]skilldef!$C:$D,2,FALSE),"-") &amp; " / " &amp; IFERROR(VLOOKUP(MID(G69,H69,I69-H69),[5]skilldef!$A:$B,2,FALSE),"-")</f>
        <v>- / -</v>
      </c>
      <c r="M69" s="62" t="str">
        <f t="shared" si="21"/>
        <v>[effect:enhance_enemy, target:myself, turn:-1, status:attack, val:1.2, calc:mul, animation:enemy_enhance_attack],[effect:rush, count:4, val:0.3]</v>
      </c>
      <c r="N69" s="46" t="str">
        <f t="shared" si="22"/>
        <v>[effect:enhance_enemy, target:myself, turn:-1, status:attack, val:1.2, calc:mul, animation:enemy_enhance_attack],[effect:rush, count:4, val:0.3]</v>
      </c>
      <c r="O69" s="62">
        <f t="shared" si="23"/>
        <v>9</v>
      </c>
      <c r="P69" s="62">
        <f t="shared" si="24"/>
        <v>22</v>
      </c>
      <c r="Q69" s="62">
        <f t="shared" si="25"/>
        <v>31</v>
      </c>
      <c r="R69" s="62">
        <f t="shared" si="26"/>
        <v>37</v>
      </c>
      <c r="S69" s="62" t="str">
        <f>IFERROR(VLOOKUP(MID(N69,Q69,R69-Q69),[5]skilldef!$C:$D,2,FALSE),"-") &amp; " / " &amp; IFERROR(VLOOKUP(MID(N69,O69,P69-O69),[5]skilldef!$A:$B,2,FALSE),"-")</f>
        <v>自分自身に / ステータス強化</v>
      </c>
      <c r="T69" s="46" t="str">
        <f t="shared" si="27"/>
        <v>[effect:rush, count:4, val:0.3]</v>
      </c>
      <c r="U69" s="62">
        <f t="shared" si="28"/>
        <v>9</v>
      </c>
      <c r="V69" s="62">
        <f t="shared" si="29"/>
        <v>13</v>
      </c>
      <c r="W69" s="62" t="e">
        <f t="shared" si="30"/>
        <v>#VALUE!</v>
      </c>
      <c r="X69" s="62">
        <f t="shared" si="31"/>
        <v>22</v>
      </c>
      <c r="Y69" s="62" t="str">
        <f>IFERROR(VLOOKUP(MID(T69,W69,X69-W69),[5]skilldef!$C:$D,2,FALSE),"-") &amp; " / " &amp; IFERROR(VLOOKUP(MID(T69,U69,V69-U69),[5]skilldef!$A:$B,2,FALSE),"-")</f>
        <v>- / 連続攻撃</v>
      </c>
      <c r="Z69" s="48"/>
      <c r="AA69" s="50"/>
      <c r="AB69" s="48"/>
    </row>
    <row r="70" spans="1:28" ht="21" customHeight="1" x14ac:dyDescent="0.15">
      <c r="A70" s="45">
        <v>58003068</v>
      </c>
      <c r="B70" s="45" t="s">
        <v>376</v>
      </c>
      <c r="C70" s="48">
        <v>3</v>
      </c>
      <c r="D70" s="48" t="s">
        <v>303</v>
      </c>
      <c r="E70" s="49" t="s">
        <v>306</v>
      </c>
      <c r="F70" s="49" t="s">
        <v>297</v>
      </c>
      <c r="G70" s="62" t="str">
        <f t="shared" si="16"/>
        <v>[effect:enemy_message, val1:1.6, val2:2.0]</v>
      </c>
      <c r="H70" s="62">
        <f t="shared" si="17"/>
        <v>9</v>
      </c>
      <c r="I70" s="62">
        <f t="shared" si="18"/>
        <v>22</v>
      </c>
      <c r="J70" s="62" t="e">
        <f t="shared" si="19"/>
        <v>#VALUE!</v>
      </c>
      <c r="K70" s="62">
        <f t="shared" si="20"/>
        <v>32</v>
      </c>
      <c r="L70" s="62" t="str">
        <f>IFERROR(VLOOKUP(MID(G70,J70,K70-J70),[5]skilldef!$C:$D,2,FALSE),"-") &amp; " / " &amp; IFERROR(VLOOKUP(MID(G70,H70,I70-H70),[5]skilldef!$A:$B,2,FALSE),"-")</f>
        <v>- / -</v>
      </c>
      <c r="M70" s="62" t="str">
        <f t="shared" si="21"/>
        <v>[effect:fix_speed, target:myself, turn:2],[effect:tolerance, target:myself, turn:-1, count:-1, tolerance_effect:all, animation:enemy_tolerance],[effect:change_panel_ratio, turn:-1, block_type:heal, val:0.4, animation:block_incidence04]</v>
      </c>
      <c r="N70" s="46" t="str">
        <f t="shared" si="22"/>
        <v>[effect:fix_speed, target:myself, turn:2],[effect:tolerance, target:myself, turn:-1, count:-1, tolerance_effect:all, animation:enemy_tolerance],[effect:change_panel_ratio, turn:-1, block_type:heal, val:0.4, animation:block_incidence04]</v>
      </c>
      <c r="O70" s="62">
        <f t="shared" si="23"/>
        <v>9</v>
      </c>
      <c r="P70" s="62">
        <f t="shared" si="24"/>
        <v>18</v>
      </c>
      <c r="Q70" s="62">
        <f t="shared" si="25"/>
        <v>27</v>
      </c>
      <c r="R70" s="62">
        <f t="shared" si="26"/>
        <v>33</v>
      </c>
      <c r="S70" s="62" t="str">
        <f>IFERROR(VLOOKUP(MID(N70,Q70,R70-Q70),[5]skilldef!$C:$D,2,FALSE),"-") &amp; " / " &amp; IFERROR(VLOOKUP(MID(N70,O70,P70-O70),[5]skilldef!$A:$B,2,FALSE),"-")</f>
        <v>自分自身に / 行動値設定</v>
      </c>
      <c r="T70" s="46" t="str">
        <f t="shared" si="27"/>
        <v>[effect:tolerance, target:myself, turn:-1, count:-1, tolerance_effect:all, animation:enemy_tolerance],[effect:change_panel_ratio, turn:-1, block_type:heal, val:0.4, animation:block_incidence04]</v>
      </c>
      <c r="U70" s="62">
        <f t="shared" si="28"/>
        <v>9</v>
      </c>
      <c r="V70" s="62">
        <f t="shared" si="29"/>
        <v>18</v>
      </c>
      <c r="W70" s="62">
        <f t="shared" si="30"/>
        <v>27</v>
      </c>
      <c r="X70" s="62">
        <f t="shared" si="31"/>
        <v>33</v>
      </c>
      <c r="Y70" s="62" t="str">
        <f>IFERROR(VLOOKUP(MID(T70,W70,X70-W70),[5]skilldef!$C:$D,2,FALSE),"-") &amp; " / " &amp; IFERROR(VLOOKUP(MID(T70,U70,V70-U70),[5]skilldef!$A:$B,2,FALSE),"-")</f>
        <v>自分自身に / 状態異常耐性</v>
      </c>
      <c r="Z70" s="48"/>
      <c r="AA70" s="50"/>
      <c r="AB70" s="48"/>
    </row>
    <row r="71" spans="1:28" ht="21" customHeight="1" x14ac:dyDescent="0.15">
      <c r="A71" s="45">
        <v>58003069</v>
      </c>
      <c r="B71" s="45" t="s">
        <v>377</v>
      </c>
      <c r="C71" s="48">
        <v>3</v>
      </c>
      <c r="D71" s="48" t="s">
        <v>303</v>
      </c>
      <c r="E71" s="49" t="s">
        <v>307</v>
      </c>
      <c r="F71" s="49" t="s">
        <v>297</v>
      </c>
      <c r="G71" s="62" t="str">
        <f t="shared" si="16"/>
        <v>[effect:enemy_message, val1:1.3, val2:2.0]</v>
      </c>
      <c r="H71" s="62">
        <f t="shared" si="17"/>
        <v>9</v>
      </c>
      <c r="I71" s="62">
        <f t="shared" si="18"/>
        <v>22</v>
      </c>
      <c r="J71" s="62" t="e">
        <f t="shared" si="19"/>
        <v>#VALUE!</v>
      </c>
      <c r="K71" s="62">
        <f t="shared" si="20"/>
        <v>32</v>
      </c>
      <c r="L71" s="62" t="str">
        <f>IFERROR(VLOOKUP(MID(G71,J71,K71-J71),[5]skilldef!$C:$D,2,FALSE),"-") &amp; " / " &amp; IFERROR(VLOOKUP(MID(G71,H71,I71-H71),[5]skilldef!$A:$B,2,FALSE),"-")</f>
        <v>- / -</v>
      </c>
      <c r="M71" s="62" t="str">
        <f t="shared" si="21"/>
        <v>[effect:fix_speed, target:myself, turn:2],[effect:tolerance, target:myself, turn:-1, count:-1, tolerance_effect:all, animation:enemy_tolerance],[effect:change_panel_ratio, turn:-1, block_type:heal, val:0.4, animation:block_incidence04]</v>
      </c>
      <c r="N71" s="46" t="str">
        <f t="shared" si="22"/>
        <v>[effect:fix_speed, target:myself, turn:2],[effect:tolerance, target:myself, turn:-1, count:-1, tolerance_effect:all, animation:enemy_tolerance],[effect:change_panel_ratio, turn:-1, block_type:heal, val:0.4, animation:block_incidence04]</v>
      </c>
      <c r="O71" s="62">
        <f t="shared" si="23"/>
        <v>9</v>
      </c>
      <c r="P71" s="62">
        <f t="shared" si="24"/>
        <v>18</v>
      </c>
      <c r="Q71" s="62">
        <f t="shared" si="25"/>
        <v>27</v>
      </c>
      <c r="R71" s="62">
        <f t="shared" si="26"/>
        <v>33</v>
      </c>
      <c r="S71" s="62" t="str">
        <f>IFERROR(VLOOKUP(MID(N71,Q71,R71-Q71),[5]skilldef!$C:$D,2,FALSE),"-") &amp; " / " &amp; IFERROR(VLOOKUP(MID(N71,O71,P71-O71),[5]skilldef!$A:$B,2,FALSE),"-")</f>
        <v>自分自身に / 行動値設定</v>
      </c>
      <c r="T71" s="46" t="str">
        <f t="shared" si="27"/>
        <v>[effect:tolerance, target:myself, turn:-1, count:-1, tolerance_effect:all, animation:enemy_tolerance],[effect:change_panel_ratio, turn:-1, block_type:heal, val:0.4, animation:block_incidence04]</v>
      </c>
      <c r="U71" s="62">
        <f t="shared" si="28"/>
        <v>9</v>
      </c>
      <c r="V71" s="62">
        <f t="shared" si="29"/>
        <v>18</v>
      </c>
      <c r="W71" s="62">
        <f t="shared" si="30"/>
        <v>27</v>
      </c>
      <c r="X71" s="62">
        <f t="shared" si="31"/>
        <v>33</v>
      </c>
      <c r="Y71" s="62" t="str">
        <f>IFERROR(VLOOKUP(MID(T71,W71,X71-W71),[5]skilldef!$C:$D,2,FALSE),"-") &amp; " / " &amp; IFERROR(VLOOKUP(MID(T71,U71,V71-U71),[5]skilldef!$A:$B,2,FALSE),"-")</f>
        <v>自分自身に / 状態異常耐性</v>
      </c>
      <c r="Z71" s="48"/>
      <c r="AA71" s="50"/>
      <c r="AB71" s="48"/>
    </row>
    <row r="72" spans="1:28" ht="21" customHeight="1" x14ac:dyDescent="0.15">
      <c r="A72" s="45">
        <v>58003070</v>
      </c>
      <c r="B72" s="45" t="s">
        <v>378</v>
      </c>
      <c r="C72" s="48">
        <v>3</v>
      </c>
      <c r="D72" s="48" t="s">
        <v>303</v>
      </c>
      <c r="E72" s="49" t="s">
        <v>308</v>
      </c>
      <c r="F72" s="49" t="s">
        <v>297</v>
      </c>
      <c r="G72" s="62" t="str">
        <f t="shared" si="16"/>
        <v>[effect:enemy_message, val1:1.4, val2:2.0]</v>
      </c>
      <c r="H72" s="62">
        <f t="shared" si="17"/>
        <v>9</v>
      </c>
      <c r="I72" s="62">
        <f t="shared" si="18"/>
        <v>22</v>
      </c>
      <c r="J72" s="62" t="e">
        <f t="shared" si="19"/>
        <v>#VALUE!</v>
      </c>
      <c r="K72" s="62">
        <f t="shared" si="20"/>
        <v>32</v>
      </c>
      <c r="L72" s="62" t="str">
        <f>IFERROR(VLOOKUP(MID(G72,J72,K72-J72),[5]skilldef!$C:$D,2,FALSE),"-") &amp; " / " &amp; IFERROR(VLOOKUP(MID(G72,H72,I72-H72),[5]skilldef!$A:$B,2,FALSE),"-")</f>
        <v>- / -</v>
      </c>
      <c r="M72" s="62" t="str">
        <f t="shared" si="21"/>
        <v>[effect:fix_speed, target:myself, turn:1],[effect:tolerance, target:myself, turn:-1, count:-1, tolerance_effect:all, animation:enemy_tolerance],[effect:change_panel_ratio, turn:-1, block_type:heal, val:0.5, animation:block_incidence04]</v>
      </c>
      <c r="N72" s="46" t="str">
        <f t="shared" si="22"/>
        <v>[effect:fix_speed, target:myself, turn:1],[effect:tolerance, target:myself, turn:-1, count:-1, tolerance_effect:all, animation:enemy_tolerance],[effect:change_panel_ratio, turn:-1, block_type:heal, val:0.5, animation:block_incidence04]</v>
      </c>
      <c r="O72" s="62">
        <f t="shared" si="23"/>
        <v>9</v>
      </c>
      <c r="P72" s="62">
        <f t="shared" si="24"/>
        <v>18</v>
      </c>
      <c r="Q72" s="62">
        <f t="shared" si="25"/>
        <v>27</v>
      </c>
      <c r="R72" s="62">
        <f t="shared" si="26"/>
        <v>33</v>
      </c>
      <c r="S72" s="62" t="str">
        <f>IFERROR(VLOOKUP(MID(N72,Q72,R72-Q72),[5]skilldef!$C:$D,2,FALSE),"-") &amp; " / " &amp; IFERROR(VLOOKUP(MID(N72,O72,P72-O72),[5]skilldef!$A:$B,2,FALSE),"-")</f>
        <v>自分自身に / 行動値設定</v>
      </c>
      <c r="T72" s="46" t="str">
        <f t="shared" si="27"/>
        <v>[effect:tolerance, target:myself, turn:-1, count:-1, tolerance_effect:all, animation:enemy_tolerance],[effect:change_panel_ratio, turn:-1, block_type:heal, val:0.5, animation:block_incidence04]</v>
      </c>
      <c r="U72" s="62">
        <f t="shared" si="28"/>
        <v>9</v>
      </c>
      <c r="V72" s="62">
        <f t="shared" si="29"/>
        <v>18</v>
      </c>
      <c r="W72" s="62">
        <f t="shared" si="30"/>
        <v>27</v>
      </c>
      <c r="X72" s="62">
        <f t="shared" si="31"/>
        <v>33</v>
      </c>
      <c r="Y72" s="62" t="str">
        <f>IFERROR(VLOOKUP(MID(T72,W72,X72-W72),[5]skilldef!$C:$D,2,FALSE),"-") &amp; " / " &amp; IFERROR(VLOOKUP(MID(T72,U72,V72-U72),[5]skilldef!$A:$B,2,FALSE),"-")</f>
        <v>自分自身に / 状態異常耐性</v>
      </c>
      <c r="Z72" s="48"/>
      <c r="AA72" s="50"/>
      <c r="AB72" s="48"/>
    </row>
    <row r="73" spans="1:28" ht="21" customHeight="1" x14ac:dyDescent="0.15">
      <c r="A73" s="45">
        <v>58003071</v>
      </c>
      <c r="B73" s="45" t="s">
        <v>408</v>
      </c>
      <c r="C73" s="48">
        <v>3</v>
      </c>
      <c r="D73" s="48" t="s">
        <v>303</v>
      </c>
      <c r="E73" s="49" t="s">
        <v>309</v>
      </c>
      <c r="F73" s="108" t="s">
        <v>397</v>
      </c>
      <c r="G73" s="62" t="str">
        <f t="shared" si="16"/>
        <v>[effect:enemy_message, val1:1.2, val2:3.7]</v>
      </c>
      <c r="H73" s="62">
        <f t="shared" si="17"/>
        <v>9</v>
      </c>
      <c r="I73" s="62">
        <f t="shared" si="18"/>
        <v>22</v>
      </c>
      <c r="J73" s="62" t="e">
        <f t="shared" si="19"/>
        <v>#VALUE!</v>
      </c>
      <c r="K73" s="62">
        <f t="shared" si="20"/>
        <v>32</v>
      </c>
      <c r="L73" s="62" t="str">
        <f>IFERROR(VLOOKUP(MID(G73,J73,K73-J73),[5]skilldef!$C:$D,2,FALSE),"-") &amp; " / " &amp; IFERROR(VLOOKUP(MID(G73,H73,I73-H73),[5]skilldef!$A:$B,2,FALSE),"-")</f>
        <v>- / -</v>
      </c>
      <c r="M73" s="62" t="str">
        <f t="shared" si="21"/>
        <v>[effect:degrade_unit, target:unit_all, turn:3, status:heal, val:0.6, calc:mul, animation:degrade_unit_all_heal],[effect:panel_freeze, target:normal, color:block_heart, count:-1],[effect:rush, count:1, val:1]</v>
      </c>
      <c r="N73" s="46" t="str">
        <f t="shared" si="22"/>
        <v>[effect:degrade_unit, target:unit_all, turn:3, status:heal, val:0.6, calc:mul, animation:degrade_unit_all_heal],[effect:panel_freeze, target:normal, color:block_heart, count:-1],[effect:rush, count:1, val:1]</v>
      </c>
      <c r="O73" s="62">
        <f t="shared" si="23"/>
        <v>9</v>
      </c>
      <c r="P73" s="62">
        <f t="shared" si="24"/>
        <v>21</v>
      </c>
      <c r="Q73" s="62">
        <f t="shared" si="25"/>
        <v>30</v>
      </c>
      <c r="R73" s="62">
        <f t="shared" si="26"/>
        <v>38</v>
      </c>
      <c r="S73" s="62" t="str">
        <f>IFERROR(VLOOKUP(MID(N73,Q73,R73-Q73),[5]skilldef!$C:$D,2,FALSE),"-") &amp; " / " &amp; IFERROR(VLOOKUP(MID(N73,O73,P73-O73),[5]skilldef!$A:$B,2,FALSE),"-")</f>
        <v>味方全体に / ステータスDOWN</v>
      </c>
      <c r="T73" s="46" t="str">
        <f t="shared" si="27"/>
        <v>[effect:panel_freeze, target:normal, color:block_heart, count:-1],[effect:rush, count:1, val:1]</v>
      </c>
      <c r="U73" s="62">
        <f t="shared" si="28"/>
        <v>9</v>
      </c>
      <c r="V73" s="62">
        <f t="shared" si="29"/>
        <v>21</v>
      </c>
      <c r="W73" s="62">
        <f t="shared" si="30"/>
        <v>30</v>
      </c>
      <c r="X73" s="62">
        <f t="shared" si="31"/>
        <v>36</v>
      </c>
      <c r="Y73" s="62" t="str">
        <f>IFERROR(VLOOKUP(MID(T73,W73,X73-W73),[5]skilldef!$C:$D,2,FALSE),"-") &amp; " / " &amp; IFERROR(VLOOKUP(MID(T73,U73,V73-U73),[5]skilldef!$A:$B,2,FALSE),"-")</f>
        <v>- / -</v>
      </c>
      <c r="Z73" s="48"/>
      <c r="AA73" s="50"/>
      <c r="AB73" s="48"/>
    </row>
    <row r="74" spans="1:28" ht="21" customHeight="1" x14ac:dyDescent="0.15">
      <c r="A74" s="45">
        <v>58003072</v>
      </c>
      <c r="B74" s="45" t="s">
        <v>427</v>
      </c>
      <c r="C74" s="48">
        <v>3</v>
      </c>
      <c r="D74" s="48" t="s">
        <v>310</v>
      </c>
      <c r="E74" s="49" t="s">
        <v>311</v>
      </c>
      <c r="F74" s="108" t="s">
        <v>428</v>
      </c>
      <c r="G74" s="62" t="str">
        <f t="shared" si="16"/>
        <v>[effect:enemy_message, val1:1.2, val2:2.5]</v>
      </c>
      <c r="H74" s="62">
        <f t="shared" si="17"/>
        <v>9</v>
      </c>
      <c r="I74" s="62">
        <f t="shared" si="18"/>
        <v>22</v>
      </c>
      <c r="J74" s="62" t="e">
        <f t="shared" si="19"/>
        <v>#VALUE!</v>
      </c>
      <c r="K74" s="62">
        <f t="shared" si="20"/>
        <v>32</v>
      </c>
      <c r="L74" s="62" t="str">
        <f>IFERROR(VLOOKUP(MID(G74,J74,K74-J74),[5]skilldef!$C:$D,2,FALSE),"-") &amp; " / " &amp; IFERROR(VLOOKUP(MID(G74,H74,I74-H74),[5]skilldef!$A:$B,2,FALSE),"-")</f>
        <v>- / -</v>
      </c>
      <c r="M74" s="62" t="str">
        <f t="shared" si="21"/>
        <v>[effect:force_change_block, new_block:damage, target:normal, count:8, val:0.06],[effect:rush, count:1, val:1]</v>
      </c>
      <c r="N74" s="46" t="str">
        <f t="shared" si="22"/>
        <v>[effect:force_change_block, new_block:damage, target:normal, count:8, val:0.06],[effect:rush, count:1, val:1]</v>
      </c>
      <c r="O74" s="62">
        <f t="shared" si="23"/>
        <v>9</v>
      </c>
      <c r="P74" s="62">
        <f t="shared" si="24"/>
        <v>27</v>
      </c>
      <c r="Q74" s="62">
        <f t="shared" si="25"/>
        <v>54</v>
      </c>
      <c r="R74" s="62">
        <f t="shared" si="26"/>
        <v>45</v>
      </c>
      <c r="S74" s="62" t="str">
        <f>IFERROR(VLOOKUP(MID(N74,Q74,R74-Q74),[5]skilldef!$C:$D,2,FALSE),"-") &amp; " / " &amp; IFERROR(VLOOKUP(MID(N74,O74,P74-O74),[5]skilldef!$A:$B,2,FALSE),"-")</f>
        <v>- / -</v>
      </c>
      <c r="T74" s="46" t="str">
        <f t="shared" si="27"/>
        <v>[effect:rush, count:1, val:1]</v>
      </c>
      <c r="U74" s="62">
        <f t="shared" si="28"/>
        <v>9</v>
      </c>
      <c r="V74" s="62">
        <f t="shared" si="29"/>
        <v>13</v>
      </c>
      <c r="W74" s="62" t="e">
        <f t="shared" si="30"/>
        <v>#VALUE!</v>
      </c>
      <c r="X74" s="62">
        <f t="shared" si="31"/>
        <v>22</v>
      </c>
      <c r="Y74" s="62" t="str">
        <f>IFERROR(VLOOKUP(MID(T74,W74,X74-W74),[5]skilldef!$C:$D,2,FALSE),"-") &amp; " / " &amp; IFERROR(VLOOKUP(MID(T74,U74,V74-U74),[5]skilldef!$A:$B,2,FALSE),"-")</f>
        <v>- / 連続攻撃</v>
      </c>
      <c r="Z74" s="48"/>
      <c r="AA74" s="50"/>
      <c r="AB74" s="48"/>
    </row>
    <row r="75" spans="1:28" ht="21" customHeight="1" x14ac:dyDescent="0.15">
      <c r="A75" s="45">
        <v>58003073</v>
      </c>
      <c r="B75" s="45" t="s">
        <v>391</v>
      </c>
      <c r="C75" s="48">
        <v>3</v>
      </c>
      <c r="D75" s="48" t="s">
        <v>310</v>
      </c>
      <c r="E75" s="49" t="s">
        <v>312</v>
      </c>
      <c r="F75" s="108" t="s">
        <v>313</v>
      </c>
      <c r="G75" s="62" t="str">
        <f t="shared" si="16"/>
        <v>[effect:enemy_message, val1:1.2, val2:1.6]</v>
      </c>
      <c r="H75" s="62">
        <f t="shared" si="17"/>
        <v>9</v>
      </c>
      <c r="I75" s="62">
        <f t="shared" si="18"/>
        <v>22</v>
      </c>
      <c r="J75" s="62" t="e">
        <f t="shared" si="19"/>
        <v>#VALUE!</v>
      </c>
      <c r="K75" s="62">
        <f t="shared" si="20"/>
        <v>32</v>
      </c>
      <c r="L75" s="62" t="str">
        <f>IFERROR(VLOOKUP(MID(G75,J75,K75-J75),[5]skilldef!$C:$D,2,FALSE),"-") &amp; " / " &amp; IFERROR(VLOOKUP(MID(G75,H75,I75-H75),[5]skilldef!$A:$B,2,FALSE),"-")</f>
        <v>- / -</v>
      </c>
      <c r="M75" s="62" t="str">
        <f t="shared" si="21"/>
        <v>[effect:force_change_block, new_block:jammer, target:block_heart, count:0, val:0]</v>
      </c>
      <c r="N75" s="46" t="str">
        <f t="shared" si="22"/>
        <v>[effect:force_change_block, new_block:jammer, target:block_heart, count:0, val:0]</v>
      </c>
      <c r="O75" s="62">
        <f t="shared" si="23"/>
        <v>9</v>
      </c>
      <c r="P75" s="62">
        <f t="shared" si="24"/>
        <v>27</v>
      </c>
      <c r="Q75" s="62">
        <f t="shared" si="25"/>
        <v>54</v>
      </c>
      <c r="R75" s="62">
        <f t="shared" si="26"/>
        <v>45</v>
      </c>
      <c r="S75" s="62" t="str">
        <f>IFERROR(VLOOKUP(MID(N75,Q75,R75-Q75),[5]skilldef!$C:$D,2,FALSE),"-") &amp; " / " &amp; IFERROR(VLOOKUP(MID(N75,O75,P75-O75),[5]skilldef!$A:$B,2,FALSE),"-")</f>
        <v>- / -</v>
      </c>
      <c r="T75" s="46" t="str">
        <f t="shared" si="27"/>
        <v>none</v>
      </c>
      <c r="U75" s="62" t="e">
        <f t="shared" si="28"/>
        <v>#VALUE!</v>
      </c>
      <c r="V75" s="62">
        <f t="shared" si="29"/>
        <v>4</v>
      </c>
      <c r="W75" s="62" t="e">
        <f t="shared" si="30"/>
        <v>#VALUE!</v>
      </c>
      <c r="X75" s="62" t="e">
        <f t="shared" si="31"/>
        <v>#VALUE!</v>
      </c>
      <c r="Y75" s="62" t="str">
        <f>IFERROR(VLOOKUP(MID(T75,W75,X75-W75),[5]skilldef!$C:$D,2,FALSE),"-") &amp; " / " &amp; IFERROR(VLOOKUP(MID(T75,U75,V75-U75),[5]skilldef!$A:$B,2,FALSE),"-")</f>
        <v>- / -</v>
      </c>
      <c r="Z75" s="48"/>
      <c r="AA75" s="50"/>
      <c r="AB75" s="48"/>
    </row>
    <row r="76" spans="1:28" ht="21" customHeight="1" x14ac:dyDescent="0.15">
      <c r="A76" s="45">
        <v>58003074</v>
      </c>
      <c r="B76" s="45" t="s">
        <v>375</v>
      </c>
      <c r="C76" s="48">
        <v>3</v>
      </c>
      <c r="D76" s="48" t="s">
        <v>310</v>
      </c>
      <c r="E76" s="49" t="s">
        <v>314</v>
      </c>
      <c r="F76" s="108" t="s">
        <v>267</v>
      </c>
      <c r="G76" s="62" t="str">
        <f t="shared" si="16"/>
        <v>[effect:enemy_message, val1:1.2, val2:1.5]</v>
      </c>
      <c r="H76" s="62">
        <f t="shared" si="17"/>
        <v>9</v>
      </c>
      <c r="I76" s="62">
        <f t="shared" si="18"/>
        <v>22</v>
      </c>
      <c r="J76" s="62" t="e">
        <f t="shared" si="19"/>
        <v>#VALUE!</v>
      </c>
      <c r="K76" s="62">
        <f t="shared" si="20"/>
        <v>32</v>
      </c>
      <c r="L76" s="62" t="str">
        <f>IFERROR(VLOOKUP(MID(G76,J76,K76-J76),[5]skilldef!$C:$D,2,FALSE),"-") &amp; " / " &amp; IFERROR(VLOOKUP(MID(G76,H76,I76-H76),[5]skilldef!$A:$B,2,FALSE),"-")</f>
        <v>- / -</v>
      </c>
      <c r="M76" s="62" t="str">
        <f t="shared" si="21"/>
        <v>[effect:break_attack, target:unit_all, val:0.1, lowest_val:1000, count:-1, color:yellow, block01:jammer]</v>
      </c>
      <c r="N76" s="46" t="str">
        <f t="shared" si="22"/>
        <v>[effect:break_attack, target:unit_all, val:0.1, lowest_val:1000, count:-1, color:yellow, block01:jammer]</v>
      </c>
      <c r="O76" s="62">
        <f t="shared" si="23"/>
        <v>9</v>
      </c>
      <c r="P76" s="62">
        <f t="shared" si="24"/>
        <v>21</v>
      </c>
      <c r="Q76" s="62">
        <f t="shared" si="25"/>
        <v>30</v>
      </c>
      <c r="R76" s="62">
        <f t="shared" si="26"/>
        <v>38</v>
      </c>
      <c r="S76" s="62" t="str">
        <f>IFERROR(VLOOKUP(MID(N76,Q76,R76-Q76),[5]skilldef!$C:$D,2,FALSE),"-") &amp; " / " &amp; IFERROR(VLOOKUP(MID(N76,O76,P76-O76),[5]skilldef!$A:$B,2,FALSE),"-")</f>
        <v>味方全体に / -</v>
      </c>
      <c r="T76" s="46" t="str">
        <f t="shared" si="27"/>
        <v>none</v>
      </c>
      <c r="U76" s="62" t="e">
        <f t="shared" si="28"/>
        <v>#VALUE!</v>
      </c>
      <c r="V76" s="62">
        <f t="shared" si="29"/>
        <v>4</v>
      </c>
      <c r="W76" s="62" t="e">
        <f t="shared" si="30"/>
        <v>#VALUE!</v>
      </c>
      <c r="X76" s="62" t="e">
        <f t="shared" si="31"/>
        <v>#VALUE!</v>
      </c>
      <c r="Y76" s="62" t="str">
        <f>IFERROR(VLOOKUP(MID(T76,W76,X76-W76),[5]skilldef!$C:$D,2,FALSE),"-") &amp; " / " &amp; IFERROR(VLOOKUP(MID(T76,U76,V76-U76),[5]skilldef!$A:$B,2,FALSE),"-")</f>
        <v>- / -</v>
      </c>
      <c r="Z76" s="48"/>
      <c r="AA76" s="50"/>
      <c r="AB76" s="48"/>
    </row>
    <row r="77" spans="1:28" ht="21" customHeight="1" x14ac:dyDescent="0.15">
      <c r="A77" s="45">
        <v>58003075</v>
      </c>
      <c r="B77" s="45" t="s">
        <v>360</v>
      </c>
      <c r="C77" s="48">
        <v>3</v>
      </c>
      <c r="D77" s="48" t="s">
        <v>310</v>
      </c>
      <c r="E77" s="49" t="s">
        <v>315</v>
      </c>
      <c r="F77" s="49" t="s">
        <v>257</v>
      </c>
      <c r="G77" s="62" t="str">
        <f t="shared" si="16"/>
        <v>[effect:enemy_message, val1:1.2, val2:1.2]</v>
      </c>
      <c r="H77" s="62">
        <f t="shared" si="17"/>
        <v>9</v>
      </c>
      <c r="I77" s="62">
        <f t="shared" si="18"/>
        <v>22</v>
      </c>
      <c r="J77" s="62" t="e">
        <f t="shared" si="19"/>
        <v>#VALUE!</v>
      </c>
      <c r="K77" s="62">
        <f t="shared" si="20"/>
        <v>32</v>
      </c>
      <c r="L77" s="62" t="str">
        <f>IFERROR(VLOOKUP(MID(G77,J77,K77-J77),[5]skilldef!$C:$D,2,FALSE),"-") &amp; " / " &amp; IFERROR(VLOOKUP(MID(G77,H77,I77-H77),[5]skilldef!$A:$B,2,FALSE),"-")</f>
        <v>- / -</v>
      </c>
      <c r="M77" s="62" t="str">
        <f t="shared" si="21"/>
        <v>none</v>
      </c>
      <c r="N77" s="46" t="str">
        <f t="shared" si="22"/>
        <v>none</v>
      </c>
      <c r="O77" s="62" t="e">
        <f t="shared" si="23"/>
        <v>#VALUE!</v>
      </c>
      <c r="P77" s="62">
        <f t="shared" si="24"/>
        <v>4</v>
      </c>
      <c r="Q77" s="62" t="e">
        <f t="shared" si="25"/>
        <v>#VALUE!</v>
      </c>
      <c r="R77" s="62" t="e">
        <f t="shared" si="26"/>
        <v>#VALUE!</v>
      </c>
      <c r="S77" s="62" t="str">
        <f>IFERROR(VLOOKUP(MID(N77,Q77,R77-Q77),[5]skilldef!$C:$D,2,FALSE),"-") &amp; " / " &amp; IFERROR(VLOOKUP(MID(N77,O77,P77-O77),[5]skilldef!$A:$B,2,FALSE),"-")</f>
        <v>- / -</v>
      </c>
      <c r="T77" s="46" t="str">
        <f t="shared" si="27"/>
        <v>none</v>
      </c>
      <c r="U77" s="62" t="e">
        <f t="shared" si="28"/>
        <v>#VALUE!</v>
      </c>
      <c r="V77" s="62">
        <f t="shared" si="29"/>
        <v>4</v>
      </c>
      <c r="W77" s="62" t="e">
        <f t="shared" si="30"/>
        <v>#VALUE!</v>
      </c>
      <c r="X77" s="62" t="e">
        <f t="shared" si="31"/>
        <v>#VALUE!</v>
      </c>
      <c r="Y77" s="62" t="str">
        <f>IFERROR(VLOOKUP(MID(T77,W77,X77-W77),[5]skilldef!$C:$D,2,FALSE),"-") &amp; " / " &amp; IFERROR(VLOOKUP(MID(T77,U77,V77-U77),[5]skilldef!$A:$B,2,FALSE),"-")</f>
        <v>- / -</v>
      </c>
      <c r="Z77" s="48"/>
      <c r="AA77" s="50"/>
      <c r="AB77" s="48"/>
    </row>
    <row r="78" spans="1:28" ht="21" customHeight="1" x14ac:dyDescent="0.15">
      <c r="A78" s="45">
        <v>58003076</v>
      </c>
      <c r="B78" s="45" t="s">
        <v>360</v>
      </c>
      <c r="C78" s="48">
        <v>3</v>
      </c>
      <c r="D78" s="48" t="s">
        <v>310</v>
      </c>
      <c r="E78" s="49" t="s">
        <v>315</v>
      </c>
      <c r="F78" s="49" t="s">
        <v>257</v>
      </c>
      <c r="G78" s="62" t="str">
        <f t="shared" si="16"/>
        <v>[effect:enemy_message, val1:1.2, val2:1.2]</v>
      </c>
      <c r="H78" s="62">
        <f t="shared" si="17"/>
        <v>9</v>
      </c>
      <c r="I78" s="62">
        <f t="shared" si="18"/>
        <v>22</v>
      </c>
      <c r="J78" s="62" t="e">
        <f t="shared" si="19"/>
        <v>#VALUE!</v>
      </c>
      <c r="K78" s="62">
        <f t="shared" si="20"/>
        <v>32</v>
      </c>
      <c r="L78" s="62" t="str">
        <f>IFERROR(VLOOKUP(MID(G78,J78,K78-J78),[5]skilldef!$C:$D,2,FALSE),"-") &amp; " / " &amp; IFERROR(VLOOKUP(MID(G78,H78,I78-H78),[5]skilldef!$A:$B,2,FALSE),"-")</f>
        <v>- / -</v>
      </c>
      <c r="M78" s="62" t="str">
        <f t="shared" si="21"/>
        <v>none</v>
      </c>
      <c r="N78" s="46" t="str">
        <f t="shared" si="22"/>
        <v>none</v>
      </c>
      <c r="O78" s="62" t="e">
        <f t="shared" si="23"/>
        <v>#VALUE!</v>
      </c>
      <c r="P78" s="62">
        <f t="shared" si="24"/>
        <v>4</v>
      </c>
      <c r="Q78" s="62" t="e">
        <f t="shared" si="25"/>
        <v>#VALUE!</v>
      </c>
      <c r="R78" s="62" t="e">
        <f t="shared" si="26"/>
        <v>#VALUE!</v>
      </c>
      <c r="S78" s="62" t="str">
        <f>IFERROR(VLOOKUP(MID(N78,Q78,R78-Q78),[5]skilldef!$C:$D,2,FALSE),"-") &amp; " / " &amp; IFERROR(VLOOKUP(MID(N78,O78,P78-O78),[5]skilldef!$A:$B,2,FALSE),"-")</f>
        <v>- / -</v>
      </c>
      <c r="T78" s="46" t="str">
        <f t="shared" si="27"/>
        <v>none</v>
      </c>
      <c r="U78" s="62" t="e">
        <f t="shared" si="28"/>
        <v>#VALUE!</v>
      </c>
      <c r="V78" s="62">
        <f t="shared" si="29"/>
        <v>4</v>
      </c>
      <c r="W78" s="62" t="e">
        <f t="shared" si="30"/>
        <v>#VALUE!</v>
      </c>
      <c r="X78" s="62" t="e">
        <f t="shared" si="31"/>
        <v>#VALUE!</v>
      </c>
      <c r="Y78" s="62" t="str">
        <f>IFERROR(VLOOKUP(MID(T78,W78,X78-W78),[5]skilldef!$C:$D,2,FALSE),"-") &amp; " / " &amp; IFERROR(VLOOKUP(MID(T78,U78,V78-U78),[5]skilldef!$A:$B,2,FALSE),"-")</f>
        <v>- / -</v>
      </c>
      <c r="Z78" s="48"/>
      <c r="AA78" s="50"/>
      <c r="AB78" s="48"/>
    </row>
    <row r="79" spans="1:28" ht="21" customHeight="1" x14ac:dyDescent="0.15">
      <c r="A79" s="45">
        <v>58003077</v>
      </c>
      <c r="B79" s="45" t="s">
        <v>360</v>
      </c>
      <c r="C79" s="48">
        <v>3</v>
      </c>
      <c r="D79" s="48" t="s">
        <v>310</v>
      </c>
      <c r="E79" s="49" t="s">
        <v>315</v>
      </c>
      <c r="F79" s="49" t="s">
        <v>257</v>
      </c>
      <c r="G79" s="62" t="str">
        <f t="shared" si="16"/>
        <v>[effect:enemy_message, val1:1.2, val2:1.2]</v>
      </c>
      <c r="H79" s="62">
        <f t="shared" si="17"/>
        <v>9</v>
      </c>
      <c r="I79" s="62">
        <f t="shared" si="18"/>
        <v>22</v>
      </c>
      <c r="J79" s="62" t="e">
        <f t="shared" si="19"/>
        <v>#VALUE!</v>
      </c>
      <c r="K79" s="62">
        <f t="shared" si="20"/>
        <v>32</v>
      </c>
      <c r="L79" s="62" t="str">
        <f>IFERROR(VLOOKUP(MID(G79,J79,K79-J79),[5]skilldef!$C:$D,2,FALSE),"-") &amp; " / " &amp; IFERROR(VLOOKUP(MID(G79,H79,I79-H79),[5]skilldef!$A:$B,2,FALSE),"-")</f>
        <v>- / -</v>
      </c>
      <c r="M79" s="62" t="str">
        <f t="shared" si="21"/>
        <v>none</v>
      </c>
      <c r="N79" s="46" t="str">
        <f t="shared" si="22"/>
        <v>none</v>
      </c>
      <c r="O79" s="62" t="e">
        <f t="shared" si="23"/>
        <v>#VALUE!</v>
      </c>
      <c r="P79" s="62">
        <f t="shared" si="24"/>
        <v>4</v>
      </c>
      <c r="Q79" s="62" t="e">
        <f t="shared" si="25"/>
        <v>#VALUE!</v>
      </c>
      <c r="R79" s="62" t="e">
        <f t="shared" si="26"/>
        <v>#VALUE!</v>
      </c>
      <c r="S79" s="62" t="str">
        <f>IFERROR(VLOOKUP(MID(N79,Q79,R79-Q79),[5]skilldef!$C:$D,2,FALSE),"-") &amp; " / " &amp; IFERROR(VLOOKUP(MID(N79,O79,P79-O79),[5]skilldef!$A:$B,2,FALSE),"-")</f>
        <v>- / -</v>
      </c>
      <c r="T79" s="46" t="str">
        <f t="shared" si="27"/>
        <v>none</v>
      </c>
      <c r="U79" s="62" t="e">
        <f t="shared" si="28"/>
        <v>#VALUE!</v>
      </c>
      <c r="V79" s="62">
        <f t="shared" si="29"/>
        <v>4</v>
      </c>
      <c r="W79" s="62" t="e">
        <f t="shared" si="30"/>
        <v>#VALUE!</v>
      </c>
      <c r="X79" s="62" t="e">
        <f t="shared" si="31"/>
        <v>#VALUE!</v>
      </c>
      <c r="Y79" s="62" t="str">
        <f>IFERROR(VLOOKUP(MID(T79,W79,X79-W79),[5]skilldef!$C:$D,2,FALSE),"-") &amp; " / " &amp; IFERROR(VLOOKUP(MID(T79,U79,V79-U79),[5]skilldef!$A:$B,2,FALSE),"-")</f>
        <v>- / -</v>
      </c>
      <c r="Z79" s="48"/>
      <c r="AA79" s="50"/>
      <c r="AB79" s="48"/>
    </row>
    <row r="80" spans="1:28" ht="21" customHeight="1" x14ac:dyDescent="0.15">
      <c r="A80" s="45">
        <v>58003078</v>
      </c>
      <c r="B80" s="45" t="s">
        <v>360</v>
      </c>
      <c r="C80" s="48">
        <v>3</v>
      </c>
      <c r="D80" s="48" t="s">
        <v>310</v>
      </c>
      <c r="E80" s="49" t="s">
        <v>315</v>
      </c>
      <c r="F80" s="49" t="s">
        <v>257</v>
      </c>
      <c r="G80" s="62" t="str">
        <f t="shared" si="16"/>
        <v>[effect:enemy_message, val1:1.2, val2:1.2]</v>
      </c>
      <c r="H80" s="62">
        <f t="shared" si="17"/>
        <v>9</v>
      </c>
      <c r="I80" s="62">
        <f t="shared" si="18"/>
        <v>22</v>
      </c>
      <c r="J80" s="62" t="e">
        <f t="shared" si="19"/>
        <v>#VALUE!</v>
      </c>
      <c r="K80" s="62">
        <f t="shared" si="20"/>
        <v>32</v>
      </c>
      <c r="L80" s="62" t="str">
        <f>IFERROR(VLOOKUP(MID(G80,J80,K80-J80),[5]skilldef!$C:$D,2,FALSE),"-") &amp; " / " &amp; IFERROR(VLOOKUP(MID(G80,H80,I80-H80),[5]skilldef!$A:$B,2,FALSE),"-")</f>
        <v>- / -</v>
      </c>
      <c r="M80" s="62" t="str">
        <f t="shared" si="21"/>
        <v>none</v>
      </c>
      <c r="N80" s="46" t="str">
        <f t="shared" si="22"/>
        <v>none</v>
      </c>
      <c r="O80" s="62" t="e">
        <f t="shared" si="23"/>
        <v>#VALUE!</v>
      </c>
      <c r="P80" s="62">
        <f t="shared" si="24"/>
        <v>4</v>
      </c>
      <c r="Q80" s="62" t="e">
        <f t="shared" si="25"/>
        <v>#VALUE!</v>
      </c>
      <c r="R80" s="62" t="e">
        <f t="shared" si="26"/>
        <v>#VALUE!</v>
      </c>
      <c r="S80" s="62" t="str">
        <f>IFERROR(VLOOKUP(MID(N80,Q80,R80-Q80),[5]skilldef!$C:$D,2,FALSE),"-") &amp; " / " &amp; IFERROR(VLOOKUP(MID(N80,O80,P80-O80),[5]skilldef!$A:$B,2,FALSE),"-")</f>
        <v>- / -</v>
      </c>
      <c r="T80" s="46" t="str">
        <f t="shared" si="27"/>
        <v>none</v>
      </c>
      <c r="U80" s="62" t="e">
        <f t="shared" si="28"/>
        <v>#VALUE!</v>
      </c>
      <c r="V80" s="62">
        <f t="shared" si="29"/>
        <v>4</v>
      </c>
      <c r="W80" s="62" t="e">
        <f t="shared" si="30"/>
        <v>#VALUE!</v>
      </c>
      <c r="X80" s="62" t="e">
        <f t="shared" si="31"/>
        <v>#VALUE!</v>
      </c>
      <c r="Y80" s="62" t="str">
        <f>IFERROR(VLOOKUP(MID(T80,W80,X80-W80),[5]skilldef!$C:$D,2,FALSE),"-") &amp; " / " &amp; IFERROR(VLOOKUP(MID(T80,U80,V80-U80),[5]skilldef!$A:$B,2,FALSE),"-")</f>
        <v>- / -</v>
      </c>
      <c r="Z80" s="48"/>
      <c r="AA80" s="50"/>
      <c r="AB80" s="48"/>
    </row>
    <row r="81" spans="1:28" ht="21" customHeight="1" x14ac:dyDescent="0.15">
      <c r="A81" s="45">
        <v>58003079</v>
      </c>
      <c r="B81" s="45" t="s">
        <v>360</v>
      </c>
      <c r="C81" s="48">
        <v>3</v>
      </c>
      <c r="D81" s="48" t="s">
        <v>310</v>
      </c>
      <c r="E81" s="49" t="s">
        <v>315</v>
      </c>
      <c r="F81" s="49" t="s">
        <v>257</v>
      </c>
      <c r="G81" s="62" t="str">
        <f t="shared" si="16"/>
        <v>[effect:enemy_message, val1:1.2, val2:1.2]</v>
      </c>
      <c r="H81" s="62">
        <f t="shared" si="17"/>
        <v>9</v>
      </c>
      <c r="I81" s="62">
        <f t="shared" si="18"/>
        <v>22</v>
      </c>
      <c r="J81" s="62" t="e">
        <f t="shared" si="19"/>
        <v>#VALUE!</v>
      </c>
      <c r="K81" s="62">
        <f t="shared" si="20"/>
        <v>32</v>
      </c>
      <c r="L81" s="62" t="str">
        <f>IFERROR(VLOOKUP(MID(G81,J81,K81-J81),[5]skilldef!$C:$D,2,FALSE),"-") &amp; " / " &amp; IFERROR(VLOOKUP(MID(G81,H81,I81-H81),[5]skilldef!$A:$B,2,FALSE),"-")</f>
        <v>- / -</v>
      </c>
      <c r="M81" s="62" t="str">
        <f t="shared" si="21"/>
        <v>none</v>
      </c>
      <c r="N81" s="46" t="str">
        <f t="shared" si="22"/>
        <v>none</v>
      </c>
      <c r="O81" s="62" t="e">
        <f t="shared" si="23"/>
        <v>#VALUE!</v>
      </c>
      <c r="P81" s="62">
        <f t="shared" si="24"/>
        <v>4</v>
      </c>
      <c r="Q81" s="62" t="e">
        <f t="shared" si="25"/>
        <v>#VALUE!</v>
      </c>
      <c r="R81" s="62" t="e">
        <f t="shared" si="26"/>
        <v>#VALUE!</v>
      </c>
      <c r="S81" s="62" t="str">
        <f>IFERROR(VLOOKUP(MID(N81,Q81,R81-Q81),[5]skilldef!$C:$D,2,FALSE),"-") &amp; " / " &amp; IFERROR(VLOOKUP(MID(N81,O81,P81-O81),[5]skilldef!$A:$B,2,FALSE),"-")</f>
        <v>- / -</v>
      </c>
      <c r="T81" s="46" t="str">
        <f t="shared" si="27"/>
        <v>none</v>
      </c>
      <c r="U81" s="62" t="e">
        <f t="shared" si="28"/>
        <v>#VALUE!</v>
      </c>
      <c r="V81" s="62">
        <f t="shared" si="29"/>
        <v>4</v>
      </c>
      <c r="W81" s="62" t="e">
        <f t="shared" si="30"/>
        <v>#VALUE!</v>
      </c>
      <c r="X81" s="62" t="e">
        <f t="shared" si="31"/>
        <v>#VALUE!</v>
      </c>
      <c r="Y81" s="62" t="str">
        <f>IFERROR(VLOOKUP(MID(T81,W81,X81-W81),[5]skilldef!$C:$D,2,FALSE),"-") &amp; " / " &amp; IFERROR(VLOOKUP(MID(T81,U81,V81-U81),[5]skilldef!$A:$B,2,FALSE),"-")</f>
        <v>- / -</v>
      </c>
      <c r="Z81" s="48"/>
      <c r="AA81" s="50"/>
      <c r="AB81" s="48"/>
    </row>
    <row r="82" spans="1:28" ht="21" customHeight="1" x14ac:dyDescent="0.15">
      <c r="A82" s="45">
        <v>58003080</v>
      </c>
      <c r="B82" s="45" t="s">
        <v>379</v>
      </c>
      <c r="C82" s="48">
        <v>3</v>
      </c>
      <c r="D82" s="48" t="s">
        <v>310</v>
      </c>
      <c r="E82" s="49" t="s">
        <v>316</v>
      </c>
      <c r="F82" s="49" t="s">
        <v>317</v>
      </c>
      <c r="G82" s="62" t="str">
        <f t="shared" si="16"/>
        <v>[effect:enemy_message, val1:1.4, val2:1.8]</v>
      </c>
      <c r="H82" s="62">
        <f t="shared" si="17"/>
        <v>9</v>
      </c>
      <c r="I82" s="62">
        <f t="shared" si="18"/>
        <v>22</v>
      </c>
      <c r="J82" s="62" t="e">
        <f t="shared" si="19"/>
        <v>#VALUE!</v>
      </c>
      <c r="K82" s="62">
        <f t="shared" si="20"/>
        <v>32</v>
      </c>
      <c r="L82" s="62" t="str">
        <f>IFERROR(VLOOKUP(MID(G82,J82,K82-J82),[5]skilldef!$C:$D,2,FALSE),"-") &amp; " / " &amp; IFERROR(VLOOKUP(MID(G82,H82,I82-H82),[5]skilldef!$A:$B,2,FALSE),"-")</f>
        <v>- / -</v>
      </c>
      <c r="M82" s="62" t="str">
        <f t="shared" si="21"/>
        <v>[effect:fix_speed, target:myself, turn:1],[effect:tolerance, target:myself, turn:-1, count:-1, tolerance_effect:all, animation:enemy_tolerance],[effect:change_panel_ratio, turn:-1, block_type:red, val:0.6, animation:block_incidence04]</v>
      </c>
      <c r="N82" s="46" t="str">
        <f t="shared" si="22"/>
        <v>[effect:fix_speed, target:myself, turn:1],[effect:tolerance, target:myself, turn:-1, count:-1, tolerance_effect:all, animation:enemy_tolerance],[effect:change_panel_ratio, turn:-1, block_type:red, val:0.6, animation:block_incidence04]</v>
      </c>
      <c r="O82" s="62">
        <f t="shared" si="23"/>
        <v>9</v>
      </c>
      <c r="P82" s="62">
        <f t="shared" si="24"/>
        <v>18</v>
      </c>
      <c r="Q82" s="62">
        <f t="shared" si="25"/>
        <v>27</v>
      </c>
      <c r="R82" s="62">
        <f t="shared" si="26"/>
        <v>33</v>
      </c>
      <c r="S82" s="62" t="str">
        <f>IFERROR(VLOOKUP(MID(N82,Q82,R82-Q82),[5]skilldef!$C:$D,2,FALSE),"-") &amp; " / " &amp; IFERROR(VLOOKUP(MID(N82,O82,P82-O82),[5]skilldef!$A:$B,2,FALSE),"-")</f>
        <v>自分自身に / 行動値設定</v>
      </c>
      <c r="T82" s="46" t="str">
        <f t="shared" si="27"/>
        <v>[effect:tolerance, target:myself, turn:-1, count:-1, tolerance_effect:all, animation:enemy_tolerance],[effect:change_panel_ratio, turn:-1, block_type:red, val:0.6, animation:block_incidence04]</v>
      </c>
      <c r="U82" s="62">
        <f t="shared" si="28"/>
        <v>9</v>
      </c>
      <c r="V82" s="62">
        <f t="shared" si="29"/>
        <v>18</v>
      </c>
      <c r="W82" s="62">
        <f t="shared" si="30"/>
        <v>27</v>
      </c>
      <c r="X82" s="62">
        <f t="shared" si="31"/>
        <v>33</v>
      </c>
      <c r="Y82" s="62" t="str">
        <f>IFERROR(VLOOKUP(MID(T82,W82,X82-W82),[5]skilldef!$C:$D,2,FALSE),"-") &amp; " / " &amp; IFERROR(VLOOKUP(MID(T82,U82,V82-U82),[5]skilldef!$A:$B,2,FALSE),"-")</f>
        <v>自分自身に / 状態異常耐性</v>
      </c>
      <c r="Z82" s="48"/>
      <c r="AA82" s="50"/>
      <c r="AB82" s="48"/>
    </row>
    <row r="83" spans="1:28" ht="21" customHeight="1" x14ac:dyDescent="0.15">
      <c r="A83" s="45">
        <v>58003081</v>
      </c>
      <c r="B83" s="45" t="s">
        <v>409</v>
      </c>
      <c r="C83" s="48">
        <v>3</v>
      </c>
      <c r="D83" s="48" t="s">
        <v>310</v>
      </c>
      <c r="E83" s="49" t="s">
        <v>318</v>
      </c>
      <c r="F83" s="108" t="s">
        <v>417</v>
      </c>
      <c r="G83" s="62" t="str">
        <f t="shared" si="16"/>
        <v>[effect:enemy_message, val1:1.2, val2:4.2]</v>
      </c>
      <c r="H83" s="62">
        <f t="shared" si="17"/>
        <v>9</v>
      </c>
      <c r="I83" s="62">
        <f t="shared" si="18"/>
        <v>22</v>
      </c>
      <c r="J83" s="62" t="e">
        <f t="shared" si="19"/>
        <v>#VALUE!</v>
      </c>
      <c r="K83" s="62">
        <f t="shared" si="20"/>
        <v>32</v>
      </c>
      <c r="L83" s="62" t="str">
        <f>IFERROR(VLOOKUP(MID(G83,J83,K83-J83),[5]skilldef!$C:$D,2,FALSE),"-") &amp; " / " &amp; IFERROR(VLOOKUP(MID(G83,H83,I83-H83),[5]skilldef!$A:$B,2,FALSE),"-")</f>
        <v>- / -</v>
      </c>
      <c r="M83" s="62" t="str">
        <f t="shared" si="21"/>
        <v>[effect:degrade_unit, target:unit_all, turn:3, status:heal, val:0.6, calc:mul, animation:degrade_unit_all_heal],[effect:panel_freeze, target:normal, color:block_red, count:-1],[effect:panel_freeze, target:normal, color:block_heart, count:-1],[effect:rush, count:1, val:1]</v>
      </c>
      <c r="N83" s="46" t="str">
        <f t="shared" si="22"/>
        <v>[effect:degrade_unit, target:unit_all, turn:3, status:heal, val:0.6, calc:mul, animation:degrade_unit_all_heal],[effect:panel_freeze, target:normal, color:block_red, count:-1],[effect:panel_freeze, target:normal, color:block_heart, count:-1],[effect:rush, count:1, val:1]</v>
      </c>
      <c r="O83" s="62">
        <f t="shared" si="23"/>
        <v>9</v>
      </c>
      <c r="P83" s="62">
        <f t="shared" si="24"/>
        <v>21</v>
      </c>
      <c r="Q83" s="62">
        <f t="shared" si="25"/>
        <v>30</v>
      </c>
      <c r="R83" s="62">
        <f t="shared" si="26"/>
        <v>38</v>
      </c>
      <c r="S83" s="62" t="str">
        <f>IFERROR(VLOOKUP(MID(N83,Q83,R83-Q83),[5]skilldef!$C:$D,2,FALSE),"-") &amp; " / " &amp; IFERROR(VLOOKUP(MID(N83,O83,P83-O83),[5]skilldef!$A:$B,2,FALSE),"-")</f>
        <v>味方全体に / ステータスDOWN</v>
      </c>
      <c r="T83" s="46" t="str">
        <f t="shared" si="27"/>
        <v>[effect:panel_freeze, target:normal, color:block_red, count:-1],[effect:panel_freeze, target:normal, color:block_heart, count:-1],[effect:rush, count:1, val:1]</v>
      </c>
      <c r="U83" s="62">
        <f t="shared" si="28"/>
        <v>9</v>
      </c>
      <c r="V83" s="62">
        <f t="shared" si="29"/>
        <v>21</v>
      </c>
      <c r="W83" s="62">
        <f t="shared" si="30"/>
        <v>30</v>
      </c>
      <c r="X83" s="62">
        <f t="shared" si="31"/>
        <v>36</v>
      </c>
      <c r="Y83" s="62" t="str">
        <f>IFERROR(VLOOKUP(MID(T83,W83,X83-W83),[5]skilldef!$C:$D,2,FALSE),"-") &amp; " / " &amp; IFERROR(VLOOKUP(MID(T83,U83,V83-U83),[5]skilldef!$A:$B,2,FALSE),"-")</f>
        <v>- / -</v>
      </c>
      <c r="Z83" s="48"/>
      <c r="AA83" s="50"/>
      <c r="AB83" s="48"/>
    </row>
    <row r="84" spans="1:28" ht="21" customHeight="1" x14ac:dyDescent="0.15">
      <c r="A84" s="45">
        <v>58003082</v>
      </c>
      <c r="B84" s="45" t="s">
        <v>427</v>
      </c>
      <c r="C84" s="48">
        <v>3</v>
      </c>
      <c r="D84" s="48" t="s">
        <v>310</v>
      </c>
      <c r="E84" s="49" t="s">
        <v>311</v>
      </c>
      <c r="F84" s="108" t="s">
        <v>426</v>
      </c>
      <c r="G84" s="62" t="str">
        <f t="shared" si="16"/>
        <v>[effect:enemy_message, val1:1.2, val2:2.5]</v>
      </c>
      <c r="H84" s="62">
        <f t="shared" si="17"/>
        <v>9</v>
      </c>
      <c r="I84" s="62">
        <f t="shared" si="18"/>
        <v>22</v>
      </c>
      <c r="J84" s="62" t="e">
        <f t="shared" si="19"/>
        <v>#VALUE!</v>
      </c>
      <c r="K84" s="62">
        <f t="shared" si="20"/>
        <v>32</v>
      </c>
      <c r="L84" s="62" t="str">
        <f>IFERROR(VLOOKUP(MID(G84,J84,K84-J84),[5]skilldef!$C:$D,2,FALSE),"-") &amp; " / " &amp; IFERROR(VLOOKUP(MID(G84,H84,I84-H84),[5]skilldef!$A:$B,2,FALSE),"-")</f>
        <v>- / -</v>
      </c>
      <c r="M84" s="62" t="str">
        <f t="shared" si="21"/>
        <v>[effect:force_change_block, new_block:damage, target:normal, count:8, val:0.06],[effect:rush, count:1, val:1]</v>
      </c>
      <c r="N84" s="46" t="str">
        <f t="shared" si="22"/>
        <v>[effect:force_change_block, new_block:damage, target:normal, count:8, val:0.06]</v>
      </c>
      <c r="O84" s="62">
        <f t="shared" si="23"/>
        <v>9</v>
      </c>
      <c r="P84" s="62">
        <f t="shared" si="24"/>
        <v>27</v>
      </c>
      <c r="Q84" s="62">
        <f t="shared" si="25"/>
        <v>54</v>
      </c>
      <c r="R84" s="62">
        <f t="shared" si="26"/>
        <v>45</v>
      </c>
      <c r="S84" s="62" t="str">
        <f>IFERROR(VLOOKUP(MID(N84,Q84,R84-Q84),[5]skilldef!$C:$D,2,FALSE),"-") &amp; " / " &amp; IFERROR(VLOOKUP(MID(N84,O84,P84-O84),[5]skilldef!$A:$B,2,FALSE),"-")</f>
        <v>- / -</v>
      </c>
      <c r="T84" s="46" t="str">
        <f t="shared" si="27"/>
        <v>[effect:rush, count:1, val:1]</v>
      </c>
      <c r="U84" s="62">
        <f t="shared" si="28"/>
        <v>9</v>
      </c>
      <c r="V84" s="62">
        <f t="shared" si="29"/>
        <v>13</v>
      </c>
      <c r="W84" s="62" t="e">
        <f t="shared" si="30"/>
        <v>#VALUE!</v>
      </c>
      <c r="X84" s="62">
        <f t="shared" si="31"/>
        <v>22</v>
      </c>
      <c r="Y84" s="62" t="str">
        <f>IFERROR(VLOOKUP(MID(T84,W84,X84-W84),[5]skilldef!$C:$D,2,FALSE),"-") &amp; " / " &amp; IFERROR(VLOOKUP(MID(T84,U84,V84-U84),[5]skilldef!$A:$B,2,FALSE),"-")</f>
        <v>- / 連続攻撃</v>
      </c>
      <c r="Z84" s="48"/>
      <c r="AA84" s="50"/>
      <c r="AB84" s="48"/>
    </row>
    <row r="85" spans="1:28" ht="21" customHeight="1" x14ac:dyDescent="0.15">
      <c r="A85" s="45">
        <v>58003083</v>
      </c>
      <c r="B85" s="45" t="s">
        <v>429</v>
      </c>
      <c r="C85" s="48">
        <v>3</v>
      </c>
      <c r="D85" s="48" t="s">
        <v>310</v>
      </c>
      <c r="E85" s="49" t="s">
        <v>319</v>
      </c>
      <c r="F85" s="108" t="s">
        <v>320</v>
      </c>
      <c r="G85" s="62" t="str">
        <f t="shared" si="16"/>
        <v>[effect:enemy_message, val1:1.2, val2:2.1]</v>
      </c>
      <c r="H85" s="62">
        <f t="shared" si="17"/>
        <v>9</v>
      </c>
      <c r="I85" s="62">
        <f t="shared" si="18"/>
        <v>22</v>
      </c>
      <c r="J85" s="62" t="e">
        <f t="shared" si="19"/>
        <v>#VALUE!</v>
      </c>
      <c r="K85" s="62">
        <f t="shared" si="20"/>
        <v>32</v>
      </c>
      <c r="L85" s="62" t="str">
        <f>IFERROR(VLOOKUP(MID(G85,J85,K85-J85),[5]skilldef!$C:$D,2,FALSE),"-") &amp; " / " &amp; IFERROR(VLOOKUP(MID(G85,H85,I85-H85),[5]skilldef!$A:$B,2,FALSE),"-")</f>
        <v>- / -</v>
      </c>
      <c r="M85" s="62" t="str">
        <f t="shared" si="21"/>
        <v>[effect:force_change_block, new_block:jammer, target:normal, ignore01:block_yellow, ignore02:block_green, ignore03:block_blue, count:0, val:0]</v>
      </c>
      <c r="N85" s="46" t="str">
        <f t="shared" si="22"/>
        <v>[effect:force_change_block, new_block:jammer, target:normal, ignore01:block_yellow, ignore02:block_green, ignore03:block_blue, count:0, val:0]</v>
      </c>
      <c r="O85" s="62">
        <f t="shared" si="23"/>
        <v>9</v>
      </c>
      <c r="P85" s="62">
        <f t="shared" si="24"/>
        <v>27</v>
      </c>
      <c r="Q85" s="62">
        <f t="shared" si="25"/>
        <v>54</v>
      </c>
      <c r="R85" s="62">
        <f t="shared" si="26"/>
        <v>45</v>
      </c>
      <c r="S85" s="62" t="str">
        <f>IFERROR(VLOOKUP(MID(N85,Q85,R85-Q85),[5]skilldef!$C:$D,2,FALSE),"-") &amp; " / " &amp; IFERROR(VLOOKUP(MID(N85,O85,P85-O85),[5]skilldef!$A:$B,2,FALSE),"-")</f>
        <v>- / -</v>
      </c>
      <c r="T85" s="46" t="str">
        <f t="shared" si="27"/>
        <v>none</v>
      </c>
      <c r="U85" s="62" t="e">
        <f t="shared" si="28"/>
        <v>#VALUE!</v>
      </c>
      <c r="V85" s="62">
        <f t="shared" si="29"/>
        <v>4</v>
      </c>
      <c r="W85" s="62" t="e">
        <f t="shared" si="30"/>
        <v>#VALUE!</v>
      </c>
      <c r="X85" s="62" t="e">
        <f t="shared" si="31"/>
        <v>#VALUE!</v>
      </c>
      <c r="Y85" s="62" t="str">
        <f>IFERROR(VLOOKUP(MID(T85,W85,X85-W85),[5]skilldef!$C:$D,2,FALSE),"-") &amp; " / " &amp; IFERROR(VLOOKUP(MID(T85,U85,V85-U85),[5]skilldef!$A:$B,2,FALSE),"-")</f>
        <v>- / -</v>
      </c>
      <c r="Z85" s="48"/>
      <c r="AA85" s="50"/>
      <c r="AB85" s="48"/>
    </row>
    <row r="86" spans="1:28" ht="21" customHeight="1" x14ac:dyDescent="0.15">
      <c r="A86" s="45">
        <v>58003084</v>
      </c>
      <c r="B86" s="45" t="s">
        <v>410</v>
      </c>
      <c r="C86" s="48">
        <v>3</v>
      </c>
      <c r="D86" s="48" t="s">
        <v>310</v>
      </c>
      <c r="E86" s="49" t="s">
        <v>321</v>
      </c>
      <c r="F86" s="108" t="s">
        <v>322</v>
      </c>
      <c r="G86" s="62" t="str">
        <f t="shared" si="16"/>
        <v>[effect:enemy_message, val1:1.2, val2:1.5]</v>
      </c>
      <c r="H86" s="62">
        <f t="shared" si="17"/>
        <v>9</v>
      </c>
      <c r="I86" s="62">
        <f t="shared" si="18"/>
        <v>22</v>
      </c>
      <c r="J86" s="62" t="e">
        <f t="shared" si="19"/>
        <v>#VALUE!</v>
      </c>
      <c r="K86" s="62">
        <f t="shared" si="20"/>
        <v>32</v>
      </c>
      <c r="L86" s="62" t="str">
        <f>IFERROR(VLOOKUP(MID(G86,J86,K86-J86),[5]skilldef!$C:$D,2,FALSE),"-") &amp; " / " &amp; IFERROR(VLOOKUP(MID(G86,H86,I86-H86),[5]skilldef!$A:$B,2,FALSE),"-")</f>
        <v>- / -</v>
      </c>
      <c r="M86" s="62" t="str">
        <f t="shared" si="21"/>
        <v>[effect:break_attack, target:unit_all, val:0.03, lowest_val:1000, count:-1, color:yellow, block01:jammer]</v>
      </c>
      <c r="N86" s="46" t="str">
        <f t="shared" si="22"/>
        <v>[effect:break_attack, target:unit_all, val:0.03, lowest_val:1000, count:-1, color:yellow, block01:jammer]</v>
      </c>
      <c r="O86" s="62">
        <f t="shared" si="23"/>
        <v>9</v>
      </c>
      <c r="P86" s="62">
        <f t="shared" si="24"/>
        <v>21</v>
      </c>
      <c r="Q86" s="62">
        <f t="shared" si="25"/>
        <v>30</v>
      </c>
      <c r="R86" s="62">
        <f t="shared" si="26"/>
        <v>38</v>
      </c>
      <c r="S86" s="62" t="str">
        <f>IFERROR(VLOOKUP(MID(N86,Q86,R86-Q86),[5]skilldef!$C:$D,2,FALSE),"-") &amp; " / " &amp; IFERROR(VLOOKUP(MID(N86,O86,P86-O86),[5]skilldef!$A:$B,2,FALSE),"-")</f>
        <v>味方全体に / -</v>
      </c>
      <c r="T86" s="46" t="str">
        <f t="shared" si="27"/>
        <v>none</v>
      </c>
      <c r="U86" s="62" t="e">
        <f t="shared" si="28"/>
        <v>#VALUE!</v>
      </c>
      <c r="V86" s="62">
        <f t="shared" si="29"/>
        <v>4</v>
      </c>
      <c r="W86" s="62" t="e">
        <f t="shared" si="30"/>
        <v>#VALUE!</v>
      </c>
      <c r="X86" s="62" t="e">
        <f t="shared" si="31"/>
        <v>#VALUE!</v>
      </c>
      <c r="Y86" s="62" t="str">
        <f>IFERROR(VLOOKUP(MID(T86,W86,X86-W86),[5]skilldef!$C:$D,2,FALSE),"-") &amp; " / " &amp; IFERROR(VLOOKUP(MID(T86,U86,V86-U86),[5]skilldef!$A:$B,2,FALSE),"-")</f>
        <v>- / -</v>
      </c>
      <c r="Z86" s="48"/>
      <c r="AA86" s="50"/>
      <c r="AB86" s="48"/>
    </row>
    <row r="87" spans="1:28" ht="21" customHeight="1" x14ac:dyDescent="0.15">
      <c r="A87" s="45">
        <v>58003085</v>
      </c>
      <c r="B87" s="45" t="s">
        <v>411</v>
      </c>
      <c r="C87" s="48">
        <v>3</v>
      </c>
      <c r="D87" s="48" t="s">
        <v>310</v>
      </c>
      <c r="E87" s="49" t="s">
        <v>323</v>
      </c>
      <c r="F87" s="49" t="s">
        <v>387</v>
      </c>
      <c r="G87" s="62" t="str">
        <f t="shared" si="16"/>
        <v>[effect:enemy_message, val1:1.2, val2:1.9]</v>
      </c>
      <c r="H87" s="62">
        <f t="shared" si="17"/>
        <v>9</v>
      </c>
      <c r="I87" s="62">
        <f t="shared" si="18"/>
        <v>22</v>
      </c>
      <c r="J87" s="62" t="e">
        <f t="shared" si="19"/>
        <v>#VALUE!</v>
      </c>
      <c r="K87" s="62">
        <f t="shared" si="20"/>
        <v>32</v>
      </c>
      <c r="L87" s="62" t="str">
        <f>IFERROR(VLOOKUP(MID(G87,J87,K87-J87),[5]skilldef!$C:$D,2,FALSE),"-") &amp; " / " &amp; IFERROR(VLOOKUP(MID(G87,H87,I87-H87),[5]skilldef!$A:$B,2,FALSE),"-")</f>
        <v>- / -</v>
      </c>
      <c r="M87" s="62" t="str">
        <f t="shared" si="21"/>
        <v>[effect:fix_speed, target:myself, turn:1],[effect:change_panel_ratio, turn:-1, block_type:heal, val:0.0, animation:block_incidence04],[effect:enhance_enemy, target:myself, turn:-1, status:defense, val:5000, calc:add, animation:enemy_enhance_defense]</v>
      </c>
      <c r="N87" s="46" t="str">
        <f t="shared" si="22"/>
        <v>[effect:fix_speed, target:myself, turn:1]</v>
      </c>
      <c r="O87" s="62">
        <f t="shared" si="23"/>
        <v>9</v>
      </c>
      <c r="P87" s="62">
        <f t="shared" si="24"/>
        <v>18</v>
      </c>
      <c r="Q87" s="62">
        <f t="shared" si="25"/>
        <v>27</v>
      </c>
      <c r="R87" s="62">
        <f t="shared" si="26"/>
        <v>33</v>
      </c>
      <c r="S87" s="62" t="str">
        <f>IFERROR(VLOOKUP(MID(N87,Q87,R87-Q87),[5]skilldef!$C:$D,2,FALSE),"-") &amp; " / " &amp; IFERROR(VLOOKUP(MID(N87,O87,P87-O87),[5]skilldef!$A:$B,2,FALSE),"-")</f>
        <v>自分自身に / 行動値設定</v>
      </c>
      <c r="T87" s="46" t="str">
        <f t="shared" si="27"/>
        <v>[effect:change_panel_ratio, turn:-1, block_type:heal, val:0.0, animation:block_incidence04],[effect:enhance_enemy, target:myself, turn:-1, status:defense, val:5000, calc:add, animation:enemy_enhance_defense]</v>
      </c>
      <c r="U87" s="62">
        <f t="shared" si="28"/>
        <v>9</v>
      </c>
      <c r="V87" s="62">
        <f t="shared" si="29"/>
        <v>27</v>
      </c>
      <c r="W87" s="62">
        <f t="shared" si="30"/>
        <v>123</v>
      </c>
      <c r="X87" s="62">
        <f t="shared" si="31"/>
        <v>36</v>
      </c>
      <c r="Y87" s="62" t="str">
        <f>IFERROR(VLOOKUP(MID(T87,W87,X87-W87),[5]skilldef!$C:$D,2,FALSE),"-") &amp; " / " &amp; IFERROR(VLOOKUP(MID(T87,U87,V87-U87),[5]skilldef!$A:$B,2,FALSE),"-")</f>
        <v>- / -</v>
      </c>
      <c r="Z87" s="48"/>
      <c r="AA87" s="50"/>
      <c r="AB87" s="48"/>
    </row>
    <row r="88" spans="1:28" ht="21" customHeight="1" x14ac:dyDescent="0.15">
      <c r="A88" s="45">
        <v>58003086</v>
      </c>
      <c r="B88" s="45" t="s">
        <v>431</v>
      </c>
      <c r="C88" s="48">
        <v>3</v>
      </c>
      <c r="D88" s="48" t="s">
        <v>310</v>
      </c>
      <c r="E88" s="49" t="s">
        <v>324</v>
      </c>
      <c r="F88" s="108" t="s">
        <v>430</v>
      </c>
      <c r="G88" s="62" t="str">
        <f t="shared" si="16"/>
        <v>[effect:enemy_message, val1:1.2, val2:2.7]</v>
      </c>
      <c r="H88" s="62">
        <f t="shared" si="17"/>
        <v>9</v>
      </c>
      <c r="I88" s="62">
        <f t="shared" si="18"/>
        <v>22</v>
      </c>
      <c r="J88" s="62" t="e">
        <f t="shared" si="19"/>
        <v>#VALUE!</v>
      </c>
      <c r="K88" s="62">
        <f t="shared" si="20"/>
        <v>32</v>
      </c>
      <c r="L88" s="62" t="str">
        <f>IFERROR(VLOOKUP(MID(G88,J88,K88-J88),[5]skilldef!$C:$D,2,FALSE),"-") &amp; " / " &amp; IFERROR(VLOOKUP(MID(G88,H88,I88-H88),[5]skilldef!$A:$B,2,FALSE),"-")</f>
        <v>- / -</v>
      </c>
      <c r="M88" s="62" t="str">
        <f t="shared" si="21"/>
        <v>[effect:break_enchance_enemy, target:myself, val:0.1, lowest_val:1, count:-1, status:attack, turn:1, block01:block_red, block02:block_heart, calc:mul, animation:enemy_enhance_attack],[effect:rush, count:4, val:0.25]</v>
      </c>
      <c r="N88" s="46" t="str">
        <f t="shared" si="22"/>
        <v>[effect:break_enchance_enemy, target:myself, val:0.1, lowest_val:1, count:-1, status:attack, turn:1, block01:block_red, block02:block_heart, calc:mul, animation:enemy_enhance_attack]</v>
      </c>
      <c r="O88" s="62">
        <f t="shared" si="23"/>
        <v>9</v>
      </c>
      <c r="P88" s="62">
        <f t="shared" si="24"/>
        <v>29</v>
      </c>
      <c r="Q88" s="62">
        <f t="shared" si="25"/>
        <v>38</v>
      </c>
      <c r="R88" s="62">
        <f t="shared" si="26"/>
        <v>44</v>
      </c>
      <c r="S88" s="62" t="str">
        <f>IFERROR(VLOOKUP(MID(N88,Q88,R88-Q88),[5]skilldef!$C:$D,2,FALSE),"-") &amp; " / " &amp; IFERROR(VLOOKUP(MID(N88,O88,P88-O88),[5]skilldef!$A:$B,2,FALSE),"-")</f>
        <v>自分自身に / -</v>
      </c>
      <c r="T88" s="46" t="str">
        <f t="shared" si="27"/>
        <v>[effect:rush, count:4, val:0.25]</v>
      </c>
      <c r="U88" s="62">
        <f t="shared" si="28"/>
        <v>9</v>
      </c>
      <c r="V88" s="62">
        <f t="shared" si="29"/>
        <v>13</v>
      </c>
      <c r="W88" s="62" t="e">
        <f t="shared" si="30"/>
        <v>#VALUE!</v>
      </c>
      <c r="X88" s="62">
        <f t="shared" si="31"/>
        <v>22</v>
      </c>
      <c r="Y88" s="62" t="str">
        <f>IFERROR(VLOOKUP(MID(T88,W88,X88-W88),[5]skilldef!$C:$D,2,FALSE),"-") &amp; " / " &amp; IFERROR(VLOOKUP(MID(T88,U88,V88-U88),[5]skilldef!$A:$B,2,FALSE),"-")</f>
        <v>- / 連続攻撃</v>
      </c>
      <c r="Z88" s="48"/>
      <c r="AA88" s="50"/>
      <c r="AB88" s="48"/>
    </row>
    <row r="89" spans="1:28" ht="21" customHeight="1" x14ac:dyDescent="0.15">
      <c r="A89" s="45">
        <v>58003087</v>
      </c>
      <c r="B89" s="45" t="s">
        <v>380</v>
      </c>
      <c r="C89" s="48">
        <v>3</v>
      </c>
      <c r="D89" s="48" t="s">
        <v>310</v>
      </c>
      <c r="E89" s="49" t="s">
        <v>325</v>
      </c>
      <c r="F89" s="49" t="s">
        <v>326</v>
      </c>
      <c r="G89" s="62" t="str">
        <f t="shared" si="16"/>
        <v>[effect:enemy_message, val1:2.0, val2:2.4]</v>
      </c>
      <c r="H89" s="62">
        <f t="shared" si="17"/>
        <v>9</v>
      </c>
      <c r="I89" s="62">
        <f t="shared" si="18"/>
        <v>22</v>
      </c>
      <c r="J89" s="62" t="e">
        <f t="shared" si="19"/>
        <v>#VALUE!</v>
      </c>
      <c r="K89" s="62">
        <f t="shared" si="20"/>
        <v>32</v>
      </c>
      <c r="L89" s="62" t="str">
        <f>IFERROR(VLOOKUP(MID(G89,J89,K89-J89),[5]skilldef!$C:$D,2,FALSE),"-") &amp; " / " &amp; IFERROR(VLOOKUP(MID(G89,H89,I89-H89),[5]skilldef!$A:$B,2,FALSE),"-")</f>
        <v>- / -</v>
      </c>
      <c r="M89" s="62" t="str">
        <f t="shared" si="21"/>
        <v>none</v>
      </c>
      <c r="N89" s="46" t="str">
        <f t="shared" si="22"/>
        <v>none</v>
      </c>
      <c r="O89" s="62" t="e">
        <f t="shared" si="23"/>
        <v>#VALUE!</v>
      </c>
      <c r="P89" s="62">
        <f t="shared" si="24"/>
        <v>4</v>
      </c>
      <c r="Q89" s="62" t="e">
        <f t="shared" si="25"/>
        <v>#VALUE!</v>
      </c>
      <c r="R89" s="62" t="e">
        <f t="shared" si="26"/>
        <v>#VALUE!</v>
      </c>
      <c r="S89" s="62" t="str">
        <f>IFERROR(VLOOKUP(MID(N89,Q89,R89-Q89),[5]skilldef!$C:$D,2,FALSE),"-") &amp; " / " &amp; IFERROR(VLOOKUP(MID(N89,O89,P89-O89),[5]skilldef!$A:$B,2,FALSE),"-")</f>
        <v>- / -</v>
      </c>
      <c r="T89" s="46" t="str">
        <f t="shared" si="27"/>
        <v>none</v>
      </c>
      <c r="U89" s="62" t="e">
        <f t="shared" si="28"/>
        <v>#VALUE!</v>
      </c>
      <c r="V89" s="62">
        <f t="shared" si="29"/>
        <v>4</v>
      </c>
      <c r="W89" s="62" t="e">
        <f t="shared" si="30"/>
        <v>#VALUE!</v>
      </c>
      <c r="X89" s="62" t="e">
        <f t="shared" si="31"/>
        <v>#VALUE!</v>
      </c>
      <c r="Y89" s="62" t="str">
        <f>IFERROR(VLOOKUP(MID(T89,W89,X89-W89),[5]skilldef!$C:$D,2,FALSE),"-") &amp; " / " &amp; IFERROR(VLOOKUP(MID(T89,U89,V89-U89),[5]skilldef!$A:$B,2,FALSE),"-")</f>
        <v>- / -</v>
      </c>
      <c r="Z89" s="48"/>
      <c r="AA89" s="50"/>
      <c r="AB89" s="48"/>
    </row>
    <row r="90" spans="1:28" ht="21" customHeight="1" x14ac:dyDescent="0.15">
      <c r="A90" s="45">
        <v>58003088</v>
      </c>
      <c r="B90" s="45" t="s">
        <v>381</v>
      </c>
      <c r="C90" s="48">
        <v>3</v>
      </c>
      <c r="D90" s="48" t="s">
        <v>310</v>
      </c>
      <c r="E90" s="49" t="s">
        <v>327</v>
      </c>
      <c r="F90" s="49" t="s">
        <v>328</v>
      </c>
      <c r="G90" s="62" t="str">
        <f t="shared" si="16"/>
        <v>[effect:enemy_message, val1:1.7, val2:2.3]</v>
      </c>
      <c r="H90" s="62">
        <f t="shared" si="17"/>
        <v>9</v>
      </c>
      <c r="I90" s="62">
        <f t="shared" si="18"/>
        <v>22</v>
      </c>
      <c r="J90" s="62" t="e">
        <f t="shared" si="19"/>
        <v>#VALUE!</v>
      </c>
      <c r="K90" s="62">
        <f t="shared" si="20"/>
        <v>32</v>
      </c>
      <c r="L90" s="62" t="str">
        <f>IFERROR(VLOOKUP(MID(G90,J90,K90-J90),[5]skilldef!$C:$D,2,FALSE),"-") &amp; " / " &amp; IFERROR(VLOOKUP(MID(G90,H90,I90-H90),[5]skilldef!$A:$B,2,FALSE),"-")</f>
        <v>- / -</v>
      </c>
      <c r="M90" s="62" t="str">
        <f t="shared" si="21"/>
        <v>none</v>
      </c>
      <c r="N90" s="46" t="str">
        <f t="shared" si="22"/>
        <v>none</v>
      </c>
      <c r="O90" s="62" t="e">
        <f t="shared" si="23"/>
        <v>#VALUE!</v>
      </c>
      <c r="P90" s="62">
        <f t="shared" si="24"/>
        <v>4</v>
      </c>
      <c r="Q90" s="62" t="e">
        <f t="shared" si="25"/>
        <v>#VALUE!</v>
      </c>
      <c r="R90" s="62" t="e">
        <f t="shared" si="26"/>
        <v>#VALUE!</v>
      </c>
      <c r="S90" s="62" t="str">
        <f>IFERROR(VLOOKUP(MID(N90,Q90,R90-Q90),[5]skilldef!$C:$D,2,FALSE),"-") &amp; " / " &amp; IFERROR(VLOOKUP(MID(N90,O90,P90-O90),[5]skilldef!$A:$B,2,FALSE),"-")</f>
        <v>- / -</v>
      </c>
      <c r="T90" s="46" t="str">
        <f t="shared" si="27"/>
        <v>none</v>
      </c>
      <c r="U90" s="62" t="e">
        <f t="shared" si="28"/>
        <v>#VALUE!</v>
      </c>
      <c r="V90" s="62">
        <f t="shared" si="29"/>
        <v>4</v>
      </c>
      <c r="W90" s="62" t="e">
        <f t="shared" si="30"/>
        <v>#VALUE!</v>
      </c>
      <c r="X90" s="62" t="e">
        <f t="shared" si="31"/>
        <v>#VALUE!</v>
      </c>
      <c r="Y90" s="62" t="str">
        <f>IFERROR(VLOOKUP(MID(T90,W90,X90-W90),[5]skilldef!$C:$D,2,FALSE),"-") &amp; " / " &amp; IFERROR(VLOOKUP(MID(T90,U90,V90-U90),[5]skilldef!$A:$B,2,FALSE),"-")</f>
        <v>- / -</v>
      </c>
      <c r="Z90" s="48"/>
      <c r="AA90" s="50"/>
      <c r="AB90" s="48"/>
    </row>
    <row r="91" spans="1:28" ht="21" customHeight="1" x14ac:dyDescent="0.15">
      <c r="A91" s="45">
        <v>58003089</v>
      </c>
      <c r="B91" s="45" t="s">
        <v>382</v>
      </c>
      <c r="C91" s="48">
        <v>3</v>
      </c>
      <c r="D91" s="48" t="s">
        <v>310</v>
      </c>
      <c r="E91" s="49" t="s">
        <v>329</v>
      </c>
      <c r="F91" s="49" t="s">
        <v>330</v>
      </c>
      <c r="G91" s="62" t="str">
        <f t="shared" si="16"/>
        <v>[effect:enemy_message, val1:2.1, val2:2.1]</v>
      </c>
      <c r="H91" s="62">
        <f t="shared" si="17"/>
        <v>9</v>
      </c>
      <c r="I91" s="62">
        <f t="shared" si="18"/>
        <v>22</v>
      </c>
      <c r="J91" s="62" t="e">
        <f t="shared" si="19"/>
        <v>#VALUE!</v>
      </c>
      <c r="K91" s="62">
        <f t="shared" si="20"/>
        <v>32</v>
      </c>
      <c r="L91" s="62" t="str">
        <f>IFERROR(VLOOKUP(MID(G91,J91,K91-J91),[5]skilldef!$C:$D,2,FALSE),"-") &amp; " / " &amp; IFERROR(VLOOKUP(MID(G91,H91,I91-H91),[5]skilldef!$A:$B,2,FALSE),"-")</f>
        <v>- / -</v>
      </c>
      <c r="M91" s="62" t="str">
        <f t="shared" si="21"/>
        <v>none</v>
      </c>
      <c r="N91" s="46" t="str">
        <f t="shared" si="22"/>
        <v>none</v>
      </c>
      <c r="O91" s="62" t="e">
        <f t="shared" si="23"/>
        <v>#VALUE!</v>
      </c>
      <c r="P91" s="62">
        <f t="shared" si="24"/>
        <v>4</v>
      </c>
      <c r="Q91" s="62" t="e">
        <f t="shared" si="25"/>
        <v>#VALUE!</v>
      </c>
      <c r="R91" s="62" t="e">
        <f t="shared" si="26"/>
        <v>#VALUE!</v>
      </c>
      <c r="S91" s="62" t="str">
        <f>IFERROR(VLOOKUP(MID(N91,Q91,R91-Q91),[5]skilldef!$C:$D,2,FALSE),"-") &amp; " / " &amp; IFERROR(VLOOKUP(MID(N91,O91,P91-O91),[5]skilldef!$A:$B,2,FALSE),"-")</f>
        <v>- / -</v>
      </c>
      <c r="T91" s="46" t="str">
        <f t="shared" si="27"/>
        <v>none</v>
      </c>
      <c r="U91" s="62" t="e">
        <f t="shared" si="28"/>
        <v>#VALUE!</v>
      </c>
      <c r="V91" s="62">
        <f t="shared" si="29"/>
        <v>4</v>
      </c>
      <c r="W91" s="62" t="e">
        <f t="shared" si="30"/>
        <v>#VALUE!</v>
      </c>
      <c r="X91" s="62" t="e">
        <f t="shared" si="31"/>
        <v>#VALUE!</v>
      </c>
      <c r="Y91" s="62" t="str">
        <f>IFERROR(VLOOKUP(MID(T91,W91,X91-W91),[5]skilldef!$C:$D,2,FALSE),"-") &amp; " / " &amp; IFERROR(VLOOKUP(MID(T91,U91,V91-U91),[5]skilldef!$A:$B,2,FALSE),"-")</f>
        <v>- / -</v>
      </c>
      <c r="Z91" s="48"/>
      <c r="AA91" s="50"/>
      <c r="AB91" s="48"/>
    </row>
    <row r="92" spans="1:28" ht="21" customHeight="1" x14ac:dyDescent="0.15">
      <c r="A92" s="45">
        <v>58003090</v>
      </c>
      <c r="B92" s="45" t="s">
        <v>380</v>
      </c>
      <c r="C92" s="48">
        <v>3</v>
      </c>
      <c r="D92" s="48" t="s">
        <v>331</v>
      </c>
      <c r="E92" s="49" t="s">
        <v>325</v>
      </c>
      <c r="F92" s="49" t="s">
        <v>326</v>
      </c>
      <c r="G92" s="62" t="str">
        <f t="shared" si="16"/>
        <v>[effect:enemy_message, val1:2.0, val2:2.4]</v>
      </c>
      <c r="H92" s="62">
        <f t="shared" si="17"/>
        <v>9</v>
      </c>
      <c r="I92" s="62">
        <f t="shared" si="18"/>
        <v>22</v>
      </c>
      <c r="J92" s="62" t="e">
        <f t="shared" si="19"/>
        <v>#VALUE!</v>
      </c>
      <c r="K92" s="62">
        <f t="shared" si="20"/>
        <v>32</v>
      </c>
      <c r="L92" s="62" t="str">
        <f>IFERROR(VLOOKUP(MID(G92,J92,K92-J92),[5]skilldef!$C:$D,2,FALSE),"-") &amp; " / " &amp; IFERROR(VLOOKUP(MID(G92,H92,I92-H92),[5]skilldef!$A:$B,2,FALSE),"-")</f>
        <v>- / -</v>
      </c>
      <c r="M92" s="62" t="str">
        <f t="shared" si="21"/>
        <v>none</v>
      </c>
      <c r="N92" s="46" t="str">
        <f t="shared" si="22"/>
        <v>none</v>
      </c>
      <c r="O92" s="62" t="e">
        <f t="shared" si="23"/>
        <v>#VALUE!</v>
      </c>
      <c r="P92" s="62">
        <f t="shared" si="24"/>
        <v>4</v>
      </c>
      <c r="Q92" s="62" t="e">
        <f t="shared" si="25"/>
        <v>#VALUE!</v>
      </c>
      <c r="R92" s="62" t="e">
        <f t="shared" si="26"/>
        <v>#VALUE!</v>
      </c>
      <c r="S92" s="62" t="str">
        <f>IFERROR(VLOOKUP(MID(N92,Q92,R92-Q92),[5]skilldef!$C:$D,2,FALSE),"-") &amp; " / " &amp; IFERROR(VLOOKUP(MID(N92,O92,P92-O92),[5]skilldef!$A:$B,2,FALSE),"-")</f>
        <v>- / -</v>
      </c>
      <c r="T92" s="46" t="str">
        <f t="shared" si="27"/>
        <v>none</v>
      </c>
      <c r="U92" s="62" t="e">
        <f t="shared" si="28"/>
        <v>#VALUE!</v>
      </c>
      <c r="V92" s="62">
        <f t="shared" si="29"/>
        <v>4</v>
      </c>
      <c r="W92" s="62" t="e">
        <f t="shared" si="30"/>
        <v>#VALUE!</v>
      </c>
      <c r="X92" s="62" t="e">
        <f t="shared" si="31"/>
        <v>#VALUE!</v>
      </c>
      <c r="Y92" s="62" t="str">
        <f>IFERROR(VLOOKUP(MID(T92,W92,X92-W92),[5]skilldef!$C:$D,2,FALSE),"-") &amp; " / " &amp; IFERROR(VLOOKUP(MID(T92,U92,V92-U92),[5]skilldef!$A:$B,2,FALSE),"-")</f>
        <v>- / -</v>
      </c>
      <c r="Z92" s="48"/>
      <c r="AA92" s="50"/>
      <c r="AB92" s="48"/>
    </row>
    <row r="93" spans="1:28" ht="21" customHeight="1" x14ac:dyDescent="0.15">
      <c r="A93" s="45">
        <v>58003091</v>
      </c>
      <c r="B93" s="45" t="s">
        <v>381</v>
      </c>
      <c r="C93" s="48">
        <v>3</v>
      </c>
      <c r="D93" s="48" t="s">
        <v>331</v>
      </c>
      <c r="E93" s="49" t="s">
        <v>327</v>
      </c>
      <c r="F93" s="49" t="s">
        <v>328</v>
      </c>
      <c r="G93" s="62" t="str">
        <f t="shared" si="16"/>
        <v>[effect:enemy_message, val1:1.7, val2:2.3]</v>
      </c>
      <c r="H93" s="62">
        <f t="shared" si="17"/>
        <v>9</v>
      </c>
      <c r="I93" s="62">
        <f t="shared" si="18"/>
        <v>22</v>
      </c>
      <c r="J93" s="62" t="e">
        <f t="shared" si="19"/>
        <v>#VALUE!</v>
      </c>
      <c r="K93" s="62">
        <f t="shared" si="20"/>
        <v>32</v>
      </c>
      <c r="L93" s="62" t="str">
        <f>IFERROR(VLOOKUP(MID(G93,J93,K93-J93),[5]skilldef!$C:$D,2,FALSE),"-") &amp; " / " &amp; IFERROR(VLOOKUP(MID(G93,H93,I93-H93),[5]skilldef!$A:$B,2,FALSE),"-")</f>
        <v>- / -</v>
      </c>
      <c r="M93" s="62" t="str">
        <f t="shared" si="21"/>
        <v>none</v>
      </c>
      <c r="N93" s="46" t="str">
        <f t="shared" si="22"/>
        <v>none</v>
      </c>
      <c r="O93" s="62" t="e">
        <f t="shared" si="23"/>
        <v>#VALUE!</v>
      </c>
      <c r="P93" s="62">
        <f t="shared" si="24"/>
        <v>4</v>
      </c>
      <c r="Q93" s="62" t="e">
        <f t="shared" si="25"/>
        <v>#VALUE!</v>
      </c>
      <c r="R93" s="62" t="e">
        <f t="shared" si="26"/>
        <v>#VALUE!</v>
      </c>
      <c r="S93" s="62" t="str">
        <f>IFERROR(VLOOKUP(MID(N93,Q93,R93-Q93),[5]skilldef!$C:$D,2,FALSE),"-") &amp; " / " &amp; IFERROR(VLOOKUP(MID(N93,O93,P93-O93),[5]skilldef!$A:$B,2,FALSE),"-")</f>
        <v>- / -</v>
      </c>
      <c r="T93" s="46" t="str">
        <f t="shared" si="27"/>
        <v>none</v>
      </c>
      <c r="U93" s="62" t="e">
        <f t="shared" si="28"/>
        <v>#VALUE!</v>
      </c>
      <c r="V93" s="62">
        <f t="shared" si="29"/>
        <v>4</v>
      </c>
      <c r="W93" s="62" t="e">
        <f t="shared" si="30"/>
        <v>#VALUE!</v>
      </c>
      <c r="X93" s="62" t="e">
        <f t="shared" si="31"/>
        <v>#VALUE!</v>
      </c>
      <c r="Y93" s="62" t="str">
        <f>IFERROR(VLOOKUP(MID(T93,W93,X93-W93),[5]skilldef!$C:$D,2,FALSE),"-") &amp; " / " &amp; IFERROR(VLOOKUP(MID(T93,U93,V93-U93),[5]skilldef!$A:$B,2,FALSE),"-")</f>
        <v>- / -</v>
      </c>
      <c r="Z93" s="48"/>
      <c r="AA93" s="50"/>
      <c r="AB93" s="48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93"/>
  <sheetViews>
    <sheetView showGridLines="0" workbookViewId="0">
      <pane ySplit="1" topLeftCell="A2" activePane="bottomLeft" state="frozenSplit"/>
      <selection pane="bottomLeft" activeCell="D6" sqref="D6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7" bestFit="1" customWidth="1"/>
    <col min="12" max="16384" width="12.83203125" style="43"/>
  </cols>
  <sheetData>
    <row r="1" spans="1:11" ht="21" customHeight="1" x14ac:dyDescent="0.15">
      <c r="A1" s="40" t="s">
        <v>83</v>
      </c>
      <c r="B1" s="40" t="s">
        <v>84</v>
      </c>
      <c r="C1" s="40" t="s">
        <v>85</v>
      </c>
      <c r="D1" s="40" t="s">
        <v>86</v>
      </c>
      <c r="E1" s="40" t="s">
        <v>69</v>
      </c>
      <c r="F1" s="51" t="s">
        <v>70</v>
      </c>
      <c r="G1" s="51" t="s">
        <v>71</v>
      </c>
      <c r="H1" s="40" t="s">
        <v>72</v>
      </c>
      <c r="I1" s="40" t="s">
        <v>73</v>
      </c>
      <c r="J1" s="40" t="s">
        <v>74</v>
      </c>
      <c r="K1" s="52" t="s">
        <v>87</v>
      </c>
    </row>
    <row r="2" spans="1:11" ht="21" customHeight="1" x14ac:dyDescent="0.15">
      <c r="A2" s="45">
        <v>58003000</v>
      </c>
      <c r="B2" s="45">
        <v>0</v>
      </c>
      <c r="C2" s="45" t="s">
        <v>332</v>
      </c>
      <c r="D2" s="45">
        <v>60</v>
      </c>
      <c r="E2" s="45" t="s">
        <v>332</v>
      </c>
      <c r="F2" s="45" t="s">
        <v>332</v>
      </c>
      <c r="G2" s="45" t="s">
        <v>332</v>
      </c>
      <c r="H2" s="45" t="s">
        <v>332</v>
      </c>
      <c r="I2" s="45" t="s">
        <v>332</v>
      </c>
      <c r="J2" s="46">
        <f t="shared" ref="J2" si="0">D2</f>
        <v>60</v>
      </c>
    </row>
    <row r="3" spans="1:11" ht="21" customHeight="1" x14ac:dyDescent="0.15">
      <c r="A3" s="45">
        <v>58003001</v>
      </c>
      <c r="B3" s="45">
        <v>0</v>
      </c>
      <c r="C3" s="45" t="s">
        <v>332</v>
      </c>
      <c r="D3" s="45">
        <v>100</v>
      </c>
      <c r="E3" s="45" t="s">
        <v>332</v>
      </c>
      <c r="F3" s="45" t="s">
        <v>332</v>
      </c>
      <c r="G3" s="45" t="s">
        <v>332</v>
      </c>
      <c r="H3" s="45" t="s">
        <v>332</v>
      </c>
      <c r="I3" s="45" t="s">
        <v>332</v>
      </c>
      <c r="J3" s="46">
        <f t="shared" ref="J3:J66" si="1">D3</f>
        <v>100</v>
      </c>
    </row>
    <row r="4" spans="1:11" ht="21" customHeight="1" x14ac:dyDescent="0.15">
      <c r="A4" s="45">
        <v>58003002</v>
      </c>
      <c r="B4" s="45">
        <v>0</v>
      </c>
      <c r="C4" s="45" t="s">
        <v>332</v>
      </c>
      <c r="D4" s="45">
        <v>100</v>
      </c>
      <c r="E4" s="45" t="s">
        <v>332</v>
      </c>
      <c r="F4" s="45" t="s">
        <v>332</v>
      </c>
      <c r="G4" s="45" t="s">
        <v>332</v>
      </c>
      <c r="H4" s="45" t="s">
        <v>332</v>
      </c>
      <c r="I4" s="45" t="s">
        <v>332</v>
      </c>
      <c r="J4" s="46">
        <f t="shared" si="1"/>
        <v>100</v>
      </c>
    </row>
    <row r="5" spans="1:11" ht="21" customHeight="1" x14ac:dyDescent="0.15">
      <c r="A5" s="45">
        <v>58003003</v>
      </c>
      <c r="B5" s="45">
        <v>0</v>
      </c>
      <c r="C5" s="45" t="s">
        <v>332</v>
      </c>
      <c r="D5" s="45">
        <v>100</v>
      </c>
      <c r="E5" s="45" t="s">
        <v>332</v>
      </c>
      <c r="F5" s="45" t="s">
        <v>332</v>
      </c>
      <c r="G5" s="45" t="s">
        <v>332</v>
      </c>
      <c r="H5" s="45" t="s">
        <v>332</v>
      </c>
      <c r="I5" s="45" t="s">
        <v>332</v>
      </c>
      <c r="J5" s="46">
        <f t="shared" si="1"/>
        <v>100</v>
      </c>
    </row>
    <row r="6" spans="1:11" ht="21" customHeight="1" x14ac:dyDescent="0.15">
      <c r="A6" s="45">
        <v>58003004</v>
      </c>
      <c r="B6" s="45">
        <v>0</v>
      </c>
      <c r="C6" s="45" t="s">
        <v>332</v>
      </c>
      <c r="D6" s="45">
        <v>100</v>
      </c>
      <c r="E6" s="45" t="s">
        <v>332</v>
      </c>
      <c r="F6" s="45" t="s">
        <v>332</v>
      </c>
      <c r="G6" s="45" t="s">
        <v>332</v>
      </c>
      <c r="H6" s="45" t="s">
        <v>332</v>
      </c>
      <c r="I6" s="45" t="s">
        <v>332</v>
      </c>
      <c r="J6" s="46">
        <f t="shared" si="1"/>
        <v>100</v>
      </c>
    </row>
    <row r="7" spans="1:11" ht="21" customHeight="1" x14ac:dyDescent="0.15">
      <c r="A7" s="45">
        <v>58003005</v>
      </c>
      <c r="B7" s="45">
        <v>0</v>
      </c>
      <c r="C7" s="45" t="s">
        <v>332</v>
      </c>
      <c r="D7" s="45">
        <v>60</v>
      </c>
      <c r="E7" s="45" t="s">
        <v>332</v>
      </c>
      <c r="F7" s="45" t="s">
        <v>332</v>
      </c>
      <c r="G7" s="45" t="s">
        <v>332</v>
      </c>
      <c r="H7" s="45" t="s">
        <v>332</v>
      </c>
      <c r="I7" s="45" t="s">
        <v>332</v>
      </c>
      <c r="J7" s="46">
        <f t="shared" si="1"/>
        <v>60</v>
      </c>
    </row>
    <row r="8" spans="1:11" ht="21" customHeight="1" x14ac:dyDescent="0.15">
      <c r="A8" s="45">
        <v>58003006</v>
      </c>
      <c r="B8" s="45">
        <v>0</v>
      </c>
      <c r="C8" s="45" t="s">
        <v>332</v>
      </c>
      <c r="D8" s="45">
        <v>100</v>
      </c>
      <c r="E8" s="45" t="s">
        <v>332</v>
      </c>
      <c r="F8" s="45" t="s">
        <v>332</v>
      </c>
      <c r="G8" s="45" t="s">
        <v>332</v>
      </c>
      <c r="H8" s="45" t="s">
        <v>332</v>
      </c>
      <c r="I8" s="45" t="s">
        <v>332</v>
      </c>
      <c r="J8" s="46">
        <f t="shared" si="1"/>
        <v>100</v>
      </c>
    </row>
    <row r="9" spans="1:11" ht="21" customHeight="1" x14ac:dyDescent="0.15">
      <c r="A9" s="45">
        <v>58003007</v>
      </c>
      <c r="B9" s="45">
        <v>0</v>
      </c>
      <c r="C9" s="45" t="s">
        <v>332</v>
      </c>
      <c r="D9" s="45">
        <v>100</v>
      </c>
      <c r="E9" s="45" t="s">
        <v>332</v>
      </c>
      <c r="F9" s="45" t="s">
        <v>332</v>
      </c>
      <c r="G9" s="45" t="s">
        <v>332</v>
      </c>
      <c r="H9" s="45" t="s">
        <v>332</v>
      </c>
      <c r="I9" s="45" t="s">
        <v>332</v>
      </c>
      <c r="J9" s="46">
        <f t="shared" si="1"/>
        <v>100</v>
      </c>
    </row>
    <row r="10" spans="1:11" ht="21" customHeight="1" x14ac:dyDescent="0.15">
      <c r="A10" s="45">
        <v>58003008</v>
      </c>
      <c r="B10" s="45">
        <v>0</v>
      </c>
      <c r="C10" s="45" t="s">
        <v>332</v>
      </c>
      <c r="D10" s="45">
        <v>100</v>
      </c>
      <c r="E10" s="45" t="s">
        <v>332</v>
      </c>
      <c r="F10" s="45" t="s">
        <v>332</v>
      </c>
      <c r="G10" s="45" t="s">
        <v>332</v>
      </c>
      <c r="H10" s="45" t="s">
        <v>332</v>
      </c>
      <c r="I10" s="45" t="s">
        <v>332</v>
      </c>
      <c r="J10" s="46">
        <f t="shared" si="1"/>
        <v>100</v>
      </c>
    </row>
    <row r="11" spans="1:11" ht="21" customHeight="1" x14ac:dyDescent="0.15">
      <c r="A11" s="45">
        <v>58003009</v>
      </c>
      <c r="B11" s="45">
        <v>0</v>
      </c>
      <c r="C11" s="45" t="s">
        <v>332</v>
      </c>
      <c r="D11" s="45">
        <v>100</v>
      </c>
      <c r="E11" s="45" t="s">
        <v>332</v>
      </c>
      <c r="F11" s="45" t="s">
        <v>332</v>
      </c>
      <c r="G11" s="45" t="s">
        <v>332</v>
      </c>
      <c r="H11" s="45" t="s">
        <v>332</v>
      </c>
      <c r="I11" s="45" t="s">
        <v>332</v>
      </c>
      <c r="J11" s="46">
        <f t="shared" si="1"/>
        <v>100</v>
      </c>
    </row>
    <row r="12" spans="1:11" ht="21" customHeight="1" x14ac:dyDescent="0.15">
      <c r="A12" s="45">
        <v>58003010</v>
      </c>
      <c r="B12" s="45">
        <v>1</v>
      </c>
      <c r="C12" s="45" t="s">
        <v>332</v>
      </c>
      <c r="D12" s="45">
        <v>100</v>
      </c>
      <c r="E12" s="45" t="s">
        <v>332</v>
      </c>
      <c r="F12" s="45" t="s">
        <v>332</v>
      </c>
      <c r="G12" s="45">
        <v>1</v>
      </c>
      <c r="H12" s="45" t="s">
        <v>332</v>
      </c>
      <c r="I12" s="45" t="s">
        <v>332</v>
      </c>
      <c r="J12" s="46">
        <f t="shared" si="1"/>
        <v>100</v>
      </c>
    </row>
    <row r="13" spans="1:11" ht="21" customHeight="1" x14ac:dyDescent="0.15">
      <c r="A13" s="45">
        <v>58003011</v>
      </c>
      <c r="B13" s="45">
        <v>0</v>
      </c>
      <c r="C13" s="45">
        <v>90</v>
      </c>
      <c r="D13" s="45">
        <v>100</v>
      </c>
      <c r="E13" s="45" t="s">
        <v>332</v>
      </c>
      <c r="F13" s="45" t="s">
        <v>332</v>
      </c>
      <c r="G13" s="45" t="s">
        <v>332</v>
      </c>
      <c r="H13" s="45">
        <v>2</v>
      </c>
      <c r="I13" s="45" t="s">
        <v>332</v>
      </c>
      <c r="J13" s="46">
        <f t="shared" si="1"/>
        <v>100</v>
      </c>
    </row>
    <row r="14" spans="1:11" ht="21" customHeight="1" x14ac:dyDescent="0.15">
      <c r="A14" s="45">
        <v>58003012</v>
      </c>
      <c r="B14" s="45">
        <v>0</v>
      </c>
      <c r="C14" s="45">
        <v>100</v>
      </c>
      <c r="D14" s="45">
        <v>100</v>
      </c>
      <c r="E14" s="45" t="s">
        <v>332</v>
      </c>
      <c r="F14" s="45" t="s">
        <v>332</v>
      </c>
      <c r="G14" s="45" t="s">
        <v>332</v>
      </c>
      <c r="H14" s="45">
        <v>3</v>
      </c>
      <c r="I14" s="45" t="s">
        <v>332</v>
      </c>
      <c r="J14" s="46">
        <f t="shared" si="1"/>
        <v>100</v>
      </c>
    </row>
    <row r="15" spans="1:11" ht="21" customHeight="1" x14ac:dyDescent="0.15">
      <c r="A15" s="45">
        <v>58003013</v>
      </c>
      <c r="B15" s="45">
        <v>0</v>
      </c>
      <c r="C15" s="45">
        <v>80</v>
      </c>
      <c r="D15" s="45">
        <v>100</v>
      </c>
      <c r="E15" s="45" t="s">
        <v>332</v>
      </c>
      <c r="F15" s="45" t="s">
        <v>332</v>
      </c>
      <c r="G15" s="45" t="s">
        <v>332</v>
      </c>
      <c r="H15" s="45" t="s">
        <v>332</v>
      </c>
      <c r="I15" s="45" t="s">
        <v>332</v>
      </c>
      <c r="J15" s="46">
        <f t="shared" si="1"/>
        <v>100</v>
      </c>
    </row>
    <row r="16" spans="1:11" ht="21" customHeight="1" x14ac:dyDescent="0.15">
      <c r="A16" s="45">
        <v>58003014</v>
      </c>
      <c r="B16" s="45">
        <v>0</v>
      </c>
      <c r="C16" s="45" t="s">
        <v>332</v>
      </c>
      <c r="D16" s="45">
        <v>100</v>
      </c>
      <c r="E16" s="45" t="s">
        <v>332</v>
      </c>
      <c r="F16" s="45" t="s">
        <v>332</v>
      </c>
      <c r="G16" s="45" t="s">
        <v>332</v>
      </c>
      <c r="H16" s="45" t="s">
        <v>332</v>
      </c>
      <c r="I16" s="45" t="s">
        <v>332</v>
      </c>
      <c r="J16" s="46">
        <f t="shared" si="1"/>
        <v>100</v>
      </c>
    </row>
    <row r="17" spans="1:10" ht="21" customHeight="1" x14ac:dyDescent="0.15">
      <c r="A17" s="45">
        <v>58003015</v>
      </c>
      <c r="B17" s="45">
        <v>0</v>
      </c>
      <c r="C17" s="45" t="s">
        <v>332</v>
      </c>
      <c r="D17" s="45">
        <v>100</v>
      </c>
      <c r="E17" s="45" t="s">
        <v>332</v>
      </c>
      <c r="F17" s="45" t="s">
        <v>332</v>
      </c>
      <c r="G17" s="45" t="s">
        <v>332</v>
      </c>
      <c r="H17" s="45" t="s">
        <v>332</v>
      </c>
      <c r="I17" s="45" t="s">
        <v>332</v>
      </c>
      <c r="J17" s="46">
        <f t="shared" si="1"/>
        <v>100</v>
      </c>
    </row>
    <row r="18" spans="1:10" ht="21" customHeight="1" x14ac:dyDescent="0.15">
      <c r="A18" s="45">
        <v>58003016</v>
      </c>
      <c r="B18" s="45">
        <v>0</v>
      </c>
      <c r="C18" s="45" t="s">
        <v>332</v>
      </c>
      <c r="D18" s="45">
        <v>100</v>
      </c>
      <c r="E18" s="45" t="s">
        <v>332</v>
      </c>
      <c r="F18" s="45" t="s">
        <v>332</v>
      </c>
      <c r="G18" s="45" t="s">
        <v>332</v>
      </c>
      <c r="H18" s="45" t="s">
        <v>332</v>
      </c>
      <c r="I18" s="45" t="s">
        <v>332</v>
      </c>
      <c r="J18" s="46">
        <f t="shared" si="1"/>
        <v>100</v>
      </c>
    </row>
    <row r="19" spans="1:10" ht="21" customHeight="1" x14ac:dyDescent="0.15">
      <c r="A19" s="45">
        <v>58003017</v>
      </c>
      <c r="B19" s="45">
        <v>0</v>
      </c>
      <c r="C19" s="45" t="s">
        <v>332</v>
      </c>
      <c r="D19" s="45">
        <v>100</v>
      </c>
      <c r="E19" s="45" t="s">
        <v>332</v>
      </c>
      <c r="F19" s="45" t="s">
        <v>332</v>
      </c>
      <c r="G19" s="45" t="s">
        <v>332</v>
      </c>
      <c r="H19" s="45" t="s">
        <v>332</v>
      </c>
      <c r="I19" s="45" t="s">
        <v>332</v>
      </c>
      <c r="J19" s="46">
        <f t="shared" si="1"/>
        <v>100</v>
      </c>
    </row>
    <row r="20" spans="1:10" ht="21" customHeight="1" x14ac:dyDescent="0.15">
      <c r="A20" s="45">
        <v>58003018</v>
      </c>
      <c r="B20" s="45">
        <v>0</v>
      </c>
      <c r="C20" s="45" t="s">
        <v>332</v>
      </c>
      <c r="D20" s="45">
        <v>100</v>
      </c>
      <c r="E20" s="45" t="s">
        <v>332</v>
      </c>
      <c r="F20" s="45" t="s">
        <v>332</v>
      </c>
      <c r="G20" s="45" t="s">
        <v>332</v>
      </c>
      <c r="H20" s="45" t="s">
        <v>332</v>
      </c>
      <c r="I20" s="45" t="s">
        <v>332</v>
      </c>
      <c r="J20" s="46">
        <f t="shared" si="1"/>
        <v>100</v>
      </c>
    </row>
    <row r="21" spans="1:10" ht="21" customHeight="1" x14ac:dyDescent="0.15">
      <c r="A21" s="45">
        <v>58003019</v>
      </c>
      <c r="B21" s="45">
        <v>0</v>
      </c>
      <c r="C21" s="45" t="s">
        <v>332</v>
      </c>
      <c r="D21" s="45">
        <v>100</v>
      </c>
      <c r="E21" s="45" t="s">
        <v>332</v>
      </c>
      <c r="F21" s="45" t="s">
        <v>332</v>
      </c>
      <c r="G21" s="45" t="s">
        <v>332</v>
      </c>
      <c r="H21" s="45" t="s">
        <v>332</v>
      </c>
      <c r="I21" s="45" t="s">
        <v>332</v>
      </c>
      <c r="J21" s="46">
        <f t="shared" si="1"/>
        <v>100</v>
      </c>
    </row>
    <row r="22" spans="1:10" ht="21" customHeight="1" x14ac:dyDescent="0.15">
      <c r="A22" s="45">
        <v>58003020</v>
      </c>
      <c r="B22" s="45">
        <v>1</v>
      </c>
      <c r="C22" s="45" t="s">
        <v>332</v>
      </c>
      <c r="D22" s="45">
        <v>100</v>
      </c>
      <c r="E22" s="45" t="s">
        <v>332</v>
      </c>
      <c r="F22" s="45" t="s">
        <v>332</v>
      </c>
      <c r="G22" s="45">
        <v>1</v>
      </c>
      <c r="H22" s="45" t="s">
        <v>332</v>
      </c>
      <c r="I22" s="45" t="s">
        <v>332</v>
      </c>
      <c r="J22" s="46">
        <f t="shared" si="1"/>
        <v>100</v>
      </c>
    </row>
    <row r="23" spans="1:10" ht="21" customHeight="1" x14ac:dyDescent="0.15">
      <c r="A23" s="45">
        <v>58003021</v>
      </c>
      <c r="B23" s="45">
        <v>0</v>
      </c>
      <c r="C23" s="45">
        <v>90</v>
      </c>
      <c r="D23" s="45">
        <v>100</v>
      </c>
      <c r="E23" s="45" t="s">
        <v>332</v>
      </c>
      <c r="F23" s="45" t="s">
        <v>332</v>
      </c>
      <c r="G23" s="45" t="s">
        <v>332</v>
      </c>
      <c r="H23" s="45">
        <v>2</v>
      </c>
      <c r="I23" s="45" t="s">
        <v>332</v>
      </c>
      <c r="J23" s="46">
        <f t="shared" si="1"/>
        <v>100</v>
      </c>
    </row>
    <row r="24" spans="1:10" ht="21" customHeight="1" x14ac:dyDescent="0.15">
      <c r="A24" s="45">
        <v>58003022</v>
      </c>
      <c r="B24" s="45">
        <v>0</v>
      </c>
      <c r="C24" s="45">
        <v>100</v>
      </c>
      <c r="D24" s="45">
        <v>100</v>
      </c>
      <c r="E24" s="45" t="s">
        <v>332</v>
      </c>
      <c r="F24" s="45" t="s">
        <v>332</v>
      </c>
      <c r="G24" s="45" t="s">
        <v>332</v>
      </c>
      <c r="H24" s="45">
        <v>3</v>
      </c>
      <c r="I24" s="45" t="s">
        <v>332</v>
      </c>
      <c r="J24" s="46">
        <f t="shared" si="1"/>
        <v>100</v>
      </c>
    </row>
    <row r="25" spans="1:10" ht="21" customHeight="1" x14ac:dyDescent="0.15">
      <c r="A25" s="45">
        <v>58003023</v>
      </c>
      <c r="B25" s="45">
        <v>0</v>
      </c>
      <c r="C25" s="45">
        <v>80</v>
      </c>
      <c r="D25" s="45">
        <v>100</v>
      </c>
      <c r="E25" s="45" t="s">
        <v>332</v>
      </c>
      <c r="F25" s="45" t="s">
        <v>332</v>
      </c>
      <c r="G25" s="45" t="s">
        <v>332</v>
      </c>
      <c r="H25" s="45" t="s">
        <v>332</v>
      </c>
      <c r="I25" s="45" t="s">
        <v>332</v>
      </c>
      <c r="J25" s="46">
        <f t="shared" si="1"/>
        <v>100</v>
      </c>
    </row>
    <row r="26" spans="1:10" ht="21" customHeight="1" x14ac:dyDescent="0.15">
      <c r="A26" s="45">
        <v>58003024</v>
      </c>
      <c r="B26" s="45">
        <v>0</v>
      </c>
      <c r="C26" s="45">
        <v>210</v>
      </c>
      <c r="D26" s="45">
        <v>100</v>
      </c>
      <c r="E26" s="45">
        <v>50</v>
      </c>
      <c r="F26" s="45" t="s">
        <v>332</v>
      </c>
      <c r="G26" s="45">
        <v>1</v>
      </c>
      <c r="H26" s="45" t="s">
        <v>332</v>
      </c>
      <c r="I26" s="45" t="s">
        <v>332</v>
      </c>
      <c r="J26" s="46">
        <f t="shared" si="1"/>
        <v>100</v>
      </c>
    </row>
    <row r="27" spans="1:10" ht="21" customHeight="1" x14ac:dyDescent="0.15">
      <c r="A27" s="45">
        <v>58003025</v>
      </c>
      <c r="B27" s="45">
        <v>0</v>
      </c>
      <c r="C27" s="45">
        <v>190</v>
      </c>
      <c r="D27" s="45">
        <v>100</v>
      </c>
      <c r="E27" s="45">
        <v>50</v>
      </c>
      <c r="F27" s="45" t="s">
        <v>332</v>
      </c>
      <c r="G27" s="45" t="s">
        <v>332</v>
      </c>
      <c r="H27" s="45">
        <v>2</v>
      </c>
      <c r="I27" s="45" t="s">
        <v>332</v>
      </c>
      <c r="J27" s="46">
        <f t="shared" si="1"/>
        <v>100</v>
      </c>
    </row>
    <row r="28" spans="1:10" ht="21" customHeight="1" x14ac:dyDescent="0.15">
      <c r="A28" s="45">
        <v>58003026</v>
      </c>
      <c r="B28" s="45">
        <v>0</v>
      </c>
      <c r="C28" s="45">
        <v>200</v>
      </c>
      <c r="D28" s="45">
        <v>100</v>
      </c>
      <c r="E28" s="45">
        <v>50</v>
      </c>
      <c r="F28" s="45" t="s">
        <v>332</v>
      </c>
      <c r="G28" s="45" t="s">
        <v>332</v>
      </c>
      <c r="H28" s="45">
        <v>3</v>
      </c>
      <c r="I28" s="45" t="s">
        <v>332</v>
      </c>
      <c r="J28" s="46">
        <f t="shared" si="1"/>
        <v>100</v>
      </c>
    </row>
    <row r="29" spans="1:10" ht="21" customHeight="1" x14ac:dyDescent="0.15">
      <c r="A29" s="45">
        <v>58003027</v>
      </c>
      <c r="B29" s="45">
        <v>0</v>
      </c>
      <c r="C29" s="45">
        <v>180</v>
      </c>
      <c r="D29" s="45">
        <v>100</v>
      </c>
      <c r="E29" s="45">
        <v>50</v>
      </c>
      <c r="F29" s="45" t="s">
        <v>332</v>
      </c>
      <c r="G29" s="45" t="s">
        <v>332</v>
      </c>
      <c r="H29" s="45" t="s">
        <v>332</v>
      </c>
      <c r="I29" s="45" t="s">
        <v>332</v>
      </c>
      <c r="J29" s="46">
        <f t="shared" si="1"/>
        <v>100</v>
      </c>
    </row>
    <row r="30" spans="1:10" ht="21" customHeight="1" x14ac:dyDescent="0.15">
      <c r="A30" s="45">
        <v>58003028</v>
      </c>
      <c r="B30" s="45">
        <v>0</v>
      </c>
      <c r="C30" s="45" t="s">
        <v>332</v>
      </c>
      <c r="D30" s="45">
        <v>100</v>
      </c>
      <c r="E30" s="45" t="s">
        <v>332</v>
      </c>
      <c r="F30" s="45" t="s">
        <v>332</v>
      </c>
      <c r="G30" s="45" t="s">
        <v>332</v>
      </c>
      <c r="H30" s="45" t="s">
        <v>332</v>
      </c>
      <c r="I30" s="45" t="s">
        <v>332</v>
      </c>
      <c r="J30" s="46">
        <f t="shared" si="1"/>
        <v>100</v>
      </c>
    </row>
    <row r="31" spans="1:10" ht="21" customHeight="1" x14ac:dyDescent="0.15">
      <c r="A31" s="45">
        <v>58003029</v>
      </c>
      <c r="B31" s="45">
        <v>0</v>
      </c>
      <c r="C31" s="45" t="s">
        <v>332</v>
      </c>
      <c r="D31" s="45">
        <v>100</v>
      </c>
      <c r="E31" s="45" t="s">
        <v>332</v>
      </c>
      <c r="F31" s="45" t="s">
        <v>332</v>
      </c>
      <c r="G31" s="45" t="s">
        <v>332</v>
      </c>
      <c r="H31" s="45" t="s">
        <v>332</v>
      </c>
      <c r="I31" s="45" t="s">
        <v>332</v>
      </c>
      <c r="J31" s="46">
        <f t="shared" si="1"/>
        <v>100</v>
      </c>
    </row>
    <row r="32" spans="1:10" ht="21" customHeight="1" x14ac:dyDescent="0.15">
      <c r="A32" s="45">
        <v>58003030</v>
      </c>
      <c r="B32" s="45">
        <v>0</v>
      </c>
      <c r="C32" s="45">
        <v>100</v>
      </c>
      <c r="D32" s="45">
        <v>100</v>
      </c>
      <c r="E32" s="45" t="s">
        <v>332</v>
      </c>
      <c r="F32" s="45" t="s">
        <v>332</v>
      </c>
      <c r="G32" s="45" t="s">
        <v>332</v>
      </c>
      <c r="H32" s="45" t="s">
        <v>332</v>
      </c>
      <c r="I32" s="45" t="s">
        <v>332</v>
      </c>
      <c r="J32" s="46">
        <f t="shared" si="1"/>
        <v>100</v>
      </c>
    </row>
    <row r="33" spans="1:10" ht="21" customHeight="1" x14ac:dyDescent="0.15">
      <c r="A33" s="45">
        <v>58003031</v>
      </c>
      <c r="B33" s="45">
        <v>0</v>
      </c>
      <c r="C33" s="45">
        <v>90</v>
      </c>
      <c r="D33" s="45">
        <v>100</v>
      </c>
      <c r="E33" s="45" t="s">
        <v>332</v>
      </c>
      <c r="F33" s="45" t="s">
        <v>332</v>
      </c>
      <c r="G33" s="45" t="s">
        <v>332</v>
      </c>
      <c r="H33" s="45">
        <v>2</v>
      </c>
      <c r="I33" s="45" t="s">
        <v>332</v>
      </c>
      <c r="J33" s="46">
        <f t="shared" si="1"/>
        <v>100</v>
      </c>
    </row>
    <row r="34" spans="1:10" ht="21" customHeight="1" x14ac:dyDescent="0.15">
      <c r="A34" s="45">
        <v>58003032</v>
      </c>
      <c r="B34" s="45">
        <v>0</v>
      </c>
      <c r="C34" s="45" t="s">
        <v>332</v>
      </c>
      <c r="D34" s="45">
        <v>100</v>
      </c>
      <c r="E34" s="45" t="s">
        <v>332</v>
      </c>
      <c r="F34" s="45" t="s">
        <v>332</v>
      </c>
      <c r="G34" s="45">
        <v>1</v>
      </c>
      <c r="H34" s="45" t="s">
        <v>332</v>
      </c>
      <c r="I34" s="45">
        <v>57</v>
      </c>
      <c r="J34" s="46">
        <f t="shared" si="1"/>
        <v>100</v>
      </c>
    </row>
    <row r="35" spans="1:10" ht="21" customHeight="1" x14ac:dyDescent="0.15">
      <c r="A35" s="45">
        <v>58003033</v>
      </c>
      <c r="B35" s="45">
        <v>0</v>
      </c>
      <c r="C35" s="45" t="s">
        <v>332</v>
      </c>
      <c r="D35" s="45">
        <v>100</v>
      </c>
      <c r="E35" s="45" t="s">
        <v>332</v>
      </c>
      <c r="F35" s="45" t="s">
        <v>332</v>
      </c>
      <c r="G35" s="45">
        <v>1</v>
      </c>
      <c r="H35" s="45" t="s">
        <v>332</v>
      </c>
      <c r="I35" s="45">
        <v>57</v>
      </c>
      <c r="J35" s="46">
        <f t="shared" si="1"/>
        <v>100</v>
      </c>
    </row>
    <row r="36" spans="1:10" ht="21" customHeight="1" x14ac:dyDescent="0.15">
      <c r="A36" s="45">
        <v>58003034</v>
      </c>
      <c r="B36" s="45">
        <v>0</v>
      </c>
      <c r="C36" s="45" t="s">
        <v>332</v>
      </c>
      <c r="D36" s="45">
        <v>100</v>
      </c>
      <c r="E36" s="45" t="s">
        <v>332</v>
      </c>
      <c r="F36" s="45" t="s">
        <v>332</v>
      </c>
      <c r="G36" s="45" t="s">
        <v>332</v>
      </c>
      <c r="H36" s="45" t="s">
        <v>332</v>
      </c>
      <c r="I36" s="45" t="s">
        <v>332</v>
      </c>
      <c r="J36" s="46">
        <f t="shared" si="1"/>
        <v>100</v>
      </c>
    </row>
    <row r="37" spans="1:10" ht="21" customHeight="1" x14ac:dyDescent="0.15">
      <c r="A37" s="45">
        <v>58003035</v>
      </c>
      <c r="B37" s="45">
        <v>0</v>
      </c>
      <c r="C37" s="45">
        <v>100</v>
      </c>
      <c r="D37" s="45">
        <v>50</v>
      </c>
      <c r="E37" s="45" t="s">
        <v>332</v>
      </c>
      <c r="F37" s="45" t="s">
        <v>332</v>
      </c>
      <c r="G37" s="45" t="s">
        <v>332</v>
      </c>
      <c r="H37" s="45">
        <v>3</v>
      </c>
      <c r="I37" s="45" t="s">
        <v>332</v>
      </c>
      <c r="J37" s="46">
        <f t="shared" si="1"/>
        <v>50</v>
      </c>
    </row>
    <row r="38" spans="1:10" ht="21" customHeight="1" x14ac:dyDescent="0.15">
      <c r="A38" s="45">
        <v>58003036</v>
      </c>
      <c r="B38" s="45">
        <v>0</v>
      </c>
      <c r="C38" s="45">
        <v>90</v>
      </c>
      <c r="D38" s="45">
        <v>50</v>
      </c>
      <c r="E38" s="45" t="s">
        <v>332</v>
      </c>
      <c r="F38" s="45" t="s">
        <v>332</v>
      </c>
      <c r="G38" s="45" t="s">
        <v>332</v>
      </c>
      <c r="H38" s="45" t="s">
        <v>332</v>
      </c>
      <c r="I38" s="45" t="s">
        <v>332</v>
      </c>
      <c r="J38" s="46">
        <f t="shared" si="1"/>
        <v>50</v>
      </c>
    </row>
    <row r="39" spans="1:10" ht="21" customHeight="1" x14ac:dyDescent="0.15">
      <c r="A39" s="45">
        <v>58003037</v>
      </c>
      <c r="B39" s="45">
        <v>0</v>
      </c>
      <c r="C39" s="45" t="s">
        <v>332</v>
      </c>
      <c r="D39" s="45">
        <v>100</v>
      </c>
      <c r="E39" s="45" t="s">
        <v>332</v>
      </c>
      <c r="F39" s="45" t="s">
        <v>332</v>
      </c>
      <c r="G39" s="45" t="s">
        <v>332</v>
      </c>
      <c r="H39" s="45" t="s">
        <v>332</v>
      </c>
      <c r="I39" s="45" t="s">
        <v>332</v>
      </c>
      <c r="J39" s="46">
        <f t="shared" si="1"/>
        <v>100</v>
      </c>
    </row>
    <row r="40" spans="1:10" ht="21" customHeight="1" x14ac:dyDescent="0.15">
      <c r="A40" s="45">
        <v>58003038</v>
      </c>
      <c r="B40" s="45">
        <v>0</v>
      </c>
      <c r="C40" s="45" t="s">
        <v>332</v>
      </c>
      <c r="D40" s="45">
        <v>100</v>
      </c>
      <c r="E40" s="45" t="s">
        <v>332</v>
      </c>
      <c r="F40" s="45" t="s">
        <v>332</v>
      </c>
      <c r="G40" s="45" t="s">
        <v>332</v>
      </c>
      <c r="H40" s="45" t="s">
        <v>332</v>
      </c>
      <c r="I40" s="45" t="s">
        <v>332</v>
      </c>
      <c r="J40" s="46">
        <f t="shared" si="1"/>
        <v>100</v>
      </c>
    </row>
    <row r="41" spans="1:10" ht="21" customHeight="1" x14ac:dyDescent="0.15">
      <c r="A41" s="45">
        <v>58003039</v>
      </c>
      <c r="B41" s="45">
        <v>0</v>
      </c>
      <c r="C41" s="45" t="s">
        <v>332</v>
      </c>
      <c r="D41" s="45">
        <v>100</v>
      </c>
      <c r="E41" s="45" t="s">
        <v>332</v>
      </c>
      <c r="F41" s="45" t="s">
        <v>332</v>
      </c>
      <c r="G41" s="45" t="s">
        <v>332</v>
      </c>
      <c r="H41" s="45" t="s">
        <v>332</v>
      </c>
      <c r="I41" s="45" t="s">
        <v>332</v>
      </c>
      <c r="J41" s="46">
        <f t="shared" si="1"/>
        <v>100</v>
      </c>
    </row>
    <row r="42" spans="1:10" ht="21" customHeight="1" x14ac:dyDescent="0.15">
      <c r="A42" s="45">
        <v>58003040</v>
      </c>
      <c r="B42" s="45">
        <v>1</v>
      </c>
      <c r="C42" s="45" t="s">
        <v>332</v>
      </c>
      <c r="D42" s="45">
        <v>100</v>
      </c>
      <c r="E42" s="45" t="s">
        <v>332</v>
      </c>
      <c r="F42" s="45" t="s">
        <v>332</v>
      </c>
      <c r="G42" s="45">
        <v>1</v>
      </c>
      <c r="H42" s="45" t="s">
        <v>332</v>
      </c>
      <c r="I42" s="45" t="s">
        <v>332</v>
      </c>
      <c r="J42" s="46">
        <f t="shared" si="1"/>
        <v>100</v>
      </c>
    </row>
    <row r="43" spans="1:10" ht="21" customHeight="1" x14ac:dyDescent="0.15">
      <c r="A43" s="45">
        <v>58003041</v>
      </c>
      <c r="B43" s="45">
        <v>0</v>
      </c>
      <c r="C43" s="45">
        <v>100</v>
      </c>
      <c r="D43" s="45">
        <v>50</v>
      </c>
      <c r="E43" s="45" t="s">
        <v>332</v>
      </c>
      <c r="F43" s="45" t="s">
        <v>332</v>
      </c>
      <c r="G43" s="45" t="s">
        <v>332</v>
      </c>
      <c r="H43" s="45">
        <v>2</v>
      </c>
      <c r="I43" s="45" t="s">
        <v>332</v>
      </c>
      <c r="J43" s="46">
        <f t="shared" si="1"/>
        <v>50</v>
      </c>
    </row>
    <row r="44" spans="1:10" ht="21" customHeight="1" x14ac:dyDescent="0.15">
      <c r="A44" s="45">
        <v>58003042</v>
      </c>
      <c r="B44" s="45">
        <v>0</v>
      </c>
      <c r="C44" s="45">
        <v>90</v>
      </c>
      <c r="D44" s="45">
        <v>60</v>
      </c>
      <c r="E44" s="45" t="s">
        <v>332</v>
      </c>
      <c r="F44" s="45" t="s">
        <v>332</v>
      </c>
      <c r="G44" s="45" t="s">
        <v>332</v>
      </c>
      <c r="H44" s="45">
        <v>3</v>
      </c>
      <c r="I44" s="45" t="s">
        <v>332</v>
      </c>
      <c r="J44" s="46">
        <f t="shared" si="1"/>
        <v>60</v>
      </c>
    </row>
    <row r="45" spans="1:10" ht="21" customHeight="1" x14ac:dyDescent="0.15">
      <c r="A45" s="45">
        <v>58003043</v>
      </c>
      <c r="B45" s="45">
        <v>0</v>
      </c>
      <c r="C45" s="45">
        <v>80</v>
      </c>
      <c r="D45" s="45">
        <v>80</v>
      </c>
      <c r="E45" s="45" t="s">
        <v>332</v>
      </c>
      <c r="F45" s="45" t="s">
        <v>332</v>
      </c>
      <c r="G45" s="45" t="s">
        <v>332</v>
      </c>
      <c r="H45" s="45">
        <v>1</v>
      </c>
      <c r="I45" s="45" t="s">
        <v>332</v>
      </c>
      <c r="J45" s="46">
        <f t="shared" si="1"/>
        <v>80</v>
      </c>
    </row>
    <row r="46" spans="1:10" ht="21" customHeight="1" x14ac:dyDescent="0.15">
      <c r="A46" s="45">
        <v>58003044</v>
      </c>
      <c r="B46" s="45">
        <v>0</v>
      </c>
      <c r="C46" s="45" t="s">
        <v>332</v>
      </c>
      <c r="D46" s="45">
        <v>100</v>
      </c>
      <c r="E46" s="45" t="s">
        <v>332</v>
      </c>
      <c r="F46" s="45" t="s">
        <v>332</v>
      </c>
      <c r="G46" s="45" t="s">
        <v>332</v>
      </c>
      <c r="H46" s="45" t="s">
        <v>332</v>
      </c>
      <c r="I46" s="45" t="s">
        <v>332</v>
      </c>
      <c r="J46" s="46">
        <f t="shared" si="1"/>
        <v>100</v>
      </c>
    </row>
    <row r="47" spans="1:10" ht="21" customHeight="1" x14ac:dyDescent="0.15">
      <c r="A47" s="45">
        <v>58003045</v>
      </c>
      <c r="B47" s="45">
        <v>0</v>
      </c>
      <c r="C47" s="45" t="s">
        <v>332</v>
      </c>
      <c r="D47" s="45">
        <v>100</v>
      </c>
      <c r="E47" s="45" t="s">
        <v>332</v>
      </c>
      <c r="F47" s="45" t="s">
        <v>332</v>
      </c>
      <c r="G47" s="45" t="s">
        <v>332</v>
      </c>
      <c r="H47" s="45" t="s">
        <v>332</v>
      </c>
      <c r="I47" s="45" t="s">
        <v>332</v>
      </c>
      <c r="J47" s="46">
        <f t="shared" si="1"/>
        <v>100</v>
      </c>
    </row>
    <row r="48" spans="1:10" ht="21" customHeight="1" x14ac:dyDescent="0.15">
      <c r="A48" s="45">
        <v>58003046</v>
      </c>
      <c r="B48" s="45">
        <v>0</v>
      </c>
      <c r="C48" s="45" t="s">
        <v>332</v>
      </c>
      <c r="D48" s="45">
        <v>100</v>
      </c>
      <c r="E48" s="45" t="s">
        <v>332</v>
      </c>
      <c r="F48" s="45" t="s">
        <v>332</v>
      </c>
      <c r="G48" s="45" t="s">
        <v>332</v>
      </c>
      <c r="H48" s="45" t="s">
        <v>332</v>
      </c>
      <c r="I48" s="45" t="s">
        <v>332</v>
      </c>
      <c r="J48" s="46">
        <f t="shared" si="1"/>
        <v>100</v>
      </c>
    </row>
    <row r="49" spans="1:10" ht="21" customHeight="1" x14ac:dyDescent="0.15">
      <c r="A49" s="45">
        <v>58003047</v>
      </c>
      <c r="B49" s="45">
        <v>0</v>
      </c>
      <c r="C49" s="45" t="s">
        <v>332</v>
      </c>
      <c r="D49" s="45">
        <v>100</v>
      </c>
      <c r="E49" s="45" t="s">
        <v>332</v>
      </c>
      <c r="F49" s="45" t="s">
        <v>332</v>
      </c>
      <c r="G49" s="45" t="s">
        <v>332</v>
      </c>
      <c r="H49" s="45" t="s">
        <v>332</v>
      </c>
      <c r="I49" s="45" t="s">
        <v>332</v>
      </c>
      <c r="J49" s="46">
        <f t="shared" si="1"/>
        <v>100</v>
      </c>
    </row>
    <row r="50" spans="1:10" ht="21" customHeight="1" x14ac:dyDescent="0.15">
      <c r="A50" s="45">
        <v>58003048</v>
      </c>
      <c r="B50" s="45">
        <v>0</v>
      </c>
      <c r="C50" s="45" t="s">
        <v>332</v>
      </c>
      <c r="D50" s="45">
        <v>100</v>
      </c>
      <c r="E50" s="45" t="s">
        <v>332</v>
      </c>
      <c r="F50" s="45" t="s">
        <v>332</v>
      </c>
      <c r="G50" s="45" t="s">
        <v>332</v>
      </c>
      <c r="H50" s="45" t="s">
        <v>332</v>
      </c>
      <c r="I50" s="45" t="s">
        <v>332</v>
      </c>
      <c r="J50" s="46">
        <f t="shared" si="1"/>
        <v>100</v>
      </c>
    </row>
    <row r="51" spans="1:10" ht="21" customHeight="1" x14ac:dyDescent="0.15">
      <c r="A51" s="45">
        <v>58003049</v>
      </c>
      <c r="B51" s="45">
        <v>0</v>
      </c>
      <c r="C51" s="45" t="s">
        <v>332</v>
      </c>
      <c r="D51" s="45">
        <v>100</v>
      </c>
      <c r="E51" s="45" t="s">
        <v>332</v>
      </c>
      <c r="F51" s="45" t="s">
        <v>332</v>
      </c>
      <c r="G51" s="45" t="s">
        <v>332</v>
      </c>
      <c r="H51" s="45" t="s">
        <v>332</v>
      </c>
      <c r="I51" s="45" t="s">
        <v>332</v>
      </c>
      <c r="J51" s="46">
        <f t="shared" si="1"/>
        <v>100</v>
      </c>
    </row>
    <row r="52" spans="1:10" ht="21" customHeight="1" x14ac:dyDescent="0.15">
      <c r="A52" s="45">
        <v>58003050</v>
      </c>
      <c r="B52" s="45">
        <v>1</v>
      </c>
      <c r="C52" s="45" t="s">
        <v>332</v>
      </c>
      <c r="D52" s="45">
        <v>100</v>
      </c>
      <c r="E52" s="45" t="s">
        <v>332</v>
      </c>
      <c r="F52" s="45" t="s">
        <v>332</v>
      </c>
      <c r="G52" s="45">
        <v>1</v>
      </c>
      <c r="H52" s="45" t="s">
        <v>332</v>
      </c>
      <c r="I52" s="45" t="s">
        <v>332</v>
      </c>
      <c r="J52" s="46">
        <f t="shared" si="1"/>
        <v>100</v>
      </c>
    </row>
    <row r="53" spans="1:10" ht="21" customHeight="1" x14ac:dyDescent="0.15">
      <c r="A53" s="45">
        <v>58003051</v>
      </c>
      <c r="B53" s="45">
        <v>0</v>
      </c>
      <c r="C53" s="45">
        <v>70</v>
      </c>
      <c r="D53" s="45">
        <v>25</v>
      </c>
      <c r="E53" s="45" t="s">
        <v>332</v>
      </c>
      <c r="F53" s="45">
        <v>61</v>
      </c>
      <c r="G53" s="45" t="s">
        <v>332</v>
      </c>
      <c r="H53" s="45" t="s">
        <v>332</v>
      </c>
      <c r="I53" s="45" t="s">
        <v>332</v>
      </c>
      <c r="J53" s="46">
        <f t="shared" si="1"/>
        <v>25</v>
      </c>
    </row>
    <row r="54" spans="1:10" ht="21" customHeight="1" x14ac:dyDescent="0.15">
      <c r="A54" s="45">
        <v>58003052</v>
      </c>
      <c r="B54" s="45">
        <v>0</v>
      </c>
      <c r="C54" s="45">
        <v>60</v>
      </c>
      <c r="D54" s="45">
        <v>60</v>
      </c>
      <c r="E54" s="45" t="s">
        <v>332</v>
      </c>
      <c r="F54" s="45">
        <v>61</v>
      </c>
      <c r="G54" s="45" t="s">
        <v>332</v>
      </c>
      <c r="H54" s="45" t="s">
        <v>332</v>
      </c>
      <c r="I54" s="45" t="s">
        <v>332</v>
      </c>
      <c r="J54" s="46">
        <f t="shared" si="1"/>
        <v>60</v>
      </c>
    </row>
    <row r="55" spans="1:10" ht="21" customHeight="1" x14ac:dyDescent="0.15">
      <c r="A55" s="45">
        <v>58003053</v>
      </c>
      <c r="B55" s="45">
        <v>0</v>
      </c>
      <c r="C55" s="45">
        <v>50</v>
      </c>
      <c r="D55" s="45">
        <v>75</v>
      </c>
      <c r="E55" s="45" t="s">
        <v>332</v>
      </c>
      <c r="F55" s="45">
        <v>61</v>
      </c>
      <c r="G55" s="45" t="s">
        <v>332</v>
      </c>
      <c r="H55" s="45" t="s">
        <v>332</v>
      </c>
      <c r="I55" s="45" t="s">
        <v>332</v>
      </c>
      <c r="J55" s="46">
        <f t="shared" si="1"/>
        <v>75</v>
      </c>
    </row>
    <row r="56" spans="1:10" ht="21" customHeight="1" x14ac:dyDescent="0.15">
      <c r="A56" s="45">
        <v>58003054</v>
      </c>
      <c r="B56" s="45">
        <v>0</v>
      </c>
      <c r="C56" s="45">
        <v>80</v>
      </c>
      <c r="D56" s="45">
        <v>100</v>
      </c>
      <c r="E56" s="45" t="s">
        <v>332</v>
      </c>
      <c r="F56" s="45">
        <v>61</v>
      </c>
      <c r="G56" s="45" t="s">
        <v>332</v>
      </c>
      <c r="H56" s="45">
        <v>3</v>
      </c>
      <c r="I56" s="45" t="s">
        <v>332</v>
      </c>
      <c r="J56" s="46">
        <f t="shared" si="1"/>
        <v>100</v>
      </c>
    </row>
    <row r="57" spans="1:10" ht="21" customHeight="1" x14ac:dyDescent="0.15">
      <c r="A57" s="45">
        <v>58003055</v>
      </c>
      <c r="B57" s="45">
        <v>0</v>
      </c>
      <c r="C57" s="45">
        <v>200</v>
      </c>
      <c r="D57" s="45">
        <v>100</v>
      </c>
      <c r="E57" s="45">
        <v>60</v>
      </c>
      <c r="F57" s="45" t="s">
        <v>332</v>
      </c>
      <c r="G57" s="45">
        <v>1</v>
      </c>
      <c r="H57" s="45" t="s">
        <v>332</v>
      </c>
      <c r="I57" s="45" t="s">
        <v>332</v>
      </c>
      <c r="J57" s="46">
        <f t="shared" si="1"/>
        <v>100</v>
      </c>
    </row>
    <row r="58" spans="1:10" ht="21" customHeight="1" x14ac:dyDescent="0.15">
      <c r="A58" s="45">
        <v>58003056</v>
      </c>
      <c r="B58" s="45">
        <v>0</v>
      </c>
      <c r="C58" s="45">
        <v>170</v>
      </c>
      <c r="D58" s="45">
        <v>25</v>
      </c>
      <c r="E58" s="45">
        <v>60</v>
      </c>
      <c r="F58" s="45" t="s">
        <v>332</v>
      </c>
      <c r="G58" s="45" t="s">
        <v>332</v>
      </c>
      <c r="H58" s="45" t="s">
        <v>332</v>
      </c>
      <c r="I58" s="45" t="s">
        <v>332</v>
      </c>
      <c r="J58" s="46">
        <f t="shared" si="1"/>
        <v>25</v>
      </c>
    </row>
    <row r="59" spans="1:10" ht="21" customHeight="1" x14ac:dyDescent="0.15">
      <c r="A59" s="45">
        <v>58003057</v>
      </c>
      <c r="B59" s="45">
        <v>0</v>
      </c>
      <c r="C59" s="45">
        <v>160</v>
      </c>
      <c r="D59" s="45">
        <v>60</v>
      </c>
      <c r="E59" s="45">
        <v>60</v>
      </c>
      <c r="F59" s="45" t="s">
        <v>332</v>
      </c>
      <c r="G59" s="45" t="s">
        <v>332</v>
      </c>
      <c r="H59" s="45" t="s">
        <v>332</v>
      </c>
      <c r="I59" s="45" t="s">
        <v>332</v>
      </c>
      <c r="J59" s="46">
        <f t="shared" si="1"/>
        <v>60</v>
      </c>
    </row>
    <row r="60" spans="1:10" ht="21" customHeight="1" x14ac:dyDescent="0.15">
      <c r="A60" s="45">
        <v>58003058</v>
      </c>
      <c r="B60" s="45">
        <v>0</v>
      </c>
      <c r="C60" s="45">
        <v>150</v>
      </c>
      <c r="D60" s="45">
        <v>100</v>
      </c>
      <c r="E60" s="45">
        <v>60</v>
      </c>
      <c r="F60" s="45" t="s">
        <v>332</v>
      </c>
      <c r="G60" s="45" t="s">
        <v>332</v>
      </c>
      <c r="H60" s="45" t="s">
        <v>332</v>
      </c>
      <c r="I60" s="45" t="s">
        <v>332</v>
      </c>
      <c r="J60" s="46">
        <f t="shared" si="1"/>
        <v>100</v>
      </c>
    </row>
    <row r="61" spans="1:10" ht="21" customHeight="1" x14ac:dyDescent="0.15">
      <c r="A61" s="45">
        <v>58003059</v>
      </c>
      <c r="B61" s="45">
        <v>0</v>
      </c>
      <c r="C61" s="45" t="s">
        <v>332</v>
      </c>
      <c r="D61" s="45">
        <v>100</v>
      </c>
      <c r="E61" s="45" t="s">
        <v>332</v>
      </c>
      <c r="F61" s="45" t="s">
        <v>332</v>
      </c>
      <c r="G61" s="45" t="s">
        <v>332</v>
      </c>
      <c r="H61" s="45" t="s">
        <v>332</v>
      </c>
      <c r="I61" s="45" t="s">
        <v>332</v>
      </c>
      <c r="J61" s="46">
        <f t="shared" si="1"/>
        <v>100</v>
      </c>
    </row>
    <row r="62" spans="1:10" ht="21" customHeight="1" x14ac:dyDescent="0.15">
      <c r="A62" s="45">
        <v>58003060</v>
      </c>
      <c r="B62" s="45">
        <v>1</v>
      </c>
      <c r="C62" s="45">
        <v>180</v>
      </c>
      <c r="D62" s="45">
        <v>100</v>
      </c>
      <c r="E62" s="45" t="s">
        <v>332</v>
      </c>
      <c r="F62" s="45" t="s">
        <v>332</v>
      </c>
      <c r="G62" s="45">
        <v>1</v>
      </c>
      <c r="H62" s="45" t="s">
        <v>332</v>
      </c>
      <c r="I62" s="45" t="s">
        <v>332</v>
      </c>
      <c r="J62" s="46">
        <f t="shared" si="1"/>
        <v>100</v>
      </c>
    </row>
    <row r="63" spans="1:10" ht="21" customHeight="1" x14ac:dyDescent="0.15">
      <c r="A63" s="45">
        <v>58003061</v>
      </c>
      <c r="B63" s="45">
        <v>0</v>
      </c>
      <c r="C63" s="45" t="s">
        <v>332</v>
      </c>
      <c r="D63" s="45">
        <v>100</v>
      </c>
      <c r="E63" s="45" t="s">
        <v>332</v>
      </c>
      <c r="F63" s="45" t="s">
        <v>332</v>
      </c>
      <c r="G63" s="45">
        <v>1</v>
      </c>
      <c r="H63" s="45">
        <v>1</v>
      </c>
      <c r="I63" s="45" t="s">
        <v>332</v>
      </c>
      <c r="J63" s="46">
        <f t="shared" si="1"/>
        <v>100</v>
      </c>
    </row>
    <row r="64" spans="1:10" ht="21" customHeight="1" x14ac:dyDescent="0.15">
      <c r="A64" s="45">
        <v>58003062</v>
      </c>
      <c r="B64" s="45">
        <v>0</v>
      </c>
      <c r="C64" s="45" t="s">
        <v>332</v>
      </c>
      <c r="D64" s="45">
        <v>100</v>
      </c>
      <c r="E64" s="45" t="s">
        <v>332</v>
      </c>
      <c r="F64" s="45" t="s">
        <v>332</v>
      </c>
      <c r="G64" s="45">
        <v>1</v>
      </c>
      <c r="H64" s="45">
        <v>2</v>
      </c>
      <c r="I64" s="45" t="s">
        <v>332</v>
      </c>
      <c r="J64" s="46">
        <f t="shared" si="1"/>
        <v>100</v>
      </c>
    </row>
    <row r="65" spans="1:10" ht="21" customHeight="1" x14ac:dyDescent="0.15">
      <c r="A65" s="45">
        <v>58003063</v>
      </c>
      <c r="B65" s="45">
        <v>0</v>
      </c>
      <c r="C65" s="45" t="s">
        <v>332</v>
      </c>
      <c r="D65" s="45">
        <v>100</v>
      </c>
      <c r="E65" s="45" t="s">
        <v>332</v>
      </c>
      <c r="F65" s="45" t="s">
        <v>332</v>
      </c>
      <c r="G65" s="45">
        <v>1</v>
      </c>
      <c r="H65" s="45">
        <v>3</v>
      </c>
      <c r="I65" s="45" t="s">
        <v>332</v>
      </c>
      <c r="J65" s="46">
        <f t="shared" si="1"/>
        <v>100</v>
      </c>
    </row>
    <row r="66" spans="1:10" ht="21" customHeight="1" x14ac:dyDescent="0.15">
      <c r="A66" s="45">
        <v>58003064</v>
      </c>
      <c r="B66" s="45">
        <v>0</v>
      </c>
      <c r="C66" s="45" t="s">
        <v>332</v>
      </c>
      <c r="D66" s="45">
        <v>100</v>
      </c>
      <c r="E66" s="45" t="s">
        <v>332</v>
      </c>
      <c r="F66" s="45" t="s">
        <v>332</v>
      </c>
      <c r="G66" s="45">
        <v>1</v>
      </c>
      <c r="H66" s="45">
        <v>4</v>
      </c>
      <c r="I66" s="45" t="s">
        <v>332</v>
      </c>
      <c r="J66" s="46">
        <f t="shared" si="1"/>
        <v>100</v>
      </c>
    </row>
    <row r="67" spans="1:10" ht="21" customHeight="1" x14ac:dyDescent="0.15">
      <c r="A67" s="45">
        <v>58003065</v>
      </c>
      <c r="B67" s="45">
        <v>0</v>
      </c>
      <c r="C67" s="45" t="s">
        <v>332</v>
      </c>
      <c r="D67" s="45">
        <v>100</v>
      </c>
      <c r="E67" s="45" t="s">
        <v>332</v>
      </c>
      <c r="F67" s="45" t="s">
        <v>332</v>
      </c>
      <c r="G67" s="45">
        <v>1</v>
      </c>
      <c r="H67" s="45">
        <v>5</v>
      </c>
      <c r="I67" s="45" t="s">
        <v>332</v>
      </c>
      <c r="J67" s="46">
        <f t="shared" ref="J67:J93" si="2">D67</f>
        <v>100</v>
      </c>
    </row>
    <row r="68" spans="1:10" ht="21" customHeight="1" x14ac:dyDescent="0.15">
      <c r="A68" s="45">
        <v>58003066</v>
      </c>
      <c r="B68" s="45">
        <v>0</v>
      </c>
      <c r="C68" s="45" t="s">
        <v>332</v>
      </c>
      <c r="D68" s="45">
        <v>100</v>
      </c>
      <c r="E68" s="45" t="s">
        <v>332</v>
      </c>
      <c r="F68" s="45" t="s">
        <v>332</v>
      </c>
      <c r="G68" s="45">
        <v>1</v>
      </c>
      <c r="H68" s="45">
        <v>6</v>
      </c>
      <c r="I68" s="45" t="s">
        <v>332</v>
      </c>
      <c r="J68" s="46">
        <f t="shared" si="2"/>
        <v>100</v>
      </c>
    </row>
    <row r="69" spans="1:10" ht="21" customHeight="1" x14ac:dyDescent="0.15">
      <c r="A69" s="45">
        <v>58003067</v>
      </c>
      <c r="B69" s="45">
        <v>0</v>
      </c>
      <c r="C69" s="45" t="s">
        <v>332</v>
      </c>
      <c r="D69" s="45">
        <v>100</v>
      </c>
      <c r="E69" s="45" t="s">
        <v>332</v>
      </c>
      <c r="F69" s="45" t="s">
        <v>332</v>
      </c>
      <c r="G69" s="45" t="s">
        <v>332</v>
      </c>
      <c r="H69" s="45" t="s">
        <v>332</v>
      </c>
      <c r="I69" s="45" t="s">
        <v>332</v>
      </c>
      <c r="J69" s="46">
        <f t="shared" si="2"/>
        <v>100</v>
      </c>
    </row>
    <row r="70" spans="1:10" ht="21" customHeight="1" x14ac:dyDescent="0.15">
      <c r="A70" s="45">
        <v>58003068</v>
      </c>
      <c r="B70" s="45">
        <v>1</v>
      </c>
      <c r="C70" s="45">
        <v>200</v>
      </c>
      <c r="D70" s="45">
        <v>100</v>
      </c>
      <c r="E70" s="45" t="s">
        <v>332</v>
      </c>
      <c r="F70" s="45" t="s">
        <v>332</v>
      </c>
      <c r="G70" s="45">
        <v>1</v>
      </c>
      <c r="H70" s="45" t="s">
        <v>332</v>
      </c>
      <c r="I70" s="45">
        <v>8081</v>
      </c>
      <c r="J70" s="46">
        <f t="shared" si="2"/>
        <v>100</v>
      </c>
    </row>
    <row r="71" spans="1:10" ht="21" customHeight="1" x14ac:dyDescent="0.15">
      <c r="A71" s="45">
        <v>58003069</v>
      </c>
      <c r="B71" s="45">
        <v>1</v>
      </c>
      <c r="C71" s="45">
        <v>190</v>
      </c>
      <c r="D71" s="45">
        <v>100</v>
      </c>
      <c r="E71" s="45" t="s">
        <v>332</v>
      </c>
      <c r="F71" s="45" t="s">
        <v>332</v>
      </c>
      <c r="G71" s="45">
        <v>1</v>
      </c>
      <c r="H71" s="45" t="s">
        <v>332</v>
      </c>
      <c r="I71" s="45">
        <v>1135</v>
      </c>
      <c r="J71" s="46">
        <f t="shared" si="2"/>
        <v>100</v>
      </c>
    </row>
    <row r="72" spans="1:10" ht="21" customHeight="1" x14ac:dyDescent="0.15">
      <c r="A72" s="45">
        <v>58003070</v>
      </c>
      <c r="B72" s="45">
        <v>1</v>
      </c>
      <c r="C72" s="45" t="s">
        <v>332</v>
      </c>
      <c r="D72" s="45">
        <v>100</v>
      </c>
      <c r="E72" s="45" t="s">
        <v>332</v>
      </c>
      <c r="F72" s="45" t="s">
        <v>332</v>
      </c>
      <c r="G72" s="45">
        <v>1</v>
      </c>
      <c r="H72" s="45" t="s">
        <v>332</v>
      </c>
      <c r="I72" s="45" t="s">
        <v>332</v>
      </c>
      <c r="J72" s="46">
        <f t="shared" si="2"/>
        <v>100</v>
      </c>
    </row>
    <row r="73" spans="1:10" ht="21" customHeight="1" x14ac:dyDescent="0.15">
      <c r="A73" s="45">
        <v>58003071</v>
      </c>
      <c r="B73" s="45">
        <v>0</v>
      </c>
      <c r="C73" s="45">
        <v>80</v>
      </c>
      <c r="D73" s="45">
        <v>30</v>
      </c>
      <c r="E73" s="45" t="s">
        <v>332</v>
      </c>
      <c r="F73" s="45" t="s">
        <v>332</v>
      </c>
      <c r="G73" s="45" t="s">
        <v>332</v>
      </c>
      <c r="H73" s="45" t="s">
        <v>332</v>
      </c>
      <c r="I73" s="45" t="s">
        <v>332</v>
      </c>
      <c r="J73" s="46">
        <f t="shared" si="2"/>
        <v>30</v>
      </c>
    </row>
    <row r="74" spans="1:10" ht="21" customHeight="1" x14ac:dyDescent="0.15">
      <c r="A74" s="45">
        <v>58003072</v>
      </c>
      <c r="B74" s="45">
        <v>0</v>
      </c>
      <c r="C74" s="45">
        <v>70</v>
      </c>
      <c r="D74" s="45">
        <v>80</v>
      </c>
      <c r="E74" s="45" t="s">
        <v>332</v>
      </c>
      <c r="F74" s="45" t="s">
        <v>332</v>
      </c>
      <c r="G74" s="45" t="s">
        <v>332</v>
      </c>
      <c r="H74" s="45" t="s">
        <v>332</v>
      </c>
      <c r="I74" s="45" t="s">
        <v>332</v>
      </c>
      <c r="J74" s="46">
        <f t="shared" si="2"/>
        <v>80</v>
      </c>
    </row>
    <row r="75" spans="1:10" ht="21" customHeight="1" x14ac:dyDescent="0.15">
      <c r="A75" s="45">
        <v>58003073</v>
      </c>
      <c r="B75" s="45">
        <v>0</v>
      </c>
      <c r="C75" s="45">
        <v>100</v>
      </c>
      <c r="D75" s="45">
        <v>100</v>
      </c>
      <c r="E75" s="45" t="s">
        <v>332</v>
      </c>
      <c r="F75" s="45" t="s">
        <v>332</v>
      </c>
      <c r="G75" s="45" t="s">
        <v>332</v>
      </c>
      <c r="H75" s="45">
        <v>3</v>
      </c>
      <c r="I75" s="45" t="s">
        <v>332</v>
      </c>
      <c r="J75" s="46">
        <f t="shared" si="2"/>
        <v>100</v>
      </c>
    </row>
    <row r="76" spans="1:10" ht="21" customHeight="1" x14ac:dyDescent="0.15">
      <c r="A76" s="45">
        <v>58003074</v>
      </c>
      <c r="B76" s="45">
        <v>0</v>
      </c>
      <c r="C76" s="45">
        <v>90</v>
      </c>
      <c r="D76" s="45">
        <v>100</v>
      </c>
      <c r="E76" s="45" t="s">
        <v>332</v>
      </c>
      <c r="F76" s="45" t="s">
        <v>332</v>
      </c>
      <c r="G76" s="45" t="s">
        <v>332</v>
      </c>
      <c r="H76" s="45">
        <v>4</v>
      </c>
      <c r="I76" s="45" t="s">
        <v>332</v>
      </c>
      <c r="J76" s="46">
        <f t="shared" si="2"/>
        <v>100</v>
      </c>
    </row>
    <row r="77" spans="1:10" ht="21" customHeight="1" x14ac:dyDescent="0.15">
      <c r="A77" s="45">
        <v>58003075</v>
      </c>
      <c r="B77" s="45">
        <v>0</v>
      </c>
      <c r="C77" s="45" t="s">
        <v>332</v>
      </c>
      <c r="D77" s="45">
        <v>100</v>
      </c>
      <c r="E77" s="45" t="s">
        <v>332</v>
      </c>
      <c r="F77" s="45" t="s">
        <v>332</v>
      </c>
      <c r="G77" s="45" t="s">
        <v>332</v>
      </c>
      <c r="H77" s="45" t="s">
        <v>332</v>
      </c>
      <c r="I77" s="45" t="s">
        <v>332</v>
      </c>
      <c r="J77" s="46">
        <f t="shared" si="2"/>
        <v>100</v>
      </c>
    </row>
    <row r="78" spans="1:10" ht="21" customHeight="1" x14ac:dyDescent="0.15">
      <c r="A78" s="45">
        <v>58003076</v>
      </c>
      <c r="B78" s="45">
        <v>0</v>
      </c>
      <c r="C78" s="45" t="s">
        <v>332</v>
      </c>
      <c r="D78" s="45">
        <v>100</v>
      </c>
      <c r="E78" s="45" t="s">
        <v>332</v>
      </c>
      <c r="F78" s="45" t="s">
        <v>332</v>
      </c>
      <c r="G78" s="45" t="s">
        <v>332</v>
      </c>
      <c r="H78" s="45" t="s">
        <v>332</v>
      </c>
      <c r="I78" s="45" t="s">
        <v>332</v>
      </c>
      <c r="J78" s="46">
        <f t="shared" si="2"/>
        <v>100</v>
      </c>
    </row>
    <row r="79" spans="1:10" ht="21" customHeight="1" x14ac:dyDescent="0.15">
      <c r="A79" s="45">
        <v>58003077</v>
      </c>
      <c r="B79" s="45">
        <v>0</v>
      </c>
      <c r="C79" s="45" t="s">
        <v>332</v>
      </c>
      <c r="D79" s="45">
        <v>100</v>
      </c>
      <c r="E79" s="45" t="s">
        <v>332</v>
      </c>
      <c r="F79" s="45" t="s">
        <v>332</v>
      </c>
      <c r="G79" s="45" t="s">
        <v>332</v>
      </c>
      <c r="H79" s="45" t="s">
        <v>332</v>
      </c>
      <c r="I79" s="45" t="s">
        <v>332</v>
      </c>
      <c r="J79" s="46">
        <f t="shared" si="2"/>
        <v>100</v>
      </c>
    </row>
    <row r="80" spans="1:10" ht="21" customHeight="1" x14ac:dyDescent="0.15">
      <c r="A80" s="45">
        <v>58003078</v>
      </c>
      <c r="B80" s="45">
        <v>0</v>
      </c>
      <c r="C80" s="45" t="s">
        <v>332</v>
      </c>
      <c r="D80" s="45">
        <v>100</v>
      </c>
      <c r="E80" s="45" t="s">
        <v>332</v>
      </c>
      <c r="F80" s="45" t="s">
        <v>332</v>
      </c>
      <c r="G80" s="45" t="s">
        <v>332</v>
      </c>
      <c r="H80" s="45" t="s">
        <v>332</v>
      </c>
      <c r="I80" s="45" t="s">
        <v>332</v>
      </c>
      <c r="J80" s="46">
        <f t="shared" si="2"/>
        <v>100</v>
      </c>
    </row>
    <row r="81" spans="1:10" ht="21" customHeight="1" x14ac:dyDescent="0.15">
      <c r="A81" s="45">
        <v>58003079</v>
      </c>
      <c r="B81" s="45">
        <v>0</v>
      </c>
      <c r="C81" s="45" t="s">
        <v>332</v>
      </c>
      <c r="D81" s="45">
        <v>100</v>
      </c>
      <c r="E81" s="45" t="s">
        <v>332</v>
      </c>
      <c r="F81" s="45" t="s">
        <v>332</v>
      </c>
      <c r="G81" s="45" t="s">
        <v>332</v>
      </c>
      <c r="H81" s="45" t="s">
        <v>332</v>
      </c>
      <c r="I81" s="45" t="s">
        <v>332</v>
      </c>
      <c r="J81" s="46">
        <f t="shared" si="2"/>
        <v>100</v>
      </c>
    </row>
    <row r="82" spans="1:10" ht="21" customHeight="1" x14ac:dyDescent="0.15">
      <c r="A82" s="45">
        <v>58003080</v>
      </c>
      <c r="B82" s="45">
        <v>1</v>
      </c>
      <c r="C82" s="45" t="s">
        <v>332</v>
      </c>
      <c r="D82" s="45">
        <v>100</v>
      </c>
      <c r="E82" s="45" t="s">
        <v>332</v>
      </c>
      <c r="F82" s="45" t="s">
        <v>332</v>
      </c>
      <c r="G82" s="45">
        <v>1</v>
      </c>
      <c r="H82" s="45" t="s">
        <v>332</v>
      </c>
      <c r="I82" s="45" t="s">
        <v>332</v>
      </c>
      <c r="J82" s="46">
        <f t="shared" si="2"/>
        <v>100</v>
      </c>
    </row>
    <row r="83" spans="1:10" ht="21" customHeight="1" x14ac:dyDescent="0.15">
      <c r="A83" s="45">
        <v>58003081</v>
      </c>
      <c r="B83" s="45">
        <v>0</v>
      </c>
      <c r="C83" s="45">
        <v>80</v>
      </c>
      <c r="D83" s="45">
        <v>50</v>
      </c>
      <c r="E83" s="45" t="s">
        <v>332</v>
      </c>
      <c r="F83" s="45">
        <v>71</v>
      </c>
      <c r="G83" s="45" t="s">
        <v>332</v>
      </c>
      <c r="H83" s="45" t="s">
        <v>332</v>
      </c>
      <c r="I83" s="45" t="s">
        <v>332</v>
      </c>
      <c r="J83" s="46">
        <f t="shared" si="2"/>
        <v>50</v>
      </c>
    </row>
    <row r="84" spans="1:10" ht="21" customHeight="1" x14ac:dyDescent="0.15">
      <c r="A84" s="45">
        <v>58003082</v>
      </c>
      <c r="B84" s="45">
        <v>0</v>
      </c>
      <c r="C84" s="45">
        <v>70</v>
      </c>
      <c r="D84" s="45">
        <v>80</v>
      </c>
      <c r="E84" s="45" t="s">
        <v>332</v>
      </c>
      <c r="F84" s="45">
        <v>71</v>
      </c>
      <c r="G84" s="45" t="s">
        <v>332</v>
      </c>
      <c r="H84" s="45" t="s">
        <v>332</v>
      </c>
      <c r="I84" s="45" t="s">
        <v>332</v>
      </c>
      <c r="J84" s="46">
        <f t="shared" si="2"/>
        <v>80</v>
      </c>
    </row>
    <row r="85" spans="1:10" ht="21" customHeight="1" x14ac:dyDescent="0.15">
      <c r="A85" s="45">
        <v>58003083</v>
      </c>
      <c r="B85" s="45">
        <v>0</v>
      </c>
      <c r="C85" s="45">
        <v>100</v>
      </c>
      <c r="D85" s="45">
        <v>100</v>
      </c>
      <c r="E85" s="45" t="s">
        <v>332</v>
      </c>
      <c r="F85" s="45">
        <v>71</v>
      </c>
      <c r="G85" s="45" t="s">
        <v>332</v>
      </c>
      <c r="H85" s="45">
        <v>3</v>
      </c>
      <c r="I85" s="45" t="s">
        <v>332</v>
      </c>
      <c r="J85" s="46">
        <f t="shared" si="2"/>
        <v>100</v>
      </c>
    </row>
    <row r="86" spans="1:10" ht="21" customHeight="1" x14ac:dyDescent="0.15">
      <c r="A86" s="45">
        <v>58003084</v>
      </c>
      <c r="B86" s="45">
        <v>0</v>
      </c>
      <c r="C86" s="45">
        <v>90</v>
      </c>
      <c r="D86" s="45">
        <v>100</v>
      </c>
      <c r="E86" s="45" t="s">
        <v>332</v>
      </c>
      <c r="F86" s="45">
        <v>71</v>
      </c>
      <c r="G86" s="45" t="s">
        <v>332</v>
      </c>
      <c r="H86" s="45">
        <v>4</v>
      </c>
      <c r="I86" s="45" t="s">
        <v>332</v>
      </c>
      <c r="J86" s="46">
        <f t="shared" si="2"/>
        <v>100</v>
      </c>
    </row>
    <row r="87" spans="1:10" ht="21" customHeight="1" x14ac:dyDescent="0.15">
      <c r="A87" s="45">
        <v>58003085</v>
      </c>
      <c r="B87" s="45">
        <v>0</v>
      </c>
      <c r="C87" s="45">
        <v>120</v>
      </c>
      <c r="D87" s="45">
        <v>100</v>
      </c>
      <c r="E87" s="45">
        <v>70</v>
      </c>
      <c r="F87" s="45" t="s">
        <v>332</v>
      </c>
      <c r="G87" s="45">
        <v>1</v>
      </c>
      <c r="H87" s="45" t="s">
        <v>332</v>
      </c>
      <c r="I87" s="45" t="s">
        <v>332</v>
      </c>
      <c r="J87" s="46">
        <f t="shared" si="2"/>
        <v>100</v>
      </c>
    </row>
    <row r="88" spans="1:10" ht="21" customHeight="1" x14ac:dyDescent="0.15">
      <c r="A88" s="45">
        <v>58003086</v>
      </c>
      <c r="B88" s="45">
        <v>0</v>
      </c>
      <c r="C88" s="45">
        <v>110</v>
      </c>
      <c r="D88" s="45">
        <v>100</v>
      </c>
      <c r="E88" s="45">
        <v>70</v>
      </c>
      <c r="F88" s="45" t="s">
        <v>332</v>
      </c>
      <c r="G88" s="45" t="s">
        <v>332</v>
      </c>
      <c r="H88" s="45" t="s">
        <v>332</v>
      </c>
      <c r="I88" s="45" t="s">
        <v>332</v>
      </c>
      <c r="J88" s="46">
        <f t="shared" si="2"/>
        <v>100</v>
      </c>
    </row>
    <row r="89" spans="1:10" ht="21" customHeight="1" x14ac:dyDescent="0.15">
      <c r="A89" s="45">
        <v>58003087</v>
      </c>
      <c r="B89" s="45">
        <v>0</v>
      </c>
      <c r="C89" s="45">
        <v>200</v>
      </c>
      <c r="D89" s="45">
        <v>100</v>
      </c>
      <c r="E89" s="45" t="s">
        <v>332</v>
      </c>
      <c r="F89" s="45" t="s">
        <v>332</v>
      </c>
      <c r="G89" s="45">
        <v>0</v>
      </c>
      <c r="H89" s="45">
        <v>1</v>
      </c>
      <c r="I89" s="45">
        <v>8081</v>
      </c>
      <c r="J89" s="46">
        <f t="shared" si="2"/>
        <v>100</v>
      </c>
    </row>
    <row r="90" spans="1:10" ht="21" customHeight="1" x14ac:dyDescent="0.15">
      <c r="A90" s="45">
        <v>58003088</v>
      </c>
      <c r="B90" s="45">
        <v>0</v>
      </c>
      <c r="C90" s="45">
        <v>190</v>
      </c>
      <c r="D90" s="45">
        <v>100</v>
      </c>
      <c r="E90" s="45" t="s">
        <v>332</v>
      </c>
      <c r="F90" s="45" t="s">
        <v>332</v>
      </c>
      <c r="G90" s="45">
        <v>0</v>
      </c>
      <c r="H90" s="45">
        <v>1</v>
      </c>
      <c r="I90" s="45">
        <v>1135</v>
      </c>
      <c r="J90" s="46">
        <f t="shared" si="2"/>
        <v>100</v>
      </c>
    </row>
    <row r="91" spans="1:10" ht="21" customHeight="1" x14ac:dyDescent="0.15">
      <c r="A91" s="45">
        <v>58003089</v>
      </c>
      <c r="B91" s="45">
        <v>0</v>
      </c>
      <c r="C91" s="45">
        <v>180</v>
      </c>
      <c r="D91" s="45">
        <v>100</v>
      </c>
      <c r="E91" s="45" t="s">
        <v>332</v>
      </c>
      <c r="F91" s="45" t="s">
        <v>332</v>
      </c>
      <c r="G91" s="45">
        <v>0</v>
      </c>
      <c r="H91" s="45">
        <v>1</v>
      </c>
      <c r="I91" s="45">
        <v>0</v>
      </c>
      <c r="J91" s="46">
        <f t="shared" si="2"/>
        <v>100</v>
      </c>
    </row>
    <row r="92" spans="1:10" ht="21" customHeight="1" x14ac:dyDescent="0.15">
      <c r="A92" s="45">
        <v>58003090</v>
      </c>
      <c r="B92" s="45">
        <v>0</v>
      </c>
      <c r="C92" s="45">
        <v>199</v>
      </c>
      <c r="D92" s="45">
        <v>100</v>
      </c>
      <c r="E92" s="45" t="s">
        <v>332</v>
      </c>
      <c r="F92" s="45" t="s">
        <v>332</v>
      </c>
      <c r="G92" s="45">
        <v>0</v>
      </c>
      <c r="H92" s="45">
        <v>1</v>
      </c>
      <c r="I92" s="45">
        <v>8082</v>
      </c>
      <c r="J92" s="46">
        <f t="shared" si="2"/>
        <v>100</v>
      </c>
    </row>
    <row r="93" spans="1:10" ht="21" customHeight="1" x14ac:dyDescent="0.15">
      <c r="A93" s="45">
        <v>58003091</v>
      </c>
      <c r="B93" s="45">
        <v>0</v>
      </c>
      <c r="C93" s="45">
        <v>189</v>
      </c>
      <c r="D93" s="45">
        <v>100</v>
      </c>
      <c r="E93" s="45" t="s">
        <v>332</v>
      </c>
      <c r="F93" s="45" t="s">
        <v>332</v>
      </c>
      <c r="G93" s="45">
        <v>0</v>
      </c>
      <c r="H93" s="45">
        <v>1</v>
      </c>
      <c r="I93" s="45">
        <v>1136</v>
      </c>
      <c r="J93" s="46">
        <f t="shared" si="2"/>
        <v>100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5"/>
  <sheetViews>
    <sheetView workbookViewId="0">
      <selection activeCell="C16" sqref="C16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148</v>
      </c>
      <c r="B1" s="63" t="s">
        <v>149</v>
      </c>
      <c r="C1" s="64" t="s">
        <v>150</v>
      </c>
      <c r="D1" s="70" t="s">
        <v>151</v>
      </c>
      <c r="E1" s="65" t="s">
        <v>152</v>
      </c>
      <c r="F1" s="63" t="s">
        <v>153</v>
      </c>
      <c r="G1" s="63" t="s">
        <v>154</v>
      </c>
      <c r="H1" s="63" t="s">
        <v>155</v>
      </c>
      <c r="I1" s="63" t="s">
        <v>156</v>
      </c>
      <c r="J1" s="63" t="s">
        <v>157</v>
      </c>
      <c r="K1" s="63" t="s">
        <v>158</v>
      </c>
      <c r="L1" s="63" t="s">
        <v>159</v>
      </c>
      <c r="M1" s="63" t="s">
        <v>160</v>
      </c>
      <c r="N1" s="63" t="s">
        <v>161</v>
      </c>
      <c r="O1" s="63" t="s">
        <v>162</v>
      </c>
      <c r="P1" s="63" t="s">
        <v>163</v>
      </c>
      <c r="Q1" s="63" t="s">
        <v>164</v>
      </c>
      <c r="R1" s="63" t="s">
        <v>165</v>
      </c>
    </row>
    <row r="2" spans="1:18" x14ac:dyDescent="0.15">
      <c r="A2" s="55">
        <v>58003</v>
      </c>
      <c r="B2" s="55">
        <v>1</v>
      </c>
      <c r="C2" s="69" t="str">
        <f>A2&amp; "_"&amp;B2</f>
        <v>58003_1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166</v>
      </c>
      <c r="G2" s="55">
        <v>65000</v>
      </c>
      <c r="H2" s="55" t="s">
        <v>333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50</v>
      </c>
      <c r="Q2" s="55" t="s">
        <v>167</v>
      </c>
      <c r="R2" s="55" t="s">
        <v>168</v>
      </c>
    </row>
    <row r="3" spans="1:18" x14ac:dyDescent="0.15">
      <c r="A3" s="55">
        <v>58003</v>
      </c>
      <c r="B3" s="55">
        <v>1</v>
      </c>
      <c r="C3" s="69" t="str">
        <f t="shared" ref="C3:C15" si="0">A3&amp; "_"&amp;B3</f>
        <v>58003_1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334</v>
      </c>
      <c r="G3" s="55">
        <v>347</v>
      </c>
      <c r="H3" s="55">
        <v>1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250</v>
      </c>
      <c r="Q3" s="55" t="s">
        <v>167</v>
      </c>
      <c r="R3" s="55" t="s">
        <v>168</v>
      </c>
    </row>
    <row r="4" spans="1:18" x14ac:dyDescent="0.15">
      <c r="A4" s="55">
        <v>58003</v>
      </c>
      <c r="B4" s="55">
        <v>1</v>
      </c>
      <c r="C4" s="69" t="str">
        <f t="shared" si="0"/>
        <v>58003_1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334</v>
      </c>
      <c r="G4" s="55">
        <v>355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50</v>
      </c>
      <c r="Q4" s="55" t="s">
        <v>167</v>
      </c>
      <c r="R4" s="55" t="s">
        <v>168</v>
      </c>
    </row>
    <row r="5" spans="1:18" x14ac:dyDescent="0.15">
      <c r="A5" s="55">
        <v>58003</v>
      </c>
      <c r="B5" s="55">
        <v>1</v>
      </c>
      <c r="C5" s="69" t="str">
        <f t="shared" si="0"/>
        <v>58003_1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334</v>
      </c>
      <c r="G5" s="55">
        <v>125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30</v>
      </c>
      <c r="Q5" s="55" t="s">
        <v>167</v>
      </c>
      <c r="R5" s="55" t="s">
        <v>168</v>
      </c>
    </row>
    <row r="6" spans="1:18" x14ac:dyDescent="0.15">
      <c r="A6" s="55">
        <v>58003</v>
      </c>
      <c r="B6" s="55">
        <v>1</v>
      </c>
      <c r="C6" s="69" t="str">
        <f t="shared" si="0"/>
        <v>58003_1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334</v>
      </c>
      <c r="G6" s="55">
        <v>607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80</v>
      </c>
      <c r="Q6" s="55" t="s">
        <v>167</v>
      </c>
      <c r="R6" s="55" t="s">
        <v>168</v>
      </c>
    </row>
    <row r="7" spans="1:18" x14ac:dyDescent="0.15">
      <c r="A7" s="55">
        <v>58003</v>
      </c>
      <c r="B7" s="55">
        <v>1</v>
      </c>
      <c r="C7" s="69" t="str">
        <f t="shared" si="0"/>
        <v>58003_1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334</v>
      </c>
      <c r="G7" s="55">
        <v>608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80</v>
      </c>
      <c r="Q7" s="55" t="s">
        <v>167</v>
      </c>
      <c r="R7" s="55" t="s">
        <v>168</v>
      </c>
    </row>
    <row r="8" spans="1:18" x14ac:dyDescent="0.15">
      <c r="A8" s="55">
        <v>58003</v>
      </c>
      <c r="B8" s="55">
        <v>1</v>
      </c>
      <c r="C8" s="69" t="str">
        <f t="shared" si="0"/>
        <v>58003_1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334</v>
      </c>
      <c r="G8" s="55">
        <v>609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80</v>
      </c>
      <c r="Q8" s="55" t="s">
        <v>167</v>
      </c>
      <c r="R8" s="55" t="s">
        <v>168</v>
      </c>
    </row>
    <row r="9" spans="1:18" x14ac:dyDescent="0.15">
      <c r="A9" s="55">
        <v>58003</v>
      </c>
      <c r="B9" s="55">
        <v>1</v>
      </c>
      <c r="C9" s="69" t="str">
        <f t="shared" si="0"/>
        <v>58003_1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334</v>
      </c>
      <c r="G9" s="82">
        <v>610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20</v>
      </c>
      <c r="Q9" s="55" t="s">
        <v>167</v>
      </c>
      <c r="R9" s="55" t="s">
        <v>168</v>
      </c>
    </row>
    <row r="10" spans="1:18" x14ac:dyDescent="0.15">
      <c r="A10" s="55">
        <v>58003</v>
      </c>
      <c r="B10" s="55">
        <v>1</v>
      </c>
      <c r="C10" s="69" t="str">
        <f t="shared" si="0"/>
        <v>58003_1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334</v>
      </c>
      <c r="G10" s="55">
        <v>611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30</v>
      </c>
      <c r="Q10" s="55" t="s">
        <v>167</v>
      </c>
      <c r="R10" s="55" t="s">
        <v>168</v>
      </c>
    </row>
    <row r="11" spans="1:18" x14ac:dyDescent="0.15">
      <c r="A11" s="55">
        <v>58003</v>
      </c>
      <c r="B11" s="55">
        <v>1</v>
      </c>
      <c r="C11" s="69" t="str">
        <f t="shared" si="0"/>
        <v>58003_1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5">
        <v>10</v>
      </c>
      <c r="F11" s="55" t="s">
        <v>334</v>
      </c>
      <c r="G11" s="55">
        <v>612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30</v>
      </c>
      <c r="Q11" s="55" t="s">
        <v>167</v>
      </c>
      <c r="R11" s="55" t="s">
        <v>168</v>
      </c>
    </row>
    <row r="12" spans="1:18" x14ac:dyDescent="0.15">
      <c r="A12" s="55">
        <v>58003</v>
      </c>
      <c r="B12" s="55">
        <v>1</v>
      </c>
      <c r="C12" s="69" t="str">
        <f t="shared" si="0"/>
        <v>58003_1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5">
        <v>11</v>
      </c>
      <c r="F12" s="55" t="s">
        <v>334</v>
      </c>
      <c r="G12" s="55">
        <v>613</v>
      </c>
      <c r="H12" s="55">
        <v>1</v>
      </c>
      <c r="I12" s="55">
        <v>1</v>
      </c>
      <c r="J12" s="55">
        <v>1</v>
      </c>
      <c r="K12" s="55">
        <v>0</v>
      </c>
      <c r="L12" s="55">
        <v>0</v>
      </c>
      <c r="M12" s="55">
        <v>0</v>
      </c>
      <c r="N12" s="55">
        <v>0</v>
      </c>
      <c r="O12" s="55">
        <v>1</v>
      </c>
      <c r="P12" s="55">
        <v>30</v>
      </c>
      <c r="Q12" s="55" t="s">
        <v>167</v>
      </c>
      <c r="R12" s="55" t="s">
        <v>168</v>
      </c>
    </row>
    <row r="13" spans="1:18" x14ac:dyDescent="0.15">
      <c r="A13" s="55">
        <v>58003</v>
      </c>
      <c r="B13" s="55">
        <v>1</v>
      </c>
      <c r="C13" s="69" t="str">
        <f t="shared" si="0"/>
        <v>58003_1</v>
      </c>
      <c r="D13" s="11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5">
        <v>12</v>
      </c>
      <c r="F13" s="55" t="s">
        <v>334</v>
      </c>
      <c r="G13" s="55">
        <v>614</v>
      </c>
      <c r="H13" s="55">
        <v>1</v>
      </c>
      <c r="I13" s="55">
        <v>1</v>
      </c>
      <c r="J13" s="55">
        <v>1</v>
      </c>
      <c r="K13" s="55">
        <v>0</v>
      </c>
      <c r="L13" s="55">
        <v>0</v>
      </c>
      <c r="M13" s="55">
        <v>0</v>
      </c>
      <c r="N13" s="55">
        <v>0</v>
      </c>
      <c r="O13" s="55">
        <v>1</v>
      </c>
      <c r="P13" s="55">
        <v>10</v>
      </c>
      <c r="Q13" s="55" t="s">
        <v>167</v>
      </c>
      <c r="R13" s="55" t="s">
        <v>168</v>
      </c>
    </row>
    <row r="14" spans="1:18" x14ac:dyDescent="0.15">
      <c r="A14" s="55">
        <v>58003</v>
      </c>
      <c r="B14" s="55">
        <v>1</v>
      </c>
      <c r="C14" s="69" t="str">
        <f t="shared" si="0"/>
        <v>58003_1</v>
      </c>
      <c r="D14" s="11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5">
        <v>13</v>
      </c>
      <c r="F14" s="55" t="s">
        <v>334</v>
      </c>
      <c r="G14" s="55">
        <v>837</v>
      </c>
      <c r="H14" s="55">
        <v>1</v>
      </c>
      <c r="I14" s="55">
        <v>1</v>
      </c>
      <c r="J14" s="55">
        <v>1</v>
      </c>
      <c r="K14" s="55">
        <v>0</v>
      </c>
      <c r="L14" s="55">
        <v>0</v>
      </c>
      <c r="M14" s="55">
        <v>0</v>
      </c>
      <c r="N14" s="55">
        <v>0</v>
      </c>
      <c r="O14" s="55">
        <v>1</v>
      </c>
      <c r="P14" s="55">
        <v>10</v>
      </c>
      <c r="Q14" s="55" t="s">
        <v>167</v>
      </c>
      <c r="R14" s="55" t="s">
        <v>168</v>
      </c>
    </row>
    <row r="15" spans="1:18" x14ac:dyDescent="0.15">
      <c r="A15" s="55">
        <v>58003</v>
      </c>
      <c r="B15" s="55">
        <v>1</v>
      </c>
      <c r="C15" s="69" t="str">
        <f t="shared" si="0"/>
        <v>58003_1</v>
      </c>
      <c r="D15" s="11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5">
        <v>14</v>
      </c>
      <c r="F15" s="55" t="s">
        <v>334</v>
      </c>
      <c r="G15" s="55">
        <v>8083</v>
      </c>
      <c r="H15" s="55">
        <v>1</v>
      </c>
      <c r="I15" s="55">
        <v>1</v>
      </c>
      <c r="J15" s="55">
        <v>1</v>
      </c>
      <c r="K15" s="55">
        <v>0</v>
      </c>
      <c r="L15" s="55">
        <v>0</v>
      </c>
      <c r="M15" s="55">
        <v>0</v>
      </c>
      <c r="N15" s="55">
        <v>0</v>
      </c>
      <c r="O15" s="55">
        <v>1</v>
      </c>
      <c r="P15" s="55">
        <v>250</v>
      </c>
      <c r="Q15" s="55" t="s">
        <v>167</v>
      </c>
      <c r="R15" s="55" t="s">
        <v>168</v>
      </c>
    </row>
  </sheetData>
  <phoneticPr fontId="5"/>
  <dataValidations count="1">
    <dataValidation type="list" allowBlank="1" showInputMessage="1" showErrorMessage="1" sqref="F2:F15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0" sqref="H10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9" t="s">
        <v>193</v>
      </c>
      <c r="J1" s="77" t="s">
        <v>124</v>
      </c>
      <c r="K1" s="76" t="s">
        <v>184</v>
      </c>
      <c r="L1" s="90" t="s">
        <v>183</v>
      </c>
      <c r="M1" s="78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12"/>
  <sheetViews>
    <sheetView showGridLines="0" topLeftCell="H1" workbookViewId="0">
      <pane ySplit="1" topLeftCell="A2" activePane="bottomLeft" state="frozen"/>
      <selection pane="bottomLeft" activeCell="L8" sqref="L8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  <col min="16" max="16" width="37.83203125" customWidth="1"/>
  </cols>
  <sheetData>
    <row r="1" spans="1:16" x14ac:dyDescent="0.15">
      <c r="A1" s="74" t="s">
        <v>186</v>
      </c>
      <c r="B1" s="71" t="s">
        <v>148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7" t="s">
        <v>192</v>
      </c>
      <c r="J1" s="89" t="s">
        <v>193</v>
      </c>
      <c r="K1" s="77" t="s">
        <v>124</v>
      </c>
      <c r="L1" s="76" t="s">
        <v>184</v>
      </c>
      <c r="M1" s="90" t="s">
        <v>183</v>
      </c>
      <c r="N1" s="78" t="s">
        <v>194</v>
      </c>
    </row>
    <row r="2" spans="1:16" ht="56" x14ac:dyDescent="0.15">
      <c r="A2" s="79" t="s">
        <v>195</v>
      </c>
      <c r="B2" s="80">
        <v>58003</v>
      </c>
      <c r="C2" s="81" t="str">
        <f ca="1">VLOOKUP($B2,OFFSET([2]quests!$A$1,0,0,COUNTA([2]quests!$A:$A),MATCH(C$1,[2]quests!$1:$1,0)-MATCH($B$1,[2]quests!$1:$1,0)+1),MATCH(C$1,[2]quests!$1:$1,0)-MATCH($B$1,[2]quests!$1:$1,0)+1,FALSE)</f>
        <v>曹操襲来！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繁体字版超降臨1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繁体字版超降臨1</v>
      </c>
      <c r="H2" s="83">
        <v>1</v>
      </c>
      <c r="I2" s="88">
        <f>ROW()-1</f>
        <v>1</v>
      </c>
      <c r="J2" s="84" t="str">
        <f>B2&amp;TEXT(I2,"00")</f>
        <v>5800301</v>
      </c>
      <c r="K2" s="82" t="s">
        <v>196</v>
      </c>
      <c r="L2" s="85" t="s">
        <v>249</v>
      </c>
      <c r="M2" s="110" t="s">
        <v>418</v>
      </c>
      <c r="N2" s="55" t="s">
        <v>197</v>
      </c>
      <c r="O2">
        <f>LEN(M2)</f>
        <v>63</v>
      </c>
      <c r="P2" s="109" t="s">
        <v>335</v>
      </c>
    </row>
    <row r="3" spans="1:16" ht="70" x14ac:dyDescent="0.15">
      <c r="A3" s="79" t="s">
        <v>195</v>
      </c>
      <c r="B3" s="80">
        <v>58003</v>
      </c>
      <c r="C3" s="81" t="str">
        <f ca="1">VLOOKUP($B3,OFFSET([2]quests!$A$1,0,0,COUNTA([2]quests!$A:$A),MATCH(C$1,[2]quests!$1:$1,0)-MATCH($B$1,[2]quests!$1:$1,0)+1),MATCH(C$1,[2]quests!$1:$1,0)-MATCH($B$1,[2]quests!$1:$1,0)+1,FALSE)</f>
        <v>曹操襲来！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繁体字版超降臨1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繁体字版超降臨1</v>
      </c>
      <c r="H3" s="83">
        <v>2</v>
      </c>
      <c r="I3" s="88">
        <f t="shared" ref="I3:I12" si="0">ROW()-1</f>
        <v>2</v>
      </c>
      <c r="J3" s="84" t="str">
        <f t="shared" ref="J3:J12" si="1">B3&amp;TEXT(I3,"00")</f>
        <v>5800302</v>
      </c>
      <c r="K3" s="82" t="s">
        <v>125</v>
      </c>
      <c r="L3" s="85" t="s">
        <v>249</v>
      </c>
      <c r="M3" s="110" t="s">
        <v>392</v>
      </c>
      <c r="N3" s="55" t="s">
        <v>197</v>
      </c>
      <c r="O3">
        <f t="shared" ref="O3:O12" si="2">LEN(M3)</f>
        <v>61</v>
      </c>
      <c r="P3" s="109" t="s">
        <v>336</v>
      </c>
    </row>
    <row r="4" spans="1:16" ht="56" x14ac:dyDescent="0.15">
      <c r="A4" s="79" t="s">
        <v>195</v>
      </c>
      <c r="B4" s="80">
        <v>58003</v>
      </c>
      <c r="C4" s="81" t="str">
        <f ca="1">VLOOKUP($B4,OFFSET([2]quests!$A$1,0,0,COUNTA([2]quests!$A:$A),MATCH(C$1,[2]quests!$1:$1,0)-MATCH($B$1,[2]quests!$1:$1,0)+1),MATCH(C$1,[2]quests!$1:$1,0)-MATCH($B$1,[2]quests!$1:$1,0)+1,FALSE)</f>
        <v>曹操襲来！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繁体字版超降臨1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繁体字版超降臨1</v>
      </c>
      <c r="H4" s="83">
        <v>3</v>
      </c>
      <c r="I4" s="88">
        <f t="shared" si="0"/>
        <v>3</v>
      </c>
      <c r="J4" s="84" t="str">
        <f t="shared" si="1"/>
        <v>5800303</v>
      </c>
      <c r="K4" s="82" t="s">
        <v>125</v>
      </c>
      <c r="L4" s="85" t="s">
        <v>249</v>
      </c>
      <c r="M4" s="110" t="s">
        <v>356</v>
      </c>
      <c r="N4" s="55" t="s">
        <v>197</v>
      </c>
      <c r="O4">
        <f t="shared" si="2"/>
        <v>53</v>
      </c>
      <c r="P4" s="109" t="s">
        <v>337</v>
      </c>
    </row>
    <row r="5" spans="1:16" ht="56" x14ac:dyDescent="0.15">
      <c r="A5" s="79" t="s">
        <v>195</v>
      </c>
      <c r="B5" s="80">
        <v>58003</v>
      </c>
      <c r="C5" s="81" t="str">
        <f ca="1">VLOOKUP($B5,OFFSET([2]quests!$A$1,0,0,COUNTA([2]quests!$A:$A),MATCH(C$1,[2]quests!$1:$1,0)-MATCH($B$1,[2]quests!$1:$1,0)+1),MATCH(C$1,[2]quests!$1:$1,0)-MATCH($B$1,[2]quests!$1:$1,0)+1,FALSE)</f>
        <v>曹操襲来！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繁体字版超降臨1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繁体字版超降臨1</v>
      </c>
      <c r="H5" s="83">
        <v>4</v>
      </c>
      <c r="I5" s="88">
        <f t="shared" si="0"/>
        <v>4</v>
      </c>
      <c r="J5" s="84" t="str">
        <f t="shared" si="1"/>
        <v>5800304</v>
      </c>
      <c r="K5" s="82" t="s">
        <v>125</v>
      </c>
      <c r="L5" s="85" t="s">
        <v>249</v>
      </c>
      <c r="M5" s="110" t="s">
        <v>393</v>
      </c>
      <c r="N5" s="55" t="s">
        <v>197</v>
      </c>
      <c r="O5">
        <f t="shared" si="2"/>
        <v>51</v>
      </c>
      <c r="P5" s="109" t="s">
        <v>338</v>
      </c>
    </row>
    <row r="6" spans="1:16" ht="56" x14ac:dyDescent="0.15">
      <c r="A6" s="79" t="s">
        <v>195</v>
      </c>
      <c r="B6" s="80">
        <v>58003</v>
      </c>
      <c r="C6" s="81" t="str">
        <f ca="1">VLOOKUP($B6,OFFSET([2]quests!$A$1,0,0,COUNTA([2]quests!$A:$A),MATCH(C$1,[2]quests!$1:$1,0)-MATCH($B$1,[2]quests!$1:$1,0)+1),MATCH(C$1,[2]quests!$1:$1,0)-MATCH($B$1,[2]quests!$1:$1,0)+1,FALSE)</f>
        <v>曹操襲来！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繁体字版超降臨1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繁体字版超降臨1</v>
      </c>
      <c r="H6" s="83">
        <v>4</v>
      </c>
      <c r="I6" s="88">
        <f t="shared" si="0"/>
        <v>5</v>
      </c>
      <c r="J6" s="84" t="str">
        <f t="shared" si="1"/>
        <v>5800305</v>
      </c>
      <c r="K6" s="82" t="s">
        <v>125</v>
      </c>
      <c r="L6" s="85" t="s">
        <v>249</v>
      </c>
      <c r="M6" s="110" t="s">
        <v>357</v>
      </c>
      <c r="N6" s="55" t="s">
        <v>197</v>
      </c>
      <c r="O6">
        <f t="shared" si="2"/>
        <v>61</v>
      </c>
      <c r="P6" s="109" t="s">
        <v>339</v>
      </c>
    </row>
    <row r="7" spans="1:16" ht="70" x14ac:dyDescent="0.15">
      <c r="A7" s="79" t="s">
        <v>195</v>
      </c>
      <c r="B7" s="80">
        <v>58003</v>
      </c>
      <c r="C7" s="81" t="str">
        <f ca="1">VLOOKUP($B7,OFFSET([2]quests!$A$1,0,0,COUNTA([2]quests!$A:$A),MATCH(C$1,[2]quests!$1:$1,0)-MATCH($B$1,[2]quests!$1:$1,0)+1),MATCH(C$1,[2]quests!$1:$1,0)-MATCH($B$1,[2]quests!$1:$1,0)+1,FALSE)</f>
        <v>曹操襲来！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繁体字版超降臨1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繁体字版超降臨1</v>
      </c>
      <c r="H7" s="83">
        <v>5</v>
      </c>
      <c r="I7" s="88">
        <f t="shared" si="0"/>
        <v>6</v>
      </c>
      <c r="J7" s="84" t="str">
        <f t="shared" si="1"/>
        <v>5800306</v>
      </c>
      <c r="K7" s="82" t="s">
        <v>125</v>
      </c>
      <c r="L7" s="85" t="s">
        <v>249</v>
      </c>
      <c r="M7" s="110" t="s">
        <v>358</v>
      </c>
      <c r="N7" s="55" t="s">
        <v>197</v>
      </c>
      <c r="O7">
        <f t="shared" si="2"/>
        <v>47</v>
      </c>
      <c r="P7" s="109" t="s">
        <v>340</v>
      </c>
    </row>
    <row r="8" spans="1:16" ht="70" x14ac:dyDescent="0.15">
      <c r="A8" s="79" t="s">
        <v>195</v>
      </c>
      <c r="B8" s="80">
        <v>58003</v>
      </c>
      <c r="C8" s="81" t="str">
        <f ca="1">VLOOKUP($B8,OFFSET([2]quests!$A$1,0,0,COUNTA([2]quests!$A:$A),MATCH(C$1,[2]quests!$1:$1,0)-MATCH($B$1,[2]quests!$1:$1,0)+1),MATCH(C$1,[2]quests!$1:$1,0)-MATCH($B$1,[2]quests!$1:$1,0)+1,FALSE)</f>
        <v>曹操襲来！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繁体字版超降臨1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繁体字版超降臨1</v>
      </c>
      <c r="H8" s="83">
        <v>5</v>
      </c>
      <c r="I8" s="88">
        <f t="shared" si="0"/>
        <v>7</v>
      </c>
      <c r="J8" s="84" t="str">
        <f t="shared" si="1"/>
        <v>5800307</v>
      </c>
      <c r="K8" s="82" t="s">
        <v>125</v>
      </c>
      <c r="L8" s="85" t="s">
        <v>249</v>
      </c>
      <c r="M8" s="110" t="s">
        <v>419</v>
      </c>
      <c r="N8" s="55" t="s">
        <v>197</v>
      </c>
      <c r="O8">
        <f t="shared" si="2"/>
        <v>56</v>
      </c>
      <c r="P8" s="109" t="s">
        <v>341</v>
      </c>
    </row>
    <row r="9" spans="1:16" ht="42" x14ac:dyDescent="0.15">
      <c r="A9" s="79" t="s">
        <v>198</v>
      </c>
      <c r="B9" s="80">
        <v>58003</v>
      </c>
      <c r="C9" s="81" t="str">
        <f ca="1">VLOOKUP($B9,OFFSET([2]quests!$A$1,0,0,COUNTA([2]quests!$A:$A),MATCH(C$1,[2]quests!$1:$1,0)-MATCH($B$1,[2]quests!$1:$1,0)+1),MATCH(C$1,[2]quests!$1:$1,0)-MATCH($B$1,[2]quests!$1:$1,0)+1,FALSE)</f>
        <v>曹操襲来！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繁体字版超降臨1</v>
      </c>
      <c r="E9" s="82">
        <v>1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繁体字版超降臨1</v>
      </c>
      <c r="H9" s="83">
        <v>0</v>
      </c>
      <c r="I9" s="88">
        <f t="shared" si="0"/>
        <v>8</v>
      </c>
      <c r="J9" s="84" t="str">
        <f t="shared" si="1"/>
        <v>5800308</v>
      </c>
      <c r="K9" s="82" t="s">
        <v>125</v>
      </c>
      <c r="L9" s="85" t="s">
        <v>342</v>
      </c>
      <c r="M9" s="110" t="s">
        <v>343</v>
      </c>
      <c r="N9" s="55" t="s">
        <v>197</v>
      </c>
      <c r="O9">
        <f t="shared" si="2"/>
        <v>39</v>
      </c>
    </row>
    <row r="10" spans="1:16" ht="42" x14ac:dyDescent="0.15">
      <c r="A10" s="79" t="s">
        <v>198</v>
      </c>
      <c r="B10" s="80">
        <v>58003</v>
      </c>
      <c r="C10" s="81" t="str">
        <f ca="1">VLOOKUP($B10,OFFSET([2]quests!$A$1,0,0,COUNTA([2]quests!$A:$A),MATCH(C$1,[2]quests!$1:$1,0)-MATCH($B$1,[2]quests!$1:$1,0)+1),MATCH(C$1,[2]quests!$1:$1,0)-MATCH($B$1,[2]quests!$1:$1,0)+1,FALSE)</f>
        <v>曹操襲来！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繁体字版超降臨1</v>
      </c>
      <c r="E10" s="82">
        <v>1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繁体字版超降臨1</v>
      </c>
      <c r="H10" s="83">
        <v>0</v>
      </c>
      <c r="I10" s="88">
        <f t="shared" si="0"/>
        <v>9</v>
      </c>
      <c r="J10" s="84" t="str">
        <f t="shared" si="1"/>
        <v>5800309</v>
      </c>
      <c r="K10" s="82" t="s">
        <v>125</v>
      </c>
      <c r="L10" s="85" t="s">
        <v>344</v>
      </c>
      <c r="M10" s="110" t="s">
        <v>345</v>
      </c>
      <c r="N10" s="55" t="s">
        <v>197</v>
      </c>
      <c r="O10">
        <f t="shared" si="2"/>
        <v>58</v>
      </c>
    </row>
    <row r="11" spans="1:16" ht="42" x14ac:dyDescent="0.15">
      <c r="A11" s="79" t="s">
        <v>198</v>
      </c>
      <c r="B11" s="80">
        <v>58003</v>
      </c>
      <c r="C11" s="81" t="str">
        <f ca="1">VLOOKUP($B11,OFFSET([2]quests!$A$1,0,0,COUNTA([2]quests!$A:$A),MATCH(C$1,[2]quests!$1:$1,0)-MATCH($B$1,[2]quests!$1:$1,0)+1),MATCH(C$1,[2]quests!$1:$1,0)-MATCH($B$1,[2]quests!$1:$1,0)+1,FALSE)</f>
        <v>曹操襲来！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繁体字版超降臨1</v>
      </c>
      <c r="E11" s="82">
        <v>1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繁体字版超降臨1</v>
      </c>
      <c r="H11" s="83">
        <v>0</v>
      </c>
      <c r="I11" s="88">
        <f t="shared" si="0"/>
        <v>10</v>
      </c>
      <c r="J11" s="84" t="str">
        <f t="shared" si="1"/>
        <v>5800310</v>
      </c>
      <c r="K11" s="82" t="s">
        <v>125</v>
      </c>
      <c r="L11" s="85" t="s">
        <v>346</v>
      </c>
      <c r="M11" s="110" t="s">
        <v>347</v>
      </c>
      <c r="N11" s="55" t="s">
        <v>197</v>
      </c>
      <c r="O11">
        <f t="shared" si="2"/>
        <v>45</v>
      </c>
    </row>
    <row r="12" spans="1:16" ht="56" x14ac:dyDescent="0.15">
      <c r="A12" s="79" t="s">
        <v>198</v>
      </c>
      <c r="B12" s="80">
        <v>58003</v>
      </c>
      <c r="C12" s="81" t="str">
        <f ca="1">VLOOKUP($B12,OFFSET([2]quests!$A$1,0,0,COUNTA([2]quests!$A:$A),MATCH(C$1,[2]quests!$1:$1,0)-MATCH($B$1,[2]quests!$1:$1,0)+1),MATCH(C$1,[2]quests!$1:$1,0)-MATCH($B$1,[2]quests!$1:$1,0)+1,FALSE)</f>
        <v>曹操襲来！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繁体字版超降臨1</v>
      </c>
      <c r="E12" s="82">
        <v>1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繁体字版超降臨1</v>
      </c>
      <c r="H12" s="83">
        <v>0</v>
      </c>
      <c r="I12" s="88">
        <f t="shared" si="0"/>
        <v>11</v>
      </c>
      <c r="J12" s="84" t="str">
        <f t="shared" si="1"/>
        <v>5800311</v>
      </c>
      <c r="K12" s="82" t="s">
        <v>125</v>
      </c>
      <c r="L12" s="85" t="s">
        <v>348</v>
      </c>
      <c r="M12" s="110" t="s">
        <v>349</v>
      </c>
      <c r="N12" s="55" t="s">
        <v>197</v>
      </c>
      <c r="O12">
        <f t="shared" si="2"/>
        <v>62</v>
      </c>
    </row>
  </sheetData>
  <phoneticPr fontId="5"/>
  <dataValidations count="1">
    <dataValidation type="list" allowBlank="1" showInputMessage="1" showErrorMessage="1" sqref="A2:A1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5" t="s">
        <v>212</v>
      </c>
      <c r="D1" s="75" t="s">
        <v>33</v>
      </c>
      <c r="E1" s="93" t="s">
        <v>213</v>
      </c>
      <c r="F1" s="75" t="s">
        <v>214</v>
      </c>
      <c r="G1" s="75" t="s">
        <v>33</v>
      </c>
      <c r="H1" s="93" t="s">
        <v>215</v>
      </c>
      <c r="I1" s="93" t="s">
        <v>216</v>
      </c>
      <c r="J1" s="93" t="s">
        <v>217</v>
      </c>
      <c r="K1" s="71" t="s">
        <v>218</v>
      </c>
      <c r="L1" s="71" t="s">
        <v>219</v>
      </c>
      <c r="M1" s="71" t="s">
        <v>154</v>
      </c>
      <c r="N1" s="75" t="s">
        <v>16</v>
      </c>
      <c r="O1" s="71" t="s">
        <v>220</v>
      </c>
      <c r="P1" s="71" t="s">
        <v>56</v>
      </c>
      <c r="Q1" s="71" t="s">
        <v>221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222</v>
      </c>
      <c r="X1" s="71" t="s">
        <v>223</v>
      </c>
    </row>
    <row r="2" spans="1:24" x14ac:dyDescent="0.15">
      <c r="A2" s="94" t="str">
        <f>B2&amp;"_"&amp;E2&amp;"_"&amp;H2&amp;"_"&amp;I2&amp;"_"&amp;J2</f>
        <v>58003_1_everyone_full_member_1</v>
      </c>
      <c r="B2" s="80">
        <v>58003</v>
      </c>
      <c r="C2" s="81" t="str">
        <f ca="1">VLOOKUP($B2,OFFSET([2]quests!$A$1,0,0,COUNTA([2]quests!$A:$A),MATCH(C$1,[2]quests!$1:$1,0)-MATCH($B$1,[2]quests!$1:$1,0)+1),MATCH(C$1,[2]quests!$1:$1,0)-MATCH($B$1,[2]quests!$1:$1,0)+1,FALSE)</f>
        <v>曹操襲来！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繁体字版超降臨1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【超ウィザード級】曹操襲来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繁体字版超降臨1</v>
      </c>
      <c r="H2" s="83" t="s">
        <v>350</v>
      </c>
      <c r="I2" s="82" t="s">
        <v>351</v>
      </c>
      <c r="J2" s="82">
        <v>1</v>
      </c>
      <c r="K2" s="82">
        <v>100</v>
      </c>
      <c r="L2" s="82" t="s">
        <v>352</v>
      </c>
      <c r="M2" s="82">
        <v>8083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曹操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224</v>
      </c>
      <c r="X2" s="97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2017-06-02T03:22:36Z</dcterms:modified>
</cp:coreProperties>
</file>