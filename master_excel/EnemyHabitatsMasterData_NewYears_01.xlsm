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880" yWindow="8040" windowWidth="35720" windowHeight="1280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8" l="1"/>
  <c r="D10" i="18"/>
  <c r="C9" i="18"/>
  <c r="D9" i="18"/>
  <c r="C3" i="18"/>
  <c r="D3" i="18"/>
  <c r="C4" i="18"/>
  <c r="D4" i="18"/>
  <c r="C5" i="18"/>
  <c r="D5" i="18"/>
  <c r="C6" i="18"/>
  <c r="D6" i="18"/>
  <c r="C7" i="18"/>
  <c r="D7" i="18"/>
  <c r="C8" i="18"/>
  <c r="D8" i="18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Y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8" i="9"/>
  <c r="D8" i="9"/>
  <c r="E8" i="9"/>
  <c r="G8" i="9"/>
  <c r="H8" i="9"/>
  <c r="I8" i="9"/>
  <c r="J8" i="9"/>
  <c r="K8" i="9"/>
  <c r="L8" i="9"/>
  <c r="M8" i="9"/>
  <c r="N8" i="9"/>
  <c r="O8" i="9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O2" i="9"/>
  <c r="N2" i="9"/>
  <c r="M2" i="9"/>
  <c r="L2" i="9"/>
  <c r="K2" i="9"/>
  <c r="J2" i="9"/>
  <c r="I2" i="9"/>
  <c r="H2" i="9"/>
  <c r="G2" i="9"/>
  <c r="E2" i="9"/>
  <c r="X15" i="1"/>
  <c r="H15" i="1"/>
  <c r="G2" i="2"/>
  <c r="A2" i="2"/>
  <c r="G3" i="2"/>
  <c r="A3" i="2"/>
  <c r="G4" i="2"/>
  <c r="A4" i="2"/>
  <c r="G5" i="2"/>
  <c r="A5" i="2"/>
  <c r="G6" i="2"/>
  <c r="A6" i="2"/>
  <c r="J15" i="1"/>
  <c r="I15" i="1"/>
  <c r="X14" i="1"/>
  <c r="H14" i="1"/>
  <c r="J14" i="1"/>
  <c r="I14" i="1"/>
  <c r="X13" i="1"/>
  <c r="H13" i="1"/>
  <c r="J13" i="1"/>
  <c r="I13" i="1"/>
  <c r="X12" i="1"/>
  <c r="H12" i="1"/>
  <c r="J12" i="1"/>
  <c r="I12" i="1"/>
  <c r="X11" i="1"/>
  <c r="H11" i="1"/>
  <c r="J11" i="1"/>
  <c r="I11" i="1"/>
  <c r="X10" i="1"/>
  <c r="H10" i="1"/>
  <c r="J10" i="1"/>
  <c r="I10" i="1"/>
  <c r="X9" i="1"/>
  <c r="H9" i="1"/>
  <c r="J9" i="1"/>
  <c r="I9" i="1"/>
  <c r="X8" i="1"/>
  <c r="H8" i="1"/>
  <c r="J8" i="1"/>
  <c r="I8" i="1"/>
  <c r="X7" i="1"/>
  <c r="H7" i="1"/>
  <c r="J7" i="1"/>
  <c r="I7" i="1"/>
  <c r="X6" i="1"/>
  <c r="H6" i="1"/>
  <c r="J6" i="1"/>
  <c r="I6" i="1"/>
  <c r="X5" i="1"/>
  <c r="H5" i="1"/>
  <c r="J5" i="1"/>
  <c r="I5" i="1"/>
  <c r="X4" i="1"/>
  <c r="H4" i="1"/>
  <c r="J4" i="1"/>
  <c r="I4" i="1"/>
  <c r="X3" i="1"/>
  <c r="H3" i="1"/>
  <c r="J3" i="1"/>
  <c r="I3" i="1"/>
  <c r="X2" i="1"/>
  <c r="H2" i="1"/>
  <c r="J2" i="1"/>
  <c r="I2" i="1"/>
  <c r="D2" i="9"/>
  <c r="A2" i="9"/>
  <c r="A3" i="1"/>
  <c r="D3" i="1"/>
  <c r="E3" i="1"/>
  <c r="F3" i="1"/>
  <c r="M3" i="1"/>
  <c r="N3" i="1"/>
  <c r="O3" i="1"/>
  <c r="P3" i="1"/>
  <c r="Q3" i="1"/>
  <c r="T3" i="1"/>
  <c r="V3" i="1"/>
  <c r="AE3" i="1"/>
  <c r="AF3" i="1"/>
  <c r="AG3" i="1"/>
  <c r="AI3" i="1"/>
  <c r="A4" i="1"/>
  <c r="D4" i="1"/>
  <c r="E4" i="1"/>
  <c r="F4" i="1"/>
  <c r="M4" i="1"/>
  <c r="N4" i="1"/>
  <c r="O4" i="1"/>
  <c r="P4" i="1"/>
  <c r="Q4" i="1"/>
  <c r="T4" i="1"/>
  <c r="V4" i="1"/>
  <c r="AE4" i="1"/>
  <c r="AF4" i="1"/>
  <c r="AG4" i="1"/>
  <c r="AI4" i="1"/>
  <c r="A5" i="1"/>
  <c r="D5" i="1"/>
  <c r="E5" i="1"/>
  <c r="F5" i="1"/>
  <c r="M5" i="1"/>
  <c r="N5" i="1"/>
  <c r="O5" i="1"/>
  <c r="P5" i="1"/>
  <c r="Q5" i="1"/>
  <c r="T5" i="1"/>
  <c r="V5" i="1"/>
  <c r="AE5" i="1"/>
  <c r="AF5" i="1"/>
  <c r="AG5" i="1"/>
  <c r="AI5" i="1"/>
  <c r="A6" i="1"/>
  <c r="D6" i="1"/>
  <c r="E6" i="1"/>
  <c r="F6" i="1"/>
  <c r="M6" i="1"/>
  <c r="N6" i="1"/>
  <c r="O6" i="1"/>
  <c r="P6" i="1"/>
  <c r="Q6" i="1"/>
  <c r="T6" i="1"/>
  <c r="V6" i="1"/>
  <c r="AE6" i="1"/>
  <c r="AF6" i="1"/>
  <c r="AG6" i="1"/>
  <c r="AI6" i="1"/>
  <c r="A7" i="1"/>
  <c r="D7" i="1"/>
  <c r="E7" i="1"/>
  <c r="F7" i="1"/>
  <c r="M7" i="1"/>
  <c r="N7" i="1"/>
  <c r="O7" i="1"/>
  <c r="P7" i="1"/>
  <c r="Q7" i="1"/>
  <c r="T7" i="1"/>
  <c r="V7" i="1"/>
  <c r="AE7" i="1"/>
  <c r="AF7" i="1"/>
  <c r="AG7" i="1"/>
  <c r="AI7" i="1"/>
  <c r="A8" i="1"/>
  <c r="D8" i="1"/>
  <c r="E8" i="1"/>
  <c r="F8" i="1"/>
  <c r="M8" i="1"/>
  <c r="N8" i="1"/>
  <c r="O8" i="1"/>
  <c r="P8" i="1"/>
  <c r="Q8" i="1"/>
  <c r="T8" i="1"/>
  <c r="V8" i="1"/>
  <c r="AE8" i="1"/>
  <c r="AF8" i="1"/>
  <c r="AG8" i="1"/>
  <c r="AI8" i="1"/>
  <c r="A9" i="1"/>
  <c r="D9" i="1"/>
  <c r="E9" i="1"/>
  <c r="F9" i="1"/>
  <c r="M9" i="1"/>
  <c r="N9" i="1"/>
  <c r="O9" i="1"/>
  <c r="P9" i="1"/>
  <c r="Q9" i="1"/>
  <c r="T9" i="1"/>
  <c r="V9" i="1"/>
  <c r="AE9" i="1"/>
  <c r="AF9" i="1"/>
  <c r="AG9" i="1"/>
  <c r="AI9" i="1"/>
  <c r="A10" i="1"/>
  <c r="D10" i="1"/>
  <c r="E10" i="1"/>
  <c r="F10" i="1"/>
  <c r="M10" i="1"/>
  <c r="N10" i="1"/>
  <c r="O10" i="1"/>
  <c r="P10" i="1"/>
  <c r="Q10" i="1"/>
  <c r="T10" i="1"/>
  <c r="V10" i="1"/>
  <c r="AE10" i="1"/>
  <c r="AF10" i="1"/>
  <c r="AG10" i="1"/>
  <c r="AI10" i="1"/>
  <c r="A11" i="1"/>
  <c r="D11" i="1"/>
  <c r="E11" i="1"/>
  <c r="F11" i="1"/>
  <c r="M11" i="1"/>
  <c r="N11" i="1"/>
  <c r="O11" i="1"/>
  <c r="P11" i="1"/>
  <c r="Q11" i="1"/>
  <c r="T11" i="1"/>
  <c r="V11" i="1"/>
  <c r="AE11" i="1"/>
  <c r="AF11" i="1"/>
  <c r="AG11" i="1"/>
  <c r="AI11" i="1"/>
  <c r="A12" i="1"/>
  <c r="D12" i="1"/>
  <c r="E12" i="1"/>
  <c r="F12" i="1"/>
  <c r="M12" i="1"/>
  <c r="N12" i="1"/>
  <c r="O12" i="1"/>
  <c r="P12" i="1"/>
  <c r="Q12" i="1"/>
  <c r="T12" i="1"/>
  <c r="V12" i="1"/>
  <c r="AE12" i="1"/>
  <c r="AF12" i="1"/>
  <c r="AG12" i="1"/>
  <c r="AI12" i="1"/>
  <c r="A13" i="1"/>
  <c r="D13" i="1"/>
  <c r="E13" i="1"/>
  <c r="F13" i="1"/>
  <c r="M13" i="1"/>
  <c r="N13" i="1"/>
  <c r="O13" i="1"/>
  <c r="P13" i="1"/>
  <c r="Q13" i="1"/>
  <c r="T13" i="1"/>
  <c r="V13" i="1"/>
  <c r="AE13" i="1"/>
  <c r="AF13" i="1"/>
  <c r="AG13" i="1"/>
  <c r="AI13" i="1"/>
  <c r="A14" i="1"/>
  <c r="D14" i="1"/>
  <c r="E14" i="1"/>
  <c r="F14" i="1"/>
  <c r="M14" i="1"/>
  <c r="N14" i="1"/>
  <c r="O14" i="1"/>
  <c r="P14" i="1"/>
  <c r="Q14" i="1"/>
  <c r="T14" i="1"/>
  <c r="V14" i="1"/>
  <c r="AE14" i="1"/>
  <c r="AF14" i="1"/>
  <c r="AG14" i="1"/>
  <c r="AI14" i="1"/>
  <c r="A15" i="1"/>
  <c r="D15" i="1"/>
  <c r="E15" i="1"/>
  <c r="F15" i="1"/>
  <c r="M15" i="1"/>
  <c r="N15" i="1"/>
  <c r="O15" i="1"/>
  <c r="P15" i="1"/>
  <c r="Q15" i="1"/>
  <c r="T15" i="1"/>
  <c r="V15" i="1"/>
  <c r="AE15" i="1"/>
  <c r="AF15" i="1"/>
  <c r="AG15" i="1"/>
  <c r="AI15" i="1"/>
  <c r="AF2" i="1"/>
  <c r="AI2" i="1"/>
  <c r="AG2" i="1"/>
  <c r="AE2" i="1"/>
  <c r="V2" i="1"/>
  <c r="T2" i="1"/>
  <c r="Q2" i="1"/>
  <c r="P2" i="1"/>
  <c r="O2" i="1"/>
  <c r="N2" i="1"/>
  <c r="M2" i="1"/>
  <c r="D2" i="1"/>
  <c r="F2" i="1"/>
  <c r="E2" i="1"/>
  <c r="A2" i="1"/>
  <c r="B6" i="2"/>
  <c r="B5" i="2"/>
  <c r="B4" i="2"/>
  <c r="B3" i="2"/>
  <c r="B2" i="2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C3" i="21"/>
  <c r="D3" i="21"/>
  <c r="F3" i="21"/>
  <c r="G3" i="21"/>
  <c r="I3" i="21"/>
  <c r="J3" i="21"/>
  <c r="C4" i="21"/>
  <c r="D4" i="21"/>
  <c r="F4" i="21"/>
  <c r="G4" i="21"/>
  <c r="I4" i="21"/>
  <c r="J4" i="21"/>
  <c r="C5" i="21"/>
  <c r="D5" i="21"/>
  <c r="F5" i="21"/>
  <c r="G5" i="21"/>
  <c r="I5" i="21"/>
  <c r="J5" i="21"/>
  <c r="C6" i="21"/>
  <c r="D6" i="21"/>
  <c r="F6" i="21"/>
  <c r="G6" i="21"/>
  <c r="I6" i="21"/>
  <c r="J6" i="21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E13" i="16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C28" i="19"/>
  <c r="D28" i="19"/>
  <c r="F28" i="19"/>
  <c r="G28" i="19"/>
  <c r="C29" i="19"/>
  <c r="D29" i="19"/>
  <c r="F29" i="19"/>
  <c r="G29" i="19"/>
  <c r="C30" i="19"/>
  <c r="D30" i="19"/>
  <c r="F30" i="19"/>
  <c r="G30" i="19"/>
  <c r="C31" i="19"/>
  <c r="D31" i="19"/>
  <c r="F31" i="19"/>
  <c r="G31" i="19"/>
  <c r="C32" i="19"/>
  <c r="D32" i="19"/>
  <c r="F32" i="19"/>
  <c r="G32" i="19"/>
  <c r="C33" i="19"/>
  <c r="D33" i="19"/>
  <c r="F33" i="19"/>
  <c r="G33" i="19"/>
  <c r="C34" i="19"/>
  <c r="D34" i="19"/>
  <c r="F34" i="19"/>
  <c r="G34" i="19"/>
  <c r="C35" i="19"/>
  <c r="D35" i="19"/>
  <c r="F35" i="19"/>
  <c r="G35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C2" i="19"/>
  <c r="D2" i="19"/>
  <c r="F2" i="19"/>
  <c r="G2" i="19"/>
  <c r="I2" i="21"/>
  <c r="J2" i="21"/>
  <c r="G2" i="21"/>
  <c r="F2" i="21"/>
  <c r="D2" i="21"/>
  <c r="C2" i="21"/>
  <c r="E12" i="16"/>
  <c r="E11" i="16"/>
  <c r="E10" i="16"/>
  <c r="C2" i="18"/>
  <c r="D2" i="18"/>
  <c r="E9" i="16"/>
  <c r="E8" i="16"/>
  <c r="E7" i="16"/>
  <c r="E6" i="16"/>
  <c r="E5" i="16"/>
  <c r="E4" i="16"/>
  <c r="E3" i="16"/>
  <c r="E2" i="16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<sst xmlns="http://schemas.openxmlformats.org/spreadsheetml/2006/main" count="693" uniqueCount="300">
  <si>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</si>
  <si>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</si>
  <si>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</si>
  <si>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</si>
  <si>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</si>
  <si>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</si>
  <si>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</si>
  <si>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</si>
  <si>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</si>
  <si>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</si>
  <si>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</si>
  <si>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</si>
  <si>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</si>
  <si>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</si>
  <si>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</si>
  <si>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</si>
  <si>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</si>
  <si>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</si>
  <si>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</si>
  <si>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</si>
  <si>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</si>
  <si>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</si>
  <si>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</si>
  <si>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</si>
  <si>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</si>
  <si>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</si>
  <si>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</si>
  <si>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</si>
  <si>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</si>
  <si>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</si>
  <si>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</si>
  <si>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</si>
  <si>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</si>
  <si>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</si>
  <si>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</si>
  <si>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</si>
  <si>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</si>
  <si>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</si>
  <si>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</si>
  <si>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</si>
  <si>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</si>
  <si>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</si>
  <si>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</si>
  <si>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</si>
  <si>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</si>
  <si>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</si>
  <si>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</si>
  <si>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</si>
  <si>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</si>
  <si>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</si>
  <si>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</si>
  <si>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</si>
  <si>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</si>
  <si>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</si>
  <si>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</si>
  <si>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</si>
  <si>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</si>
  <si>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</si>
  <si>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</si>
  <si>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</si>
  <si>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</si>
  <si>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</si>
  <si>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</si>
  <si>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</si>
  <si>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</si>
  <si>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</si>
  <si>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</si>
  <si>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</si>
  <si>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</si>
  <si>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</si>
  <si>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</si>
  <si>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</si>
  <si>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</si>
  <si>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</si>
  <si>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</si>
  <si>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</si>
  <si>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</si>
  <si>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</si>
  <si>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</si>
  <si>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</si>
  <si>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</si>
  <si>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</si>
  <si>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</si>
  <si>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</si>
  <si>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</si>
  <si>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</si>
  <si>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</si>
  <si>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</si>
  <si>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</si>
  <si>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</si>
  <si>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</si>
  <si>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</si>
  <si>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</si>
  <si>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</si>
  <si>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</si>
  <si>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</si>
  <si>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</si>
  <si>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</si>
  <si>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</si>
  <si>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</si>
  <si>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</si>
  <si>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</si>
  <si>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</si>
  <si>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</si>
  <si>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</si>
  <si>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</si>
  <si>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</si>
  <si>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</si>
  <si>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</si>
  <si>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</si>
  <si>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</si>
  <si>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</si>
  <si>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</si>
  <si>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</si>
  <si>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</si>
  <si>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</si>
  <si>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</si>
  <si>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</si>
  <si>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</si>
  <si>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</si>
  <si>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</si>
  <si>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</si>
  <si>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</si>
  <si>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</si>
  <si>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</si>
  <si>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</si>
  <si>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</si>
  <si>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</si>
  <si>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</si>
  <si>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</si>
  <si>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</si>
  <si>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</si>
  <si>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</si>
  <si>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</si>
  <si>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</si>
  <si>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</si>
  <si>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</si>
  <si>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</si>
  <si>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</si>
  <si>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</si>
  <si>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</si>
  <si>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</si>
  <si>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</si>
  <si>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</si>
  <si>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</si>
  <si>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</si>
  <si>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</si>
  <si>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</si>
  <si>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</si>
  <si>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</si>
  <si>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</si>
  <si>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</si>
  <si>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</si>
  <si>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</si>
  <si>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</si>
  <si>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</si>
  <si>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</si>
  <si>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</si>
  <si>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</si>
  <si>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</si>
  <si>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</si>
  <si>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</si>
  <si>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</si>
  <si>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</si>
  <si>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</si>
  <si>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</si>
  <si>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</si>
  <si>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</si>
  <si>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</si>
  <si>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</si>
  <si>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</si>
  <si>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</si>
  <si>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</si>
  <si>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</si>
  <si>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</si>
  <si>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</si>
  <si>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</si>
  <si>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</si>
  <si>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</si>
  <si>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</si>
  <si>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</si>
  <si>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</si>
  <si>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</si>
  <si>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</si>
  <si>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</si>
  <si>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</si>
  <si>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</si>
  <si>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</si>
  <si>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</si>
  <si>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</si>
  <si>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</si>
  <si>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</si>
  <si>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</si>
  <si>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</si>
  <si>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</si>
  <si>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</si>
  <si>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</si>
  <si>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</si>
  <si>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</si>
  <si>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</si>
  <si>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</si>
  <si>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</si>
  <si>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</si>
  <si>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</si>
  <si>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</si>
  <si>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</si>
  <si>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</si>
  <si>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</si>
  <si>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</si>
  <si>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</si>
  <si>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上級</t>
    <rPh sb="0" eb="2">
      <t>ジョウキュウ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</si>
  <si>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</si>
  <si>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</si>
  <si>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</si>
  <si>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</si>
  <si>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</si>
  <si>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</si>
  <si>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</si>
  <si>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</si>
  <si>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</si>
  <si>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</si>
  <si>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</si>
  <si>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</si>
  <si>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</si>
  <si>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</si>
  <si>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</si>
  <si>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</si>
  <si>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</si>
  <si>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</si>
  <si>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</si>
  <si>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</si>
  <si>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</si>
  <si>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</si>
  <si>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</si>
  <si>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</si>
  <si>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</si>
  <si>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</si>
  <si>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</si>
  <si>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</si>
  <si>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</si>
  <si>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</si>
  <si>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</si>
  <si>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</si>
  <si>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</si>
  <si>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</si>
  <si>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</si>
  <si>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</si>
  <si>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</si>
  <si>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</si>
  <si>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「干支の順に集合せよ さすれば宴が開かれん」</t>
    <rPh sb="1" eb="3">
      <t>エト</t>
    </rPh>
    <rPh sb="4" eb="5">
      <t>ジュン</t>
    </rPh>
    <rPh sb="6" eb="8">
      <t>シュウゴウ</t>
    </rPh>
    <rPh sb="15" eb="16">
      <t>ウタゲ</t>
    </rPh>
    <rPh sb="17" eb="18">
      <t>ヒラ</t>
    </rPh>
    <phoneticPr fontId="5"/>
  </si>
  <si>
    <t>謎のメッセージに導かれ ユニット達が大集結
だが、羊ユニットがみつからず
宴が開かれることはなかった…
次の年末こそは…？</t>
    <rPh sb="0" eb="1">
      <t>ナゾ</t>
    </rPh>
    <rPh sb="8" eb="9">
      <t>ミチビ</t>
    </rPh>
    <rPh sb="16" eb="17">
      <t>タチ</t>
    </rPh>
    <rPh sb="18" eb="19">
      <t>ダイ</t>
    </rPh>
    <rPh sb="19" eb="21">
      <t>シュウケツ</t>
    </rPh>
    <rPh sb="26" eb="27">
      <t>ヒツジ</t>
    </rPh>
    <rPh sb="38" eb="39">
      <t>ウタゲ</t>
    </rPh>
    <rPh sb="40" eb="41">
      <t>ヒラ</t>
    </rPh>
    <rPh sb="54" eb="55">
      <t>ツギ</t>
    </rPh>
    <rPh sb="56" eb="58">
      <t>ネンマツ</t>
    </rPh>
    <phoneticPr fontId="5"/>
  </si>
  <si>
    <t>勘兵衛のバグを上げよう！</t>
    <rPh sb="0" eb="4">
      <t>カンベ</t>
    </rPh>
    <rPh sb="7" eb="8">
      <t>ア</t>
    </rPh>
    <phoneticPr fontId="5"/>
  </si>
  <si>
    <t>この特別クエストでは
期間限定ユニット「勘兵衛」が必ずドロップ！
集めた勘兵衛のバグを上げて
バグボーナスを狙いましょう！</t>
    <rPh sb="2" eb="4">
      <t>トクベツ</t>
    </rPh>
    <rPh sb="11" eb="15">
      <t>キカンゲンテイ</t>
    </rPh>
    <rPh sb="20" eb="23">
      <t>カンベエ</t>
    </rPh>
    <rPh sb="25" eb="26">
      <t>カナラ</t>
    </rPh>
    <rPh sb="34" eb="35">
      <t>アツ</t>
    </rPh>
    <rPh sb="37" eb="40">
      <t>カンベエ</t>
    </rPh>
    <rPh sb="44" eb="45">
      <t>ア</t>
    </rPh>
    <rPh sb="55" eb="56">
      <t>ネラ</t>
    </rPh>
    <phoneticPr fontId="5"/>
  </si>
  <si>
    <t>勘兵衛はカジノ好き！</t>
    <rPh sb="0" eb="3">
      <t>カンベエ</t>
    </rPh>
    <rPh sb="7" eb="8">
      <t>ズ</t>
    </rPh>
    <phoneticPr fontId="5"/>
  </si>
  <si>
    <t>この特別クエストでは
期間限定ユニット「勘兵衛」が必ずドロップ！
賭け好き勘兵衛はゴールドカジノで大活躍！</t>
    <rPh sb="2" eb="4">
      <t>トクベツ</t>
    </rPh>
    <rPh sb="11" eb="15">
      <t>キカンゲンテイ</t>
    </rPh>
    <rPh sb="20" eb="23">
      <t>カンベエ</t>
    </rPh>
    <rPh sb="25" eb="26">
      <t>カナラ</t>
    </rPh>
    <rPh sb="34" eb="35">
      <t>カ</t>
    </rPh>
    <rPh sb="36" eb="37">
      <t>ズ</t>
    </rPh>
    <rPh sb="38" eb="41">
      <t>カンベエ</t>
    </rPh>
    <rPh sb="50" eb="53">
      <t>ダイカツヤク</t>
    </rPh>
    <phoneticPr fontId="5"/>
  </si>
  <si>
    <t>干支の順に 倒していこう！</t>
    <rPh sb="0" eb="2">
      <t>エト</t>
    </rPh>
    <rPh sb="3" eb="4">
      <t>ジュン</t>
    </rPh>
    <rPh sb="6" eb="7">
      <t>タオ</t>
    </rPh>
    <phoneticPr fontId="5"/>
  </si>
  <si>
    <t>この特別クエストに登場するユニットは
干支の順に集合しようとしています。
ターゲットして順番通りに倒しましょう！</t>
    <rPh sb="2" eb="4">
      <t>トクベツ</t>
    </rPh>
    <rPh sb="9" eb="11">
      <t>トウジョウ</t>
    </rPh>
    <rPh sb="19" eb="21">
      <t>エト</t>
    </rPh>
    <rPh sb="22" eb="23">
      <t>ジュン</t>
    </rPh>
    <rPh sb="24" eb="26">
      <t>シュウゴウ</t>
    </rPh>
    <rPh sb="45" eb="48">
      <t>ジュンバンドオ</t>
    </rPh>
    <rPh sb="50" eb="51">
      <t>タオ</t>
    </rPh>
    <phoneticPr fontId="5"/>
  </si>
  <si>
    <t>干支の順って…？</t>
    <rPh sb="0" eb="2">
      <t>エト</t>
    </rPh>
    <rPh sb="3" eb="4">
      <t>ジュン</t>
    </rPh>
    <phoneticPr fontId="5"/>
  </si>
  <si>
    <t>unit</t>
  </si>
  <si>
    <t>[effect:nothing]</t>
    <phoneticPr fontId="5"/>
  </si>
  <si>
    <t>ガガ…干支ノ順ニ 撃破セヨ！</t>
    <rPh sb="3" eb="5">
      <t>エト</t>
    </rPh>
    <rPh sb="6" eb="7">
      <t>ジュン</t>
    </rPh>
    <rPh sb="9" eb="11">
      <t>ゲキハ</t>
    </rPh>
    <phoneticPr fontId="5"/>
  </si>
  <si>
    <t>すると 宴が開かれる という噂だ</t>
    <rPh sb="4" eb="5">
      <t>ウタゲ</t>
    </rPh>
    <rPh sb="6" eb="7">
      <t>ヒラ</t>
    </rPh>
    <rPh sb="14" eb="15">
      <t>ウワサ</t>
    </rPh>
    <phoneticPr fontId="5"/>
  </si>
  <si>
    <t>[effect:heal, target:myself, val:1.0, animation:enemy_heal]</t>
    <phoneticPr fontId="5"/>
  </si>
  <si>
    <t>モー 順番守ろうよ</t>
    <rPh sb="3" eb="5">
      <t>ジュンバンヌ</t>
    </rPh>
    <rPh sb="5" eb="6">
      <t>マモ</t>
    </rPh>
    <phoneticPr fontId="5"/>
  </si>
  <si>
    <t>HPが全回復！</t>
    <rPh sb="3" eb="6">
      <t>ゼンカイフク</t>
    </rPh>
    <phoneticPr fontId="5"/>
  </si>
  <si>
    <t>[effect:fix_speed, target:myself, turn:1]</t>
    <phoneticPr fontId="5"/>
  </si>
  <si>
    <t>宴には ノンビリ向かお</t>
    <rPh sb="0" eb="1">
      <t>ウタゲ</t>
    </rPh>
    <rPh sb="8" eb="9">
      <t>ム</t>
    </rPh>
    <phoneticPr fontId="5"/>
  </si>
  <si>
    <t>丑</t>
    <rPh sb="0" eb="1">
      <t>ウシ</t>
    </rPh>
    <phoneticPr fontId="5"/>
  </si>
  <si>
    <t>寅</t>
    <rPh sb="0" eb="1">
      <t>トラ</t>
    </rPh>
    <phoneticPr fontId="5"/>
  </si>
  <si>
    <t>&lt;干支の順番は コチラですよ&gt;</t>
    <rPh sb="1" eb="3">
      <t>エト</t>
    </rPh>
    <rPh sb="4" eb="6">
      <t>ジュンバン</t>
    </rPh>
    <phoneticPr fontId="5"/>
  </si>
  <si>
    <t>子 丑 寅 卯 辰 巳 午 未 申 酉 戌 亥</t>
    <rPh sb="0" eb="23">
      <t>ネウシ</t>
    </rPh>
    <phoneticPr fontId="5"/>
  </si>
  <si>
    <t>[effect:kamikaze, val:0]</t>
    <phoneticPr fontId="5"/>
  </si>
  <si>
    <t>&lt;タマゴシステムを 起動します&gt;</t>
    <rPh sb="10" eb="12">
      <t>キドウ</t>
    </rPh>
    <phoneticPr fontId="5"/>
  </si>
  <si>
    <t>何かのタマゴが ドロップする！</t>
    <rPh sb="0" eb="1">
      <t>ナニ</t>
    </rPh>
    <phoneticPr fontId="5"/>
  </si>
  <si>
    <t>[effect:spread, val:0.5]</t>
    <phoneticPr fontId="5"/>
  </si>
  <si>
    <t>マーチの順番 先なのに！</t>
    <rPh sb="4" eb="6">
      <t>ジュンバン</t>
    </rPh>
    <rPh sb="7" eb="8">
      <t>サキ</t>
    </rPh>
    <phoneticPr fontId="5"/>
  </si>
  <si>
    <t>全体に攻撃！</t>
    <rPh sb="0" eb="2">
      <t>ゼンタイ</t>
    </rPh>
    <rPh sb="3" eb="5">
      <t>コウゲキ</t>
    </rPh>
    <phoneticPr fontId="5"/>
  </si>
  <si>
    <t>マーチ 宴が楽しみ！</t>
    <rPh sb="4" eb="5">
      <t>ウタゲ</t>
    </rPh>
    <rPh sb="6" eb="7">
      <t>タノ</t>
    </rPh>
    <phoneticPr fontId="5"/>
  </si>
  <si>
    <t>攻撃頻度が 1ターンにUP</t>
    <rPh sb="0" eb="2">
      <t>コウゲキ</t>
    </rPh>
    <rPh sb="2" eb="4">
      <t>ヒンド</t>
    </rPh>
    <phoneticPr fontId="5"/>
  </si>
  <si>
    <t>[effect:rush, count:1, val:1]</t>
    <phoneticPr fontId="5"/>
  </si>
  <si>
    <t>辰</t>
    <rPh sb="0" eb="1">
      <t>🐲</t>
    </rPh>
    <phoneticPr fontId="5"/>
  </si>
  <si>
    <t>[effect:enemy_counter, target:myself, invoke_condition:unit_all, counter_target:attacker, turn:3, val:1, animation:enemy_counter]</t>
    <phoneticPr fontId="5"/>
  </si>
  <si>
    <t>このアタイを 差し置いてぇ</t>
    <rPh sb="7" eb="8">
      <t>サ</t>
    </rPh>
    <rPh sb="9" eb="10">
      <t>オ</t>
    </rPh>
    <phoneticPr fontId="5"/>
  </si>
  <si>
    <t>3ターンの間 攻撃を受けるとカウンター！</t>
    <rPh sb="5" eb="6">
      <t>アイダ</t>
    </rPh>
    <rPh sb="7" eb="9">
      <t>コウゲキ</t>
    </rPh>
    <rPh sb="10" eb="11">
      <t>ウ</t>
    </rPh>
    <phoneticPr fontId="5"/>
  </si>
  <si>
    <t>午</t>
    <rPh sb="0" eb="1">
      <t>ウマ</t>
    </rPh>
    <phoneticPr fontId="5"/>
  </si>
  <si>
    <t>[effect:rush, count:3, val:0.33]</t>
    <phoneticPr fontId="5"/>
  </si>
  <si>
    <t>ヒツジ…いないでゴザル！</t>
    <phoneticPr fontId="5"/>
  </si>
  <si>
    <t>如意棒の 3連撃！</t>
    <rPh sb="0" eb="3">
      <t>ニョイボウ</t>
    </rPh>
    <rPh sb="6" eb="8">
      <t>レンゲキ</t>
    </rPh>
    <phoneticPr fontId="5"/>
  </si>
  <si>
    <t>[effect:critical, val:1]</t>
    <phoneticPr fontId="5"/>
  </si>
  <si>
    <t>ヒツジが 見当たらぬぞ！</t>
    <rPh sb="5" eb="7">
      <t>ミア</t>
    </rPh>
    <phoneticPr fontId="5"/>
  </si>
  <si>
    <t>干支の順が 完成できない！</t>
    <rPh sb="0" eb="2">
      <t>エト</t>
    </rPh>
    <rPh sb="3" eb="4">
      <t>ジュンバン</t>
    </rPh>
    <rPh sb="6" eb="8">
      <t>カンセイ</t>
    </rPh>
    <phoneticPr fontId="5"/>
  </si>
  <si>
    <t>[effect:nothing]</t>
    <phoneticPr fontId="5"/>
  </si>
  <si>
    <t>ja</t>
    <phoneticPr fontId="5"/>
  </si>
  <si>
    <t>ワンワン！</t>
    <phoneticPr fontId="5"/>
  </si>
  <si>
    <t>翻訳「ジンギスカン うまかった！」</t>
    <rPh sb="0" eb="2">
      <t>ホンヤク</t>
    </rPh>
    <phoneticPr fontId="5"/>
  </si>
  <si>
    <t>…羊殿は いずこ！？</t>
    <rPh sb="1" eb="3">
      <t>ヒツジドノ</t>
    </rPh>
    <phoneticPr fontId="5"/>
  </si>
  <si>
    <t>ALICEに 羊ユニットはいない！</t>
    <rPh sb="7" eb="8">
      <t>ヒツジ</t>
    </rPh>
    <phoneticPr fontId="5"/>
  </si>
  <si>
    <t>old</t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</si>
  <si>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</si>
  <si>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子 丑 寅 卯 辰 巳 午 未 申 酉 戌 亥
現代の漢字では：
鼠→牛→虎→兎→龍→蛇→馬
→羊→猿→鳥→犬→猪</t>
    <rPh sb="0" eb="23">
      <t>ネウシ</t>
    </rPh>
    <rPh sb="25" eb="27">
      <t>ゲンダイ</t>
    </rPh>
    <rPh sb="28" eb="30">
      <t>カンジ</t>
    </rPh>
    <rPh sb="36" eb="37">
      <t>ウシ</t>
    </rPh>
    <rPh sb="38" eb="39">
      <t>トラ</t>
    </rPh>
    <rPh sb="40" eb="41">
      <t>ウサギ</t>
    </rPh>
    <rPh sb="42" eb="43">
      <t>リュウ</t>
    </rPh>
    <rPh sb="44" eb="45">
      <t>ヘビ</t>
    </rPh>
    <rPh sb="46" eb="47">
      <t>ウマ</t>
    </rPh>
    <rPh sb="49" eb="50">
      <t>ヒツジ</t>
    </rPh>
    <rPh sb="51" eb="52">
      <t>サル</t>
    </rPh>
    <rPh sb="53" eb="54">
      <t>トリ</t>
    </rPh>
    <rPh sb="55" eb="56">
      <t>イヌ</t>
    </rPh>
    <rPh sb="57" eb="58">
      <t>イノシシ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</si>
</sst>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31" fillId="0" borderId="7" xfId="0" applyFont="1" applyFill="1" applyBorder="1" applyAlignment="1">
      <alignment wrapText="1"/>
    </xf>
    <xf numFmtId="38" fontId="16" fillId="0" borderId="7" xfId="628" applyFont="1" applyFill="1" applyBorder="1" applyAlignment="1">
      <alignment wrapText="1"/>
    </xf>
    <xf numFmtId="0" fontId="4" fillId="32" borderId="0" xfId="0" applyFont="1" applyFill="1" applyAlignment="1">
      <alignment vertical="center"/>
    </xf>
    <xf numFmtId="0" fontId="4" fillId="14" borderId="7" xfId="0" applyFont="1" applyFill="1" applyBorder="1" applyAlignment="1">
      <alignment horizontal="left" vertical="center"/>
    </xf>
    <xf numFmtId="0" fontId="4" fillId="13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-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39001</v>
          </cell>
        </row>
        <row r="176">
          <cell r="A176">
            <v>39002</v>
          </cell>
        </row>
        <row r="177">
          <cell r="A177">
            <v>39003</v>
          </cell>
        </row>
        <row r="178">
          <cell r="A178">
            <v>39004</v>
          </cell>
        </row>
        <row r="179">
          <cell r="A179">
            <v>39005</v>
          </cell>
        </row>
        <row r="180">
          <cell r="A180">
            <v>39006</v>
          </cell>
        </row>
        <row r="181">
          <cell r="A181">
            <v>39007</v>
          </cell>
        </row>
        <row r="182">
          <cell r="A182">
            <v>39008</v>
          </cell>
        </row>
        <row r="183">
          <cell r="A183">
            <v>39009</v>
          </cell>
        </row>
        <row r="184">
          <cell r="A184">
            <v>39010</v>
          </cell>
        </row>
        <row r="185">
          <cell r="A185">
            <v>39011</v>
          </cell>
        </row>
        <row r="186">
          <cell r="A186">
            <v>40001</v>
          </cell>
        </row>
        <row r="187">
          <cell r="A187">
            <v>40002</v>
          </cell>
        </row>
        <row r="188">
          <cell r="A188">
            <v>40003</v>
          </cell>
        </row>
        <row r="189">
          <cell r="A189">
            <v>40004</v>
          </cell>
        </row>
        <row r="190">
          <cell r="A190">
            <v>40005</v>
          </cell>
        </row>
        <row r="191">
          <cell r="A191">
            <v>40006</v>
          </cell>
        </row>
        <row r="192">
          <cell r="A192">
            <v>40007</v>
          </cell>
        </row>
        <row r="193">
          <cell r="A193">
            <v>40008</v>
          </cell>
        </row>
        <row r="194">
          <cell r="A194">
            <v>40009</v>
          </cell>
        </row>
        <row r="195">
          <cell r="A195">
            <v>40010</v>
          </cell>
        </row>
        <row r="196">
          <cell r="A196">
            <v>40011</v>
          </cell>
        </row>
        <row r="197">
          <cell r="A197">
            <v>40012</v>
          </cell>
        </row>
        <row r="198">
          <cell r="A198">
            <v>40013</v>
          </cell>
        </row>
        <row r="199">
          <cell r="A199">
            <v>40014</v>
          </cell>
        </row>
        <row r="200">
          <cell r="A200">
            <v>40015</v>
          </cell>
        </row>
        <row r="201">
          <cell r="A201">
            <v>40016</v>
          </cell>
        </row>
        <row r="202">
          <cell r="A202">
            <v>40017</v>
          </cell>
        </row>
        <row r="203">
          <cell r="A203">
            <v>40018</v>
          </cell>
        </row>
        <row r="204">
          <cell r="A204">
            <v>40019</v>
          </cell>
        </row>
        <row r="205">
          <cell r="A205">
            <v>40021</v>
          </cell>
        </row>
        <row r="206">
          <cell r="A206">
            <v>40022</v>
          </cell>
        </row>
        <row r="207">
          <cell r="A207">
            <v>40023</v>
          </cell>
        </row>
        <row r="208">
          <cell r="A208">
            <v>40024</v>
          </cell>
        </row>
        <row r="209">
          <cell r="A209">
            <v>40025</v>
          </cell>
        </row>
        <row r="210">
          <cell r="A210">
            <v>40026</v>
          </cell>
        </row>
        <row r="211">
          <cell r="A211">
            <v>40027</v>
          </cell>
        </row>
        <row r="212">
          <cell r="A212">
            <v>40028</v>
          </cell>
        </row>
        <row r="213">
          <cell r="A213">
            <v>40029</v>
          </cell>
        </row>
        <row r="214">
          <cell r="A214">
            <v>40030</v>
          </cell>
        </row>
        <row r="215">
          <cell r="A215">
            <v>40031</v>
          </cell>
        </row>
        <row r="216">
          <cell r="A216">
            <v>40032</v>
          </cell>
        </row>
        <row r="217">
          <cell r="A217">
            <v>40033</v>
          </cell>
        </row>
        <row r="218">
          <cell r="A218">
            <v>40034</v>
          </cell>
        </row>
        <row r="219">
          <cell r="A219">
            <v>40035</v>
          </cell>
        </row>
        <row r="220">
          <cell r="A220">
            <v>40036</v>
          </cell>
        </row>
        <row r="221">
          <cell r="A221">
            <v>40037</v>
          </cell>
        </row>
        <row r="222">
          <cell r="A222">
            <v>40038</v>
          </cell>
        </row>
        <row r="223">
          <cell r="A223">
            <v>40039</v>
          </cell>
        </row>
        <row r="224">
          <cell r="A224">
            <v>40040</v>
          </cell>
        </row>
        <row r="225">
          <cell r="A225">
            <v>40041</v>
          </cell>
        </row>
        <row r="226">
          <cell r="A226">
            <v>40042</v>
          </cell>
        </row>
        <row r="227">
          <cell r="A227">
            <v>48001</v>
          </cell>
        </row>
        <row r="228">
          <cell r="A228">
            <v>48002</v>
          </cell>
        </row>
        <row r="229">
          <cell r="A229">
            <v>48003</v>
          </cell>
        </row>
        <row r="230">
          <cell r="A230">
            <v>48004</v>
          </cell>
        </row>
        <row r="231">
          <cell r="A231">
            <v>48005</v>
          </cell>
        </row>
        <row r="232">
          <cell r="A232">
            <v>48006</v>
          </cell>
        </row>
        <row r="233">
          <cell r="A233">
            <v>48007</v>
          </cell>
        </row>
        <row r="234">
          <cell r="A234">
            <v>48008</v>
          </cell>
        </row>
        <row r="235">
          <cell r="A235">
            <v>48009</v>
          </cell>
        </row>
        <row r="236">
          <cell r="A236">
            <v>48010</v>
          </cell>
        </row>
        <row r="237">
          <cell r="A237">
            <v>48501</v>
          </cell>
        </row>
        <row r="238">
          <cell r="A238">
            <v>41001</v>
          </cell>
        </row>
        <row r="239">
          <cell r="A239">
            <v>41002</v>
          </cell>
        </row>
        <row r="240">
          <cell r="A240">
            <v>41003</v>
          </cell>
        </row>
        <row r="241">
          <cell r="A241">
            <v>41004</v>
          </cell>
        </row>
        <row r="242">
          <cell r="A242">
            <v>41005</v>
          </cell>
        </row>
        <row r="243">
          <cell r="A243">
            <v>41006</v>
          </cell>
        </row>
        <row r="244">
          <cell r="A244">
            <v>41007</v>
          </cell>
        </row>
        <row r="245">
          <cell r="A245">
            <v>41008</v>
          </cell>
        </row>
        <row r="246">
          <cell r="A246">
            <v>41009</v>
          </cell>
        </row>
        <row r="247">
          <cell r="A247">
            <v>41010</v>
          </cell>
        </row>
        <row r="248">
          <cell r="A248">
            <v>41011</v>
          </cell>
        </row>
        <row r="249">
          <cell r="A249">
            <v>41012</v>
          </cell>
        </row>
        <row r="250">
          <cell r="A250">
            <v>41013</v>
          </cell>
        </row>
        <row r="251">
          <cell r="A251">
            <v>41014</v>
          </cell>
        </row>
        <row r="252">
          <cell r="A252">
            <v>41015</v>
          </cell>
        </row>
        <row r="253">
          <cell r="A253">
            <v>47001</v>
          </cell>
        </row>
        <row r="254">
          <cell r="A254">
            <v>47002</v>
          </cell>
        </row>
        <row r="255">
          <cell r="A255">
            <v>47003</v>
          </cell>
        </row>
        <row r="256">
          <cell r="A256">
            <v>47004</v>
          </cell>
        </row>
        <row r="257">
          <cell r="A257">
            <v>47005</v>
          </cell>
        </row>
        <row r="258">
          <cell r="A258">
            <v>47006</v>
          </cell>
        </row>
        <row r="259">
          <cell r="A259">
            <v>49001</v>
          </cell>
        </row>
        <row r="260">
          <cell r="A260">
            <v>49002</v>
          </cell>
        </row>
        <row r="261">
          <cell r="A261">
            <v>49003</v>
          </cell>
        </row>
        <row r="262">
          <cell r="A262">
            <v>49004</v>
          </cell>
        </row>
        <row r="263">
          <cell r="A263">
            <v>49005</v>
          </cell>
        </row>
        <row r="264">
          <cell r="A264">
            <v>49006</v>
          </cell>
        </row>
        <row r="265">
          <cell r="A265">
            <v>49007</v>
          </cell>
        </row>
        <row r="266">
          <cell r="A266">
            <v>49008</v>
          </cell>
        </row>
        <row r="267">
          <cell r="A267">
            <v>49009</v>
          </cell>
        </row>
        <row r="268">
          <cell r="A268">
            <v>49010</v>
          </cell>
        </row>
        <row r="269">
          <cell r="A269">
            <v>49011</v>
          </cell>
        </row>
        <row r="270">
          <cell r="A270">
            <v>49012</v>
          </cell>
        </row>
        <row r="271">
          <cell r="A271">
            <v>49013</v>
          </cell>
        </row>
        <row r="272">
          <cell r="A272">
            <v>50001</v>
          </cell>
        </row>
        <row r="273">
          <cell r="A273">
            <v>50002</v>
          </cell>
        </row>
        <row r="274">
          <cell r="A274">
            <v>50003</v>
          </cell>
        </row>
        <row r="275">
          <cell r="A275">
            <v>50004</v>
          </cell>
        </row>
        <row r="276">
          <cell r="A276">
            <v>50005</v>
          </cell>
        </row>
        <row r="277">
          <cell r="A277">
            <v>50006</v>
          </cell>
        </row>
        <row r="278">
          <cell r="A278">
            <v>50007</v>
          </cell>
        </row>
        <row r="279">
          <cell r="A279">
            <v>50008</v>
          </cell>
        </row>
        <row r="280">
          <cell r="A280">
            <v>50009</v>
          </cell>
        </row>
        <row r="281">
          <cell r="A281">
            <v>50010</v>
          </cell>
        </row>
        <row r="282">
          <cell r="A282">
            <v>50011</v>
          </cell>
        </row>
        <row r="283">
          <cell r="A283">
            <v>50012</v>
          </cell>
        </row>
        <row r="284">
          <cell r="A284">
            <v>50013</v>
          </cell>
        </row>
        <row r="285">
          <cell r="A285">
            <v>51001</v>
          </cell>
        </row>
        <row r="286">
          <cell r="A286">
            <v>51002</v>
          </cell>
        </row>
        <row r="287">
          <cell r="A287">
            <v>59001</v>
          </cell>
        </row>
        <row r="288">
          <cell r="A288">
            <v>60001</v>
          </cell>
        </row>
        <row r="289">
          <cell r="A289">
            <v>60002</v>
          </cell>
        </row>
        <row r="290">
          <cell r="A290">
            <v>60003</v>
          </cell>
        </row>
        <row r="291">
          <cell r="A291">
            <v>60004</v>
          </cell>
        </row>
        <row r="292">
          <cell r="A292">
            <v>60005</v>
          </cell>
        </row>
        <row r="293">
          <cell r="A293">
            <v>60006</v>
          </cell>
        </row>
        <row r="294">
          <cell r="A294">
            <v>60007</v>
          </cell>
        </row>
        <row r="295">
          <cell r="A295">
            <v>60010</v>
          </cell>
        </row>
        <row r="296">
          <cell r="A296">
            <v>60011</v>
          </cell>
        </row>
        <row r="297">
          <cell r="A297">
            <v>61011</v>
          </cell>
        </row>
        <row r="298">
          <cell r="A298">
            <v>60012</v>
          </cell>
        </row>
        <row r="299">
          <cell r="A299">
            <v>60013</v>
          </cell>
        </row>
        <row r="300">
          <cell r="A300">
            <v>60014</v>
          </cell>
        </row>
        <row r="301">
          <cell r="A301">
            <v>60015</v>
          </cell>
        </row>
        <row r="302">
          <cell r="A302">
            <v>60016</v>
          </cell>
        </row>
        <row r="303">
          <cell r="A303">
            <v>60017</v>
          </cell>
        </row>
        <row r="304">
          <cell r="A304">
            <v>60018</v>
          </cell>
        </row>
        <row r="305">
          <cell r="A305">
            <v>60019</v>
          </cell>
        </row>
        <row r="306">
          <cell r="A306">
            <v>60020</v>
          </cell>
        </row>
        <row r="307">
          <cell r="A307">
            <v>60025</v>
          </cell>
        </row>
        <row r="308">
          <cell r="A308">
            <v>60026</v>
          </cell>
        </row>
        <row r="309">
          <cell r="A309">
            <v>60027</v>
          </cell>
        </row>
        <row r="310">
          <cell r="A310">
            <v>65525</v>
          </cell>
        </row>
        <row r="311">
          <cell r="A311">
            <v>65526</v>
          </cell>
        </row>
        <row r="312">
          <cell r="A312">
            <v>65527</v>
          </cell>
        </row>
        <row r="313">
          <cell r="A313">
            <v>65528</v>
          </cell>
        </row>
        <row r="314">
          <cell r="A314">
            <v>65529</v>
          </cell>
        </row>
        <row r="315">
          <cell r="A315">
            <v>65530</v>
          </cell>
        </row>
        <row r="316">
          <cell r="A316">
            <v>65531</v>
          </cell>
        </row>
        <row r="317">
          <cell r="A317">
            <v>65532</v>
          </cell>
        </row>
        <row r="318">
          <cell r="A318">
            <v>65533</v>
          </cell>
        </row>
        <row r="319">
          <cell r="A319">
            <v>65534</v>
          </cell>
        </row>
        <row r="320">
          <cell r="A320">
            <v>65535</v>
          </cell>
        </row>
        <row r="321">
          <cell r="A321">
            <v>60021</v>
          </cell>
        </row>
        <row r="322">
          <cell r="A322">
            <v>60022</v>
          </cell>
        </row>
        <row r="323">
          <cell r="A323">
            <v>60023</v>
          </cell>
        </row>
        <row r="324">
          <cell r="A32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39001_1</v>
          </cell>
        </row>
        <row r="638">
          <cell r="A638" t="str">
            <v>39001_2</v>
          </cell>
        </row>
        <row r="639">
          <cell r="A639" t="str">
            <v>39001_3</v>
          </cell>
        </row>
        <row r="640">
          <cell r="A640" t="str">
            <v>39001_4</v>
          </cell>
        </row>
        <row r="641">
          <cell r="A641" t="str">
            <v>39001_5</v>
          </cell>
        </row>
        <row r="642">
          <cell r="A642" t="str">
            <v>39002_1</v>
          </cell>
        </row>
        <row r="643">
          <cell r="A643" t="str">
            <v>39002_2</v>
          </cell>
        </row>
        <row r="644">
          <cell r="A644" t="str">
            <v>39002_3</v>
          </cell>
        </row>
        <row r="645">
          <cell r="A645" t="str">
            <v>39002_4</v>
          </cell>
        </row>
        <row r="646">
          <cell r="A646" t="str">
            <v>39003_1</v>
          </cell>
        </row>
        <row r="647">
          <cell r="A647" t="str">
            <v>39003_2</v>
          </cell>
        </row>
        <row r="648">
          <cell r="A648" t="str">
            <v>39003_3</v>
          </cell>
        </row>
        <row r="649">
          <cell r="A649" t="str">
            <v>39003_4</v>
          </cell>
        </row>
        <row r="650">
          <cell r="A650" t="str">
            <v>39004_1</v>
          </cell>
        </row>
        <row r="651">
          <cell r="A651" t="str">
            <v>39004_2</v>
          </cell>
        </row>
        <row r="652">
          <cell r="A652" t="str">
            <v>39004_3</v>
          </cell>
        </row>
        <row r="653">
          <cell r="A653" t="str">
            <v>39004_4</v>
          </cell>
        </row>
        <row r="654">
          <cell r="A654" t="str">
            <v>39005_1</v>
          </cell>
        </row>
        <row r="655">
          <cell r="A655" t="str">
            <v>39005_2</v>
          </cell>
        </row>
        <row r="656">
          <cell r="A656" t="str">
            <v>39005_3</v>
          </cell>
        </row>
        <row r="657">
          <cell r="A657" t="str">
            <v>39005_4</v>
          </cell>
        </row>
        <row r="658">
          <cell r="A658" t="str">
            <v>39005_5</v>
          </cell>
        </row>
        <row r="659">
          <cell r="A659" t="str">
            <v>39006_1</v>
          </cell>
        </row>
        <row r="660">
          <cell r="A660" t="str">
            <v>39006_2</v>
          </cell>
        </row>
        <row r="661">
          <cell r="A661" t="str">
            <v>39006_3</v>
          </cell>
        </row>
        <row r="662">
          <cell r="A662" t="str">
            <v>39006_4</v>
          </cell>
        </row>
        <row r="663">
          <cell r="A663" t="str">
            <v>39007_1</v>
          </cell>
        </row>
        <row r="664">
          <cell r="A664" t="str">
            <v>39007_2</v>
          </cell>
        </row>
        <row r="665">
          <cell r="A665" t="str">
            <v>39007_3</v>
          </cell>
        </row>
        <row r="666">
          <cell r="A666" t="str">
            <v>39007_4</v>
          </cell>
        </row>
        <row r="667">
          <cell r="A667" t="str">
            <v>39008_1</v>
          </cell>
        </row>
        <row r="668">
          <cell r="A668" t="str">
            <v>39008_2</v>
          </cell>
        </row>
        <row r="669">
          <cell r="A669" t="str">
            <v>39008_3</v>
          </cell>
        </row>
        <row r="670">
          <cell r="A670" t="str">
            <v>39008_4</v>
          </cell>
        </row>
        <row r="671">
          <cell r="A671" t="str">
            <v>39008_5</v>
          </cell>
        </row>
        <row r="672">
          <cell r="A672" t="str">
            <v>39009_1</v>
          </cell>
        </row>
        <row r="673">
          <cell r="A673" t="str">
            <v>39009_2</v>
          </cell>
        </row>
        <row r="674">
          <cell r="A674" t="str">
            <v>39009_3</v>
          </cell>
        </row>
        <row r="675">
          <cell r="A675" t="str">
            <v>39009_4</v>
          </cell>
        </row>
        <row r="676">
          <cell r="A676" t="str">
            <v>39009_5</v>
          </cell>
        </row>
        <row r="677">
          <cell r="A677" t="str">
            <v>39010_1</v>
          </cell>
        </row>
        <row r="678">
          <cell r="A678" t="str">
            <v>39010_2</v>
          </cell>
        </row>
        <row r="679">
          <cell r="A679" t="str">
            <v>39010_3</v>
          </cell>
        </row>
        <row r="680">
          <cell r="A680" t="str">
            <v>39010_4</v>
          </cell>
        </row>
        <row r="681">
          <cell r="A681" t="str">
            <v>39011_1</v>
          </cell>
        </row>
        <row r="682">
          <cell r="A682" t="str">
            <v>39011_2</v>
          </cell>
        </row>
        <row r="683">
          <cell r="A683" t="str">
            <v>39011_3</v>
          </cell>
        </row>
        <row r="684">
          <cell r="A684" t="str">
            <v>39011_4</v>
          </cell>
        </row>
        <row r="685">
          <cell r="A685" t="str">
            <v>40001_1</v>
          </cell>
        </row>
        <row r="686">
          <cell r="A686" t="str">
            <v>40002_1</v>
          </cell>
        </row>
        <row r="687">
          <cell r="A687" t="str">
            <v>40002_2</v>
          </cell>
        </row>
        <row r="688">
          <cell r="A688" t="str">
            <v>40002_3</v>
          </cell>
        </row>
        <row r="689">
          <cell r="A689" t="str">
            <v>40003_1</v>
          </cell>
        </row>
        <row r="690">
          <cell r="A690" t="str">
            <v>40004_1</v>
          </cell>
        </row>
        <row r="691">
          <cell r="A691" t="str">
            <v>40005_1</v>
          </cell>
        </row>
        <row r="692">
          <cell r="A692" t="str">
            <v>40006_1</v>
          </cell>
        </row>
        <row r="693">
          <cell r="A693" t="str">
            <v>40007_1</v>
          </cell>
        </row>
        <row r="694">
          <cell r="A694" t="str">
            <v>40008_1</v>
          </cell>
        </row>
        <row r="695">
          <cell r="A695" t="str">
            <v>40009_1</v>
          </cell>
        </row>
        <row r="696">
          <cell r="A696" t="str">
            <v>40010_1</v>
          </cell>
        </row>
        <row r="697">
          <cell r="A697" t="str">
            <v>40011_1</v>
          </cell>
        </row>
        <row r="698">
          <cell r="A698" t="str">
            <v>40012_1</v>
          </cell>
        </row>
        <row r="699">
          <cell r="A699" t="str">
            <v>40013_1</v>
          </cell>
        </row>
        <row r="700">
          <cell r="A700" t="str">
            <v>40014_1</v>
          </cell>
        </row>
        <row r="701">
          <cell r="A701" t="str">
            <v>40015_1</v>
          </cell>
        </row>
        <row r="702">
          <cell r="A702" t="str">
            <v>40016_1</v>
          </cell>
        </row>
        <row r="703">
          <cell r="A703" t="str">
            <v>40016_2</v>
          </cell>
        </row>
        <row r="704">
          <cell r="A704" t="str">
            <v>40017_1</v>
          </cell>
        </row>
        <row r="705">
          <cell r="A705" t="str">
            <v>40017_2</v>
          </cell>
        </row>
        <row r="706">
          <cell r="A706" t="str">
            <v>40017_3</v>
          </cell>
        </row>
        <row r="707">
          <cell r="A707" t="str">
            <v>40018_1</v>
          </cell>
        </row>
        <row r="708">
          <cell r="A708" t="str">
            <v>40018_2</v>
          </cell>
        </row>
        <row r="709">
          <cell r="A709" t="str">
            <v>40018_3</v>
          </cell>
        </row>
        <row r="710">
          <cell r="A710" t="str">
            <v>40019_1</v>
          </cell>
        </row>
        <row r="711">
          <cell r="A711" t="str">
            <v>40019_2</v>
          </cell>
        </row>
        <row r="712">
          <cell r="A712" t="str">
            <v>40019_3</v>
          </cell>
        </row>
        <row r="713">
          <cell r="A713" t="str">
            <v>40021_1</v>
          </cell>
        </row>
        <row r="714">
          <cell r="A714" t="str">
            <v>40021_2</v>
          </cell>
        </row>
        <row r="715">
          <cell r="A715" t="str">
            <v>40022_1</v>
          </cell>
        </row>
        <row r="716">
          <cell r="A716" t="str">
            <v>40022_2</v>
          </cell>
        </row>
        <row r="717">
          <cell r="A717" t="str">
            <v>40023_1</v>
          </cell>
        </row>
        <row r="718">
          <cell r="A718" t="str">
            <v>40023_2</v>
          </cell>
        </row>
        <row r="719">
          <cell r="A719" t="str">
            <v>40024_1</v>
          </cell>
        </row>
        <row r="720">
          <cell r="A720" t="str">
            <v>40024_2</v>
          </cell>
        </row>
        <row r="721">
          <cell r="A721" t="str">
            <v>40025_1</v>
          </cell>
        </row>
        <row r="722">
          <cell r="A722" t="str">
            <v>40025_2</v>
          </cell>
        </row>
        <row r="723">
          <cell r="A723" t="str">
            <v>40026_1</v>
          </cell>
        </row>
        <row r="724">
          <cell r="A724" t="str">
            <v>40026_2</v>
          </cell>
        </row>
        <row r="725">
          <cell r="A725" t="str">
            <v>40027_1</v>
          </cell>
        </row>
        <row r="726">
          <cell r="A726" t="str">
            <v>40027_2</v>
          </cell>
        </row>
        <row r="727">
          <cell r="A727" t="str">
            <v>40028_1</v>
          </cell>
        </row>
        <row r="728">
          <cell r="A728" t="str">
            <v>40028_2</v>
          </cell>
        </row>
        <row r="729">
          <cell r="A729" t="str">
            <v>40029_1</v>
          </cell>
        </row>
        <row r="730">
          <cell r="A730" t="str">
            <v>40029_2</v>
          </cell>
        </row>
        <row r="731">
          <cell r="A731" t="str">
            <v>40030_1</v>
          </cell>
        </row>
        <row r="732">
          <cell r="A732" t="str">
            <v>40030_2</v>
          </cell>
        </row>
        <row r="733">
          <cell r="A733" t="str">
            <v>40031_1</v>
          </cell>
        </row>
        <row r="734">
          <cell r="A734" t="str">
            <v>40031_2</v>
          </cell>
        </row>
        <row r="735">
          <cell r="A735" t="str">
            <v>40032_1</v>
          </cell>
        </row>
        <row r="736">
          <cell r="A736" t="str">
            <v>40032_2</v>
          </cell>
        </row>
        <row r="737">
          <cell r="A737" t="str">
            <v>40033_1</v>
          </cell>
        </row>
        <row r="738">
          <cell r="A738" t="str">
            <v>40033_2</v>
          </cell>
        </row>
        <row r="739">
          <cell r="A739" t="str">
            <v>40034_1</v>
          </cell>
        </row>
        <row r="740">
          <cell r="A740" t="str">
            <v>40034_2</v>
          </cell>
        </row>
        <row r="741">
          <cell r="A741" t="str">
            <v>40035_1</v>
          </cell>
        </row>
        <row r="742">
          <cell r="A742" t="str">
            <v>40035_2</v>
          </cell>
        </row>
        <row r="743">
          <cell r="A743" t="str">
            <v>40036_1</v>
          </cell>
        </row>
        <row r="744">
          <cell r="A744" t="str">
            <v>40036_2</v>
          </cell>
        </row>
        <row r="745">
          <cell r="A745" t="str">
            <v>40037_1</v>
          </cell>
        </row>
        <row r="746">
          <cell r="A746" t="str">
            <v>40037_2</v>
          </cell>
        </row>
        <row r="747">
          <cell r="A747" t="str">
            <v>40038_1</v>
          </cell>
        </row>
        <row r="748">
          <cell r="A748" t="str">
            <v>40038_2</v>
          </cell>
        </row>
        <row r="749">
          <cell r="A749" t="str">
            <v>40039_1</v>
          </cell>
        </row>
        <row r="750">
          <cell r="A750" t="str">
            <v>40039_2</v>
          </cell>
        </row>
        <row r="751">
          <cell r="A751" t="str">
            <v>40040_1</v>
          </cell>
        </row>
        <row r="752">
          <cell r="A752" t="str">
            <v>40040_2</v>
          </cell>
        </row>
        <row r="753">
          <cell r="A753" t="str">
            <v>40041_1</v>
          </cell>
        </row>
        <row r="754">
          <cell r="A754" t="str">
            <v>40041_2</v>
          </cell>
        </row>
        <row r="755">
          <cell r="A755" t="str">
            <v>40042_1</v>
          </cell>
        </row>
        <row r="756">
          <cell r="A756" t="str">
            <v>40042_2</v>
          </cell>
        </row>
        <row r="757">
          <cell r="A757" t="str">
            <v>41001_1</v>
          </cell>
        </row>
        <row r="758">
          <cell r="A758" t="str">
            <v>41001_2</v>
          </cell>
        </row>
        <row r="759">
          <cell r="A759" t="str">
            <v>41001_3</v>
          </cell>
        </row>
        <row r="760">
          <cell r="A760" t="str">
            <v>41002_1</v>
          </cell>
        </row>
        <row r="761">
          <cell r="A761" t="str">
            <v>41002_2</v>
          </cell>
        </row>
        <row r="762">
          <cell r="A762" t="str">
            <v>41002_3</v>
          </cell>
        </row>
        <row r="763">
          <cell r="A763" t="str">
            <v>41003_1</v>
          </cell>
        </row>
        <row r="764">
          <cell r="A764" t="str">
            <v>41003_2</v>
          </cell>
        </row>
        <row r="765">
          <cell r="A765" t="str">
            <v>41003_3</v>
          </cell>
        </row>
        <row r="766">
          <cell r="A766" t="str">
            <v>41004_1</v>
          </cell>
        </row>
        <row r="767">
          <cell r="A767" t="str">
            <v>41004_2</v>
          </cell>
        </row>
        <row r="768">
          <cell r="A768" t="str">
            <v>41004_3</v>
          </cell>
        </row>
        <row r="769">
          <cell r="A769" t="str">
            <v>41005_1</v>
          </cell>
        </row>
        <row r="770">
          <cell r="A770" t="str">
            <v>41005_2</v>
          </cell>
        </row>
        <row r="771">
          <cell r="A771" t="str">
            <v>41005_3</v>
          </cell>
        </row>
        <row r="772">
          <cell r="A772" t="str">
            <v>41006_1</v>
          </cell>
        </row>
        <row r="773">
          <cell r="A773" t="str">
            <v>41006_2</v>
          </cell>
        </row>
        <row r="774">
          <cell r="A774" t="str">
            <v>41006_3</v>
          </cell>
        </row>
        <row r="775">
          <cell r="A775" t="str">
            <v>41007_1</v>
          </cell>
        </row>
        <row r="776">
          <cell r="A776" t="str">
            <v>41007_2</v>
          </cell>
        </row>
        <row r="777">
          <cell r="A777" t="str">
            <v>41007_3</v>
          </cell>
        </row>
        <row r="778">
          <cell r="A778" t="str">
            <v>41008_1</v>
          </cell>
        </row>
        <row r="779">
          <cell r="A779" t="str">
            <v>41008_2</v>
          </cell>
        </row>
        <row r="780">
          <cell r="A780" t="str">
            <v>41008_3</v>
          </cell>
        </row>
        <row r="781">
          <cell r="A781" t="str">
            <v>41009_1</v>
          </cell>
        </row>
        <row r="782">
          <cell r="A782" t="str">
            <v>41009_2</v>
          </cell>
        </row>
        <row r="783">
          <cell r="A783" t="str">
            <v>41009_3</v>
          </cell>
        </row>
        <row r="784">
          <cell r="A784" t="str">
            <v>41010_1</v>
          </cell>
        </row>
        <row r="785">
          <cell r="A785" t="str">
            <v>41010_2</v>
          </cell>
        </row>
        <row r="786">
          <cell r="A786" t="str">
            <v>41010_3</v>
          </cell>
        </row>
        <row r="787">
          <cell r="A787" t="str">
            <v>41011_1</v>
          </cell>
        </row>
        <row r="788">
          <cell r="A788" t="str">
            <v>41011_2</v>
          </cell>
        </row>
        <row r="789">
          <cell r="A789" t="str">
            <v>41012_1</v>
          </cell>
        </row>
        <row r="790">
          <cell r="A790" t="str">
            <v>41012_2</v>
          </cell>
        </row>
        <row r="791">
          <cell r="A791" t="str">
            <v>41013_1</v>
          </cell>
        </row>
        <row r="792">
          <cell r="A792" t="str">
            <v>41013_2</v>
          </cell>
        </row>
        <row r="793">
          <cell r="A793" t="str">
            <v>41014_1</v>
          </cell>
        </row>
        <row r="794">
          <cell r="A794" t="str">
            <v>41014_2</v>
          </cell>
        </row>
        <row r="795">
          <cell r="A795" t="str">
            <v>41015_1</v>
          </cell>
        </row>
        <row r="796">
          <cell r="A796" t="str">
            <v>41015_2</v>
          </cell>
        </row>
        <row r="797">
          <cell r="A797" t="str">
            <v>47001_1</v>
          </cell>
        </row>
        <row r="798">
          <cell r="A798" t="str">
            <v>47001_2</v>
          </cell>
        </row>
        <row r="799">
          <cell r="A799" t="str">
            <v>47002_1</v>
          </cell>
        </row>
        <row r="800">
          <cell r="A800" t="str">
            <v>47002_2</v>
          </cell>
        </row>
        <row r="801">
          <cell r="A801" t="str">
            <v>47003_1</v>
          </cell>
        </row>
        <row r="802">
          <cell r="A802" t="str">
            <v>47003_2</v>
          </cell>
        </row>
        <row r="803">
          <cell r="A803" t="str">
            <v>47003_3</v>
          </cell>
        </row>
        <row r="804">
          <cell r="A804" t="str">
            <v>47003_4</v>
          </cell>
        </row>
        <row r="805">
          <cell r="A805" t="str">
            <v>47004_1</v>
          </cell>
        </row>
        <row r="806">
          <cell r="A806" t="str">
            <v>47004_2</v>
          </cell>
        </row>
        <row r="807">
          <cell r="A807" t="str">
            <v>47004_3</v>
          </cell>
        </row>
        <row r="808">
          <cell r="A808" t="str">
            <v>47004_4</v>
          </cell>
        </row>
        <row r="809">
          <cell r="A809" t="str">
            <v>47005_1</v>
          </cell>
        </row>
        <row r="810">
          <cell r="A810" t="str">
            <v>47006_1</v>
          </cell>
        </row>
        <row r="811">
          <cell r="A811" t="str">
            <v>47006_2</v>
          </cell>
        </row>
        <row r="812">
          <cell r="A812" t="str">
            <v>48001_1</v>
          </cell>
        </row>
        <row r="813">
          <cell r="A813" t="str">
            <v>48002_1</v>
          </cell>
        </row>
        <row r="814">
          <cell r="A814" t="str">
            <v>48002_2</v>
          </cell>
        </row>
        <row r="815">
          <cell r="A815" t="str">
            <v>48002_3</v>
          </cell>
        </row>
        <row r="816">
          <cell r="A816" t="str">
            <v>48003_1</v>
          </cell>
        </row>
        <row r="817">
          <cell r="A817" t="str">
            <v>48003_2</v>
          </cell>
        </row>
        <row r="818">
          <cell r="A818" t="str">
            <v>48004_1</v>
          </cell>
        </row>
        <row r="819">
          <cell r="A819" t="str">
            <v>48004_2</v>
          </cell>
        </row>
        <row r="820">
          <cell r="A820" t="str">
            <v>48005_1</v>
          </cell>
        </row>
        <row r="821">
          <cell r="A821" t="str">
            <v>48005_2</v>
          </cell>
        </row>
        <row r="822">
          <cell r="A822" t="str">
            <v>48006_1</v>
          </cell>
        </row>
        <row r="823">
          <cell r="A823" t="str">
            <v>48006_2</v>
          </cell>
        </row>
        <row r="824">
          <cell r="A824" t="str">
            <v>48007_1</v>
          </cell>
        </row>
        <row r="825">
          <cell r="A825" t="str">
            <v>48007_2</v>
          </cell>
        </row>
        <row r="826">
          <cell r="A826" t="str">
            <v>48008_1</v>
          </cell>
        </row>
        <row r="827">
          <cell r="A827" t="str">
            <v>48008_2</v>
          </cell>
        </row>
        <row r="828">
          <cell r="A828" t="str">
            <v>48009_1</v>
          </cell>
        </row>
        <row r="829">
          <cell r="A829" t="str">
            <v>48009_2</v>
          </cell>
        </row>
        <row r="830">
          <cell r="A830" t="str">
            <v>48010_1</v>
          </cell>
        </row>
        <row r="831">
          <cell r="A831" t="str">
            <v>48501_1</v>
          </cell>
        </row>
        <row r="832">
          <cell r="A832" t="str">
            <v>48501_2</v>
          </cell>
        </row>
        <row r="833">
          <cell r="A833" t="str">
            <v>49001_1</v>
          </cell>
        </row>
        <row r="834">
          <cell r="A834" t="str">
            <v>49002_1</v>
          </cell>
        </row>
        <row r="835">
          <cell r="A835" t="str">
            <v>49002_2</v>
          </cell>
        </row>
        <row r="836">
          <cell r="A836" t="str">
            <v>49003_1</v>
          </cell>
        </row>
        <row r="837">
          <cell r="A837" t="str">
            <v>49003_2</v>
          </cell>
        </row>
        <row r="838">
          <cell r="A838" t="str">
            <v>49004_1</v>
          </cell>
        </row>
        <row r="839">
          <cell r="A839" t="str">
            <v>49004_2</v>
          </cell>
        </row>
        <row r="840">
          <cell r="A840" t="str">
            <v>49004_3</v>
          </cell>
        </row>
        <row r="841">
          <cell r="A841" t="str">
            <v>49005_1</v>
          </cell>
        </row>
        <row r="842">
          <cell r="A842" t="str">
            <v>49006_1</v>
          </cell>
        </row>
        <row r="843">
          <cell r="A843" t="str">
            <v>49006_2</v>
          </cell>
        </row>
        <row r="844">
          <cell r="A844" t="str">
            <v>49007_1</v>
          </cell>
        </row>
        <row r="845">
          <cell r="A845" t="str">
            <v>49007_2</v>
          </cell>
        </row>
        <row r="846">
          <cell r="A846" t="str">
            <v>49007_3</v>
          </cell>
        </row>
        <row r="847">
          <cell r="A847" t="str">
            <v>49008_1</v>
          </cell>
        </row>
        <row r="848">
          <cell r="A848" t="str">
            <v>49009_1</v>
          </cell>
        </row>
        <row r="849">
          <cell r="A849" t="str">
            <v>49010_1</v>
          </cell>
        </row>
        <row r="850">
          <cell r="A850" t="str">
            <v>49011_1</v>
          </cell>
        </row>
        <row r="851">
          <cell r="A851" t="str">
            <v>49012_1</v>
          </cell>
        </row>
        <row r="852">
          <cell r="A852" t="str">
            <v>49013_1</v>
          </cell>
        </row>
        <row r="853">
          <cell r="A853" t="str">
            <v>50001_1</v>
          </cell>
        </row>
        <row r="854">
          <cell r="A854" t="str">
            <v>50002_1</v>
          </cell>
        </row>
        <row r="855">
          <cell r="A855" t="str">
            <v>50003_1</v>
          </cell>
        </row>
        <row r="856">
          <cell r="A856" t="str">
            <v>50004_1</v>
          </cell>
        </row>
        <row r="857">
          <cell r="A857" t="str">
            <v>50005_1</v>
          </cell>
        </row>
        <row r="858">
          <cell r="A858" t="str">
            <v>50006_1</v>
          </cell>
        </row>
        <row r="859">
          <cell r="A859" t="str">
            <v>50007_1</v>
          </cell>
        </row>
        <row r="860">
          <cell r="A860" t="str">
            <v>50008_1</v>
          </cell>
        </row>
        <row r="861">
          <cell r="A861" t="str">
            <v>50009_1</v>
          </cell>
        </row>
        <row r="862">
          <cell r="A862" t="str">
            <v>50010_1</v>
          </cell>
        </row>
        <row r="863">
          <cell r="A863" t="str">
            <v>50011_1</v>
          </cell>
        </row>
        <row r="864">
          <cell r="A864" t="str">
            <v>50012_1</v>
          </cell>
        </row>
        <row r="865">
          <cell r="A865" t="str">
            <v>50013_1</v>
          </cell>
        </row>
        <row r="866">
          <cell r="A866" t="str">
            <v>51001_1</v>
          </cell>
        </row>
        <row r="867">
          <cell r="A867" t="str">
            <v>51002_1</v>
          </cell>
        </row>
        <row r="868">
          <cell r="A868" t="str">
            <v>59001_1</v>
          </cell>
        </row>
        <row r="869">
          <cell r="A869" t="str">
            <v>60001_1</v>
          </cell>
        </row>
        <row r="870">
          <cell r="A870" t="str">
            <v>60002_1</v>
          </cell>
        </row>
        <row r="871">
          <cell r="A871" t="str">
            <v>60002_2</v>
          </cell>
        </row>
        <row r="872">
          <cell r="A872" t="str">
            <v>60003_1</v>
          </cell>
        </row>
        <row r="873">
          <cell r="A873" t="str">
            <v>60003_2</v>
          </cell>
        </row>
        <row r="874">
          <cell r="A874" t="str">
            <v>60003_3</v>
          </cell>
        </row>
        <row r="875">
          <cell r="A875" t="str">
            <v>60004_1</v>
          </cell>
        </row>
        <row r="876">
          <cell r="A876" t="str">
            <v>60005_1</v>
          </cell>
        </row>
        <row r="877">
          <cell r="A877" t="str">
            <v>60006_1</v>
          </cell>
        </row>
        <row r="878">
          <cell r="A878" t="str">
            <v>60006_2</v>
          </cell>
        </row>
        <row r="879">
          <cell r="A879" t="str">
            <v>60006_3</v>
          </cell>
        </row>
        <row r="880">
          <cell r="A880" t="str">
            <v>60007_1</v>
          </cell>
        </row>
        <row r="881">
          <cell r="A881" t="str">
            <v>60007_2</v>
          </cell>
        </row>
        <row r="882">
          <cell r="A882" t="str">
            <v>60007_3</v>
          </cell>
        </row>
        <row r="883">
          <cell r="A883" t="str">
            <v>60010_1</v>
          </cell>
        </row>
        <row r="884">
          <cell r="A884" t="str">
            <v>60011_1</v>
          </cell>
        </row>
        <row r="885">
          <cell r="A885" t="str">
            <v>60011_2</v>
          </cell>
        </row>
        <row r="886">
          <cell r="A886" t="str">
            <v>60012_1</v>
          </cell>
        </row>
        <row r="887">
          <cell r="A887" t="str">
            <v>60013_1</v>
          </cell>
        </row>
        <row r="888">
          <cell r="A888" t="str">
            <v>60013_2</v>
          </cell>
        </row>
        <row r="889">
          <cell r="A889" t="str">
            <v>60013_3</v>
          </cell>
        </row>
        <row r="890">
          <cell r="A890" t="str">
            <v>60014_1</v>
          </cell>
        </row>
        <row r="891">
          <cell r="A891" t="str">
            <v>60015_1</v>
          </cell>
        </row>
        <row r="892">
          <cell r="A892" t="str">
            <v>60016_1</v>
          </cell>
        </row>
        <row r="893">
          <cell r="A893" t="str">
            <v>60017_1</v>
          </cell>
        </row>
        <row r="894">
          <cell r="A894" t="str">
            <v>60018_1</v>
          </cell>
        </row>
        <row r="895">
          <cell r="A895" t="str">
            <v>60019_1</v>
          </cell>
        </row>
        <row r="896">
          <cell r="A896" t="str">
            <v>60020_1</v>
          </cell>
        </row>
        <row r="897">
          <cell r="A897" t="str">
            <v>60021_3</v>
          </cell>
        </row>
        <row r="898">
          <cell r="A898" t="str">
            <v>60022_3</v>
          </cell>
        </row>
        <row r="899">
          <cell r="A899" t="str">
            <v>60023_3</v>
          </cell>
        </row>
        <row r="900">
          <cell r="A900" t="str">
            <v>60024_3</v>
          </cell>
        </row>
        <row r="901">
          <cell r="A901" t="str">
            <v>60025_1</v>
          </cell>
        </row>
        <row r="902">
          <cell r="A902" t="str">
            <v>60026_1</v>
          </cell>
        </row>
        <row r="903">
          <cell r="A903" t="str">
            <v>61011_1</v>
          </cell>
        </row>
        <row r="904">
          <cell r="A904" t="str">
            <v>60027_1</v>
          </cell>
        </row>
        <row r="905">
          <cell r="A905" t="str">
            <v>65525_1</v>
          </cell>
        </row>
        <row r="906">
          <cell r="A906" t="str">
            <v>65526_1</v>
          </cell>
        </row>
        <row r="907">
          <cell r="A907" t="str">
            <v>65526_2</v>
          </cell>
        </row>
        <row r="908">
          <cell r="A908" t="str">
            <v>65527_1</v>
          </cell>
        </row>
        <row r="909">
          <cell r="A909" t="str">
            <v>65528_1</v>
          </cell>
        </row>
        <row r="910">
          <cell r="A910" t="str">
            <v>65529_1</v>
          </cell>
        </row>
        <row r="911">
          <cell r="A911" t="str">
            <v>65530_1</v>
          </cell>
        </row>
        <row r="912">
          <cell r="A912" t="str">
            <v>65531_1</v>
          </cell>
        </row>
        <row r="913">
          <cell r="A913" t="str">
            <v>65531_2</v>
          </cell>
        </row>
        <row r="914">
          <cell r="A914" t="str">
            <v>65532_1</v>
          </cell>
        </row>
        <row r="915">
          <cell r="A915" t="str">
            <v>65532_2</v>
          </cell>
        </row>
        <row r="916">
          <cell r="A916" t="str">
            <v>65533_1</v>
          </cell>
        </row>
        <row r="917">
          <cell r="A917" t="str">
            <v>65533_2</v>
          </cell>
        </row>
        <row r="918">
          <cell r="A918" t="str">
            <v>65534_1</v>
          </cell>
        </row>
        <row r="919">
          <cell r="A919" t="str">
            <v>65535_1</v>
          </cell>
        </row>
        <row r="920">
          <cell r="A920" t="str">
            <v>65535_2</v>
          </cell>
        </row>
        <row r="921">
          <cell r="A921" t="str">
            <v>65535_3</v>
          </cell>
        </row>
        <row r="922">
          <cell r="A922" t="str">
            <v>65535_4</v>
          </cell>
        </row>
        <row r="923">
          <cell r="A923" t="str">
            <v>65535_5</v>
          </cell>
        </row>
        <row r="924">
          <cell r="A924" t="str">
            <v>65535_6</v>
          </cell>
        </row>
        <row r="925">
          <cell r="A925" t="str">
            <v>65535_7</v>
          </cell>
        </row>
        <row r="926">
          <cell r="A926" t="str">
            <v>65535_8</v>
          </cell>
        </row>
        <row r="927">
          <cell r="A927" t="str">
            <v>65535_9</v>
          </cell>
        </row>
        <row r="928">
          <cell r="A92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65535_1-1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19" customWidth="1"/>
    <col min="5" max="5" width="26.83203125" bestFit="1" customWidth="1"/>
    <col min="6" max="6" width="22.1640625" bestFit="1" customWidth="1"/>
  </cols>
  <sheetData>
    <row r="1" spans="1:30" x14ac:dyDescent="0.15">
      <c r="A1" s="55" t="s">
        <v>129</v>
      </c>
      <c r="B1" s="50" t="s">
        <v>99</v>
      </c>
      <c r="C1" s="50" t="s">
        <v>100</v>
      </c>
      <c r="D1" s="50" t="s">
        <v>101</v>
      </c>
      <c r="E1" s="50" t="s">
        <v>102</v>
      </c>
      <c r="F1" s="50" t="s">
        <v>103</v>
      </c>
      <c r="G1" s="50" t="s">
        <v>104</v>
      </c>
      <c r="H1" s="50"/>
      <c r="I1" s="50"/>
      <c r="J1" s="50"/>
      <c r="K1" s="50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</row>
    <row r="2" spans="1:30" x14ac:dyDescent="0.15">
      <c r="A2" s="56" t="s">
        <v>297</v>
      </c>
      <c r="B2" s="52" t="s">
        <v>105</v>
      </c>
      <c r="C2" s="58">
        <v>20022</v>
      </c>
      <c r="D2" s="52" t="s">
        <v>106</v>
      </c>
      <c r="E2" s="51" t="str">
        <f>B2&amp;C2&amp;D2</f>
        <v>floors_20022.tmp</v>
      </c>
      <c r="F2" s="52" t="s">
        <v>107</v>
      </c>
      <c r="G2" s="53" t="s">
        <v>0</v>
      </c>
      <c r="H2" s="53" t="s">
        <v>1</v>
      </c>
      <c r="I2" s="53" t="s">
        <v>13</v>
      </c>
      <c r="J2" s="53" t="s">
        <v>14</v>
      </c>
      <c r="K2" s="53" t="s">
        <v>15</v>
      </c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</row>
    <row r="3" spans="1:30" x14ac:dyDescent="0.15">
      <c r="A3" s="56" t="s">
        <v>297</v>
      </c>
      <c r="B3" s="52" t="s">
        <v>108</v>
      </c>
      <c r="C3" s="58">
        <v>20022</v>
      </c>
      <c r="D3" s="52" t="s">
        <v>106</v>
      </c>
      <c r="E3" s="51" t="str">
        <f>B3&amp;C3&amp;D3</f>
        <v>enemy_habitats_20022.tmp</v>
      </c>
      <c r="F3" s="52" t="s">
        <v>109</v>
      </c>
      <c r="G3" s="53" t="s">
        <v>0</v>
      </c>
      <c r="H3" s="53" t="s">
        <v>1</v>
      </c>
      <c r="I3" s="53" t="s">
        <v>13</v>
      </c>
      <c r="J3" s="53" t="s">
        <v>2</v>
      </c>
      <c r="K3" s="53" t="s">
        <v>3</v>
      </c>
      <c r="L3" s="53" t="s">
        <v>47</v>
      </c>
      <c r="M3" s="53" t="s">
        <v>49</v>
      </c>
      <c r="N3" s="53" t="s">
        <v>51</v>
      </c>
      <c r="O3" s="53" t="s">
        <v>22</v>
      </c>
      <c r="P3" s="53" t="s">
        <v>5</v>
      </c>
      <c r="Q3" s="53" t="s">
        <v>6</v>
      </c>
      <c r="R3" s="53" t="s">
        <v>7</v>
      </c>
      <c r="S3" s="53" t="s">
        <v>8</v>
      </c>
      <c r="T3" s="53" t="s">
        <v>9</v>
      </c>
      <c r="U3" s="53" t="s">
        <v>10</v>
      </c>
      <c r="V3" s="53" t="s">
        <v>11</v>
      </c>
      <c r="W3" s="53" t="s">
        <v>12</v>
      </c>
      <c r="X3" s="53" t="s">
        <v>37</v>
      </c>
      <c r="Y3" s="53" t="s">
        <v>39</v>
      </c>
      <c r="Z3" s="53" t="s">
        <v>41</v>
      </c>
      <c r="AA3" s="53" t="s">
        <v>43</v>
      </c>
      <c r="AB3" s="53" t="s">
        <v>45</v>
      </c>
      <c r="AC3" s="53" t="s">
        <v>54</v>
      </c>
      <c r="AD3" s="53" t="s">
        <v>176</v>
      </c>
    </row>
    <row r="4" spans="1:30" x14ac:dyDescent="0.15">
      <c r="A4" s="56" t="s">
        <v>297</v>
      </c>
      <c r="B4" s="52" t="s">
        <v>110</v>
      </c>
      <c r="C4" s="58">
        <v>20022</v>
      </c>
      <c r="D4" s="52" t="s">
        <v>106</v>
      </c>
      <c r="E4" s="51" t="str">
        <f>B4&amp;C4&amp;D4</f>
        <v>enemy_habitat_S_20022.tmp</v>
      </c>
      <c r="F4" s="52" t="s">
        <v>111</v>
      </c>
      <c r="G4" s="53" t="s">
        <v>0</v>
      </c>
      <c r="H4" s="53" t="s">
        <v>1</v>
      </c>
      <c r="I4" s="53" t="s">
        <v>13</v>
      </c>
      <c r="J4" s="53" t="s">
        <v>54</v>
      </c>
      <c r="K4" s="53" t="s">
        <v>55</v>
      </c>
      <c r="L4" s="53" t="s">
        <v>56</v>
      </c>
      <c r="M4" s="53" t="s">
        <v>57</v>
      </c>
      <c r="N4" s="53" t="s">
        <v>58</v>
      </c>
      <c r="O4" s="53" t="s">
        <v>59</v>
      </c>
      <c r="P4" s="53" t="s">
        <v>48</v>
      </c>
      <c r="Q4" s="53" t="s">
        <v>50</v>
      </c>
      <c r="R4" s="53" t="s">
        <v>52</v>
      </c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</row>
    <row r="5" spans="1:30" x14ac:dyDescent="0.15">
      <c r="A5" s="56" t="s">
        <v>297</v>
      </c>
      <c r="B5" s="52" t="s">
        <v>112</v>
      </c>
      <c r="C5" s="58">
        <v>20022</v>
      </c>
      <c r="D5" s="52" t="s">
        <v>106</v>
      </c>
      <c r="E5" s="51" t="str">
        <f>B5&amp;C5&amp;D5</f>
        <v>enemy_skill_sets_20022.tmp</v>
      </c>
      <c r="F5" s="52" t="s">
        <v>113</v>
      </c>
      <c r="G5" s="54" t="s">
        <v>22</v>
      </c>
      <c r="H5" s="54" t="s">
        <v>98</v>
      </c>
      <c r="I5" s="54" t="s">
        <v>93</v>
      </c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</row>
    <row r="6" spans="1:30" x14ac:dyDescent="0.15">
      <c r="A6" s="56" t="s">
        <v>297</v>
      </c>
      <c r="B6" s="52" t="s">
        <v>114</v>
      </c>
      <c r="C6" s="58">
        <v>20022</v>
      </c>
      <c r="D6" s="52" t="s">
        <v>115</v>
      </c>
      <c r="E6" s="51" t="str">
        <f t="shared" ref="E6:E10" si="0">B6&amp;C6&amp;D6</f>
        <v>enemy_skills_tmp_20022.tmp</v>
      </c>
      <c r="F6" s="52" t="s">
        <v>89</v>
      </c>
      <c r="G6" s="53" t="s">
        <v>79</v>
      </c>
      <c r="H6" s="53" t="s">
        <v>80</v>
      </c>
      <c r="I6" s="53" t="s">
        <v>81</v>
      </c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</row>
    <row r="7" spans="1:30" x14ac:dyDescent="0.15">
      <c r="A7" s="56" t="s">
        <v>297</v>
      </c>
      <c r="B7" s="52" t="s">
        <v>116</v>
      </c>
      <c r="C7" s="58">
        <v>20022</v>
      </c>
      <c r="D7" s="52" t="s">
        <v>106</v>
      </c>
      <c r="E7" s="51" t="str">
        <f>B7&amp;C7&amp;D7</f>
        <v>enemy_skills_i18n_20022.tmp</v>
      </c>
      <c r="F7" s="52" t="s">
        <v>117</v>
      </c>
      <c r="G7" s="53" t="s">
        <v>79</v>
      </c>
      <c r="H7" s="53" t="s">
        <v>90</v>
      </c>
      <c r="I7" s="53" t="s">
        <v>91</v>
      </c>
      <c r="J7" s="53" t="s">
        <v>92</v>
      </c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</row>
    <row r="8" spans="1:30" x14ac:dyDescent="0.15">
      <c r="A8" s="56" t="s">
        <v>297</v>
      </c>
      <c r="B8" s="52" t="s">
        <v>118</v>
      </c>
      <c r="C8" s="58">
        <v>20022</v>
      </c>
      <c r="D8" s="52" t="s">
        <v>119</v>
      </c>
      <c r="E8" s="51" t="str">
        <f t="shared" si="0"/>
        <v>enemy_skill_triggers_20022.tmp</v>
      </c>
      <c r="F8" s="52" t="s">
        <v>120</v>
      </c>
      <c r="G8" s="53" t="s">
        <v>93</v>
      </c>
      <c r="H8" s="53" t="s">
        <v>94</v>
      </c>
      <c r="I8" s="53" t="s">
        <v>95</v>
      </c>
      <c r="J8" s="53" t="s">
        <v>96</v>
      </c>
      <c r="K8" s="53" t="s">
        <v>121</v>
      </c>
      <c r="L8" s="53" t="s">
        <v>97</v>
      </c>
      <c r="M8" s="53" t="s">
        <v>122</v>
      </c>
      <c r="N8" s="53" t="s">
        <v>123</v>
      </c>
      <c r="O8" s="53" t="s">
        <v>124</v>
      </c>
      <c r="P8" s="53" t="s">
        <v>67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</row>
    <row r="9" spans="1:30" x14ac:dyDescent="0.15">
      <c r="A9" s="56" t="s">
        <v>297</v>
      </c>
      <c r="B9" s="63" t="s">
        <v>175</v>
      </c>
      <c r="C9" s="58">
        <v>20022</v>
      </c>
      <c r="D9" s="63" t="s">
        <v>169</v>
      </c>
      <c r="E9" s="64" t="str">
        <f t="shared" si="0"/>
        <v>stage_bug_bonuses_20022.tmp</v>
      </c>
      <c r="F9" s="63" t="s">
        <v>170</v>
      </c>
      <c r="G9" s="60" t="s">
        <v>149</v>
      </c>
      <c r="H9" s="60" t="s">
        <v>171</v>
      </c>
      <c r="I9" s="60" t="s">
        <v>172</v>
      </c>
      <c r="J9" s="62" t="s">
        <v>173</v>
      </c>
      <c r="K9" s="60" t="s">
        <v>174</v>
      </c>
      <c r="L9" s="60" t="s">
        <v>155</v>
      </c>
      <c r="M9" s="60" t="s">
        <v>156</v>
      </c>
      <c r="N9" s="60" t="s">
        <v>157</v>
      </c>
      <c r="O9" s="60" t="s">
        <v>158</v>
      </c>
      <c r="P9" s="60" t="s">
        <v>159</v>
      </c>
      <c r="Q9" s="60" t="s">
        <v>160</v>
      </c>
      <c r="R9" s="60" t="s">
        <v>161</v>
      </c>
      <c r="S9" s="60" t="s">
        <v>162</v>
      </c>
      <c r="T9" s="60" t="s">
        <v>163</v>
      </c>
      <c r="U9" s="60" t="s">
        <v>164</v>
      </c>
      <c r="V9" s="60" t="s">
        <v>165</v>
      </c>
      <c r="W9" s="60" t="s">
        <v>166</v>
      </c>
      <c r="X9" s="52"/>
      <c r="Y9" s="52"/>
      <c r="Z9" s="52"/>
      <c r="AA9" s="52"/>
      <c r="AB9" s="52"/>
      <c r="AC9" s="52"/>
      <c r="AD9" s="52"/>
    </row>
    <row r="10" spans="1:30" s="71" customFormat="1" x14ac:dyDescent="0.15">
      <c r="A10" s="56" t="s">
        <v>185</v>
      </c>
      <c r="B10" s="63" t="s">
        <v>199</v>
      </c>
      <c r="C10" s="58">
        <v>20022</v>
      </c>
      <c r="D10" s="63" t="s">
        <v>178</v>
      </c>
      <c r="E10" s="64" t="str">
        <f t="shared" si="0"/>
        <v>stage_hints_data_c_20022.tmp</v>
      </c>
      <c r="F10" s="63" t="s">
        <v>206</v>
      </c>
      <c r="G10" s="69" t="s">
        <v>179</v>
      </c>
      <c r="H10" s="69" t="s">
        <v>171</v>
      </c>
      <c r="I10" s="70" t="s">
        <v>180</v>
      </c>
      <c r="J10" s="62" t="s">
        <v>181</v>
      </c>
      <c r="K10" s="62" t="s">
        <v>182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1" customFormat="1" x14ac:dyDescent="0.15">
      <c r="A11" s="56" t="s">
        <v>297</v>
      </c>
      <c r="B11" s="63" t="s">
        <v>200</v>
      </c>
      <c r="C11" s="58">
        <v>20022</v>
      </c>
      <c r="D11" s="63" t="s">
        <v>169</v>
      </c>
      <c r="E11" s="64" t="str">
        <f t="shared" ref="E11:E13" si="1">B11&amp;C11&amp;D11</f>
        <v>stage_hints_data_f_20022.tmp</v>
      </c>
      <c r="F11" s="63" t="s">
        <v>208</v>
      </c>
      <c r="G11" s="69" t="s">
        <v>179</v>
      </c>
      <c r="H11" s="69" t="s">
        <v>171</v>
      </c>
      <c r="I11" s="70" t="s">
        <v>180</v>
      </c>
      <c r="J11" s="62" t="s">
        <v>181</v>
      </c>
      <c r="K11" s="62" t="s">
        <v>182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1" customFormat="1" x14ac:dyDescent="0.15">
      <c r="A12" s="56" t="s">
        <v>297</v>
      </c>
      <c r="B12" s="63" t="s">
        <v>298</v>
      </c>
      <c r="C12" s="58">
        <v>20022</v>
      </c>
      <c r="D12" s="63" t="s">
        <v>169</v>
      </c>
      <c r="E12" s="64" t="str">
        <f t="shared" si="1"/>
        <v>stage_hints_i18n_20022.tmp</v>
      </c>
      <c r="F12" s="63" t="s">
        <v>209</v>
      </c>
      <c r="G12" s="70" t="s">
        <v>201</v>
      </c>
      <c r="H12" s="91" t="s">
        <v>202</v>
      </c>
      <c r="I12" s="69" t="s">
        <v>203</v>
      </c>
      <c r="J12" s="96" t="s">
        <v>204</v>
      </c>
      <c r="K12" s="62" t="s">
        <v>205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1" customFormat="1" x14ac:dyDescent="0.15">
      <c r="A13" s="63" t="s">
        <v>246</v>
      </c>
      <c r="B13" s="63" t="s">
        <v>245</v>
      </c>
      <c r="C13" s="58">
        <v>20022</v>
      </c>
      <c r="D13" s="63" t="s">
        <v>226</v>
      </c>
      <c r="E13" s="64" t="str">
        <f t="shared" si="1"/>
        <v>stage_bonuses_20022.tmp</v>
      </c>
      <c r="F13" s="63" t="s">
        <v>225</v>
      </c>
      <c r="G13" s="69" t="s">
        <v>227</v>
      </c>
      <c r="H13" s="69" t="s">
        <v>228</v>
      </c>
      <c r="I13" s="69" t="s">
        <v>229</v>
      </c>
      <c r="J13" s="69" t="s">
        <v>230</v>
      </c>
      <c r="K13" s="69" t="s">
        <v>231</v>
      </c>
      <c r="L13" s="69" t="s">
        <v>232</v>
      </c>
      <c r="M13" s="69" t="s">
        <v>233</v>
      </c>
      <c r="N13" s="69" t="s">
        <v>234</v>
      </c>
      <c r="O13" s="69" t="s">
        <v>235</v>
      </c>
      <c r="P13" s="69" t="s">
        <v>236</v>
      </c>
      <c r="Q13" s="69" t="s">
        <v>237</v>
      </c>
      <c r="R13" s="69" t="s">
        <v>238</v>
      </c>
      <c r="S13" s="69" t="s">
        <v>239</v>
      </c>
      <c r="T13" s="69" t="s">
        <v>240</v>
      </c>
      <c r="U13" s="69" t="s">
        <v>241</v>
      </c>
      <c r="V13" s="69" t="s">
        <v>242</v>
      </c>
      <c r="W13" s="69" t="s">
        <v>243</v>
      </c>
      <c r="X13" s="69" t="s">
        <v>244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G9" sqref="G9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19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4" t="str">
        <f t="shared" ref="A2:A6" si="0">G2&amp;"-"&amp;I2</f>
        <v>20022_1-1</v>
      </c>
      <c r="B2" s="14" t="str">
        <f>IF(COUNTIF(enemy_habitats!$H:$H,A2),"OK","NG")</f>
        <v>OK</v>
      </c>
      <c r="C2" s="99">
        <v>20022</v>
      </c>
      <c r="D2" s="16" t="str">
        <f ca="1">VLOOKUP($C2,OFFSET([2]quests!$A$1,0,0,COUNTA([2]quests!$A:$A),MATCH(D$1,[2]quests!$1:$1,0)-MATCH($C$1,[2]quests!$1:$1,0)+1),MATCH(D$1,[2]quests!$1:$1,0)-MATCH($C$1,[2]quests!$1:$1,0)+1,FALSE)</f>
        <v>年を越える宴</v>
      </c>
      <c r="E2" s="16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100">
        <v>1</v>
      </c>
      <c r="G2" s="19" t="str">
        <f t="shared" ref="G2:G6" si="1">C2&amp;"_"&amp;F2</f>
        <v>20022_1</v>
      </c>
      <c r="H2" s="13" t="str">
        <f ca="1">VLOOKUP($G2,OFFSET([2]stages!$A$1,0,0,COUNTA([2]stages!$A:$A),MATCH(H$1,[2]stages!$2:$2,0)-MATCH($G$1,[2]stages!$2:$2,0)+1),MATCH(H$1,[2]stages!$2:$2,0)-MATCH($G$1,[2]stages!$2:$2,0)+1,FALSE)</f>
        <v>【上級】年を越える宴（ハートなし）</v>
      </c>
      <c r="I2" s="100">
        <v>1</v>
      </c>
      <c r="J2" s="33">
        <v>15</v>
      </c>
      <c r="K2" s="33">
        <v>15</v>
      </c>
    </row>
    <row r="3" spans="1:11" ht="21" customHeight="1" x14ac:dyDescent="0.15">
      <c r="A3" s="14" t="str">
        <f t="shared" si="0"/>
        <v>20022_1-2</v>
      </c>
      <c r="B3" s="14" t="str">
        <f>IF(COUNTIF(enemy_habitats!$H:$H,A3),"OK","NG")</f>
        <v>OK</v>
      </c>
      <c r="C3" s="99">
        <v>20022</v>
      </c>
      <c r="D3" s="16" t="str">
        <f ca="1">VLOOKUP($C3,OFFSET([2]quests!$A$1,0,0,COUNTA([2]quests!$A:$A),MATCH(D$1,[2]quests!$1:$1,0)-MATCH($C$1,[2]quests!$1:$1,0)+1),MATCH(D$1,[2]quests!$1:$1,0)-MATCH($C$1,[2]quests!$1:$1,0)+1,FALSE)</f>
        <v>年を越える宴</v>
      </c>
      <c r="E3" s="16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100">
        <v>1</v>
      </c>
      <c r="G3" s="19" t="str">
        <f t="shared" si="1"/>
        <v>20022_1</v>
      </c>
      <c r="H3" s="13" t="str">
        <f ca="1">VLOOKUP($G3,OFFSET([2]stages!$A$1,0,0,COUNTA([2]stages!$A:$A),MATCH(H$1,[2]stages!$2:$2,0)-MATCH($G$1,[2]stages!$2:$2,0)+1),MATCH(H$1,[2]stages!$2:$2,0)-MATCH($G$1,[2]stages!$2:$2,0)+1,FALSE)</f>
        <v>【上級】年を越える宴（ハートなし）</v>
      </c>
      <c r="I3" s="100">
        <v>2</v>
      </c>
      <c r="J3" s="33">
        <v>35</v>
      </c>
      <c r="K3" s="33">
        <v>35</v>
      </c>
    </row>
    <row r="4" spans="1:11" ht="21" customHeight="1" x14ac:dyDescent="0.15">
      <c r="A4" s="14" t="str">
        <f t="shared" si="0"/>
        <v>20022_1-3</v>
      </c>
      <c r="B4" s="14" t="str">
        <f>IF(COUNTIF(enemy_habitats!$H:$H,A4),"OK","NG")</f>
        <v>OK</v>
      </c>
      <c r="C4" s="99">
        <v>20022</v>
      </c>
      <c r="D4" s="16" t="str">
        <f ca="1">VLOOKUP($C4,OFFSET([2]quests!$A$1,0,0,COUNTA([2]quests!$A:$A),MATCH(D$1,[2]quests!$1:$1,0)-MATCH($C$1,[2]quests!$1:$1,0)+1),MATCH(D$1,[2]quests!$1:$1,0)-MATCH($C$1,[2]quests!$1:$1,0)+1,FALSE)</f>
        <v>年を越える宴</v>
      </c>
      <c r="E4" s="16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100">
        <v>1</v>
      </c>
      <c r="G4" s="19" t="str">
        <f t="shared" si="1"/>
        <v>20022_1</v>
      </c>
      <c r="H4" s="13" t="str">
        <f ca="1">VLOOKUP($G4,OFFSET([2]stages!$A$1,0,0,COUNTA([2]stages!$A:$A),MATCH(H$1,[2]stages!$2:$2,0)-MATCH($G$1,[2]stages!$2:$2,0)+1),MATCH(H$1,[2]stages!$2:$2,0)-MATCH($G$1,[2]stages!$2:$2,0)+1,FALSE)</f>
        <v>【上級】年を越える宴（ハートなし）</v>
      </c>
      <c r="I4" s="100">
        <v>3</v>
      </c>
      <c r="J4" s="33">
        <v>35</v>
      </c>
      <c r="K4" s="33">
        <v>35</v>
      </c>
    </row>
    <row r="5" spans="1:11" ht="21" customHeight="1" x14ac:dyDescent="0.15">
      <c r="A5" s="14" t="str">
        <f t="shared" si="0"/>
        <v>20022_1-4</v>
      </c>
      <c r="B5" s="14" t="str">
        <f>IF(COUNTIF(enemy_habitats!$H:$H,A5),"OK","NG")</f>
        <v>OK</v>
      </c>
      <c r="C5" s="99">
        <v>20022</v>
      </c>
      <c r="D5" s="16" t="str">
        <f ca="1">VLOOKUP($C5,OFFSET([2]quests!$A$1,0,0,COUNTA([2]quests!$A:$A),MATCH(D$1,[2]quests!$1:$1,0)-MATCH($C$1,[2]quests!$1:$1,0)+1),MATCH(D$1,[2]quests!$1:$1,0)-MATCH($C$1,[2]quests!$1:$1,0)+1,FALSE)</f>
        <v>年を越える宴</v>
      </c>
      <c r="E5" s="16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100">
        <v>1</v>
      </c>
      <c r="G5" s="19" t="str">
        <f t="shared" si="1"/>
        <v>20022_1</v>
      </c>
      <c r="H5" s="13" t="str">
        <f ca="1">VLOOKUP($G5,OFFSET([2]stages!$A$1,0,0,COUNTA([2]stages!$A:$A),MATCH(H$1,[2]stages!$2:$2,0)-MATCH($G$1,[2]stages!$2:$2,0)+1),MATCH(H$1,[2]stages!$2:$2,0)-MATCH($G$1,[2]stages!$2:$2,0)+1,FALSE)</f>
        <v>【上級】年を越える宴（ハートなし）</v>
      </c>
      <c r="I5" s="100">
        <v>4</v>
      </c>
      <c r="J5" s="33">
        <v>40</v>
      </c>
      <c r="K5" s="33">
        <v>40</v>
      </c>
    </row>
    <row r="6" spans="1:11" ht="21" customHeight="1" x14ac:dyDescent="0.15">
      <c r="A6" s="14" t="str">
        <f t="shared" si="0"/>
        <v>20022_1-5</v>
      </c>
      <c r="B6" s="14" t="str">
        <f>IF(COUNTIF(enemy_habitats!$H:$H,A6),"OK","NG")</f>
        <v>OK</v>
      </c>
      <c r="C6" s="99">
        <v>20022</v>
      </c>
      <c r="D6" s="16" t="str">
        <f ca="1">VLOOKUP($C6,OFFSET([2]quests!$A$1,0,0,COUNTA([2]quests!$A:$A),MATCH(D$1,[2]quests!$1:$1,0)-MATCH($C$1,[2]quests!$1:$1,0)+1),MATCH(D$1,[2]quests!$1:$1,0)-MATCH($C$1,[2]quests!$1:$1,0)+1,FALSE)</f>
        <v>年を越える宴</v>
      </c>
      <c r="E6" s="16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100">
        <v>1</v>
      </c>
      <c r="G6" s="19" t="str">
        <f t="shared" si="1"/>
        <v>20022_1</v>
      </c>
      <c r="H6" s="13" t="str">
        <f ca="1">VLOOKUP($G6,OFFSET([2]stages!$A$1,0,0,COUNTA([2]stages!$A:$A),MATCH(H$1,[2]stages!$2:$2,0)-MATCH($G$1,[2]stages!$2:$2,0)+1),MATCH(H$1,[2]stages!$2:$2,0)-MATCH($G$1,[2]stages!$2:$2,0)+1,FALSE)</f>
        <v>【上級】年を越える宴（ハートなし）</v>
      </c>
      <c r="I6" s="100">
        <v>5</v>
      </c>
      <c r="J6" s="33">
        <v>70</v>
      </c>
      <c r="K6" s="33">
        <v>70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zoomScale="90" zoomScaleNormal="90" zoomScalePageLayoutView="90" workbookViewId="0">
      <pane xSplit="17" ySplit="1" topLeftCell="R2" activePane="bottomRight" state="frozen"/>
      <selection pane="topRight" activeCell="N1" sqref="N1"/>
      <selection pane="bottomLeft" activeCell="A2" sqref="A2"/>
      <selection pane="bottomRight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 collapsed="1"/>
    <col min="25" max="25" width="12.1640625" style="3" hidden="1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1" customWidth="1" outlineLevel="1"/>
    <col min="32" max="32" width="8" style="12" bestFit="1" customWidth="1" outlineLevel="1"/>
    <col min="33" max="33" width="12" style="12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0" customFormat="1" ht="21" customHeight="1" x14ac:dyDescent="0.15">
      <c r="A1" s="22" t="s">
        <v>29</v>
      </c>
      <c r="B1" s="23" t="s">
        <v>0</v>
      </c>
      <c r="C1" s="23" t="s">
        <v>1</v>
      </c>
      <c r="D1" s="24" t="s">
        <v>28</v>
      </c>
      <c r="E1" s="25" t="s">
        <v>20</v>
      </c>
      <c r="F1" s="25" t="s">
        <v>20</v>
      </c>
      <c r="G1" s="23" t="s">
        <v>19</v>
      </c>
      <c r="H1" s="24" t="s">
        <v>35</v>
      </c>
      <c r="I1" s="24" t="s">
        <v>14</v>
      </c>
      <c r="J1" s="24" t="s">
        <v>15</v>
      </c>
      <c r="K1" s="31" t="s">
        <v>54</v>
      </c>
      <c r="L1" s="32" t="s">
        <v>2</v>
      </c>
      <c r="M1" s="26" t="s">
        <v>21</v>
      </c>
      <c r="N1" s="24" t="s">
        <v>24</v>
      </c>
      <c r="O1" s="24" t="s">
        <v>23</v>
      </c>
      <c r="P1" s="27" t="s">
        <v>26</v>
      </c>
      <c r="Q1" s="25" t="s">
        <v>25</v>
      </c>
      <c r="R1" s="23" t="s">
        <v>3</v>
      </c>
      <c r="S1" s="21" t="s">
        <v>48</v>
      </c>
      <c r="T1" s="106" t="s">
        <v>247</v>
      </c>
      <c r="U1" s="21" t="s">
        <v>50</v>
      </c>
      <c r="V1" s="97" t="s">
        <v>248</v>
      </c>
      <c r="W1" s="21" t="s">
        <v>52</v>
      </c>
      <c r="X1" s="24" t="s">
        <v>31</v>
      </c>
      <c r="Y1" s="23" t="s">
        <v>4</v>
      </c>
      <c r="Z1" s="23" t="s">
        <v>5</v>
      </c>
      <c r="AA1" s="23" t="s">
        <v>6</v>
      </c>
      <c r="AB1" s="23" t="s">
        <v>7</v>
      </c>
      <c r="AC1" s="23" t="s">
        <v>8</v>
      </c>
      <c r="AD1" s="28" t="s">
        <v>9</v>
      </c>
      <c r="AE1" s="29" t="s">
        <v>16</v>
      </c>
      <c r="AF1" s="29" t="s">
        <v>17</v>
      </c>
      <c r="AG1" s="29" t="s">
        <v>27</v>
      </c>
      <c r="AH1" s="28" t="s">
        <v>10</v>
      </c>
      <c r="AI1" s="23" t="s">
        <v>11</v>
      </c>
      <c r="AJ1" s="23" t="s">
        <v>12</v>
      </c>
      <c r="AK1" s="23" t="s">
        <v>38</v>
      </c>
      <c r="AL1" s="23" t="s">
        <v>40</v>
      </c>
      <c r="AM1" s="23" t="s">
        <v>42</v>
      </c>
      <c r="AN1" s="23" t="s">
        <v>44</v>
      </c>
      <c r="AO1" s="23" t="s">
        <v>46</v>
      </c>
      <c r="AP1" s="31" t="s">
        <v>177</v>
      </c>
    </row>
    <row r="2" spans="1:42" ht="21" customHeight="1" x14ac:dyDescent="0.15">
      <c r="A2" s="14" t="str">
        <f>B2&amp;"_"&amp;C2&amp;"-"&amp;G2&amp;"/"&amp;L2&amp;"&lt;lv"&amp;R2&amp;"&gt;s"&amp;AC2</f>
        <v>20022_1-1/1&lt;lv32&gt;s1</v>
      </c>
      <c r="B2" s="18">
        <v>20022</v>
      </c>
      <c r="C2" s="100">
        <v>1</v>
      </c>
      <c r="D2" s="13" t="str">
        <f>B2&amp;"_"&amp;C2</f>
        <v>20022_1</v>
      </c>
      <c r="E2" s="4" t="str">
        <f ca="1">VLOOKUP($B2,OFFSET([2]quests!$A$1,0,0,COUNTA([2]quests!$A:$A),MATCH(E$1,[2]quests!$1:$1,0)-MATCH($B$1,[2]quests!$1:$1,0)+1),MATCH(E$1,[2]quests!$1:$1,0)-MATCH($B$1,[2]quests!$1:$1,0)+1,FALSE)</f>
        <v>年を越える宴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【上級】年を越える宴（ハートなし）</v>
      </c>
      <c r="G2" s="100">
        <v>1</v>
      </c>
      <c r="H2" s="13" t="str">
        <f>B2&amp;"_"&amp;C2&amp;"-"&amp;G2</f>
        <v>20022_1-1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3" t="s">
        <v>53</v>
      </c>
      <c r="L2" s="101">
        <v>1</v>
      </c>
      <c r="M2" s="15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5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5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5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32</v>
      </c>
      <c r="S2" s="20">
        <v>1</v>
      </c>
      <c r="T2" s="9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6700</v>
      </c>
      <c r="U2" s="20">
        <v>1</v>
      </c>
      <c r="V2" s="9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2454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すると 宴が開かれる という噂だ</v>
      </c>
      <c r="Y2" s="57">
        <v>200221100</v>
      </c>
      <c r="Z2" s="6">
        <v>1</v>
      </c>
      <c r="AA2" s="6">
        <v>100</v>
      </c>
      <c r="AB2" s="6">
        <v>0</v>
      </c>
      <c r="AC2" s="15">
        <v>1</v>
      </c>
      <c r="AD2" s="102">
        <v>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99">
        <v>1</v>
      </c>
      <c r="AI2" s="102">
        <f ca="1">AF2</f>
        <v>1</v>
      </c>
      <c r="AJ2" s="7">
        <v>0</v>
      </c>
      <c r="AK2" s="99">
        <v>0</v>
      </c>
      <c r="AL2" s="99">
        <v>0</v>
      </c>
      <c r="AM2" s="99">
        <v>0</v>
      </c>
      <c r="AN2" s="99">
        <v>0</v>
      </c>
      <c r="AO2" s="99">
        <v>1</v>
      </c>
      <c r="AP2" s="65">
        <v>1</v>
      </c>
    </row>
    <row r="3" spans="1:42" ht="21" customHeight="1" x14ac:dyDescent="0.15">
      <c r="A3" s="14" t="str">
        <f t="shared" ref="A3:A15" si="0">B3&amp;"_"&amp;C3&amp;"-"&amp;G3&amp;"/"&amp;L3&amp;"&lt;lv"&amp;R3&amp;"&gt;s"&amp;AC3</f>
        <v>20022_1-2/68&lt;lv32&gt;s2</v>
      </c>
      <c r="B3" s="18">
        <v>20022</v>
      </c>
      <c r="C3" s="100">
        <v>1</v>
      </c>
      <c r="D3" s="13" t="str">
        <f t="shared" ref="D3:D15" si="1">B3&amp;"_"&amp;C3</f>
        <v>20022_1</v>
      </c>
      <c r="E3" s="4" t="str">
        <f ca="1">VLOOKUP($B3,OFFSET([2]quests!$A$1,0,0,COUNTA([2]quests!$A:$A),MATCH(E$1,[2]quests!$1:$1,0)-MATCH($B$1,[2]quests!$1:$1,0)+1),MATCH(E$1,[2]quests!$1:$1,0)-MATCH($B$1,[2]quests!$1:$1,0)+1,FALSE)</f>
        <v>年を越える宴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【上級】年を越える宴（ハートなし）</v>
      </c>
      <c r="G3" s="100">
        <v>2</v>
      </c>
      <c r="H3" s="13" t="str">
        <f t="shared" ref="H3:H15" si="2">B3&amp;"_"&amp;C3&amp;"-"&amp;G3</f>
        <v>20022_1-2</v>
      </c>
      <c r="I3" s="4">
        <f ca="1">VLOOKUP($H3,OFFSET(floors!$A$1,0,0,COUNTA(floors!$A:$A),MATCH(I$1,floors!$1:$1,0)-MATCH($H$1,floors!$1:$1,0)+1),MATCH(I$1,floors!$1:$1,0)-MATCH($H$1,floors!$1:$1,0)+1,FALSE)</f>
        <v>35</v>
      </c>
      <c r="J3" s="4">
        <f ca="1">VLOOKUP($H3,OFFSET(floors!$A$1,0,0,COUNTA(floors!$A:$A),MATCH(J$1,floors!$1:$1,0)-MATCH($H$1,floors!$1:$1,0)+1),MATCH(J$1,floors!$1:$1,0)-MATCH($H$1,floors!$1:$1,0)+1,FALSE)</f>
        <v>35</v>
      </c>
      <c r="K3" s="33" t="s">
        <v>53</v>
      </c>
      <c r="L3" s="101">
        <v>68</v>
      </c>
      <c r="M3" s="15" t="str">
        <f ca="1">VLOOKUP($L3,OFFSET([3]enemies!$A$1,0,0,COUNTA([3]enemies!$A:$A),MATCH(M$1,[3]enemies!$1:$1,0)-MATCH($L$1,[3]enemies!$1:$1,0)+1),MATCH(M$1,[3]enemies!$1:$1,0)-MATCH($L$1,[3]enemies!$1:$1,0)+1,FALSE)</f>
        <v>ストール</v>
      </c>
      <c r="N3" s="15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5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5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32</v>
      </c>
      <c r="S3" s="20">
        <v>2.2000000000000002</v>
      </c>
      <c r="T3" s="9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21799.800000000003</v>
      </c>
      <c r="U3" s="20">
        <v>0.5</v>
      </c>
      <c r="V3" s="9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921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HPが全回復！</v>
      </c>
      <c r="Y3" s="57">
        <v>200221200</v>
      </c>
      <c r="Z3" s="6">
        <v>1</v>
      </c>
      <c r="AA3" s="6">
        <v>100</v>
      </c>
      <c r="AB3" s="6">
        <v>0</v>
      </c>
      <c r="AC3" s="15">
        <v>2</v>
      </c>
      <c r="AD3" s="102">
        <v>68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ストール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99">
        <v>1</v>
      </c>
      <c r="AI3" s="102">
        <f t="shared" ref="AI3:AI15" ca="1" si="3">AF3</f>
        <v>2</v>
      </c>
      <c r="AJ3" s="7">
        <v>0</v>
      </c>
      <c r="AK3" s="99">
        <v>0</v>
      </c>
      <c r="AL3" s="99">
        <v>0</v>
      </c>
      <c r="AM3" s="99">
        <v>0</v>
      </c>
      <c r="AN3" s="99">
        <v>0</v>
      </c>
      <c r="AO3" s="99">
        <v>1</v>
      </c>
      <c r="AP3" s="65">
        <v>1</v>
      </c>
    </row>
    <row r="4" spans="1:42" ht="21" customHeight="1" x14ac:dyDescent="0.15">
      <c r="A4" s="14" t="str">
        <f t="shared" si="0"/>
        <v>20022_1-2/94&lt;lv32&gt;s2</v>
      </c>
      <c r="B4" s="18">
        <v>20022</v>
      </c>
      <c r="C4" s="100">
        <v>1</v>
      </c>
      <c r="D4" s="13" t="str">
        <f t="shared" si="1"/>
        <v>20022_1</v>
      </c>
      <c r="E4" s="4" t="str">
        <f ca="1">VLOOKUP($B4,OFFSET([2]quests!$A$1,0,0,COUNTA([2]quests!$A:$A),MATCH(E$1,[2]quests!$1:$1,0)-MATCH($B$1,[2]quests!$1:$1,0)+1),MATCH(E$1,[2]quests!$1:$1,0)-MATCH($B$1,[2]quests!$1:$1,0)+1,FALSE)</f>
        <v>年を越える宴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【上級】年を越える宴（ハートなし）</v>
      </c>
      <c r="G4" s="100">
        <v>2</v>
      </c>
      <c r="H4" s="13" t="str">
        <f t="shared" si="2"/>
        <v>20022_1-2</v>
      </c>
      <c r="I4" s="4">
        <f ca="1">VLOOKUP($H4,OFFSET(floors!$A$1,0,0,COUNTA(floors!$A:$A),MATCH(I$1,floors!$1:$1,0)-MATCH($H$1,floors!$1:$1,0)+1),MATCH(I$1,floors!$1:$1,0)-MATCH($H$1,floors!$1:$1,0)+1,FALSE)</f>
        <v>35</v>
      </c>
      <c r="J4" s="4">
        <f ca="1">VLOOKUP($H4,OFFSET(floors!$A$1,0,0,COUNTA(floors!$A:$A),MATCH(J$1,floors!$1:$1,0)-MATCH($H$1,floors!$1:$1,0)+1),MATCH(J$1,floors!$1:$1,0)-MATCH($H$1,floors!$1:$1,0)+1,FALSE)</f>
        <v>35</v>
      </c>
      <c r="K4" s="33" t="s">
        <v>53</v>
      </c>
      <c r="L4" s="101">
        <v>94</v>
      </c>
      <c r="M4" s="15" t="str">
        <f ca="1">VLOOKUP($L4,OFFSET([3]enemies!$A$1,0,0,COUNTA([3]enemies!$A:$A),MATCH(M$1,[3]enemies!$1:$1,0)-MATCH($L$1,[3]enemies!$1:$1,0)+1),MATCH(M$1,[3]enemies!$1:$1,0)-MATCH($L$1,[3]enemies!$1:$1,0)+1,FALSE)</f>
        <v>白虎</v>
      </c>
      <c r="N4" s="15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5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5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32</v>
      </c>
      <c r="S4" s="20">
        <v>0.6</v>
      </c>
      <c r="T4" s="9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21667.8</v>
      </c>
      <c r="U4" s="20">
        <v>0.1</v>
      </c>
      <c r="V4" s="9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463.3</v>
      </c>
      <c r="W4" s="5">
        <v>0</v>
      </c>
      <c r="X4" s="4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57">
        <v>0</v>
      </c>
      <c r="Z4" s="6">
        <v>1</v>
      </c>
      <c r="AA4" s="6">
        <v>100</v>
      </c>
      <c r="AB4" s="6">
        <v>0</v>
      </c>
      <c r="AC4" s="15">
        <v>2</v>
      </c>
      <c r="AD4" s="102">
        <v>94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白虎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99">
        <v>1</v>
      </c>
      <c r="AI4" s="102">
        <f t="shared" ca="1" si="3"/>
        <v>3</v>
      </c>
      <c r="AJ4" s="7">
        <v>0</v>
      </c>
      <c r="AK4" s="99">
        <v>0</v>
      </c>
      <c r="AL4" s="99">
        <v>0</v>
      </c>
      <c r="AM4" s="99">
        <v>0</v>
      </c>
      <c r="AN4" s="99">
        <v>0</v>
      </c>
      <c r="AO4" s="99">
        <v>1</v>
      </c>
      <c r="AP4" s="65">
        <v>1</v>
      </c>
    </row>
    <row r="5" spans="1:42" ht="21" customHeight="1" x14ac:dyDescent="0.15">
      <c r="A5" s="14" t="str">
        <f t="shared" si="0"/>
        <v>20022_1-3/59&lt;lv32&gt;s2</v>
      </c>
      <c r="B5" s="18">
        <v>20022</v>
      </c>
      <c r="C5" s="100">
        <v>1</v>
      </c>
      <c r="D5" s="13" t="str">
        <f t="shared" si="1"/>
        <v>20022_1</v>
      </c>
      <c r="E5" s="4" t="str">
        <f ca="1">VLOOKUP($B5,OFFSET([2]quests!$A$1,0,0,COUNTA([2]quests!$A:$A),MATCH(E$1,[2]quests!$1:$1,0)-MATCH($B$1,[2]quests!$1:$1,0)+1),MATCH(E$1,[2]quests!$1:$1,0)-MATCH($B$1,[2]quests!$1:$1,0)+1,FALSE)</f>
        <v>年を越える宴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【上級】年を越える宴（ハートなし）</v>
      </c>
      <c r="G5" s="100">
        <v>3</v>
      </c>
      <c r="H5" s="13" t="str">
        <f t="shared" si="2"/>
        <v>20022_1-3</v>
      </c>
      <c r="I5" s="4">
        <f ca="1">VLOOKUP($H5,OFFSET(floors!$A$1,0,0,COUNTA(floors!$A:$A),MATCH(I$1,floors!$1:$1,0)-MATCH($H$1,floors!$1:$1,0)+1),MATCH(I$1,floors!$1:$1,0)-MATCH($H$1,floors!$1:$1,0)+1,FALSE)</f>
        <v>35</v>
      </c>
      <c r="J5" s="4">
        <f ca="1">VLOOKUP($H5,OFFSET(floors!$A$1,0,0,COUNTA(floors!$A:$A),MATCH(J$1,floors!$1:$1,0)-MATCH($H$1,floors!$1:$1,0)+1),MATCH(J$1,floors!$1:$1,0)-MATCH($H$1,floors!$1:$1,0)+1,FALSE)</f>
        <v>35</v>
      </c>
      <c r="K5" s="33" t="s">
        <v>53</v>
      </c>
      <c r="L5" s="101">
        <v>59</v>
      </c>
      <c r="M5" s="15" t="str">
        <f ca="1">VLOOKUP($L5,OFFSET([3]enemies!$A$1,0,0,COUNTA([3]enemies!$A:$A),MATCH(M$1,[3]enemies!$1:$1,0)-MATCH($L$1,[3]enemies!$1:$1,0)+1),MATCH(M$1,[3]enemies!$1:$1,0)-MATCH($L$1,[3]enemies!$1:$1,0)+1,FALSE)</f>
        <v>マーチ</v>
      </c>
      <c r="N5" s="15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5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5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32</v>
      </c>
      <c r="S5" s="20">
        <v>4</v>
      </c>
      <c r="T5" s="9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21868</v>
      </c>
      <c r="U5" s="20">
        <v>1</v>
      </c>
      <c r="V5" s="9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1690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全体に攻撃！</v>
      </c>
      <c r="Y5" s="57">
        <v>200221310</v>
      </c>
      <c r="Z5" s="6">
        <v>0</v>
      </c>
      <c r="AA5" s="6">
        <v>100</v>
      </c>
      <c r="AB5" s="6">
        <v>2</v>
      </c>
      <c r="AC5" s="15">
        <v>2</v>
      </c>
      <c r="AD5" s="102">
        <v>59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マーチ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99">
        <v>1</v>
      </c>
      <c r="AI5" s="102">
        <f t="shared" ca="1" si="3"/>
        <v>2</v>
      </c>
      <c r="AJ5" s="7">
        <v>0</v>
      </c>
      <c r="AK5" s="99">
        <v>0</v>
      </c>
      <c r="AL5" s="99">
        <v>0</v>
      </c>
      <c r="AM5" s="99">
        <v>0</v>
      </c>
      <c r="AN5" s="99">
        <v>0</v>
      </c>
      <c r="AO5" s="99">
        <v>1</v>
      </c>
      <c r="AP5" s="65">
        <v>1</v>
      </c>
    </row>
    <row r="6" spans="1:42" ht="21" customHeight="1" x14ac:dyDescent="0.15">
      <c r="A6" s="14" t="str">
        <f t="shared" si="0"/>
        <v>20022_1-3/330&lt;lv1&gt;s2</v>
      </c>
      <c r="B6" s="18">
        <v>20022</v>
      </c>
      <c r="C6" s="100">
        <v>1</v>
      </c>
      <c r="D6" s="13" t="str">
        <f t="shared" si="1"/>
        <v>20022_1</v>
      </c>
      <c r="E6" s="4" t="str">
        <f ca="1">VLOOKUP($B6,OFFSET([2]quests!$A$1,0,0,COUNTA([2]quests!$A:$A),MATCH(E$1,[2]quests!$1:$1,0)-MATCH($B$1,[2]quests!$1:$1,0)+1),MATCH(E$1,[2]quests!$1:$1,0)-MATCH($B$1,[2]quests!$1:$1,0)+1,FALSE)</f>
        <v>年を越える宴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【上級】年を越える宴（ハートなし）</v>
      </c>
      <c r="G6" s="100">
        <v>3</v>
      </c>
      <c r="H6" s="13" t="str">
        <f t="shared" si="2"/>
        <v>20022_1-3</v>
      </c>
      <c r="I6" s="4">
        <f ca="1">VLOOKUP($H6,OFFSET(floors!$A$1,0,0,COUNTA(floors!$A:$A),MATCH(I$1,floors!$1:$1,0)-MATCH($H$1,floors!$1:$1,0)+1),MATCH(I$1,floors!$1:$1,0)-MATCH($H$1,floors!$1:$1,0)+1,FALSE)</f>
        <v>35</v>
      </c>
      <c r="J6" s="4">
        <f ca="1">VLOOKUP($H6,OFFSET(floors!$A$1,0,0,COUNTA(floors!$A:$A),MATCH(J$1,floors!$1:$1,0)-MATCH($H$1,floors!$1:$1,0)+1),MATCH(J$1,floors!$1:$1,0)-MATCH($H$1,floors!$1:$1,0)+1,FALSE)</f>
        <v>35</v>
      </c>
      <c r="K6" s="33">
        <v>1</v>
      </c>
      <c r="L6" s="101">
        <v>330</v>
      </c>
      <c r="M6" s="15" t="str">
        <f ca="1">VLOOKUP($L6,OFFSET([3]enemies!$A$1,0,0,COUNTA([3]enemies!$A:$A),MATCH(M$1,[3]enemies!$1:$1,0)-MATCH($L$1,[3]enemies!$1:$1,0)+1),MATCH(M$1,[3]enemies!$1:$1,0)-MATCH($L$1,[3]enemies!$1:$1,0)+1,FALSE)</f>
        <v>UsagiChan</v>
      </c>
      <c r="N6" s="15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DropWizSSS</v>
      </c>
      <c r="P6" s="15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5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0">
        <v>3</v>
      </c>
      <c r="T6" s="9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12750</v>
      </c>
      <c r="U6" s="20">
        <v>3.5</v>
      </c>
      <c r="V6" s="9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938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子 丑 寅 卯 辰 巳 午 未 申 酉 戌 亥</v>
      </c>
      <c r="Y6" s="57">
        <v>200221300</v>
      </c>
      <c r="Z6" s="6">
        <v>0</v>
      </c>
      <c r="AA6" s="6">
        <v>100</v>
      </c>
      <c r="AB6" s="6">
        <v>2</v>
      </c>
      <c r="AC6" s="15">
        <v>2</v>
      </c>
      <c r="AD6" s="102">
        <v>122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生命の果実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6" s="99">
        <v>1</v>
      </c>
      <c r="AI6" s="102">
        <f t="shared" ca="1" si="3"/>
        <v>3</v>
      </c>
      <c r="AJ6" s="7">
        <v>100</v>
      </c>
      <c r="AK6" s="99">
        <v>0</v>
      </c>
      <c r="AL6" s="99">
        <v>0</v>
      </c>
      <c r="AM6" s="99">
        <v>0</v>
      </c>
      <c r="AN6" s="99">
        <v>0</v>
      </c>
      <c r="AO6" s="99">
        <v>1</v>
      </c>
      <c r="AP6" s="65">
        <v>1</v>
      </c>
    </row>
    <row r="7" spans="1:42" ht="21" customHeight="1" x14ac:dyDescent="0.15">
      <c r="A7" s="14" t="str">
        <f t="shared" si="0"/>
        <v>20022_1-3/330&lt;lv2&gt;s2</v>
      </c>
      <c r="B7" s="18">
        <v>20022</v>
      </c>
      <c r="C7" s="100">
        <v>1</v>
      </c>
      <c r="D7" s="13" t="str">
        <f t="shared" si="1"/>
        <v>20022_1</v>
      </c>
      <c r="E7" s="4" t="str">
        <f ca="1">VLOOKUP($B7,OFFSET([2]quests!$A$1,0,0,COUNTA([2]quests!$A:$A),MATCH(E$1,[2]quests!$1:$1,0)-MATCH($B$1,[2]quests!$1:$1,0)+1),MATCH(E$1,[2]quests!$1:$1,0)-MATCH($B$1,[2]quests!$1:$1,0)+1,FALSE)</f>
        <v>年を越える宴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【上級】年を越える宴（ハートなし）</v>
      </c>
      <c r="G7" s="100">
        <v>3</v>
      </c>
      <c r="H7" s="13" t="str">
        <f t="shared" si="2"/>
        <v>20022_1-3</v>
      </c>
      <c r="I7" s="4">
        <f ca="1">VLOOKUP($H7,OFFSET(floors!$A$1,0,0,COUNTA(floors!$A:$A),MATCH(I$1,floors!$1:$1,0)-MATCH($H$1,floors!$1:$1,0)+1),MATCH(I$1,floors!$1:$1,0)-MATCH($H$1,floors!$1:$1,0)+1,FALSE)</f>
        <v>35</v>
      </c>
      <c r="J7" s="4">
        <f ca="1">VLOOKUP($H7,OFFSET(floors!$A$1,0,0,COUNTA(floors!$A:$A),MATCH(J$1,floors!$1:$1,0)-MATCH($H$1,floors!$1:$1,0)+1),MATCH(J$1,floors!$1:$1,0)-MATCH($H$1,floors!$1:$1,0)+1,FALSE)</f>
        <v>35</v>
      </c>
      <c r="K7" s="33">
        <v>2</v>
      </c>
      <c r="L7" s="101">
        <v>330</v>
      </c>
      <c r="M7" s="15" t="str">
        <f ca="1">VLOOKUP($L7,OFFSET([3]enemies!$A$1,0,0,COUNTA([3]enemies!$A:$A),MATCH(M$1,[3]enemies!$1:$1,0)-MATCH($L$1,[3]enemies!$1:$1,0)+1),MATCH(M$1,[3]enemies!$1:$1,0)-MATCH($L$1,[3]enemies!$1:$1,0)+1,FALSE)</f>
        <v>UsagiChan</v>
      </c>
      <c r="N7" s="15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DropWizSSS</v>
      </c>
      <c r="P7" s="15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5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2</v>
      </c>
      <c r="S7" s="20">
        <v>3</v>
      </c>
      <c r="T7" s="98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17850</v>
      </c>
      <c r="U7" s="20">
        <v>3.5</v>
      </c>
      <c r="V7" s="98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1312.5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子 丑 寅 卯 辰 巳 午 未 申 酉 戌 亥</v>
      </c>
      <c r="Y7" s="57">
        <v>200221300</v>
      </c>
      <c r="Z7" s="6">
        <v>0</v>
      </c>
      <c r="AA7" s="6">
        <v>100</v>
      </c>
      <c r="AB7" s="6">
        <v>2</v>
      </c>
      <c r="AC7" s="15">
        <v>2</v>
      </c>
      <c r="AD7" s="102">
        <v>123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癒しの果実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7" s="99">
        <v>1</v>
      </c>
      <c r="AI7" s="102">
        <f t="shared" ca="1" si="3"/>
        <v>3</v>
      </c>
      <c r="AJ7" s="7">
        <v>100</v>
      </c>
      <c r="AK7" s="99">
        <v>0</v>
      </c>
      <c r="AL7" s="99">
        <v>0</v>
      </c>
      <c r="AM7" s="99">
        <v>0</v>
      </c>
      <c r="AN7" s="99">
        <v>0</v>
      </c>
      <c r="AO7" s="99">
        <v>1</v>
      </c>
      <c r="AP7" s="65">
        <v>1</v>
      </c>
    </row>
    <row r="8" spans="1:42" ht="21" customHeight="1" x14ac:dyDescent="0.15">
      <c r="A8" s="14" t="str">
        <f t="shared" si="0"/>
        <v>20022_1-3/330&lt;lv3&gt;s2</v>
      </c>
      <c r="B8" s="18">
        <v>20022</v>
      </c>
      <c r="C8" s="100">
        <v>1</v>
      </c>
      <c r="D8" s="13" t="str">
        <f t="shared" si="1"/>
        <v>20022_1</v>
      </c>
      <c r="E8" s="4" t="str">
        <f ca="1">VLOOKUP($B8,OFFSET([2]quests!$A$1,0,0,COUNTA([2]quests!$A:$A),MATCH(E$1,[2]quests!$1:$1,0)-MATCH($B$1,[2]quests!$1:$1,0)+1),MATCH(E$1,[2]quests!$1:$1,0)-MATCH($B$1,[2]quests!$1:$1,0)+1,FALSE)</f>
        <v>年を越える宴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【上級】年を越える宴（ハートなし）</v>
      </c>
      <c r="G8" s="100">
        <v>3</v>
      </c>
      <c r="H8" s="13" t="str">
        <f t="shared" si="2"/>
        <v>20022_1-3</v>
      </c>
      <c r="I8" s="4">
        <f ca="1">VLOOKUP($H8,OFFSET(floors!$A$1,0,0,COUNTA(floors!$A:$A),MATCH(I$1,floors!$1:$1,0)-MATCH($H$1,floors!$1:$1,0)+1),MATCH(I$1,floors!$1:$1,0)-MATCH($H$1,floors!$1:$1,0)+1,FALSE)</f>
        <v>35</v>
      </c>
      <c r="J8" s="4">
        <f ca="1">VLOOKUP($H8,OFFSET(floors!$A$1,0,0,COUNTA(floors!$A:$A),MATCH(J$1,floors!$1:$1,0)-MATCH($H$1,floors!$1:$1,0)+1),MATCH(J$1,floors!$1:$1,0)-MATCH($H$1,floors!$1:$1,0)+1,FALSE)</f>
        <v>35</v>
      </c>
      <c r="K8" s="33">
        <v>3</v>
      </c>
      <c r="L8" s="101">
        <v>330</v>
      </c>
      <c r="M8" s="15" t="str">
        <f ca="1">VLOOKUP($L8,OFFSET([3]enemies!$A$1,0,0,COUNTA([3]enemies!$A:$A),MATCH(M$1,[3]enemies!$1:$1,0)-MATCH($L$1,[3]enemies!$1:$1,0)+1),MATCH(M$1,[3]enemies!$1:$1,0)-MATCH($L$1,[3]enemies!$1:$1,0)+1,FALSE)</f>
        <v>UsagiChan</v>
      </c>
      <c r="N8" s="15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5" t="str">
        <f ca="1">VLOOKUP($L8,OFFSET([4]characters!$A$1,0,0,COUNTA([4]characters!$A:$A),MATCH(O$1,[4]characters!$1:$1,0)-MATCH($L$1,[4]characters!$1:$1,0)+1),MATCH(O$1,[4]characters!$1:$1,0)-MATCH($L$1,[4]characters!$1:$1,0)+1,FALSE)</f>
        <v>DropWizSSS</v>
      </c>
      <c r="P8" s="15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5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3</v>
      </c>
      <c r="S8" s="20">
        <v>3</v>
      </c>
      <c r="T8" s="9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22950</v>
      </c>
      <c r="U8" s="20">
        <v>3.5</v>
      </c>
      <c r="V8" s="9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1687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子 丑 寅 卯 辰 巳 午 未 申 酉 戌 亥</v>
      </c>
      <c r="Y8" s="57">
        <v>200221300</v>
      </c>
      <c r="Z8" s="6">
        <v>0</v>
      </c>
      <c r="AA8" s="6">
        <v>100</v>
      </c>
      <c r="AB8" s="6">
        <v>2</v>
      </c>
      <c r="AC8" s="15">
        <v>2</v>
      </c>
      <c r="AD8" s="102">
        <v>121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攻めの果実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8" s="99">
        <v>1</v>
      </c>
      <c r="AI8" s="102">
        <f t="shared" ca="1" si="3"/>
        <v>3</v>
      </c>
      <c r="AJ8" s="7">
        <v>100</v>
      </c>
      <c r="AK8" s="99">
        <v>0</v>
      </c>
      <c r="AL8" s="99">
        <v>0</v>
      </c>
      <c r="AM8" s="99">
        <v>0</v>
      </c>
      <c r="AN8" s="99">
        <v>0</v>
      </c>
      <c r="AO8" s="99">
        <v>1</v>
      </c>
      <c r="AP8" s="65">
        <v>1</v>
      </c>
    </row>
    <row r="9" spans="1:42" ht="21" customHeight="1" x14ac:dyDescent="0.15">
      <c r="A9" s="14" t="str">
        <f t="shared" si="0"/>
        <v>20022_1-3/91&lt;lv32&gt;s4</v>
      </c>
      <c r="B9" s="18">
        <v>20022</v>
      </c>
      <c r="C9" s="100">
        <v>1</v>
      </c>
      <c r="D9" s="13" t="str">
        <f t="shared" si="1"/>
        <v>20022_1</v>
      </c>
      <c r="E9" s="4" t="str">
        <f ca="1">VLOOKUP($B9,OFFSET([2]quests!$A$1,0,0,COUNTA([2]quests!$A:$A),MATCH(E$1,[2]quests!$1:$1,0)-MATCH($B$1,[2]quests!$1:$1,0)+1),MATCH(E$1,[2]quests!$1:$1,0)-MATCH($B$1,[2]quests!$1:$1,0)+1,FALSE)</f>
        <v>年を越える宴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【上級】年を越える宴（ハートなし）</v>
      </c>
      <c r="G9" s="100">
        <v>3</v>
      </c>
      <c r="H9" s="13" t="str">
        <f t="shared" si="2"/>
        <v>20022_1-3</v>
      </c>
      <c r="I9" s="4">
        <f ca="1">VLOOKUP($H9,OFFSET(floors!$A$1,0,0,COUNTA(floors!$A:$A),MATCH(I$1,floors!$1:$1,0)-MATCH($H$1,floors!$1:$1,0)+1),MATCH(I$1,floors!$1:$1,0)-MATCH($H$1,floors!$1:$1,0)+1,FALSE)</f>
        <v>35</v>
      </c>
      <c r="J9" s="4">
        <f ca="1">VLOOKUP($H9,OFFSET(floors!$A$1,0,0,COUNTA(floors!$A:$A),MATCH(J$1,floors!$1:$1,0)-MATCH($H$1,floors!$1:$1,0)+1),MATCH(J$1,floors!$1:$1,0)-MATCH($H$1,floors!$1:$1,0)+1,FALSE)</f>
        <v>35</v>
      </c>
      <c r="K9" s="33" t="s">
        <v>53</v>
      </c>
      <c r="L9" s="101">
        <v>91</v>
      </c>
      <c r="M9" s="15" t="str">
        <f ca="1">VLOOKUP($L9,OFFSET([3]enemies!$A$1,0,0,COUNTA([3]enemies!$A:$A),MATCH(M$1,[3]enemies!$1:$1,0)-MATCH($L$1,[3]enemies!$1:$1,0)+1),MATCH(M$1,[3]enemies!$1:$1,0)-MATCH($L$1,[3]enemies!$1:$1,0)+1,FALSE)</f>
        <v>青龍</v>
      </c>
      <c r="N9" s="15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5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5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5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32</v>
      </c>
      <c r="S9" s="20">
        <v>0.5</v>
      </c>
      <c r="T9" s="98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21189</v>
      </c>
      <c r="U9" s="20">
        <v>0.6</v>
      </c>
      <c r="V9" s="98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2028</v>
      </c>
      <c r="W9" s="5">
        <v>0</v>
      </c>
      <c r="X9" s="4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57">
        <v>0</v>
      </c>
      <c r="Z9" s="6">
        <v>1</v>
      </c>
      <c r="AA9" s="6">
        <v>100</v>
      </c>
      <c r="AB9" s="6">
        <v>1</v>
      </c>
      <c r="AC9" s="15">
        <v>4</v>
      </c>
      <c r="AD9" s="102">
        <v>91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青龍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99">
        <v>1</v>
      </c>
      <c r="AI9" s="102">
        <f t="shared" ca="1" si="3"/>
        <v>3</v>
      </c>
      <c r="AJ9" s="7">
        <v>0</v>
      </c>
      <c r="AK9" s="99">
        <v>0</v>
      </c>
      <c r="AL9" s="99">
        <v>0</v>
      </c>
      <c r="AM9" s="99">
        <v>0</v>
      </c>
      <c r="AN9" s="99">
        <v>0</v>
      </c>
      <c r="AO9" s="99">
        <v>1</v>
      </c>
      <c r="AP9" s="65">
        <v>1</v>
      </c>
    </row>
    <row r="10" spans="1:42" ht="21" customHeight="1" x14ac:dyDescent="0.15">
      <c r="A10" s="14" t="str">
        <f t="shared" si="0"/>
        <v>20022_1-4/383&lt;lv32&gt;s3</v>
      </c>
      <c r="B10" s="18">
        <v>20022</v>
      </c>
      <c r="C10" s="100">
        <v>1</v>
      </c>
      <c r="D10" s="13" t="str">
        <f t="shared" si="1"/>
        <v>20022_1</v>
      </c>
      <c r="E10" s="4" t="str">
        <f ca="1">VLOOKUP($B10,OFFSET([2]quests!$A$1,0,0,COUNTA([2]quests!$A:$A),MATCH(E$1,[2]quests!$1:$1,0)-MATCH($B$1,[2]quests!$1:$1,0)+1),MATCH(E$1,[2]quests!$1:$1,0)-MATCH($B$1,[2]quests!$1:$1,0)+1,FALSE)</f>
        <v>年を越える宴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【上級】年を越える宴（ハートなし）</v>
      </c>
      <c r="G10" s="100">
        <v>4</v>
      </c>
      <c r="H10" s="13" t="str">
        <f t="shared" si="2"/>
        <v>20022_1-4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3" t="s">
        <v>53</v>
      </c>
      <c r="L10" s="101">
        <v>383</v>
      </c>
      <c r="M10" s="15" t="str">
        <f ca="1">VLOOKUP($L10,OFFSET([3]enemies!$A$1,0,0,COUNTA([3]enemies!$A:$A),MATCH(M$1,[3]enemies!$1:$1,0)-MATCH($L$1,[3]enemies!$1:$1,0)+1),MATCH(M$1,[3]enemies!$1:$1,0)-MATCH($L$1,[3]enemies!$1:$1,0)+1,FALSE)</f>
        <v>酒宴の蟒蛇 ヤマタノオロチ</v>
      </c>
      <c r="N10" s="15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5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5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5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32</v>
      </c>
      <c r="S10" s="20">
        <v>0.4</v>
      </c>
      <c r="T10" s="98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29628.800000000003</v>
      </c>
      <c r="U10" s="20">
        <v>0.6</v>
      </c>
      <c r="V10" s="98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1867.8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3ターンの間 攻撃を受けるとカウンター！</v>
      </c>
      <c r="Y10" s="57">
        <v>200221400</v>
      </c>
      <c r="Z10" s="6">
        <v>1</v>
      </c>
      <c r="AA10" s="6">
        <v>100</v>
      </c>
      <c r="AB10" s="6">
        <v>0</v>
      </c>
      <c r="AC10" s="15">
        <v>3</v>
      </c>
      <c r="AD10" s="102">
        <v>383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酒宴の蟒蛇 ヤマタノオロチ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0" s="99">
        <v>1</v>
      </c>
      <c r="AI10" s="102">
        <f t="shared" ca="1" si="3"/>
        <v>4</v>
      </c>
      <c r="AJ10" s="7">
        <v>0</v>
      </c>
      <c r="AK10" s="99">
        <v>0</v>
      </c>
      <c r="AL10" s="99">
        <v>0</v>
      </c>
      <c r="AM10" s="99">
        <v>0</v>
      </c>
      <c r="AN10" s="99">
        <v>0</v>
      </c>
      <c r="AO10" s="99">
        <v>1</v>
      </c>
      <c r="AP10" s="65">
        <v>1</v>
      </c>
    </row>
    <row r="11" spans="1:42" ht="21" customHeight="1" x14ac:dyDescent="0.15">
      <c r="A11" s="14" t="str">
        <f t="shared" si="0"/>
        <v>20022_1-4/264&lt;lv32&gt;s1</v>
      </c>
      <c r="B11" s="18">
        <v>20022</v>
      </c>
      <c r="C11" s="100">
        <v>1</v>
      </c>
      <c r="D11" s="13" t="str">
        <f t="shared" si="1"/>
        <v>20022_1</v>
      </c>
      <c r="E11" s="4" t="str">
        <f ca="1">VLOOKUP($B11,OFFSET([2]quests!$A$1,0,0,COUNTA([2]quests!$A:$A),MATCH(E$1,[2]quests!$1:$1,0)-MATCH($B$1,[2]quests!$1:$1,0)+1),MATCH(E$1,[2]quests!$1:$1,0)-MATCH($B$1,[2]quests!$1:$1,0)+1,FALSE)</f>
        <v>年を越える宴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【上級】年を越える宴（ハートなし）</v>
      </c>
      <c r="G11" s="100">
        <v>4</v>
      </c>
      <c r="H11" s="13" t="str">
        <f t="shared" si="2"/>
        <v>20022_1-4</v>
      </c>
      <c r="I11" s="4">
        <f ca="1">VLOOKUP($H11,OFFSET(floors!$A$1,0,0,COUNTA(floors!$A:$A),MATCH(I$1,floors!$1:$1,0)-MATCH($H$1,floors!$1:$1,0)+1),MATCH(I$1,floors!$1:$1,0)-MATCH($H$1,floors!$1:$1,0)+1,FALSE)</f>
        <v>40</v>
      </c>
      <c r="J11" s="4">
        <f ca="1">VLOOKUP($H11,OFFSET(floors!$A$1,0,0,COUNTA(floors!$A:$A),MATCH(J$1,floors!$1:$1,0)-MATCH($H$1,floors!$1:$1,0)+1),MATCH(J$1,floors!$1:$1,0)-MATCH($H$1,floors!$1:$1,0)+1,FALSE)</f>
        <v>40</v>
      </c>
      <c r="K11" s="33" t="s">
        <v>53</v>
      </c>
      <c r="L11" s="101">
        <v>264</v>
      </c>
      <c r="M11" s="15" t="str">
        <f ca="1">VLOOKUP($L11,OFFSET([3]enemies!$A$1,0,0,COUNTA([3]enemies!$A:$A),MATCH(M$1,[3]enemies!$1:$1,0)-MATCH($L$1,[3]enemies!$1:$1,0)+1),MATCH(M$1,[3]enemies!$1:$1,0)-MATCH($L$1,[3]enemies!$1:$1,0)+1,FALSE)</f>
        <v>ユニコーン</v>
      </c>
      <c r="N11" s="15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5" t="str">
        <f ca="1">VLOOKUP($L11,OFFSET([4]characters!$A$1,0,0,COUNTA([4]characters!$A:$A),MATCH(O$1,[4]characters!$1:$1,0)-MATCH($L$1,[4]characters!$1:$1,0)+1),MATCH(O$1,[4]characters!$1:$1,0)-MATCH($L$1,[4]characters!$1:$1,0)+1,FALSE)</f>
        <v>Drop2W</v>
      </c>
      <c r="P11" s="15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5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32</v>
      </c>
      <c r="S11" s="20">
        <v>0.5</v>
      </c>
      <c r="T11" s="98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27250.5</v>
      </c>
      <c r="U11" s="20">
        <v>0.6</v>
      </c>
      <c r="V11" s="98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1723.8</v>
      </c>
      <c r="W11" s="5">
        <v>0</v>
      </c>
      <c r="X11" s="4" t="e">
        <f ca="1">VLOOKUP($Y11,OFFSET(enemy_skill_sets!$B$1,0,0,COUNTA(enemy_skill_sets!$B:$B),MATCH(M$1,enemy_skill_sets!$1:$1,0)-MATCH($Y$1,enemy_skill_sets!$1:$1,0)+2),MATCH(M$1,enemy_skill_sets!$1:$1,0)-MATCH($Y$1,enemy_skill_sets!$1:$1,0)+2,FALSE)</f>
        <v>#N/A</v>
      </c>
      <c r="Y11" s="57">
        <v>0</v>
      </c>
      <c r="Z11" s="6">
        <v>1</v>
      </c>
      <c r="AA11" s="6">
        <v>100</v>
      </c>
      <c r="AB11" s="6">
        <v>0</v>
      </c>
      <c r="AC11" s="15">
        <v>1</v>
      </c>
      <c r="AD11" s="102">
        <v>264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ユニコーン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Drop2W</v>
      </c>
      <c r="AH11" s="99">
        <v>1</v>
      </c>
      <c r="AI11" s="102">
        <f t="shared" ca="1" si="3"/>
        <v>3</v>
      </c>
      <c r="AJ11" s="7">
        <v>0</v>
      </c>
      <c r="AK11" s="99">
        <v>0</v>
      </c>
      <c r="AL11" s="99">
        <v>0</v>
      </c>
      <c r="AM11" s="99">
        <v>0</v>
      </c>
      <c r="AN11" s="99">
        <v>0</v>
      </c>
      <c r="AO11" s="99">
        <v>1</v>
      </c>
      <c r="AP11" s="65">
        <v>1</v>
      </c>
    </row>
    <row r="12" spans="1:42" ht="21" customHeight="1" x14ac:dyDescent="0.15">
      <c r="A12" s="14" t="str">
        <f t="shared" si="0"/>
        <v>20022_1-5/33&lt;lv32&gt;s2</v>
      </c>
      <c r="B12" s="18">
        <v>20022</v>
      </c>
      <c r="C12" s="100">
        <v>1</v>
      </c>
      <c r="D12" s="13" t="str">
        <f t="shared" si="1"/>
        <v>20022_1</v>
      </c>
      <c r="E12" s="4" t="str">
        <f ca="1">VLOOKUP($B12,OFFSET([2]quests!$A$1,0,0,COUNTA([2]quests!$A:$A),MATCH(E$1,[2]quests!$1:$1,0)-MATCH($B$1,[2]quests!$1:$1,0)+1),MATCH(E$1,[2]quests!$1:$1,0)-MATCH($B$1,[2]quests!$1:$1,0)+1,FALSE)</f>
        <v>年を越える宴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【上級】年を越える宴（ハートなし）</v>
      </c>
      <c r="G12" s="100">
        <v>5</v>
      </c>
      <c r="H12" s="13" t="str">
        <f t="shared" si="2"/>
        <v>20022_1-5</v>
      </c>
      <c r="I12" s="4">
        <f ca="1">VLOOKUP($H12,OFFSET(floors!$A$1,0,0,COUNTA(floors!$A:$A),MATCH(I$1,floors!$1:$1,0)-MATCH($H$1,floors!$1:$1,0)+1),MATCH(I$1,floors!$1:$1,0)-MATCH($H$1,floors!$1:$1,0)+1,FALSE)</f>
        <v>70</v>
      </c>
      <c r="J12" s="4">
        <f ca="1">VLOOKUP($H12,OFFSET(floors!$A$1,0,0,COUNTA(floors!$A:$A),MATCH(J$1,floors!$1:$1,0)-MATCH($H$1,floors!$1:$1,0)+1),MATCH(J$1,floors!$1:$1,0)-MATCH($H$1,floors!$1:$1,0)+1,FALSE)</f>
        <v>70</v>
      </c>
      <c r="K12" s="33" t="s">
        <v>53</v>
      </c>
      <c r="L12" s="101">
        <v>33</v>
      </c>
      <c r="M12" s="15" t="str">
        <f ca="1">VLOOKUP($L12,OFFSET([3]enemies!$A$1,0,0,COUNTA([3]enemies!$A:$A),MATCH(M$1,[3]enemies!$1:$1,0)-MATCH($L$1,[3]enemies!$1:$1,0)+1),MATCH(M$1,[3]enemies!$1:$1,0)-MATCH($L$1,[3]enemies!$1:$1,0)+1,FALSE)</f>
        <v>ゴクウ</v>
      </c>
      <c r="N12" s="15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5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5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5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32</v>
      </c>
      <c r="S12" s="20">
        <v>1</v>
      </c>
      <c r="T12" s="98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6700</v>
      </c>
      <c r="U12" s="20">
        <v>0.6</v>
      </c>
      <c r="V12" s="98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1799.3999999999999</v>
      </c>
      <c r="W12" s="5">
        <v>0</v>
      </c>
      <c r="X12" s="4" t="e">
        <f ca="1">VLOOKUP($Y12,OFFSET(enemy_skill_sets!$B$1,0,0,COUNTA(enemy_skill_sets!$B:$B),MATCH(M$1,enemy_skill_sets!$1:$1,0)-MATCH($Y$1,enemy_skill_sets!$1:$1,0)+2),MATCH(M$1,enemy_skill_sets!$1:$1,0)-MATCH($Y$1,enemy_skill_sets!$1:$1,0)+2,FALSE)</f>
        <v>#N/A</v>
      </c>
      <c r="Y12" s="57">
        <v>0</v>
      </c>
      <c r="Z12" s="6">
        <v>1</v>
      </c>
      <c r="AA12" s="6">
        <v>100</v>
      </c>
      <c r="AB12" s="6">
        <v>0</v>
      </c>
      <c r="AC12" s="15">
        <v>2</v>
      </c>
      <c r="AD12" s="102">
        <v>33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99">
        <v>1</v>
      </c>
      <c r="AI12" s="102">
        <f t="shared" ca="1" si="3"/>
        <v>2</v>
      </c>
      <c r="AJ12" s="7">
        <v>0</v>
      </c>
      <c r="AK12" s="99">
        <v>0</v>
      </c>
      <c r="AL12" s="99">
        <v>0</v>
      </c>
      <c r="AM12" s="99">
        <v>0</v>
      </c>
      <c r="AN12" s="99">
        <v>0</v>
      </c>
      <c r="AO12" s="99">
        <v>1</v>
      </c>
      <c r="AP12" s="65">
        <v>1</v>
      </c>
    </row>
    <row r="13" spans="1:42" ht="21" customHeight="1" x14ac:dyDescent="0.15">
      <c r="A13" s="14" t="str">
        <f t="shared" si="0"/>
        <v>20022_1-5/85&lt;lv32&gt;s3</v>
      </c>
      <c r="B13" s="18">
        <v>20022</v>
      </c>
      <c r="C13" s="100">
        <v>1</v>
      </c>
      <c r="D13" s="13" t="str">
        <f t="shared" si="1"/>
        <v>20022_1</v>
      </c>
      <c r="E13" s="4" t="str">
        <f ca="1">VLOOKUP($B13,OFFSET([2]quests!$A$1,0,0,COUNTA([2]quests!$A:$A),MATCH(E$1,[2]quests!$1:$1,0)-MATCH($B$1,[2]quests!$1:$1,0)+1),MATCH(E$1,[2]quests!$1:$1,0)-MATCH($B$1,[2]quests!$1:$1,0)+1,FALSE)</f>
        <v>年を越える宴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【上級】年を越える宴（ハートなし）</v>
      </c>
      <c r="G13" s="100">
        <v>5</v>
      </c>
      <c r="H13" s="13" t="str">
        <f t="shared" si="2"/>
        <v>20022_1-5</v>
      </c>
      <c r="I13" s="4">
        <f ca="1">VLOOKUP($H13,OFFSET(floors!$A$1,0,0,COUNTA(floors!$A:$A),MATCH(I$1,floors!$1:$1,0)-MATCH($H$1,floors!$1:$1,0)+1),MATCH(I$1,floors!$1:$1,0)-MATCH($H$1,floors!$1:$1,0)+1,FALSE)</f>
        <v>70</v>
      </c>
      <c r="J13" s="4">
        <f ca="1">VLOOKUP($H13,OFFSET(floors!$A$1,0,0,COUNTA(floors!$A:$A),MATCH(J$1,floors!$1:$1,0)-MATCH($H$1,floors!$1:$1,0)+1),MATCH(J$1,floors!$1:$1,0)-MATCH($H$1,floors!$1:$1,0)+1,FALSE)</f>
        <v>70</v>
      </c>
      <c r="K13" s="33" t="s">
        <v>53</v>
      </c>
      <c r="L13" s="101">
        <v>85</v>
      </c>
      <c r="M13" s="15" t="str">
        <f ca="1">VLOOKUP($L13,OFFSET([3]enemies!$A$1,0,0,COUNTA([3]enemies!$A:$A),MATCH(M$1,[3]enemies!$1:$1,0)-MATCH($L$1,[3]enemies!$1:$1,0)+1),MATCH(M$1,[3]enemies!$1:$1,0)-MATCH($L$1,[3]enemies!$1:$1,0)+1,FALSE)</f>
        <v>朱雀</v>
      </c>
      <c r="N13" s="15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5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5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5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32</v>
      </c>
      <c r="S13" s="20">
        <v>0.6</v>
      </c>
      <c r="T13" s="98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28743</v>
      </c>
      <c r="U13" s="20">
        <v>1</v>
      </c>
      <c r="V13" s="98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2815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干支の順が 完成できない！</v>
      </c>
      <c r="Y13" s="57">
        <v>200221510</v>
      </c>
      <c r="Z13" s="6">
        <v>1</v>
      </c>
      <c r="AA13" s="6">
        <v>100</v>
      </c>
      <c r="AB13" s="6">
        <v>1</v>
      </c>
      <c r="AC13" s="15">
        <v>3</v>
      </c>
      <c r="AD13" s="102">
        <v>85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朱雀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3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99">
        <v>1</v>
      </c>
      <c r="AI13" s="102">
        <f t="shared" ca="1" si="3"/>
        <v>3</v>
      </c>
      <c r="AJ13" s="7">
        <v>0</v>
      </c>
      <c r="AK13" s="99">
        <v>0</v>
      </c>
      <c r="AL13" s="99">
        <v>0</v>
      </c>
      <c r="AM13" s="99">
        <v>0</v>
      </c>
      <c r="AN13" s="99">
        <v>0</v>
      </c>
      <c r="AO13" s="99">
        <v>1</v>
      </c>
      <c r="AP13" s="65">
        <v>1</v>
      </c>
    </row>
    <row r="14" spans="1:42" ht="21" customHeight="1" x14ac:dyDescent="0.15">
      <c r="A14" s="14" t="str">
        <f t="shared" si="0"/>
        <v>20022_1-5/25&lt;lv32&gt;s2</v>
      </c>
      <c r="B14" s="18">
        <v>20022</v>
      </c>
      <c r="C14" s="100">
        <v>1</v>
      </c>
      <c r="D14" s="13" t="str">
        <f t="shared" si="1"/>
        <v>20022_1</v>
      </c>
      <c r="E14" s="4" t="str">
        <f ca="1">VLOOKUP($B14,OFFSET([2]quests!$A$1,0,0,COUNTA([2]quests!$A:$A),MATCH(E$1,[2]quests!$1:$1,0)-MATCH($B$1,[2]quests!$1:$1,0)+1),MATCH(E$1,[2]quests!$1:$1,0)-MATCH($B$1,[2]quests!$1:$1,0)+1,FALSE)</f>
        <v>年を越える宴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【上級】年を越える宴（ハートなし）</v>
      </c>
      <c r="G14" s="100">
        <v>5</v>
      </c>
      <c r="H14" s="13" t="str">
        <f t="shared" si="2"/>
        <v>20022_1-5</v>
      </c>
      <c r="I14" s="4">
        <f ca="1">VLOOKUP($H14,OFFSET(floors!$A$1,0,0,COUNTA(floors!$A:$A),MATCH(I$1,floors!$1:$1,0)-MATCH($H$1,floors!$1:$1,0)+1),MATCH(I$1,floors!$1:$1,0)-MATCH($H$1,floors!$1:$1,0)+1,FALSE)</f>
        <v>70</v>
      </c>
      <c r="J14" s="4">
        <f ca="1">VLOOKUP($H14,OFFSET(floors!$A$1,0,0,COUNTA(floors!$A:$A),MATCH(J$1,floors!$1:$1,0)-MATCH($H$1,floors!$1:$1,0)+1),MATCH(J$1,floors!$1:$1,0)-MATCH($H$1,floors!$1:$1,0)+1,FALSE)</f>
        <v>70</v>
      </c>
      <c r="K14" s="33" t="s">
        <v>53</v>
      </c>
      <c r="L14" s="101">
        <v>25</v>
      </c>
      <c r="M14" s="15" t="str">
        <f ca="1">VLOOKUP($L14,OFFSET([3]enemies!$A$1,0,0,COUNTA([3]enemies!$A:$A),MATCH(M$1,[3]enemies!$1:$1,0)-MATCH($L$1,[3]enemies!$1:$1,0)+1),MATCH(M$1,[3]enemies!$1:$1,0)-MATCH($L$1,[3]enemies!$1:$1,0)+1,FALSE)</f>
        <v>ハチ</v>
      </c>
      <c r="N14" s="15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5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5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5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32</v>
      </c>
      <c r="S14" s="20">
        <v>1</v>
      </c>
      <c r="T14" s="98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9715</v>
      </c>
      <c r="U14" s="20">
        <v>0.6</v>
      </c>
      <c r="V14" s="98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1105.2</v>
      </c>
      <c r="W14" s="5">
        <v>0</v>
      </c>
      <c r="X14" s="4" t="e">
        <f ca="1">VLOOKUP($Y14,OFFSET(enemy_skill_sets!$B$1,0,0,COUNTA(enemy_skill_sets!$B:$B),MATCH(M$1,enemy_skill_sets!$1:$1,0)-MATCH($Y$1,enemy_skill_sets!$1:$1,0)+2),MATCH(M$1,enemy_skill_sets!$1:$1,0)-MATCH($Y$1,enemy_skill_sets!$1:$1,0)+2,FALSE)</f>
        <v>#N/A</v>
      </c>
      <c r="Y14" s="57">
        <v>0</v>
      </c>
      <c r="Z14" s="6">
        <v>1</v>
      </c>
      <c r="AA14" s="6">
        <v>100</v>
      </c>
      <c r="AB14" s="6">
        <v>0</v>
      </c>
      <c r="AC14" s="15">
        <v>2</v>
      </c>
      <c r="AD14" s="102">
        <v>25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ハチ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1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Drop1N</v>
      </c>
      <c r="AH14" s="99">
        <v>1</v>
      </c>
      <c r="AI14" s="102">
        <f t="shared" ca="1" si="3"/>
        <v>1</v>
      </c>
      <c r="AJ14" s="7">
        <v>0</v>
      </c>
      <c r="AK14" s="99">
        <v>0</v>
      </c>
      <c r="AL14" s="99">
        <v>0</v>
      </c>
      <c r="AM14" s="99">
        <v>0</v>
      </c>
      <c r="AN14" s="99">
        <v>0</v>
      </c>
      <c r="AO14" s="99">
        <v>1</v>
      </c>
      <c r="AP14" s="65">
        <v>1</v>
      </c>
    </row>
    <row r="15" spans="1:42" ht="21" customHeight="1" x14ac:dyDescent="0.15">
      <c r="A15" s="14" t="str">
        <f t="shared" si="0"/>
        <v>20022_1-5/376&lt;lv32&gt;s3</v>
      </c>
      <c r="B15" s="18">
        <v>20022</v>
      </c>
      <c r="C15" s="100">
        <v>1</v>
      </c>
      <c r="D15" s="13" t="str">
        <f t="shared" si="1"/>
        <v>20022_1</v>
      </c>
      <c r="E15" s="4" t="str">
        <f ca="1">VLOOKUP($B15,OFFSET([2]quests!$A$1,0,0,COUNTA([2]quests!$A:$A),MATCH(E$1,[2]quests!$1:$1,0)-MATCH($B$1,[2]quests!$1:$1,0)+1),MATCH(E$1,[2]quests!$1:$1,0)-MATCH($B$1,[2]quests!$1:$1,0)+1,FALSE)</f>
        <v>年を越える宴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【上級】年を越える宴（ハートなし）</v>
      </c>
      <c r="G15" s="100">
        <v>5</v>
      </c>
      <c r="H15" s="13" t="str">
        <f t="shared" si="2"/>
        <v>20022_1-5</v>
      </c>
      <c r="I15" s="4">
        <f ca="1">VLOOKUP($H15,OFFSET(floors!$A$1,0,0,COUNTA(floors!$A:$A),MATCH(I$1,floors!$1:$1,0)-MATCH($H$1,floors!$1:$1,0)+1),MATCH(I$1,floors!$1:$1,0)-MATCH($H$1,floors!$1:$1,0)+1,FALSE)</f>
        <v>70</v>
      </c>
      <c r="J15" s="4">
        <f ca="1">VLOOKUP($H15,OFFSET(floors!$A$1,0,0,COUNTA(floors!$A:$A),MATCH(J$1,floors!$1:$1,0)-MATCH($H$1,floors!$1:$1,0)+1),MATCH(J$1,floors!$1:$1,0)-MATCH($H$1,floors!$1:$1,0)+1,FALSE)</f>
        <v>70</v>
      </c>
      <c r="K15" s="33" t="s">
        <v>53</v>
      </c>
      <c r="L15" s="101">
        <v>376</v>
      </c>
      <c r="M15" s="15" t="str">
        <f ca="1">VLOOKUP($L15,OFFSET([3]enemies!$A$1,0,0,COUNTA([3]enemies!$A:$A),MATCH(M$1,[3]enemies!$1:$1,0)-MATCH($L$1,[3]enemies!$1:$1,0)+1),MATCH(M$1,[3]enemies!$1:$1,0)-MATCH($L$1,[3]enemies!$1:$1,0)+1,FALSE)</f>
        <v>勘兵衛</v>
      </c>
      <c r="N15" s="15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5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5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5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32</v>
      </c>
      <c r="S15" s="20">
        <v>1</v>
      </c>
      <c r="T15" s="98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35456</v>
      </c>
      <c r="U15" s="20">
        <v>0.9</v>
      </c>
      <c r="V15" s="98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2939.4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ALICEに 羊ユニットはいない！</v>
      </c>
      <c r="Y15" s="57">
        <v>200221530</v>
      </c>
      <c r="Z15" s="6">
        <v>1</v>
      </c>
      <c r="AA15" s="6">
        <v>100</v>
      </c>
      <c r="AB15" s="6">
        <v>1</v>
      </c>
      <c r="AC15" s="15">
        <v>3</v>
      </c>
      <c r="AD15" s="102">
        <v>376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勘兵衛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3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Drop1S</v>
      </c>
      <c r="AH15" s="107">
        <v>40</v>
      </c>
      <c r="AI15" s="102">
        <f t="shared" ca="1" si="3"/>
        <v>3</v>
      </c>
      <c r="AJ15" s="7">
        <v>100</v>
      </c>
      <c r="AK15" s="99">
        <v>0</v>
      </c>
      <c r="AL15" s="99">
        <v>0</v>
      </c>
      <c r="AM15" s="99">
        <v>0</v>
      </c>
      <c r="AN15" s="99">
        <v>0</v>
      </c>
      <c r="AO15" s="99">
        <v>1</v>
      </c>
      <c r="AP15" s="65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customWidth="1" outlineLevel="1"/>
    <col min="27" max="27" width="9.33203125" style="3" bestFit="1" customWidth="1"/>
    <col min="28" max="16384" width="13" style="3"/>
  </cols>
  <sheetData>
    <row r="1" spans="1:27" s="30" customFormat="1" ht="21" customHeight="1" x14ac:dyDescent="0.15">
      <c r="A1" s="22" t="s">
        <v>29</v>
      </c>
      <c r="B1" s="23" t="s">
        <v>0</v>
      </c>
      <c r="C1" s="23" t="s">
        <v>1</v>
      </c>
      <c r="D1" s="24" t="s">
        <v>28</v>
      </c>
      <c r="E1" s="25" t="s">
        <v>16</v>
      </c>
      <c r="F1" s="25" t="s">
        <v>16</v>
      </c>
      <c r="G1" s="23" t="s">
        <v>19</v>
      </c>
      <c r="H1" s="24" t="s">
        <v>30</v>
      </c>
      <c r="I1" s="24" t="s">
        <v>14</v>
      </c>
      <c r="J1" s="24" t="s">
        <v>15</v>
      </c>
      <c r="K1" s="31" t="s">
        <v>54</v>
      </c>
      <c r="L1" s="31" t="s">
        <v>55</v>
      </c>
      <c r="M1" s="32" t="s">
        <v>2</v>
      </c>
      <c r="N1" s="26" t="s">
        <v>16</v>
      </c>
      <c r="O1" s="24" t="s">
        <v>24</v>
      </c>
      <c r="P1" s="24" t="s">
        <v>23</v>
      </c>
      <c r="Q1" s="27" t="s">
        <v>26</v>
      </c>
      <c r="R1" s="25" t="s">
        <v>25</v>
      </c>
      <c r="S1" s="23" t="s">
        <v>3</v>
      </c>
      <c r="T1" s="21" t="s">
        <v>48</v>
      </c>
      <c r="U1" s="97" t="s">
        <v>247</v>
      </c>
      <c r="V1" s="21" t="s">
        <v>50</v>
      </c>
      <c r="W1" s="97" t="s">
        <v>248</v>
      </c>
      <c r="X1" s="21" t="s">
        <v>52</v>
      </c>
      <c r="Y1" s="23" t="s">
        <v>128</v>
      </c>
      <c r="Z1" s="24" t="s">
        <v>127</v>
      </c>
      <c r="AA1" s="23" t="s">
        <v>8</v>
      </c>
    </row>
    <row r="2" spans="1:27" ht="21" customHeight="1" x14ac:dyDescent="0.15">
      <c r="A2" s="14" t="str">
        <f>B2&amp;"_"&amp;C2&amp;"-"&amp;G2&amp;"/"&amp;M2&amp;"&lt;lv"&amp;S2&amp;"&gt;sq"&amp;K2&amp;"st"&amp;L2</f>
        <v>20022_1-3/330&lt;lv1&gt;sq1st2</v>
      </c>
      <c r="B2" s="18">
        <v>20022</v>
      </c>
      <c r="C2" s="100">
        <v>1</v>
      </c>
      <c r="D2" s="13" t="str">
        <f>B2&amp;"_"&amp;C2</f>
        <v>20022_1</v>
      </c>
      <c r="E2" s="4" t="str">
        <f ca="1">VLOOKUP($B2,OFFSET([2]quests!$A$1,0,0,COUNTA([2]quests!$A:$A),MATCH(E$1,[2]quests!$1:$1,0)-MATCH($B$1,[2]quests!$1:$1,0)+1),MATCH(E$1,[2]quests!$1:$1,0)-MATCH($B$1,[2]quests!$1:$1,0)+1,FALSE)</f>
        <v>年を越える宴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【上級】年を越える宴（ハートなし）</v>
      </c>
      <c r="G2" s="100">
        <v>3</v>
      </c>
      <c r="H2" s="13" t="str">
        <f>B2&amp;"_"&amp;C2&amp;"-"&amp;G2</f>
        <v>20022_1-3</v>
      </c>
      <c r="I2" s="4" t="e">
        <f ca="1">VLOOKUP($H2,OFFSET([5]floors!$A$1,0,0,COUNTA([5]floors!$A:$A),MATCH(I$1,[5]floors!$1:$1,0)-MATCH($H$1,[5]floors!$1:$1,0)+1),MATCH(I$1,[5]floors!$1:$1,0)-MATCH($H$1,[5]floors!$1:$1,0)+1,FALSE)</f>
        <v>#N/A</v>
      </c>
      <c r="J2" s="4" t="e">
        <f ca="1">VLOOKUP($H2,OFFSET([5]floors!$A$1,0,0,COUNTA([5]floors!$A:$A),MATCH(J$1,[5]floors!$1:$1,0)-MATCH($H$1,[5]floors!$1:$1,0)+1),MATCH(J$1,[5]floors!$1:$1,0)-MATCH($H$1,[5]floors!$1:$1,0)+1,FALSE)</f>
        <v>#N/A</v>
      </c>
      <c r="K2" s="33">
        <v>1</v>
      </c>
      <c r="L2" s="33">
        <v>2</v>
      </c>
      <c r="M2" s="101">
        <v>330</v>
      </c>
      <c r="N2" s="15" t="str">
        <f ca="1">VLOOKUP($M2,OFFSET([3]enemies!$A$1,0,0,COUNTA([3]enemies!$A:$A),MATCH(N$1,[3]enemies!$1:$1,0)-MATCH($M$1,[3]enemies!$1:$1,0)+1),MATCH(N$1,[3]enemies!$1:$1,0)-MATCH($M$1,[3]enemies!$1:$1,0)+1,FALSE)</f>
        <v>UsagiChan</v>
      </c>
      <c r="O2" s="15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DropWizSSS</v>
      </c>
      <c r="Q2" s="15" t="str">
        <f ca="1">VLOOKUP($M2,OFFSET([3]enemies!$A$1,0,0,COUNTA([3]enemies!$A:$A),MATCH(Q$1,[3]enemies!$1:$1,0)-MATCH($M$1,[3]enemies!$1:$1,0)+1),MATCH(Q$1,[3]enemies!$1:$1,0)-MATCH($M$1,[3]enemies!$1:$1,0)+1,FALSE)</f>
        <v>machine</v>
      </c>
      <c r="R2" s="15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0">
        <v>1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4250</v>
      </c>
      <c r="V2" s="20">
        <v>1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268</v>
      </c>
      <c r="X2" s="5">
        <v>0</v>
      </c>
      <c r="Y2" s="4" t="e">
        <f ca="1">VLOOKUP($Z2,OFFSET([6]enemy_skill_sets!$B$1,0,0,COUNTA([6]enemy_skill_sets!$B:$B),MATCH(N$1,[6]enemy_skill_sets!$1:$1,0)-MATCH($Z$1,[6]enemy_skill_sets!$1:$1,0)+2),MATCH(N$1,[6]enemy_skill_sets!$1:$1,0)-MATCH($Z$1,[6]enemy_skill_sets!$1:$1,0)+2,FALSE)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2" s="4">
        <v>200221309</v>
      </c>
      <c r="AA2" s="66">
        <v>2</v>
      </c>
    </row>
    <row r="3" spans="1:27" ht="21" customHeight="1" x14ac:dyDescent="0.15">
      <c r="A3" s="14" t="str">
        <f t="shared" ref="A3:A4" si="0">B3&amp;"_"&amp;C3&amp;"-"&amp;G3&amp;"/"&amp;M3&amp;"&lt;lv"&amp;S3&amp;"&gt;sq"&amp;K3&amp;"st"&amp;L3</f>
        <v>20022_1-3/330&lt;lv1&gt;sq2st2</v>
      </c>
      <c r="B3" s="18">
        <v>20022</v>
      </c>
      <c r="C3" s="100">
        <v>1</v>
      </c>
      <c r="D3" s="13" t="str">
        <f t="shared" ref="D3:D4" si="1">B3&amp;"_"&amp;C3</f>
        <v>20022_1</v>
      </c>
      <c r="E3" s="4" t="str">
        <f ca="1">VLOOKUP($B3,OFFSET([2]quests!$A$1,0,0,COUNTA([2]quests!$A:$A),MATCH(E$1,[2]quests!$1:$1,0)-MATCH($B$1,[2]quests!$1:$1,0)+1),MATCH(E$1,[2]quests!$1:$1,0)-MATCH($B$1,[2]quests!$1:$1,0)+1,FALSE)</f>
        <v>年を越える宴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【上級】年を越える宴（ハートなし）</v>
      </c>
      <c r="G3" s="100">
        <v>3</v>
      </c>
      <c r="H3" s="13" t="str">
        <f t="shared" ref="H3:H4" si="2">B3&amp;"_"&amp;C3&amp;"-"&amp;G3</f>
        <v>20022_1-3</v>
      </c>
      <c r="I3" s="4" t="e">
        <f ca="1">VLOOKUP($H3,OFFSET([5]floors!$A$1,0,0,COUNTA([5]floors!$A:$A),MATCH(I$1,[5]floors!$1:$1,0)-MATCH($H$1,[5]floors!$1:$1,0)+1),MATCH(I$1,[5]floors!$1:$1,0)-MATCH($H$1,[5]floors!$1:$1,0)+1,FALSE)</f>
        <v>#N/A</v>
      </c>
      <c r="J3" s="4" t="e">
        <f ca="1">VLOOKUP($H3,OFFSET([5]floors!$A$1,0,0,COUNTA([5]floors!$A:$A),MATCH(J$1,[5]floors!$1:$1,0)-MATCH($H$1,[5]floors!$1:$1,0)+1),MATCH(J$1,[5]floors!$1:$1,0)-MATCH($H$1,[5]floors!$1:$1,0)+1,FALSE)</f>
        <v>#N/A</v>
      </c>
      <c r="K3" s="33">
        <v>2</v>
      </c>
      <c r="L3" s="33">
        <v>2</v>
      </c>
      <c r="M3" s="101">
        <v>330</v>
      </c>
      <c r="N3" s="15" t="str">
        <f ca="1">VLOOKUP($M3,OFFSET([3]enemies!$A$1,0,0,COUNTA([3]enemies!$A:$A),MATCH(N$1,[3]enemies!$1:$1,0)-MATCH($M$1,[3]enemies!$1:$1,0)+1),MATCH(N$1,[3]enemies!$1:$1,0)-MATCH($M$1,[3]enemies!$1:$1,0)+1,FALSE)</f>
        <v>UsagiChan</v>
      </c>
      <c r="O3" s="15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DropWizSSS</v>
      </c>
      <c r="Q3" s="15" t="str">
        <f ca="1">VLOOKUP($M3,OFFSET([3]enemies!$A$1,0,0,COUNTA([3]enemies!$A:$A),MATCH(Q$1,[3]enemies!$1:$1,0)-MATCH($M$1,[3]enemies!$1:$1,0)+1),MATCH(Q$1,[3]enemies!$1:$1,0)-MATCH($M$1,[3]enemies!$1:$1,0)+1,FALSE)</f>
        <v>machine</v>
      </c>
      <c r="R3" s="15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1</v>
      </c>
      <c r="T3" s="20">
        <v>1</v>
      </c>
      <c r="U3" s="9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4250</v>
      </c>
      <c r="V3" s="20">
        <v>1</v>
      </c>
      <c r="W3" s="9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268</v>
      </c>
      <c r="X3" s="5">
        <v>0</v>
      </c>
      <c r="Y3" s="4" t="e">
        <f ca="1">VLOOKUP($Z3,OFFSET([6]enemy_skill_sets!$B$1,0,0,COUNTA([6]enemy_skill_sets!$B:$B),MATCH(N$1,[6]enemy_skill_sets!$1:$1,0)-MATCH($Z$1,[6]enemy_skill_sets!$1:$1,0)+2),MATCH(N$1,[6]enemy_skill_sets!$1:$1,0)-MATCH($Z$1,[6]enemy_skill_sets!$1:$1,0)+2,FALSE)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3" s="4">
        <v>200221309</v>
      </c>
      <c r="AA3" s="66">
        <v>2</v>
      </c>
    </row>
    <row r="4" spans="1:27" ht="21" customHeight="1" x14ac:dyDescent="0.15">
      <c r="A4" s="14" t="str">
        <f t="shared" si="0"/>
        <v>20022_1-3/330&lt;lv1&gt;sq3st2</v>
      </c>
      <c r="B4" s="18">
        <v>20022</v>
      </c>
      <c r="C4" s="100">
        <v>1</v>
      </c>
      <c r="D4" s="13" t="str">
        <f t="shared" si="1"/>
        <v>20022_1</v>
      </c>
      <c r="E4" s="4" t="str">
        <f ca="1">VLOOKUP($B4,OFFSET([2]quests!$A$1,0,0,COUNTA([2]quests!$A:$A),MATCH(E$1,[2]quests!$1:$1,0)-MATCH($B$1,[2]quests!$1:$1,0)+1),MATCH(E$1,[2]quests!$1:$1,0)-MATCH($B$1,[2]quests!$1:$1,0)+1,FALSE)</f>
        <v>年を越える宴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【上級】年を越える宴（ハートなし）</v>
      </c>
      <c r="G4" s="100">
        <v>3</v>
      </c>
      <c r="H4" s="13" t="str">
        <f t="shared" si="2"/>
        <v>20022_1-3</v>
      </c>
      <c r="I4" s="4" t="e">
        <f ca="1">VLOOKUP($H4,OFFSET([5]floors!$A$1,0,0,COUNTA([5]floors!$A:$A),MATCH(I$1,[5]floors!$1:$1,0)-MATCH($H$1,[5]floors!$1:$1,0)+1),MATCH(I$1,[5]floors!$1:$1,0)-MATCH($H$1,[5]floors!$1:$1,0)+1,FALSE)</f>
        <v>#N/A</v>
      </c>
      <c r="J4" s="4" t="e">
        <f ca="1">VLOOKUP($H4,OFFSET([5]floors!$A$1,0,0,COUNTA([5]floors!$A:$A),MATCH(J$1,[5]floors!$1:$1,0)-MATCH($H$1,[5]floors!$1:$1,0)+1),MATCH(J$1,[5]floors!$1:$1,0)-MATCH($H$1,[5]floors!$1:$1,0)+1,FALSE)</f>
        <v>#N/A</v>
      </c>
      <c r="K4" s="33">
        <v>3</v>
      </c>
      <c r="L4" s="33">
        <v>2</v>
      </c>
      <c r="M4" s="101">
        <v>330</v>
      </c>
      <c r="N4" s="15" t="str">
        <f ca="1">VLOOKUP($M4,OFFSET([3]enemies!$A$1,0,0,COUNTA([3]enemies!$A:$A),MATCH(N$1,[3]enemies!$1:$1,0)-MATCH($M$1,[3]enemies!$1:$1,0)+1),MATCH(N$1,[3]enemies!$1:$1,0)-MATCH($M$1,[3]enemies!$1:$1,0)+1,FALSE)</f>
        <v>UsagiChan</v>
      </c>
      <c r="O4" s="15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5" t="str">
        <f ca="1">VLOOKUP($M4,OFFSET([4]characters!$A$1,0,0,COUNTA([4]characters!$A:$A),MATCH(P$1,[4]characters!$1:$1,0)-MATCH($M$1,[4]characters!$1:$1,0)+1),MATCH(P$1,[4]characters!$1:$1,0)-MATCH($M$1,[4]characters!$1:$1,0)+1,FALSE)</f>
        <v>DropWizSSS</v>
      </c>
      <c r="Q4" s="15" t="str">
        <f ca="1">VLOOKUP($M4,OFFSET([3]enemies!$A$1,0,0,COUNTA([3]enemies!$A:$A),MATCH(Q$1,[3]enemies!$1:$1,0)-MATCH($M$1,[3]enemies!$1:$1,0)+1),MATCH(Q$1,[3]enemies!$1:$1,0)-MATCH($M$1,[3]enemies!$1:$1,0)+1,FALSE)</f>
        <v>machine</v>
      </c>
      <c r="R4" s="15">
        <f ca="1">VLOOKUP($M4,OFFSET([3]enemies!$A$1,0,0,COUNTA([3]enemies!$A:$A),MATCH(R$1,[3]enemies!$1:$1,0)-MATCH($M$1,[3]enemies!$1:$1,0)+1),MATCH(R$1,[3]enemies!$1:$1,0)-MATCH($M$1,[3]enemies!$1:$1,0)+1,FALSE)</f>
        <v>15</v>
      </c>
      <c r="S4" s="5">
        <v>1</v>
      </c>
      <c r="T4" s="20">
        <v>1</v>
      </c>
      <c r="U4" s="98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4250</v>
      </c>
      <c r="V4" s="20">
        <v>1</v>
      </c>
      <c r="W4" s="98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268</v>
      </c>
      <c r="X4" s="5">
        <v>0</v>
      </c>
      <c r="Y4" s="4" t="e">
        <f ca="1">VLOOKUP($Z4,OFFSET([6]enemy_skill_sets!$B$1,0,0,COUNTA([6]enemy_skill_sets!$B:$B),MATCH(N$1,[6]enemy_skill_sets!$1:$1,0)-MATCH($Z$1,[6]enemy_skill_sets!$1:$1,0)+2),MATCH(N$1,[6]enemy_skill_sets!$1:$1,0)-MATCH($Z$1,[6]enemy_skill_sets!$1:$1,0)+2,FALSE)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4" s="4">
        <v>200221309</v>
      </c>
      <c r="AA4" s="66">
        <v>2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6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4"/>
    <col min="2" max="2" width="67.1640625" style="44" customWidth="1"/>
    <col min="3" max="4" width="12.83203125" style="44"/>
    <col min="5" max="5" width="23.6640625" style="44" bestFit="1" customWidth="1"/>
    <col min="6" max="6" width="44.1640625" style="44" bestFit="1" customWidth="1"/>
    <col min="7" max="7" width="52" style="44" customWidth="1" outlineLevel="1"/>
    <col min="8" max="8" width="18.33203125" style="44" customWidth="1" outlineLevel="1"/>
    <col min="9" max="11" width="18.6640625" style="44" customWidth="1" outlineLevel="1"/>
    <col min="12" max="12" width="23.6640625" style="44" customWidth="1"/>
    <col min="13" max="18" width="23.6640625" style="44" customWidth="1" outlineLevel="1"/>
    <col min="19" max="19" width="23.6640625" style="44" customWidth="1"/>
    <col min="20" max="24" width="23.6640625" style="44" customWidth="1" outlineLevel="1"/>
    <col min="25" max="25" width="23.6640625" style="44" customWidth="1"/>
    <col min="26" max="27" width="12.83203125" style="44"/>
    <col min="28" max="28" width="44.5" style="44" customWidth="1"/>
    <col min="29" max="16384" width="12.83203125" style="44"/>
  </cols>
  <sheetData>
    <row r="1" spans="1:28" ht="21" customHeight="1" x14ac:dyDescent="0.15">
      <c r="A1" s="35" t="s">
        <v>79</v>
      </c>
      <c r="B1" s="35" t="s">
        <v>80</v>
      </c>
      <c r="C1" s="35" t="s">
        <v>81</v>
      </c>
      <c r="D1" s="35" t="s">
        <v>125</v>
      </c>
      <c r="E1" s="35" t="s">
        <v>82</v>
      </c>
      <c r="F1" s="35" t="s">
        <v>83</v>
      </c>
      <c r="G1" s="36" t="s">
        <v>131</v>
      </c>
      <c r="H1" s="36" t="s">
        <v>137</v>
      </c>
      <c r="I1" s="36" t="s">
        <v>139</v>
      </c>
      <c r="J1" s="36" t="s">
        <v>138</v>
      </c>
      <c r="K1" s="36" t="s">
        <v>140</v>
      </c>
      <c r="L1" s="36" t="s">
        <v>132</v>
      </c>
      <c r="M1" s="36" t="s">
        <v>130</v>
      </c>
      <c r="N1" s="36" t="s">
        <v>133</v>
      </c>
      <c r="O1" s="36" t="s">
        <v>141</v>
      </c>
      <c r="P1" s="36" t="s">
        <v>142</v>
      </c>
      <c r="Q1" s="36" t="s">
        <v>143</v>
      </c>
      <c r="R1" s="36" t="s">
        <v>144</v>
      </c>
      <c r="S1" s="36" t="s">
        <v>134</v>
      </c>
      <c r="T1" s="36" t="s">
        <v>135</v>
      </c>
      <c r="U1" s="36" t="s">
        <v>145</v>
      </c>
      <c r="V1" s="36" t="s">
        <v>146</v>
      </c>
      <c r="W1" s="36" t="s">
        <v>147</v>
      </c>
      <c r="X1" s="36" t="s">
        <v>148</v>
      </c>
      <c r="Y1" s="36" t="s">
        <v>136</v>
      </c>
      <c r="Z1" s="36" t="s">
        <v>76</v>
      </c>
      <c r="AA1" s="36" t="s">
        <v>77</v>
      </c>
      <c r="AB1" s="36" t="s">
        <v>78</v>
      </c>
    </row>
    <row r="2" spans="1:28" ht="21" customHeight="1" x14ac:dyDescent="0.15">
      <c r="A2" s="57">
        <v>200221100</v>
      </c>
      <c r="B2" s="42" t="s">
        <v>259</v>
      </c>
      <c r="C2" s="45">
        <v>3</v>
      </c>
      <c r="D2" s="45" t="s">
        <v>126</v>
      </c>
      <c r="E2" s="46" t="s">
        <v>260</v>
      </c>
      <c r="F2" s="46" t="s">
        <v>261</v>
      </c>
      <c r="G2" s="59" t="str">
        <f t="shared" ref="G2:G16" si="0">IFERROR(LEFT(B2,FIND("],",B2)),B2)</f>
        <v>[effect:nothing]</v>
      </c>
      <c r="H2" s="59">
        <f t="shared" ref="H2:H16" si="1">FIND("effect:",G2)+7</f>
        <v>9</v>
      </c>
      <c r="I2" s="59">
        <f t="shared" ref="I2:I16" si="2">IFERROR(FIND(",",G2),LEN(G2))</f>
        <v>16</v>
      </c>
      <c r="J2" s="59" t="e">
        <f t="shared" ref="J2:J16" si="3">FIND("target:",G2)+7</f>
        <v>#VALUE!</v>
      </c>
      <c r="K2" s="59" t="e">
        <f t="shared" ref="K2:K16" si="4">FIND(",",G2,I2+1)</f>
        <v>#VALUE!</v>
      </c>
      <c r="L2" s="59" t="str">
        <f>IFERROR(VLOOKUP(MID(G2,J2,K2-J2),[7]skilldef!$C:$D,2,FALSE),"-") &amp; " / " &amp; IFERROR(VLOOKUP(MID(G2,H2,I2-H2),[7]skilldef!$A:$B,2,FALSE),"-")</f>
        <v>- / 何もしない</v>
      </c>
      <c r="M2" s="59" t="str">
        <f t="shared" ref="M2:M16" si="5">IFERROR(RIGHT(B2,LEN(B2)-FIND("],",B2)-1),"none")</f>
        <v>none</v>
      </c>
      <c r="N2" s="43" t="str">
        <f>IFERROR(LEFT(M2,FIND("],",M2)+S25),M2)</f>
        <v>none</v>
      </c>
      <c r="O2" s="59" t="e">
        <f t="shared" ref="O2:O16" si="6">FIND("effect:",N2)+7</f>
        <v>#VALUE!</v>
      </c>
      <c r="P2" s="59">
        <f t="shared" ref="P2:P16" si="7">IFERROR(FIND(",",N2),LEN(N2))</f>
        <v>4</v>
      </c>
      <c r="Q2" s="59" t="e">
        <f t="shared" ref="Q2:Q16" si="8">FIND("target:",N2)+7</f>
        <v>#VALUE!</v>
      </c>
      <c r="R2" s="59" t="e">
        <f t="shared" ref="R2:R16" si="9">FIND(",",N2,P2+1)</f>
        <v>#VALUE!</v>
      </c>
      <c r="S2" s="59" t="str">
        <f>IFERROR(VLOOKUP(MID(N2,Q2,R2-Q2),[7]skilldef!$C:$D,2,FALSE),"-") &amp; " / " &amp; IFERROR(VLOOKUP(MID(N2,O2,P2-O2),[7]skilldef!$A:$B,2,FALSE),"-")</f>
        <v>- / -</v>
      </c>
      <c r="T2" s="43" t="str">
        <f t="shared" ref="T2:T16" si="10">IFERROR(RIGHT(M2,LEN(M2)-FIND("],",M2)-1),"none")</f>
        <v>none</v>
      </c>
      <c r="U2" s="59" t="e">
        <f t="shared" ref="U2:U16" si="11">FIND("effect:",T2)+7</f>
        <v>#VALUE!</v>
      </c>
      <c r="V2" s="59">
        <f t="shared" ref="V2:V16" si="12">IFERROR(FIND(",",T2),LEN(T2))</f>
        <v>4</v>
      </c>
      <c r="W2" s="59" t="e">
        <f t="shared" ref="W2:W16" si="13">FIND("target:",T2)+7</f>
        <v>#VALUE!</v>
      </c>
      <c r="X2" s="59" t="e">
        <f t="shared" ref="X2:X16" si="14">FIND(",",T2,V2+1)</f>
        <v>#VALUE!</v>
      </c>
      <c r="Y2" s="59" t="str">
        <f>IFERROR(VLOOKUP(MID(T2,W2,X2-W2),[7]skilldef!$C:$D,2,FALSE),"-") &amp; " / " &amp; IFERROR(VLOOKUP(MID(T2,U2,V2-U2),[7]skilldef!$A:$B,2,FALSE),"-")</f>
        <v>- / -</v>
      </c>
      <c r="Z2" s="45"/>
      <c r="AA2" s="47"/>
      <c r="AB2" s="45"/>
    </row>
    <row r="3" spans="1:28" ht="21" customHeight="1" x14ac:dyDescent="0.15">
      <c r="A3" s="57">
        <v>200221200</v>
      </c>
      <c r="B3" s="42" t="s">
        <v>262</v>
      </c>
      <c r="C3" s="45">
        <v>3</v>
      </c>
      <c r="D3" s="45" t="s">
        <v>126</v>
      </c>
      <c r="E3" s="46" t="s">
        <v>263</v>
      </c>
      <c r="F3" s="46" t="s">
        <v>264</v>
      </c>
      <c r="G3" s="59" t="str">
        <f t="shared" si="0"/>
        <v>[effect:heal, target:myself, val:1.0, animation:enemy_heal]</v>
      </c>
      <c r="H3" s="59">
        <f t="shared" si="1"/>
        <v>9</v>
      </c>
      <c r="I3" s="59">
        <f t="shared" si="2"/>
        <v>13</v>
      </c>
      <c r="J3" s="59">
        <f t="shared" si="3"/>
        <v>22</v>
      </c>
      <c r="K3" s="59">
        <f t="shared" si="4"/>
        <v>28</v>
      </c>
      <c r="L3" s="59" t="str">
        <f>IFERROR(VLOOKUP(MID(G3,J3,K3-J3),[7]skilldef!$C:$D,2,FALSE),"-") &amp; " / " &amp; IFERROR(VLOOKUP(MID(G3,H3,I3-H3),[7]skilldef!$A:$B,2,FALSE),"-")</f>
        <v>自分自身に / 回復</v>
      </c>
      <c r="M3" s="59" t="str">
        <f t="shared" si="5"/>
        <v>none</v>
      </c>
      <c r="N3" s="43" t="str">
        <f>IFERROR(LEFT(M3,FIND("],",M3)+S26),M3)</f>
        <v>none</v>
      </c>
      <c r="O3" s="59" t="e">
        <f t="shared" si="6"/>
        <v>#VALUE!</v>
      </c>
      <c r="P3" s="59">
        <f t="shared" si="7"/>
        <v>4</v>
      </c>
      <c r="Q3" s="59" t="e">
        <f t="shared" si="8"/>
        <v>#VALUE!</v>
      </c>
      <c r="R3" s="59" t="e">
        <f t="shared" si="9"/>
        <v>#VALUE!</v>
      </c>
      <c r="S3" s="59" t="str">
        <f>IFERROR(VLOOKUP(MID(N3,Q3,R3-Q3),[7]skilldef!$C:$D,2,FALSE),"-") &amp; " / " &amp; IFERROR(VLOOKUP(MID(N3,O3,P3-O3),[7]skilldef!$A:$B,2,FALSE),"-")</f>
        <v>- / -</v>
      </c>
      <c r="T3" s="43" t="str">
        <f t="shared" si="10"/>
        <v>none</v>
      </c>
      <c r="U3" s="59" t="e">
        <f t="shared" si="11"/>
        <v>#VALUE!</v>
      </c>
      <c r="V3" s="59">
        <f t="shared" si="12"/>
        <v>4</v>
      </c>
      <c r="W3" s="59" t="e">
        <f t="shared" si="13"/>
        <v>#VALUE!</v>
      </c>
      <c r="X3" s="59" t="e">
        <f t="shared" si="14"/>
        <v>#VALUE!</v>
      </c>
      <c r="Y3" s="59" t="str">
        <f>IFERROR(VLOOKUP(MID(T3,W3,X3-W3),[7]skilldef!$C:$D,2,FALSE),"-") &amp; " / " &amp; IFERROR(VLOOKUP(MID(T3,U3,V3-U3),[7]skilldef!$A:$B,2,FALSE),"-")</f>
        <v>- / -</v>
      </c>
      <c r="Z3" s="45"/>
      <c r="AA3" s="47"/>
      <c r="AB3" s="45"/>
    </row>
    <row r="4" spans="1:28" ht="21" customHeight="1" x14ac:dyDescent="0.15">
      <c r="A4" s="57">
        <v>200221201</v>
      </c>
      <c r="B4" s="42" t="s">
        <v>265</v>
      </c>
      <c r="C4" s="45">
        <v>3</v>
      </c>
      <c r="D4" s="45" t="s">
        <v>126</v>
      </c>
      <c r="E4" s="46" t="s">
        <v>266</v>
      </c>
      <c r="F4" s="46" t="s">
        <v>267</v>
      </c>
      <c r="G4" s="59" t="str">
        <f t="shared" si="0"/>
        <v>[effect:fix_speed, target:myself, turn:1]</v>
      </c>
      <c r="H4" s="59">
        <f t="shared" si="1"/>
        <v>9</v>
      </c>
      <c r="I4" s="59">
        <f t="shared" si="2"/>
        <v>18</v>
      </c>
      <c r="J4" s="59">
        <f t="shared" si="3"/>
        <v>27</v>
      </c>
      <c r="K4" s="59">
        <f t="shared" si="4"/>
        <v>33</v>
      </c>
      <c r="L4" s="59" t="str">
        <f>IFERROR(VLOOKUP(MID(G4,J4,K4-J4),[7]skilldef!$C:$D,2,FALSE),"-") &amp; " / " &amp; IFERROR(VLOOKUP(MID(G4,H4,I4-H4),[7]skilldef!$A:$B,2,FALSE),"-")</f>
        <v>自分自身に / 行動値設定</v>
      </c>
      <c r="M4" s="59" t="str">
        <f t="shared" si="5"/>
        <v>none</v>
      </c>
      <c r="N4" s="43" t="str">
        <f>IFERROR(LEFT(M4,FIND("],",M4)+S27),M4)</f>
        <v>none</v>
      </c>
      <c r="O4" s="59" t="e">
        <f t="shared" si="6"/>
        <v>#VALUE!</v>
      </c>
      <c r="P4" s="59">
        <f t="shared" si="7"/>
        <v>4</v>
      </c>
      <c r="Q4" s="59" t="e">
        <f t="shared" si="8"/>
        <v>#VALUE!</v>
      </c>
      <c r="R4" s="59" t="e">
        <f t="shared" si="9"/>
        <v>#VALUE!</v>
      </c>
      <c r="S4" s="59" t="str">
        <f>IFERROR(VLOOKUP(MID(N4,Q4,R4-Q4),[7]skilldef!$C:$D,2,FALSE),"-") &amp; " / " &amp; IFERROR(VLOOKUP(MID(N4,O4,P4-O4),[7]skilldef!$A:$B,2,FALSE),"-")</f>
        <v>- / -</v>
      </c>
      <c r="T4" s="43" t="str">
        <f t="shared" si="10"/>
        <v>none</v>
      </c>
      <c r="U4" s="59" t="e">
        <f t="shared" si="11"/>
        <v>#VALUE!</v>
      </c>
      <c r="V4" s="59">
        <f t="shared" si="12"/>
        <v>4</v>
      </c>
      <c r="W4" s="59" t="e">
        <f t="shared" si="13"/>
        <v>#VALUE!</v>
      </c>
      <c r="X4" s="59" t="e">
        <f t="shared" si="14"/>
        <v>#VALUE!</v>
      </c>
      <c r="Y4" s="59" t="str">
        <f>IFERROR(VLOOKUP(MID(T4,W4,X4-W4),[7]skilldef!$C:$D,2,FALSE),"-") &amp; " / " &amp; IFERROR(VLOOKUP(MID(T4,U4,V4-U4),[7]skilldef!$A:$B,2,FALSE),"-")</f>
        <v>- / -</v>
      </c>
      <c r="Z4" s="45"/>
      <c r="AA4" s="47"/>
      <c r="AB4" s="45"/>
    </row>
    <row r="5" spans="1:28" ht="21" customHeight="1" x14ac:dyDescent="0.15">
      <c r="A5" s="57">
        <v>200221210</v>
      </c>
      <c r="B5" s="42" t="s">
        <v>259</v>
      </c>
      <c r="C5" s="45">
        <v>3</v>
      </c>
      <c r="D5" s="45" t="s">
        <v>126</v>
      </c>
      <c r="E5" s="46" t="s">
        <v>268</v>
      </c>
      <c r="F5" s="46" t="s">
        <v>268</v>
      </c>
      <c r="G5" s="59" t="str">
        <f t="shared" si="0"/>
        <v>[effect:nothing]</v>
      </c>
      <c r="H5" s="59">
        <f t="shared" si="1"/>
        <v>9</v>
      </c>
      <c r="I5" s="59">
        <f t="shared" si="2"/>
        <v>16</v>
      </c>
      <c r="J5" s="59" t="e">
        <f t="shared" si="3"/>
        <v>#VALUE!</v>
      </c>
      <c r="K5" s="59" t="e">
        <f t="shared" si="4"/>
        <v>#VALUE!</v>
      </c>
      <c r="L5" s="59" t="str">
        <f>IFERROR(VLOOKUP(MID(G5,J5,K5-J5),[7]skilldef!$C:$D,2,FALSE),"-") &amp; " / " &amp; IFERROR(VLOOKUP(MID(G5,H5,I5-H5),[7]skilldef!$A:$B,2,FALSE),"-")</f>
        <v>- / 何もしない</v>
      </c>
      <c r="M5" s="59" t="str">
        <f t="shared" si="5"/>
        <v>none</v>
      </c>
      <c r="N5" s="43" t="str">
        <f>IFERROR(LEFT(M5,FIND("],",M5)+S27),M5)</f>
        <v>none</v>
      </c>
      <c r="O5" s="59" t="e">
        <f t="shared" si="6"/>
        <v>#VALUE!</v>
      </c>
      <c r="P5" s="59">
        <f t="shared" si="7"/>
        <v>4</v>
      </c>
      <c r="Q5" s="59" t="e">
        <f t="shared" si="8"/>
        <v>#VALUE!</v>
      </c>
      <c r="R5" s="59" t="e">
        <f t="shared" si="9"/>
        <v>#VALUE!</v>
      </c>
      <c r="S5" s="59" t="str">
        <f>IFERROR(VLOOKUP(MID(N5,Q5,R5-Q5),[7]skilldef!$C:$D,2,FALSE),"-") &amp; " / " &amp; IFERROR(VLOOKUP(MID(N5,O5,P5-O5),[7]skilldef!$A:$B,2,FALSE),"-")</f>
        <v>- / -</v>
      </c>
      <c r="T5" s="43" t="str">
        <f t="shared" si="10"/>
        <v>none</v>
      </c>
      <c r="U5" s="59" t="e">
        <f t="shared" si="11"/>
        <v>#VALUE!</v>
      </c>
      <c r="V5" s="59">
        <f t="shared" si="12"/>
        <v>4</v>
      </c>
      <c r="W5" s="59" t="e">
        <f t="shared" si="13"/>
        <v>#VALUE!</v>
      </c>
      <c r="X5" s="59" t="e">
        <f t="shared" si="14"/>
        <v>#VALUE!</v>
      </c>
      <c r="Y5" s="59" t="str">
        <f>IFERROR(VLOOKUP(MID(T5,W5,X5-W5),[7]skilldef!$C:$D,2,FALSE),"-") &amp; " / " &amp; IFERROR(VLOOKUP(MID(T5,U5,V5-U5),[7]skilldef!$A:$B,2,FALSE),"-")</f>
        <v>- / -</v>
      </c>
      <c r="Z5" s="45"/>
      <c r="AA5" s="47"/>
      <c r="AB5" s="45"/>
    </row>
    <row r="6" spans="1:28" ht="21" customHeight="1" x14ac:dyDescent="0.15">
      <c r="A6" s="57">
        <v>200221300</v>
      </c>
      <c r="B6" s="42" t="s">
        <v>259</v>
      </c>
      <c r="C6" s="45">
        <v>3</v>
      </c>
      <c r="D6" s="45" t="s">
        <v>126</v>
      </c>
      <c r="E6" s="46" t="s">
        <v>269</v>
      </c>
      <c r="F6" s="46" t="s">
        <v>270</v>
      </c>
      <c r="G6" s="59" t="str">
        <f t="shared" si="0"/>
        <v>[effect:nothing]</v>
      </c>
      <c r="H6" s="59">
        <f t="shared" si="1"/>
        <v>9</v>
      </c>
      <c r="I6" s="59">
        <f t="shared" si="2"/>
        <v>16</v>
      </c>
      <c r="J6" s="59" t="e">
        <f t="shared" si="3"/>
        <v>#VALUE!</v>
      </c>
      <c r="K6" s="59" t="e">
        <f t="shared" si="4"/>
        <v>#VALUE!</v>
      </c>
      <c r="L6" s="59" t="str">
        <f>IFERROR(VLOOKUP(MID(G6,J6,K6-J6),[7]skilldef!$C:$D,2,FALSE),"-") &amp; " / " &amp; IFERROR(VLOOKUP(MID(G6,H6,I6-H6),[7]skilldef!$A:$B,2,FALSE),"-")</f>
        <v>- / 何もしない</v>
      </c>
      <c r="M6" s="59" t="str">
        <f t="shared" si="5"/>
        <v>none</v>
      </c>
      <c r="N6" s="43" t="str">
        <f>IFERROR(LEFT(M6,FIND("],",M6)+S28),M6)</f>
        <v>none</v>
      </c>
      <c r="O6" s="59" t="e">
        <f t="shared" si="6"/>
        <v>#VALUE!</v>
      </c>
      <c r="P6" s="59">
        <f t="shared" si="7"/>
        <v>4</v>
      </c>
      <c r="Q6" s="59" t="e">
        <f t="shared" si="8"/>
        <v>#VALUE!</v>
      </c>
      <c r="R6" s="59" t="e">
        <f t="shared" si="9"/>
        <v>#VALUE!</v>
      </c>
      <c r="S6" s="59" t="str">
        <f>IFERROR(VLOOKUP(MID(N6,Q6,R6-Q6),[7]skilldef!$C:$D,2,FALSE),"-") &amp; " / " &amp; IFERROR(VLOOKUP(MID(N6,O6,P6-O6),[7]skilldef!$A:$B,2,FALSE),"-")</f>
        <v>- / -</v>
      </c>
      <c r="T6" s="43" t="str">
        <f t="shared" si="10"/>
        <v>none</v>
      </c>
      <c r="U6" s="59" t="e">
        <f t="shared" si="11"/>
        <v>#VALUE!</v>
      </c>
      <c r="V6" s="59">
        <f t="shared" si="12"/>
        <v>4</v>
      </c>
      <c r="W6" s="59" t="e">
        <f t="shared" si="13"/>
        <v>#VALUE!</v>
      </c>
      <c r="X6" s="59" t="e">
        <f t="shared" si="14"/>
        <v>#VALUE!</v>
      </c>
      <c r="Y6" s="59" t="str">
        <f>IFERROR(VLOOKUP(MID(T6,W6,X6-W6),[7]skilldef!$C:$D,2,FALSE),"-") &amp; " / " &amp; IFERROR(VLOOKUP(MID(T6,U6,V6-U6),[7]skilldef!$A:$B,2,FALSE),"-")</f>
        <v>- / -</v>
      </c>
      <c r="Z6" s="45"/>
      <c r="AA6" s="47"/>
      <c r="AB6" s="45"/>
    </row>
    <row r="7" spans="1:28" ht="21" customHeight="1" x14ac:dyDescent="0.15">
      <c r="A7" s="57">
        <v>200221309</v>
      </c>
      <c r="B7" s="42" t="s">
        <v>271</v>
      </c>
      <c r="C7" s="45">
        <v>3</v>
      </c>
      <c r="D7" s="45" t="s">
        <v>126</v>
      </c>
      <c r="E7" s="46" t="s">
        <v>272</v>
      </c>
      <c r="F7" s="46" t="s">
        <v>273</v>
      </c>
      <c r="G7" s="59" t="str">
        <f t="shared" si="0"/>
        <v>[effect:kamikaze, val:0]</v>
      </c>
      <c r="H7" s="59">
        <f t="shared" si="1"/>
        <v>9</v>
      </c>
      <c r="I7" s="59">
        <f t="shared" si="2"/>
        <v>17</v>
      </c>
      <c r="J7" s="59" t="e">
        <f t="shared" si="3"/>
        <v>#VALUE!</v>
      </c>
      <c r="K7" s="59" t="e">
        <f t="shared" si="4"/>
        <v>#VALUE!</v>
      </c>
      <c r="L7" s="59" t="str">
        <f>IFERROR(VLOOKUP(MID(G7,J7,K7-J7),[7]skilldef!$C:$D,2,FALSE),"-") &amp; " / " &amp; IFERROR(VLOOKUP(MID(G7,H7,I7-H7),[7]skilldef!$A:$B,2,FALSE),"-")</f>
        <v>- / 自爆</v>
      </c>
      <c r="M7" s="59" t="str">
        <f t="shared" si="5"/>
        <v>none</v>
      </c>
      <c r="N7" s="43" t="str">
        <f>IFERROR(LEFT(M7,FIND("],",M7)+S29),M7)</f>
        <v>none</v>
      </c>
      <c r="O7" s="59" t="e">
        <f t="shared" si="6"/>
        <v>#VALUE!</v>
      </c>
      <c r="P7" s="59">
        <f t="shared" si="7"/>
        <v>4</v>
      </c>
      <c r="Q7" s="59" t="e">
        <f t="shared" si="8"/>
        <v>#VALUE!</v>
      </c>
      <c r="R7" s="59" t="e">
        <f t="shared" si="9"/>
        <v>#VALUE!</v>
      </c>
      <c r="S7" s="59" t="str">
        <f>IFERROR(VLOOKUP(MID(N7,Q7,R7-Q7),[7]skilldef!$C:$D,2,FALSE),"-") &amp; " / " &amp; IFERROR(VLOOKUP(MID(N7,O7,P7-O7),[7]skilldef!$A:$B,2,FALSE),"-")</f>
        <v>- / -</v>
      </c>
      <c r="T7" s="43" t="str">
        <f t="shared" si="10"/>
        <v>none</v>
      </c>
      <c r="U7" s="59" t="e">
        <f t="shared" si="11"/>
        <v>#VALUE!</v>
      </c>
      <c r="V7" s="59">
        <f t="shared" si="12"/>
        <v>4</v>
      </c>
      <c r="W7" s="59" t="e">
        <f t="shared" si="13"/>
        <v>#VALUE!</v>
      </c>
      <c r="X7" s="59" t="e">
        <f t="shared" si="14"/>
        <v>#VALUE!</v>
      </c>
      <c r="Y7" s="59" t="str">
        <f>IFERROR(VLOOKUP(MID(T7,W7,X7-W7),[7]skilldef!$C:$D,2,FALSE),"-") &amp; " / " &amp; IFERROR(VLOOKUP(MID(T7,U7,V7-U7),[7]skilldef!$A:$B,2,FALSE),"-")</f>
        <v>- / -</v>
      </c>
      <c r="Z7" s="45"/>
      <c r="AA7" s="47"/>
      <c r="AB7" s="45"/>
    </row>
    <row r="8" spans="1:28" ht="21" customHeight="1" x14ac:dyDescent="0.15">
      <c r="A8" s="57">
        <v>200221310</v>
      </c>
      <c r="B8" s="42" t="s">
        <v>274</v>
      </c>
      <c r="C8" s="45">
        <v>3</v>
      </c>
      <c r="D8" s="45" t="s">
        <v>126</v>
      </c>
      <c r="E8" s="46" t="s">
        <v>275</v>
      </c>
      <c r="F8" s="46" t="s">
        <v>276</v>
      </c>
      <c r="G8" s="59" t="str">
        <f t="shared" si="0"/>
        <v>[effect:spread, val:0.5]</v>
      </c>
      <c r="H8" s="59">
        <f t="shared" si="1"/>
        <v>9</v>
      </c>
      <c r="I8" s="59">
        <f t="shared" si="2"/>
        <v>15</v>
      </c>
      <c r="J8" s="59" t="e">
        <f t="shared" si="3"/>
        <v>#VALUE!</v>
      </c>
      <c r="K8" s="59" t="e">
        <f t="shared" si="4"/>
        <v>#VALUE!</v>
      </c>
      <c r="L8" s="59" t="str">
        <f>IFERROR(VLOOKUP(MID(G8,J8,K8-J8),[7]skilldef!$C:$D,2,FALSE),"-") &amp; " / " &amp; IFERROR(VLOOKUP(MID(G8,H8,I8-H8),[7]skilldef!$A:$B,2,FALSE),"-")</f>
        <v>- / 全体攻撃</v>
      </c>
      <c r="M8" s="59" t="str">
        <f t="shared" si="5"/>
        <v>none</v>
      </c>
      <c r="N8" s="43" t="str">
        <f>IFERROR(LEFT(M8,FIND("],",M8)+S30),M8)</f>
        <v>none</v>
      </c>
      <c r="O8" s="59" t="e">
        <f t="shared" si="6"/>
        <v>#VALUE!</v>
      </c>
      <c r="P8" s="59">
        <f t="shared" si="7"/>
        <v>4</v>
      </c>
      <c r="Q8" s="59" t="e">
        <f t="shared" si="8"/>
        <v>#VALUE!</v>
      </c>
      <c r="R8" s="59" t="e">
        <f t="shared" si="9"/>
        <v>#VALUE!</v>
      </c>
      <c r="S8" s="59" t="str">
        <f>IFERROR(VLOOKUP(MID(N8,Q8,R8-Q8),[7]skilldef!$C:$D,2,FALSE),"-") &amp; " / " &amp; IFERROR(VLOOKUP(MID(N8,O8,P8-O8),[7]skilldef!$A:$B,2,FALSE),"-")</f>
        <v>- / -</v>
      </c>
      <c r="T8" s="43" t="str">
        <f t="shared" si="10"/>
        <v>none</v>
      </c>
      <c r="U8" s="59" t="e">
        <f t="shared" si="11"/>
        <v>#VALUE!</v>
      </c>
      <c r="V8" s="59">
        <f t="shared" si="12"/>
        <v>4</v>
      </c>
      <c r="W8" s="59" t="e">
        <f t="shared" si="13"/>
        <v>#VALUE!</v>
      </c>
      <c r="X8" s="59" t="e">
        <f t="shared" si="14"/>
        <v>#VALUE!</v>
      </c>
      <c r="Y8" s="59" t="str">
        <f>IFERROR(VLOOKUP(MID(T8,W8,X8-W8),[7]skilldef!$C:$D,2,FALSE),"-") &amp; " / " &amp; IFERROR(VLOOKUP(MID(T8,U8,V8-U8),[7]skilldef!$A:$B,2,FALSE),"-")</f>
        <v>- / -</v>
      </c>
      <c r="Z8" s="45"/>
      <c r="AA8" s="47"/>
      <c r="AB8" s="45"/>
    </row>
    <row r="9" spans="1:28" ht="21" customHeight="1" x14ac:dyDescent="0.15">
      <c r="A9" s="57">
        <v>200221311</v>
      </c>
      <c r="B9" s="42" t="s">
        <v>265</v>
      </c>
      <c r="C9" s="45">
        <v>3</v>
      </c>
      <c r="D9" s="45" t="s">
        <v>126</v>
      </c>
      <c r="E9" s="46" t="s">
        <v>277</v>
      </c>
      <c r="F9" s="46" t="s">
        <v>278</v>
      </c>
      <c r="G9" s="59" t="str">
        <f t="shared" si="0"/>
        <v>[effect:fix_speed, target:myself, turn:1]</v>
      </c>
      <c r="H9" s="59">
        <f t="shared" si="1"/>
        <v>9</v>
      </c>
      <c r="I9" s="59">
        <f t="shared" si="2"/>
        <v>18</v>
      </c>
      <c r="J9" s="59">
        <f t="shared" si="3"/>
        <v>27</v>
      </c>
      <c r="K9" s="59">
        <f t="shared" si="4"/>
        <v>33</v>
      </c>
      <c r="L9" s="59" t="str">
        <f>IFERROR(VLOOKUP(MID(G9,J9,K9-J9),[7]skilldef!$C:$D,2,FALSE),"-") &amp; " / " &amp; IFERROR(VLOOKUP(MID(G9,H9,I9-H9),[7]skilldef!$A:$B,2,FALSE),"-")</f>
        <v>自分自身に / 行動値設定</v>
      </c>
      <c r="M9" s="59" t="str">
        <f t="shared" si="5"/>
        <v>none</v>
      </c>
      <c r="N9" s="43" t="str">
        <f>IFERROR(LEFT(M9,FIND("],",M9)+S31),M9)</f>
        <v>none</v>
      </c>
      <c r="O9" s="59" t="e">
        <f t="shared" si="6"/>
        <v>#VALUE!</v>
      </c>
      <c r="P9" s="59">
        <f t="shared" si="7"/>
        <v>4</v>
      </c>
      <c r="Q9" s="59" t="e">
        <f t="shared" si="8"/>
        <v>#VALUE!</v>
      </c>
      <c r="R9" s="59" t="e">
        <f t="shared" si="9"/>
        <v>#VALUE!</v>
      </c>
      <c r="S9" s="59" t="str">
        <f>IFERROR(VLOOKUP(MID(N9,Q9,R9-Q9),[7]skilldef!$C:$D,2,FALSE),"-") &amp; " / " &amp; IFERROR(VLOOKUP(MID(N9,O9,P9-O9),[7]skilldef!$A:$B,2,FALSE),"-")</f>
        <v>- / -</v>
      </c>
      <c r="T9" s="43" t="str">
        <f t="shared" si="10"/>
        <v>none</v>
      </c>
      <c r="U9" s="59" t="e">
        <f t="shared" si="11"/>
        <v>#VALUE!</v>
      </c>
      <c r="V9" s="59">
        <f t="shared" si="12"/>
        <v>4</v>
      </c>
      <c r="W9" s="59" t="e">
        <f t="shared" si="13"/>
        <v>#VALUE!</v>
      </c>
      <c r="X9" s="59" t="e">
        <f t="shared" si="14"/>
        <v>#VALUE!</v>
      </c>
      <c r="Y9" s="59" t="str">
        <f>IFERROR(VLOOKUP(MID(T9,W9,X9-W9),[7]skilldef!$C:$D,2,FALSE),"-") &amp; " / " &amp; IFERROR(VLOOKUP(MID(T9,U9,V9-U9),[7]skilldef!$A:$B,2,FALSE),"-")</f>
        <v>- / -</v>
      </c>
      <c r="Z9" s="45"/>
      <c r="AA9" s="47"/>
      <c r="AB9" s="45"/>
    </row>
    <row r="10" spans="1:28" ht="21" customHeight="1" x14ac:dyDescent="0.15">
      <c r="A10" s="57">
        <v>200221320</v>
      </c>
      <c r="B10" s="42" t="s">
        <v>279</v>
      </c>
      <c r="C10" s="45">
        <v>3</v>
      </c>
      <c r="D10" s="45" t="s">
        <v>126</v>
      </c>
      <c r="E10" s="46" t="s">
        <v>280</v>
      </c>
      <c r="F10" s="46" t="s">
        <v>280</v>
      </c>
      <c r="G10" s="59" t="str">
        <f t="shared" si="0"/>
        <v>[effect:rush, count:1, val:1]</v>
      </c>
      <c r="H10" s="59">
        <f t="shared" si="1"/>
        <v>9</v>
      </c>
      <c r="I10" s="59">
        <f t="shared" si="2"/>
        <v>13</v>
      </c>
      <c r="J10" s="59" t="e">
        <f t="shared" si="3"/>
        <v>#VALUE!</v>
      </c>
      <c r="K10" s="59">
        <f t="shared" si="4"/>
        <v>22</v>
      </c>
      <c r="L10" s="59" t="str">
        <f>IFERROR(VLOOKUP(MID(G10,J10,K10-J10),[7]skilldef!$C:$D,2,FALSE),"-") &amp; " / " &amp; IFERROR(VLOOKUP(MID(G10,H10,I10-H10),[7]skilldef!$A:$B,2,FALSE),"-")</f>
        <v>- / 連続攻撃</v>
      </c>
      <c r="M10" s="59" t="str">
        <f t="shared" si="5"/>
        <v>none</v>
      </c>
      <c r="N10" s="43" t="str">
        <f t="shared" ref="N10:N16" si="15">IFERROR(LEFT(M10,FIND("],",M10)+S29),M10)</f>
        <v>none</v>
      </c>
      <c r="O10" s="59" t="e">
        <f t="shared" si="6"/>
        <v>#VALUE!</v>
      </c>
      <c r="P10" s="59">
        <f t="shared" si="7"/>
        <v>4</v>
      </c>
      <c r="Q10" s="59" t="e">
        <f t="shared" si="8"/>
        <v>#VALUE!</v>
      </c>
      <c r="R10" s="59" t="e">
        <f t="shared" si="9"/>
        <v>#VALUE!</v>
      </c>
      <c r="S10" s="59" t="str">
        <f>IFERROR(VLOOKUP(MID(N10,Q10,R10-Q10),[7]skilldef!$C:$D,2,FALSE),"-") &amp; " / " &amp; IFERROR(VLOOKUP(MID(N10,O10,P10-O10),[7]skilldef!$A:$B,2,FALSE),"-")</f>
        <v>- / -</v>
      </c>
      <c r="T10" s="43" t="str">
        <f t="shared" si="10"/>
        <v>none</v>
      </c>
      <c r="U10" s="59" t="e">
        <f t="shared" si="11"/>
        <v>#VALUE!</v>
      </c>
      <c r="V10" s="59">
        <f t="shared" si="12"/>
        <v>4</v>
      </c>
      <c r="W10" s="59" t="e">
        <f t="shared" si="13"/>
        <v>#VALUE!</v>
      </c>
      <c r="X10" s="59" t="e">
        <f t="shared" si="14"/>
        <v>#VALUE!</v>
      </c>
      <c r="Y10" s="59" t="str">
        <f>IFERROR(VLOOKUP(MID(T10,W10,X10-W10),[7]skilldef!$C:$D,2,FALSE),"-") &amp; " / " &amp; IFERROR(VLOOKUP(MID(T10,U10,V10-U10),[7]skilldef!$A:$B,2,FALSE),"-")</f>
        <v>- / -</v>
      </c>
      <c r="Z10" s="45"/>
      <c r="AA10" s="47"/>
      <c r="AB10" s="45"/>
    </row>
    <row r="11" spans="1:28" ht="21" customHeight="1" x14ac:dyDescent="0.15">
      <c r="A11" s="57">
        <v>200221400</v>
      </c>
      <c r="B11" s="42" t="s">
        <v>281</v>
      </c>
      <c r="C11" s="45">
        <v>3</v>
      </c>
      <c r="D11" s="45" t="s">
        <v>126</v>
      </c>
      <c r="E11" s="46" t="s">
        <v>282</v>
      </c>
      <c r="F11" s="46" t="s">
        <v>283</v>
      </c>
      <c r="G11" s="59" t="str">
        <f t="shared" si="0"/>
        <v>[effect:enemy_counter, target:myself, invoke_condition:unit_all, counter_target:attacker, turn:3, val:1, animation:enemy_counter]</v>
      </c>
      <c r="H11" s="59">
        <f t="shared" si="1"/>
        <v>9</v>
      </c>
      <c r="I11" s="59">
        <f t="shared" si="2"/>
        <v>22</v>
      </c>
      <c r="J11" s="59">
        <f t="shared" si="3"/>
        <v>31</v>
      </c>
      <c r="K11" s="59">
        <f t="shared" si="4"/>
        <v>37</v>
      </c>
      <c r="L11" s="59" t="str">
        <f>IFERROR(VLOOKUP(MID(G11,J11,K11-J11),[7]skilldef!$C:$D,2,FALSE),"-") &amp; " / " &amp; IFERROR(VLOOKUP(MID(G11,H11,I11-H11),[7]skilldef!$A:$B,2,FALSE),"-")</f>
        <v>自分自身に / カウンター</v>
      </c>
      <c r="M11" s="59" t="str">
        <f t="shared" si="5"/>
        <v>none</v>
      </c>
      <c r="N11" s="43" t="str">
        <f t="shared" si="15"/>
        <v>none</v>
      </c>
      <c r="O11" s="59" t="e">
        <f t="shared" si="6"/>
        <v>#VALUE!</v>
      </c>
      <c r="P11" s="59">
        <f t="shared" si="7"/>
        <v>4</v>
      </c>
      <c r="Q11" s="59" t="e">
        <f t="shared" si="8"/>
        <v>#VALUE!</v>
      </c>
      <c r="R11" s="59" t="e">
        <f t="shared" si="9"/>
        <v>#VALUE!</v>
      </c>
      <c r="S11" s="59" t="str">
        <f>IFERROR(VLOOKUP(MID(N11,Q11,R11-Q11),[7]skilldef!$C:$D,2,FALSE),"-") &amp; " / " &amp; IFERROR(VLOOKUP(MID(N11,O11,P11-O11),[7]skilldef!$A:$B,2,FALSE),"-")</f>
        <v>- / -</v>
      </c>
      <c r="T11" s="43" t="str">
        <f t="shared" si="10"/>
        <v>none</v>
      </c>
      <c r="U11" s="59" t="e">
        <f t="shared" si="11"/>
        <v>#VALUE!</v>
      </c>
      <c r="V11" s="59">
        <f t="shared" si="12"/>
        <v>4</v>
      </c>
      <c r="W11" s="59" t="e">
        <f t="shared" si="13"/>
        <v>#VALUE!</v>
      </c>
      <c r="X11" s="59" t="e">
        <f t="shared" si="14"/>
        <v>#VALUE!</v>
      </c>
      <c r="Y11" s="59" t="str">
        <f>IFERROR(VLOOKUP(MID(T11,W11,X11-W11),[7]skilldef!$C:$D,2,FALSE),"-") &amp; " / " &amp; IFERROR(VLOOKUP(MID(T11,U11,V11-U11),[7]skilldef!$A:$B,2,FALSE),"-")</f>
        <v>- / -</v>
      </c>
      <c r="Z11" s="45"/>
      <c r="AA11" s="47"/>
      <c r="AB11" s="45"/>
    </row>
    <row r="12" spans="1:28" ht="21" customHeight="1" x14ac:dyDescent="0.15">
      <c r="A12" s="57">
        <v>200221410</v>
      </c>
      <c r="B12" s="42" t="s">
        <v>279</v>
      </c>
      <c r="C12" s="45">
        <v>3</v>
      </c>
      <c r="D12" s="45" t="s">
        <v>126</v>
      </c>
      <c r="E12" s="46" t="s">
        <v>284</v>
      </c>
      <c r="F12" s="46" t="s">
        <v>284</v>
      </c>
      <c r="G12" s="59" t="str">
        <f t="shared" si="0"/>
        <v>[effect:rush, count:1, val:1]</v>
      </c>
      <c r="H12" s="59">
        <f t="shared" si="1"/>
        <v>9</v>
      </c>
      <c r="I12" s="59">
        <f t="shared" si="2"/>
        <v>13</v>
      </c>
      <c r="J12" s="59" t="e">
        <f t="shared" si="3"/>
        <v>#VALUE!</v>
      </c>
      <c r="K12" s="59">
        <f t="shared" si="4"/>
        <v>22</v>
      </c>
      <c r="L12" s="59" t="str">
        <f>IFERROR(VLOOKUP(MID(G12,J12,K12-J12),[7]skilldef!$C:$D,2,FALSE),"-") &amp; " / " &amp; IFERROR(VLOOKUP(MID(G12,H12,I12-H12),[7]skilldef!$A:$B,2,FALSE),"-")</f>
        <v>- / 連続攻撃</v>
      </c>
      <c r="M12" s="59" t="str">
        <f t="shared" si="5"/>
        <v>none</v>
      </c>
      <c r="N12" s="43" t="str">
        <f t="shared" si="15"/>
        <v>none</v>
      </c>
      <c r="O12" s="59" t="e">
        <f t="shared" si="6"/>
        <v>#VALUE!</v>
      </c>
      <c r="P12" s="59">
        <f t="shared" si="7"/>
        <v>4</v>
      </c>
      <c r="Q12" s="59" t="e">
        <f t="shared" si="8"/>
        <v>#VALUE!</v>
      </c>
      <c r="R12" s="59" t="e">
        <f t="shared" si="9"/>
        <v>#VALUE!</v>
      </c>
      <c r="S12" s="59" t="str">
        <f>IFERROR(VLOOKUP(MID(N12,Q12,R12-Q12),[7]skilldef!$C:$D,2,FALSE),"-") &amp; " / " &amp; IFERROR(VLOOKUP(MID(N12,O12,P12-O12),[7]skilldef!$A:$B,2,FALSE),"-")</f>
        <v>- / -</v>
      </c>
      <c r="T12" s="43" t="str">
        <f t="shared" si="10"/>
        <v>none</v>
      </c>
      <c r="U12" s="59" t="e">
        <f t="shared" si="11"/>
        <v>#VALUE!</v>
      </c>
      <c r="V12" s="59">
        <f t="shared" si="12"/>
        <v>4</v>
      </c>
      <c r="W12" s="59" t="e">
        <f t="shared" si="13"/>
        <v>#VALUE!</v>
      </c>
      <c r="X12" s="59" t="e">
        <f t="shared" si="14"/>
        <v>#VALUE!</v>
      </c>
      <c r="Y12" s="59" t="str">
        <f>IFERROR(VLOOKUP(MID(T12,W12,X12-W12),[7]skilldef!$C:$D,2,FALSE),"-") &amp; " / " &amp; IFERROR(VLOOKUP(MID(T12,U12,V12-U12),[7]skilldef!$A:$B,2,FALSE),"-")</f>
        <v>- / -</v>
      </c>
      <c r="Z12" s="45"/>
      <c r="AA12" s="47"/>
      <c r="AB12" s="45"/>
    </row>
    <row r="13" spans="1:28" ht="21" customHeight="1" x14ac:dyDescent="0.15">
      <c r="A13" s="57">
        <v>200221500</v>
      </c>
      <c r="B13" s="42" t="s">
        <v>285</v>
      </c>
      <c r="C13" s="45">
        <v>3</v>
      </c>
      <c r="D13" s="45" t="s">
        <v>126</v>
      </c>
      <c r="E13" s="46" t="s">
        <v>286</v>
      </c>
      <c r="F13" s="46" t="s">
        <v>287</v>
      </c>
      <c r="G13" s="59" t="str">
        <f t="shared" si="0"/>
        <v>[effect:rush, count:3, val:0.33]</v>
      </c>
      <c r="H13" s="59">
        <f t="shared" si="1"/>
        <v>9</v>
      </c>
      <c r="I13" s="59">
        <f t="shared" si="2"/>
        <v>13</v>
      </c>
      <c r="J13" s="59" t="e">
        <f t="shared" si="3"/>
        <v>#VALUE!</v>
      </c>
      <c r="K13" s="59">
        <f t="shared" si="4"/>
        <v>22</v>
      </c>
      <c r="L13" s="59" t="str">
        <f>IFERROR(VLOOKUP(MID(G13,J13,K13-J13),[7]skilldef!$C:$D,2,FALSE),"-") &amp; " / " &amp; IFERROR(VLOOKUP(MID(G13,H13,I13-H13),[7]skilldef!$A:$B,2,FALSE),"-")</f>
        <v>- / 連続攻撃</v>
      </c>
      <c r="M13" s="59" t="str">
        <f t="shared" si="5"/>
        <v>none</v>
      </c>
      <c r="N13" s="43" t="str">
        <f t="shared" si="15"/>
        <v>none</v>
      </c>
      <c r="O13" s="59" t="e">
        <f t="shared" si="6"/>
        <v>#VALUE!</v>
      </c>
      <c r="P13" s="59">
        <f t="shared" si="7"/>
        <v>4</v>
      </c>
      <c r="Q13" s="59" t="e">
        <f t="shared" si="8"/>
        <v>#VALUE!</v>
      </c>
      <c r="R13" s="59" t="e">
        <f t="shared" si="9"/>
        <v>#VALUE!</v>
      </c>
      <c r="S13" s="59" t="str">
        <f>IFERROR(VLOOKUP(MID(N13,Q13,R13-Q13),[7]skilldef!$C:$D,2,FALSE),"-") &amp; " / " &amp; IFERROR(VLOOKUP(MID(N13,O13,P13-O13),[7]skilldef!$A:$B,2,FALSE),"-")</f>
        <v>- / -</v>
      </c>
      <c r="T13" s="43" t="str">
        <f t="shared" si="10"/>
        <v>none</v>
      </c>
      <c r="U13" s="59" t="e">
        <f t="shared" si="11"/>
        <v>#VALUE!</v>
      </c>
      <c r="V13" s="59">
        <f t="shared" si="12"/>
        <v>4</v>
      </c>
      <c r="W13" s="59" t="e">
        <f t="shared" si="13"/>
        <v>#VALUE!</v>
      </c>
      <c r="X13" s="59" t="e">
        <f t="shared" si="14"/>
        <v>#VALUE!</v>
      </c>
      <c r="Y13" s="59" t="str">
        <f>IFERROR(VLOOKUP(MID(T13,W13,X13-W13),[7]skilldef!$C:$D,2,FALSE),"-") &amp; " / " &amp; IFERROR(VLOOKUP(MID(T13,U13,V13-U13),[7]skilldef!$A:$B,2,FALSE),"-")</f>
        <v>- / -</v>
      </c>
      <c r="Z13" s="45"/>
      <c r="AA13" s="47"/>
      <c r="AB13" s="45"/>
    </row>
    <row r="14" spans="1:28" ht="21" customHeight="1" x14ac:dyDescent="0.15">
      <c r="A14" s="57">
        <v>200221510</v>
      </c>
      <c r="B14" s="42" t="s">
        <v>288</v>
      </c>
      <c r="C14" s="45">
        <v>3</v>
      </c>
      <c r="D14" s="45" t="s">
        <v>126</v>
      </c>
      <c r="E14" s="46" t="s">
        <v>289</v>
      </c>
      <c r="F14" s="46" t="s">
        <v>290</v>
      </c>
      <c r="G14" s="59" t="str">
        <f t="shared" si="0"/>
        <v>[effect:critical, val:1]</v>
      </c>
      <c r="H14" s="59">
        <f t="shared" si="1"/>
        <v>9</v>
      </c>
      <c r="I14" s="59">
        <f t="shared" si="2"/>
        <v>17</v>
      </c>
      <c r="J14" s="59" t="e">
        <f t="shared" si="3"/>
        <v>#VALUE!</v>
      </c>
      <c r="K14" s="59" t="e">
        <f t="shared" si="4"/>
        <v>#VALUE!</v>
      </c>
      <c r="L14" s="59" t="str">
        <f>IFERROR(VLOOKUP(MID(G14,J14,K14-J14),[7]skilldef!$C:$D,2,FALSE),"-") &amp; " / " &amp; IFERROR(VLOOKUP(MID(G14,H14,I14-H14),[7]skilldef!$A:$B,2,FALSE),"-")</f>
        <v>- / 大攻撃</v>
      </c>
      <c r="M14" s="59" t="str">
        <f t="shared" si="5"/>
        <v>none</v>
      </c>
      <c r="N14" s="43" t="str">
        <f t="shared" si="15"/>
        <v>none</v>
      </c>
      <c r="O14" s="59" t="e">
        <f t="shared" si="6"/>
        <v>#VALUE!</v>
      </c>
      <c r="P14" s="59">
        <f t="shared" si="7"/>
        <v>4</v>
      </c>
      <c r="Q14" s="59" t="e">
        <f t="shared" si="8"/>
        <v>#VALUE!</v>
      </c>
      <c r="R14" s="59" t="e">
        <f t="shared" si="9"/>
        <v>#VALUE!</v>
      </c>
      <c r="S14" s="59" t="str">
        <f>IFERROR(VLOOKUP(MID(N14,Q14,R14-Q14),[7]skilldef!$C:$D,2,FALSE),"-") &amp; " / " &amp; IFERROR(VLOOKUP(MID(N14,O14,P14-O14),[7]skilldef!$A:$B,2,FALSE),"-")</f>
        <v>- / -</v>
      </c>
      <c r="T14" s="43" t="str">
        <f t="shared" si="10"/>
        <v>none</v>
      </c>
      <c r="U14" s="59" t="e">
        <f t="shared" si="11"/>
        <v>#VALUE!</v>
      </c>
      <c r="V14" s="59">
        <f t="shared" si="12"/>
        <v>4</v>
      </c>
      <c r="W14" s="59" t="e">
        <f t="shared" si="13"/>
        <v>#VALUE!</v>
      </c>
      <c r="X14" s="59" t="e">
        <f t="shared" si="14"/>
        <v>#VALUE!</v>
      </c>
      <c r="Y14" s="59" t="str">
        <f>IFERROR(VLOOKUP(MID(T14,W14,X14-W14),[7]skilldef!$C:$D,2,FALSE),"-") &amp; " / " &amp; IFERROR(VLOOKUP(MID(T14,U14,V14-U14),[7]skilldef!$A:$B,2,FALSE),"-")</f>
        <v>- / -</v>
      </c>
      <c r="Z14" s="45"/>
      <c r="AA14" s="47"/>
      <c r="AB14" s="45"/>
    </row>
    <row r="15" spans="1:28" ht="21" customHeight="1" x14ac:dyDescent="0.15">
      <c r="A15" s="57">
        <v>200221520</v>
      </c>
      <c r="B15" s="42" t="s">
        <v>291</v>
      </c>
      <c r="C15" s="45">
        <v>3</v>
      </c>
      <c r="D15" s="45" t="s">
        <v>292</v>
      </c>
      <c r="E15" s="46" t="s">
        <v>293</v>
      </c>
      <c r="F15" s="46" t="s">
        <v>294</v>
      </c>
      <c r="G15" s="59" t="str">
        <f t="shared" si="0"/>
        <v>[effect:nothing]</v>
      </c>
      <c r="H15" s="59">
        <f t="shared" si="1"/>
        <v>9</v>
      </c>
      <c r="I15" s="59">
        <f t="shared" si="2"/>
        <v>16</v>
      </c>
      <c r="J15" s="59" t="e">
        <f t="shared" si="3"/>
        <v>#VALUE!</v>
      </c>
      <c r="K15" s="59" t="e">
        <f t="shared" si="4"/>
        <v>#VALUE!</v>
      </c>
      <c r="L15" s="59" t="str">
        <f>IFERROR(VLOOKUP(MID(G15,J15,K15-J15),[7]skilldef!$C:$D,2,FALSE),"-") &amp; " / " &amp; IFERROR(VLOOKUP(MID(G15,H15,I15-H15),[7]skilldef!$A:$B,2,FALSE),"-")</f>
        <v>- / 何もしない</v>
      </c>
      <c r="M15" s="59" t="str">
        <f t="shared" si="5"/>
        <v>none</v>
      </c>
      <c r="N15" s="43" t="str">
        <f t="shared" si="15"/>
        <v>none</v>
      </c>
      <c r="O15" s="59" t="e">
        <f t="shared" si="6"/>
        <v>#VALUE!</v>
      </c>
      <c r="P15" s="59">
        <f t="shared" si="7"/>
        <v>4</v>
      </c>
      <c r="Q15" s="59" t="e">
        <f t="shared" si="8"/>
        <v>#VALUE!</v>
      </c>
      <c r="R15" s="59" t="e">
        <f t="shared" si="9"/>
        <v>#VALUE!</v>
      </c>
      <c r="S15" s="59" t="str">
        <f>IFERROR(VLOOKUP(MID(N15,Q15,R15-Q15),[7]skilldef!$C:$D,2,FALSE),"-") &amp; " / " &amp; IFERROR(VLOOKUP(MID(N15,O15,P15-O15),[7]skilldef!$A:$B,2,FALSE),"-")</f>
        <v>- / -</v>
      </c>
      <c r="T15" s="43" t="str">
        <f t="shared" si="10"/>
        <v>none</v>
      </c>
      <c r="U15" s="59" t="e">
        <f t="shared" si="11"/>
        <v>#VALUE!</v>
      </c>
      <c r="V15" s="59">
        <f t="shared" si="12"/>
        <v>4</v>
      </c>
      <c r="W15" s="59" t="e">
        <f t="shared" si="13"/>
        <v>#VALUE!</v>
      </c>
      <c r="X15" s="59" t="e">
        <f t="shared" si="14"/>
        <v>#VALUE!</v>
      </c>
      <c r="Y15" s="59" t="str">
        <f>IFERROR(VLOOKUP(MID(T15,W15,X15-W15),[7]skilldef!$C:$D,2,FALSE),"-") &amp; " / " &amp; IFERROR(VLOOKUP(MID(T15,U15,V15-U15),[7]skilldef!$A:$B,2,FALSE),"-")</f>
        <v>- / -</v>
      </c>
      <c r="Z15" s="45"/>
      <c r="AA15" s="47"/>
      <c r="AB15" s="45"/>
    </row>
    <row r="16" spans="1:28" ht="21" customHeight="1" x14ac:dyDescent="0.15">
      <c r="A16" s="57">
        <v>200221530</v>
      </c>
      <c r="B16" s="42" t="s">
        <v>259</v>
      </c>
      <c r="C16" s="45">
        <v>3</v>
      </c>
      <c r="D16" s="45" t="s">
        <v>126</v>
      </c>
      <c r="E16" s="46" t="s">
        <v>295</v>
      </c>
      <c r="F16" s="46" t="s">
        <v>296</v>
      </c>
      <c r="G16" s="59" t="str">
        <f t="shared" si="0"/>
        <v>[effect:nothing]</v>
      </c>
      <c r="H16" s="59">
        <f t="shared" si="1"/>
        <v>9</v>
      </c>
      <c r="I16" s="59">
        <f t="shared" si="2"/>
        <v>16</v>
      </c>
      <c r="J16" s="59" t="e">
        <f t="shared" si="3"/>
        <v>#VALUE!</v>
      </c>
      <c r="K16" s="59" t="e">
        <f t="shared" si="4"/>
        <v>#VALUE!</v>
      </c>
      <c r="L16" s="59" t="str">
        <f>IFERROR(VLOOKUP(MID(G16,J16,K16-J16),[7]skilldef!$C:$D,2,FALSE),"-") &amp; " / " &amp; IFERROR(VLOOKUP(MID(G16,H16,I16-H16),[7]skilldef!$A:$B,2,FALSE),"-")</f>
        <v>- / 何もしない</v>
      </c>
      <c r="M16" s="59" t="str">
        <f t="shared" si="5"/>
        <v>none</v>
      </c>
      <c r="N16" s="43" t="str">
        <f t="shared" si="15"/>
        <v>none</v>
      </c>
      <c r="O16" s="59" t="e">
        <f t="shared" si="6"/>
        <v>#VALUE!</v>
      </c>
      <c r="P16" s="59">
        <f t="shared" si="7"/>
        <v>4</v>
      </c>
      <c r="Q16" s="59" t="e">
        <f t="shared" si="8"/>
        <v>#VALUE!</v>
      </c>
      <c r="R16" s="59" t="e">
        <f t="shared" si="9"/>
        <v>#VALUE!</v>
      </c>
      <c r="S16" s="59" t="str">
        <f>IFERROR(VLOOKUP(MID(N16,Q16,R16-Q16),[7]skilldef!$C:$D,2,FALSE),"-") &amp; " / " &amp; IFERROR(VLOOKUP(MID(N16,O16,P16-O16),[7]skilldef!$A:$B,2,FALSE),"-")</f>
        <v>- / -</v>
      </c>
      <c r="T16" s="43" t="str">
        <f t="shared" si="10"/>
        <v>none</v>
      </c>
      <c r="U16" s="59" t="e">
        <f t="shared" si="11"/>
        <v>#VALUE!</v>
      </c>
      <c r="V16" s="59">
        <f t="shared" si="12"/>
        <v>4</v>
      </c>
      <c r="W16" s="59" t="e">
        <f t="shared" si="13"/>
        <v>#VALUE!</v>
      </c>
      <c r="X16" s="59" t="e">
        <f t="shared" si="14"/>
        <v>#VALUE!</v>
      </c>
      <c r="Y16" s="59" t="str">
        <f>IFERROR(VLOOKUP(MID(T16,W16,X16-W16),[7]skilldef!$C:$D,2,FALSE),"-") &amp; " / " &amp; IFERROR(VLOOKUP(MID(T16,U16,V16-U16),[7]skilldef!$A:$B,2,FALSE),"-")</f>
        <v>- / -</v>
      </c>
      <c r="Z16" s="45"/>
      <c r="AA16" s="47"/>
      <c r="AB16" s="45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4" bestFit="1" customWidth="1"/>
    <col min="2" max="2" width="9.5" style="44" bestFit="1" customWidth="1"/>
    <col min="3" max="3" width="9.6640625" style="44" customWidth="1"/>
    <col min="4" max="4" width="18.5" style="44" customWidth="1" outlineLevel="1"/>
    <col min="5" max="5" width="44.1640625" style="44" bestFit="1" customWidth="1" outlineLevel="1"/>
    <col min="6" max="6" width="10.83203125" style="44" bestFit="1" customWidth="1"/>
    <col min="7" max="7" width="8.33203125" style="44" bestFit="1" customWidth="1" outlineLevel="1"/>
    <col min="8" max="9" width="12.83203125" style="44" outlineLevel="1"/>
    <col min="10" max="10" width="17.6640625" style="44" bestFit="1" customWidth="1" outlineLevel="1"/>
    <col min="11" max="15" width="12.83203125" style="44" outlineLevel="1"/>
    <col min="16" max="16" width="8.33203125" style="40" bestFit="1" customWidth="1"/>
    <col min="17" max="17" width="9.6640625" style="40" customWidth="1"/>
    <col min="18" max="18" width="56.5" style="40" bestFit="1" customWidth="1"/>
    <col min="19" max="16384" width="12.83203125" style="40"/>
  </cols>
  <sheetData>
    <row r="1" spans="1:18" ht="21" customHeight="1" x14ac:dyDescent="0.15">
      <c r="A1" s="34" t="s">
        <v>60</v>
      </c>
      <c r="B1" s="35" t="s">
        <v>61</v>
      </c>
      <c r="C1" s="35" t="s">
        <v>62</v>
      </c>
      <c r="D1" s="36" t="s">
        <v>63</v>
      </c>
      <c r="E1" s="36" t="s">
        <v>64</v>
      </c>
      <c r="F1" s="37" t="s">
        <v>65</v>
      </c>
      <c r="G1" s="38" t="s">
        <v>66</v>
      </c>
      <c r="H1" s="38" t="s">
        <v>68</v>
      </c>
      <c r="I1" s="38" t="s">
        <v>69</v>
      </c>
      <c r="J1" s="38" t="s">
        <v>70</v>
      </c>
      <c r="K1" s="39" t="s">
        <v>71</v>
      </c>
      <c r="L1" s="39" t="s">
        <v>72</v>
      </c>
      <c r="M1" s="38" t="s">
        <v>73</v>
      </c>
      <c r="N1" s="38" t="s">
        <v>74</v>
      </c>
      <c r="O1" s="38" t="s">
        <v>75</v>
      </c>
      <c r="P1" s="36" t="s">
        <v>76</v>
      </c>
      <c r="Q1" s="36" t="s">
        <v>77</v>
      </c>
      <c r="R1" s="36" t="s">
        <v>78</v>
      </c>
    </row>
    <row r="2" spans="1:18" ht="21" customHeight="1" x14ac:dyDescent="0.15">
      <c r="A2" s="34" t="str">
        <f t="shared" ref="A2" si="0">B2&amp;"_"&amp;C2</f>
        <v>200221100_200221100</v>
      </c>
      <c r="B2" s="42">
        <v>200221100</v>
      </c>
      <c r="C2" s="42">
        <v>200221100</v>
      </c>
      <c r="D2" s="41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ガガ…干支ノ順ニ 撃破セヨ！</v>
      </c>
      <c r="E2" s="41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すると 宴が開かれる という噂だ</v>
      </c>
      <c r="F2" s="42">
        <v>200221100</v>
      </c>
      <c r="G2" s="43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3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3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3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3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3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3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3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3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2"/>
      <c r="Q2" s="42"/>
      <c r="R2" s="42"/>
    </row>
    <row r="3" spans="1:18" ht="21" customHeight="1" x14ac:dyDescent="0.15">
      <c r="A3" s="34" t="str">
        <f t="shared" ref="A3:A14" si="1">B3&amp;"_"&amp;C3</f>
        <v>200221200_200221200</v>
      </c>
      <c r="B3" s="42">
        <v>200221200</v>
      </c>
      <c r="C3" s="42">
        <v>200221200</v>
      </c>
      <c r="D3" s="41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モー 順番守ろうよ</v>
      </c>
      <c r="E3" s="41" t="str">
        <f ca="1">VLOOKUP($C3,OFFSET(enemy_skills!$A$1,0,0,COUNTA(enemy_skills!$A:$A),MATCH(E$1,enemy_skills!$1:$1,0)-MATCH("enemy_skill_id",enemy_skills!$1:$1,0)+1),MATCH(E$1,enemy_skills!$1:$1,0)-MATCH("enemy_skill_id",enemy_skills!$1:$1,0)+1,FALSE)</f>
        <v>HPが全回復！</v>
      </c>
      <c r="F3" s="42">
        <v>200221200</v>
      </c>
      <c r="G3" s="43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3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3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3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3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3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3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3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94</v>
      </c>
      <c r="O3" s="43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2"/>
      <c r="Q3" s="42"/>
      <c r="R3" s="42"/>
    </row>
    <row r="4" spans="1:18" ht="21" customHeight="1" x14ac:dyDescent="0.15">
      <c r="A4" s="34" t="str">
        <f t="shared" si="1"/>
        <v>200221210_200221210</v>
      </c>
      <c r="B4" s="42">
        <v>200221210</v>
      </c>
      <c r="C4" s="42">
        <v>200221210</v>
      </c>
      <c r="D4" s="41" t="str">
        <f ca="1">VLOOKUP($C4,OFFSET(enemy_skills!$A$1,0,0,COUNTA(enemy_skills!$A:$A),MATCH(D$1,enemy_skills!$1:$1,0)-MATCH("enemy_skill_id",enemy_skills!$1:$1,0)+1),MATCH(D$1,enemy_skills!$1:$1,0)-MATCH("enemy_skill_id",enemy_skills!$1:$1,0)+1,FALSE)</f>
        <v>寅</v>
      </c>
      <c r="E4" s="41" t="str">
        <f ca="1">VLOOKUP($C4,OFFSET(enemy_skills!$A$1,0,0,COUNTA(enemy_skills!$A:$A),MATCH(E$1,enemy_skills!$1:$1,0)-MATCH("enemy_skill_id",enemy_skills!$1:$1,0)+1),MATCH(E$1,enemy_skills!$1:$1,0)-MATCH("enemy_skill_id",enemy_skills!$1:$1,0)+1,FALSE)</f>
        <v>寅</v>
      </c>
      <c r="F4" s="42">
        <v>200221210</v>
      </c>
      <c r="G4" s="43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3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3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3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3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3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3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3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3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2"/>
      <c r="Q4" s="42"/>
      <c r="R4" s="42"/>
    </row>
    <row r="5" spans="1:18" ht="21" customHeight="1" x14ac:dyDescent="0.15">
      <c r="A5" s="34" t="str">
        <f t="shared" si="1"/>
        <v>200221300_200221300</v>
      </c>
      <c r="B5" s="42">
        <v>200221300</v>
      </c>
      <c r="C5" s="42">
        <v>200221300</v>
      </c>
      <c r="D5" s="41" t="str">
        <f ca="1">VLOOKUP($C5,OFFSET(enemy_skills!$A$1,0,0,COUNTA(enemy_skills!$A:$A),MATCH(D$1,enemy_skills!$1:$1,0)-MATCH("enemy_skill_id",enemy_skills!$1:$1,0)+1),MATCH(D$1,enemy_skills!$1:$1,0)-MATCH("enemy_skill_id",enemy_skills!$1:$1,0)+1,FALSE)</f>
        <v>&lt;干支の順番は コチラですよ&gt;</v>
      </c>
      <c r="E5" s="41" t="str">
        <f ca="1">VLOOKUP($C5,OFFSET(enemy_skills!$A$1,0,0,COUNTA(enemy_skills!$A:$A),MATCH(E$1,enemy_skills!$1:$1,0)-MATCH("enemy_skill_id",enemy_skills!$1:$1,0)+1),MATCH(E$1,enemy_skills!$1:$1,0)-MATCH("enemy_skill_id",enemy_skills!$1:$1,0)+1,FALSE)</f>
        <v>子 丑 寅 卯 辰 巳 午 未 申 酉 戌 亥</v>
      </c>
      <c r="F5" s="42">
        <v>200221300</v>
      </c>
      <c r="G5" s="43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3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3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3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3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3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3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3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91</v>
      </c>
      <c r="O5" s="43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2"/>
      <c r="Q5" s="42"/>
      <c r="R5" s="42"/>
    </row>
    <row r="6" spans="1:18" ht="21" customHeight="1" x14ac:dyDescent="0.15">
      <c r="A6" s="34" t="str">
        <f t="shared" si="1"/>
        <v>200221309_200221309</v>
      </c>
      <c r="B6" s="42">
        <v>200221309</v>
      </c>
      <c r="C6" s="42">
        <v>200221309</v>
      </c>
      <c r="D6" s="41" t="str">
        <f ca="1">VLOOKUP($C6,OFFSET(enemy_skills!$A$1,0,0,COUNTA(enemy_skills!$A:$A),MATCH(D$1,enemy_skills!$1:$1,0)-MATCH("enemy_skill_id",enemy_skills!$1:$1,0)+1),MATCH(D$1,enemy_skills!$1:$1,0)-MATCH("enemy_skill_id",enemy_skills!$1:$1,0)+1,FALSE)</f>
        <v>&lt;タマゴシステムを 起動します&gt;</v>
      </c>
      <c r="E6" s="41" t="str">
        <f ca="1">VLOOKUP($C6,OFFSET(enemy_skills!$A$1,0,0,COUNTA(enemy_skills!$A:$A),MATCH(E$1,enemy_skills!$1:$1,0)-MATCH("enemy_skill_id",enemy_skills!$1:$1,0)+1),MATCH(E$1,enemy_skills!$1:$1,0)-MATCH("enemy_skill_id",enemy_skills!$1:$1,0)+1,FALSE)</f>
        <v>何かのタマゴが ドロップする！</v>
      </c>
      <c r="F6" s="42">
        <v>200221309</v>
      </c>
      <c r="G6" s="43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3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3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3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3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3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3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3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3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2"/>
      <c r="Q6" s="42"/>
      <c r="R6" s="42"/>
    </row>
    <row r="7" spans="1:18" ht="21" customHeight="1" x14ac:dyDescent="0.15">
      <c r="A7" s="34" t="str">
        <f t="shared" si="1"/>
        <v>200221310_200221310</v>
      </c>
      <c r="B7" s="42">
        <v>200221310</v>
      </c>
      <c r="C7" s="42">
        <v>200221310</v>
      </c>
      <c r="D7" s="41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マーチの順番 先なのに！</v>
      </c>
      <c r="E7" s="41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全体に攻撃！</v>
      </c>
      <c r="F7" s="42">
        <v>200221300</v>
      </c>
      <c r="G7" s="43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3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3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3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3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3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3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3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91</v>
      </c>
      <c r="O7" s="43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2"/>
      <c r="Q7" s="42"/>
      <c r="R7" s="42"/>
    </row>
    <row r="8" spans="1:18" ht="21" customHeight="1" x14ac:dyDescent="0.15">
      <c r="A8" s="34" t="str">
        <f t="shared" ref="A8" si="2">B8&amp;"_"&amp;C8</f>
        <v>200221320_200221320</v>
      </c>
      <c r="B8" s="42">
        <v>200221320</v>
      </c>
      <c r="C8" s="42">
        <v>200221320</v>
      </c>
      <c r="D8" s="41" t="str">
        <f ca="1">VLOOKUP($C8,OFFSET(enemy_skills!$A$1,0,0,COUNTA(enemy_skills!$A:$A),MATCH(D$1,enemy_skills!$1:$1,0)-MATCH("enemy_skill_id",enemy_skills!$1:$1,0)+1),MATCH(D$1,enemy_skills!$1:$1,0)-MATCH("enemy_skill_id",enemy_skills!$1:$1,0)+1,FALSE)</f>
        <v>辰</v>
      </c>
      <c r="E8" s="41" t="str">
        <f ca="1">VLOOKUP($C8,OFFSET(enemy_skills!$A$1,0,0,COUNTA(enemy_skills!$A:$A),MATCH(E$1,enemy_skills!$1:$1,0)-MATCH("enemy_skill_id",enemy_skills!$1:$1,0)+1),MATCH(E$1,enemy_skills!$1:$1,0)-MATCH("enemy_skill_id",enemy_skills!$1:$1,0)+1,FALSE)</f>
        <v>辰</v>
      </c>
      <c r="F8" s="42">
        <v>200221320</v>
      </c>
      <c r="G8" s="43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3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3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3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3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3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3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3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3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2"/>
      <c r="Q8" s="42"/>
      <c r="R8" s="42"/>
    </row>
    <row r="9" spans="1:18" ht="21" customHeight="1" x14ac:dyDescent="0.15">
      <c r="A9" s="34" t="str">
        <f t="shared" si="1"/>
        <v>200221400_200221400</v>
      </c>
      <c r="B9" s="42">
        <v>200221400</v>
      </c>
      <c r="C9" s="42">
        <v>200221400</v>
      </c>
      <c r="D9" s="41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このアタイを 差し置いてぇ</v>
      </c>
      <c r="E9" s="41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3ターンの間 攻撃を受けるとカウンター！</v>
      </c>
      <c r="F9" s="42">
        <v>200221400</v>
      </c>
      <c r="G9" s="43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3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3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3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3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3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3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3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264</v>
      </c>
      <c r="O9" s="43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2"/>
      <c r="Q9" s="42"/>
      <c r="R9" s="42"/>
    </row>
    <row r="10" spans="1:18" ht="21" customHeight="1" x14ac:dyDescent="0.15">
      <c r="A10" s="34" t="str">
        <f t="shared" si="1"/>
        <v>200221410_200221410</v>
      </c>
      <c r="B10" s="42">
        <v>200221410</v>
      </c>
      <c r="C10" s="42">
        <v>200221410</v>
      </c>
      <c r="D10" s="41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午</v>
      </c>
      <c r="E10" s="41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午</v>
      </c>
      <c r="F10" s="42">
        <v>200221410</v>
      </c>
      <c r="G10" s="43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3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3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3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3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3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3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3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3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2"/>
      <c r="Q10" s="42"/>
      <c r="R10" s="42"/>
    </row>
    <row r="11" spans="1:18" ht="21" customHeight="1" x14ac:dyDescent="0.15">
      <c r="A11" s="34" t="str">
        <f t="shared" si="1"/>
        <v>200221500_200221500</v>
      </c>
      <c r="B11" s="42">
        <v>200221500</v>
      </c>
      <c r="C11" s="42">
        <v>200221500</v>
      </c>
      <c r="D11" s="41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ヒツジ…いないでゴザル！</v>
      </c>
      <c r="E11" s="41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如意棒の 3連撃！</v>
      </c>
      <c r="F11" s="42">
        <v>200221500</v>
      </c>
      <c r="G11" s="43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3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3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3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3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3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3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3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3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2"/>
      <c r="Q11" s="42"/>
      <c r="R11" s="42"/>
    </row>
    <row r="12" spans="1:18" ht="21" customHeight="1" x14ac:dyDescent="0.15">
      <c r="A12" s="34" t="str">
        <f t="shared" si="1"/>
        <v>200221510_200221510</v>
      </c>
      <c r="B12" s="42">
        <v>200221510</v>
      </c>
      <c r="C12" s="42">
        <v>200221510</v>
      </c>
      <c r="D12" s="41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ヒツジが 見当たらぬぞ！</v>
      </c>
      <c r="E12" s="41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干支の順が 完成できない！</v>
      </c>
      <c r="F12" s="42">
        <v>200221510</v>
      </c>
      <c r="G12" s="43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3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3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3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3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3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3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3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3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2"/>
      <c r="Q12" s="42"/>
      <c r="R12" s="42"/>
    </row>
    <row r="13" spans="1:18" ht="21" customHeight="1" x14ac:dyDescent="0.15">
      <c r="A13" s="34" t="str">
        <f t="shared" si="1"/>
        <v>200221520_200221520</v>
      </c>
      <c r="B13" s="42">
        <v>200221520</v>
      </c>
      <c r="C13" s="42">
        <v>200221520</v>
      </c>
      <c r="D13" s="41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ワンワン！</v>
      </c>
      <c r="E13" s="41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翻訳「ジンギスカン うまかった！」</v>
      </c>
      <c r="F13" s="42">
        <v>200221520</v>
      </c>
      <c r="G13" s="43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3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3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3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3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3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3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3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3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2"/>
      <c r="Q13" s="42"/>
      <c r="R13" s="42"/>
    </row>
    <row r="14" spans="1:18" ht="21" customHeight="1" x14ac:dyDescent="0.15">
      <c r="A14" s="34" t="str">
        <f t="shared" si="1"/>
        <v>200221530_200221530</v>
      </c>
      <c r="B14" s="42">
        <v>200221530</v>
      </c>
      <c r="C14" s="42">
        <v>200221530</v>
      </c>
      <c r="D14" s="41" t="str">
        <f ca="1">VLOOKUP($C14,OFFSET(enemy_skills!$A$1,0,0,COUNTA(enemy_skills!$A:$A),MATCH(D$1,enemy_skills!$1:$1,0)-MATCH("enemy_skill_id",enemy_skills!$1:$1,0)+1),MATCH(D$1,enemy_skills!$1:$1,0)-MATCH("enemy_skill_id",enemy_skills!$1:$1,0)+1,FALSE)</f>
        <v>…羊殿は いずこ！？</v>
      </c>
      <c r="E14" s="41" t="str">
        <f ca="1">VLOOKUP($C14,OFFSET(enemy_skills!$A$1,0,0,COUNTA(enemy_skills!$A:$A),MATCH(E$1,enemy_skills!$1:$1,0)-MATCH("enemy_skill_id",enemy_skills!$1:$1,0)+1),MATCH(E$1,enemy_skills!$1:$1,0)-MATCH("enemy_skill_id",enemy_skills!$1:$1,0)+1,FALSE)</f>
        <v>ALICEに 羊ユニットはいない！</v>
      </c>
      <c r="F14" s="42">
        <v>200221530</v>
      </c>
      <c r="G14" s="43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3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3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3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3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3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3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3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3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2"/>
      <c r="Q14" s="42"/>
      <c r="R14" s="42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4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4" bestFit="1" customWidth="1"/>
    <col min="2" max="2" width="13.33203125" style="44" bestFit="1" customWidth="1"/>
    <col min="3" max="3" width="11.83203125" style="44" bestFit="1" customWidth="1"/>
    <col min="4" max="4" width="14.6640625" style="44" bestFit="1" customWidth="1"/>
    <col min="5" max="5" width="15.6640625" style="44" bestFit="1" customWidth="1"/>
    <col min="6" max="6" width="17" style="44" bestFit="1" customWidth="1"/>
    <col min="7" max="7" width="15.6640625" style="44" bestFit="1" customWidth="1"/>
    <col min="8" max="9" width="14.6640625" style="44" customWidth="1"/>
    <col min="10" max="10" width="14.6640625" style="44" bestFit="1" customWidth="1"/>
    <col min="11" max="11" width="22.83203125" style="34" bestFit="1" customWidth="1"/>
    <col min="12" max="16384" width="12.83203125" style="40"/>
  </cols>
  <sheetData>
    <row r="1" spans="1:11" ht="21" customHeight="1" x14ac:dyDescent="0.15">
      <c r="A1" s="37" t="s">
        <v>84</v>
      </c>
      <c r="B1" s="37" t="s">
        <v>85</v>
      </c>
      <c r="C1" s="37" t="s">
        <v>86</v>
      </c>
      <c r="D1" s="37" t="s">
        <v>87</v>
      </c>
      <c r="E1" s="37" t="s">
        <v>70</v>
      </c>
      <c r="F1" s="48" t="s">
        <v>71</v>
      </c>
      <c r="G1" s="48" t="s">
        <v>72</v>
      </c>
      <c r="H1" s="37" t="s">
        <v>73</v>
      </c>
      <c r="I1" s="37" t="s">
        <v>74</v>
      </c>
      <c r="J1" s="37" t="s">
        <v>75</v>
      </c>
      <c r="K1" s="49" t="s">
        <v>88</v>
      </c>
    </row>
    <row r="2" spans="1:11" ht="21" customHeight="1" x14ac:dyDescent="0.15">
      <c r="A2" s="57">
        <v>200221100</v>
      </c>
      <c r="B2" s="42">
        <v>1</v>
      </c>
      <c r="C2" s="42" t="s">
        <v>53</v>
      </c>
      <c r="D2" s="42">
        <v>100</v>
      </c>
      <c r="E2" s="42" t="s">
        <v>53</v>
      </c>
      <c r="F2" s="42" t="s">
        <v>53</v>
      </c>
      <c r="G2" s="42">
        <v>1</v>
      </c>
      <c r="H2" s="42" t="s">
        <v>53</v>
      </c>
      <c r="I2" s="42" t="s">
        <v>53</v>
      </c>
      <c r="J2" s="43">
        <f t="shared" ref="J2:J14" si="0">D2</f>
        <v>100</v>
      </c>
    </row>
    <row r="3" spans="1:11" ht="21" customHeight="1" x14ac:dyDescent="0.15">
      <c r="A3" s="57">
        <v>200221200</v>
      </c>
      <c r="B3" s="42">
        <v>0</v>
      </c>
      <c r="C3" s="42" t="s">
        <v>53</v>
      </c>
      <c r="D3" s="42">
        <v>100</v>
      </c>
      <c r="E3" s="42" t="s">
        <v>53</v>
      </c>
      <c r="F3" s="42" t="s">
        <v>53</v>
      </c>
      <c r="G3" s="42">
        <v>1</v>
      </c>
      <c r="H3" s="42" t="s">
        <v>53</v>
      </c>
      <c r="I3" s="42">
        <v>94</v>
      </c>
      <c r="J3" s="43">
        <f t="shared" si="0"/>
        <v>100</v>
      </c>
    </row>
    <row r="4" spans="1:11" ht="21" customHeight="1" x14ac:dyDescent="0.15">
      <c r="A4" s="57">
        <v>200221210</v>
      </c>
      <c r="B4" s="42">
        <v>0</v>
      </c>
      <c r="C4" s="42" t="s">
        <v>53</v>
      </c>
      <c r="D4" s="42">
        <v>100</v>
      </c>
      <c r="E4" s="42" t="s">
        <v>53</v>
      </c>
      <c r="F4" s="42" t="s">
        <v>53</v>
      </c>
      <c r="G4" s="42">
        <v>1</v>
      </c>
      <c r="H4" s="42" t="s">
        <v>53</v>
      </c>
      <c r="I4" s="42" t="s">
        <v>53</v>
      </c>
      <c r="J4" s="43">
        <f t="shared" si="0"/>
        <v>100</v>
      </c>
    </row>
    <row r="5" spans="1:11" ht="21" customHeight="1" x14ac:dyDescent="0.15">
      <c r="A5" s="57">
        <v>200221300</v>
      </c>
      <c r="B5" s="42">
        <v>0</v>
      </c>
      <c r="C5" s="42" t="s">
        <v>53</v>
      </c>
      <c r="D5" s="42">
        <v>100</v>
      </c>
      <c r="E5" s="42" t="s">
        <v>53</v>
      </c>
      <c r="F5" s="42" t="s">
        <v>53</v>
      </c>
      <c r="G5" s="42">
        <v>1</v>
      </c>
      <c r="H5" s="42" t="s">
        <v>53</v>
      </c>
      <c r="I5" s="42">
        <v>91</v>
      </c>
      <c r="J5" s="43">
        <f t="shared" si="0"/>
        <v>100</v>
      </c>
    </row>
    <row r="6" spans="1:11" ht="21" customHeight="1" x14ac:dyDescent="0.15">
      <c r="A6" s="57">
        <v>200221309</v>
      </c>
      <c r="B6" s="42">
        <v>1</v>
      </c>
      <c r="C6" s="42" t="s">
        <v>53</v>
      </c>
      <c r="D6" s="42">
        <v>100</v>
      </c>
      <c r="E6" s="42" t="s">
        <v>53</v>
      </c>
      <c r="F6" s="42" t="s">
        <v>53</v>
      </c>
      <c r="G6" s="42">
        <v>1</v>
      </c>
      <c r="H6" s="42" t="s">
        <v>53</v>
      </c>
      <c r="I6" s="42" t="s">
        <v>53</v>
      </c>
      <c r="J6" s="43">
        <f t="shared" si="0"/>
        <v>100</v>
      </c>
    </row>
    <row r="7" spans="1:11" ht="21" customHeight="1" x14ac:dyDescent="0.15">
      <c r="A7" s="57">
        <v>200221310</v>
      </c>
      <c r="B7" s="42">
        <v>0</v>
      </c>
      <c r="C7" s="42" t="s">
        <v>53</v>
      </c>
      <c r="D7" s="42">
        <v>100</v>
      </c>
      <c r="E7" s="42" t="s">
        <v>53</v>
      </c>
      <c r="F7" s="42" t="s">
        <v>53</v>
      </c>
      <c r="G7" s="42">
        <v>1</v>
      </c>
      <c r="H7" s="42" t="s">
        <v>53</v>
      </c>
      <c r="I7" s="42" t="s">
        <v>53</v>
      </c>
      <c r="J7" s="43">
        <f t="shared" si="0"/>
        <v>100</v>
      </c>
    </row>
    <row r="8" spans="1:11" ht="21" customHeight="1" x14ac:dyDescent="0.15">
      <c r="A8" s="57">
        <v>200221320</v>
      </c>
      <c r="B8" s="42">
        <v>0</v>
      </c>
      <c r="C8" s="42" t="s">
        <v>53</v>
      </c>
      <c r="D8" s="42">
        <v>100</v>
      </c>
      <c r="E8" s="42" t="s">
        <v>53</v>
      </c>
      <c r="F8" s="42" t="s">
        <v>53</v>
      </c>
      <c r="G8" s="42">
        <v>1</v>
      </c>
      <c r="H8" s="42" t="s">
        <v>53</v>
      </c>
      <c r="I8" s="42" t="s">
        <v>53</v>
      </c>
      <c r="J8" s="43">
        <f t="shared" si="0"/>
        <v>100</v>
      </c>
    </row>
    <row r="9" spans="1:11" ht="21" customHeight="1" x14ac:dyDescent="0.15">
      <c r="A9" s="57">
        <v>200221400</v>
      </c>
      <c r="B9" s="42">
        <v>0</v>
      </c>
      <c r="C9" s="42" t="s">
        <v>53</v>
      </c>
      <c r="D9" s="42">
        <v>100</v>
      </c>
      <c r="E9" s="42" t="s">
        <v>53</v>
      </c>
      <c r="F9" s="42" t="s">
        <v>53</v>
      </c>
      <c r="G9" s="42">
        <v>1</v>
      </c>
      <c r="H9" s="42" t="s">
        <v>53</v>
      </c>
      <c r="I9" s="42">
        <v>264</v>
      </c>
      <c r="J9" s="43">
        <f t="shared" si="0"/>
        <v>100</v>
      </c>
    </row>
    <row r="10" spans="1:11" ht="21" customHeight="1" x14ac:dyDescent="0.15">
      <c r="A10" s="57">
        <v>200221410</v>
      </c>
      <c r="B10" s="42">
        <v>0</v>
      </c>
      <c r="C10" s="42" t="s">
        <v>53</v>
      </c>
      <c r="D10" s="42">
        <v>100</v>
      </c>
      <c r="E10" s="42" t="s">
        <v>53</v>
      </c>
      <c r="F10" s="42" t="s">
        <v>53</v>
      </c>
      <c r="G10" s="42">
        <v>1</v>
      </c>
      <c r="H10" s="42" t="s">
        <v>53</v>
      </c>
      <c r="I10" s="42" t="s">
        <v>53</v>
      </c>
      <c r="J10" s="43">
        <f t="shared" si="0"/>
        <v>100</v>
      </c>
    </row>
    <row r="11" spans="1:11" ht="21" customHeight="1" x14ac:dyDescent="0.15">
      <c r="A11" s="57">
        <v>200221500</v>
      </c>
      <c r="B11" s="42">
        <v>0</v>
      </c>
      <c r="C11" s="42" t="s">
        <v>53</v>
      </c>
      <c r="D11" s="42">
        <v>100</v>
      </c>
      <c r="E11" s="42" t="s">
        <v>53</v>
      </c>
      <c r="F11" s="42" t="s">
        <v>53</v>
      </c>
      <c r="G11" s="42">
        <v>1</v>
      </c>
      <c r="H11" s="42" t="s">
        <v>53</v>
      </c>
      <c r="I11" s="42" t="s">
        <v>53</v>
      </c>
      <c r="J11" s="43">
        <f t="shared" si="0"/>
        <v>100</v>
      </c>
    </row>
    <row r="12" spans="1:11" ht="21" customHeight="1" x14ac:dyDescent="0.15">
      <c r="A12" s="57">
        <v>200221510</v>
      </c>
      <c r="B12" s="42">
        <v>0</v>
      </c>
      <c r="C12" s="42" t="s">
        <v>53</v>
      </c>
      <c r="D12" s="42">
        <v>100</v>
      </c>
      <c r="E12" s="42" t="s">
        <v>53</v>
      </c>
      <c r="F12" s="42" t="s">
        <v>53</v>
      </c>
      <c r="G12" s="42">
        <v>1</v>
      </c>
      <c r="H12" s="42" t="s">
        <v>53</v>
      </c>
      <c r="I12" s="42" t="s">
        <v>53</v>
      </c>
      <c r="J12" s="43">
        <f t="shared" si="0"/>
        <v>100</v>
      </c>
    </row>
    <row r="13" spans="1:11" ht="21" customHeight="1" x14ac:dyDescent="0.15">
      <c r="A13" s="57">
        <v>200221520</v>
      </c>
      <c r="B13" s="42">
        <v>0</v>
      </c>
      <c r="C13" s="42" t="s">
        <v>53</v>
      </c>
      <c r="D13" s="42">
        <v>100</v>
      </c>
      <c r="E13" s="42" t="s">
        <v>53</v>
      </c>
      <c r="F13" s="42" t="s">
        <v>53</v>
      </c>
      <c r="G13" s="42">
        <v>1</v>
      </c>
      <c r="H13" s="42" t="s">
        <v>53</v>
      </c>
      <c r="I13" s="42" t="s">
        <v>53</v>
      </c>
      <c r="J13" s="43">
        <f t="shared" si="0"/>
        <v>100</v>
      </c>
    </row>
    <row r="14" spans="1:11" ht="21" customHeight="1" x14ac:dyDescent="0.15">
      <c r="A14" s="57">
        <v>200221530</v>
      </c>
      <c r="B14" s="42">
        <v>1</v>
      </c>
      <c r="C14" s="42" t="s">
        <v>53</v>
      </c>
      <c r="D14" s="42">
        <v>100</v>
      </c>
      <c r="E14" s="42" t="s">
        <v>53</v>
      </c>
      <c r="F14" s="42" t="s">
        <v>53</v>
      </c>
      <c r="G14" s="42">
        <v>1</v>
      </c>
      <c r="H14" s="42" t="s">
        <v>53</v>
      </c>
      <c r="I14" s="42" t="s">
        <v>53</v>
      </c>
      <c r="J14" s="43">
        <f t="shared" si="0"/>
        <v>100</v>
      </c>
    </row>
  </sheetData>
  <autoFilter ref="A1:G1"/>
  <phoneticPr fontId="5"/>
  <conditionalFormatting sqref="K1 K15:K1048576">
    <cfRule type="duplicateValues" dxfId="13" priority="14"/>
  </conditionalFormatting>
  <conditionalFormatting sqref="K2">
    <cfRule type="duplicateValues" dxfId="12" priority="13"/>
  </conditionalFormatting>
  <conditionalFormatting sqref="K3">
    <cfRule type="duplicateValues" dxfId="11" priority="12"/>
  </conditionalFormatting>
  <conditionalFormatting sqref="K4">
    <cfRule type="duplicateValues" dxfId="10" priority="11"/>
  </conditionalFormatting>
  <conditionalFormatting sqref="K5">
    <cfRule type="duplicateValues" dxfId="9" priority="10"/>
  </conditionalFormatting>
  <conditionalFormatting sqref="K7">
    <cfRule type="duplicateValues" dxfId="8" priority="9"/>
  </conditionalFormatting>
  <conditionalFormatting sqref="K9">
    <cfRule type="duplicateValues" dxfId="7" priority="8"/>
  </conditionalFormatting>
  <conditionalFormatting sqref="K10">
    <cfRule type="duplicateValues" dxfId="6" priority="7"/>
  </conditionalFormatting>
  <conditionalFormatting sqref="K11">
    <cfRule type="duplicateValues" dxfId="5" priority="6"/>
  </conditionalFormatting>
  <conditionalFormatting sqref="K6">
    <cfRule type="duplicateValues" dxfId="4" priority="5"/>
  </conditionalFormatting>
  <conditionalFormatting sqref="K12">
    <cfRule type="duplicateValues" dxfId="3" priority="4"/>
  </conditionalFormatting>
  <conditionalFormatting sqref="K13">
    <cfRule type="duplicateValues" dxfId="2" priority="3"/>
  </conditionalFormatting>
  <conditionalFormatting sqref="K14">
    <cfRule type="duplicateValues" dxfId="1" priority="2"/>
  </conditionalFormatting>
  <conditionalFormatting sqref="K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149</v>
      </c>
      <c r="B1" s="60" t="s">
        <v>150</v>
      </c>
      <c r="C1" s="61" t="s">
        <v>151</v>
      </c>
      <c r="D1" s="68" t="s">
        <v>152</v>
      </c>
      <c r="E1" s="62" t="s">
        <v>153</v>
      </c>
      <c r="F1" s="60" t="s">
        <v>154</v>
      </c>
      <c r="G1" s="60" t="s">
        <v>155</v>
      </c>
      <c r="H1" s="60" t="s">
        <v>156</v>
      </c>
      <c r="I1" s="60" t="s">
        <v>157</v>
      </c>
      <c r="J1" s="60" t="s">
        <v>158</v>
      </c>
      <c r="K1" s="60" t="s">
        <v>159</v>
      </c>
      <c r="L1" s="60" t="s">
        <v>160</v>
      </c>
      <c r="M1" s="60" t="s">
        <v>161</v>
      </c>
      <c r="N1" s="60" t="s">
        <v>162</v>
      </c>
      <c r="O1" s="60" t="s">
        <v>163</v>
      </c>
      <c r="P1" s="60" t="s">
        <v>164</v>
      </c>
      <c r="Q1" s="60" t="s">
        <v>165</v>
      </c>
      <c r="R1" s="60" t="s">
        <v>166</v>
      </c>
    </row>
    <row r="2" spans="1:18" x14ac:dyDescent="0.15">
      <c r="A2" s="52">
        <v>20022</v>
      </c>
      <c r="B2" s="52">
        <v>1</v>
      </c>
      <c r="C2" s="67" t="str">
        <f>A2&amp; "_"&amp;B2</f>
        <v>20022_1</v>
      </c>
      <c r="D2" s="10" t="str">
        <f ca="1">VLOOKUP($C2,OFFSET([2]stages!$A$1,0,0,COUNTA([2]stages!$A:$A),MATCH(D$1,[2]stages!$2:$2,0)-MATCH($C$1,[2]stages!$2:$2,0)+1),MATCH(D$1,[2]stages!$2:$2,0)-MATCH($C$1,[2]stages!$2:$2,0)+1,FALSE)</f>
        <v>multionly</v>
      </c>
      <c r="E2" s="52">
        <v>1</v>
      </c>
      <c r="F2" s="52" t="s">
        <v>258</v>
      </c>
      <c r="G2" s="52">
        <v>344</v>
      </c>
      <c r="H2" s="52">
        <v>1</v>
      </c>
      <c r="I2" s="52">
        <v>1</v>
      </c>
      <c r="J2" s="52">
        <v>1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P2" s="52">
        <v>80</v>
      </c>
      <c r="Q2" s="52" t="s">
        <v>167</v>
      </c>
      <c r="R2" s="52" t="s">
        <v>168</v>
      </c>
    </row>
    <row r="3" spans="1:18" x14ac:dyDescent="0.15">
      <c r="A3" s="52">
        <v>20022</v>
      </c>
      <c r="B3" s="52">
        <v>1</v>
      </c>
      <c r="C3" s="67" t="str">
        <f t="shared" ref="C3:C8" si="0">A3&amp; "_"&amp;B3</f>
        <v>20022_1</v>
      </c>
      <c r="D3" s="10" t="str">
        <f ca="1">VLOOKUP($C3,OFFSET([2]stages!$A$1,0,0,COUNTA([2]stages!$A:$A),MATCH(D$1,[2]stages!$2:$2,0)-MATCH($C$1,[2]stages!$2:$2,0)+1),MATCH(D$1,[2]stages!$2:$2,0)-MATCH($C$1,[2]stages!$2:$2,0)+1,FALSE)</f>
        <v>multionly</v>
      </c>
      <c r="E3" s="52">
        <v>2</v>
      </c>
      <c r="F3" s="52" t="s">
        <v>258</v>
      </c>
      <c r="G3" s="52">
        <v>345</v>
      </c>
      <c r="H3" s="52">
        <v>1</v>
      </c>
      <c r="I3" s="52">
        <v>1</v>
      </c>
      <c r="J3" s="52">
        <v>1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P3" s="52">
        <v>140</v>
      </c>
      <c r="Q3" s="52" t="s">
        <v>167</v>
      </c>
      <c r="R3" s="52" t="s">
        <v>168</v>
      </c>
    </row>
    <row r="4" spans="1:18" x14ac:dyDescent="0.15">
      <c r="A4" s="52">
        <v>20022</v>
      </c>
      <c r="B4" s="52">
        <v>1</v>
      </c>
      <c r="C4" s="67" t="str">
        <f t="shared" si="0"/>
        <v>20022_1</v>
      </c>
      <c r="D4" s="10" t="str">
        <f ca="1">VLOOKUP($C4,OFFSET([2]stages!$A$1,0,0,COUNTA([2]stages!$A:$A),MATCH(D$1,[2]stages!$2:$2,0)-MATCH($C$1,[2]stages!$2:$2,0)+1),MATCH(D$1,[2]stages!$2:$2,0)-MATCH($C$1,[2]stages!$2:$2,0)+1,FALSE)</f>
        <v>multionly</v>
      </c>
      <c r="E4" s="52">
        <v>3</v>
      </c>
      <c r="F4" s="52" t="s">
        <v>258</v>
      </c>
      <c r="G4" s="52">
        <v>346</v>
      </c>
      <c r="H4" s="52">
        <v>1</v>
      </c>
      <c r="I4" s="52">
        <v>1</v>
      </c>
      <c r="J4" s="52">
        <v>1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P4" s="52">
        <v>80</v>
      </c>
      <c r="Q4" s="52" t="s">
        <v>167</v>
      </c>
      <c r="R4" s="52" t="s">
        <v>168</v>
      </c>
    </row>
    <row r="5" spans="1:18" x14ac:dyDescent="0.15">
      <c r="A5" s="52">
        <v>20022</v>
      </c>
      <c r="B5" s="52">
        <v>1</v>
      </c>
      <c r="C5" s="67" t="str">
        <f t="shared" si="0"/>
        <v>20022_1</v>
      </c>
      <c r="D5" s="10" t="str">
        <f ca="1">VLOOKUP($C5,OFFSET([2]stages!$A$1,0,0,COUNTA([2]stages!$A:$A),MATCH(D$1,[2]stages!$2:$2,0)-MATCH($C$1,[2]stages!$2:$2,0)+1),MATCH(D$1,[2]stages!$2:$2,0)-MATCH($C$1,[2]stages!$2:$2,0)+1,FALSE)</f>
        <v>multionly</v>
      </c>
      <c r="E5" s="52">
        <v>4</v>
      </c>
      <c r="F5" s="52" t="s">
        <v>258</v>
      </c>
      <c r="G5" s="52">
        <v>121</v>
      </c>
      <c r="H5" s="52">
        <v>1</v>
      </c>
      <c r="I5" s="52">
        <v>1</v>
      </c>
      <c r="J5" s="52">
        <v>1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P5" s="52">
        <v>150</v>
      </c>
      <c r="Q5" s="52" t="s">
        <v>167</v>
      </c>
      <c r="R5" s="52" t="s">
        <v>168</v>
      </c>
    </row>
    <row r="6" spans="1:18" x14ac:dyDescent="0.15">
      <c r="A6" s="52">
        <v>20022</v>
      </c>
      <c r="B6" s="52">
        <v>1</v>
      </c>
      <c r="C6" s="67" t="str">
        <f t="shared" si="0"/>
        <v>20022_1</v>
      </c>
      <c r="D6" s="10" t="str">
        <f ca="1">VLOOKUP($C6,OFFSET([2]stages!$A$1,0,0,COUNTA([2]stages!$A:$A),MATCH(D$1,[2]stages!$2:$2,0)-MATCH($C$1,[2]stages!$2:$2,0)+1),MATCH(D$1,[2]stages!$2:$2,0)-MATCH($C$1,[2]stages!$2:$2,0)+1,FALSE)</f>
        <v>multionly</v>
      </c>
      <c r="E6" s="52">
        <v>5</v>
      </c>
      <c r="F6" s="52" t="s">
        <v>258</v>
      </c>
      <c r="G6" s="52">
        <v>122</v>
      </c>
      <c r="H6" s="52">
        <v>1</v>
      </c>
      <c r="I6" s="52">
        <v>1</v>
      </c>
      <c r="J6" s="52">
        <v>1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P6" s="52">
        <v>150</v>
      </c>
      <c r="Q6" s="52" t="s">
        <v>167</v>
      </c>
      <c r="R6" s="52" t="s">
        <v>168</v>
      </c>
    </row>
    <row r="7" spans="1:18" x14ac:dyDescent="0.15">
      <c r="A7" s="52">
        <v>20022</v>
      </c>
      <c r="B7" s="52">
        <v>1</v>
      </c>
      <c r="C7" s="67" t="str">
        <f t="shared" si="0"/>
        <v>20022_1</v>
      </c>
      <c r="D7" s="10" t="str">
        <f ca="1">VLOOKUP($C7,OFFSET([2]stages!$A$1,0,0,COUNTA([2]stages!$A:$A),MATCH(D$1,[2]stages!$2:$2,0)-MATCH($C$1,[2]stages!$2:$2,0)+1),MATCH(D$1,[2]stages!$2:$2,0)-MATCH($C$1,[2]stages!$2:$2,0)+1,FALSE)</f>
        <v>multionly</v>
      </c>
      <c r="E7" s="52">
        <v>6</v>
      </c>
      <c r="F7" s="52" t="s">
        <v>258</v>
      </c>
      <c r="G7" s="52">
        <v>123</v>
      </c>
      <c r="H7" s="52">
        <v>1</v>
      </c>
      <c r="I7" s="52">
        <v>1</v>
      </c>
      <c r="J7" s="52">
        <v>1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P7" s="52">
        <v>150</v>
      </c>
      <c r="Q7" s="52" t="s">
        <v>167</v>
      </c>
      <c r="R7" s="52" t="s">
        <v>168</v>
      </c>
    </row>
    <row r="8" spans="1:18" x14ac:dyDescent="0.15">
      <c r="A8" s="52">
        <v>20022</v>
      </c>
      <c r="B8" s="52">
        <v>1</v>
      </c>
      <c r="C8" s="67" t="str">
        <f t="shared" si="0"/>
        <v>20022_1</v>
      </c>
      <c r="D8" s="10" t="str">
        <f ca="1">VLOOKUP($C8,OFFSET([2]stages!$A$1,0,0,COUNTA([2]stages!$A:$A),MATCH(D$1,[2]stages!$2:$2,0)-MATCH($C$1,[2]stages!$2:$2,0)+1),MATCH(D$1,[2]stages!$2:$2,0)-MATCH($C$1,[2]stages!$2:$2,0)+1,FALSE)</f>
        <v>multionly</v>
      </c>
      <c r="E8" s="52">
        <v>7</v>
      </c>
      <c r="F8" s="52" t="s">
        <v>258</v>
      </c>
      <c r="G8" s="52">
        <v>125</v>
      </c>
      <c r="H8" s="52">
        <v>1</v>
      </c>
      <c r="I8" s="52">
        <v>1</v>
      </c>
      <c r="J8" s="52">
        <v>1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P8" s="52">
        <v>10</v>
      </c>
      <c r="Q8" s="52" t="s">
        <v>167</v>
      </c>
      <c r="R8" s="52" t="s">
        <v>168</v>
      </c>
    </row>
    <row r="9" spans="1:18" x14ac:dyDescent="0.15">
      <c r="A9" s="52">
        <v>20022</v>
      </c>
      <c r="B9" s="52">
        <v>1</v>
      </c>
      <c r="C9" s="67" t="str">
        <f t="shared" ref="C9" si="1">A9&amp; "_"&amp;B9</f>
        <v>20022_1</v>
      </c>
      <c r="D9" s="10" t="str">
        <f ca="1">VLOOKUP($C9,OFFSET([2]stages!$A$1,0,0,COUNTA([2]stages!$A:$A),MATCH(D$1,[2]stages!$2:$2,0)-MATCH($C$1,[2]stages!$2:$2,0)+1),MATCH(D$1,[2]stages!$2:$2,0)-MATCH($C$1,[2]stages!$2:$2,0)+1,FALSE)</f>
        <v>multionly</v>
      </c>
      <c r="E9" s="52">
        <v>8</v>
      </c>
      <c r="F9" s="52" t="s">
        <v>258</v>
      </c>
      <c r="G9" s="52">
        <v>376</v>
      </c>
      <c r="H9" s="52">
        <v>1</v>
      </c>
      <c r="I9" s="58">
        <v>40</v>
      </c>
      <c r="J9" s="52">
        <v>1</v>
      </c>
      <c r="K9" s="52">
        <v>0</v>
      </c>
      <c r="L9" s="52">
        <v>0</v>
      </c>
      <c r="M9" s="52">
        <v>0</v>
      </c>
      <c r="N9" s="52">
        <v>0</v>
      </c>
      <c r="O9" s="52">
        <v>1</v>
      </c>
      <c r="P9" s="52">
        <v>200</v>
      </c>
      <c r="Q9" s="52" t="s">
        <v>167</v>
      </c>
      <c r="R9" s="52" t="s">
        <v>168</v>
      </c>
    </row>
    <row r="10" spans="1:18" x14ac:dyDescent="0.15">
      <c r="A10" s="52">
        <v>20022</v>
      </c>
      <c r="B10" s="52">
        <v>1</v>
      </c>
      <c r="C10" s="67" t="str">
        <f t="shared" ref="C10" si="2">A10&amp; "_"&amp;B10</f>
        <v>20022_1</v>
      </c>
      <c r="D10" s="10" t="str">
        <f ca="1">VLOOKUP($C10,OFFSET([2]stages!$A$1,0,0,COUNTA([2]stages!$A:$A),MATCH(D$1,[2]stages!$2:$2,0)-MATCH($C$1,[2]stages!$2:$2,0)+1),MATCH(D$1,[2]stages!$2:$2,0)-MATCH($C$1,[2]stages!$2:$2,0)+1,FALSE)</f>
        <v>multionly</v>
      </c>
      <c r="E10" s="52">
        <v>9</v>
      </c>
      <c r="F10" s="52" t="s">
        <v>258</v>
      </c>
      <c r="G10" s="52">
        <v>354</v>
      </c>
      <c r="H10" s="52">
        <v>1</v>
      </c>
      <c r="I10" s="52">
        <v>1</v>
      </c>
      <c r="J10" s="52">
        <v>1</v>
      </c>
      <c r="K10" s="52">
        <v>0</v>
      </c>
      <c r="L10" s="52">
        <v>0</v>
      </c>
      <c r="M10" s="52">
        <v>0</v>
      </c>
      <c r="N10" s="52">
        <v>0</v>
      </c>
      <c r="O10" s="52">
        <v>1</v>
      </c>
      <c r="P10" s="52">
        <v>40</v>
      </c>
      <c r="Q10" s="52" t="s">
        <v>167</v>
      </c>
      <c r="R10" s="52" t="s">
        <v>168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35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186</v>
      </c>
      <c r="B1" s="69" t="s">
        <v>187</v>
      </c>
      <c r="C1" s="73" t="s">
        <v>188</v>
      </c>
      <c r="D1" s="73" t="s">
        <v>33</v>
      </c>
      <c r="E1" s="69" t="s">
        <v>189</v>
      </c>
      <c r="F1" s="73" t="s">
        <v>190</v>
      </c>
      <c r="G1" s="73" t="s">
        <v>33</v>
      </c>
      <c r="H1" s="69" t="s">
        <v>191</v>
      </c>
      <c r="I1" s="87" t="s">
        <v>193</v>
      </c>
      <c r="J1" s="75" t="s">
        <v>125</v>
      </c>
      <c r="K1" s="74" t="s">
        <v>184</v>
      </c>
      <c r="L1" s="88" t="s">
        <v>183</v>
      </c>
      <c r="M1" s="76" t="s">
        <v>194</v>
      </c>
    </row>
    <row r="2" spans="1:13" x14ac:dyDescent="0.15">
      <c r="A2" s="77" t="s">
        <v>198</v>
      </c>
      <c r="B2" s="78">
        <v>20022</v>
      </c>
      <c r="C2" s="79" t="str">
        <f ca="1">VLOOKUP($B2,OFFSET([2]quests!$A$1,0,0,COUNTA([2]quests!$A:$A),MATCH(C$1,[2]quests!$1:$1,0)-MATCH($B$1,[2]quests!$1:$1,0)+1),MATCH(C$1,[2]quests!$1:$1,0)-MATCH($B$1,[2]quests!$1:$1,0)+1,FALSE)</f>
        <v>年を越える宴</v>
      </c>
      <c r="D2" s="79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3" t="s">
        <v>210</v>
      </c>
      <c r="F2" s="79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79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1">
        <v>0</v>
      </c>
      <c r="I2" s="92">
        <v>3</v>
      </c>
      <c r="J2" s="80" t="s">
        <v>196</v>
      </c>
      <c r="K2" s="89" t="str">
        <f>VLOOKUP(I2,[8]stage_hints!$A:$C,3,FALSE)</f>
        <v>ターゲット</v>
      </c>
      <c r="L2" s="90" t="str">
        <f>VLOOKUP(I2,[8]stage_hints!$A:$D,4,FALSE)</f>
        <v>敵ユニットをタップすると_x000D_その敵を狙い撃ちできます</v>
      </c>
      <c r="M2" s="52" t="s">
        <v>207</v>
      </c>
    </row>
    <row r="3" spans="1:13" x14ac:dyDescent="0.15">
      <c r="A3" s="77" t="s">
        <v>198</v>
      </c>
      <c r="B3" s="78">
        <v>20022</v>
      </c>
      <c r="C3" s="79" t="str">
        <f ca="1">VLOOKUP($B3,OFFSET([2]quests!$A$1,0,0,COUNTA([2]quests!$A:$A),MATCH(C$1,[2]quests!$1:$1,0)-MATCH($B$1,[2]quests!$1:$1,0)+1),MATCH(C$1,[2]quests!$1:$1,0)-MATCH($B$1,[2]quests!$1:$1,0)+1,FALSE)</f>
        <v>年を越える宴</v>
      </c>
      <c r="D3" s="79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3" t="s">
        <v>210</v>
      </c>
      <c r="F3" s="79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79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1">
        <v>0</v>
      </c>
      <c r="I3" s="92">
        <v>6</v>
      </c>
      <c r="J3" s="80" t="s">
        <v>196</v>
      </c>
      <c r="K3" s="89" t="str">
        <f>VLOOKUP(I3,[8]stage_hints!$A:$C,3,FALSE)</f>
        <v>ユニット強化の属性ボーナス</v>
      </c>
      <c r="L3" s="90" t="str">
        <f>VLOOKUP(I3,[8]stage_hints!$A:$D,4,FALSE)</f>
        <v>同属性ユニットを強化素材にすると_x000D_経験値が多くもらえます</v>
      </c>
      <c r="M3" s="52" t="s">
        <v>207</v>
      </c>
    </row>
    <row r="4" spans="1:13" x14ac:dyDescent="0.15">
      <c r="A4" s="77" t="s">
        <v>198</v>
      </c>
      <c r="B4" s="78">
        <v>20022</v>
      </c>
      <c r="C4" s="79" t="str">
        <f ca="1">VLOOKUP($B4,OFFSET([2]quests!$A$1,0,0,COUNTA([2]quests!$A:$A),MATCH(C$1,[2]quests!$1:$1,0)-MATCH($B$1,[2]quests!$1:$1,0)+1),MATCH(C$1,[2]quests!$1:$1,0)-MATCH($B$1,[2]quests!$1:$1,0)+1,FALSE)</f>
        <v>年を越える宴</v>
      </c>
      <c r="D4" s="79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3" t="s">
        <v>210</v>
      </c>
      <c r="F4" s="79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79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1">
        <v>0</v>
      </c>
      <c r="I4" s="92">
        <v>7</v>
      </c>
      <c r="J4" s="80" t="s">
        <v>196</v>
      </c>
      <c r="K4" s="89" t="str">
        <f>VLOOKUP(I4,[8]stage_hints!$A:$C,3,FALSE)</f>
        <v>メタルダックで経験値を獲得</v>
      </c>
      <c r="L4" s="90" t="str">
        <f>VLOOKUP(I4,[8]stage_hints!$A:$D,4,FALSE)</f>
        <v>「メタルなアヒル」を強化素材にすると_x000D_大量の経験値がもらえます</v>
      </c>
      <c r="M4" s="52" t="s">
        <v>207</v>
      </c>
    </row>
    <row r="5" spans="1:13" x14ac:dyDescent="0.15">
      <c r="A5" s="77" t="s">
        <v>198</v>
      </c>
      <c r="B5" s="78">
        <v>20022</v>
      </c>
      <c r="C5" s="79" t="str">
        <f ca="1">VLOOKUP($B5,OFFSET([2]quests!$A$1,0,0,COUNTA([2]quests!$A:$A),MATCH(C$1,[2]quests!$1:$1,0)-MATCH($B$1,[2]quests!$1:$1,0)+1),MATCH(C$1,[2]quests!$1:$1,0)-MATCH($B$1,[2]quests!$1:$1,0)+1,FALSE)</f>
        <v>年を越える宴</v>
      </c>
      <c r="D5" s="79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3" t="s">
        <v>210</v>
      </c>
      <c r="F5" s="79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79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1">
        <v>0</v>
      </c>
      <c r="I5" s="92">
        <v>8</v>
      </c>
      <c r="J5" s="80" t="s">
        <v>196</v>
      </c>
      <c r="K5" s="89" t="str">
        <f>VLOOKUP(I5,[8]stage_hints!$A:$C,3,FALSE)</f>
        <v>ゲリラクエストは要チェック</v>
      </c>
      <c r="L5" s="90" t="str">
        <f>VLOOKUP(I5,[8]stage_hints!$A:$D,4,FALSE)</f>
        <v>時間限定の「アヒル捕獲作戦」では_x000D_経験値素材ユニットが多く手に入ります</v>
      </c>
      <c r="M5" s="52" t="s">
        <v>207</v>
      </c>
    </row>
    <row r="6" spans="1:13" x14ac:dyDescent="0.15">
      <c r="A6" s="77" t="s">
        <v>198</v>
      </c>
      <c r="B6" s="78">
        <v>20022</v>
      </c>
      <c r="C6" s="79" t="str">
        <f ca="1">VLOOKUP($B6,OFFSET([2]quests!$A$1,0,0,COUNTA([2]quests!$A:$A),MATCH(C$1,[2]quests!$1:$1,0)-MATCH($B$1,[2]quests!$1:$1,0)+1),MATCH(C$1,[2]quests!$1:$1,0)-MATCH($B$1,[2]quests!$1:$1,0)+1,FALSE)</f>
        <v>年を越える宴</v>
      </c>
      <c r="D6" s="79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3" t="s">
        <v>210</v>
      </c>
      <c r="F6" s="79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79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1">
        <v>0</v>
      </c>
      <c r="I6" s="92">
        <v>9</v>
      </c>
      <c r="J6" s="80" t="s">
        <v>196</v>
      </c>
      <c r="K6" s="89" t="str">
        <f>VLOOKUP(I6,[8]stage_hints!$A:$C,3,FALSE)</f>
        <v>ゴールドダックでビットを獲得</v>
      </c>
      <c r="L6" s="90" t="str">
        <f>VLOOKUP(I6,[8]stage_hints!$A:$D,4,FALSE)</f>
        <v>「ゴールドなアヒル」を売却すると_x000D_大量のビットがもらえます</v>
      </c>
      <c r="M6" s="52" t="s">
        <v>207</v>
      </c>
    </row>
    <row r="7" spans="1:13" x14ac:dyDescent="0.15">
      <c r="A7" s="77" t="s">
        <v>198</v>
      </c>
      <c r="B7" s="78">
        <v>20022</v>
      </c>
      <c r="C7" s="79" t="str">
        <f ca="1">VLOOKUP($B7,OFFSET([2]quests!$A$1,0,0,COUNTA([2]quests!$A:$A),MATCH(C$1,[2]quests!$1:$1,0)-MATCH($B$1,[2]quests!$1:$1,0)+1),MATCH(C$1,[2]quests!$1:$1,0)-MATCH($B$1,[2]quests!$1:$1,0)+1,FALSE)</f>
        <v>年を越える宴</v>
      </c>
      <c r="D7" s="79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3" t="s">
        <v>210</v>
      </c>
      <c r="F7" s="79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79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1">
        <v>0</v>
      </c>
      <c r="I7" s="92">
        <v>10</v>
      </c>
      <c r="J7" s="80" t="s">
        <v>196</v>
      </c>
      <c r="K7" s="89" t="str">
        <f>VLOOKUP(I7,[8]stage_hints!$A:$C,3,FALSE)</f>
        <v>土日に大量のビットを獲得</v>
      </c>
      <c r="L7" s="90" t="str">
        <f>VLOOKUP(I7,[8]stage_hints!$A:$D,4,FALSE)</f>
        <v>土日限定の「ゴールドカジノ」では_x000D_売却素材ユニットが多く手に入ります</v>
      </c>
      <c r="M7" s="52" t="s">
        <v>207</v>
      </c>
    </row>
    <row r="8" spans="1:13" x14ac:dyDescent="0.15">
      <c r="A8" s="77" t="s">
        <v>198</v>
      </c>
      <c r="B8" s="78">
        <v>20022</v>
      </c>
      <c r="C8" s="79" t="str">
        <f ca="1">VLOOKUP($B8,OFFSET([2]quests!$A$1,0,0,COUNTA([2]quests!$A:$A),MATCH(C$1,[2]quests!$1:$1,0)-MATCH($B$1,[2]quests!$1:$1,0)+1),MATCH(C$1,[2]quests!$1:$1,0)-MATCH($B$1,[2]quests!$1:$1,0)+1,FALSE)</f>
        <v>年を越える宴</v>
      </c>
      <c r="D8" s="79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3" t="s">
        <v>210</v>
      </c>
      <c r="F8" s="79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79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1">
        <v>0</v>
      </c>
      <c r="I8" s="92">
        <v>11</v>
      </c>
      <c r="J8" s="80" t="s">
        <v>196</v>
      </c>
      <c r="K8" s="89" t="str">
        <f>VLOOKUP(I8,[8]stage_hints!$A:$C,3,FALSE)</f>
        <v>ランク解放クエスト</v>
      </c>
      <c r="L8" s="90" t="str">
        <f>VLOOKUP(I8,[8]stage_hints!$A:$D,4,FALSE)</f>
        <v>一定ランクに到達すると_x000D_報酬付きのランク開放クエストが現れます</v>
      </c>
      <c r="M8" s="52" t="s">
        <v>207</v>
      </c>
    </row>
    <row r="9" spans="1:13" x14ac:dyDescent="0.15">
      <c r="A9" s="77" t="s">
        <v>198</v>
      </c>
      <c r="B9" s="78">
        <v>20022</v>
      </c>
      <c r="C9" s="79" t="str">
        <f ca="1">VLOOKUP($B9,OFFSET([2]quests!$A$1,0,0,COUNTA([2]quests!$A:$A),MATCH(C$1,[2]quests!$1:$1,0)-MATCH($B$1,[2]quests!$1:$1,0)+1),MATCH(C$1,[2]quests!$1:$1,0)-MATCH($B$1,[2]quests!$1:$1,0)+1,FALSE)</f>
        <v>年を越える宴</v>
      </c>
      <c r="D9" s="79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3" t="s">
        <v>210</v>
      </c>
      <c r="F9" s="79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79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1">
        <v>0</v>
      </c>
      <c r="I9" s="92">
        <v>12</v>
      </c>
      <c r="J9" s="80" t="s">
        <v>196</v>
      </c>
      <c r="K9" s="89" t="str">
        <f>VLOOKUP(I9,[8]stage_hints!$A:$C,3,FALSE)</f>
        <v>ユニットのお気に入り登録</v>
      </c>
      <c r="L9" s="90" t="str">
        <f>VLOOKUP(I9,[8]stage_hints!$A:$D,4,FALSE)</f>
        <v>大事なユニットを誤って消さないように_x000D_フォルダから「お気に入り登録」しましょう</v>
      </c>
      <c r="M9" s="52" t="s">
        <v>207</v>
      </c>
    </row>
    <row r="10" spans="1:13" x14ac:dyDescent="0.15">
      <c r="A10" s="77" t="s">
        <v>198</v>
      </c>
      <c r="B10" s="78">
        <v>20022</v>
      </c>
      <c r="C10" s="79" t="str">
        <f ca="1">VLOOKUP($B10,OFFSET([2]quests!$A$1,0,0,COUNTA([2]quests!$A:$A),MATCH(C$1,[2]quests!$1:$1,0)-MATCH($B$1,[2]quests!$1:$1,0)+1),MATCH(C$1,[2]quests!$1:$1,0)-MATCH($B$1,[2]quests!$1:$1,0)+1,FALSE)</f>
        <v>年を越える宴</v>
      </c>
      <c r="D10" s="79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3" t="s">
        <v>210</v>
      </c>
      <c r="F10" s="79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79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1">
        <v>0</v>
      </c>
      <c r="I10" s="92">
        <v>13</v>
      </c>
      <c r="J10" s="80" t="s">
        <v>196</v>
      </c>
      <c r="K10" s="89" t="str">
        <f>VLOOKUP(I10,[8]stage_hints!$A:$C,3,FALSE)</f>
        <v>ユニットの覚醒</v>
      </c>
      <c r="L10" s="90" t="str">
        <f>VLOOKUP(I10,[8]stage_hints!$A:$D,4,FALSE)</f>
        <v>ユニットを覚醒させると_x000D_比べものにならない強さが手に入ります</v>
      </c>
      <c r="M10" s="52" t="s">
        <v>207</v>
      </c>
    </row>
    <row r="11" spans="1:13" x14ac:dyDescent="0.15">
      <c r="A11" s="77" t="s">
        <v>198</v>
      </c>
      <c r="B11" s="78">
        <v>20022</v>
      </c>
      <c r="C11" s="79" t="str">
        <f ca="1">VLOOKUP($B11,OFFSET([2]quests!$A$1,0,0,COUNTA([2]quests!$A:$A),MATCH(C$1,[2]quests!$1:$1,0)-MATCH($B$1,[2]quests!$1:$1,0)+1),MATCH(C$1,[2]quests!$1:$1,0)-MATCH($B$1,[2]quests!$1:$1,0)+1,FALSE)</f>
        <v>年を越える宴</v>
      </c>
      <c r="D11" s="79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3" t="s">
        <v>210</v>
      </c>
      <c r="F11" s="79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79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1">
        <v>0</v>
      </c>
      <c r="I11" s="92">
        <v>14</v>
      </c>
      <c r="J11" s="80" t="s">
        <v>196</v>
      </c>
      <c r="K11" s="89" t="str">
        <f>VLOOKUP(I11,[8]stage_hints!$A:$C,3,FALSE)</f>
        <v>覚醒するにはレベルを最大に</v>
      </c>
      <c r="L11" s="90" t="str">
        <f>VLOOKUP(I11,[8]stage_hints!$A:$D,4,FALSE)</f>
        <v>覚醒するにはユニットのレベルを_x000D_最大まで上げる必要があります</v>
      </c>
      <c r="M11" s="52" t="s">
        <v>207</v>
      </c>
    </row>
    <row r="12" spans="1:13" x14ac:dyDescent="0.15">
      <c r="A12" s="77" t="s">
        <v>198</v>
      </c>
      <c r="B12" s="78">
        <v>20022</v>
      </c>
      <c r="C12" s="79" t="str">
        <f ca="1">VLOOKUP($B12,OFFSET([2]quests!$A$1,0,0,COUNTA([2]quests!$A:$A),MATCH(C$1,[2]quests!$1:$1,0)-MATCH($B$1,[2]quests!$1:$1,0)+1),MATCH(C$1,[2]quests!$1:$1,0)-MATCH($B$1,[2]quests!$1:$1,0)+1,FALSE)</f>
        <v>年を越える宴</v>
      </c>
      <c r="D12" s="79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3" t="s">
        <v>210</v>
      </c>
      <c r="F12" s="79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79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1">
        <v>0</v>
      </c>
      <c r="I12" s="92">
        <v>15</v>
      </c>
      <c r="J12" s="80" t="s">
        <v>196</v>
      </c>
      <c r="K12" s="89" t="str">
        <f>VLOOKUP(I12,[8]stage_hints!$A:$C,3,FALSE)</f>
        <v>覚醒素材を獲得</v>
      </c>
      <c r="L12" s="90" t="str">
        <f>VLOOKUP(I12,[8]stage_hints!$A:$D,4,FALSE)</f>
        <v>「曜日クエスト」では_x000D_ユニットの覚醒に必要な素材が手に入ります</v>
      </c>
      <c r="M12" s="52" t="s">
        <v>207</v>
      </c>
    </row>
    <row r="13" spans="1:13" x14ac:dyDescent="0.15">
      <c r="A13" s="77" t="s">
        <v>198</v>
      </c>
      <c r="B13" s="78">
        <v>20022</v>
      </c>
      <c r="C13" s="79" t="str">
        <f ca="1">VLOOKUP($B13,OFFSET([2]quests!$A$1,0,0,COUNTA([2]quests!$A:$A),MATCH(C$1,[2]quests!$1:$1,0)-MATCH($B$1,[2]quests!$1:$1,0)+1),MATCH(C$1,[2]quests!$1:$1,0)-MATCH($B$1,[2]quests!$1:$1,0)+1,FALSE)</f>
        <v>年を越える宴</v>
      </c>
      <c r="D13" s="79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3" t="s">
        <v>210</v>
      </c>
      <c r="F13" s="79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79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1">
        <v>0</v>
      </c>
      <c r="I13" s="92">
        <v>16</v>
      </c>
      <c r="J13" s="80" t="s">
        <v>196</v>
      </c>
      <c r="K13" s="89" t="str">
        <f>VLOOKUP(I13,[8]stage_hints!$A:$C,3,FALSE)</f>
        <v>マルチプレイのメリット（その1）</v>
      </c>
      <c r="L13" s="90" t="str">
        <f>VLOOKUP(I13,[8]stage_hints!$A:$D,4,FALSE)</f>
        <v>他のプレイヤーとマルチプレイで遊ぶと_x000D_ポリゴンがもらえます（100人まで）</v>
      </c>
      <c r="M13" s="52" t="s">
        <v>207</v>
      </c>
    </row>
    <row r="14" spans="1:13" x14ac:dyDescent="0.15">
      <c r="A14" s="77" t="s">
        <v>198</v>
      </c>
      <c r="B14" s="78">
        <v>20022</v>
      </c>
      <c r="C14" s="79" t="str">
        <f ca="1">VLOOKUP($B14,OFFSET([2]quests!$A$1,0,0,COUNTA([2]quests!$A:$A),MATCH(C$1,[2]quests!$1:$1,0)-MATCH($B$1,[2]quests!$1:$1,0)+1),MATCH(C$1,[2]quests!$1:$1,0)-MATCH($B$1,[2]quests!$1:$1,0)+1,FALSE)</f>
        <v>年を越える宴</v>
      </c>
      <c r="D14" s="79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3" t="s">
        <v>210</v>
      </c>
      <c r="F14" s="79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79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1">
        <v>0</v>
      </c>
      <c r="I14" s="92">
        <v>17</v>
      </c>
      <c r="J14" s="80" t="s">
        <v>196</v>
      </c>
      <c r="K14" s="89" t="str">
        <f>VLOOKUP(I14,[8]stage_hints!$A:$C,3,FALSE)</f>
        <v>リンクガチャ</v>
      </c>
      <c r="L14" s="90" t="str">
        <f>VLOOKUP(I14,[8]stage_hints!$A:$D,4,FALSE)</f>
        <v>無料のリンクガチャを回して_x000D_経験値素材や売却素材を獲得しましょう</v>
      </c>
      <c r="M14" s="52" t="s">
        <v>207</v>
      </c>
    </row>
    <row r="15" spans="1:13" x14ac:dyDescent="0.15">
      <c r="A15" s="77" t="s">
        <v>198</v>
      </c>
      <c r="B15" s="78">
        <v>20022</v>
      </c>
      <c r="C15" s="79" t="str">
        <f ca="1">VLOOKUP($B15,OFFSET([2]quests!$A$1,0,0,COUNTA([2]quests!$A:$A),MATCH(C$1,[2]quests!$1:$1,0)-MATCH($B$1,[2]quests!$1:$1,0)+1),MATCH(C$1,[2]quests!$1:$1,0)-MATCH($B$1,[2]quests!$1:$1,0)+1,FALSE)</f>
        <v>年を越える宴</v>
      </c>
      <c r="D15" s="79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3" t="s">
        <v>210</v>
      </c>
      <c r="F15" s="79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79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1">
        <v>0</v>
      </c>
      <c r="I15" s="92">
        <v>18</v>
      </c>
      <c r="J15" s="80" t="s">
        <v>196</v>
      </c>
      <c r="K15" s="89" t="str">
        <f>VLOOKUP(I15,[8]stage_hints!$A:$C,3,FALSE)</f>
        <v>マルチプレイのメリット（その2）</v>
      </c>
      <c r="L15" s="90" t="str">
        <f>VLOOKUP(I15,[8]stage_hints!$A:$D,4,FALSE)</f>
        <v>マルチプレイならリンクが2倍もらえます_x000D_リンクガチャをたくさん回しましょう</v>
      </c>
      <c r="M15" s="52" t="s">
        <v>207</v>
      </c>
    </row>
    <row r="16" spans="1:13" x14ac:dyDescent="0.15">
      <c r="A16" s="77" t="s">
        <v>198</v>
      </c>
      <c r="B16" s="78">
        <v>20022</v>
      </c>
      <c r="C16" s="79" t="str">
        <f ca="1">VLOOKUP($B16,OFFSET([2]quests!$A$1,0,0,COUNTA([2]quests!$A:$A),MATCH(C$1,[2]quests!$1:$1,0)-MATCH($B$1,[2]quests!$1:$1,0)+1),MATCH(C$1,[2]quests!$1:$1,0)-MATCH($B$1,[2]quests!$1:$1,0)+1,FALSE)</f>
        <v>年を越える宴</v>
      </c>
      <c r="D16" s="79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3" t="s">
        <v>210</v>
      </c>
      <c r="F16" s="79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79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1">
        <v>0</v>
      </c>
      <c r="I16" s="92">
        <v>19</v>
      </c>
      <c r="J16" s="80" t="s">
        <v>196</v>
      </c>
      <c r="K16" s="89" t="str">
        <f>VLOOKUP(I16,[8]stage_hints!$A:$C,3,FALSE)</f>
        <v>ソロ専用タワーオブザクイーン</v>
      </c>
      <c r="L16" s="90" t="str">
        <f>VLOOKUP(I16,[8]stage_hints!$A:$D,4,FALSE)</f>
        <v>ソロ専用の「タワーオブザクイーン」は_x000D_期間限定で定期的に開催されます_x000D_ここでしか獲得できない報酬もあるようです</v>
      </c>
      <c r="M16" s="52" t="s">
        <v>207</v>
      </c>
    </row>
    <row r="17" spans="1:13" x14ac:dyDescent="0.15">
      <c r="A17" s="77" t="s">
        <v>198</v>
      </c>
      <c r="B17" s="78">
        <v>20022</v>
      </c>
      <c r="C17" s="79" t="str">
        <f ca="1">VLOOKUP($B17,OFFSET([2]quests!$A$1,0,0,COUNTA([2]quests!$A:$A),MATCH(C$1,[2]quests!$1:$1,0)-MATCH($B$1,[2]quests!$1:$1,0)+1),MATCH(C$1,[2]quests!$1:$1,0)-MATCH($B$1,[2]quests!$1:$1,0)+1,FALSE)</f>
        <v>年を越える宴</v>
      </c>
      <c r="D17" s="79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3" t="s">
        <v>210</v>
      </c>
      <c r="F17" s="79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79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1">
        <v>0</v>
      </c>
      <c r="I17" s="92">
        <v>20</v>
      </c>
      <c r="J17" s="80" t="s">
        <v>196</v>
      </c>
      <c r="K17" s="89" t="str">
        <f>VLOOKUP(I17,[8]stage_hints!$A:$C,3,FALSE)</f>
        <v>マルチプレイのメリット（その3）</v>
      </c>
      <c r="L17" s="90" t="str">
        <f>VLOOKUP(I17,[8]stage_hints!$A:$D,4,FALSE)</f>
        <v>マルチプレイへの参加はエナジー消費ゼロ_x000D_いつでも好きなだけ遊ぶことができます</v>
      </c>
      <c r="M17" s="52" t="s">
        <v>207</v>
      </c>
    </row>
    <row r="18" spans="1:13" x14ac:dyDescent="0.15">
      <c r="A18" s="77" t="s">
        <v>198</v>
      </c>
      <c r="B18" s="78">
        <v>20022</v>
      </c>
      <c r="C18" s="79" t="str">
        <f ca="1">VLOOKUP($B18,OFFSET([2]quests!$A$1,0,0,COUNTA([2]quests!$A:$A),MATCH(C$1,[2]quests!$1:$1,0)-MATCH($B$1,[2]quests!$1:$1,0)+1),MATCH(C$1,[2]quests!$1:$1,0)-MATCH($B$1,[2]quests!$1:$1,0)+1,FALSE)</f>
        <v>年を越える宴</v>
      </c>
      <c r="D18" s="79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3" t="s">
        <v>210</v>
      </c>
      <c r="F18" s="79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79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1">
        <v>0</v>
      </c>
      <c r="I18" s="92">
        <v>21</v>
      </c>
      <c r="J18" s="80" t="s">
        <v>196</v>
      </c>
      <c r="K18" s="89" t="str">
        <f>VLOOKUP(I18,[8]stage_hints!$A:$C,3,FALSE)</f>
        <v>スキルを有効に</v>
      </c>
      <c r="L18" s="90" t="str">
        <f>VLOOKUP(I18,[8]stage_hints!$A:$D,4,FALSE)</f>
        <v>ターン経過でユニットのスキルが使えます_x000D_強力スキルでバトルを有利に進めましょう</v>
      </c>
      <c r="M18" s="52" t="s">
        <v>207</v>
      </c>
    </row>
    <row r="19" spans="1:13" x14ac:dyDescent="0.15">
      <c r="A19" s="77" t="s">
        <v>198</v>
      </c>
      <c r="B19" s="78">
        <v>20022</v>
      </c>
      <c r="C19" s="79" t="str">
        <f ca="1">VLOOKUP($B19,OFFSET([2]quests!$A$1,0,0,COUNTA([2]quests!$A:$A),MATCH(C$1,[2]quests!$1:$1,0)-MATCH($B$1,[2]quests!$1:$1,0)+1),MATCH(C$1,[2]quests!$1:$1,0)-MATCH($B$1,[2]quests!$1:$1,0)+1,FALSE)</f>
        <v>年を越える宴</v>
      </c>
      <c r="D19" s="79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3" t="s">
        <v>210</v>
      </c>
      <c r="F19" s="79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79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1">
        <v>0</v>
      </c>
      <c r="I19" s="92">
        <v>22</v>
      </c>
      <c r="J19" s="80" t="s">
        <v>196</v>
      </c>
      <c r="K19" s="89" t="str">
        <f>VLOOKUP(I19,[8]stage_hints!$A:$C,3,FALSE)</f>
        <v>フィーバーで一発逆転（その1）</v>
      </c>
      <c r="L19" s="90" t="str">
        <f>VLOOKUP(I19,[8]stage_hints!$A:$D,4,FALSE)</f>
        <v>フィーバーは攻撃と回復を兼ね備えます_x000D_ピンチからの一発逆転を狙いましょう</v>
      </c>
      <c r="M19" s="52" t="s">
        <v>207</v>
      </c>
    </row>
    <row r="20" spans="1:13" x14ac:dyDescent="0.15">
      <c r="A20" s="77" t="s">
        <v>198</v>
      </c>
      <c r="B20" s="78">
        <v>20022</v>
      </c>
      <c r="C20" s="79" t="str">
        <f ca="1">VLOOKUP($B20,OFFSET([2]quests!$A$1,0,0,COUNTA([2]quests!$A:$A),MATCH(C$1,[2]quests!$1:$1,0)-MATCH($B$1,[2]quests!$1:$1,0)+1),MATCH(C$1,[2]quests!$1:$1,0)-MATCH($B$1,[2]quests!$1:$1,0)+1,FALSE)</f>
        <v>年を越える宴</v>
      </c>
      <c r="D20" s="79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3" t="s">
        <v>210</v>
      </c>
      <c r="F20" s="79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79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1">
        <v>0</v>
      </c>
      <c r="I20" s="92">
        <v>23</v>
      </c>
      <c r="J20" s="80" t="s">
        <v>196</v>
      </c>
      <c r="K20" s="89" t="str">
        <f>VLOOKUP(I20,[8]stage_hints!$A:$C,3,FALSE)</f>
        <v>フィーバーで一発逆転（その2）</v>
      </c>
      <c r="L20" s="90" t="str">
        <f>VLOOKUP(I20,[8]stage_hints!$A:$D,4,FALSE)</f>
        <v>フィーバー中は虹色のボムパネルを狙って_x000D_画面上のパネルを一気に破壊しましょう</v>
      </c>
      <c r="M20" s="52" t="s">
        <v>207</v>
      </c>
    </row>
    <row r="21" spans="1:13" x14ac:dyDescent="0.15">
      <c r="A21" s="77" t="s">
        <v>198</v>
      </c>
      <c r="B21" s="78">
        <v>20022</v>
      </c>
      <c r="C21" s="79" t="str">
        <f ca="1">VLOOKUP($B21,OFFSET([2]quests!$A$1,0,0,COUNTA([2]quests!$A:$A),MATCH(C$1,[2]quests!$1:$1,0)-MATCH($B$1,[2]quests!$1:$1,0)+1),MATCH(C$1,[2]quests!$1:$1,0)-MATCH($B$1,[2]quests!$1:$1,0)+1,FALSE)</f>
        <v>年を越える宴</v>
      </c>
      <c r="D21" s="79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3" t="s">
        <v>210</v>
      </c>
      <c r="F21" s="79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79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1">
        <v>0</v>
      </c>
      <c r="I21" s="92">
        <v>24</v>
      </c>
      <c r="J21" s="80" t="s">
        <v>196</v>
      </c>
      <c r="K21" s="89" t="str">
        <f>VLOOKUP(I21,[8]stage_hints!$A:$C,3,FALSE)</f>
        <v>りんごを使って限界突破</v>
      </c>
      <c r="L21" s="90" t="str">
        <f>VLOOKUP(I21,[8]stage_hints!$A:$D,4,FALSE)</f>
        <v>赤りんご(攻撃力) 青りんご(回復力)_x000D_緑りんご(体力)をユニット強化に使うと_x000D_ステータスが限界突破します（計99個迄）</v>
      </c>
      <c r="M21" s="52" t="s">
        <v>207</v>
      </c>
    </row>
    <row r="22" spans="1:13" x14ac:dyDescent="0.15">
      <c r="A22" s="77" t="s">
        <v>198</v>
      </c>
      <c r="B22" s="78">
        <v>20022</v>
      </c>
      <c r="C22" s="79" t="str">
        <f ca="1">VLOOKUP($B22,OFFSET([2]quests!$A$1,0,0,COUNTA([2]quests!$A:$A),MATCH(C$1,[2]quests!$1:$1,0)-MATCH($B$1,[2]quests!$1:$1,0)+1),MATCH(C$1,[2]quests!$1:$1,0)-MATCH($B$1,[2]quests!$1:$1,0)+1,FALSE)</f>
        <v>年を越える宴</v>
      </c>
      <c r="D22" s="79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3" t="s">
        <v>210</v>
      </c>
      <c r="F22" s="79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79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1">
        <v>0</v>
      </c>
      <c r="I22" s="92">
        <v>25</v>
      </c>
      <c r="J22" s="80" t="s">
        <v>196</v>
      </c>
      <c r="K22" s="89" t="str">
        <f>VLOOKUP(I22,[8]stage_hints!$A:$C,3,FALSE)</f>
        <v>スキルレベルアップ</v>
      </c>
      <c r="L22" s="90" t="str">
        <f>VLOOKUP(I22,[8]stage_hints!$A:$D,4,FALSE)</f>
        <v>「クリスタルのりんご」を強化に使うと_x000D_スキルレベルを上げることができます</v>
      </c>
      <c r="M22" s="52" t="s">
        <v>207</v>
      </c>
    </row>
    <row r="23" spans="1:13" x14ac:dyDescent="0.15">
      <c r="A23" s="77" t="s">
        <v>198</v>
      </c>
      <c r="B23" s="78">
        <v>20022</v>
      </c>
      <c r="C23" s="79" t="str">
        <f ca="1">VLOOKUP($B23,OFFSET([2]quests!$A$1,0,0,COUNTA([2]quests!$A:$A),MATCH(C$1,[2]quests!$1:$1,0)-MATCH($B$1,[2]quests!$1:$1,0)+1),MATCH(C$1,[2]quests!$1:$1,0)-MATCH($B$1,[2]quests!$1:$1,0)+1,FALSE)</f>
        <v>年を越える宴</v>
      </c>
      <c r="D23" s="79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3" t="s">
        <v>210</v>
      </c>
      <c r="F23" s="79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79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1">
        <v>0</v>
      </c>
      <c r="I23" s="92">
        <v>26</v>
      </c>
      <c r="J23" s="80" t="s">
        <v>196</v>
      </c>
      <c r="K23" s="89" t="str">
        <f>VLOOKUP(I23,[8]stage_hints!$A:$C,3,FALSE)</f>
        <v>スキルレベルの効果</v>
      </c>
      <c r="L23" s="90" t="str">
        <f>VLOOKUP(I23,[8]stage_hints!$A:$D,4,FALSE)</f>
        <v>スキルレベルが上がると_x000D_短いターンでスキルを使うことができます</v>
      </c>
      <c r="M23" s="52" t="s">
        <v>207</v>
      </c>
    </row>
    <row r="24" spans="1:13" x14ac:dyDescent="0.15">
      <c r="A24" s="77" t="s">
        <v>198</v>
      </c>
      <c r="B24" s="78">
        <v>20022</v>
      </c>
      <c r="C24" s="79" t="str">
        <f ca="1">VLOOKUP($B24,OFFSET([2]quests!$A$1,0,0,COUNTA([2]quests!$A:$A),MATCH(C$1,[2]quests!$1:$1,0)-MATCH($B$1,[2]quests!$1:$1,0)+1),MATCH(C$1,[2]quests!$1:$1,0)-MATCH($B$1,[2]quests!$1:$1,0)+1,FALSE)</f>
        <v>年を越える宴</v>
      </c>
      <c r="D24" s="79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3" t="s">
        <v>210</v>
      </c>
      <c r="F24" s="79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79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1">
        <v>0</v>
      </c>
      <c r="I24" s="92">
        <v>27</v>
      </c>
      <c r="J24" s="80" t="s">
        <v>196</v>
      </c>
      <c r="K24" s="89" t="str">
        <f>VLOOKUP(I24,[8]stage_hints!$A:$C,3,FALSE)</f>
        <v>ホーム画面からデッキを編成</v>
      </c>
      <c r="L24" s="90" t="str">
        <f>VLOOKUP(I24,[8]stage_hints!$A:$D,4,FALSE)</f>
        <v>ホーム画面でユニットを長押しすると_x000D_すぐにパーティ編成に移動できます</v>
      </c>
      <c r="M24" s="52" t="s">
        <v>207</v>
      </c>
    </row>
    <row r="25" spans="1:13" x14ac:dyDescent="0.15">
      <c r="A25" s="77" t="s">
        <v>198</v>
      </c>
      <c r="B25" s="78">
        <v>20022</v>
      </c>
      <c r="C25" s="79" t="str">
        <f ca="1">VLOOKUP($B25,OFFSET([2]quests!$A$1,0,0,COUNTA([2]quests!$A:$A),MATCH(C$1,[2]quests!$1:$1,0)-MATCH($B$1,[2]quests!$1:$1,0)+1),MATCH(C$1,[2]quests!$1:$1,0)-MATCH($B$1,[2]quests!$1:$1,0)+1,FALSE)</f>
        <v>年を越える宴</v>
      </c>
      <c r="D25" s="79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83" t="s">
        <v>210</v>
      </c>
      <c r="F25" s="79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79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1">
        <v>0</v>
      </c>
      <c r="I25" s="92">
        <v>28</v>
      </c>
      <c r="J25" s="80" t="s">
        <v>196</v>
      </c>
      <c r="K25" s="89" t="str">
        <f>VLOOKUP(I25,[8]stage_hints!$A:$C,3,FALSE)</f>
        <v>ステータス情報は長押しで</v>
      </c>
      <c r="L25" s="90" t="str">
        <f>VLOOKUP(I25,[8]stage_hints!$A:$D,4,FALSE)</f>
        <v>ユニットのアイコンを長押しすると_x000D_ステータス情報を確認することができます</v>
      </c>
      <c r="M25" s="52" t="s">
        <v>207</v>
      </c>
    </row>
    <row r="26" spans="1:13" x14ac:dyDescent="0.15">
      <c r="A26" s="77" t="s">
        <v>198</v>
      </c>
      <c r="B26" s="78">
        <v>20022</v>
      </c>
      <c r="C26" s="79" t="str">
        <f ca="1">VLOOKUP($B26,OFFSET([2]quests!$A$1,0,0,COUNTA([2]quests!$A:$A),MATCH(C$1,[2]quests!$1:$1,0)-MATCH($B$1,[2]quests!$1:$1,0)+1),MATCH(C$1,[2]quests!$1:$1,0)-MATCH($B$1,[2]quests!$1:$1,0)+1,FALSE)</f>
        <v>年を越える宴</v>
      </c>
      <c r="D26" s="79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83" t="s">
        <v>210</v>
      </c>
      <c r="F26" s="79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79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1">
        <v>0</v>
      </c>
      <c r="I26" s="92">
        <v>29</v>
      </c>
      <c r="J26" s="80" t="s">
        <v>196</v>
      </c>
      <c r="K26" s="89" t="str">
        <f>VLOOKUP(I26,[8]stage_hints!$A:$C,3,FALSE)</f>
        <v>「バグ」のメリット</v>
      </c>
      <c r="L26" s="90" t="str">
        <f>VLOOKUP(I26,[8]stage_hints!$A:$D,4,FALSE)</f>
        <v>ユニットの「バグ」を増やすと_x000D_報酬をもらえる確率がアップします</v>
      </c>
      <c r="M26" s="52" t="s">
        <v>207</v>
      </c>
    </row>
    <row r="27" spans="1:13" x14ac:dyDescent="0.15">
      <c r="A27" s="77" t="s">
        <v>198</v>
      </c>
      <c r="B27" s="78">
        <v>20022</v>
      </c>
      <c r="C27" s="79" t="str">
        <f ca="1">VLOOKUP($B27,OFFSET([2]quests!$A$1,0,0,COUNTA([2]quests!$A:$A),MATCH(C$1,[2]quests!$1:$1,0)-MATCH($B$1,[2]quests!$1:$1,0)+1),MATCH(C$1,[2]quests!$1:$1,0)-MATCH($B$1,[2]quests!$1:$1,0)+1,FALSE)</f>
        <v>年を越える宴</v>
      </c>
      <c r="D27" s="79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83" t="s">
        <v>210</v>
      </c>
      <c r="F27" s="79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79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1">
        <v>0</v>
      </c>
      <c r="I27" s="92">
        <v>30</v>
      </c>
      <c r="J27" s="80" t="s">
        <v>196</v>
      </c>
      <c r="K27" s="89" t="str">
        <f>VLOOKUP(I27,[8]stage_hints!$A:$C,3,FALSE)</f>
        <v>「バグ」の増やし方</v>
      </c>
      <c r="L27" s="90" t="str">
        <f>VLOOKUP(I27,[8]stage_hints!$A:$D,4,FALSE)</f>
        <v>同じユニット同士を強化で合成すると_x000D_「バグ」を増やすことができます</v>
      </c>
      <c r="M27" s="52" t="s">
        <v>207</v>
      </c>
    </row>
    <row r="28" spans="1:13" x14ac:dyDescent="0.15">
      <c r="A28" s="77" t="s">
        <v>198</v>
      </c>
      <c r="B28" s="78">
        <v>20022</v>
      </c>
      <c r="C28" s="79" t="str">
        <f ca="1">VLOOKUP($B28,OFFSET([2]quests!$A$1,0,0,COUNTA([2]quests!$A:$A),MATCH(C$1,[2]quests!$1:$1,0)-MATCH($B$1,[2]quests!$1:$1,0)+1),MATCH(C$1,[2]quests!$1:$1,0)-MATCH($B$1,[2]quests!$1:$1,0)+1,FALSE)</f>
        <v>年を越える宴</v>
      </c>
      <c r="D28" s="79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3" t="s">
        <v>210</v>
      </c>
      <c r="F28" s="79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79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1">
        <v>0</v>
      </c>
      <c r="I28" s="92">
        <v>31</v>
      </c>
      <c r="J28" s="80" t="s">
        <v>196</v>
      </c>
      <c r="K28" s="89" t="str">
        <f>VLOOKUP(I28,[8]stage_hints!$A:$C,3,FALSE)</f>
        <v>イベントはお知らせでチェック</v>
      </c>
      <c r="L28" s="90" t="str">
        <f>VLOOKUP(I28,[8]stage_hints!$A:$D,4,FALSE)</f>
        <v>イベント限定ユニットを取り忘れないように_x000D_お知らせをこまめにチェックしましょう</v>
      </c>
      <c r="M28" s="52" t="s">
        <v>207</v>
      </c>
    </row>
    <row r="29" spans="1:13" x14ac:dyDescent="0.15">
      <c r="A29" s="77" t="s">
        <v>198</v>
      </c>
      <c r="B29" s="78">
        <v>20022</v>
      </c>
      <c r="C29" s="79" t="str">
        <f ca="1">VLOOKUP($B29,OFFSET([2]quests!$A$1,0,0,COUNTA([2]quests!$A:$A),MATCH(C$1,[2]quests!$1:$1,0)-MATCH($B$1,[2]quests!$1:$1,0)+1),MATCH(C$1,[2]quests!$1:$1,0)-MATCH($B$1,[2]quests!$1:$1,0)+1,FALSE)</f>
        <v>年を越える宴</v>
      </c>
      <c r="D29" s="79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3" t="s">
        <v>210</v>
      </c>
      <c r="F29" s="79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79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1">
        <v>0</v>
      </c>
      <c r="I29" s="92">
        <v>32</v>
      </c>
      <c r="J29" s="80" t="s">
        <v>196</v>
      </c>
      <c r="K29" s="89" t="str">
        <f>VLOOKUP(I29,[8]stage_hints!$A:$C,3,FALSE)</f>
        <v>敵の連続攻撃には</v>
      </c>
      <c r="L29" s="90" t="str">
        <f>VLOOKUP(I29,[8]stage_hints!$A:$D,4,FALSE)</f>
        <v>カウンタースキルを持つユニットがいれば_x000D_ダメージ回数分の反撃ができます</v>
      </c>
      <c r="M29" s="52" t="s">
        <v>207</v>
      </c>
    </row>
    <row r="30" spans="1:13" x14ac:dyDescent="0.15">
      <c r="A30" s="77" t="s">
        <v>198</v>
      </c>
      <c r="B30" s="78">
        <v>20022</v>
      </c>
      <c r="C30" s="79" t="str">
        <f ca="1">VLOOKUP($B30,OFFSET([2]quests!$A$1,0,0,COUNTA([2]quests!$A:$A),MATCH(C$1,[2]quests!$1:$1,0)-MATCH($B$1,[2]quests!$1:$1,0)+1),MATCH(C$1,[2]quests!$1:$1,0)-MATCH($B$1,[2]quests!$1:$1,0)+1,FALSE)</f>
        <v>年を越える宴</v>
      </c>
      <c r="D30" s="79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3" t="s">
        <v>210</v>
      </c>
      <c r="F30" s="79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79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1">
        <v>0</v>
      </c>
      <c r="I30" s="92">
        <v>33</v>
      </c>
      <c r="J30" s="80" t="s">
        <v>196</v>
      </c>
      <c r="K30" s="89" t="str">
        <f>VLOOKUP(I30,[8]stage_hints!$A:$C,3,FALSE)</f>
        <v>敵のカウンター攻撃には</v>
      </c>
      <c r="L30" s="90" t="str">
        <f>VLOOKUP(I30,[8]stage_hints!$A:$D,4,FALSE)</f>
        <v>カウンターブレイクスキルを持っていれば_x000D_敵のカウンターを解除して攻撃ができます</v>
      </c>
      <c r="M30" s="52" t="s">
        <v>207</v>
      </c>
    </row>
    <row r="31" spans="1:13" x14ac:dyDescent="0.15">
      <c r="A31" s="77" t="s">
        <v>198</v>
      </c>
      <c r="B31" s="78">
        <v>20022</v>
      </c>
      <c r="C31" s="79" t="str">
        <f ca="1">VLOOKUP($B31,OFFSET([2]quests!$A$1,0,0,COUNTA([2]quests!$A:$A),MATCH(C$1,[2]quests!$1:$1,0)-MATCH($B$1,[2]quests!$1:$1,0)+1),MATCH(C$1,[2]quests!$1:$1,0)-MATCH($B$1,[2]quests!$1:$1,0)+1,FALSE)</f>
        <v>年を越える宴</v>
      </c>
      <c r="D31" s="79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3" t="s">
        <v>210</v>
      </c>
      <c r="F31" s="79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79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1">
        <v>0</v>
      </c>
      <c r="I31" s="92">
        <v>34</v>
      </c>
      <c r="J31" s="80" t="s">
        <v>196</v>
      </c>
      <c r="K31" s="89" t="str">
        <f>VLOOKUP(I31,[8]stage_hints!$A:$C,3,FALSE)</f>
        <v>ステータスをスキルで下げられたら</v>
      </c>
      <c r="L31" s="90" t="str">
        <f>VLOOKUP(I31,[8]stage_hints!$A:$D,4,FALSE)</f>
        <v>ステータスダウンのスキルを受けたら_x000D_ステータスアップスキルで上書きしましょう</v>
      </c>
      <c r="M31" s="52" t="s">
        <v>207</v>
      </c>
    </row>
    <row r="32" spans="1:13" x14ac:dyDescent="0.15">
      <c r="A32" s="77" t="s">
        <v>198</v>
      </c>
      <c r="B32" s="78">
        <v>20022</v>
      </c>
      <c r="C32" s="79" t="str">
        <f ca="1">VLOOKUP($B32,OFFSET([2]quests!$A$1,0,0,COUNTA([2]quests!$A:$A),MATCH(C$1,[2]quests!$1:$1,0)-MATCH($B$1,[2]quests!$1:$1,0)+1),MATCH(C$1,[2]quests!$1:$1,0)-MATCH($B$1,[2]quests!$1:$1,0)+1,FALSE)</f>
        <v>年を越える宴</v>
      </c>
      <c r="D32" s="79" t="str">
        <f ca="1">VLOOKUP($B32,OFFSET([2]quests!$A$1,0,0,COUNTA([2]quests!$A:$A),MATCH(D$1,[2]quests!$1:$1,0)-MATCH($B$1,[2]quests!$1:$1,0)+1),MATCH(D$1,[2]quests!$1:$1,0)-MATCH($B$1,[2]quests!$1:$1,0)+1,FALSE)</f>
        <v>季節イベント</v>
      </c>
      <c r="E32" s="83" t="s">
        <v>210</v>
      </c>
      <c r="F32" s="79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79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1">
        <v>0</v>
      </c>
      <c r="I32" s="92">
        <v>35</v>
      </c>
      <c r="J32" s="80" t="s">
        <v>196</v>
      </c>
      <c r="K32" s="89" t="str">
        <f>VLOOKUP(I32,[8]stage_hints!$A:$C,3,FALSE)</f>
        <v>敵のステータスがスキルで上がったら</v>
      </c>
      <c r="L32" s="90" t="str">
        <f>VLOOKUP(I32,[8]stage_hints!$A:$D,4,FALSE)</f>
        <v>敵のステータスがスキルでアップしたときは_x000D_ステータスダウンスキルで上書きしましょう</v>
      </c>
      <c r="M32" s="52" t="s">
        <v>207</v>
      </c>
    </row>
    <row r="33" spans="1:13" x14ac:dyDescent="0.15">
      <c r="A33" s="77" t="s">
        <v>198</v>
      </c>
      <c r="B33" s="78">
        <v>20022</v>
      </c>
      <c r="C33" s="79" t="str">
        <f ca="1">VLOOKUP($B33,OFFSET([2]quests!$A$1,0,0,COUNTA([2]quests!$A:$A),MATCH(C$1,[2]quests!$1:$1,0)-MATCH($B$1,[2]quests!$1:$1,0)+1),MATCH(C$1,[2]quests!$1:$1,0)-MATCH($B$1,[2]quests!$1:$1,0)+1,FALSE)</f>
        <v>年を越える宴</v>
      </c>
      <c r="D33" s="79" t="str">
        <f ca="1">VLOOKUP($B33,OFFSET([2]quests!$A$1,0,0,COUNTA([2]quests!$A:$A),MATCH(D$1,[2]quests!$1:$1,0)-MATCH($B$1,[2]quests!$1:$1,0)+1),MATCH(D$1,[2]quests!$1:$1,0)-MATCH($B$1,[2]quests!$1:$1,0)+1,FALSE)</f>
        <v>季節イベント</v>
      </c>
      <c r="E33" s="83" t="s">
        <v>210</v>
      </c>
      <c r="F33" s="79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79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1">
        <v>0</v>
      </c>
      <c r="I33" s="92">
        <v>36</v>
      </c>
      <c r="J33" s="80" t="s">
        <v>196</v>
      </c>
      <c r="K33" s="89" t="str">
        <f>VLOOKUP(I33,[8]stage_hints!$A:$C,3,FALSE)</f>
        <v>タワーオブザクイーンのボス</v>
      </c>
      <c r="L33" s="90" t="str">
        <f>VLOOKUP(I33,[8]stage_hints!$A:$D,4,FALSE)</f>
        <v>「タワーオブザクイーン」最上階のボスは_x000D_15階の初回クリア報酬で獲得できるほか_x000D_その階にて低確率でドロップもします</v>
      </c>
      <c r="M33" s="52" t="s">
        <v>207</v>
      </c>
    </row>
    <row r="34" spans="1:13" x14ac:dyDescent="0.15">
      <c r="A34" s="77" t="s">
        <v>198</v>
      </c>
      <c r="B34" s="78">
        <v>20022</v>
      </c>
      <c r="C34" s="79" t="str">
        <f ca="1">VLOOKUP($B34,OFFSET([2]quests!$A$1,0,0,COUNTA([2]quests!$A:$A),MATCH(C$1,[2]quests!$1:$1,0)-MATCH($B$1,[2]quests!$1:$1,0)+1),MATCH(C$1,[2]quests!$1:$1,0)-MATCH($B$1,[2]quests!$1:$1,0)+1,FALSE)</f>
        <v>年を越える宴</v>
      </c>
      <c r="D34" s="79" t="str">
        <f ca="1">VLOOKUP($B34,OFFSET([2]quests!$A$1,0,0,COUNTA([2]quests!$A:$A),MATCH(D$1,[2]quests!$1:$1,0)-MATCH($B$1,[2]quests!$1:$1,0)+1),MATCH(D$1,[2]quests!$1:$1,0)-MATCH($B$1,[2]quests!$1:$1,0)+1,FALSE)</f>
        <v>季節イベント</v>
      </c>
      <c r="E34" s="83" t="s">
        <v>210</v>
      </c>
      <c r="F34" s="79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79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1">
        <v>0</v>
      </c>
      <c r="I34" s="92">
        <v>37</v>
      </c>
      <c r="J34" s="80" t="s">
        <v>196</v>
      </c>
      <c r="K34" s="89" t="str">
        <f>VLOOKUP(I34,[8]stage_hints!$A:$C,3,FALSE)</f>
        <v>限界突破値の引き継ぎ</v>
      </c>
      <c r="L34" s="90" t="str">
        <f>VLOOKUP(I34,[8]stage_hints!$A:$D,4,FALSE)</f>
        <v>同じユニットを強化で合成すると_x000D_限界突破値を引き継げます（覚醒前後も可）</v>
      </c>
      <c r="M34" s="52" t="s">
        <v>207</v>
      </c>
    </row>
    <row r="35" spans="1:13" x14ac:dyDescent="0.15">
      <c r="A35" s="77" t="s">
        <v>198</v>
      </c>
      <c r="B35" s="78">
        <v>20022</v>
      </c>
      <c r="C35" s="79" t="str">
        <f ca="1">VLOOKUP($B35,OFFSET([2]quests!$A$1,0,0,COUNTA([2]quests!$A:$A),MATCH(C$1,[2]quests!$1:$1,0)-MATCH($B$1,[2]quests!$1:$1,0)+1),MATCH(C$1,[2]quests!$1:$1,0)-MATCH($B$1,[2]quests!$1:$1,0)+1,FALSE)</f>
        <v>年を越える宴</v>
      </c>
      <c r="D35" s="79" t="str">
        <f ca="1">VLOOKUP($B35,OFFSET([2]quests!$A$1,0,0,COUNTA([2]quests!$A:$A),MATCH(D$1,[2]quests!$1:$1,0)-MATCH($B$1,[2]quests!$1:$1,0)+1),MATCH(D$1,[2]quests!$1:$1,0)-MATCH($B$1,[2]quests!$1:$1,0)+1,FALSE)</f>
        <v>季節イベント</v>
      </c>
      <c r="E35" s="83" t="s">
        <v>210</v>
      </c>
      <c r="F35" s="79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79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1">
        <v>0</v>
      </c>
      <c r="I35" s="92">
        <v>39</v>
      </c>
      <c r="J35" s="80" t="s">
        <v>196</v>
      </c>
      <c r="K35" s="89" t="str">
        <f>VLOOKUP(I35,[8]stage_hints!$A:$C,3,FALSE)</f>
        <v>システム適合者を確認</v>
      </c>
      <c r="L35" s="90" t="str">
        <f>VLOOKUP(I35,[8]stage_hints!$A:$D,4,FALSE)</f>
        <v>ALICEが 「アナタ」を呼んでいます</v>
      </c>
      <c r="M35" s="52" t="s">
        <v>207</v>
      </c>
    </row>
  </sheetData>
  <phoneticPr fontId="5"/>
  <dataValidations count="1">
    <dataValidation type="list" allowBlank="1" showInputMessage="1" showErrorMessage="1" sqref="A2:A3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2" t="s">
        <v>186</v>
      </c>
      <c r="B1" s="69" t="s">
        <v>149</v>
      </c>
      <c r="C1" s="73" t="s">
        <v>188</v>
      </c>
      <c r="D1" s="73" t="s">
        <v>33</v>
      </c>
      <c r="E1" s="69" t="s">
        <v>189</v>
      </c>
      <c r="F1" s="73" t="s">
        <v>18</v>
      </c>
      <c r="G1" s="73" t="s">
        <v>33</v>
      </c>
      <c r="H1" s="69" t="s">
        <v>191</v>
      </c>
      <c r="I1" s="85" t="s">
        <v>192</v>
      </c>
      <c r="J1" s="87" t="s">
        <v>193</v>
      </c>
      <c r="K1" s="75" t="s">
        <v>125</v>
      </c>
      <c r="L1" s="74" t="s">
        <v>184</v>
      </c>
      <c r="M1" s="88" t="s">
        <v>183</v>
      </c>
      <c r="N1" s="76" t="s">
        <v>194</v>
      </c>
    </row>
    <row r="2" spans="1:14" ht="84" x14ac:dyDescent="0.15">
      <c r="A2" s="77" t="s">
        <v>198</v>
      </c>
      <c r="B2" s="78">
        <v>20022</v>
      </c>
      <c r="C2" s="79" t="str">
        <f ca="1">VLOOKUP($B2,OFFSET([2]quests!$A$1,0,0,COUNTA([2]quests!$A:$A),MATCH(C$1,[2]quests!$1:$1,0)-MATCH($B$1,[2]quests!$1:$1,0)+1),MATCH(C$1,[2]quests!$1:$1,0)-MATCH($B$1,[2]quests!$1:$1,0)+1,FALSE)</f>
        <v>年を越える宴</v>
      </c>
      <c r="D2" s="79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【上級】年を越える宴（ハートなし）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1">
        <v>0</v>
      </c>
      <c r="I2" s="86">
        <f>ROW()-1</f>
        <v>1</v>
      </c>
      <c r="J2" s="82" t="str">
        <f>B2&amp;TEXT(I2,"00")</f>
        <v>2002201</v>
      </c>
      <c r="K2" s="80" t="s">
        <v>196</v>
      </c>
      <c r="L2" s="103" t="s">
        <v>249</v>
      </c>
      <c r="M2" s="104" t="s">
        <v>250</v>
      </c>
      <c r="N2" s="52" t="s">
        <v>197</v>
      </c>
    </row>
    <row r="3" spans="1:14" ht="70" x14ac:dyDescent="0.15">
      <c r="A3" s="77" t="s">
        <v>198</v>
      </c>
      <c r="B3" s="78">
        <v>20022</v>
      </c>
      <c r="C3" s="79" t="str">
        <f ca="1">VLOOKUP($B3,OFFSET([2]quests!$A$1,0,0,COUNTA([2]quests!$A:$A),MATCH(C$1,[2]quests!$1:$1,0)-MATCH($B$1,[2]quests!$1:$1,0)+1),MATCH(C$1,[2]quests!$1:$1,0)-MATCH($B$1,[2]quests!$1:$1,0)+1,FALSE)</f>
        <v>年を越える宴</v>
      </c>
      <c r="D3" s="79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【上級】年を越える宴（ハートなし）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1">
        <v>0</v>
      </c>
      <c r="I3" s="86">
        <f t="shared" ref="I3:I6" si="0">ROW()-1</f>
        <v>2</v>
      </c>
      <c r="J3" s="82" t="str">
        <f t="shared" ref="J3:J6" si="1">B3&amp;TEXT(I3,"00")</f>
        <v>2002202</v>
      </c>
      <c r="K3" s="80" t="s">
        <v>126</v>
      </c>
      <c r="L3" s="83" t="s">
        <v>251</v>
      </c>
      <c r="M3" s="104" t="s">
        <v>252</v>
      </c>
      <c r="N3" s="52" t="s">
        <v>197</v>
      </c>
    </row>
    <row r="4" spans="1:14" ht="56" x14ac:dyDescent="0.15">
      <c r="A4" s="77" t="s">
        <v>198</v>
      </c>
      <c r="B4" s="78">
        <v>20022</v>
      </c>
      <c r="C4" s="79" t="str">
        <f ca="1">VLOOKUP($B4,OFFSET([2]quests!$A$1,0,0,COUNTA([2]quests!$A:$A),MATCH(C$1,[2]quests!$1:$1,0)-MATCH($B$1,[2]quests!$1:$1,0)+1),MATCH(C$1,[2]quests!$1:$1,0)-MATCH($B$1,[2]quests!$1:$1,0)+1,FALSE)</f>
        <v>年を越える宴</v>
      </c>
      <c r="D4" s="79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【上級】年を越える宴（ハートなし）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1">
        <v>0</v>
      </c>
      <c r="I4" s="86">
        <f t="shared" si="0"/>
        <v>3</v>
      </c>
      <c r="J4" s="82" t="str">
        <f t="shared" si="1"/>
        <v>2002203</v>
      </c>
      <c r="K4" s="80" t="s">
        <v>126</v>
      </c>
      <c r="L4" s="83" t="s">
        <v>253</v>
      </c>
      <c r="M4" s="104" t="s">
        <v>254</v>
      </c>
      <c r="N4" s="52" t="s">
        <v>197</v>
      </c>
    </row>
    <row r="5" spans="1:14" ht="56" x14ac:dyDescent="0.15">
      <c r="A5" s="77" t="s">
        <v>195</v>
      </c>
      <c r="B5" s="78">
        <v>20022</v>
      </c>
      <c r="C5" s="79" t="str">
        <f ca="1">VLOOKUP($B5,OFFSET([2]quests!$A$1,0,0,COUNTA([2]quests!$A:$A),MATCH(C$1,[2]quests!$1:$1,0)-MATCH($B$1,[2]quests!$1:$1,0)+1),MATCH(C$1,[2]quests!$1:$1,0)-MATCH($B$1,[2]quests!$1:$1,0)+1,FALSE)</f>
        <v>年を越える宴</v>
      </c>
      <c r="D5" s="79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【上級】年を越える宴（ハートなし）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1">
        <v>0</v>
      </c>
      <c r="I5" s="86">
        <f t="shared" si="0"/>
        <v>4</v>
      </c>
      <c r="J5" s="82" t="str">
        <f t="shared" si="1"/>
        <v>2002204</v>
      </c>
      <c r="K5" s="80" t="s">
        <v>126</v>
      </c>
      <c r="L5" s="83" t="s">
        <v>255</v>
      </c>
      <c r="M5" s="104" t="s">
        <v>256</v>
      </c>
      <c r="N5" s="52" t="s">
        <v>197</v>
      </c>
    </row>
    <row r="6" spans="1:14" ht="70" x14ac:dyDescent="0.15">
      <c r="A6" s="77" t="s">
        <v>195</v>
      </c>
      <c r="B6" s="78">
        <v>20022</v>
      </c>
      <c r="C6" s="79" t="str">
        <f ca="1">VLOOKUP($B6,OFFSET([2]quests!$A$1,0,0,COUNTA([2]quests!$A:$A),MATCH(C$1,[2]quests!$1:$1,0)-MATCH($B$1,[2]quests!$1:$1,0)+1),MATCH(C$1,[2]quests!$1:$1,0)-MATCH($B$1,[2]quests!$1:$1,0)+1,FALSE)</f>
        <v>年を越える宴</v>
      </c>
      <c r="D6" s="79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【上級】年を越える宴（ハートなし）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1">
        <v>0</v>
      </c>
      <c r="I6" s="86">
        <f t="shared" si="0"/>
        <v>5</v>
      </c>
      <c r="J6" s="82" t="str">
        <f t="shared" si="1"/>
        <v>2002205</v>
      </c>
      <c r="K6" s="80" t="s">
        <v>126</v>
      </c>
      <c r="L6" s="83" t="s">
        <v>257</v>
      </c>
      <c r="M6" s="46" t="s">
        <v>299</v>
      </c>
      <c r="N6" s="52" t="s">
        <v>197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211</v>
      </c>
      <c r="B1" s="94" t="s">
        <v>212</v>
      </c>
      <c r="C1" s="73" t="s">
        <v>213</v>
      </c>
      <c r="D1" s="73" t="s">
        <v>33</v>
      </c>
      <c r="E1" s="94" t="s">
        <v>214</v>
      </c>
      <c r="F1" s="73" t="s">
        <v>215</v>
      </c>
      <c r="G1" s="73" t="s">
        <v>33</v>
      </c>
      <c r="H1" s="94" t="s">
        <v>216</v>
      </c>
      <c r="I1" s="94" t="s">
        <v>217</v>
      </c>
      <c r="J1" s="94" t="s">
        <v>218</v>
      </c>
      <c r="K1" s="69" t="s">
        <v>219</v>
      </c>
      <c r="L1" s="69" t="s">
        <v>220</v>
      </c>
      <c r="M1" s="69" t="s">
        <v>155</v>
      </c>
      <c r="N1" s="73" t="s">
        <v>16</v>
      </c>
      <c r="O1" s="69" t="s">
        <v>221</v>
      </c>
      <c r="P1" s="69" t="s">
        <v>57</v>
      </c>
      <c r="Q1" s="69" t="s">
        <v>222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223</v>
      </c>
      <c r="X1" s="69" t="s">
        <v>224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2017-01-05T01:33:54Z</dcterms:modified>
</cp:coreProperties>
</file>