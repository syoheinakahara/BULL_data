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6500" tabRatio="943" activeTab="3"/>
  </bookViews>
  <sheets>
    <sheet name="確率の考え方" sheetId="110" r:id="rId1"/>
    <sheet name="Sheet1" sheetId="107" r:id="rId2"/>
    <sheet name="output" sheetId="103" r:id="rId3"/>
    <sheet name="tables_7225100" sheetId="132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tables_7225100!$A$1:$V$134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132" l="1"/>
  <c r="D6" i="132"/>
  <c r="J6" i="132"/>
  <c r="E6" i="132"/>
  <c r="F6" i="132"/>
  <c r="C6" i="132"/>
  <c r="H6" i="132"/>
  <c r="K6" i="132"/>
  <c r="L6" i="132"/>
  <c r="M6" i="132"/>
  <c r="N6" i="132"/>
  <c r="O6" i="132"/>
  <c r="I7" i="132"/>
  <c r="D7" i="132"/>
  <c r="O7" i="132"/>
  <c r="I8" i="132"/>
  <c r="D8" i="132"/>
  <c r="O8" i="132"/>
  <c r="I9" i="132"/>
  <c r="D9" i="132"/>
  <c r="O9" i="132"/>
  <c r="I10" i="132"/>
  <c r="D10" i="132"/>
  <c r="O10" i="132"/>
  <c r="I2" i="132"/>
  <c r="D2" i="132"/>
  <c r="O2" i="132"/>
  <c r="I3" i="132"/>
  <c r="D3" i="132"/>
  <c r="O3" i="132"/>
  <c r="I4" i="132"/>
  <c r="D4" i="132"/>
  <c r="O4" i="132"/>
  <c r="I5" i="132"/>
  <c r="D5" i="132"/>
  <c r="O5" i="132"/>
  <c r="P6" i="132"/>
  <c r="J7" i="132"/>
  <c r="E7" i="132"/>
  <c r="F7" i="132"/>
  <c r="C7" i="132"/>
  <c r="H7" i="132"/>
  <c r="K7" i="132"/>
  <c r="L7" i="132"/>
  <c r="M7" i="132"/>
  <c r="N7" i="132"/>
  <c r="P7" i="132"/>
  <c r="J8" i="132"/>
  <c r="E8" i="132"/>
  <c r="F8" i="132"/>
  <c r="C8" i="132"/>
  <c r="H8" i="132"/>
  <c r="K8" i="132"/>
  <c r="L8" i="132"/>
  <c r="M8" i="132"/>
  <c r="N8" i="132"/>
  <c r="P8" i="132"/>
  <c r="J9" i="132"/>
  <c r="E9" i="132"/>
  <c r="F9" i="132"/>
  <c r="C9" i="132"/>
  <c r="H9" i="132"/>
  <c r="K9" i="132"/>
  <c r="L9" i="132"/>
  <c r="M9" i="132"/>
  <c r="N9" i="132"/>
  <c r="P9" i="132"/>
  <c r="J10" i="132"/>
  <c r="E10" i="132"/>
  <c r="F10" i="132"/>
  <c r="C10" i="132"/>
  <c r="H10" i="132"/>
  <c r="K10" i="132"/>
  <c r="L10" i="132"/>
  <c r="M10" i="132"/>
  <c r="N10" i="132"/>
  <c r="P10" i="132"/>
  <c r="C6" i="103"/>
  <c r="E6" i="103"/>
  <c r="C5" i="103"/>
  <c r="E5" i="103"/>
  <c r="C4" i="103"/>
  <c r="E4" i="103"/>
  <c r="C2" i="103"/>
  <c r="E2" i="103"/>
  <c r="C3" i="103"/>
  <c r="J2" i="132"/>
  <c r="J3" i="132"/>
  <c r="J4" i="132"/>
  <c r="J5" i="132"/>
  <c r="P5" i="132"/>
  <c r="N5" i="132"/>
  <c r="M5" i="132"/>
  <c r="L5" i="132"/>
  <c r="K5" i="132"/>
  <c r="H5" i="132"/>
  <c r="F5" i="132"/>
  <c r="E5" i="132"/>
  <c r="C5" i="132"/>
  <c r="P4" i="132"/>
  <c r="N4" i="132"/>
  <c r="M4" i="132"/>
  <c r="L4" i="132"/>
  <c r="K4" i="132"/>
  <c r="H4" i="132"/>
  <c r="F4" i="132"/>
  <c r="E4" i="132"/>
  <c r="C4" i="132"/>
  <c r="P3" i="132"/>
  <c r="N3" i="132"/>
  <c r="M3" i="132"/>
  <c r="L3" i="132"/>
  <c r="K3" i="132"/>
  <c r="H3" i="132"/>
  <c r="F3" i="132"/>
  <c r="E3" i="132"/>
  <c r="C3" i="132"/>
  <c r="P2" i="132"/>
  <c r="N2" i="132"/>
  <c r="M2" i="132"/>
  <c r="L2" i="132"/>
  <c r="K2" i="132"/>
  <c r="H2" i="132"/>
  <c r="F2" i="132"/>
  <c r="E2" i="132"/>
  <c r="C2" i="132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<sst xmlns="http://schemas.openxmlformats.org/spreadsheetml/2006/main" count="214" uniqueCount="125">
  <si>
    <t>character_id</t>
  </si>
  <si>
    <t>character_id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</si>
  <si>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</si>
  <si>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</si>
  <si>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</si>
  <si>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</si>
  <si>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</si>
  <si>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</si>
  <si>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</si>
  <si>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11"/>
  </si>
  <si>
    <t>character_id</t>
    <phoneticPr fontId="11"/>
  </si>
  <si>
    <t>name</t>
    <phoneticPr fontId="11"/>
  </si>
  <si>
    <t>接頭語</t>
    <rPh sb="0" eb="3">
      <t>セットウゴ</t>
    </rPh>
    <phoneticPr fontId="44"/>
  </si>
  <si>
    <t>識別子</t>
    <rPh sb="0" eb="3">
      <t>シキベツシ</t>
    </rPh>
    <phoneticPr fontId="44"/>
  </si>
  <si>
    <t>形式</t>
    <rPh sb="0" eb="2">
      <t>ケイシキ</t>
    </rPh>
    <phoneticPr fontId="44"/>
  </si>
  <si>
    <t>出力ファイル名</t>
    <rPh sb="0" eb="2">
      <t>シュツリョク</t>
    </rPh>
    <rPh sb="6" eb="7">
      <t>メイ</t>
    </rPh>
    <phoneticPr fontId="44"/>
  </si>
  <si>
    <t>入力シート名</t>
    <rPh sb="0" eb="2">
      <t>ニュウリョク</t>
    </rPh>
    <rPh sb="5" eb="6">
      <t>メイ</t>
    </rPh>
    <phoneticPr fontId="44"/>
  </si>
  <si>
    <t>出力データ</t>
    <rPh sb="0" eb="2">
      <t>シュツリョク</t>
    </rPh>
    <phoneticPr fontId="44"/>
  </si>
  <si>
    <t>.tmp</t>
    <phoneticPr fontId="44"/>
  </si>
  <si>
    <t>出力flg</t>
    <rPh sb="0" eb="2">
      <t>シュツリョク</t>
    </rPh>
    <phoneticPr fontId="44"/>
  </si>
  <si>
    <t>性別</t>
    <rPh sb="0" eb="2">
      <t>セイベツ</t>
    </rPh>
    <phoneticPr fontId="11"/>
  </si>
  <si>
    <t>ピックアップ確率</t>
    <rPh sb="6" eb="8">
      <t>カクリツ</t>
    </rPh>
    <phoneticPr fontId="11"/>
  </si>
  <si>
    <t>確率</t>
    <rPh sb="0" eb="2">
      <t>カクリツ</t>
    </rPh>
    <phoneticPr fontId="11"/>
  </si>
  <si>
    <t>名前</t>
    <rPh sb="0" eb="2">
      <t>ナマエ</t>
    </rPh>
    <phoneticPr fontId="11"/>
  </si>
  <si>
    <t>テーブルを増やしたい場合</t>
    <rPh sb="5" eb="6">
      <t>フ</t>
    </rPh>
    <rPh sb="10" eb="12">
      <t>バアイ</t>
    </rPh>
    <phoneticPr fontId="1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</si>
  <si>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</si>
  <si>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1"/>
  </si>
  <si>
    <t>３．outputシートで２で作ったtablesを指定する</t>
    <rPh sb="14" eb="15">
      <t>ツク</t>
    </rPh>
    <rPh sb="24" eb="26">
      <t>シテイ</t>
    </rPh>
    <phoneticPr fontId="11"/>
  </si>
  <si>
    <t>table_no</t>
    <phoneticPr fontId="11"/>
  </si>
  <si>
    <t>ラベル確率で考えましょう</t>
    <rPh sb="6" eb="7">
      <t>カンガエマショウ</t>
    </rPh>
    <phoneticPr fontId="44"/>
  </si>
  <si>
    <t>ラベル</t>
    <phoneticPr fontId="44"/>
  </si>
  <si>
    <t>レアリティ</t>
    <phoneticPr fontId="44"/>
  </si>
  <si>
    <t>{W}</t>
    <phoneticPr fontId="44"/>
  </si>
  <si>
    <t>{N,S}</t>
    <phoneticPr fontId="44"/>
  </si>
  <si>
    <t>{N,S}R3less</t>
    <phoneticPr fontId="44"/>
  </si>
  <si>
    <t>{N,S}R6release</t>
    <phoneticPr fontId="44"/>
  </si>
  <si>
    <t>{SS}</t>
    <phoneticPr fontId="44"/>
  </si>
  <si>
    <t>{SS}R6only</t>
    <phoneticPr fontId="44"/>
  </si>
  <si>
    <t>小計</t>
    <rPh sb="0" eb="2">
      <t>ショウケイ</t>
    </rPh>
    <phoneticPr fontId="44"/>
  </si>
  <si>
    <t>A</t>
    <phoneticPr fontId="44"/>
  </si>
  <si>
    <t>C</t>
    <phoneticPr fontId="44"/>
  </si>
  <si>
    <t>H</t>
    <phoneticPr fontId="44"/>
  </si>
  <si>
    <t>B</t>
    <phoneticPr fontId="44"/>
  </si>
  <si>
    <t>D</t>
    <phoneticPr fontId="44"/>
  </si>
  <si>
    <t>F</t>
    <phoneticPr fontId="44"/>
  </si>
  <si>
    <t>I</t>
    <phoneticPr fontId="44"/>
  </si>
  <si>
    <t>K</t>
    <phoneticPr fontId="44"/>
  </si>
  <si>
    <t>E</t>
    <phoneticPr fontId="44"/>
  </si>
  <si>
    <t>G</t>
    <phoneticPr fontId="44"/>
  </si>
  <si>
    <t>J</t>
    <phoneticPr fontId="44"/>
  </si>
  <si>
    <t>L</t>
    <phoneticPr fontId="44"/>
  </si>
  <si>
    <t>M</t>
    <phoneticPr fontId="44"/>
  </si>
  <si>
    <t>→</t>
    <phoneticPr fontId="44"/>
  </si>
  <si>
    <t>1-SS率</t>
    <rPh sb="4" eb="5">
      <t>リツ</t>
    </rPh>
    <phoneticPr fontId="44"/>
  </si>
  <si>
    <t>SS率</t>
    <rPh sb="2" eb="3">
      <t>リツ</t>
    </rPh>
    <phoneticPr fontId="44"/>
  </si>
  <si>
    <t>考え方を変える</t>
    <rPh sb="0" eb="1">
      <t>カンガエカタ</t>
    </rPh>
    <rPh sb="4" eb="5">
      <t>カエル</t>
    </rPh>
    <phoneticPr fontId="44"/>
  </si>
  <si>
    <t>SS4%は確定事項</t>
    <rPh sb="5" eb="7">
      <t>カクテイ</t>
    </rPh>
    <rPh sb="7" eb="9">
      <t>ジコウ</t>
    </rPh>
    <phoneticPr fontId="44"/>
  </si>
  <si>
    <t>当たりは分配</t>
    <rPh sb="0" eb="1">
      <t>アタリ</t>
    </rPh>
    <rPh sb="4" eb="6">
      <t>ブンパイ</t>
    </rPh>
    <phoneticPr fontId="4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</si>
  <si>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4"/>
  </si>
  <si>
    <t>=</t>
    <phoneticPr fontId="44"/>
  </si>
  <si>
    <t>X*{SS R5only}</t>
    <phoneticPr fontId="44"/>
  </si>
  <si>
    <t>K</t>
    <phoneticPr fontId="44"/>
  </si>
  <si>
    <t>=</t>
    <phoneticPr fontId="44"/>
  </si>
  <si>
    <t>X*{SS}*(R3率+R4率)</t>
    <rPh sb="10" eb="11">
      <t>リツ</t>
    </rPh>
    <rPh sb="14" eb="15">
      <t>リツ</t>
    </rPh>
    <phoneticPr fontId="44"/>
  </si>
  <si>
    <t>L</t>
    <phoneticPr fontId="44"/>
  </si>
  <si>
    <t>X*{SS}*R5率</t>
    <rPh sb="9" eb="10">
      <t>リツ</t>
    </rPh>
    <phoneticPr fontId="44"/>
  </si>
  <si>
    <t>X*{R6release}*R3率</t>
    <rPh sb="16" eb="17">
      <t>リツ</t>
    </rPh>
    <phoneticPr fontId="44"/>
  </si>
  <si>
    <t>X*{R6release}*R4率</t>
    <rPh sb="16" eb="17">
      <t>リツ</t>
    </rPh>
    <phoneticPr fontId="44"/>
  </si>
  <si>
    <t>J</t>
    <phoneticPr fontId="44"/>
  </si>
  <si>
    <t>X*{R6release}*R5率</t>
    <rPh sb="16" eb="17">
      <t>リツ</t>
    </rPh>
    <phoneticPr fontId="44"/>
  </si>
  <si>
    <t>ハズレで確率を整える</t>
    <rPh sb="4" eb="6">
      <t>カクリツ</t>
    </rPh>
    <rPh sb="7" eb="8">
      <t>トトノエル</t>
    </rPh>
    <phoneticPr fontId="4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</si>
  <si>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4"/>
  </si>
  <si>
    <t>A + C</t>
    <phoneticPr fontId="44"/>
  </si>
  <si>
    <t>=</t>
    <phoneticPr fontId="44"/>
  </si>
  <si>
    <t>50%-H</t>
    <phoneticPr fontId="44"/>
  </si>
  <si>
    <t>①</t>
    <phoneticPr fontId="44"/>
  </si>
  <si>
    <t>B + D + F</t>
    <phoneticPr fontId="44"/>
  </si>
  <si>
    <t>45%-I-K</t>
    <phoneticPr fontId="44"/>
  </si>
  <si>
    <t>②</t>
    <phoneticPr fontId="44"/>
  </si>
  <si>
    <t>E+G</t>
    <phoneticPr fontId="44"/>
  </si>
  <si>
    <t>5%-J-L-M</t>
    <phoneticPr fontId="44"/>
  </si>
  <si>
    <t>③</t>
    <phoneticPr fontId="44"/>
  </si>
  <si>
    <t>A+B</t>
    <phoneticPr fontId="44"/>
  </si>
  <si>
    <t>Y*{W}</t>
    <phoneticPr fontId="44"/>
  </si>
  <si>
    <t>④</t>
    <phoneticPr fontId="44"/>
  </si>
  <si>
    <t>C+D+E</t>
    <phoneticPr fontId="44"/>
  </si>
  <si>
    <t>Y*{N,S}</t>
    <phoneticPr fontId="44"/>
  </si>
  <si>
    <t>⑤</t>
    <phoneticPr fontId="44"/>
  </si>
  <si>
    <t>F+G</t>
    <phoneticPr fontId="44"/>
  </si>
  <si>
    <t>Y*{N,S R3less}</t>
    <phoneticPr fontId="44"/>
  </si>
  <si>
    <t>⑥</t>
    <phoneticPr fontId="44"/>
  </si>
  <si>
    <t>A+B+C+D+E+F+G</t>
    <phoneticPr fontId="44"/>
  </si>
  <si>
    <t>⑦</t>
    <phoneticPr fontId="44"/>
  </si>
  <si>
    <t>←これは4,5,6で作れるのでダメだわ</t>
    <rPh sb="10" eb="11">
      <t>ツクレル</t>
    </rPh>
    <phoneticPr fontId="44"/>
  </si>
  <si>
    <t>E*R3率/R5率</t>
    <rPh sb="4" eb="5">
      <t>リツ</t>
    </rPh>
    <rPh sb="8" eb="9">
      <t>リツ</t>
    </rPh>
    <phoneticPr fontId="4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</si>
  <si>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4"/>
  </si>
  <si>
    <t>E*R4率/R5率</t>
    <rPh sb="4" eb="5">
      <t>リツ</t>
    </rPh>
    <rPh sb="8" eb="9">
      <t>リツ</t>
    </rPh>
    <phoneticPr fontId="44"/>
  </si>
  <si>
    <t>∴</t>
    <phoneticPr fontId="44"/>
  </si>
  <si>
    <t>E</t>
    <phoneticPr fontId="44"/>
  </si>
  <si>
    <t>Y*{N,S}*R5率</t>
    <rPh sb="10" eb="11">
      <t>リツ</t>
    </rPh>
    <phoneticPr fontId="44"/>
  </si>
  <si>
    <t>Y*{N,S}*R4率</t>
    <rPh sb="10" eb="11">
      <t>リツ</t>
    </rPh>
    <phoneticPr fontId="44"/>
  </si>
  <si>
    <t>Y*{N,S}*R3率</t>
    <rPh sb="10" eb="11">
      <t>リツ</t>
    </rPh>
    <phoneticPr fontId="44"/>
  </si>
  <si>
    <t>50%-H-C</t>
    <phoneticPr fontId="44"/>
  </si>
  <si>
    <t>Y*{W}-A</t>
    <phoneticPr fontId="44"/>
  </si>
  <si>
    <t>5%-J-L-M-E</t>
    <phoneticPr fontId="44"/>
  </si>
  <si>
    <t>Y*{N,S R3less} - G</t>
    <phoneticPr fontId="44"/>
  </si>
  <si>
    <t>R6境界前後</t>
    <rPh sb="2" eb="4">
      <t>キョウカイ</t>
    </rPh>
    <rPh sb="4" eb="6">
      <t>ゼンゴ</t>
    </rPh>
    <phoneticPr fontId="11"/>
  </si>
  <si>
    <t>R6事後開放N,S</t>
    <rPh sb="2" eb="6">
      <t>ジゴカイホウ</t>
    </rPh>
    <phoneticPr fontId="11"/>
  </si>
  <si>
    <t>table_no</t>
    <phoneticPr fontId="11"/>
  </si>
  <si>
    <t>character_id</t>
    <phoneticPr fontId="11"/>
  </si>
  <si>
    <t>drop_label2</t>
    <phoneticPr fontId="11"/>
  </si>
  <si>
    <t>color2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</si>
  <si>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</si>
  <si>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</si>
  <si>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</si>
  <si>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</si>
  <si>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</si>
  <si>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</si>
  <si>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weight</t>
    <phoneticPr fontId="11"/>
  </si>
  <si>
    <t>unit_level</t>
    <phoneticPr fontId="11"/>
  </si>
  <si>
    <t>old</t>
    <phoneticPr fontId="11"/>
  </si>
  <si>
    <t>gacha_select_tables_</t>
    <phoneticPr fontId="11"/>
  </si>
  <si>
    <t>skip</t>
    <phoneticPr fontId="11"/>
  </si>
  <si>
    <t>tables_7121100</t>
  </si>
  <si>
    <t>tables_7225100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</si>
</sst>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1" fillId="5" borderId="2" applyNumberFormat="0" applyAlignment="0" applyProtection="0"/>
    <xf numFmtId="0" fontId="22" fillId="6" borderId="0" applyNumberFormat="0" applyBorder="0" applyAlignment="0" applyProtection="0"/>
    <xf numFmtId="0" fontId="23" fillId="7" borderId="3" applyNumberFormat="0" applyAlignment="0" applyProtection="0"/>
    <xf numFmtId="0" fontId="24" fillId="0" borderId="0" applyNumberFormat="0" applyFill="0" applyBorder="0" applyAlignment="0" applyProtection="0"/>
    <xf numFmtId="0" fontId="25" fillId="8" borderId="0" applyNumberFormat="0" applyBorder="0" applyAlignment="0" applyProtection="0"/>
    <xf numFmtId="0" fontId="26" fillId="9" borderId="4" applyNumberFormat="0" applyAlignment="0" applyProtection="0"/>
    <xf numFmtId="0" fontId="27" fillId="0" borderId="0" applyNumberFormat="0" applyFill="0" applyBorder="0" applyAlignment="0" applyProtection="0"/>
    <xf numFmtId="0" fontId="28" fillId="0" borderId="5" applyNumberFormat="0" applyFill="0" applyAlignment="0" applyProtection="0"/>
    <xf numFmtId="0" fontId="29" fillId="0" borderId="6" applyNumberFormat="0" applyFill="0" applyAlignment="0" applyProtection="0"/>
    <xf numFmtId="0" fontId="30" fillId="0" borderId="7" applyNumberFormat="0" applyFill="0" applyAlignment="0" applyProtection="0"/>
    <xf numFmtId="0" fontId="30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31" fillId="6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1" borderId="0" applyNumberFormat="0" applyBorder="0" applyAlignment="0" applyProtection="0"/>
    <xf numFmtId="0" fontId="31" fillId="5" borderId="0" applyNumberFormat="0" applyBorder="0" applyAlignment="0" applyProtection="0"/>
    <xf numFmtId="0" fontId="31" fillId="7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3" borderId="0" applyNumberFormat="0" applyBorder="0" applyAlignment="0" applyProtection="0"/>
    <xf numFmtId="0" fontId="31" fillId="6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4" borderId="0" applyNumberFormat="0" applyBorder="0" applyAlignment="0" applyProtection="0"/>
    <xf numFmtId="0" fontId="32" fillId="6" borderId="0" applyNumberFormat="0" applyBorder="0" applyAlignment="0" applyProtection="0"/>
    <xf numFmtId="0" fontId="24" fillId="0" borderId="0" applyNumberFormat="0" applyFill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0" borderId="0" applyNumberFormat="0" applyBorder="0" applyAlignment="0" applyProtection="0"/>
    <xf numFmtId="0" fontId="32" fillId="16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3" fillId="17" borderId="0" applyNumberFormat="0" applyBorder="0" applyAlignment="0" applyProtection="0"/>
    <xf numFmtId="0" fontId="22" fillId="6" borderId="0" applyNumberFormat="0" applyBorder="0" applyAlignment="0" applyProtection="0"/>
    <xf numFmtId="0" fontId="34" fillId="0" borderId="8" applyNumberFormat="0" applyFill="0" applyAlignment="0" applyProtection="0"/>
    <xf numFmtId="0" fontId="35" fillId="7" borderId="9" applyNumberFormat="0" applyAlignment="0" applyProtection="0"/>
    <xf numFmtId="0" fontId="35" fillId="18" borderId="9" applyNumberFormat="0" applyAlignment="0" applyProtection="0"/>
    <xf numFmtId="0" fontId="23" fillId="6" borderId="3" applyNumberFormat="0" applyAlignment="0" applyProtection="0"/>
    <xf numFmtId="0" fontId="36" fillId="0" borderId="10" applyNumberFormat="0" applyFill="0" applyAlignment="0" applyProtection="0"/>
    <xf numFmtId="0" fontId="37" fillId="18" borderId="3" applyNumberFormat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0" fillId="19" borderId="0" applyNumberFormat="0" applyBorder="0" applyAlignment="0" applyProtection="0"/>
    <xf numFmtId="0" fontId="41" fillId="20" borderId="0" applyNumberFormat="0" applyBorder="0" applyAlignment="0" applyProtection="0"/>
    <xf numFmtId="0" fontId="9" fillId="0" borderId="0"/>
    <xf numFmtId="0" fontId="42" fillId="20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8" fillId="0" borderId="0"/>
    <xf numFmtId="0" fontId="45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7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9" fontId="46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5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7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6" fillId="2" borderId="1" xfId="2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1" borderId="1" xfId="2978" applyFont="1" applyFill="1" applyBorder="1"/>
    <xf numFmtId="0" fontId="8" fillId="21" borderId="1" xfId="2978" applyFill="1" applyBorder="1"/>
    <xf numFmtId="0" fontId="8" fillId="0" borderId="0" xfId="2978"/>
    <xf numFmtId="0" fontId="8" fillId="0" borderId="1" xfId="2978" applyBorder="1"/>
    <xf numFmtId="0" fontId="9" fillId="2" borderId="1" xfId="19" applyFill="1" applyBorder="1"/>
    <xf numFmtId="0" fontId="18" fillId="21" borderId="1" xfId="0" applyFont="1" applyFill="1" applyBorder="1"/>
    <xf numFmtId="0" fontId="43" fillId="22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15" fillId="23" borderId="1" xfId="0" applyFont="1" applyFill="1" applyBorder="1" applyAlignment="1">
      <alignment horizontal="right" vertical="center"/>
    </xf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0" borderId="1" xfId="3036" applyFont="1" applyBorder="1"/>
    <xf numFmtId="0" fontId="16" fillId="0" borderId="0" xfId="2" applyFont="1" applyFill="1" applyBorder="1" applyAlignment="1">
      <alignment vertical="center"/>
    </xf>
    <xf numFmtId="0" fontId="15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3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16" fillId="0" borderId="1" xfId="2" applyFont="1" applyFill="1" applyBorder="1" applyAlignment="1">
      <alignment vertical="center"/>
    </xf>
    <xf numFmtId="0" fontId="15" fillId="0" borderId="1" xfId="0" applyFont="1" applyFill="1" applyBorder="1" applyAlignment="1">
      <alignment horizontal="right" vertical="center"/>
    </xf>
    <xf numFmtId="0" fontId="0" fillId="0" borderId="1" xfId="0" applyFill="1" applyBorder="1"/>
    <xf numFmtId="176" fontId="0" fillId="0" borderId="1" xfId="3575" applyNumberFormat="1" applyFont="1" applyFill="1" applyBorder="1"/>
    <xf numFmtId="0" fontId="43" fillId="0" borderId="1" xfId="0" applyFont="1" applyFill="1" applyBorder="1" applyAlignment="1">
      <alignment vertical="center"/>
    </xf>
    <xf numFmtId="0" fontId="16" fillId="0" borderId="0" xfId="2" applyFont="1" applyFill="1" applyAlignment="1">
      <alignment vertical="center"/>
    </xf>
    <xf numFmtId="0" fontId="17" fillId="0" borderId="1" xfId="0" applyFont="1" applyFill="1" applyBorder="1" applyAlignment="1">
      <alignment vertical="center"/>
    </xf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ジキル＆ハイド</v>
          </cell>
          <cell r="H1375" t="str">
            <v>red</v>
          </cell>
          <cell r="I1375">
            <v>6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PremiumSSw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PremiumSSw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プラトーR5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technical</v>
          </cell>
          <cell r="L1418" t="str">
            <v>テクニカルタイプ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プラトーR6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1495</v>
          </cell>
          <cell r="B1447" t="str">
            <v>ja</v>
          </cell>
          <cell r="C1447" t="str">
            <v>桜乱の武奏術 牛若丸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yellow</v>
          </cell>
          <cell r="I1447">
            <v>6</v>
          </cell>
          <cell r="J1447" t="str">
            <v>PremiumSS</v>
          </cell>
          <cell r="K1447" t="str">
            <v>balance</v>
          </cell>
          <cell r="L1447" t="str">
            <v>バランスタイプ</v>
          </cell>
          <cell r="M1447" t="str">
            <v>samurai</v>
          </cell>
        </row>
        <row r="1448">
          <cell r="A1448">
            <v>1496</v>
          </cell>
          <cell r="B1448" t="str">
            <v>ja</v>
          </cell>
          <cell r="C1448" t="str">
            <v>晴眼桜花一文字 沖田総司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green</v>
          </cell>
          <cell r="I1448">
            <v>6</v>
          </cell>
          <cell r="J1448" t="str">
            <v>PremiumSS</v>
          </cell>
          <cell r="K1448" t="str">
            <v>hp</v>
          </cell>
          <cell r="L1448" t="str">
            <v>体力タイプ</v>
          </cell>
          <cell r="M1448" t="str">
            <v>samurai</v>
          </cell>
        </row>
        <row r="1449">
          <cell r="A1449">
            <v>1497</v>
          </cell>
          <cell r="B1449" t="str">
            <v>ja</v>
          </cell>
          <cell r="C1449" t="str">
            <v>ヨシノ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heal</v>
          </cell>
          <cell r="L1449" t="str">
            <v>回復タイプ</v>
          </cell>
          <cell r="M1449" t="str">
            <v>fantasy</v>
          </cell>
        </row>
        <row r="1450">
          <cell r="A1450">
            <v>1498</v>
          </cell>
          <cell r="B1450" t="str">
            <v>ja</v>
          </cell>
          <cell r="C1450" t="str">
            <v>咲誇る夢見草 ヨシノ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heal</v>
          </cell>
          <cell r="L1450" t="str">
            <v>回復タイプ</v>
          </cell>
          <cell r="M1450" t="str">
            <v>fantasy</v>
          </cell>
        </row>
        <row r="1451">
          <cell r="A1451">
            <v>1499</v>
          </cell>
          <cell r="B1451" t="str">
            <v>ja</v>
          </cell>
          <cell r="C1451" t="str">
            <v>コノハナサクヤ</v>
          </cell>
          <cell r="D1451" t="str">
            <v>未定</v>
          </cell>
          <cell r="E1451" t="str">
            <v>アリス</v>
          </cell>
          <cell r="F1451" t="str">
            <v>世界観</v>
          </cell>
          <cell r="G1451" t="str">
            <v>不明</v>
          </cell>
          <cell r="H1451" t="str">
            <v>yellow</v>
          </cell>
          <cell r="I1451">
            <v>5</v>
          </cell>
          <cell r="J1451" t="str">
            <v>PremiumSS</v>
          </cell>
          <cell r="K1451" t="str">
            <v>technical</v>
          </cell>
          <cell r="L1451" t="str">
            <v>テクニカルタイプ</v>
          </cell>
          <cell r="M1451" t="str">
            <v>god</v>
          </cell>
        </row>
        <row r="1452">
          <cell r="A1452">
            <v>1500</v>
          </cell>
          <cell r="B1452" t="str">
            <v>ja</v>
          </cell>
          <cell r="C1452" t="str">
            <v>櫻歌する開華 コノハナサクヤ</v>
          </cell>
          <cell r="D1452" t="str">
            <v>未定</v>
          </cell>
          <cell r="E1452" t="str">
            <v>アリス</v>
          </cell>
          <cell r="F1452" t="str">
            <v>世界観</v>
          </cell>
          <cell r="G1452" t="str">
            <v>不明</v>
          </cell>
          <cell r="H1452" t="str">
            <v>yellow</v>
          </cell>
          <cell r="I1452">
            <v>6</v>
          </cell>
          <cell r="J1452" t="str">
            <v>PremiumSS</v>
          </cell>
          <cell r="K1452" t="str">
            <v>technical</v>
          </cell>
          <cell r="L1452" t="str">
            <v>テクニカルタイプ</v>
          </cell>
          <cell r="M1452" t="str">
            <v>god</v>
          </cell>
        </row>
        <row r="1453">
          <cell r="A1453">
            <v>1501</v>
          </cell>
          <cell r="B1453" t="str">
            <v>ja</v>
          </cell>
          <cell r="C1453" t="str">
            <v>晴舞台の桜舞 ドガ</v>
          </cell>
          <cell r="H1453" t="str">
            <v>blue</v>
          </cell>
          <cell r="I1453">
            <v>6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animal</v>
          </cell>
        </row>
        <row r="1454">
          <cell r="A1454">
            <v>1502</v>
          </cell>
          <cell r="B1454" t="str">
            <v>ja</v>
          </cell>
          <cell r="C1454" t="str">
            <v>打咲かす桜花灯 トリスタン</v>
          </cell>
          <cell r="H1454" t="str">
            <v>red</v>
          </cell>
          <cell r="I1454">
            <v>5</v>
          </cell>
          <cell r="J1454" t="str">
            <v>PremiumS</v>
          </cell>
          <cell r="K1454" t="str">
            <v>attack</v>
          </cell>
          <cell r="L1454" t="str">
            <v>攻撃タイプ</v>
          </cell>
          <cell r="M1454" t="str">
            <v>human</v>
          </cell>
        </row>
        <row r="1455">
          <cell r="A1455">
            <v>1503</v>
          </cell>
          <cell r="B1455" t="str">
            <v>ja</v>
          </cell>
          <cell r="C1455" t="str">
            <v>春纏う蛇撫子 ヨルムンガンド</v>
          </cell>
          <cell r="H1455" t="str">
            <v>yellow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dragon</v>
          </cell>
        </row>
        <row r="1456">
          <cell r="A1456">
            <v>1504</v>
          </cell>
          <cell r="B1456" t="str">
            <v>ja</v>
          </cell>
          <cell r="C1456" t="str">
            <v>ネコ</v>
          </cell>
          <cell r="H1456" t="str">
            <v>red</v>
          </cell>
          <cell r="I1456">
            <v>1</v>
          </cell>
          <cell r="J1456" t="str">
            <v>Drop1T</v>
          </cell>
          <cell r="K1456" t="str">
            <v>balance</v>
          </cell>
          <cell r="L1456" t="str">
            <v>バランスタイプ</v>
          </cell>
          <cell r="M1456" t="str">
            <v>unknown</v>
          </cell>
        </row>
        <row r="1457">
          <cell r="A1457">
            <v>1505</v>
          </cell>
          <cell r="B1457" t="str">
            <v>ja</v>
          </cell>
          <cell r="C1457" t="str">
            <v>タンクネコ</v>
          </cell>
          <cell r="H1457" t="str">
            <v>green</v>
          </cell>
          <cell r="I1457">
            <v>1</v>
          </cell>
          <cell r="J1457" t="str">
            <v>Drop1T</v>
          </cell>
          <cell r="K1457" t="str">
            <v>hp</v>
          </cell>
          <cell r="L1457" t="str">
            <v>体力タイプ</v>
          </cell>
          <cell r="M1457" t="str">
            <v>unknown</v>
          </cell>
        </row>
        <row r="1458">
          <cell r="A1458">
            <v>1506</v>
          </cell>
          <cell r="B1458" t="str">
            <v>ja</v>
          </cell>
          <cell r="C1458" t="str">
            <v>バトルネコ</v>
          </cell>
          <cell r="H1458" t="str">
            <v>yellow</v>
          </cell>
          <cell r="I1458">
            <v>2</v>
          </cell>
          <cell r="J1458" t="str">
            <v>Drop1S</v>
          </cell>
          <cell r="K1458" t="str">
            <v>attack</v>
          </cell>
          <cell r="L1458" t="str">
            <v>攻撃タイプ</v>
          </cell>
          <cell r="M1458" t="str">
            <v>unknown</v>
          </cell>
        </row>
        <row r="1459">
          <cell r="A1459">
            <v>1507</v>
          </cell>
          <cell r="B1459" t="str">
            <v>ja</v>
          </cell>
          <cell r="C1459" t="str">
            <v>キモネコ</v>
          </cell>
          <cell r="H1459" t="str">
            <v>blue</v>
          </cell>
          <cell r="I1459">
            <v>3</v>
          </cell>
          <cell r="J1459" t="str">
            <v>Drop2N</v>
          </cell>
          <cell r="K1459" t="str">
            <v>technical</v>
          </cell>
          <cell r="L1459" t="str">
            <v>テクニカルタイプ</v>
          </cell>
          <cell r="M1459" t="str">
            <v>unknown</v>
          </cell>
        </row>
        <row r="1460">
          <cell r="A1460">
            <v>1508</v>
          </cell>
          <cell r="B1460" t="str">
            <v>ja</v>
          </cell>
          <cell r="C1460" t="str">
            <v>ネコノトリ</v>
          </cell>
          <cell r="H1460" t="str">
            <v>red</v>
          </cell>
          <cell r="I1460">
            <v>4</v>
          </cell>
          <cell r="J1460" t="str">
            <v>Drop2N</v>
          </cell>
          <cell r="K1460" t="str">
            <v>balance</v>
          </cell>
          <cell r="L1460" t="str">
            <v>バランスタイプ</v>
          </cell>
          <cell r="M1460" t="str">
            <v>unknown</v>
          </cell>
        </row>
        <row r="1461">
          <cell r="A1461">
            <v>1509</v>
          </cell>
          <cell r="B1461" t="str">
            <v>ja</v>
          </cell>
          <cell r="C1461" t="str">
            <v>巨神ネコ</v>
          </cell>
          <cell r="H1461" t="str">
            <v>green</v>
          </cell>
          <cell r="I1461">
            <v>5</v>
          </cell>
          <cell r="J1461" t="str">
            <v>Drop2N</v>
          </cell>
          <cell r="K1461" t="str">
            <v>hp</v>
          </cell>
          <cell r="L1461" t="str">
            <v>体力タイプ</v>
          </cell>
          <cell r="M1461" t="str">
            <v>god</v>
          </cell>
        </row>
        <row r="1462">
          <cell r="A1462">
            <v>1510</v>
          </cell>
          <cell r="B1462" t="str">
            <v>ja</v>
          </cell>
          <cell r="C1462" t="str">
            <v>ネコヴァルキリー</v>
          </cell>
          <cell r="H1462" t="str">
            <v>yellow</v>
          </cell>
          <cell r="I1462">
            <v>4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god</v>
          </cell>
        </row>
        <row r="1463">
          <cell r="A1463">
            <v>1511</v>
          </cell>
          <cell r="B1463" t="str">
            <v>ja</v>
          </cell>
          <cell r="C1463" t="str">
            <v>ネコヴァルキリー･真</v>
          </cell>
          <cell r="H1463" t="str">
            <v>yellow</v>
          </cell>
          <cell r="I1463">
            <v>5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god</v>
          </cell>
        </row>
        <row r="1464">
          <cell r="A1464">
            <v>1512</v>
          </cell>
          <cell r="B1464" t="str">
            <v>ja</v>
          </cell>
          <cell r="C1464" t="str">
            <v>ネコヴァルキリー･聖</v>
          </cell>
          <cell r="H1464" t="str">
            <v>yellow</v>
          </cell>
          <cell r="I1464">
            <v>6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1513</v>
          </cell>
          <cell r="B1465" t="str">
            <v>ja</v>
          </cell>
          <cell r="C1465" t="str">
            <v>金ネコ</v>
          </cell>
          <cell r="H1465" t="str">
            <v>yellow</v>
          </cell>
          <cell r="I1465">
            <v>4</v>
          </cell>
          <cell r="J1465" t="str">
            <v>Material</v>
          </cell>
          <cell r="K1465" t="str">
            <v>coin</v>
          </cell>
          <cell r="L1465" t="str">
            <v>コインタイプ</v>
          </cell>
          <cell r="M1465" t="str">
            <v>unknown</v>
          </cell>
        </row>
        <row r="1466">
          <cell r="A1466">
            <v>1514</v>
          </cell>
          <cell r="B1466" t="str">
            <v>ja</v>
          </cell>
          <cell r="C1466" t="str">
            <v>金ネコビルダー</v>
          </cell>
          <cell r="H1466" t="str">
            <v>yellow</v>
          </cell>
          <cell r="I1466">
            <v>5</v>
          </cell>
          <cell r="J1466" t="str">
            <v>Material</v>
          </cell>
          <cell r="K1466" t="str">
            <v>coin</v>
          </cell>
          <cell r="L1466" t="str">
            <v>コインタイプ</v>
          </cell>
          <cell r="M1466" t="str">
            <v>unknown</v>
          </cell>
        </row>
        <row r="1467">
          <cell r="A1467">
            <v>1515</v>
          </cell>
          <cell r="B1467" t="str">
            <v>ja</v>
          </cell>
          <cell r="C1467" t="str">
            <v>赤メタルネコ</v>
          </cell>
          <cell r="H1467" t="str">
            <v>red</v>
          </cell>
          <cell r="I1467">
            <v>4</v>
          </cell>
          <cell r="J1467" t="str">
            <v>Material</v>
          </cell>
          <cell r="K1467" t="str">
            <v>exp</v>
          </cell>
          <cell r="L1467" t="str">
            <v>強化素材タイプ</v>
          </cell>
          <cell r="M1467" t="str">
            <v>unknown</v>
          </cell>
        </row>
        <row r="1468">
          <cell r="A1468">
            <v>1516</v>
          </cell>
          <cell r="B1468" t="str">
            <v>ja</v>
          </cell>
          <cell r="C1468" t="str">
            <v>赤メタルネコビルダー</v>
          </cell>
          <cell r="H1468" t="str">
            <v>red</v>
          </cell>
          <cell r="I1468">
            <v>5</v>
          </cell>
          <cell r="J1468" t="str">
            <v>Material</v>
          </cell>
          <cell r="K1468" t="str">
            <v>exp</v>
          </cell>
          <cell r="L1468" t="str">
            <v>強化素材タイプ</v>
          </cell>
          <cell r="M1468" t="str">
            <v>unknown</v>
          </cell>
        </row>
        <row r="1469">
          <cell r="A1469">
            <v>1517</v>
          </cell>
          <cell r="B1469" t="str">
            <v>ja</v>
          </cell>
          <cell r="C1469" t="str">
            <v>青メタルネコ</v>
          </cell>
          <cell r="H1469" t="str">
            <v>blue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1518</v>
          </cell>
          <cell r="B1470" t="str">
            <v>ja</v>
          </cell>
          <cell r="C1470" t="str">
            <v>青メタルネコビルダー</v>
          </cell>
          <cell r="H1470" t="str">
            <v>blue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1519</v>
          </cell>
          <cell r="B1471" t="str">
            <v>ja</v>
          </cell>
          <cell r="C1471" t="str">
            <v>緑メタルネコ</v>
          </cell>
          <cell r="H1471" t="str">
            <v>green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1520</v>
          </cell>
          <cell r="B1472" t="str">
            <v>ja</v>
          </cell>
          <cell r="C1472" t="str">
            <v>緑メタルネコビルダー</v>
          </cell>
          <cell r="H1472" t="str">
            <v>green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1521</v>
          </cell>
          <cell r="B1473" t="str">
            <v>ja</v>
          </cell>
          <cell r="C1473" t="str">
            <v>黄メタルネコ</v>
          </cell>
          <cell r="H1473" t="str">
            <v>yellow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1522</v>
          </cell>
          <cell r="B1474" t="str">
            <v>ja</v>
          </cell>
          <cell r="C1474" t="str">
            <v>黄メタルネコビルダー</v>
          </cell>
          <cell r="H1474" t="str">
            <v>yellow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1523</v>
          </cell>
          <cell r="B1475" t="str">
            <v>ja</v>
          </cell>
          <cell r="C1475" t="str">
            <v>ネコムート</v>
          </cell>
          <cell r="H1475" t="str">
            <v>blue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animal</v>
          </cell>
        </row>
        <row r="1476">
          <cell r="A1476">
            <v>1524</v>
          </cell>
          <cell r="B1476" t="str">
            <v>ja</v>
          </cell>
          <cell r="C1476" t="str">
            <v>狂乱のネコムート</v>
          </cell>
          <cell r="H1476" t="str">
            <v>blue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animal</v>
          </cell>
        </row>
        <row r="1477">
          <cell r="A1477">
            <v>1525</v>
          </cell>
          <cell r="B1477" t="str">
            <v>ja</v>
          </cell>
          <cell r="C1477" t="str">
            <v>狂乱のネコ</v>
          </cell>
          <cell r="H1477" t="str">
            <v>red</v>
          </cell>
          <cell r="I1477">
            <v>5</v>
          </cell>
          <cell r="J1477" t="str">
            <v>DropWizSS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1526</v>
          </cell>
          <cell r="B1478" t="str">
            <v>ja</v>
          </cell>
          <cell r="C1478" t="str">
            <v>狂乱のネコビルダー</v>
          </cell>
          <cell r="H1478" t="str">
            <v>red</v>
          </cell>
          <cell r="I1478">
            <v>6</v>
          </cell>
          <cell r="J1478" t="str">
            <v>DropWizSS</v>
          </cell>
          <cell r="K1478" t="str">
            <v>attack</v>
          </cell>
          <cell r="L1478" t="str">
            <v>攻撃タイプ</v>
          </cell>
          <cell r="M1478" t="str">
            <v>animal</v>
          </cell>
        </row>
        <row r="1479">
          <cell r="A1479">
            <v>1527</v>
          </cell>
          <cell r="B1479" t="str">
            <v>ja</v>
          </cell>
          <cell r="C1479" t="str">
            <v>ネコ魔剣士</v>
          </cell>
          <cell r="H1479" t="str">
            <v>red</v>
          </cell>
          <cell r="I1479">
            <v>4</v>
          </cell>
          <cell r="J1479" t="str">
            <v>PremiumS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1528</v>
          </cell>
          <cell r="B1480" t="str">
            <v>ja</v>
          </cell>
          <cell r="C1480" t="str">
            <v>双剣ネコ魔剣士</v>
          </cell>
          <cell r="H1480" t="str">
            <v>red</v>
          </cell>
          <cell r="I1480">
            <v>5</v>
          </cell>
          <cell r="J1480" t="str">
            <v>PremiumS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1529</v>
          </cell>
          <cell r="B1481" t="str">
            <v>ja</v>
          </cell>
          <cell r="C1481" t="str">
            <v>ねこ海賊</v>
          </cell>
          <cell r="H1481" t="str">
            <v>blue</v>
          </cell>
          <cell r="I1481">
            <v>4</v>
          </cell>
          <cell r="J1481" t="str">
            <v>PremiumS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1530</v>
          </cell>
          <cell r="B1482" t="str">
            <v>ja</v>
          </cell>
          <cell r="C1482" t="str">
            <v>ニャーコック船長</v>
          </cell>
          <cell r="H1482" t="str">
            <v>blue</v>
          </cell>
          <cell r="I1482">
            <v>5</v>
          </cell>
          <cell r="J1482" t="str">
            <v>PremiumS</v>
          </cell>
          <cell r="K1482" t="str">
            <v>balance</v>
          </cell>
          <cell r="L1482" t="str">
            <v>バランスタイプ</v>
          </cell>
          <cell r="M1482" t="str">
            <v>unknown</v>
          </cell>
        </row>
        <row r="1483">
          <cell r="A1483">
            <v>1531</v>
          </cell>
          <cell r="B1483" t="str">
            <v>ja</v>
          </cell>
          <cell r="C1483" t="str">
            <v>ねこジュラ</v>
          </cell>
          <cell r="H1483" t="str">
            <v>green</v>
          </cell>
          <cell r="I1483">
            <v>4</v>
          </cell>
          <cell r="J1483" t="str">
            <v>PremiumS</v>
          </cell>
          <cell r="K1483" t="str">
            <v>technical</v>
          </cell>
          <cell r="L1483" t="str">
            <v>テクニカルタイプ</v>
          </cell>
          <cell r="M1483" t="str">
            <v>animal</v>
          </cell>
        </row>
        <row r="1484">
          <cell r="A1484">
            <v>1532</v>
          </cell>
          <cell r="B1484" t="str">
            <v>ja</v>
          </cell>
          <cell r="C1484" t="str">
            <v>ねこジュラシッター</v>
          </cell>
          <cell r="H1484" t="str">
            <v>green</v>
          </cell>
          <cell r="I1484">
            <v>5</v>
          </cell>
          <cell r="J1484" t="str">
            <v>PremiumS</v>
          </cell>
          <cell r="K1484" t="str">
            <v>technical</v>
          </cell>
          <cell r="L1484" t="str">
            <v>テクニカルタイプ</v>
          </cell>
          <cell r="M1484" t="str">
            <v>animal</v>
          </cell>
        </row>
        <row r="1485">
          <cell r="A1485">
            <v>1533</v>
          </cell>
          <cell r="B1485" t="str">
            <v>ja</v>
          </cell>
          <cell r="C1485" t="str">
            <v>ネコエステ</v>
          </cell>
          <cell r="H1485" t="str">
            <v>yellow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animal</v>
          </cell>
        </row>
        <row r="1486">
          <cell r="A1486">
            <v>1534</v>
          </cell>
          <cell r="B1486" t="str">
            <v>ja</v>
          </cell>
          <cell r="C1486" t="str">
            <v>ネコジェンヌ</v>
          </cell>
          <cell r="H1486" t="str">
            <v>yellow</v>
          </cell>
          <cell r="I1486">
            <v>5</v>
          </cell>
          <cell r="J1486" t="str">
            <v>PremiumS</v>
          </cell>
          <cell r="K1486" t="str">
            <v>attack</v>
          </cell>
          <cell r="L1486" t="str">
            <v>攻撃タイプ</v>
          </cell>
          <cell r="M1486" t="str">
            <v>animal</v>
          </cell>
        </row>
        <row r="1487">
          <cell r="A1487">
            <v>1535</v>
          </cell>
          <cell r="B1487" t="str">
            <v>ja</v>
          </cell>
          <cell r="C1487" t="str">
            <v>ねこナース</v>
          </cell>
          <cell r="H1487" t="str">
            <v>red</v>
          </cell>
          <cell r="I1487">
            <v>5</v>
          </cell>
          <cell r="J1487" t="str">
            <v>PremiumSS</v>
          </cell>
          <cell r="K1487" t="str">
            <v>technical</v>
          </cell>
          <cell r="L1487" t="str">
            <v>テクニカルタイプ</v>
          </cell>
          <cell r="M1487" t="str">
            <v>god</v>
          </cell>
        </row>
        <row r="1488">
          <cell r="A1488">
            <v>1536</v>
          </cell>
          <cell r="B1488" t="str">
            <v>ja</v>
          </cell>
          <cell r="C1488" t="str">
            <v>ハートフルねこナース</v>
          </cell>
          <cell r="H1488" t="str">
            <v>red</v>
          </cell>
          <cell r="I1488">
            <v>6</v>
          </cell>
          <cell r="J1488" t="str">
            <v>PremiumSS</v>
          </cell>
          <cell r="K1488" t="str">
            <v>technical</v>
          </cell>
          <cell r="L1488" t="str">
            <v>テクニカルタイプ</v>
          </cell>
          <cell r="M1488" t="str">
            <v>god</v>
          </cell>
        </row>
        <row r="1489">
          <cell r="A1489">
            <v>1537</v>
          </cell>
          <cell r="B1489" t="str">
            <v>ja</v>
          </cell>
          <cell r="C1489" t="str">
            <v>キャットマンダディ</v>
          </cell>
          <cell r="H1489" t="str">
            <v>blue</v>
          </cell>
          <cell r="I1489">
            <v>5</v>
          </cell>
          <cell r="J1489" t="str">
            <v>PremiumSSS</v>
          </cell>
          <cell r="K1489" t="str">
            <v>attack</v>
          </cell>
          <cell r="L1489" t="str">
            <v>攻撃タイプ</v>
          </cell>
          <cell r="M1489" t="str">
            <v>unknown</v>
          </cell>
        </row>
        <row r="1490">
          <cell r="A1490">
            <v>1538</v>
          </cell>
          <cell r="B1490" t="str">
            <v>ja</v>
          </cell>
          <cell r="C1490" t="str">
            <v>キャットマンダーク</v>
          </cell>
          <cell r="H1490" t="str">
            <v>blue</v>
          </cell>
          <cell r="I1490">
            <v>6</v>
          </cell>
          <cell r="J1490" t="str">
            <v>PremiumSSS</v>
          </cell>
          <cell r="K1490" t="str">
            <v>attack</v>
          </cell>
          <cell r="L1490" t="str">
            <v>攻撃タイプ</v>
          </cell>
          <cell r="M1490" t="str">
            <v>unknown</v>
          </cell>
        </row>
        <row r="1491">
          <cell r="A1491">
            <v>1539</v>
          </cell>
          <cell r="B1491" t="str">
            <v>ja</v>
          </cell>
          <cell r="C1491" t="str">
            <v>雷神のサンディア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attack</v>
          </cell>
          <cell r="L1491" t="str">
            <v>攻撃タイプ</v>
          </cell>
          <cell r="M1491" t="str">
            <v>god</v>
          </cell>
        </row>
        <row r="1492">
          <cell r="A1492">
            <v>1540</v>
          </cell>
          <cell r="B1492" t="str">
            <v>ja</v>
          </cell>
          <cell r="C1492" t="str">
            <v>雷神のサンディアβ</v>
          </cell>
          <cell r="H1492" t="str">
            <v>yellow</v>
          </cell>
          <cell r="I1492">
            <v>6</v>
          </cell>
          <cell r="J1492" t="str">
            <v>PremiumSS</v>
          </cell>
          <cell r="K1492" t="str">
            <v>attack</v>
          </cell>
          <cell r="L1492" t="str">
            <v>攻撃タイプ</v>
          </cell>
          <cell r="M1492" t="str">
            <v>god</v>
          </cell>
        </row>
        <row r="1493">
          <cell r="A1493">
            <v>1541</v>
          </cell>
          <cell r="B1493" t="str">
            <v>ja</v>
          </cell>
          <cell r="C1493" t="str">
            <v>美女神アフロディーテ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technical</v>
          </cell>
          <cell r="L1493" t="str">
            <v>テクニカルタイプ</v>
          </cell>
          <cell r="M1493" t="str">
            <v>god</v>
          </cell>
        </row>
        <row r="1494">
          <cell r="A1494">
            <v>1542</v>
          </cell>
          <cell r="B1494" t="str">
            <v>ja</v>
          </cell>
          <cell r="C1494" t="str">
            <v>メガロディーテ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technical</v>
          </cell>
          <cell r="L1494" t="str">
            <v>テクニカルタイプ</v>
          </cell>
          <cell r="M1494" t="str">
            <v>god</v>
          </cell>
        </row>
        <row r="1495">
          <cell r="A1495">
            <v>1543</v>
          </cell>
          <cell r="B1495" t="str">
            <v>ja</v>
          </cell>
          <cell r="C1495" t="str">
            <v>ツルの恩返し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balance</v>
          </cell>
          <cell r="L1495" t="str">
            <v>バランスタイプ</v>
          </cell>
          <cell r="M1495" t="str">
            <v>hero</v>
          </cell>
        </row>
        <row r="1496">
          <cell r="A1496">
            <v>1544</v>
          </cell>
          <cell r="B1496" t="str">
            <v>ja</v>
          </cell>
          <cell r="C1496" t="str">
            <v>銀河戦士コスモ</v>
          </cell>
          <cell r="H1496" t="str">
            <v>red</v>
          </cell>
          <cell r="I1496">
            <v>6</v>
          </cell>
          <cell r="J1496" t="str">
            <v>PremiumSS</v>
          </cell>
          <cell r="K1496" t="str">
            <v>balance</v>
          </cell>
          <cell r="L1496" t="str">
            <v>バランスタイプ</v>
          </cell>
          <cell r="M1496" t="str">
            <v>hero</v>
          </cell>
        </row>
        <row r="1497">
          <cell r="A1497">
            <v>1545</v>
          </cell>
          <cell r="B1497" t="str">
            <v>ja</v>
          </cell>
          <cell r="C1497" t="str">
            <v>ネコルガ</v>
          </cell>
          <cell r="H1497" t="str">
            <v>green</v>
          </cell>
          <cell r="I1497">
            <v>5</v>
          </cell>
          <cell r="J1497" t="str">
            <v>PremiumSS</v>
          </cell>
          <cell r="K1497" t="str">
            <v>hp</v>
          </cell>
          <cell r="L1497" t="str">
            <v>体力タイプ</v>
          </cell>
          <cell r="M1497" t="str">
            <v>unknown</v>
          </cell>
        </row>
        <row r="1498">
          <cell r="A1498">
            <v>1546</v>
          </cell>
          <cell r="B1498" t="str">
            <v>ja</v>
          </cell>
          <cell r="C1498" t="str">
            <v>ケサランパサラン</v>
          </cell>
          <cell r="H1498" t="str">
            <v>green</v>
          </cell>
          <cell r="I1498">
            <v>6</v>
          </cell>
          <cell r="J1498" t="str">
            <v>PremiumSS</v>
          </cell>
          <cell r="K1498" t="str">
            <v>hp</v>
          </cell>
          <cell r="L1498" t="str">
            <v>体力タイプ</v>
          </cell>
          <cell r="M1498" t="str">
            <v>unknown</v>
          </cell>
        </row>
        <row r="1499">
          <cell r="A1499">
            <v>1547</v>
          </cell>
          <cell r="B1499" t="str">
            <v>ja</v>
          </cell>
          <cell r="C1499" t="str">
            <v>ネコフラワー</v>
          </cell>
          <cell r="H1499" t="str">
            <v>green</v>
          </cell>
          <cell r="I1499">
            <v>4</v>
          </cell>
          <cell r="J1499" t="str">
            <v>Drop2N</v>
          </cell>
          <cell r="K1499" t="str">
            <v>hp</v>
          </cell>
          <cell r="L1499" t="str">
            <v>体力タイプ</v>
          </cell>
          <cell r="M1499" t="str">
            <v>animal</v>
          </cell>
        </row>
        <row r="1500">
          <cell r="A1500">
            <v>1548</v>
          </cell>
          <cell r="B1500" t="str">
            <v>ja</v>
          </cell>
          <cell r="C1500" t="str">
            <v>にゃんこ扇風</v>
          </cell>
          <cell r="H1500" t="str">
            <v>green</v>
          </cell>
          <cell r="I1500">
            <v>5</v>
          </cell>
          <cell r="J1500" t="str">
            <v>Drop2N</v>
          </cell>
          <cell r="K1500" t="str">
            <v>hp</v>
          </cell>
          <cell r="L1500" t="str">
            <v>体力タイプ</v>
          </cell>
          <cell r="M1500" t="str">
            <v>animal</v>
          </cell>
        </row>
        <row r="1501">
          <cell r="A1501">
            <v>1549</v>
          </cell>
          <cell r="B1501" t="str">
            <v>ja</v>
          </cell>
          <cell r="C1501" t="str">
            <v>ネコリンゴ</v>
          </cell>
          <cell r="H1501" t="str">
            <v>green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unknown</v>
          </cell>
        </row>
        <row r="1502">
          <cell r="A1502">
            <v>1550</v>
          </cell>
          <cell r="B1502" t="str">
            <v>ja</v>
          </cell>
          <cell r="C1502" t="str">
            <v>カオルくん</v>
          </cell>
          <cell r="H1502" t="str">
            <v>green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1551</v>
          </cell>
          <cell r="B1503" t="str">
            <v>ja</v>
          </cell>
          <cell r="C1503" t="str">
            <v>Leo01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human</v>
          </cell>
        </row>
        <row r="1504">
          <cell r="A1504">
            <v>1552</v>
          </cell>
          <cell r="B1504" t="str">
            <v>ja</v>
          </cell>
          <cell r="C1504" t="str">
            <v>Leo02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human</v>
          </cell>
        </row>
        <row r="1505">
          <cell r="A1505">
            <v>1553</v>
          </cell>
          <cell r="B1505" t="str">
            <v>ja</v>
          </cell>
          <cell r="C1505" t="str">
            <v>Andromeda01</v>
          </cell>
          <cell r="H1505" t="str">
            <v>yellow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1554</v>
          </cell>
          <cell r="B1506" t="str">
            <v>ja</v>
          </cell>
          <cell r="C1506" t="str">
            <v>Andromeda02</v>
          </cell>
          <cell r="H1506" t="str">
            <v>yellow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1555</v>
          </cell>
          <cell r="B1507" t="str">
            <v>ja</v>
          </cell>
          <cell r="C1507" t="str">
            <v>Taurus01</v>
          </cell>
          <cell r="H1507" t="str">
            <v>blue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1556</v>
          </cell>
          <cell r="B1508" t="str">
            <v>ja</v>
          </cell>
          <cell r="C1508" t="str">
            <v>Capricornus01</v>
          </cell>
          <cell r="H1508" t="str">
            <v>green</v>
          </cell>
          <cell r="I1508">
            <v>5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1557</v>
          </cell>
          <cell r="B1509" t="str">
            <v>ja</v>
          </cell>
          <cell r="C1509" t="str">
            <v>Capricornus02</v>
          </cell>
          <cell r="H1509" t="str">
            <v>green</v>
          </cell>
          <cell r="I1509">
            <v>6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1558</v>
          </cell>
          <cell r="B1510" t="str">
            <v>ja</v>
          </cell>
          <cell r="C1510" t="str">
            <v>Aries01</v>
          </cell>
          <cell r="H1510" t="str">
            <v>blue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1559</v>
          </cell>
          <cell r="B1511" t="str">
            <v>ja</v>
          </cell>
          <cell r="C1511" t="str">
            <v>Aries02</v>
          </cell>
          <cell r="H1511" t="str">
            <v>blue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1560</v>
          </cell>
          <cell r="B1512" t="str">
            <v>ja</v>
          </cell>
          <cell r="C1512" t="str">
            <v>Pisces01</v>
          </cell>
          <cell r="H1512" t="str">
            <v>red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1561</v>
          </cell>
          <cell r="B1513" t="str">
            <v>ja</v>
          </cell>
          <cell r="C1513" t="str">
            <v>Sagittarius01</v>
          </cell>
          <cell r="H1513" t="str">
            <v>yellow</v>
          </cell>
          <cell r="I1513">
            <v>5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1562</v>
          </cell>
          <cell r="B1514" t="str">
            <v>ja</v>
          </cell>
          <cell r="C1514" t="str">
            <v>Sagittarius02</v>
          </cell>
          <cell r="H1514" t="str">
            <v>yellow</v>
          </cell>
          <cell r="I1514">
            <v>6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1563</v>
          </cell>
          <cell r="B1515" t="str">
            <v>ja</v>
          </cell>
          <cell r="C1515" t="str">
            <v>Cassiopeia01</v>
          </cell>
          <cell r="H1515" t="str">
            <v>blue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1564</v>
          </cell>
          <cell r="B1516" t="str">
            <v>ja</v>
          </cell>
          <cell r="C1516" t="str">
            <v>Cassiopeia02</v>
          </cell>
          <cell r="H1516" t="str">
            <v>blue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1565</v>
          </cell>
          <cell r="B1517" t="str">
            <v>ja</v>
          </cell>
          <cell r="C1517" t="str">
            <v>Aquila01</v>
          </cell>
          <cell r="H1517" t="str">
            <v>green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1566</v>
          </cell>
          <cell r="B1518" t="str">
            <v>ja</v>
          </cell>
          <cell r="C1518" t="str">
            <v>Phoenix01</v>
          </cell>
          <cell r="H1518" t="str">
            <v>red</v>
          </cell>
          <cell r="I1518">
            <v>5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1567</v>
          </cell>
          <cell r="B1519" t="str">
            <v>ja</v>
          </cell>
          <cell r="C1519" t="str">
            <v>Phoenix02</v>
          </cell>
          <cell r="H1519" t="str">
            <v>red</v>
          </cell>
          <cell r="I1519">
            <v>6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1568</v>
          </cell>
          <cell r="B1520" t="str">
            <v>ja</v>
          </cell>
          <cell r="C1520" t="str">
            <v>Orion01</v>
          </cell>
          <cell r="H1520" t="str">
            <v>green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1569</v>
          </cell>
          <cell r="B1521" t="str">
            <v>ja</v>
          </cell>
          <cell r="C1521" t="str">
            <v>Orion02</v>
          </cell>
          <cell r="H1521" t="str">
            <v>green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1570</v>
          </cell>
          <cell r="B1522" t="str">
            <v>ja</v>
          </cell>
          <cell r="C1522" t="str">
            <v>Centaurus01</v>
          </cell>
          <cell r="H1522" t="str">
            <v>yellow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1571</v>
          </cell>
          <cell r="B1523" t="str">
            <v>ja</v>
          </cell>
          <cell r="C1523" t="str">
            <v>Lupus01</v>
          </cell>
          <cell r="H1523" t="str">
            <v>red</v>
          </cell>
          <cell r="I1523">
            <v>5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1572</v>
          </cell>
          <cell r="B1524" t="str">
            <v>ja</v>
          </cell>
          <cell r="C1524" t="str">
            <v>Lupus02</v>
          </cell>
          <cell r="H1524" t="str">
            <v>red</v>
          </cell>
          <cell r="I1524">
            <v>6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1573</v>
          </cell>
          <cell r="B1525" t="str">
            <v>ja</v>
          </cell>
          <cell r="C1525" t="str">
            <v>Scorpius01</v>
          </cell>
          <cell r="H1525" t="str">
            <v>green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1574</v>
          </cell>
          <cell r="B1526" t="str">
            <v>ja</v>
          </cell>
          <cell r="C1526" t="str">
            <v>Cancer01</v>
          </cell>
          <cell r="H1526" t="str">
            <v>yellow</v>
          </cell>
          <cell r="I1526">
            <v>5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1575</v>
          </cell>
          <cell r="B1527" t="str">
            <v>ja</v>
          </cell>
          <cell r="C1527" t="str">
            <v>Aquarius01</v>
          </cell>
          <cell r="H1527" t="str">
            <v>blue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1576</v>
          </cell>
          <cell r="B1528" t="str">
            <v>ja</v>
          </cell>
          <cell r="C1528" t="str">
            <v>Aquarius02</v>
          </cell>
          <cell r="H1528" t="str">
            <v>blue</v>
          </cell>
          <cell r="I1528">
            <v>6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1577</v>
          </cell>
          <cell r="B1529" t="str">
            <v>ja</v>
          </cell>
          <cell r="C1529" t="str">
            <v>Perseus01</v>
          </cell>
          <cell r="H1529" t="str">
            <v>yellow</v>
          </cell>
          <cell r="I1529">
            <v>4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1578</v>
          </cell>
          <cell r="B1530" t="str">
            <v>ja</v>
          </cell>
          <cell r="C1530" t="str">
            <v>Hydra01</v>
          </cell>
          <cell r="H1530" t="str">
            <v>red</v>
          </cell>
          <cell r="I1530">
            <v>4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1579</v>
          </cell>
          <cell r="B1531" t="str">
            <v>ja</v>
          </cell>
          <cell r="C1531" t="str">
            <v>Lyra01</v>
          </cell>
          <cell r="H1531" t="str">
            <v>red</v>
          </cell>
          <cell r="I1531">
            <v>5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1580</v>
          </cell>
          <cell r="B1532" t="str">
            <v>ja</v>
          </cell>
          <cell r="C1532" t="str">
            <v>Lyra02</v>
          </cell>
          <cell r="H1532" t="str">
            <v>red</v>
          </cell>
          <cell r="I1532">
            <v>6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1581</v>
          </cell>
          <cell r="B1533" t="str">
            <v>ja</v>
          </cell>
          <cell r="C1533" t="str">
            <v>Gemini01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1582</v>
          </cell>
          <cell r="B1534" t="str">
            <v>ja</v>
          </cell>
          <cell r="C1534" t="str">
            <v>Gemini02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1583</v>
          </cell>
          <cell r="B1535" t="str">
            <v>ja</v>
          </cell>
          <cell r="C1535" t="str">
            <v>Corvus01</v>
          </cell>
          <cell r="H1535" t="str">
            <v>red</v>
          </cell>
          <cell r="I1535">
            <v>6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1584</v>
          </cell>
          <cell r="B1536" t="str">
            <v>ja</v>
          </cell>
          <cell r="C1536" t="str">
            <v>Sirius01</v>
          </cell>
          <cell r="H1536" t="str">
            <v>yellow</v>
          </cell>
          <cell r="I1536">
            <v>4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1585</v>
          </cell>
          <cell r="B1537" t="str">
            <v>ja</v>
          </cell>
          <cell r="C1537" t="str">
            <v>Sirius02</v>
          </cell>
          <cell r="H1537" t="str">
            <v>yellow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1586</v>
          </cell>
          <cell r="B1538" t="str">
            <v>ja</v>
          </cell>
          <cell r="C1538" t="str">
            <v>Sirius03</v>
          </cell>
          <cell r="H1538" t="str">
            <v>yellow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1587</v>
          </cell>
          <cell r="B1539" t="str">
            <v>ja</v>
          </cell>
          <cell r="C1539" t="str">
            <v>Virgo01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1588</v>
          </cell>
          <cell r="B1540" t="str">
            <v>ja</v>
          </cell>
          <cell r="C1540" t="str">
            <v>Virgo02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5001</v>
          </cell>
          <cell r="B1541" t="str">
            <v>ja</v>
          </cell>
          <cell r="C1541" t="str">
            <v>ガルーダ</v>
          </cell>
          <cell r="D1541" t="str">
            <v>ノーマルクエスト</v>
          </cell>
          <cell r="E1541" t="str">
            <v>QoH</v>
          </cell>
          <cell r="F1541" t="str">
            <v>世界観</v>
          </cell>
          <cell r="G1541" t="str">
            <v>不明</v>
          </cell>
          <cell r="H1541" t="str">
            <v>red</v>
          </cell>
          <cell r="I1541">
            <v>5</v>
          </cell>
          <cell r="J1541" t="str">
            <v>PremiumSSw</v>
          </cell>
          <cell r="K1541" t="str">
            <v>attack</v>
          </cell>
          <cell r="L1541" t="str">
            <v>攻撃タイプ</v>
          </cell>
          <cell r="M1541" t="str">
            <v>god</v>
          </cell>
        </row>
        <row r="1542">
          <cell r="A1542">
            <v>5002</v>
          </cell>
          <cell r="B1542" t="str">
            <v>ja</v>
          </cell>
          <cell r="C1542" t="str">
            <v>ガルーダ★６</v>
          </cell>
          <cell r="D1542" t="str">
            <v>ノーマルクエスト</v>
          </cell>
          <cell r="E1542" t="str">
            <v>アバター</v>
          </cell>
          <cell r="F1542" t="str">
            <v>世界観</v>
          </cell>
          <cell r="G1542" t="str">
            <v>男性</v>
          </cell>
          <cell r="H1542" t="str">
            <v>red</v>
          </cell>
          <cell r="I1542">
            <v>6</v>
          </cell>
          <cell r="J1542" t="str">
            <v>PremiumSSw</v>
          </cell>
          <cell r="K1542" t="str">
            <v>attack</v>
          </cell>
          <cell r="L1542" t="str">
            <v>攻撃タイプ</v>
          </cell>
          <cell r="M1542" t="str">
            <v>god</v>
          </cell>
        </row>
        <row r="1543">
          <cell r="A1543">
            <v>5003</v>
          </cell>
          <cell r="B1543" t="str">
            <v>ja</v>
          </cell>
          <cell r="C1543" t="str">
            <v>ナーガ</v>
          </cell>
          <cell r="D1543" t="str">
            <v>リンクガチャ:4神</v>
          </cell>
          <cell r="E1543" t="str">
            <v>守護神</v>
          </cell>
          <cell r="F1543" t="str">
            <v>格好いい</v>
          </cell>
          <cell r="G1543" t="str">
            <v>不明</v>
          </cell>
          <cell r="H1543" t="str">
            <v>green</v>
          </cell>
          <cell r="I1543">
            <v>5</v>
          </cell>
          <cell r="J1543" t="str">
            <v>DropWizS</v>
          </cell>
          <cell r="K1543" t="str">
            <v>technical</v>
          </cell>
          <cell r="L1543" t="str">
            <v>テクニカルタイプ</v>
          </cell>
          <cell r="M1543" t="str">
            <v>animal</v>
          </cell>
        </row>
        <row r="1544">
          <cell r="A1544">
            <v>5004</v>
          </cell>
          <cell r="B1544" t="str">
            <v>ja</v>
          </cell>
          <cell r="C1544" t="str">
            <v>ナーガ★６</v>
          </cell>
          <cell r="D1544" t="str">
            <v>ノーマルクエスト</v>
          </cell>
          <cell r="E1544" t="str">
            <v>アバター</v>
          </cell>
          <cell r="F1544" t="str">
            <v>世界観</v>
          </cell>
          <cell r="G1544" t="str">
            <v>不明</v>
          </cell>
          <cell r="H1544" t="str">
            <v>green</v>
          </cell>
          <cell r="I1544">
            <v>6</v>
          </cell>
          <cell r="J1544" t="str">
            <v>DropWizS</v>
          </cell>
          <cell r="K1544" t="str">
            <v>technical</v>
          </cell>
          <cell r="L1544" t="str">
            <v>テクニカルタイプ</v>
          </cell>
          <cell r="M1544" t="str">
            <v>animal</v>
          </cell>
        </row>
        <row r="1545">
          <cell r="A1545">
            <v>5005</v>
          </cell>
          <cell r="B1545" t="str">
            <v>ja</v>
          </cell>
          <cell r="C1545" t="str">
            <v>カーミラ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green</v>
          </cell>
          <cell r="I1545">
            <v>5</v>
          </cell>
          <cell r="J1545" t="str">
            <v>PremiumSSw</v>
          </cell>
          <cell r="K1545" t="str">
            <v>balance</v>
          </cell>
          <cell r="L1545" t="str">
            <v>バランスタイプ</v>
          </cell>
          <cell r="M1545" t="str">
            <v>demon</v>
          </cell>
        </row>
        <row r="1546">
          <cell r="A1546">
            <v>5006</v>
          </cell>
          <cell r="B1546" t="str">
            <v>ja</v>
          </cell>
          <cell r="C1546" t="str">
            <v>カーミラ★６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green</v>
          </cell>
          <cell r="I1546">
            <v>6</v>
          </cell>
          <cell r="J1546" t="str">
            <v>PremiumSSw</v>
          </cell>
          <cell r="K1546" t="str">
            <v>balance</v>
          </cell>
          <cell r="L1546" t="str">
            <v>バランスタイプ</v>
          </cell>
          <cell r="M1546" t="str">
            <v>demon</v>
          </cell>
        </row>
        <row r="1547">
          <cell r="A1547">
            <v>5007</v>
          </cell>
          <cell r="B1547" t="str">
            <v>ja</v>
          </cell>
          <cell r="C1547" t="str">
            <v>ヘルシング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yellow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human</v>
          </cell>
        </row>
        <row r="1548">
          <cell r="A1548">
            <v>5008</v>
          </cell>
          <cell r="B1548" t="str">
            <v>ja</v>
          </cell>
          <cell r="C1548" t="str">
            <v>ヘルシング★６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yellow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human</v>
          </cell>
        </row>
        <row r="1549">
          <cell r="A1549">
            <v>6001</v>
          </cell>
          <cell r="B1549" t="str">
            <v>ja</v>
          </cell>
          <cell r="C1549" t="str">
            <v>ジェリー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red</v>
          </cell>
          <cell r="I1549">
            <v>1</v>
          </cell>
          <cell r="J1549" t="str">
            <v>Drop1T</v>
          </cell>
          <cell r="K1549" t="str">
            <v>ra</v>
          </cell>
          <cell r="L1549" t="str">
            <v>ラグランジュチャレンジ</v>
          </cell>
          <cell r="M1549" t="str">
            <v>unknown</v>
          </cell>
        </row>
        <row r="1550">
          <cell r="A1550">
            <v>6002</v>
          </cell>
          <cell r="B1550" t="str">
            <v>ja</v>
          </cell>
          <cell r="C1550" t="str">
            <v>ヨシタカ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red</v>
          </cell>
          <cell r="I1550">
            <v>2</v>
          </cell>
          <cell r="J1550" t="str">
            <v>Drop1N</v>
          </cell>
          <cell r="K1550" t="str">
            <v>ra</v>
          </cell>
          <cell r="L1550" t="str">
            <v>ラグランジュチャレンジ</v>
          </cell>
          <cell r="M1550" t="str">
            <v>human</v>
          </cell>
        </row>
        <row r="1551">
          <cell r="A1551">
            <v>6003</v>
          </cell>
          <cell r="B1551" t="str">
            <v>ja</v>
          </cell>
          <cell r="C1551" t="str">
            <v>朱雀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red</v>
          </cell>
          <cell r="I1551">
            <v>3</v>
          </cell>
          <cell r="J1551" t="str">
            <v>Drop2N</v>
          </cell>
          <cell r="K1551" t="str">
            <v>ra</v>
          </cell>
          <cell r="L1551" t="str">
            <v>ラグランジュチャレンジ</v>
          </cell>
          <cell r="M1551" t="str">
            <v>animal</v>
          </cell>
        </row>
        <row r="1552">
          <cell r="A1552">
            <v>6004</v>
          </cell>
          <cell r="B1552" t="str">
            <v>ja</v>
          </cell>
          <cell r="C1552" t="str">
            <v>ブレット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red</v>
          </cell>
          <cell r="I1552">
            <v>1</v>
          </cell>
          <cell r="J1552" t="str">
            <v>Drop1W</v>
          </cell>
          <cell r="K1552" t="str">
            <v>ra</v>
          </cell>
          <cell r="L1552" t="str">
            <v>ラグランジュチャレンジ</v>
          </cell>
          <cell r="M1552" t="str">
            <v>animal</v>
          </cell>
        </row>
        <row r="1553">
          <cell r="A1553">
            <v>6005</v>
          </cell>
          <cell r="B1553" t="str">
            <v>ja</v>
          </cell>
          <cell r="C1553" t="str">
            <v>孤神 テティス</v>
          </cell>
          <cell r="D1553" t="str">
            <v>初期ガチャ</v>
          </cell>
          <cell r="E1553" t="str">
            <v>管理者</v>
          </cell>
          <cell r="F1553" t="str">
            <v>美しい</v>
          </cell>
          <cell r="G1553" t="str">
            <v>女性</v>
          </cell>
          <cell r="H1553" t="str">
            <v>blue</v>
          </cell>
          <cell r="I1553">
            <v>4</v>
          </cell>
          <cell r="J1553" t="str">
            <v>PremiumN</v>
          </cell>
          <cell r="K1553" t="str">
            <v>ra</v>
          </cell>
          <cell r="L1553" t="str">
            <v>ラグランジュチャレンジ</v>
          </cell>
          <cell r="M1553" t="str">
            <v>god</v>
          </cell>
        </row>
        <row r="1554">
          <cell r="A1554">
            <v>6006</v>
          </cell>
          <cell r="B1554" t="str">
            <v>ja</v>
          </cell>
          <cell r="C1554" t="str">
            <v>海底の孤高神 テティス</v>
          </cell>
          <cell r="D1554" t="str">
            <v>初期ガチャ</v>
          </cell>
          <cell r="E1554" t="str">
            <v>管理者</v>
          </cell>
          <cell r="F1554" t="str">
            <v>美しい</v>
          </cell>
          <cell r="G1554" t="str">
            <v>女性</v>
          </cell>
          <cell r="H1554" t="str">
            <v>blue</v>
          </cell>
          <cell r="I1554">
            <v>5</v>
          </cell>
          <cell r="J1554" t="str">
            <v>PremiumN</v>
          </cell>
          <cell r="K1554" t="str">
            <v>ra</v>
          </cell>
          <cell r="L1554" t="str">
            <v>ラグランジュチャレンジ</v>
          </cell>
          <cell r="M1554" t="str">
            <v>god</v>
          </cell>
        </row>
        <row r="1555">
          <cell r="A1555">
            <v>6007</v>
          </cell>
          <cell r="B1555" t="str">
            <v>ja</v>
          </cell>
          <cell r="C1555" t="str">
            <v>番犬 ケルベロス</v>
          </cell>
          <cell r="D1555" t="str">
            <v>初期ガチャ</v>
          </cell>
          <cell r="E1555" t="str">
            <v>破界者</v>
          </cell>
          <cell r="F1555" t="str">
            <v>可愛い</v>
          </cell>
          <cell r="G1555" t="str">
            <v>女性</v>
          </cell>
          <cell r="H1555" t="str">
            <v>red</v>
          </cell>
          <cell r="I1555">
            <v>4</v>
          </cell>
          <cell r="J1555" t="str">
            <v>PremiumN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6008</v>
          </cell>
          <cell r="B1556" t="str">
            <v>ja</v>
          </cell>
          <cell r="C1556" t="str">
            <v>焔神 プロメテウス</v>
          </cell>
          <cell r="D1556" t="str">
            <v>初期ガチャ</v>
          </cell>
          <cell r="E1556" t="str">
            <v>管理者</v>
          </cell>
          <cell r="F1556" t="str">
            <v>格好いい</v>
          </cell>
          <cell r="G1556" t="str">
            <v>男性</v>
          </cell>
          <cell r="H1556" t="str">
            <v>red</v>
          </cell>
          <cell r="I1556">
            <v>4</v>
          </cell>
          <cell r="J1556" t="str">
            <v>PremiumN</v>
          </cell>
          <cell r="K1556" t="str">
            <v>ra</v>
          </cell>
          <cell r="L1556" t="str">
            <v>ラグランジュチャレンジ</v>
          </cell>
          <cell r="M1556" t="str">
            <v>god</v>
          </cell>
        </row>
        <row r="1557">
          <cell r="A1557">
            <v>6009</v>
          </cell>
          <cell r="B1557" t="str">
            <v>ja</v>
          </cell>
          <cell r="C1557" t="str">
            <v>超越自我 ラグランジュ</v>
          </cell>
          <cell r="D1557" t="str">
            <v>ガチャ:フィーバーフェス02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red</v>
          </cell>
          <cell r="I1557">
            <v>5</v>
          </cell>
          <cell r="J1557" t="str">
            <v>PremiumSSS</v>
          </cell>
          <cell r="K1557" t="str">
            <v>ra</v>
          </cell>
          <cell r="L1557" t="str">
            <v>ラグランジュチャレンジ</v>
          </cell>
          <cell r="M1557" t="str">
            <v>human</v>
          </cell>
        </row>
        <row r="1558">
          <cell r="A1558">
            <v>6010</v>
          </cell>
          <cell r="B1558" t="str">
            <v>ja</v>
          </cell>
          <cell r="C1558" t="str">
            <v>超越凌駕 ラグランジュ</v>
          </cell>
          <cell r="D1558" t="str">
            <v>ガチャ:フィーバーフェス02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PremiumSSS</v>
          </cell>
          <cell r="K1558" t="str">
            <v>ra</v>
          </cell>
          <cell r="L1558" t="str">
            <v>ラグランジュチャレンジ</v>
          </cell>
          <cell r="M1558" t="str">
            <v>human</v>
          </cell>
        </row>
        <row r="1559">
          <cell r="A1559">
            <v>6011</v>
          </cell>
          <cell r="B1559" t="str">
            <v>ja</v>
          </cell>
          <cell r="C1559" t="str">
            <v>パトドッグリーダー ポチ</v>
          </cell>
          <cell r="D1559" t="str">
            <v>ガチャ:フィーバーフェス02</v>
          </cell>
          <cell r="E1559" t="str">
            <v>執行者</v>
          </cell>
          <cell r="F1559" t="str">
            <v>格好いい</v>
          </cell>
          <cell r="G1559" t="str">
            <v>男性</v>
          </cell>
          <cell r="H1559" t="str">
            <v>blue</v>
          </cell>
          <cell r="I1559">
            <v>2</v>
          </cell>
          <cell r="J1559" t="str">
            <v>Drop1T</v>
          </cell>
          <cell r="K1559" t="str">
            <v>ra002</v>
          </cell>
          <cell r="L1559" t="str">
            <v>ユークリッドチャレンジ</v>
          </cell>
          <cell r="M1559" t="str">
            <v>unknown</v>
          </cell>
        </row>
        <row r="1560">
          <cell r="A1560">
            <v>6012</v>
          </cell>
          <cell r="B1560" t="str">
            <v>ja</v>
          </cell>
          <cell r="C1560" t="str">
            <v>ミミ</v>
          </cell>
          <cell r="D1560" t="str">
            <v>ガチャ:フィーバーフェス02</v>
          </cell>
          <cell r="E1560" t="str">
            <v>執行者</v>
          </cell>
          <cell r="F1560" t="str">
            <v>格好いい</v>
          </cell>
          <cell r="G1560" t="str">
            <v>男性</v>
          </cell>
          <cell r="H1560" t="str">
            <v>yellow</v>
          </cell>
          <cell r="I1560">
            <v>1</v>
          </cell>
          <cell r="J1560" t="str">
            <v>Drop1W</v>
          </cell>
          <cell r="K1560" t="str">
            <v>ra002</v>
          </cell>
          <cell r="L1560" t="str">
            <v>ユークリッドチャレンジ</v>
          </cell>
          <cell r="M1560" t="str">
            <v>animal</v>
          </cell>
        </row>
        <row r="1561">
          <cell r="A1561">
            <v>6013</v>
          </cell>
          <cell r="B1561" t="str">
            <v>ja</v>
          </cell>
          <cell r="C1561" t="str">
            <v>護衛機人 スケアクロウ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男性</v>
          </cell>
          <cell r="H1561" t="str">
            <v>blue</v>
          </cell>
          <cell r="I1561">
            <v>2</v>
          </cell>
          <cell r="J1561" t="str">
            <v>Drop1N</v>
          </cell>
          <cell r="K1561" t="str">
            <v>ra002</v>
          </cell>
          <cell r="L1561" t="str">
            <v>ユークリッドチャレンジ</v>
          </cell>
          <cell r="M1561" t="str">
            <v>machine</v>
          </cell>
        </row>
        <row r="1562">
          <cell r="A1562">
            <v>6014</v>
          </cell>
          <cell r="B1562" t="str">
            <v>ja</v>
          </cell>
          <cell r="C1562" t="str">
            <v>月下の人狼 ローレンス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男性</v>
          </cell>
          <cell r="H1562" t="str">
            <v>blue</v>
          </cell>
          <cell r="I1562">
            <v>4</v>
          </cell>
          <cell r="J1562" t="str">
            <v>PremiumW</v>
          </cell>
          <cell r="K1562" t="str">
            <v>ra002</v>
          </cell>
          <cell r="L1562" t="str">
            <v>ユークリッドチャレンジ</v>
          </cell>
          <cell r="M1562" t="str">
            <v>animal</v>
          </cell>
        </row>
        <row r="1563">
          <cell r="A1563">
            <v>6015</v>
          </cell>
          <cell r="B1563" t="str">
            <v>ja</v>
          </cell>
          <cell r="C1563" t="str">
            <v>フレイヤ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4</v>
          </cell>
          <cell r="J1563" t="str">
            <v>PremiumSS</v>
          </cell>
          <cell r="K1563" t="str">
            <v>ra002</v>
          </cell>
          <cell r="L1563" t="str">
            <v>ユークリッドチャレンジ</v>
          </cell>
          <cell r="M1563" t="str">
            <v>animal</v>
          </cell>
        </row>
        <row r="1564">
          <cell r="A1564">
            <v>6016</v>
          </cell>
          <cell r="B1564" t="str">
            <v>ja</v>
          </cell>
          <cell r="C1564" t="str">
            <v>根原論理 ユークリッド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blue</v>
          </cell>
          <cell r="I1564">
            <v>5</v>
          </cell>
          <cell r="J1564" t="str">
            <v>PremiumSSS</v>
          </cell>
          <cell r="K1564" t="str">
            <v>ra002</v>
          </cell>
          <cell r="L1564" t="str">
            <v>ユークリッドチャレンジ</v>
          </cell>
          <cell r="M1564" t="str">
            <v>human</v>
          </cell>
        </row>
        <row r="1565">
          <cell r="A1565">
            <v>6017</v>
          </cell>
          <cell r="B1565" t="str">
            <v>ja</v>
          </cell>
          <cell r="C1565" t="str">
            <v>不朽の極論 ユークリッド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6</v>
          </cell>
          <cell r="J1565" t="str">
            <v>PremiumSSS</v>
          </cell>
          <cell r="K1565" t="str">
            <v>ra002</v>
          </cell>
          <cell r="L1565" t="str">
            <v>ユークリッドチャレンジ</v>
          </cell>
          <cell r="M1565" t="str">
            <v>human</v>
          </cell>
        </row>
        <row r="1566">
          <cell r="A1566">
            <v>6018</v>
          </cell>
          <cell r="B1566" t="str">
            <v>ja</v>
          </cell>
          <cell r="C1566" t="str">
            <v>ハヅル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red</v>
          </cell>
          <cell r="I1566">
            <v>4</v>
          </cell>
          <cell r="J1566" t="str">
            <v>PremiumSS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6019</v>
          </cell>
          <cell r="B1567" t="str">
            <v>ja</v>
          </cell>
          <cell r="C1567" t="str">
            <v>天織羽鶴 ハヅル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red</v>
          </cell>
          <cell r="I1567">
            <v>5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6020</v>
          </cell>
          <cell r="B1568" t="str">
            <v>ja</v>
          </cell>
          <cell r="C1568" t="str">
            <v>ミズチ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4</v>
          </cell>
          <cell r="J1568" t="str">
            <v>PremiumS</v>
          </cell>
          <cell r="K1568" t="str">
            <v>ra002</v>
          </cell>
          <cell r="L1568" t="str">
            <v>ユークリッドチャレンジ</v>
          </cell>
          <cell r="M1568" t="str">
            <v>dragon</v>
          </cell>
        </row>
        <row r="1569">
          <cell r="A1569">
            <v>8001</v>
          </cell>
          <cell r="B1569" t="str">
            <v>ja</v>
          </cell>
          <cell r="C1569" t="str">
            <v>媽祖</v>
          </cell>
          <cell r="D1569" t="str">
            <v>イベント:ミクコラボ01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5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god</v>
          </cell>
        </row>
        <row r="1570">
          <cell r="A1570">
            <v>8002</v>
          </cell>
          <cell r="B1570" t="str">
            <v>ja</v>
          </cell>
          <cell r="C1570" t="str">
            <v>宣導する天海妃 媽祖</v>
          </cell>
          <cell r="D1570" t="str">
            <v>イベント:ミクコラボ01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yellow</v>
          </cell>
          <cell r="I1570">
            <v>6</v>
          </cell>
          <cell r="J1570" t="str">
            <v>PremiumSS</v>
          </cell>
          <cell r="K1570" t="str">
            <v>attack</v>
          </cell>
          <cell r="L1570" t="str">
            <v>攻撃タイプ</v>
          </cell>
          <cell r="M1570" t="str">
            <v>god</v>
          </cell>
        </row>
        <row r="1571">
          <cell r="A1571">
            <v>8003</v>
          </cell>
          <cell r="B1571" t="str">
            <v>ja</v>
          </cell>
          <cell r="C1571" t="str">
            <v>蛟龍</v>
          </cell>
          <cell r="D1571" t="str">
            <v>イベント:ミクコラボ01</v>
          </cell>
          <cell r="E1571" t="str">
            <v>執行者</v>
          </cell>
          <cell r="F1571" t="str">
            <v>格好いい</v>
          </cell>
          <cell r="G1571" t="str">
            <v>不明</v>
          </cell>
          <cell r="H1571" t="str">
            <v>blue</v>
          </cell>
          <cell r="I1571">
            <v>5</v>
          </cell>
          <cell r="J1571" t="str">
            <v>DropWizS</v>
          </cell>
          <cell r="K1571" t="str">
            <v>hp</v>
          </cell>
          <cell r="L1571" t="str">
            <v>体力タイプ</v>
          </cell>
          <cell r="M1571" t="str">
            <v>dragon</v>
          </cell>
        </row>
        <row r="1572">
          <cell r="A1572">
            <v>8004</v>
          </cell>
          <cell r="B1572" t="str">
            <v>ja</v>
          </cell>
          <cell r="C1572" t="str">
            <v>呼嵐の蒼棲龍 蛟龍</v>
          </cell>
          <cell r="D1572" t="str">
            <v>イベント:ミクコラボ01</v>
          </cell>
          <cell r="E1572" t="str">
            <v>執行者</v>
          </cell>
          <cell r="F1572" t="str">
            <v>格好いい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hp</v>
          </cell>
          <cell r="L1572" t="str">
            <v>体力タイプ</v>
          </cell>
          <cell r="M1572" t="str">
            <v>dragon</v>
          </cell>
        </row>
        <row r="1573">
          <cell r="A1573">
            <v>8005</v>
          </cell>
          <cell r="B1573" t="str">
            <v>ja</v>
          </cell>
          <cell r="C1573" t="str">
            <v>三蔵法師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不明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balance</v>
          </cell>
          <cell r="L1573" t="str">
            <v>バランスタイプ</v>
          </cell>
          <cell r="M1573" t="str">
            <v>human</v>
          </cell>
        </row>
        <row r="1574">
          <cell r="A1574">
            <v>8006</v>
          </cell>
          <cell r="B1574" t="str">
            <v>ja</v>
          </cell>
          <cell r="C1574" t="str">
            <v>慈戒の呪封使 三蔵法師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不明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8007</v>
          </cell>
          <cell r="B1575" t="str">
            <v>ja</v>
          </cell>
          <cell r="C1575" t="str">
            <v>孫悟空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attack</v>
          </cell>
          <cell r="L1575" t="str">
            <v>攻撃タイプ</v>
          </cell>
          <cell r="M1575" t="str">
            <v>animal</v>
          </cell>
        </row>
        <row r="1576">
          <cell r="A1576">
            <v>8008</v>
          </cell>
          <cell r="B1576" t="str">
            <v>ja</v>
          </cell>
          <cell r="C1576" t="str">
            <v>花果の天猿仙人 孫悟空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attack</v>
          </cell>
          <cell r="L1576" t="str">
            <v>攻撃タイプ</v>
          </cell>
          <cell r="M1576" t="str">
            <v>animal</v>
          </cell>
        </row>
        <row r="1577">
          <cell r="A1577">
            <v>8009</v>
          </cell>
          <cell r="B1577" t="str">
            <v>ja</v>
          </cell>
          <cell r="C1577" t="str">
            <v>西王娘娘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green</v>
          </cell>
          <cell r="I1577">
            <v>5</v>
          </cell>
          <cell r="J1577" t="str">
            <v>PremiumSS</v>
          </cell>
          <cell r="K1577" t="str">
            <v>attack</v>
          </cell>
          <cell r="L1577" t="str">
            <v>攻撃タイプ</v>
          </cell>
          <cell r="M1577" t="str">
            <v>god</v>
          </cell>
        </row>
        <row r="1578">
          <cell r="A1578">
            <v>8010</v>
          </cell>
          <cell r="B1578" t="str">
            <v>ja</v>
          </cell>
          <cell r="C1578" t="str">
            <v>極楽瑶池の聖母 西王娘娘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green</v>
          </cell>
          <cell r="I1578">
            <v>6</v>
          </cell>
          <cell r="J1578" t="str">
            <v>PremiumSS</v>
          </cell>
          <cell r="K1578" t="str">
            <v>attack</v>
          </cell>
          <cell r="L1578" t="str">
            <v>攻撃タイプ</v>
          </cell>
          <cell r="M1578" t="str">
            <v>god</v>
          </cell>
        </row>
        <row r="1579">
          <cell r="A1579">
            <v>8011</v>
          </cell>
          <cell r="B1579" t="str">
            <v>ja</v>
          </cell>
          <cell r="C1579" t="str">
            <v>月下老人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yellow</v>
          </cell>
          <cell r="I1579">
            <v>5</v>
          </cell>
          <cell r="J1579" t="str">
            <v>DropWizS</v>
          </cell>
          <cell r="K1579" t="str">
            <v>balance</v>
          </cell>
          <cell r="L1579" t="str">
            <v>バランスタイプ</v>
          </cell>
          <cell r="M1579" t="str">
            <v>god</v>
          </cell>
        </row>
        <row r="1580">
          <cell r="A1580">
            <v>8012</v>
          </cell>
          <cell r="B1580" t="str">
            <v>ja</v>
          </cell>
          <cell r="C1580" t="str">
            <v>破戀斬る縁剣 月下老人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balance</v>
          </cell>
          <cell r="L1580" t="str">
            <v>バランスタイプ</v>
          </cell>
          <cell r="M1580" t="str">
            <v>god</v>
          </cell>
        </row>
        <row r="1581">
          <cell r="A1581">
            <v>8013</v>
          </cell>
          <cell r="B1581" t="str">
            <v>ja</v>
          </cell>
          <cell r="C1581" t="str">
            <v>初音ミクV3</v>
          </cell>
          <cell r="D1581" t="str">
            <v>初音ミクV3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yellow</v>
          </cell>
          <cell r="I1581">
            <v>4</v>
          </cell>
          <cell r="J1581" t="str">
            <v>DropWizS</v>
          </cell>
          <cell r="K1581" t="str">
            <v>balance</v>
          </cell>
          <cell r="L1581" t="str">
            <v>バランスタイプ</v>
          </cell>
          <cell r="M1581" t="str">
            <v>unknown</v>
          </cell>
        </row>
        <row r="1582">
          <cell r="A1582">
            <v>8014</v>
          </cell>
          <cell r="B1582" t="str">
            <v>ja</v>
          </cell>
          <cell r="C1582" t="str">
            <v>初音ミクV3</v>
          </cell>
          <cell r="D1582" t="str">
            <v>初音ミクV3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5</v>
          </cell>
          <cell r="J1582" t="str">
            <v>DropWizS</v>
          </cell>
          <cell r="K1582" t="str">
            <v>balance</v>
          </cell>
          <cell r="L1582" t="str">
            <v>バランスタイプ</v>
          </cell>
          <cell r="M1582" t="str">
            <v>unknown</v>
          </cell>
        </row>
        <row r="1583">
          <cell r="A1583">
            <v>8015</v>
          </cell>
          <cell r="B1583" t="str">
            <v>ja</v>
          </cell>
          <cell r="C1583" t="str">
            <v>初音ミク・アペンド</v>
          </cell>
          <cell r="D1583" t="str">
            <v>初音ミク・アペンド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green</v>
          </cell>
          <cell r="I1583">
            <v>4</v>
          </cell>
          <cell r="J1583" t="str">
            <v>PremiumSSS</v>
          </cell>
          <cell r="K1583" t="str">
            <v>technical</v>
          </cell>
          <cell r="L1583" t="str">
            <v>テクニカルタイプ</v>
          </cell>
          <cell r="M1583" t="str">
            <v>unknown</v>
          </cell>
        </row>
        <row r="1584">
          <cell r="A1584">
            <v>8016</v>
          </cell>
          <cell r="B1584" t="str">
            <v>ja</v>
          </cell>
          <cell r="C1584" t="str">
            <v>初音ミク・アペンド</v>
          </cell>
          <cell r="D1584" t="str">
            <v>初音ミク・アペンド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green</v>
          </cell>
          <cell r="I1584">
            <v>5</v>
          </cell>
          <cell r="J1584" t="str">
            <v>PremiumSSS</v>
          </cell>
          <cell r="K1584" t="str">
            <v>technical</v>
          </cell>
          <cell r="L1584" t="str">
            <v>テクニカルタイプ</v>
          </cell>
          <cell r="M1584" t="str">
            <v>unknown</v>
          </cell>
        </row>
        <row r="1585">
          <cell r="A1585">
            <v>8017</v>
          </cell>
          <cell r="B1585" t="str">
            <v>ja</v>
          </cell>
          <cell r="C1585" t="str">
            <v>初音ミク</v>
          </cell>
          <cell r="D1585" t="str">
            <v>初音ミク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green</v>
          </cell>
          <cell r="I1585">
            <v>4</v>
          </cell>
          <cell r="J1585" t="str">
            <v>PremiumSSS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8018</v>
          </cell>
          <cell r="B1586" t="str">
            <v>ja</v>
          </cell>
          <cell r="C1586" t="str">
            <v>初音ミク</v>
          </cell>
          <cell r="D1586" t="str">
            <v>初音ミク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5</v>
          </cell>
          <cell r="J1586" t="str">
            <v>PremiumSSS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8019</v>
          </cell>
          <cell r="B1587" t="str">
            <v>ja</v>
          </cell>
          <cell r="C1587" t="str">
            <v>鏡音リン</v>
          </cell>
          <cell r="D1587" t="str">
            <v>鏡音リン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yellow</v>
          </cell>
          <cell r="I1587">
            <v>4</v>
          </cell>
          <cell r="J1587" t="str">
            <v>PremiumSS</v>
          </cell>
          <cell r="K1587" t="str">
            <v>balance</v>
          </cell>
          <cell r="L1587" t="str">
            <v>バランスタイプ</v>
          </cell>
          <cell r="M1587" t="str">
            <v>unknown</v>
          </cell>
        </row>
        <row r="1588">
          <cell r="A1588">
            <v>8020</v>
          </cell>
          <cell r="B1588" t="str">
            <v>ja</v>
          </cell>
          <cell r="C1588" t="str">
            <v>鏡音リン</v>
          </cell>
          <cell r="D1588" t="str">
            <v>鏡音リン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yellow</v>
          </cell>
          <cell r="I1588">
            <v>5</v>
          </cell>
          <cell r="J1588" t="str">
            <v>PremiumSS</v>
          </cell>
          <cell r="K1588" t="str">
            <v>balance</v>
          </cell>
          <cell r="L1588" t="str">
            <v>バランスタイプ</v>
          </cell>
          <cell r="M1588" t="str">
            <v>unknown</v>
          </cell>
        </row>
        <row r="1589">
          <cell r="A1589">
            <v>8021</v>
          </cell>
          <cell r="B1589" t="str">
            <v>ja</v>
          </cell>
          <cell r="C1589" t="str">
            <v>鏡音レン</v>
          </cell>
          <cell r="D1589" t="str">
            <v>鏡音レン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yellow</v>
          </cell>
          <cell r="I1589">
            <v>4</v>
          </cell>
          <cell r="J1589" t="str">
            <v>PremiumSS</v>
          </cell>
          <cell r="K1589" t="str">
            <v>heal</v>
          </cell>
          <cell r="L1589" t="str">
            <v>回復タイプ</v>
          </cell>
          <cell r="M1589" t="str">
            <v>unknown</v>
          </cell>
        </row>
        <row r="1590">
          <cell r="A1590">
            <v>8022</v>
          </cell>
          <cell r="B1590" t="str">
            <v>ja</v>
          </cell>
          <cell r="C1590" t="str">
            <v>鏡音レン</v>
          </cell>
          <cell r="D1590" t="str">
            <v>鏡音レン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yellow</v>
          </cell>
          <cell r="I1590">
            <v>5</v>
          </cell>
          <cell r="J1590" t="str">
            <v>PremiumSS</v>
          </cell>
          <cell r="K1590" t="str">
            <v>heal</v>
          </cell>
          <cell r="L1590" t="str">
            <v>回復タイプ</v>
          </cell>
          <cell r="M1590" t="str">
            <v>unknown</v>
          </cell>
        </row>
        <row r="1591">
          <cell r="A1591">
            <v>8023</v>
          </cell>
          <cell r="B1591" t="str">
            <v>ja</v>
          </cell>
          <cell r="C1591" t="str">
            <v>巡音ルカ</v>
          </cell>
          <cell r="D1591" t="str">
            <v>巡音ルカ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3</v>
          </cell>
          <cell r="J1591" t="str">
            <v>PremiumS</v>
          </cell>
          <cell r="K1591" t="str">
            <v>attack</v>
          </cell>
          <cell r="L1591" t="str">
            <v>攻撃タイプ</v>
          </cell>
          <cell r="M1591" t="str">
            <v>unknown</v>
          </cell>
        </row>
        <row r="1592">
          <cell r="A1592">
            <v>8024</v>
          </cell>
          <cell r="B1592" t="str">
            <v>ja</v>
          </cell>
          <cell r="C1592" t="str">
            <v>巡音ルカ</v>
          </cell>
          <cell r="D1592" t="str">
            <v>巡音ルカ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4</v>
          </cell>
          <cell r="J1592" t="str">
            <v>PremiumS</v>
          </cell>
          <cell r="K1592" t="str">
            <v>attack</v>
          </cell>
          <cell r="L1592" t="str">
            <v>攻撃タイプ</v>
          </cell>
          <cell r="M1592" t="str">
            <v>unknown</v>
          </cell>
        </row>
        <row r="1593">
          <cell r="A1593">
            <v>8025</v>
          </cell>
          <cell r="B1593" t="str">
            <v>ja</v>
          </cell>
          <cell r="C1593" t="str">
            <v>MEIKO</v>
          </cell>
          <cell r="D1593" t="str">
            <v>MEIKO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red</v>
          </cell>
          <cell r="I1593">
            <v>3</v>
          </cell>
          <cell r="J1593" t="str">
            <v>PremiumS</v>
          </cell>
          <cell r="K1593" t="str">
            <v>hp</v>
          </cell>
          <cell r="L1593" t="str">
            <v>体力タイプ</v>
          </cell>
          <cell r="M1593" t="str">
            <v>unknown</v>
          </cell>
        </row>
        <row r="1594">
          <cell r="A1594">
            <v>8026</v>
          </cell>
          <cell r="B1594" t="str">
            <v>ja</v>
          </cell>
          <cell r="C1594" t="str">
            <v>MEIKO</v>
          </cell>
          <cell r="D1594" t="str">
            <v>MEIKO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red</v>
          </cell>
          <cell r="I1594">
            <v>4</v>
          </cell>
          <cell r="J1594" t="str">
            <v>PremiumS</v>
          </cell>
          <cell r="K1594" t="str">
            <v>hp</v>
          </cell>
          <cell r="L1594" t="str">
            <v>体力タイプ</v>
          </cell>
          <cell r="M1594" t="str">
            <v>unknown</v>
          </cell>
        </row>
        <row r="1595">
          <cell r="A1595">
            <v>8027</v>
          </cell>
          <cell r="B1595" t="str">
            <v>ja</v>
          </cell>
          <cell r="C1595" t="str">
            <v>KAITO</v>
          </cell>
          <cell r="D1595" t="str">
            <v>KAITO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blue</v>
          </cell>
          <cell r="I1595">
            <v>3</v>
          </cell>
          <cell r="J1595" t="str">
            <v>PremiumS</v>
          </cell>
          <cell r="K1595" t="str">
            <v>technical</v>
          </cell>
          <cell r="L1595" t="str">
            <v>テクニカルタイプ</v>
          </cell>
          <cell r="M1595" t="str">
            <v>unknown</v>
          </cell>
        </row>
        <row r="1596">
          <cell r="A1596">
            <v>8028</v>
          </cell>
          <cell r="B1596" t="str">
            <v>ja</v>
          </cell>
          <cell r="C1596" t="str">
            <v>KAITO</v>
          </cell>
          <cell r="D1596" t="str">
            <v>KAITO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technical</v>
          </cell>
          <cell r="L1596" t="str">
            <v>テクニカルタイプ</v>
          </cell>
          <cell r="M1596" t="str">
            <v>unknown</v>
          </cell>
        </row>
        <row r="1597">
          <cell r="A1597">
            <v>8029</v>
          </cell>
          <cell r="B1597" t="str">
            <v>ja</v>
          </cell>
          <cell r="C1597" t="str">
            <v>Expoミク</v>
          </cell>
          <cell r="D1597" t="str">
            <v>Expoミク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blue</v>
          </cell>
          <cell r="I1597">
            <v>4</v>
          </cell>
          <cell r="J1597" t="str">
            <v>Drop2N</v>
          </cell>
          <cell r="K1597" t="str">
            <v>heal</v>
          </cell>
          <cell r="L1597" t="str">
            <v>回復タイプ</v>
          </cell>
          <cell r="M1597" t="str">
            <v>unknown</v>
          </cell>
        </row>
        <row r="1598">
          <cell r="A1598">
            <v>8030</v>
          </cell>
          <cell r="B1598" t="str">
            <v>ja</v>
          </cell>
          <cell r="C1598" t="str">
            <v>Expoミク</v>
          </cell>
          <cell r="D1598" t="str">
            <v>Expoミク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blue</v>
          </cell>
          <cell r="I1598">
            <v>5</v>
          </cell>
          <cell r="J1598" t="str">
            <v>Drop2N</v>
          </cell>
          <cell r="K1598" t="str">
            <v>heal</v>
          </cell>
          <cell r="L1598" t="str">
            <v>回復タイプ</v>
          </cell>
          <cell r="M1598" t="str">
            <v>unknown</v>
          </cell>
        </row>
        <row r="1599">
          <cell r="A1599">
            <v>8031</v>
          </cell>
          <cell r="B1599" t="str">
            <v>ja</v>
          </cell>
          <cell r="C1599" t="str">
            <v>閻羅王</v>
          </cell>
          <cell r="D1599" t="str">
            <v>Expoミク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red</v>
          </cell>
          <cell r="I1599">
            <v>5</v>
          </cell>
          <cell r="J1599" t="str">
            <v>PremiumSS</v>
          </cell>
          <cell r="K1599" t="str">
            <v>balance</v>
          </cell>
          <cell r="L1599" t="str">
            <v>バランスタイプ</v>
          </cell>
          <cell r="M1599" t="str">
            <v>god</v>
          </cell>
        </row>
        <row r="1600">
          <cell r="A1600">
            <v>8032</v>
          </cell>
          <cell r="B1600" t="str">
            <v>ja</v>
          </cell>
          <cell r="C1600" t="str">
            <v>六道輪廻の絶獄 閻羅王</v>
          </cell>
          <cell r="D1600" t="str">
            <v>Expoミク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red</v>
          </cell>
          <cell r="I1600">
            <v>6</v>
          </cell>
          <cell r="J1600" t="str">
            <v>PremiumSS</v>
          </cell>
          <cell r="K1600" t="str">
            <v>balance</v>
          </cell>
          <cell r="L1600" t="str">
            <v>バランスタイプ</v>
          </cell>
          <cell r="M1600" t="str">
            <v>god</v>
          </cell>
        </row>
        <row r="1601">
          <cell r="A1601">
            <v>8033</v>
          </cell>
          <cell r="B1601" t="str">
            <v>ja</v>
          </cell>
          <cell r="C1601" t="str">
            <v>牛頭馬面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green</v>
          </cell>
          <cell r="I1601">
            <v>5</v>
          </cell>
          <cell r="J1601" t="str">
            <v>DropWizS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8034</v>
          </cell>
          <cell r="B1602" t="str">
            <v>ja</v>
          </cell>
          <cell r="C1602" t="str">
            <v>冥府狩る魂使 牛頭馬面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6</v>
          </cell>
          <cell r="J1602" t="str">
            <v>DropWizS</v>
          </cell>
          <cell r="K1602" t="str">
            <v>attack</v>
          </cell>
          <cell r="L1602" t="str">
            <v>攻撃タイプ</v>
          </cell>
          <cell r="M1602" t="str">
            <v>god</v>
          </cell>
        </row>
        <row r="1603">
          <cell r="A1603">
            <v>8035</v>
          </cell>
          <cell r="B1603" t="str">
            <v>ja</v>
          </cell>
          <cell r="C1603" t="str">
            <v>飛衛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5</v>
          </cell>
          <cell r="J1603" t="str">
            <v>PremiumSS</v>
          </cell>
          <cell r="K1603" t="str">
            <v>heal</v>
          </cell>
          <cell r="L1603" t="str">
            <v>回復タイプ</v>
          </cell>
          <cell r="M1603" t="str">
            <v>human</v>
          </cell>
        </row>
        <row r="1604">
          <cell r="A1604">
            <v>8036</v>
          </cell>
          <cell r="B1604" t="str">
            <v>ja</v>
          </cell>
          <cell r="C1604" t="str">
            <v>レア６飛衛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blue</v>
          </cell>
          <cell r="I1604">
            <v>6</v>
          </cell>
          <cell r="J1604" t="str">
            <v>PremiumSS</v>
          </cell>
          <cell r="K1604" t="str">
            <v>heal</v>
          </cell>
          <cell r="L1604" t="str">
            <v>回復タイプ</v>
          </cell>
          <cell r="M1604" t="str">
            <v>human</v>
          </cell>
        </row>
        <row r="1605">
          <cell r="A1605">
            <v>8037</v>
          </cell>
          <cell r="B1605" t="str">
            <v>ja</v>
          </cell>
          <cell r="C1605" t="str">
            <v>紀昌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red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human</v>
          </cell>
        </row>
        <row r="1606">
          <cell r="A1606">
            <v>8038</v>
          </cell>
          <cell r="B1606" t="str">
            <v>ja</v>
          </cell>
          <cell r="C1606" t="str">
            <v>レア６紀昌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red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human</v>
          </cell>
        </row>
        <row r="1607">
          <cell r="A1607">
            <v>8039</v>
          </cell>
          <cell r="B1607" t="str">
            <v>ja</v>
          </cell>
          <cell r="C1607" t="str">
            <v>何仙姑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PremiumSSw</v>
          </cell>
          <cell r="K1607" t="str">
            <v>hp</v>
          </cell>
          <cell r="L1607" t="str">
            <v>体力タイプ</v>
          </cell>
          <cell r="M1607" t="str">
            <v>god</v>
          </cell>
        </row>
        <row r="1608">
          <cell r="A1608">
            <v>8040</v>
          </cell>
          <cell r="B1608" t="str">
            <v>ja</v>
          </cell>
          <cell r="C1608" t="str">
            <v>レア６何仙姑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yellow</v>
          </cell>
          <cell r="I1608">
            <v>6</v>
          </cell>
          <cell r="J1608" t="str">
            <v>PremiumSSw</v>
          </cell>
          <cell r="K1608" t="str">
            <v>hp</v>
          </cell>
          <cell r="L1608" t="str">
            <v>体力タイプ</v>
          </cell>
          <cell r="M1608" t="str">
            <v>god</v>
          </cell>
        </row>
        <row r="1609">
          <cell r="A1609">
            <v>8041</v>
          </cell>
          <cell r="B1609" t="str">
            <v>ja</v>
          </cell>
          <cell r="C1609" t="str">
            <v>藍采和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blue</v>
          </cell>
          <cell r="I1609">
            <v>5</v>
          </cell>
          <cell r="J1609" t="str">
            <v>DropWizS</v>
          </cell>
          <cell r="K1609" t="str">
            <v>balance</v>
          </cell>
          <cell r="L1609" t="str">
            <v>バランスタイプ</v>
          </cell>
          <cell r="M1609" t="str">
            <v>god</v>
          </cell>
        </row>
        <row r="1610">
          <cell r="A1610">
            <v>8042</v>
          </cell>
          <cell r="B1610" t="str">
            <v>ja</v>
          </cell>
          <cell r="C1610" t="str">
            <v>レア６藍采和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blue</v>
          </cell>
          <cell r="I1610">
            <v>6</v>
          </cell>
          <cell r="J1610" t="str">
            <v>DropWizS</v>
          </cell>
          <cell r="K1610" t="str">
            <v>balance</v>
          </cell>
          <cell r="L1610" t="str">
            <v>バランスタイプ</v>
          </cell>
          <cell r="M1610" t="str">
            <v>god</v>
          </cell>
        </row>
        <row r="1611">
          <cell r="A1611">
            <v>8043</v>
          </cell>
          <cell r="B1611" t="str">
            <v>ja</v>
          </cell>
          <cell r="C1611" t="str">
            <v>サンリオキャラ大集合+アザゼル</v>
          </cell>
          <cell r="D1611" t="str">
            <v>サンリオキャラ大集合+アザゼル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ss</v>
          </cell>
        </row>
        <row r="1612">
          <cell r="A1612">
            <v>8044</v>
          </cell>
          <cell r="B1612" t="str">
            <v>ja</v>
          </cell>
          <cell r="C1612" t="str">
            <v>サンリオキャラ大集合+アザゼル</v>
          </cell>
          <cell r="D1612" t="str">
            <v>サンリオキャラ大集合+アザゼル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ss</v>
          </cell>
        </row>
        <row r="1613">
          <cell r="A1613">
            <v>8045</v>
          </cell>
          <cell r="B1613" t="str">
            <v>ja</v>
          </cell>
          <cell r="C1613" t="str">
            <v>ニムダ_サンリオキャラ混じり</v>
          </cell>
          <cell r="D1613" t="str">
            <v>ニムダ_サンリオキャラ混じり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4</v>
          </cell>
          <cell r="J1613" t="str">
            <v>Drop2N</v>
          </cell>
          <cell r="K1613" t="str">
            <v>technical</v>
          </cell>
          <cell r="L1613" t="str">
            <v>テクニカルタイプ</v>
          </cell>
          <cell r="M1613" t="str">
            <v>ss</v>
          </cell>
        </row>
        <row r="1614">
          <cell r="A1614">
            <v>8046</v>
          </cell>
          <cell r="B1614" t="str">
            <v>ja</v>
          </cell>
          <cell r="C1614" t="str">
            <v>ニムダ_サンリオキャラ混じり</v>
          </cell>
          <cell r="D1614" t="str">
            <v>ニムダ_サンリオキャラ混じり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Drop2N</v>
          </cell>
          <cell r="K1614" t="str">
            <v>technical</v>
          </cell>
          <cell r="L1614" t="str">
            <v>テクニカルタイプ</v>
          </cell>
          <cell r="M1614" t="str">
            <v>ss</v>
          </cell>
        </row>
        <row r="1615">
          <cell r="A1615">
            <v>8047</v>
          </cell>
          <cell r="B1615" t="str">
            <v>ja</v>
          </cell>
          <cell r="C1615" t="str">
            <v>ハローキティ</v>
          </cell>
          <cell r="D1615" t="str">
            <v>ハローキティ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Drop2N</v>
          </cell>
          <cell r="K1615" t="str">
            <v>balance</v>
          </cell>
          <cell r="L1615" t="str">
            <v>バランスタイプ</v>
          </cell>
          <cell r="M1615" t="str">
            <v>ss</v>
          </cell>
        </row>
        <row r="1616">
          <cell r="A1616">
            <v>8048</v>
          </cell>
          <cell r="B1616" t="str">
            <v>ja</v>
          </cell>
          <cell r="C1616" t="str">
            <v>ハローキティ</v>
          </cell>
          <cell r="D1616" t="str">
            <v>ハローキティ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red</v>
          </cell>
          <cell r="I1616">
            <v>5</v>
          </cell>
          <cell r="J1616" t="str">
            <v>Drop2N</v>
          </cell>
          <cell r="K1616" t="str">
            <v>balance</v>
          </cell>
          <cell r="L1616" t="str">
            <v>バランスタイプ</v>
          </cell>
          <cell r="M1616" t="str">
            <v>ss</v>
          </cell>
        </row>
        <row r="1617">
          <cell r="A1617">
            <v>8049</v>
          </cell>
          <cell r="B1617" t="str">
            <v>ja</v>
          </cell>
          <cell r="C1617" t="str">
            <v>KIRIMIちゃん</v>
          </cell>
          <cell r="D1617" t="str">
            <v>KIRIMIちゃん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red</v>
          </cell>
          <cell r="I1617">
            <v>4</v>
          </cell>
          <cell r="J1617" t="str">
            <v>Drop2N</v>
          </cell>
          <cell r="K1617" t="str">
            <v>hp</v>
          </cell>
          <cell r="L1617" t="str">
            <v>体力タイプ</v>
          </cell>
          <cell r="M1617" t="str">
            <v>ss</v>
          </cell>
        </row>
        <row r="1618">
          <cell r="A1618">
            <v>8050</v>
          </cell>
          <cell r="B1618" t="str">
            <v>ja</v>
          </cell>
          <cell r="C1618" t="str">
            <v>KIRIMIちゃん</v>
          </cell>
          <cell r="D1618" t="str">
            <v>KIRIMIちゃん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red</v>
          </cell>
          <cell r="I1618">
            <v>5</v>
          </cell>
          <cell r="J1618" t="str">
            <v>Drop2N</v>
          </cell>
          <cell r="K1618" t="str">
            <v>hp</v>
          </cell>
          <cell r="L1618" t="str">
            <v>体力タイプ</v>
          </cell>
          <cell r="M1618" t="str">
            <v>ss</v>
          </cell>
        </row>
        <row r="1619">
          <cell r="A1619">
            <v>8051</v>
          </cell>
          <cell r="B1619" t="str">
            <v>ja</v>
          </cell>
          <cell r="C1619" t="str">
            <v>ハローキティのリボン</v>
          </cell>
          <cell r="D1619" t="str">
            <v>ハローキティのリボン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5</v>
          </cell>
          <cell r="J1619" t="str">
            <v>Drop2N</v>
          </cell>
          <cell r="K1619" t="str">
            <v>evolution</v>
          </cell>
          <cell r="L1619" t="str">
            <v>覚醒素材タイプ</v>
          </cell>
          <cell r="M1619" t="str">
            <v>ss</v>
          </cell>
        </row>
        <row r="1620">
          <cell r="A1620">
            <v>8052</v>
          </cell>
          <cell r="B1620" t="str">
            <v>ja</v>
          </cell>
          <cell r="C1620" t="str">
            <v>ママの作ったアップルパイ</v>
          </cell>
          <cell r="D1620" t="str">
            <v>ママの作ったアップルパイ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4</v>
          </cell>
          <cell r="J1620" t="str">
            <v>Drop2N</v>
          </cell>
          <cell r="K1620" t="str">
            <v>evolution</v>
          </cell>
          <cell r="L1620" t="str">
            <v>覚醒素材タイプ</v>
          </cell>
          <cell r="M1620" t="str">
            <v>ss</v>
          </cell>
        </row>
        <row r="1621">
          <cell r="A1621">
            <v>8053</v>
          </cell>
          <cell r="B1621" t="str">
            <v>ja</v>
          </cell>
          <cell r="C1621" t="str">
            <v>D.R.T.H__キティコスプレ</v>
          </cell>
          <cell r="D1621" t="str">
            <v>D.R.T.H__キティコスプレ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5</v>
          </cell>
          <cell r="J1621" t="str">
            <v>PremiumSS</v>
          </cell>
          <cell r="K1621" t="str">
            <v>balance</v>
          </cell>
          <cell r="L1621" t="str">
            <v>バランスタイプ</v>
          </cell>
          <cell r="M1621" t="str">
            <v>ss</v>
          </cell>
        </row>
        <row r="1622">
          <cell r="A1622">
            <v>8054</v>
          </cell>
          <cell r="B1622" t="str">
            <v>ja</v>
          </cell>
          <cell r="C1622" t="str">
            <v>D.R.T.H__キティコスプレ</v>
          </cell>
          <cell r="D1622" t="str">
            <v>D.R.T.H__キティコスプレ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6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ss</v>
          </cell>
        </row>
        <row r="1623">
          <cell r="A1623">
            <v>8055</v>
          </cell>
          <cell r="B1623" t="str">
            <v>ja</v>
          </cell>
          <cell r="C1623" t="str">
            <v>マイメロディ</v>
          </cell>
          <cell r="D1623" t="str">
            <v>マイメロディ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4</v>
          </cell>
          <cell r="J1623" t="str">
            <v>PremiumS</v>
          </cell>
          <cell r="K1623" t="str">
            <v>attack</v>
          </cell>
          <cell r="L1623" t="str">
            <v>攻撃タイプ</v>
          </cell>
          <cell r="M1623" t="str">
            <v>ss</v>
          </cell>
        </row>
        <row r="1624">
          <cell r="A1624">
            <v>8056</v>
          </cell>
          <cell r="B1624" t="str">
            <v>ja</v>
          </cell>
          <cell r="C1624" t="str">
            <v>マイメロディ</v>
          </cell>
          <cell r="D1624" t="str">
            <v>マイメロディ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5</v>
          </cell>
          <cell r="J1624" t="str">
            <v>PremiumS</v>
          </cell>
          <cell r="K1624" t="str">
            <v>attack</v>
          </cell>
          <cell r="L1624" t="str">
            <v>攻撃タイプ</v>
          </cell>
          <cell r="M1624" t="str">
            <v>ss</v>
          </cell>
        </row>
        <row r="1625">
          <cell r="A1625">
            <v>8057</v>
          </cell>
          <cell r="B1625" t="str">
            <v>ja</v>
          </cell>
          <cell r="C1625" t="str">
            <v>ニーベルゲン_シナモロールコスプレ</v>
          </cell>
          <cell r="D1625" t="str">
            <v>ニーベルゲン_シナモロールコスプレ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4</v>
          </cell>
          <cell r="J1625" t="str">
            <v>PremiumS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8058</v>
          </cell>
          <cell r="B1626" t="str">
            <v>ja</v>
          </cell>
          <cell r="C1626" t="str">
            <v>ニーベルゲン_シナモロールコスプレ</v>
          </cell>
          <cell r="D1626" t="str">
            <v>ニーベルゲン_シナモロールコスプレ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green</v>
          </cell>
          <cell r="I1626">
            <v>5</v>
          </cell>
          <cell r="J1626" t="str">
            <v>PremiumS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8059</v>
          </cell>
          <cell r="B1627" t="str">
            <v>ja</v>
          </cell>
          <cell r="C1627" t="str">
            <v>カカシ_マイメロディコスプレ</v>
          </cell>
          <cell r="D1627" t="str">
            <v>カカシ_マイメロディコスプレ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green</v>
          </cell>
          <cell r="I1627">
            <v>4</v>
          </cell>
          <cell r="J1627" t="str">
            <v>PremiumS</v>
          </cell>
          <cell r="K1627" t="str">
            <v>technical</v>
          </cell>
          <cell r="L1627" t="str">
            <v>テクニカルタイプ</v>
          </cell>
          <cell r="M1627" t="str">
            <v>ss</v>
          </cell>
        </row>
        <row r="1628">
          <cell r="A1628">
            <v>8060</v>
          </cell>
          <cell r="B1628" t="str">
            <v>ja</v>
          </cell>
          <cell r="C1628" t="str">
            <v>カカシ_マイメロディコスプレ</v>
          </cell>
          <cell r="D1628" t="str">
            <v>カカシ_マイメロディコスプレ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5</v>
          </cell>
          <cell r="J1628" t="str">
            <v>PremiumS</v>
          </cell>
          <cell r="K1628" t="str">
            <v>technical</v>
          </cell>
          <cell r="L1628" t="str">
            <v>テクニカルタイプ</v>
          </cell>
          <cell r="M1628" t="str">
            <v>ss</v>
          </cell>
        </row>
        <row r="1629">
          <cell r="A1629">
            <v>8061</v>
          </cell>
          <cell r="B1629" t="str">
            <v>ja</v>
          </cell>
          <cell r="C1629" t="str">
            <v>ケロケロけろっぴ</v>
          </cell>
          <cell r="D1629" t="str">
            <v>ケロケロけろっぴ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3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8062</v>
          </cell>
          <cell r="B1630" t="str">
            <v>ja</v>
          </cell>
          <cell r="C1630" t="str">
            <v>ケロケロけろっぴ</v>
          </cell>
          <cell r="D1630" t="str">
            <v>ケロケロけろっぴ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8063</v>
          </cell>
          <cell r="B1631" t="str">
            <v>ja</v>
          </cell>
          <cell r="C1631" t="str">
            <v>モルドレッド_ポムポムプリンコスプレ</v>
          </cell>
          <cell r="D1631" t="str">
            <v>モルドレッド_ポムポムプリンコスプレ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5</v>
          </cell>
          <cell r="J1631" t="str">
            <v>PremiumSS</v>
          </cell>
          <cell r="K1631" t="str">
            <v>heal</v>
          </cell>
          <cell r="L1631" t="str">
            <v>回復タイプ</v>
          </cell>
          <cell r="M1631" t="str">
            <v>ss</v>
          </cell>
        </row>
        <row r="1632">
          <cell r="A1632">
            <v>8064</v>
          </cell>
          <cell r="B1632" t="str">
            <v>ja</v>
          </cell>
          <cell r="C1632" t="str">
            <v>モルドレッド_ポムポムプリンコスプレ</v>
          </cell>
          <cell r="D1632" t="str">
            <v>モルドレッド_ポムポムプリンコスプレ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6</v>
          </cell>
          <cell r="J1632" t="str">
            <v>PremiumSS</v>
          </cell>
          <cell r="K1632" t="str">
            <v>heal</v>
          </cell>
          <cell r="L1632" t="str">
            <v>回復タイプ</v>
          </cell>
          <cell r="M1632" t="str">
            <v>ss</v>
          </cell>
        </row>
        <row r="1633">
          <cell r="A1633">
            <v>8065</v>
          </cell>
          <cell r="B1633" t="str">
            <v>ja</v>
          </cell>
          <cell r="C1633" t="str">
            <v>クロミ</v>
          </cell>
          <cell r="D1633" t="str">
            <v>クロミ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3</v>
          </cell>
          <cell r="J1633" t="str">
            <v>PremiumS</v>
          </cell>
          <cell r="K1633" t="str">
            <v>technical</v>
          </cell>
          <cell r="L1633" t="str">
            <v>テクニカルタイプ</v>
          </cell>
          <cell r="M1633" t="str">
            <v>ss</v>
          </cell>
        </row>
        <row r="1634">
          <cell r="A1634">
            <v>8066</v>
          </cell>
          <cell r="B1634" t="str">
            <v>ja</v>
          </cell>
          <cell r="C1634" t="str">
            <v>クロミ</v>
          </cell>
          <cell r="D1634" t="str">
            <v>クロミ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blue</v>
          </cell>
          <cell r="I1634">
            <v>4</v>
          </cell>
          <cell r="J1634" t="str">
            <v>PremiumS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8067</v>
          </cell>
          <cell r="B1635" t="str">
            <v>ja</v>
          </cell>
          <cell r="C1635" t="str">
            <v>バッドばつ丸</v>
          </cell>
          <cell r="D1635" t="str">
            <v>バッドばつ丸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3</v>
          </cell>
          <cell r="J1635" t="str">
            <v>PremiumS</v>
          </cell>
          <cell r="K1635" t="str">
            <v>attack</v>
          </cell>
          <cell r="L1635" t="str">
            <v>攻撃タイプ</v>
          </cell>
          <cell r="M1635" t="str">
            <v>ss</v>
          </cell>
        </row>
        <row r="1636">
          <cell r="A1636">
            <v>8068</v>
          </cell>
          <cell r="B1636" t="str">
            <v>ja</v>
          </cell>
          <cell r="C1636" t="str">
            <v>バッドばつ丸</v>
          </cell>
          <cell r="D1636" t="str">
            <v>バッドばつ丸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4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ss</v>
          </cell>
        </row>
        <row r="1637">
          <cell r="A1637">
            <v>8069</v>
          </cell>
          <cell r="B1637" t="str">
            <v>ja</v>
          </cell>
          <cell r="C1637" t="str">
            <v>シナモロール</v>
          </cell>
          <cell r="D1637" t="str">
            <v>シナモロール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4</v>
          </cell>
          <cell r="J1637" t="str">
            <v>PremiumS</v>
          </cell>
          <cell r="K1637" t="str">
            <v>heal</v>
          </cell>
          <cell r="L1637" t="str">
            <v>回復タイプ</v>
          </cell>
          <cell r="M1637" t="str">
            <v>ss</v>
          </cell>
        </row>
        <row r="1638">
          <cell r="A1638">
            <v>8070</v>
          </cell>
          <cell r="B1638" t="str">
            <v>ja</v>
          </cell>
          <cell r="C1638" t="str">
            <v>シナモロール</v>
          </cell>
          <cell r="D1638" t="str">
            <v>シナモロール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yellow</v>
          </cell>
          <cell r="I1638">
            <v>5</v>
          </cell>
          <cell r="J1638" t="str">
            <v>PremiumS</v>
          </cell>
          <cell r="K1638" t="str">
            <v>heal</v>
          </cell>
          <cell r="L1638" t="str">
            <v>回復タイプ</v>
          </cell>
          <cell r="M1638" t="str">
            <v>ss</v>
          </cell>
        </row>
        <row r="1639">
          <cell r="A1639">
            <v>8071</v>
          </cell>
          <cell r="B1639" t="str">
            <v>ja</v>
          </cell>
          <cell r="C1639" t="str">
            <v>ポムポムプリン</v>
          </cell>
          <cell r="D1639" t="str">
            <v>ポムポムプリン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yellow</v>
          </cell>
          <cell r="I1639">
            <v>3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ss</v>
          </cell>
        </row>
        <row r="1640">
          <cell r="A1640">
            <v>8072</v>
          </cell>
          <cell r="B1640" t="str">
            <v>ja</v>
          </cell>
          <cell r="C1640" t="str">
            <v>ポムポムプリン</v>
          </cell>
          <cell r="D1640" t="str">
            <v>ポムポムプリン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yellow</v>
          </cell>
          <cell r="I1640">
            <v>4</v>
          </cell>
          <cell r="J1640" t="str">
            <v>PremiumS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8073</v>
          </cell>
          <cell r="B1641" t="str">
            <v>ja</v>
          </cell>
          <cell r="C1641" t="str">
            <v>星海祈る天光妃 媽祖</v>
          </cell>
          <cell r="D1641" t="str">
            <v>Expoミク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6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human</v>
          </cell>
        </row>
        <row r="1642">
          <cell r="A1642">
            <v>8074</v>
          </cell>
          <cell r="B1642" t="str">
            <v>ja</v>
          </cell>
          <cell r="C1642" t="str">
            <v>海戀の絶龍姫 蛟龍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6</v>
          </cell>
          <cell r="J1642" t="str">
            <v>DropWizS</v>
          </cell>
          <cell r="K1642" t="str">
            <v>hp</v>
          </cell>
          <cell r="L1642" t="str">
            <v>体力タイプ</v>
          </cell>
          <cell r="M1642" t="str">
            <v>dragon</v>
          </cell>
        </row>
        <row r="1643">
          <cell r="A1643">
            <v>8075</v>
          </cell>
          <cell r="B1643" t="str">
            <v>ja</v>
          </cell>
          <cell r="C1643" t="str">
            <v>三蔵法師_超覚醒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6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god</v>
          </cell>
        </row>
        <row r="1644">
          <cell r="A1644">
            <v>8076</v>
          </cell>
          <cell r="B1644" t="str">
            <v>ja</v>
          </cell>
          <cell r="C1644" t="str">
            <v>孫悟空_超覚醒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6</v>
          </cell>
          <cell r="J1644" t="str">
            <v>DropWizS</v>
          </cell>
          <cell r="K1644" t="str">
            <v>attack</v>
          </cell>
          <cell r="L1644" t="str">
            <v>攻撃タイプ</v>
          </cell>
          <cell r="M1644" t="str">
            <v>unknown</v>
          </cell>
        </row>
        <row r="1645">
          <cell r="A1645">
            <v>8077</v>
          </cell>
          <cell r="B1645" t="str">
            <v>ja</v>
          </cell>
          <cell r="C1645" t="str">
            <v>鄭成功</v>
          </cell>
          <cell r="D1645" t="str">
            <v>ポムポムプリン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8078</v>
          </cell>
          <cell r="B1646" t="str">
            <v>ja</v>
          </cell>
          <cell r="C1646" t="str">
            <v>レア６鄭成功</v>
          </cell>
          <cell r="D1646" t="str">
            <v>ポムポムプリン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attack</v>
          </cell>
          <cell r="L1646" t="str">
            <v>攻撃タイプ</v>
          </cell>
          <cell r="M1646" t="str">
            <v>human</v>
          </cell>
        </row>
        <row r="1647">
          <cell r="A1647">
            <v>8079</v>
          </cell>
          <cell r="B1647" t="str">
            <v>ja</v>
          </cell>
          <cell r="C1647" t="str">
            <v>赤鬼</v>
          </cell>
          <cell r="D1647" t="str">
            <v>ポムポムプリン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hp</v>
          </cell>
          <cell r="L1647" t="str">
            <v>体力タイプ</v>
          </cell>
          <cell r="M1647" t="str">
            <v>dragon</v>
          </cell>
        </row>
        <row r="1648">
          <cell r="A1648">
            <v>8080</v>
          </cell>
          <cell r="B1648" t="str">
            <v>ja</v>
          </cell>
          <cell r="C1648" t="str">
            <v>レア６赤鬼</v>
          </cell>
          <cell r="D1648" t="str">
            <v>ポムポムプリン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hp</v>
          </cell>
          <cell r="L1648" t="str">
            <v>体力タイプ</v>
          </cell>
          <cell r="M1648" t="str">
            <v>dragon</v>
          </cell>
        </row>
        <row r="1649">
          <cell r="A1649">
            <v>8081</v>
          </cell>
          <cell r="B1649" t="str">
            <v>ja</v>
          </cell>
          <cell r="C1649" t="str">
            <v>関羽</v>
          </cell>
          <cell r="H1649" t="str">
            <v>green</v>
          </cell>
          <cell r="I1649">
            <v>5</v>
          </cell>
          <cell r="J1649" t="str">
            <v>PremiumSSS</v>
          </cell>
          <cell r="K1649" t="str">
            <v>balance</v>
          </cell>
          <cell r="L1649" t="str">
            <v>バランスタイプ</v>
          </cell>
          <cell r="M1649" t="str">
            <v>samurai</v>
          </cell>
        </row>
        <row r="1650">
          <cell r="A1650">
            <v>8082</v>
          </cell>
          <cell r="B1650" t="str">
            <v>ja</v>
          </cell>
          <cell r="C1650" t="str">
            <v>★６関羽</v>
          </cell>
          <cell r="H1650" t="str">
            <v>green</v>
          </cell>
          <cell r="I1650">
            <v>6</v>
          </cell>
          <cell r="J1650" t="str">
            <v>PremiumSSS</v>
          </cell>
          <cell r="K1650" t="str">
            <v>balance</v>
          </cell>
          <cell r="L1650" t="str">
            <v>バランスタイプ</v>
          </cell>
          <cell r="M1650" t="str">
            <v>samurai</v>
          </cell>
        </row>
        <row r="1651">
          <cell r="A1651">
            <v>8083</v>
          </cell>
          <cell r="B1651" t="str">
            <v>ja</v>
          </cell>
          <cell r="C1651" t="str">
            <v>曹操</v>
          </cell>
          <cell r="H1651" t="str">
            <v>yellow</v>
          </cell>
          <cell r="I1651">
            <v>5</v>
          </cell>
          <cell r="J1651" t="str">
            <v>DropWizSS</v>
          </cell>
          <cell r="K1651" t="str">
            <v>technical</v>
          </cell>
          <cell r="L1651" t="str">
            <v>テクニカルタイプ</v>
          </cell>
          <cell r="M1651" t="str">
            <v>samurai</v>
          </cell>
        </row>
        <row r="1652">
          <cell r="A1652">
            <v>8084</v>
          </cell>
          <cell r="B1652" t="str">
            <v>ja</v>
          </cell>
          <cell r="C1652" t="str">
            <v>★６曹操</v>
          </cell>
          <cell r="H1652" t="str">
            <v>yellow</v>
          </cell>
          <cell r="I1652">
            <v>6</v>
          </cell>
          <cell r="J1652" t="str">
            <v>DropWizSS</v>
          </cell>
          <cell r="K1652" t="str">
            <v>technical</v>
          </cell>
          <cell r="L1652" t="str">
            <v>テクニカルタイプ</v>
          </cell>
          <cell r="M1652" t="str">
            <v>samurai</v>
          </cell>
        </row>
        <row r="1653">
          <cell r="A1653">
            <v>8085</v>
          </cell>
          <cell r="B1653" t="str">
            <v>ja</v>
          </cell>
          <cell r="C1653" t="str">
            <v>西王娘娘_超覚醒</v>
          </cell>
          <cell r="H1653" t="str">
            <v>yellow</v>
          </cell>
          <cell r="I1653">
            <v>6</v>
          </cell>
          <cell r="J1653" t="str">
            <v>PremiumSS</v>
          </cell>
          <cell r="K1653" t="str">
            <v>attack</v>
          </cell>
          <cell r="L1653" t="str">
            <v>攻撃タイプ</v>
          </cell>
          <cell r="M1653" t="str">
            <v>god</v>
          </cell>
        </row>
        <row r="1654">
          <cell r="A1654">
            <v>8086</v>
          </cell>
          <cell r="B1654" t="str">
            <v>ja</v>
          </cell>
          <cell r="C1654" t="str">
            <v>月下老人_超覚醒</v>
          </cell>
          <cell r="H1654" t="str">
            <v>yellow</v>
          </cell>
          <cell r="I1654">
            <v>6</v>
          </cell>
          <cell r="J1654" t="str">
            <v>DropWizS</v>
          </cell>
          <cell r="K1654" t="str">
            <v>attack</v>
          </cell>
          <cell r="L1654" t="str">
            <v>攻撃タイプ</v>
          </cell>
          <cell r="M1654" t="str">
            <v>god</v>
          </cell>
        </row>
        <row r="1655">
          <cell r="A1655">
            <v>8087</v>
          </cell>
          <cell r="B1655" t="str">
            <v>ja</v>
          </cell>
          <cell r="C1655" t="str">
            <v>財神</v>
          </cell>
          <cell r="H1655" t="str">
            <v>red</v>
          </cell>
          <cell r="I1655">
            <v>5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god</v>
          </cell>
        </row>
        <row r="1656">
          <cell r="A1656">
            <v>8088</v>
          </cell>
          <cell r="B1656" t="str">
            <v>ja</v>
          </cell>
          <cell r="C1656" t="str">
            <v>★６財神</v>
          </cell>
          <cell r="H1656" t="str">
            <v>red</v>
          </cell>
          <cell r="I1656">
            <v>6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god</v>
          </cell>
        </row>
        <row r="1657">
          <cell r="A1657">
            <v>8089</v>
          </cell>
          <cell r="B1657" t="str">
            <v>ja</v>
          </cell>
          <cell r="C1657" t="str">
            <v>年獣</v>
          </cell>
          <cell r="H1657" t="str">
            <v>green</v>
          </cell>
          <cell r="I1657">
            <v>5</v>
          </cell>
          <cell r="J1657" t="str">
            <v>DropWizS</v>
          </cell>
          <cell r="K1657" t="str">
            <v>attack</v>
          </cell>
          <cell r="L1657" t="str">
            <v>攻撃タイプ</v>
          </cell>
          <cell r="M1657" t="str">
            <v>animal</v>
          </cell>
        </row>
        <row r="1658">
          <cell r="A1658">
            <v>8090</v>
          </cell>
          <cell r="B1658" t="str">
            <v>ja</v>
          </cell>
          <cell r="C1658" t="str">
            <v>★６年獣</v>
          </cell>
          <cell r="H1658" t="str">
            <v>green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animal</v>
          </cell>
        </row>
        <row r="1659">
          <cell r="A1659">
            <v>8095</v>
          </cell>
          <cell r="B1659" t="str">
            <v>ja</v>
          </cell>
          <cell r="C1659" t="str">
            <v>バハムートダック赤</v>
          </cell>
          <cell r="D1659" t="str">
            <v>ポムポムプリン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red</v>
          </cell>
          <cell r="I1659">
            <v>6</v>
          </cell>
          <cell r="J1659" t="str">
            <v>Material</v>
          </cell>
          <cell r="K1659" t="str">
            <v>exp</v>
          </cell>
          <cell r="L1659" t="str">
            <v>強化素材タイプ</v>
          </cell>
          <cell r="M1659" t="str">
            <v>unknown</v>
          </cell>
        </row>
        <row r="1660">
          <cell r="A1660">
            <v>8096</v>
          </cell>
          <cell r="B1660" t="str">
            <v>ja</v>
          </cell>
          <cell r="C1660" t="str">
            <v>バハムートダック緑</v>
          </cell>
          <cell r="D1660" t="str">
            <v>ポムポムプリン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green</v>
          </cell>
          <cell r="I1660">
            <v>6</v>
          </cell>
          <cell r="J1660" t="str">
            <v>Material</v>
          </cell>
          <cell r="K1660" t="str">
            <v>exp</v>
          </cell>
          <cell r="L1660" t="str">
            <v>強化素材タイプ</v>
          </cell>
          <cell r="M1660" t="str">
            <v>unknown</v>
          </cell>
        </row>
        <row r="1661">
          <cell r="A1661">
            <v>8097</v>
          </cell>
          <cell r="B1661" t="str">
            <v>ja</v>
          </cell>
          <cell r="C1661" t="str">
            <v>バハムートダック青</v>
          </cell>
          <cell r="D1661" t="str">
            <v>ポムポムプリン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blue</v>
          </cell>
          <cell r="I1661">
            <v>6</v>
          </cell>
          <cell r="J1661" t="str">
            <v>Material</v>
          </cell>
          <cell r="K1661" t="str">
            <v>exp</v>
          </cell>
          <cell r="L1661" t="str">
            <v>強化素材タイプ</v>
          </cell>
          <cell r="M1661" t="str">
            <v>unknown</v>
          </cell>
        </row>
        <row r="1662">
          <cell r="A1662">
            <v>8098</v>
          </cell>
          <cell r="B1662" t="str">
            <v>ja</v>
          </cell>
          <cell r="C1662" t="str">
            <v>バハムートダック黄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6</v>
          </cell>
          <cell r="J1662" t="str">
            <v>Material</v>
          </cell>
          <cell r="K1662" t="str">
            <v>exp</v>
          </cell>
          <cell r="L1662" t="str">
            <v>強化素材タイプ</v>
          </cell>
          <cell r="M1662" t="str">
            <v>unknown</v>
          </cell>
        </row>
        <row r="1663">
          <cell r="A1663">
            <v>8099</v>
          </cell>
          <cell r="B1663" t="str">
            <v>ja</v>
          </cell>
          <cell r="C1663" t="str">
            <v>韓湘子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green</v>
          </cell>
          <cell r="I1663">
            <v>5</v>
          </cell>
          <cell r="J1663" t="str">
            <v>PremiumSSw</v>
          </cell>
          <cell r="K1663" t="str">
            <v>balance</v>
          </cell>
          <cell r="L1663" t="str">
            <v>バランスタイプ</v>
          </cell>
          <cell r="M1663" t="str">
            <v>god</v>
          </cell>
        </row>
        <row r="1664">
          <cell r="A1664">
            <v>8100</v>
          </cell>
          <cell r="B1664" t="str">
            <v>ja</v>
          </cell>
          <cell r="C1664" t="str">
            <v>韓湘子★６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PremiumSSw</v>
          </cell>
          <cell r="K1664" t="str">
            <v>balance</v>
          </cell>
          <cell r="L1664" t="str">
            <v>バランスタイプ</v>
          </cell>
          <cell r="M1664" t="str">
            <v>god</v>
          </cell>
        </row>
        <row r="1665">
          <cell r="A1665">
            <v>8101</v>
          </cell>
          <cell r="B1665" t="str">
            <v>ja</v>
          </cell>
          <cell r="C1665" t="str">
            <v>張果老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yellow</v>
          </cell>
          <cell r="I1665">
            <v>5</v>
          </cell>
          <cell r="J1665" t="str">
            <v>DropWizS</v>
          </cell>
          <cell r="K1665" t="str">
            <v>attack</v>
          </cell>
          <cell r="L1665" t="str">
            <v>攻撃タイプ</v>
          </cell>
          <cell r="M1665" t="str">
            <v>god</v>
          </cell>
        </row>
        <row r="1666">
          <cell r="A1666">
            <v>8102</v>
          </cell>
          <cell r="B1666" t="str">
            <v>ja</v>
          </cell>
          <cell r="C1666" t="str">
            <v>張果老★６</v>
          </cell>
          <cell r="D1666" t="str">
            <v>各属性相性良3・黄・R455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yellow</v>
          </cell>
          <cell r="I1666">
            <v>6</v>
          </cell>
          <cell r="J1666" t="str">
            <v>DropWizS</v>
          </cell>
          <cell r="K1666" t="str">
            <v>attack</v>
          </cell>
          <cell r="L1666" t="str">
            <v>攻撃タイプ</v>
          </cell>
          <cell r="M1666" t="str">
            <v>god</v>
          </cell>
        </row>
        <row r="1667">
          <cell r="A1667">
            <v>8103</v>
          </cell>
          <cell r="B1667" t="str">
            <v>ja</v>
          </cell>
          <cell r="C1667" t="str">
            <v>李鐵拐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5</v>
          </cell>
          <cell r="J1667" t="str">
            <v>PremiumSSw</v>
          </cell>
          <cell r="K1667" t="str">
            <v>technical</v>
          </cell>
          <cell r="L1667" t="str">
            <v>テクニカルタイプ</v>
          </cell>
          <cell r="M1667" t="str">
            <v>god</v>
          </cell>
        </row>
        <row r="1668">
          <cell r="A1668">
            <v>8104</v>
          </cell>
          <cell r="B1668" t="str">
            <v>ja</v>
          </cell>
          <cell r="C1668" t="str">
            <v>李鐵拐★６</v>
          </cell>
          <cell r="D1668" t="str">
            <v>各属性相性良3・黄・R455</v>
          </cell>
          <cell r="E1668" t="str">
            <v>執行者</v>
          </cell>
          <cell r="F1668" t="str">
            <v>格好いい</v>
          </cell>
          <cell r="G1668" t="str">
            <v>男性</v>
          </cell>
          <cell r="H1668" t="str">
            <v>red</v>
          </cell>
          <cell r="I1668">
            <v>6</v>
          </cell>
          <cell r="J1668" t="str">
            <v>PremiumSSw</v>
          </cell>
          <cell r="K1668" t="str">
            <v>technical</v>
          </cell>
          <cell r="L1668" t="str">
            <v>テクニカルタイプ</v>
          </cell>
          <cell r="M1668" t="str">
            <v>god</v>
          </cell>
        </row>
        <row r="1669">
          <cell r="A1669">
            <v>8105</v>
          </cell>
          <cell r="B1669" t="str">
            <v>ja</v>
          </cell>
          <cell r="C1669" t="str">
            <v>曹國舅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green</v>
          </cell>
          <cell r="I1669">
            <v>5</v>
          </cell>
          <cell r="J1669" t="str">
            <v>DropWizS</v>
          </cell>
          <cell r="K1669" t="str">
            <v>hp</v>
          </cell>
          <cell r="L1669" t="str">
            <v>体力タイプ</v>
          </cell>
          <cell r="M1669" t="str">
            <v>god</v>
          </cell>
        </row>
        <row r="1670">
          <cell r="A1670">
            <v>8106</v>
          </cell>
          <cell r="B1670" t="str">
            <v>ja</v>
          </cell>
          <cell r="C1670" t="str">
            <v>曹國舅★６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green</v>
          </cell>
          <cell r="I1670">
            <v>6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god</v>
          </cell>
        </row>
        <row r="1671">
          <cell r="A1671">
            <v>9001</v>
          </cell>
          <cell r="B1671" t="str">
            <v>ja</v>
          </cell>
          <cell r="C1671" t="str">
            <v>春香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attack</v>
          </cell>
          <cell r="L1671" t="str">
            <v>攻撃タイプ</v>
          </cell>
          <cell r="M1671" t="str">
            <v>human</v>
          </cell>
        </row>
        <row r="1672">
          <cell r="A1672">
            <v>9002</v>
          </cell>
          <cell r="B1672" t="str">
            <v>ja</v>
          </cell>
          <cell r="C1672" t="str">
            <v>春香★６</v>
          </cell>
          <cell r="D1672" t="str">
            <v>ポムポムプリン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attack</v>
          </cell>
          <cell r="L1672" t="str">
            <v>攻撃タイプ</v>
          </cell>
          <cell r="M1672" t="str">
            <v>human</v>
          </cell>
        </row>
        <row r="1673">
          <cell r="A1673">
            <v>9003</v>
          </cell>
          <cell r="B1673" t="str">
            <v>ja</v>
          </cell>
          <cell r="C1673" t="str">
            <v>夢龍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heal</v>
          </cell>
          <cell r="L1673" t="str">
            <v>回復タイプ</v>
          </cell>
          <cell r="M1673" t="str">
            <v>dragon</v>
          </cell>
        </row>
        <row r="1674">
          <cell r="A1674">
            <v>9004</v>
          </cell>
          <cell r="B1674" t="str">
            <v>ja</v>
          </cell>
          <cell r="C1674" t="str">
            <v>夢龍★６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heal</v>
          </cell>
          <cell r="L1674" t="str">
            <v>回復タイプ</v>
          </cell>
          <cell r="M1674" t="str">
            <v>dragon</v>
          </cell>
        </row>
        <row r="1675">
          <cell r="A1675">
            <v>9005</v>
          </cell>
          <cell r="B1675" t="str">
            <v>ja</v>
          </cell>
          <cell r="C1675" t="str">
            <v>降臨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PremiumSSw</v>
          </cell>
          <cell r="K1675" t="str">
            <v>hp</v>
          </cell>
          <cell r="L1675" t="str">
            <v>体力タイプ</v>
          </cell>
          <cell r="M1675" t="str">
            <v>demon</v>
          </cell>
        </row>
        <row r="1676">
          <cell r="A1676">
            <v>9006</v>
          </cell>
          <cell r="B1676" t="str">
            <v>ja</v>
          </cell>
          <cell r="C1676" t="str">
            <v>降臨★６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PremiumSSw</v>
          </cell>
          <cell r="K1676" t="str">
            <v>hp</v>
          </cell>
          <cell r="L1676" t="str">
            <v>体力タイプ</v>
          </cell>
          <cell r="M1676" t="str">
            <v>demon</v>
          </cell>
        </row>
        <row r="1677">
          <cell r="A1677">
            <v>9007</v>
          </cell>
          <cell r="B1677" t="str">
            <v>ja</v>
          </cell>
          <cell r="C1677" t="str">
            <v>田禹治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technical</v>
          </cell>
          <cell r="L1677" t="str">
            <v>テクニカルタイプ</v>
          </cell>
          <cell r="M1677" t="str">
            <v>hero</v>
          </cell>
        </row>
        <row r="1678">
          <cell r="A1678">
            <v>9008</v>
          </cell>
          <cell r="B1678" t="str">
            <v>ja</v>
          </cell>
          <cell r="C1678" t="str">
            <v>田禹治★６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technical</v>
          </cell>
          <cell r="L1678" t="str">
            <v>テクニカルタイプ</v>
          </cell>
          <cell r="M1678" t="str">
            <v>hero</v>
          </cell>
        </row>
        <row r="1679">
          <cell r="A1679">
            <v>10001</v>
          </cell>
          <cell r="B1679" t="str">
            <v>ja</v>
          </cell>
          <cell r="C1679" t="str">
            <v>テストユニット01</v>
          </cell>
          <cell r="H1679" t="str">
            <v>yellow</v>
          </cell>
          <cell r="I1679">
            <v>6</v>
          </cell>
          <cell r="J1679" t="str">
            <v>DropWizS</v>
          </cell>
          <cell r="K1679" t="str">
            <v>heal</v>
          </cell>
          <cell r="L1679" t="str">
            <v>回復タイプ</v>
          </cell>
          <cell r="M1679" t="str">
            <v>human</v>
          </cell>
        </row>
        <row r="1680">
          <cell r="A1680">
            <v>10002</v>
          </cell>
          <cell r="B1680" t="str">
            <v>ja</v>
          </cell>
          <cell r="C1680" t="str">
            <v>テストユニット02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technical</v>
          </cell>
          <cell r="L1680" t="str">
            <v>テクニカルタイプ</v>
          </cell>
          <cell r="M1680" t="str">
            <v>animal</v>
          </cell>
        </row>
        <row r="1681">
          <cell r="A1681">
            <v>10003</v>
          </cell>
          <cell r="B1681" t="str">
            <v>ja</v>
          </cell>
          <cell r="C1681" t="str">
            <v>テストユニット03</v>
          </cell>
          <cell r="H1681" t="str">
            <v>red</v>
          </cell>
          <cell r="I1681">
            <v>5</v>
          </cell>
          <cell r="J1681" t="str">
            <v>PremiumSSS</v>
          </cell>
          <cell r="K1681" t="str">
            <v>technical</v>
          </cell>
          <cell r="L1681" t="str">
            <v>テクニカルタイプ</v>
          </cell>
          <cell r="M1681" t="str">
            <v>academia</v>
          </cell>
        </row>
        <row r="1682">
          <cell r="A1682">
            <v>10004</v>
          </cell>
          <cell r="B1682" t="str">
            <v>ja</v>
          </cell>
          <cell r="C1682" t="str">
            <v>テストユニット04</v>
          </cell>
          <cell r="H1682" t="str">
            <v>red</v>
          </cell>
          <cell r="I1682">
            <v>6</v>
          </cell>
          <cell r="J1682" t="str">
            <v>PremiumSSS</v>
          </cell>
          <cell r="K1682" t="str">
            <v>technical</v>
          </cell>
          <cell r="L1682" t="str">
            <v>テクニカルタイプ</v>
          </cell>
          <cell r="M1682" t="str">
            <v>academia</v>
          </cell>
        </row>
        <row r="1683">
          <cell r="A1683">
            <v>10005</v>
          </cell>
          <cell r="B1683" t="str">
            <v>ja</v>
          </cell>
          <cell r="C1683" t="str">
            <v>テストユニット05</v>
          </cell>
          <cell r="H1683" t="str">
            <v>yellow</v>
          </cell>
          <cell r="I1683">
            <v>6</v>
          </cell>
          <cell r="J1683" t="str">
            <v>PremiumSS</v>
          </cell>
          <cell r="K1683" t="str">
            <v>technical</v>
          </cell>
          <cell r="L1683" t="str">
            <v>テクニカルタイプ</v>
          </cell>
          <cell r="M1683" t="str">
            <v>human</v>
          </cell>
        </row>
        <row r="1684">
          <cell r="A1684">
            <v>10006</v>
          </cell>
          <cell r="B1684" t="str">
            <v>ja</v>
          </cell>
          <cell r="C1684" t="str">
            <v>テストユニット06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attack</v>
          </cell>
          <cell r="L1684" t="str">
            <v>攻撃タイプ</v>
          </cell>
          <cell r="M1684" t="str">
            <v>animal</v>
          </cell>
        </row>
        <row r="1685">
          <cell r="A1685">
            <v>10007</v>
          </cell>
          <cell r="B1685" t="str">
            <v>ja</v>
          </cell>
          <cell r="C1685" t="str">
            <v>テストユニット07</v>
          </cell>
          <cell r="H1685" t="str">
            <v>yellow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machine</v>
          </cell>
        </row>
        <row r="1686">
          <cell r="A1686">
            <v>10008</v>
          </cell>
          <cell r="B1686" t="str">
            <v>ja</v>
          </cell>
          <cell r="C1686" t="str">
            <v>テストユニット08</v>
          </cell>
          <cell r="H1686" t="str">
            <v>yellow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machine</v>
          </cell>
        </row>
        <row r="1687">
          <cell r="A1687">
            <v>10009</v>
          </cell>
          <cell r="B1687" t="str">
            <v>ja</v>
          </cell>
          <cell r="C1687" t="str">
            <v>青テスト01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heal</v>
          </cell>
          <cell r="L1687" t="str">
            <v>回復タイプ</v>
          </cell>
          <cell r="M1687" t="str">
            <v>human</v>
          </cell>
        </row>
        <row r="1688">
          <cell r="A1688">
            <v>10010</v>
          </cell>
          <cell r="B1688" t="str">
            <v>ja</v>
          </cell>
          <cell r="C1688" t="str">
            <v>赤テスト01</v>
          </cell>
          <cell r="H1688" t="str">
            <v>red</v>
          </cell>
          <cell r="I1688">
            <v>6</v>
          </cell>
          <cell r="J1688" t="str">
            <v>PremiumSSS</v>
          </cell>
          <cell r="K1688" t="str">
            <v>technical</v>
          </cell>
          <cell r="L1688" t="str">
            <v>テクニカルタイプ</v>
          </cell>
          <cell r="M1688" t="str">
            <v>human</v>
          </cell>
        </row>
        <row r="1689">
          <cell r="A1689">
            <v>10011</v>
          </cell>
          <cell r="B1689" t="str">
            <v>ja</v>
          </cell>
          <cell r="C1689" t="str">
            <v>テストユニット11</v>
          </cell>
          <cell r="H1689" t="str">
            <v>yellow</v>
          </cell>
          <cell r="I1689">
            <v>5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human</v>
          </cell>
        </row>
        <row r="1690">
          <cell r="A1690">
            <v>10012</v>
          </cell>
          <cell r="B1690" t="str">
            <v>ja</v>
          </cell>
          <cell r="C1690" t="str">
            <v>テストユニット12</v>
          </cell>
          <cell r="H1690" t="str">
            <v>yellow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human</v>
          </cell>
        </row>
        <row r="1691">
          <cell r="A1691">
            <v>10013</v>
          </cell>
          <cell r="B1691" t="str">
            <v>ja</v>
          </cell>
          <cell r="C1691" t="str">
            <v>テストユニット13</v>
          </cell>
          <cell r="H1691" t="str">
            <v>yellow</v>
          </cell>
          <cell r="I1691">
            <v>5</v>
          </cell>
          <cell r="J1691" t="str">
            <v>PremiumSSw</v>
          </cell>
          <cell r="K1691" t="str">
            <v>hp</v>
          </cell>
          <cell r="L1691" t="str">
            <v>体力タイプ</v>
          </cell>
          <cell r="M1691" t="str">
            <v>dragon</v>
          </cell>
        </row>
        <row r="1692">
          <cell r="A1692">
            <v>10014</v>
          </cell>
          <cell r="B1692" t="str">
            <v>ja</v>
          </cell>
          <cell r="C1692" t="str">
            <v>テストユニット14</v>
          </cell>
          <cell r="H1692" t="str">
            <v>yellow</v>
          </cell>
          <cell r="I1692">
            <v>6</v>
          </cell>
          <cell r="J1692" t="str">
            <v>PremiumSSw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10015</v>
          </cell>
          <cell r="B1693" t="str">
            <v>ja</v>
          </cell>
          <cell r="C1693" t="str">
            <v>テストユニット15</v>
          </cell>
          <cell r="H1693" t="str">
            <v>green</v>
          </cell>
          <cell r="I1693">
            <v>5</v>
          </cell>
          <cell r="J1693" t="str">
            <v>DropWizS</v>
          </cell>
          <cell r="K1693" t="str">
            <v>heal</v>
          </cell>
          <cell r="L1693" t="str">
            <v>回復タイプ</v>
          </cell>
          <cell r="M1693" t="str">
            <v>human</v>
          </cell>
        </row>
        <row r="1694">
          <cell r="A1694">
            <v>10016</v>
          </cell>
          <cell r="B1694" t="str">
            <v>ja</v>
          </cell>
          <cell r="C1694" t="str">
            <v>テストユニット16</v>
          </cell>
          <cell r="H1694" t="str">
            <v>green</v>
          </cell>
          <cell r="I1694">
            <v>6</v>
          </cell>
          <cell r="J1694" t="str">
            <v>DropWizS</v>
          </cell>
          <cell r="K1694" t="str">
            <v>heal</v>
          </cell>
          <cell r="L1694" t="str">
            <v>回復タイプ</v>
          </cell>
          <cell r="M1694" t="str">
            <v>human</v>
          </cell>
        </row>
        <row r="1695">
          <cell r="A1695">
            <v>10017</v>
          </cell>
          <cell r="B1695" t="str">
            <v>ja</v>
          </cell>
          <cell r="C1695" t="str">
            <v>テストユニット17</v>
          </cell>
          <cell r="H1695" t="str">
            <v>red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10018</v>
          </cell>
          <cell r="B1696" t="str">
            <v>ja</v>
          </cell>
          <cell r="C1696" t="str">
            <v>テストユニット18</v>
          </cell>
          <cell r="H1696" t="str">
            <v>blue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10019</v>
          </cell>
          <cell r="B1697" t="str">
            <v>ja</v>
          </cell>
          <cell r="C1697" t="str">
            <v>テストユニット19</v>
          </cell>
          <cell r="H1697" t="str">
            <v>green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10020</v>
          </cell>
          <cell r="B1698" t="str">
            <v>ja</v>
          </cell>
          <cell r="C1698" t="str">
            <v>テストユニット20</v>
          </cell>
          <cell r="H1698" t="str">
            <v>yellow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10021</v>
          </cell>
          <cell r="B1699" t="str">
            <v>ja</v>
          </cell>
          <cell r="C1699" t="str">
            <v>テストユニット21</v>
          </cell>
          <cell r="H1699" t="str">
            <v>blue</v>
          </cell>
          <cell r="I1699">
            <v>5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10022</v>
          </cell>
          <cell r="B1700" t="str">
            <v>ja</v>
          </cell>
          <cell r="C1700" t="str">
            <v>テストユニット22</v>
          </cell>
          <cell r="H1700" t="str">
            <v>blue</v>
          </cell>
          <cell r="I1700">
            <v>6</v>
          </cell>
          <cell r="J1700" t="str">
            <v>PremiumSSw</v>
          </cell>
          <cell r="K1700" t="str">
            <v>hp</v>
          </cell>
          <cell r="L1700" t="str">
            <v>体力タイプ</v>
          </cell>
          <cell r="M1700" t="str">
            <v>demon</v>
          </cell>
        </row>
        <row r="1701">
          <cell r="A1701">
            <v>10023</v>
          </cell>
          <cell r="B1701" t="str">
            <v>ja</v>
          </cell>
          <cell r="C1701" t="str">
            <v>テストユニット23</v>
          </cell>
          <cell r="H1701" t="str">
            <v>green</v>
          </cell>
          <cell r="I1701">
            <v>5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10024</v>
          </cell>
          <cell r="B1702" t="str">
            <v>ja</v>
          </cell>
          <cell r="C1702" t="str">
            <v>テストユニット24</v>
          </cell>
          <cell r="H1702" t="str">
            <v>green</v>
          </cell>
          <cell r="I1702">
            <v>6</v>
          </cell>
          <cell r="J1702" t="str">
            <v>PremiumSSw</v>
          </cell>
          <cell r="K1702" t="str">
            <v>heal</v>
          </cell>
          <cell r="L1702" t="str">
            <v>回復タイプ</v>
          </cell>
          <cell r="M1702" t="str">
            <v>dragon</v>
          </cell>
        </row>
        <row r="1703">
          <cell r="A1703">
            <v>10025</v>
          </cell>
          <cell r="B1703" t="str">
            <v>ja</v>
          </cell>
          <cell r="C1703" t="str">
            <v>テストユニット25</v>
          </cell>
          <cell r="H1703" t="str">
            <v>red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dragon</v>
          </cell>
        </row>
        <row r="1704">
          <cell r="A1704">
            <v>10026</v>
          </cell>
          <cell r="B1704" t="str">
            <v>ja</v>
          </cell>
          <cell r="C1704" t="str">
            <v>テストユニット26</v>
          </cell>
          <cell r="H1704" t="str">
            <v>red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dragon</v>
          </cell>
        </row>
        <row r="1705">
          <cell r="A1705">
            <v>10027</v>
          </cell>
          <cell r="B1705" t="str">
            <v>ja</v>
          </cell>
          <cell r="C1705" t="str">
            <v>テストユニット27</v>
          </cell>
          <cell r="H1705" t="str">
            <v>green</v>
          </cell>
          <cell r="I1705">
            <v>6</v>
          </cell>
          <cell r="J1705" t="str">
            <v>PremiumSS</v>
          </cell>
          <cell r="K1705" t="str">
            <v>balance</v>
          </cell>
          <cell r="L1705" t="str">
            <v>バランスタイプ</v>
          </cell>
          <cell r="M1705" t="str">
            <v>unknown</v>
          </cell>
        </row>
        <row r="1706">
          <cell r="A1706">
            <v>10028</v>
          </cell>
          <cell r="B1706" t="str">
            <v>ja</v>
          </cell>
          <cell r="C1706" t="str">
            <v>テストユニット28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balance</v>
          </cell>
          <cell r="L1706" t="str">
            <v>バランスタイプ</v>
          </cell>
          <cell r="M1706" t="str">
            <v>unknown</v>
          </cell>
        </row>
        <row r="1707">
          <cell r="A1707">
            <v>10029</v>
          </cell>
          <cell r="B1707" t="str">
            <v>ja</v>
          </cell>
          <cell r="C1707" t="str">
            <v>テストユニット29</v>
          </cell>
          <cell r="H1707" t="str">
            <v>red</v>
          </cell>
          <cell r="I1707">
            <v>6</v>
          </cell>
          <cell r="J1707" t="str">
            <v>PremiumSS</v>
          </cell>
          <cell r="K1707" t="str">
            <v>balance</v>
          </cell>
          <cell r="L1707" t="str">
            <v>バランスタイプ</v>
          </cell>
          <cell r="M1707" t="str">
            <v>unknown</v>
          </cell>
        </row>
        <row r="1708">
          <cell r="A1708">
            <v>10030</v>
          </cell>
          <cell r="B1708" t="str">
            <v>ja</v>
          </cell>
          <cell r="C1708" t="str">
            <v>テストユニット30</v>
          </cell>
          <cell r="H1708" t="str">
            <v>blue</v>
          </cell>
          <cell r="I1708">
            <v>6</v>
          </cell>
          <cell r="J1708" t="str">
            <v>PremiumSS</v>
          </cell>
          <cell r="K1708" t="str">
            <v>balance</v>
          </cell>
          <cell r="L1708" t="str">
            <v>バランスタイプ</v>
          </cell>
          <cell r="M1708" t="str">
            <v>unknown</v>
          </cell>
        </row>
        <row r="1709">
          <cell r="A1709">
            <v>10031</v>
          </cell>
          <cell r="B1709" t="str">
            <v>ja</v>
          </cell>
          <cell r="C1709" t="str">
            <v>テストユニット31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10032</v>
          </cell>
          <cell r="B1710" t="str">
            <v>ja</v>
          </cell>
          <cell r="C1710" t="str">
            <v>テストユニット32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10033</v>
          </cell>
          <cell r="B1711" t="str">
            <v>ja</v>
          </cell>
          <cell r="C1711" t="str">
            <v>テストユニット33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10034</v>
          </cell>
          <cell r="B1712" t="str">
            <v>ja</v>
          </cell>
          <cell r="C1712" t="str">
            <v>テストユニット34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10035</v>
          </cell>
          <cell r="B1713" t="str">
            <v>ja</v>
          </cell>
          <cell r="C1713" t="str">
            <v>テストユニット35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10036</v>
          </cell>
          <cell r="B1714" t="str">
            <v>ja</v>
          </cell>
          <cell r="C1714" t="str">
            <v>テストユニット36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10037</v>
          </cell>
          <cell r="B1715" t="str">
            <v>ja</v>
          </cell>
          <cell r="C1715" t="str">
            <v>テストユニット37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10038</v>
          </cell>
          <cell r="B1716" t="str">
            <v>ja</v>
          </cell>
          <cell r="C1716" t="str">
            <v>テストユニット38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10039</v>
          </cell>
          <cell r="B1717" t="str">
            <v>ja</v>
          </cell>
          <cell r="C1717" t="str">
            <v>テストユニット39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10040</v>
          </cell>
          <cell r="B1718" t="str">
            <v>ja</v>
          </cell>
          <cell r="C1718" t="str">
            <v>テストユニット40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10041</v>
          </cell>
          <cell r="B1719" t="str">
            <v>ja</v>
          </cell>
          <cell r="C1719" t="str">
            <v>テストユニット41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10042</v>
          </cell>
          <cell r="B1720" t="str">
            <v>ja</v>
          </cell>
          <cell r="C1720" t="str">
            <v>テストユニット42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10043</v>
          </cell>
          <cell r="B1721" t="str">
            <v>ja</v>
          </cell>
          <cell r="C1721" t="str">
            <v>テストユニット43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10044</v>
          </cell>
          <cell r="B1722" t="str">
            <v>ja</v>
          </cell>
          <cell r="C1722" t="str">
            <v>テストユニット44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10045</v>
          </cell>
          <cell r="B1723" t="str">
            <v>ja</v>
          </cell>
          <cell r="C1723" t="str">
            <v>テストユニット45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10046</v>
          </cell>
          <cell r="B1724" t="str">
            <v>ja</v>
          </cell>
          <cell r="C1724" t="str">
            <v>テストユニット46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10047</v>
          </cell>
          <cell r="B1725" t="str">
            <v>ja</v>
          </cell>
          <cell r="C1725" t="str">
            <v>テストユニット47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10048</v>
          </cell>
          <cell r="B1726" t="str">
            <v>ja</v>
          </cell>
          <cell r="C1726" t="str">
            <v>テストユニット48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10049</v>
          </cell>
          <cell r="B1727" t="str">
            <v>ja</v>
          </cell>
          <cell r="C1727" t="str">
            <v>テストユニット49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10050</v>
          </cell>
          <cell r="B1728" t="str">
            <v>ja</v>
          </cell>
          <cell r="C1728" t="str">
            <v>テストユニット50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10051</v>
          </cell>
          <cell r="B1729" t="str">
            <v>ja</v>
          </cell>
          <cell r="C1729" t="str">
            <v>テストユニット51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10052</v>
          </cell>
          <cell r="B1730" t="str">
            <v>ja</v>
          </cell>
          <cell r="C1730" t="str">
            <v>テストユニット52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10053</v>
          </cell>
          <cell r="B1731" t="str">
            <v>ja</v>
          </cell>
          <cell r="C1731" t="str">
            <v>テストユニット53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10054</v>
          </cell>
          <cell r="B1732" t="str">
            <v>ja</v>
          </cell>
          <cell r="C1732" t="str">
            <v>テストユニット54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10055</v>
          </cell>
          <cell r="B1733" t="str">
            <v>ja</v>
          </cell>
          <cell r="C1733" t="str">
            <v>テストユニット55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10056</v>
          </cell>
          <cell r="B1734" t="str">
            <v>ja</v>
          </cell>
          <cell r="C1734" t="str">
            <v>テストユニット56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10057</v>
          </cell>
          <cell r="B1735" t="str">
            <v>ja</v>
          </cell>
          <cell r="C1735" t="str">
            <v>テストユニット57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10058</v>
          </cell>
          <cell r="B1736" t="str">
            <v>ja</v>
          </cell>
          <cell r="C1736" t="str">
            <v>テストユニット58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10059</v>
          </cell>
          <cell r="B1737" t="str">
            <v>ja</v>
          </cell>
          <cell r="C1737" t="str">
            <v>テストユニット59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10060</v>
          </cell>
          <cell r="B1738" t="str">
            <v>ja</v>
          </cell>
          <cell r="C1738" t="str">
            <v>テストユニット60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10061</v>
          </cell>
          <cell r="B1739" t="str">
            <v>ja</v>
          </cell>
          <cell r="C1739" t="str">
            <v>テストユニット61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10062</v>
          </cell>
          <cell r="B1740" t="str">
            <v>ja</v>
          </cell>
          <cell r="C1740" t="str">
            <v>テストユニット62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10063</v>
          </cell>
          <cell r="B1741" t="str">
            <v>ja</v>
          </cell>
          <cell r="C1741" t="str">
            <v>テストユニット63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10064</v>
          </cell>
          <cell r="B1742" t="str">
            <v>ja</v>
          </cell>
          <cell r="C1742" t="str">
            <v>テストユニット64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10065</v>
          </cell>
          <cell r="B1743" t="str">
            <v>ja</v>
          </cell>
          <cell r="C1743" t="str">
            <v>テストユニット65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10066</v>
          </cell>
          <cell r="B1744" t="str">
            <v>ja</v>
          </cell>
          <cell r="C1744" t="str">
            <v>テストユニット66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10067</v>
          </cell>
          <cell r="B1745" t="str">
            <v>ja</v>
          </cell>
          <cell r="C1745" t="str">
            <v>テストユニット67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10068</v>
          </cell>
          <cell r="B1746" t="str">
            <v>ja</v>
          </cell>
          <cell r="C1746" t="str">
            <v>テストユニット68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10069</v>
          </cell>
          <cell r="B1747" t="str">
            <v>ja</v>
          </cell>
          <cell r="C1747" t="str">
            <v>テストユニット69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10070</v>
          </cell>
          <cell r="B1748" t="str">
            <v>ja</v>
          </cell>
          <cell r="C1748" t="str">
            <v>テストユニット70</v>
          </cell>
          <cell r="H1748" t="str">
            <v>red</v>
          </cell>
          <cell r="I1748">
            <v>6</v>
          </cell>
          <cell r="J1748" t="str">
            <v>PremiumSSS</v>
          </cell>
          <cell r="K1748" t="str">
            <v>balance</v>
          </cell>
          <cell r="L1748" t="str">
            <v>バランスタイプ</v>
          </cell>
          <cell r="M1748" t="str">
            <v>dragon</v>
          </cell>
        </row>
        <row r="1749">
          <cell r="A1749">
            <v>10071</v>
          </cell>
          <cell r="B1749" t="str">
            <v>ja</v>
          </cell>
          <cell r="C1749" t="str">
            <v>テストユニット71</v>
          </cell>
          <cell r="H1749" t="str">
            <v>red</v>
          </cell>
          <cell r="I1749">
            <v>6</v>
          </cell>
          <cell r="J1749" t="str">
            <v>PremiumSSS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10072</v>
          </cell>
          <cell r="B1750" t="str">
            <v>ja</v>
          </cell>
          <cell r="C1750" t="str">
            <v>テストユニット72</v>
          </cell>
          <cell r="H1750" t="str">
            <v>green</v>
          </cell>
          <cell r="I1750">
            <v>6</v>
          </cell>
          <cell r="J1750" t="str">
            <v>PremiumSSS</v>
          </cell>
          <cell r="K1750" t="str">
            <v>heal</v>
          </cell>
          <cell r="L1750" t="str">
            <v>回復タイプ</v>
          </cell>
          <cell r="M1750" t="str">
            <v>unknown</v>
          </cell>
        </row>
        <row r="1751">
          <cell r="A1751">
            <v>10073</v>
          </cell>
          <cell r="B1751" t="str">
            <v>ja</v>
          </cell>
          <cell r="C1751" t="str">
            <v>テストユニット73</v>
          </cell>
          <cell r="H1751" t="str">
            <v>green</v>
          </cell>
          <cell r="I1751">
            <v>6</v>
          </cell>
          <cell r="J1751" t="str">
            <v>PremiumSSS</v>
          </cell>
          <cell r="K1751" t="str">
            <v>attack</v>
          </cell>
          <cell r="L1751" t="str">
            <v>攻撃タイプ</v>
          </cell>
          <cell r="M1751" t="str">
            <v>samurai</v>
          </cell>
        </row>
        <row r="1752">
          <cell r="A1752">
            <v>10074</v>
          </cell>
          <cell r="B1752" t="str">
            <v>ja</v>
          </cell>
          <cell r="C1752" t="str">
            <v>テストユニット74</v>
          </cell>
          <cell r="H1752" t="str">
            <v>blue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fantasy</v>
          </cell>
        </row>
        <row r="1753">
          <cell r="A1753">
            <v>10075</v>
          </cell>
          <cell r="B1753" t="str">
            <v>ja</v>
          </cell>
          <cell r="C1753" t="str">
            <v>テストユニット75</v>
          </cell>
          <cell r="H1753" t="str">
            <v>blue</v>
          </cell>
          <cell r="I1753">
            <v>6</v>
          </cell>
          <cell r="J1753" t="str">
            <v>PremiumSSS</v>
          </cell>
          <cell r="K1753" t="str">
            <v>balance</v>
          </cell>
          <cell r="L1753" t="str">
            <v>バランスタイプ</v>
          </cell>
          <cell r="M1753" t="str">
            <v>human</v>
          </cell>
        </row>
        <row r="1754">
          <cell r="A1754">
            <v>10076</v>
          </cell>
          <cell r="B1754" t="str">
            <v>ja</v>
          </cell>
          <cell r="C1754" t="str">
            <v>テストユニット76</v>
          </cell>
          <cell r="H1754" t="str">
            <v>blue</v>
          </cell>
          <cell r="I1754">
            <v>6</v>
          </cell>
          <cell r="J1754" t="str">
            <v>PremiumSSS</v>
          </cell>
          <cell r="K1754" t="str">
            <v>hp</v>
          </cell>
          <cell r="L1754" t="str">
            <v>体力タイプ</v>
          </cell>
          <cell r="M1754" t="str">
            <v>weapon</v>
          </cell>
        </row>
        <row r="1755">
          <cell r="A1755">
            <v>10077</v>
          </cell>
          <cell r="B1755" t="str">
            <v>ja</v>
          </cell>
          <cell r="C1755" t="str">
            <v>テストユニット77</v>
          </cell>
          <cell r="H1755" t="str">
            <v>yellow</v>
          </cell>
          <cell r="I1755">
            <v>6</v>
          </cell>
          <cell r="J1755" t="str">
            <v>PremiumSSS</v>
          </cell>
          <cell r="K1755" t="str">
            <v>heal</v>
          </cell>
          <cell r="L1755" t="str">
            <v>回復タイプ</v>
          </cell>
          <cell r="M1755" t="str">
            <v>queen</v>
          </cell>
        </row>
        <row r="1756">
          <cell r="A1756">
            <v>10078</v>
          </cell>
          <cell r="B1756" t="str">
            <v>ja</v>
          </cell>
          <cell r="C1756" t="str">
            <v>テストユニット78</v>
          </cell>
          <cell r="H1756" t="str">
            <v>yellow</v>
          </cell>
          <cell r="I1756">
            <v>6</v>
          </cell>
          <cell r="J1756" t="str">
            <v>PremiumSSS</v>
          </cell>
          <cell r="K1756" t="str">
            <v>attack</v>
          </cell>
          <cell r="L1756" t="str">
            <v>攻撃タイプ</v>
          </cell>
          <cell r="M1756" t="str">
            <v>academia</v>
          </cell>
        </row>
        <row r="1757">
          <cell r="A1757">
            <v>10079</v>
          </cell>
          <cell r="B1757" t="str">
            <v>ja</v>
          </cell>
          <cell r="C1757" t="str">
            <v>テストユニット79</v>
          </cell>
          <cell r="H1757" t="str">
            <v>yellow</v>
          </cell>
          <cell r="I1757">
            <v>6</v>
          </cell>
          <cell r="J1757" t="str">
            <v>PremiumSSS</v>
          </cell>
          <cell r="K1757" t="str">
            <v>technical</v>
          </cell>
          <cell r="L1757" t="str">
            <v>テクニカルタイプ</v>
          </cell>
          <cell r="M1757" t="str">
            <v>animal</v>
          </cell>
        </row>
        <row r="1758">
          <cell r="A1758">
            <v>10080</v>
          </cell>
          <cell r="B1758" t="str">
            <v>ja</v>
          </cell>
          <cell r="C1758" t="str">
            <v>テストユニット80</v>
          </cell>
          <cell r="H1758" t="str">
            <v>yellow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10081</v>
          </cell>
          <cell r="B1759" t="str">
            <v>ja</v>
          </cell>
          <cell r="C1759" t="str">
            <v>テストユニット81</v>
          </cell>
          <cell r="H1759" t="str">
            <v>red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10082</v>
          </cell>
          <cell r="B1760" t="str">
            <v>ja</v>
          </cell>
          <cell r="C1760" t="str">
            <v>テストユニット82</v>
          </cell>
          <cell r="H1760" t="str">
            <v>blue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10083</v>
          </cell>
          <cell r="B1761" t="str">
            <v>ja</v>
          </cell>
          <cell r="C1761" t="str">
            <v>テストユニット83</v>
          </cell>
          <cell r="H1761" t="str">
            <v>green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10084</v>
          </cell>
          <cell r="B1762" t="str">
            <v>ja</v>
          </cell>
          <cell r="C1762" t="str">
            <v>テストユニット84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10085</v>
          </cell>
          <cell r="B1763" t="str">
            <v>ja</v>
          </cell>
          <cell r="C1763" t="str">
            <v>テストユニット85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10086</v>
          </cell>
          <cell r="B1764" t="str">
            <v>ja</v>
          </cell>
          <cell r="C1764" t="str">
            <v>テストユニット86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10087</v>
          </cell>
          <cell r="B1765" t="str">
            <v>ja</v>
          </cell>
          <cell r="C1765" t="str">
            <v>テストユニット87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10088</v>
          </cell>
          <cell r="B1766" t="str">
            <v>ja</v>
          </cell>
          <cell r="C1766" t="str">
            <v>テストユニット88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10089</v>
          </cell>
          <cell r="B1767" t="str">
            <v>ja</v>
          </cell>
          <cell r="C1767" t="str">
            <v>テストユニット89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10090</v>
          </cell>
          <cell r="B1768" t="str">
            <v>ja</v>
          </cell>
          <cell r="C1768" t="str">
            <v>テストユニット90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10101</v>
          </cell>
          <cell r="B1769" t="str">
            <v>ja</v>
          </cell>
          <cell r="C1769" t="str">
            <v>Usagi-kun</v>
          </cell>
          <cell r="H1769" t="str">
            <v>blue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10102</v>
          </cell>
          <cell r="B1770" t="str">
            <v>ja</v>
          </cell>
          <cell r="C1770" t="str">
            <v>ローズ</v>
          </cell>
          <cell r="D1770" t="str">
            <v>未定</v>
          </cell>
          <cell r="E1770" t="str">
            <v>執行者</v>
          </cell>
          <cell r="F1770" t="str">
            <v>格好いい</v>
          </cell>
          <cell r="G1770" t="str">
            <v>不明</v>
          </cell>
          <cell r="H1770" t="str">
            <v>red</v>
          </cell>
          <cell r="I1770">
            <v>3</v>
          </cell>
          <cell r="J1770" t="str">
            <v>DropWizSSS</v>
          </cell>
          <cell r="K1770" t="str">
            <v>attack</v>
          </cell>
          <cell r="L1770" t="str">
            <v>攻撃タイプ</v>
          </cell>
          <cell r="M1770" t="str">
            <v>queen</v>
          </cell>
        </row>
        <row r="1771">
          <cell r="A1771">
            <v>10103</v>
          </cell>
          <cell r="B1771" t="str">
            <v>ja</v>
          </cell>
          <cell r="C1771" t="str">
            <v>ローズ</v>
          </cell>
          <cell r="D1771" t="str">
            <v>未定</v>
          </cell>
          <cell r="E1771" t="str">
            <v>執行者</v>
          </cell>
          <cell r="F1771" t="str">
            <v>格好いい</v>
          </cell>
          <cell r="G1771" t="str">
            <v>不明</v>
          </cell>
          <cell r="H1771" t="str">
            <v>red</v>
          </cell>
          <cell r="I1771">
            <v>4</v>
          </cell>
          <cell r="J1771" t="str">
            <v>DropWizSSS</v>
          </cell>
          <cell r="K1771" t="str">
            <v>attack</v>
          </cell>
          <cell r="L1771" t="str">
            <v>攻撃タイプ</v>
          </cell>
          <cell r="M1771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1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1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G6" sqref="G6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55" t="s">
        <v>122</v>
      </c>
      <c r="B2" s="53" t="s">
        <v>121</v>
      </c>
      <c r="C2" s="29" t="str">
        <f>RIGHT(F2,7)</f>
        <v>7121100</v>
      </c>
      <c r="D2" s="18" t="s">
        <v>18</v>
      </c>
      <c r="E2" s="16" t="str">
        <f t="shared" ref="E2" si="0">B2&amp;C2&amp;D2</f>
        <v>gacha_select_tables_7121100.tmp</v>
      </c>
      <c r="F2" s="54" t="s">
        <v>123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53" t="s">
        <v>121</v>
      </c>
      <c r="C3" s="29" t="str">
        <f>RIGHT(F3,7)</f>
        <v>7225100</v>
      </c>
      <c r="D3" s="18" t="s">
        <v>18</v>
      </c>
      <c r="E3" s="16" t="str">
        <f t="shared" ref="E3:E6" si="1">B3&amp;C3&amp;D3</f>
        <v>gacha_select_tables_7225100.tmp</v>
      </c>
      <c r="F3" s="56" t="s">
        <v>124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55" t="s">
        <v>122</v>
      </c>
      <c r="B4" s="53" t="s">
        <v>121</v>
      </c>
      <c r="C4" s="29" t="str">
        <f>RIGHT(F4,7)</f>
        <v>7121100</v>
      </c>
      <c r="D4" s="18" t="s">
        <v>18</v>
      </c>
      <c r="E4" s="16" t="str">
        <f t="shared" si="1"/>
        <v>gacha_select_tables_7121100.tmp</v>
      </c>
      <c r="F4" s="54" t="s">
        <v>123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55" t="s">
        <v>122</v>
      </c>
      <c r="B5" s="53" t="s">
        <v>121</v>
      </c>
      <c r="C5" s="29" t="str">
        <f>RIGHT(F5,7)</f>
        <v>7121100</v>
      </c>
      <c r="D5" s="18" t="s">
        <v>18</v>
      </c>
      <c r="E5" s="16" t="str">
        <f t="shared" si="1"/>
        <v>gacha_select_tables_7121100.tmp</v>
      </c>
      <c r="F5" s="54" t="s">
        <v>123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  <row r="6" spans="1:21" x14ac:dyDescent="0.15">
      <c r="A6" s="55" t="s">
        <v>122</v>
      </c>
      <c r="B6" s="53" t="s">
        <v>121</v>
      </c>
      <c r="C6" s="29" t="str">
        <f>RIGHT(F6,7)</f>
        <v>7121100</v>
      </c>
      <c r="D6" s="18" t="s">
        <v>18</v>
      </c>
      <c r="E6" s="16" t="str">
        <f t="shared" si="1"/>
        <v>gacha_select_tables_7121100.tmp</v>
      </c>
      <c r="F6" s="54" t="s">
        <v>123</v>
      </c>
      <c r="G6" s="28" t="s">
        <v>28</v>
      </c>
      <c r="H6" s="19" t="s">
        <v>0</v>
      </c>
      <c r="I6" s="19" t="s">
        <v>2</v>
      </c>
      <c r="J6" s="19" t="s">
        <v>3</v>
      </c>
      <c r="K6" s="19" t="s">
        <v>4</v>
      </c>
      <c r="L6" s="19" t="s">
        <v>5</v>
      </c>
      <c r="M6" s="19" t="s">
        <v>6</v>
      </c>
      <c r="N6" s="19" t="s">
        <v>7</v>
      </c>
      <c r="O6" s="19" t="s">
        <v>8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335"/>
  <sheetViews>
    <sheetView showGridLines="0" tabSelected="1" workbookViewId="0">
      <pane ySplit="1" topLeftCell="A2" activePane="bottomLeft" state="frozen"/>
      <selection activeCell="E6" sqref="E6"/>
      <selection pane="bottomLeft" activeCell="E7" sqref="E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7225100</v>
      </c>
      <c r="B2" s="6">
        <v>1073</v>
      </c>
      <c r="C2" s="7" t="str">
        <f t="shared" ref="C2:C5" si="0"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静穏なる獣勇 エンキドゥ</v>
      </c>
      <c r="I2" s="7" t="str">
        <f>VLOOKUP(B2,[1]characters!$A:$J,10,FALSE)</f>
        <v>PremiumSSw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7">
        <f t="shared" ref="O2:O5" si="1">((IF(D2="premium",27075,1805))/1805)*10</f>
        <v>10</v>
      </c>
      <c r="P2" s="27">
        <f t="shared" ref="P2:P5" si="2">O2/SUM(O:O)</f>
        <v>0.1111111111111111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7225100</v>
      </c>
      <c r="B3" s="6">
        <v>1103</v>
      </c>
      <c r="C3" s="7" t="str">
        <f t="shared" si="0"/>
        <v>PremiumSS6R5only</v>
      </c>
      <c r="D3" s="7" t="str">
        <f t="shared" ref="D3:D5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舞台裏の鼠展 ドガ</v>
      </c>
      <c r="I3" s="7" t="str">
        <f>VLOOKUP(B3,[1]characters!$A:$J,10,FALSE)</f>
        <v>PremiumSSw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不明</v>
      </c>
      <c r="O3" s="7">
        <f t="shared" si="1"/>
        <v>10</v>
      </c>
      <c r="P3" s="27">
        <f t="shared" si="2"/>
        <v>0.1111111111111111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7225100</v>
      </c>
      <c r="B4" s="6">
        <v>1138</v>
      </c>
      <c r="C4" s="7" t="str">
        <f t="shared" si="0"/>
        <v>PremiumSS6R5only</v>
      </c>
      <c r="D4" s="7" t="str">
        <f t="shared" si="3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神算鬼謀の宰相 諸葛亮</v>
      </c>
      <c r="I4" s="7" t="str">
        <f>VLOOKUP(B4,[1]characters!$A:$J,10,FALSE)</f>
        <v>PremiumSSw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technical</v>
      </c>
      <c r="M4" s="7" t="str">
        <f>VLOOKUP(B4,[1]characters!$A:$M,13,FALSE)</f>
        <v>samurai</v>
      </c>
      <c r="N4" s="7" t="str">
        <f>VLOOKUP(B4,[1]characters!$A:$G,7,FALSE)</f>
        <v>不明</v>
      </c>
      <c r="O4" s="7">
        <f t="shared" si="1"/>
        <v>10</v>
      </c>
      <c r="P4" s="27">
        <f t="shared" si="2"/>
        <v>0.1111111111111111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7225100</v>
      </c>
      <c r="B5" s="6">
        <v>1154</v>
      </c>
      <c r="C5" s="7" t="str">
        <f t="shared" si="0"/>
        <v>PremiumSS6R5only</v>
      </c>
      <c r="D5" s="7" t="str">
        <f t="shared" si="3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幸吹の蓮華粧 ラクシュミー</v>
      </c>
      <c r="I5" s="7" t="str">
        <f>VLOOKUP(B5,[1]characters!$A:$J,10,FALSE)</f>
        <v>PremiumSSw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不明</v>
      </c>
      <c r="O5" s="7">
        <f t="shared" si="1"/>
        <v>10</v>
      </c>
      <c r="P5" s="27">
        <f t="shared" si="2"/>
        <v>0.1111111111111111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7225100</v>
      </c>
      <c r="B6" s="6">
        <v>1215</v>
      </c>
      <c r="C6" s="7" t="str">
        <f t="shared" ref="C6:C10" si="4">D6&amp;J6&amp;E6&amp;F6&amp;G6</f>
        <v>PremiumSS6R5only</v>
      </c>
      <c r="D6" s="7" t="str">
        <f t="shared" ref="D6:D10" si="5">IF(OR(I6="PremiumSS",I6="PremiumSSw"),"PremiumSS",IF(I6="PremiumSSS",I6,IF(I6="PremiumW",IF(J6=5,"premium",I6),"Premium")))</f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穿潮の雷月神 アルテミス</v>
      </c>
      <c r="I6" s="7" t="str">
        <f>VLOOKUP(B6,[1]characters!$A:$J,10,FALSE)</f>
        <v>PremiumSSw</v>
      </c>
      <c r="J6" s="7">
        <f>VLOOKUP(B6,[1]characters!$A:$I,9,FALSE)</f>
        <v>6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god</v>
      </c>
      <c r="N6" s="7">
        <f>VLOOKUP(B6,[1]characters!$A:$G,7,FALSE)</f>
        <v>0</v>
      </c>
      <c r="O6" s="7">
        <f t="shared" ref="O6:O10" si="6">((IF(D6="premium",27075,1805))/1805)*10</f>
        <v>10</v>
      </c>
      <c r="P6" s="27">
        <f t="shared" ref="P6:P10" si="7">O6/SUM(O:O)</f>
        <v>0.1111111111111111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7225100</v>
      </c>
      <c r="B7" s="6">
        <v>1229</v>
      </c>
      <c r="C7" s="7" t="str">
        <f t="shared" si="4"/>
        <v>PremiumSS6R5only</v>
      </c>
      <c r="D7" s="7" t="str">
        <f t="shared" si="5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羅生の鬼我 芥川龍之介</v>
      </c>
      <c r="I7" s="7" t="str">
        <f>VLOOKUP(B7,[1]characters!$A:$J,10,FALSE)</f>
        <v>PremiumSSw</v>
      </c>
      <c r="J7" s="7">
        <f>VLOOKUP(B7,[1]characters!$A:$I,9,FALSE)</f>
        <v>6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human</v>
      </c>
      <c r="N7" s="7">
        <f>VLOOKUP(B7,[1]characters!$A:$G,7,FALSE)</f>
        <v>0</v>
      </c>
      <c r="O7" s="7">
        <f t="shared" si="6"/>
        <v>10</v>
      </c>
      <c r="P7" s="27">
        <f t="shared" si="7"/>
        <v>0.1111111111111111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7225100</v>
      </c>
      <c r="B8" s="6">
        <v>1251</v>
      </c>
      <c r="C8" s="7" t="str">
        <f t="shared" si="4"/>
        <v>PremiumSS6R5only</v>
      </c>
      <c r="D8" s="7" t="str">
        <f t="shared" si="5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錯槍の英勇 真田幸村</v>
      </c>
      <c r="I8" s="7" t="str">
        <f>VLOOKUP(B8,[1]characters!$A:$J,10,FALSE)</f>
        <v>PremiumSSw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>
        <f>VLOOKUP(B8,[1]characters!$A:$G,7,FALSE)</f>
        <v>0</v>
      </c>
      <c r="O8" s="7">
        <f t="shared" si="6"/>
        <v>10</v>
      </c>
      <c r="P8" s="27">
        <f t="shared" si="7"/>
        <v>0.1111111111111111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7225100</v>
      </c>
      <c r="B9" s="6">
        <v>1263</v>
      </c>
      <c r="C9" s="7" t="str">
        <f t="shared" si="4"/>
        <v>PremiumSS6R5only</v>
      </c>
      <c r="D9" s="7" t="str">
        <f t="shared" si="5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純朴なる檻理人 イズン</v>
      </c>
      <c r="I9" s="7" t="str">
        <f>VLOOKUP(B9,[1]characters!$A:$J,10,FALSE)</f>
        <v>PremiumSSw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heal</v>
      </c>
      <c r="M9" s="7" t="str">
        <f>VLOOKUP(B9,[1]characters!$A:$M,13,FALSE)</f>
        <v>god</v>
      </c>
      <c r="N9" s="7">
        <f>VLOOKUP(B9,[1]characters!$A:$G,7,FALSE)</f>
        <v>0</v>
      </c>
      <c r="O9" s="7">
        <f t="shared" si="6"/>
        <v>10</v>
      </c>
      <c r="P9" s="27">
        <f t="shared" si="7"/>
        <v>0.1111111111111111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7225100</v>
      </c>
      <c r="B10" s="6">
        <v>1333</v>
      </c>
      <c r="C10" s="7" t="str">
        <f t="shared" si="4"/>
        <v>PremiumSS6R5only</v>
      </c>
      <c r="D10" s="7" t="str">
        <f t="shared" si="5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神心を射る穂神 クシナダヒメ</v>
      </c>
      <c r="I10" s="7" t="str">
        <f>VLOOKUP(B10,[1]characters!$A:$J,10,FALSE)</f>
        <v>PremiumSSw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god</v>
      </c>
      <c r="N10" s="7">
        <f>VLOOKUP(B10,[1]characters!$A:$G,7,FALSE)</f>
        <v>0</v>
      </c>
      <c r="O10" s="7">
        <f t="shared" si="6"/>
        <v>10</v>
      </c>
      <c r="P10" s="27">
        <f t="shared" si="7"/>
        <v>0.1111111111111111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26"/>
      <c r="P36" s="27"/>
      <c r="Q36" s="22"/>
      <c r="R36" s="22"/>
      <c r="S36" s="22"/>
      <c r="T36" s="22"/>
      <c r="U36" s="22"/>
      <c r="V36" s="22"/>
    </row>
    <row r="37" spans="1:22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1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tables_7225100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2017-04-04T10:41:48Z</dcterms:modified>
</cp:coreProperties>
</file>