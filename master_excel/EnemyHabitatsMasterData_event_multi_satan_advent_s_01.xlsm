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3720" yWindow="460" windowWidth="28800" windowHeight="196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stage_hints_failure!$B$1:$M$3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8" i="11" l="1"/>
  <c r="J101" i="1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2" i="21"/>
  <c r="I2" i="21"/>
  <c r="J2" i="21"/>
  <c r="G2" i="21"/>
  <c r="F2" i="21"/>
  <c r="D2" i="21"/>
  <c r="C2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7" i="21"/>
  <c r="I7" i="21"/>
  <c r="J7" i="21"/>
  <c r="G7" i="21"/>
  <c r="F7" i="21"/>
  <c r="D7" i="21"/>
  <c r="C7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G83" i="10"/>
  <c r="H83" i="10"/>
  <c r="I83" i="10"/>
  <c r="J83" i="10"/>
  <c r="K83" i="10"/>
  <c r="L83" i="10"/>
  <c r="M83" i="10"/>
  <c r="M93" i="10"/>
  <c r="M103" i="10"/>
  <c r="M113" i="10"/>
  <c r="M123" i="10"/>
  <c r="M133" i="10"/>
  <c r="N133" i="10"/>
  <c r="Q133" i="10"/>
  <c r="P133" i="10"/>
  <c r="R133" i="10"/>
  <c r="O133" i="10"/>
  <c r="S133" i="10"/>
  <c r="N123" i="10"/>
  <c r="Q123" i="10"/>
  <c r="P123" i="10"/>
  <c r="R123" i="10"/>
  <c r="O123" i="10"/>
  <c r="S123" i="10"/>
  <c r="N113" i="10"/>
  <c r="Q113" i="10"/>
  <c r="P113" i="10"/>
  <c r="R113" i="10"/>
  <c r="O113" i="10"/>
  <c r="S113" i="10"/>
  <c r="N103" i="10"/>
  <c r="Q103" i="10"/>
  <c r="P103" i="10"/>
  <c r="R103" i="10"/>
  <c r="O103" i="10"/>
  <c r="S103" i="10"/>
  <c r="N93" i="10"/>
  <c r="Q93" i="10"/>
  <c r="P93" i="10"/>
  <c r="R93" i="10"/>
  <c r="O93" i="10"/>
  <c r="S9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G84" i="10"/>
  <c r="H84" i="10"/>
  <c r="I84" i="10"/>
  <c r="J84" i="10"/>
  <c r="K84" i="10"/>
  <c r="L84" i="10"/>
  <c r="M84" i="10"/>
  <c r="M94" i="10"/>
  <c r="M104" i="10"/>
  <c r="M114" i="10"/>
  <c r="M124" i="10"/>
  <c r="M134" i="10"/>
  <c r="N134" i="10"/>
  <c r="Q134" i="10"/>
  <c r="P134" i="10"/>
  <c r="R134" i="10"/>
  <c r="O134" i="10"/>
  <c r="S134" i="10"/>
  <c r="N124" i="10"/>
  <c r="Q124" i="10"/>
  <c r="P124" i="10"/>
  <c r="R124" i="10"/>
  <c r="O124" i="10"/>
  <c r="S124" i="10"/>
  <c r="N114" i="10"/>
  <c r="Q114" i="10"/>
  <c r="P114" i="10"/>
  <c r="R114" i="10"/>
  <c r="O114" i="10"/>
  <c r="S114" i="10"/>
  <c r="N104" i="10"/>
  <c r="Q104" i="10"/>
  <c r="P104" i="10"/>
  <c r="R104" i="10"/>
  <c r="O104" i="10"/>
  <c r="S104" i="10"/>
  <c r="N94" i="10"/>
  <c r="Q94" i="10"/>
  <c r="P94" i="10"/>
  <c r="R94" i="10"/>
  <c r="O94" i="10"/>
  <c r="S9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G85" i="10"/>
  <c r="H85" i="10"/>
  <c r="I85" i="10"/>
  <c r="J85" i="10"/>
  <c r="K85" i="10"/>
  <c r="L85" i="10"/>
  <c r="M85" i="10"/>
  <c r="M95" i="10"/>
  <c r="M105" i="10"/>
  <c r="M115" i="10"/>
  <c r="M125" i="10"/>
  <c r="M135" i="10"/>
  <c r="N135" i="10"/>
  <c r="Q135" i="10"/>
  <c r="P135" i="10"/>
  <c r="R135" i="10"/>
  <c r="O135" i="10"/>
  <c r="S135" i="10"/>
  <c r="N125" i="10"/>
  <c r="Q125" i="10"/>
  <c r="P125" i="10"/>
  <c r="R125" i="10"/>
  <c r="O125" i="10"/>
  <c r="S125" i="10"/>
  <c r="N115" i="10"/>
  <c r="Q115" i="10"/>
  <c r="P115" i="10"/>
  <c r="R115" i="10"/>
  <c r="O115" i="10"/>
  <c r="S115" i="10"/>
  <c r="N105" i="10"/>
  <c r="Q105" i="10"/>
  <c r="P105" i="10"/>
  <c r="R105" i="10"/>
  <c r="O105" i="10"/>
  <c r="S105" i="10"/>
  <c r="N95" i="10"/>
  <c r="Q95" i="10"/>
  <c r="P95" i="10"/>
  <c r="R95" i="10"/>
  <c r="O95" i="10"/>
  <c r="S9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G86" i="10"/>
  <c r="H86" i="10"/>
  <c r="I86" i="10"/>
  <c r="J86" i="10"/>
  <c r="K86" i="10"/>
  <c r="L86" i="10"/>
  <c r="M86" i="10"/>
  <c r="M96" i="10"/>
  <c r="M106" i="10"/>
  <c r="M116" i="10"/>
  <c r="M126" i="10"/>
  <c r="M136" i="10"/>
  <c r="N136" i="10"/>
  <c r="Q136" i="10"/>
  <c r="P136" i="10"/>
  <c r="R136" i="10"/>
  <c r="O136" i="10"/>
  <c r="S136" i="10"/>
  <c r="N126" i="10"/>
  <c r="Q126" i="10"/>
  <c r="P126" i="10"/>
  <c r="R126" i="10"/>
  <c r="O126" i="10"/>
  <c r="S126" i="10"/>
  <c r="N116" i="10"/>
  <c r="Q116" i="10"/>
  <c r="P116" i="10"/>
  <c r="R116" i="10"/>
  <c r="O116" i="10"/>
  <c r="S116" i="10"/>
  <c r="N106" i="10"/>
  <c r="Q106" i="10"/>
  <c r="P106" i="10"/>
  <c r="R106" i="10"/>
  <c r="O106" i="10"/>
  <c r="S106" i="10"/>
  <c r="N96" i="10"/>
  <c r="Q96" i="10"/>
  <c r="P96" i="10"/>
  <c r="R96" i="10"/>
  <c r="O96" i="10"/>
  <c r="S9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G87" i="10"/>
  <c r="H87" i="10"/>
  <c r="I87" i="10"/>
  <c r="J87" i="10"/>
  <c r="K87" i="10"/>
  <c r="L87" i="10"/>
  <c r="M87" i="10"/>
  <c r="M97" i="10"/>
  <c r="M107" i="10"/>
  <c r="M117" i="10"/>
  <c r="M127" i="10"/>
  <c r="M137" i="10"/>
  <c r="N137" i="10"/>
  <c r="Q137" i="10"/>
  <c r="P137" i="10"/>
  <c r="R137" i="10"/>
  <c r="O137" i="10"/>
  <c r="S137" i="10"/>
  <c r="N127" i="10"/>
  <c r="Q127" i="10"/>
  <c r="P127" i="10"/>
  <c r="R127" i="10"/>
  <c r="O127" i="10"/>
  <c r="S127" i="10"/>
  <c r="N117" i="10"/>
  <c r="Q117" i="10"/>
  <c r="P117" i="10"/>
  <c r="R117" i="10"/>
  <c r="O117" i="10"/>
  <c r="S117" i="10"/>
  <c r="N107" i="10"/>
  <c r="Q107" i="10"/>
  <c r="P107" i="10"/>
  <c r="R107" i="10"/>
  <c r="O107" i="10"/>
  <c r="S107" i="10"/>
  <c r="N97" i="10"/>
  <c r="Q97" i="10"/>
  <c r="P97" i="10"/>
  <c r="R97" i="10"/>
  <c r="O97" i="10"/>
  <c r="S9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G88" i="10"/>
  <c r="H88" i="10"/>
  <c r="I88" i="10"/>
  <c r="J88" i="10"/>
  <c r="K88" i="10"/>
  <c r="L88" i="10"/>
  <c r="M88" i="10"/>
  <c r="M98" i="10"/>
  <c r="M108" i="10"/>
  <c r="M118" i="10"/>
  <c r="M128" i="10"/>
  <c r="M138" i="10"/>
  <c r="N138" i="10"/>
  <c r="Q138" i="10"/>
  <c r="P138" i="10"/>
  <c r="R138" i="10"/>
  <c r="O138" i="10"/>
  <c r="S138" i="10"/>
  <c r="N128" i="10"/>
  <c r="Q128" i="10"/>
  <c r="P128" i="10"/>
  <c r="R128" i="10"/>
  <c r="O128" i="10"/>
  <c r="S128" i="10"/>
  <c r="N118" i="10"/>
  <c r="Q118" i="10"/>
  <c r="P118" i="10"/>
  <c r="R118" i="10"/>
  <c r="O118" i="10"/>
  <c r="S118" i="10"/>
  <c r="N108" i="10"/>
  <c r="Q108" i="10"/>
  <c r="P108" i="10"/>
  <c r="R108" i="10"/>
  <c r="O108" i="10"/>
  <c r="S108" i="10"/>
  <c r="N98" i="10"/>
  <c r="Q98" i="10"/>
  <c r="P98" i="10"/>
  <c r="R98" i="10"/>
  <c r="O98" i="10"/>
  <c r="S9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G89" i="10"/>
  <c r="H89" i="10"/>
  <c r="I89" i="10"/>
  <c r="J89" i="10"/>
  <c r="K89" i="10"/>
  <c r="L89" i="10"/>
  <c r="M89" i="10"/>
  <c r="M99" i="10"/>
  <c r="M109" i="10"/>
  <c r="M119" i="10"/>
  <c r="M129" i="10"/>
  <c r="M139" i="10"/>
  <c r="N139" i="10"/>
  <c r="Q139" i="10"/>
  <c r="P139" i="10"/>
  <c r="R139" i="10"/>
  <c r="O139" i="10"/>
  <c r="S139" i="10"/>
  <c r="N129" i="10"/>
  <c r="Q129" i="10"/>
  <c r="P129" i="10"/>
  <c r="R129" i="10"/>
  <c r="O129" i="10"/>
  <c r="S129" i="10"/>
  <c r="N119" i="10"/>
  <c r="Q119" i="10"/>
  <c r="P119" i="10"/>
  <c r="R119" i="10"/>
  <c r="O119" i="10"/>
  <c r="S119" i="10"/>
  <c r="N109" i="10"/>
  <c r="Q109" i="10"/>
  <c r="P109" i="10"/>
  <c r="R109" i="10"/>
  <c r="O109" i="10"/>
  <c r="S109" i="10"/>
  <c r="N99" i="10"/>
  <c r="Q99" i="10"/>
  <c r="P99" i="10"/>
  <c r="R99" i="10"/>
  <c r="O99" i="10"/>
  <c r="S9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G90" i="10"/>
  <c r="H90" i="10"/>
  <c r="I90" i="10"/>
  <c r="J90" i="10"/>
  <c r="K90" i="10"/>
  <c r="L90" i="10"/>
  <c r="M90" i="10"/>
  <c r="M100" i="10"/>
  <c r="M110" i="10"/>
  <c r="M120" i="10"/>
  <c r="M130" i="10"/>
  <c r="M140" i="10"/>
  <c r="N140" i="10"/>
  <c r="Q140" i="10"/>
  <c r="P140" i="10"/>
  <c r="R140" i="10"/>
  <c r="O140" i="10"/>
  <c r="S140" i="10"/>
  <c r="N130" i="10"/>
  <c r="Q130" i="10"/>
  <c r="P130" i="10"/>
  <c r="R130" i="10"/>
  <c r="O130" i="10"/>
  <c r="S130" i="10"/>
  <c r="N120" i="10"/>
  <c r="Q120" i="10"/>
  <c r="P120" i="10"/>
  <c r="R120" i="10"/>
  <c r="O120" i="10"/>
  <c r="S120" i="10"/>
  <c r="N110" i="10"/>
  <c r="Q110" i="10"/>
  <c r="P110" i="10"/>
  <c r="R110" i="10"/>
  <c r="O110" i="10"/>
  <c r="S110" i="10"/>
  <c r="N100" i="10"/>
  <c r="Q100" i="10"/>
  <c r="P100" i="10"/>
  <c r="R100" i="10"/>
  <c r="O100" i="10"/>
  <c r="S10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G91" i="10"/>
  <c r="H91" i="10"/>
  <c r="I91" i="10"/>
  <c r="J91" i="10"/>
  <c r="K91" i="10"/>
  <c r="L91" i="10"/>
  <c r="M91" i="10"/>
  <c r="M101" i="10"/>
  <c r="M111" i="10"/>
  <c r="M121" i="10"/>
  <c r="M131" i="10"/>
  <c r="M141" i="10"/>
  <c r="N141" i="10"/>
  <c r="Q141" i="10"/>
  <c r="P141" i="10"/>
  <c r="R141" i="10"/>
  <c r="O141" i="10"/>
  <c r="S141" i="10"/>
  <c r="N131" i="10"/>
  <c r="Q131" i="10"/>
  <c r="P131" i="10"/>
  <c r="R131" i="10"/>
  <c r="O131" i="10"/>
  <c r="S131" i="10"/>
  <c r="N121" i="10"/>
  <c r="Q121" i="10"/>
  <c r="P121" i="10"/>
  <c r="R121" i="10"/>
  <c r="O121" i="10"/>
  <c r="S121" i="10"/>
  <c r="N111" i="10"/>
  <c r="Q111" i="10"/>
  <c r="P111" i="10"/>
  <c r="R111" i="10"/>
  <c r="O111" i="10"/>
  <c r="S111" i="10"/>
  <c r="N101" i="10"/>
  <c r="Q101" i="10"/>
  <c r="P101" i="10"/>
  <c r="R101" i="10"/>
  <c r="O101" i="10"/>
  <c r="S10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G92" i="10"/>
  <c r="H92" i="10"/>
  <c r="I92" i="10"/>
  <c r="J92" i="10"/>
  <c r="K92" i="10"/>
  <c r="L92" i="10"/>
  <c r="M92" i="10"/>
  <c r="M102" i="10"/>
  <c r="M112" i="10"/>
  <c r="M122" i="10"/>
  <c r="M132" i="10"/>
  <c r="M142" i="10"/>
  <c r="N142" i="10"/>
  <c r="Q142" i="10"/>
  <c r="P142" i="10"/>
  <c r="R142" i="10"/>
  <c r="O142" i="10"/>
  <c r="S142" i="10"/>
  <c r="N132" i="10"/>
  <c r="Q132" i="10"/>
  <c r="P132" i="10"/>
  <c r="R132" i="10"/>
  <c r="O132" i="10"/>
  <c r="S132" i="10"/>
  <c r="N122" i="10"/>
  <c r="Q122" i="10"/>
  <c r="P122" i="10"/>
  <c r="R122" i="10"/>
  <c r="O122" i="10"/>
  <c r="S122" i="10"/>
  <c r="N112" i="10"/>
  <c r="Q112" i="10"/>
  <c r="P112" i="10"/>
  <c r="R112" i="10"/>
  <c r="O112" i="10"/>
  <c r="S112" i="10"/>
  <c r="N102" i="10"/>
  <c r="Q102" i="10"/>
  <c r="P102" i="10"/>
  <c r="R102" i="10"/>
  <c r="O102" i="10"/>
  <c r="S102" i="10"/>
  <c r="N92" i="10"/>
  <c r="O92" i="10"/>
  <c r="P92" i="10"/>
  <c r="Q92" i="10"/>
  <c r="R92" i="10"/>
  <c r="S92" i="10"/>
  <c r="T92" i="10"/>
  <c r="U92" i="10"/>
  <c r="V92" i="10"/>
  <c r="W92" i="10"/>
  <c r="X92" i="10"/>
  <c r="Y92" i="10"/>
  <c r="G93" i="10"/>
  <c r="H93" i="10"/>
  <c r="I93" i="10"/>
  <c r="J93" i="10"/>
  <c r="K93" i="10"/>
  <c r="L93" i="10"/>
  <c r="T93" i="10"/>
  <c r="U93" i="10"/>
  <c r="V93" i="10"/>
  <c r="W93" i="10"/>
  <c r="X93" i="10"/>
  <c r="Y93" i="10"/>
  <c r="G94" i="10"/>
  <c r="H94" i="10"/>
  <c r="I94" i="10"/>
  <c r="J94" i="10"/>
  <c r="K94" i="10"/>
  <c r="L94" i="10"/>
  <c r="T94" i="10"/>
  <c r="U94" i="10"/>
  <c r="V94" i="10"/>
  <c r="W94" i="10"/>
  <c r="X94" i="10"/>
  <c r="Y94" i="10"/>
  <c r="G95" i="10"/>
  <c r="H95" i="10"/>
  <c r="I95" i="10"/>
  <c r="J95" i="10"/>
  <c r="K95" i="10"/>
  <c r="L95" i="10"/>
  <c r="T95" i="10"/>
  <c r="U95" i="10"/>
  <c r="V95" i="10"/>
  <c r="W95" i="10"/>
  <c r="X95" i="10"/>
  <c r="Y95" i="10"/>
  <c r="G96" i="10"/>
  <c r="H96" i="10"/>
  <c r="I96" i="10"/>
  <c r="J96" i="10"/>
  <c r="K96" i="10"/>
  <c r="L96" i="10"/>
  <c r="T96" i="10"/>
  <c r="U96" i="10"/>
  <c r="V96" i="10"/>
  <c r="W96" i="10"/>
  <c r="X96" i="10"/>
  <c r="Y96" i="10"/>
  <c r="G97" i="10"/>
  <c r="H97" i="10"/>
  <c r="I97" i="10"/>
  <c r="J97" i="10"/>
  <c r="K97" i="10"/>
  <c r="L97" i="10"/>
  <c r="T97" i="10"/>
  <c r="U97" i="10"/>
  <c r="V97" i="10"/>
  <c r="W97" i="10"/>
  <c r="X97" i="10"/>
  <c r="Y97" i="10"/>
  <c r="G98" i="10"/>
  <c r="H98" i="10"/>
  <c r="I98" i="10"/>
  <c r="J98" i="10"/>
  <c r="K98" i="10"/>
  <c r="L98" i="10"/>
  <c r="T98" i="10"/>
  <c r="U98" i="10"/>
  <c r="V98" i="10"/>
  <c r="W98" i="10"/>
  <c r="X98" i="10"/>
  <c r="Y98" i="10"/>
  <c r="G99" i="10"/>
  <c r="H99" i="10"/>
  <c r="I99" i="10"/>
  <c r="J99" i="10"/>
  <c r="K99" i="10"/>
  <c r="L99" i="10"/>
  <c r="T99" i="10"/>
  <c r="U99" i="10"/>
  <c r="V99" i="10"/>
  <c r="W99" i="10"/>
  <c r="X99" i="10"/>
  <c r="Y99" i="10"/>
  <c r="G100" i="10"/>
  <c r="H100" i="10"/>
  <c r="I100" i="10"/>
  <c r="J100" i="10"/>
  <c r="K100" i="10"/>
  <c r="L100" i="10"/>
  <c r="T100" i="10"/>
  <c r="U100" i="10"/>
  <c r="V100" i="10"/>
  <c r="W100" i="10"/>
  <c r="X100" i="10"/>
  <c r="Y100" i="10"/>
  <c r="G101" i="10"/>
  <c r="H101" i="10"/>
  <c r="I101" i="10"/>
  <c r="J101" i="10"/>
  <c r="K101" i="10"/>
  <c r="L101" i="10"/>
  <c r="T101" i="10"/>
  <c r="U101" i="10"/>
  <c r="V101" i="10"/>
  <c r="W101" i="10"/>
  <c r="X101" i="10"/>
  <c r="Y101" i="10"/>
  <c r="G102" i="10"/>
  <c r="H102" i="10"/>
  <c r="I102" i="10"/>
  <c r="J102" i="10"/>
  <c r="K102" i="10"/>
  <c r="L102" i="10"/>
  <c r="T102" i="10"/>
  <c r="U102" i="10"/>
  <c r="V102" i="10"/>
  <c r="W102" i="10"/>
  <c r="X102" i="10"/>
  <c r="Y102" i="10"/>
  <c r="G103" i="10"/>
  <c r="H103" i="10"/>
  <c r="I103" i="10"/>
  <c r="J103" i="10"/>
  <c r="K103" i="10"/>
  <c r="L103" i="10"/>
  <c r="T103" i="10"/>
  <c r="U103" i="10"/>
  <c r="V103" i="10"/>
  <c r="W103" i="10"/>
  <c r="X103" i="10"/>
  <c r="Y103" i="10"/>
  <c r="G104" i="10"/>
  <c r="H104" i="10"/>
  <c r="I104" i="10"/>
  <c r="J104" i="10"/>
  <c r="K104" i="10"/>
  <c r="L104" i="10"/>
  <c r="T104" i="10"/>
  <c r="U104" i="10"/>
  <c r="V104" i="10"/>
  <c r="W104" i="10"/>
  <c r="X104" i="10"/>
  <c r="Y104" i="10"/>
  <c r="G105" i="10"/>
  <c r="H105" i="10"/>
  <c r="I105" i="10"/>
  <c r="J105" i="10"/>
  <c r="K105" i="10"/>
  <c r="L105" i="10"/>
  <c r="T105" i="10"/>
  <c r="U105" i="10"/>
  <c r="V105" i="10"/>
  <c r="W105" i="10"/>
  <c r="X105" i="10"/>
  <c r="Y105" i="10"/>
  <c r="G106" i="10"/>
  <c r="H106" i="10"/>
  <c r="I106" i="10"/>
  <c r="J106" i="10"/>
  <c r="K106" i="10"/>
  <c r="L106" i="10"/>
  <c r="T106" i="10"/>
  <c r="U106" i="10"/>
  <c r="V106" i="10"/>
  <c r="W106" i="10"/>
  <c r="X106" i="10"/>
  <c r="Y106" i="10"/>
  <c r="G107" i="10"/>
  <c r="H107" i="10"/>
  <c r="I107" i="10"/>
  <c r="J107" i="10"/>
  <c r="K107" i="10"/>
  <c r="L107" i="10"/>
  <c r="T107" i="10"/>
  <c r="U107" i="10"/>
  <c r="V107" i="10"/>
  <c r="W107" i="10"/>
  <c r="X107" i="10"/>
  <c r="Y107" i="10"/>
  <c r="G108" i="10"/>
  <c r="H108" i="10"/>
  <c r="I108" i="10"/>
  <c r="J108" i="10"/>
  <c r="K108" i="10"/>
  <c r="L108" i="10"/>
  <c r="T108" i="10"/>
  <c r="U108" i="10"/>
  <c r="V108" i="10"/>
  <c r="W108" i="10"/>
  <c r="X108" i="10"/>
  <c r="Y108" i="10"/>
  <c r="G109" i="10"/>
  <c r="H109" i="10"/>
  <c r="I109" i="10"/>
  <c r="J109" i="10"/>
  <c r="K109" i="10"/>
  <c r="L109" i="10"/>
  <c r="T109" i="10"/>
  <c r="U109" i="10"/>
  <c r="V109" i="10"/>
  <c r="W109" i="10"/>
  <c r="X109" i="10"/>
  <c r="Y109" i="10"/>
  <c r="G110" i="10"/>
  <c r="H110" i="10"/>
  <c r="I110" i="10"/>
  <c r="J110" i="10"/>
  <c r="K110" i="10"/>
  <c r="L110" i="10"/>
  <c r="T110" i="10"/>
  <c r="U110" i="10"/>
  <c r="V110" i="10"/>
  <c r="W110" i="10"/>
  <c r="X110" i="10"/>
  <c r="Y110" i="10"/>
  <c r="G111" i="10"/>
  <c r="H111" i="10"/>
  <c r="I111" i="10"/>
  <c r="J111" i="10"/>
  <c r="K111" i="10"/>
  <c r="L111" i="10"/>
  <c r="T111" i="10"/>
  <c r="U111" i="10"/>
  <c r="V111" i="10"/>
  <c r="W111" i="10"/>
  <c r="X111" i="10"/>
  <c r="Y111" i="10"/>
  <c r="G112" i="10"/>
  <c r="H112" i="10"/>
  <c r="I112" i="10"/>
  <c r="J112" i="10"/>
  <c r="K112" i="10"/>
  <c r="L112" i="10"/>
  <c r="T112" i="10"/>
  <c r="U112" i="10"/>
  <c r="V112" i="10"/>
  <c r="W112" i="10"/>
  <c r="X112" i="10"/>
  <c r="Y112" i="10"/>
  <c r="G113" i="10"/>
  <c r="H113" i="10"/>
  <c r="I113" i="10"/>
  <c r="J113" i="10"/>
  <c r="K113" i="10"/>
  <c r="L113" i="10"/>
  <c r="T113" i="10"/>
  <c r="U113" i="10"/>
  <c r="V113" i="10"/>
  <c r="W113" i="10"/>
  <c r="X113" i="10"/>
  <c r="Y113" i="10"/>
  <c r="G114" i="10"/>
  <c r="H114" i="10"/>
  <c r="I114" i="10"/>
  <c r="J114" i="10"/>
  <c r="K114" i="10"/>
  <c r="L114" i="10"/>
  <c r="T114" i="10"/>
  <c r="U114" i="10"/>
  <c r="V114" i="10"/>
  <c r="W114" i="10"/>
  <c r="X114" i="10"/>
  <c r="Y114" i="10"/>
  <c r="G115" i="10"/>
  <c r="H115" i="10"/>
  <c r="I115" i="10"/>
  <c r="J115" i="10"/>
  <c r="K115" i="10"/>
  <c r="L115" i="10"/>
  <c r="T115" i="10"/>
  <c r="U115" i="10"/>
  <c r="V115" i="10"/>
  <c r="W115" i="10"/>
  <c r="X115" i="10"/>
  <c r="Y115" i="10"/>
  <c r="G116" i="10"/>
  <c r="H116" i="10"/>
  <c r="I116" i="10"/>
  <c r="J116" i="10"/>
  <c r="K116" i="10"/>
  <c r="L116" i="10"/>
  <c r="T116" i="10"/>
  <c r="U116" i="10"/>
  <c r="V116" i="10"/>
  <c r="W116" i="10"/>
  <c r="X116" i="10"/>
  <c r="Y116" i="10"/>
  <c r="G117" i="10"/>
  <c r="H117" i="10"/>
  <c r="I117" i="10"/>
  <c r="J117" i="10"/>
  <c r="K117" i="10"/>
  <c r="L117" i="10"/>
  <c r="T117" i="10"/>
  <c r="U117" i="10"/>
  <c r="V117" i="10"/>
  <c r="W117" i="10"/>
  <c r="X117" i="10"/>
  <c r="Y117" i="10"/>
  <c r="G118" i="10"/>
  <c r="H118" i="10"/>
  <c r="I118" i="10"/>
  <c r="J118" i="10"/>
  <c r="K118" i="10"/>
  <c r="L118" i="10"/>
  <c r="T118" i="10"/>
  <c r="U118" i="10"/>
  <c r="V118" i="10"/>
  <c r="W118" i="10"/>
  <c r="X118" i="10"/>
  <c r="Y118" i="10"/>
  <c r="G119" i="10"/>
  <c r="H119" i="10"/>
  <c r="I119" i="10"/>
  <c r="J119" i="10"/>
  <c r="K119" i="10"/>
  <c r="L119" i="10"/>
  <c r="T119" i="10"/>
  <c r="U119" i="10"/>
  <c r="V119" i="10"/>
  <c r="W119" i="10"/>
  <c r="X119" i="10"/>
  <c r="Y119" i="10"/>
  <c r="G120" i="10"/>
  <c r="H120" i="10"/>
  <c r="I120" i="10"/>
  <c r="J120" i="10"/>
  <c r="K120" i="10"/>
  <c r="L120" i="10"/>
  <c r="T120" i="10"/>
  <c r="U120" i="10"/>
  <c r="V120" i="10"/>
  <c r="W120" i="10"/>
  <c r="X120" i="10"/>
  <c r="Y120" i="10"/>
  <c r="G121" i="10"/>
  <c r="H121" i="10"/>
  <c r="I121" i="10"/>
  <c r="J121" i="10"/>
  <c r="K121" i="10"/>
  <c r="L121" i="10"/>
  <c r="T121" i="10"/>
  <c r="U121" i="10"/>
  <c r="V121" i="10"/>
  <c r="W121" i="10"/>
  <c r="X121" i="10"/>
  <c r="Y121" i="10"/>
  <c r="G122" i="10"/>
  <c r="H122" i="10"/>
  <c r="I122" i="10"/>
  <c r="J122" i="10"/>
  <c r="K122" i="10"/>
  <c r="L122" i="10"/>
  <c r="T122" i="10"/>
  <c r="U122" i="10"/>
  <c r="V122" i="10"/>
  <c r="W122" i="10"/>
  <c r="X122" i="10"/>
  <c r="Y122" i="10"/>
  <c r="G123" i="10"/>
  <c r="H123" i="10"/>
  <c r="I123" i="10"/>
  <c r="J123" i="10"/>
  <c r="K123" i="10"/>
  <c r="L123" i="10"/>
  <c r="T123" i="10"/>
  <c r="U123" i="10"/>
  <c r="V123" i="10"/>
  <c r="W123" i="10"/>
  <c r="X123" i="10"/>
  <c r="Y123" i="10"/>
  <c r="G124" i="10"/>
  <c r="H124" i="10"/>
  <c r="I124" i="10"/>
  <c r="J124" i="10"/>
  <c r="K124" i="10"/>
  <c r="L124" i="10"/>
  <c r="T124" i="10"/>
  <c r="U124" i="10"/>
  <c r="V124" i="10"/>
  <c r="W124" i="10"/>
  <c r="X124" i="10"/>
  <c r="Y124" i="10"/>
  <c r="G125" i="10"/>
  <c r="H125" i="10"/>
  <c r="I125" i="10"/>
  <c r="J125" i="10"/>
  <c r="K125" i="10"/>
  <c r="L125" i="10"/>
  <c r="T125" i="10"/>
  <c r="U125" i="10"/>
  <c r="V125" i="10"/>
  <c r="W125" i="10"/>
  <c r="X125" i="10"/>
  <c r="Y125" i="10"/>
  <c r="G126" i="10"/>
  <c r="H126" i="10"/>
  <c r="I126" i="10"/>
  <c r="J126" i="10"/>
  <c r="K126" i="10"/>
  <c r="L126" i="10"/>
  <c r="T126" i="10"/>
  <c r="U126" i="10"/>
  <c r="V126" i="10"/>
  <c r="W126" i="10"/>
  <c r="X126" i="10"/>
  <c r="Y126" i="10"/>
  <c r="G127" i="10"/>
  <c r="H127" i="10"/>
  <c r="I127" i="10"/>
  <c r="J127" i="10"/>
  <c r="K127" i="10"/>
  <c r="L127" i="10"/>
  <c r="T127" i="10"/>
  <c r="U127" i="10"/>
  <c r="V127" i="10"/>
  <c r="W127" i="10"/>
  <c r="X127" i="10"/>
  <c r="Y127" i="10"/>
  <c r="G128" i="10"/>
  <c r="H128" i="10"/>
  <c r="I128" i="10"/>
  <c r="J128" i="10"/>
  <c r="K128" i="10"/>
  <c r="L128" i="10"/>
  <c r="T128" i="10"/>
  <c r="U128" i="10"/>
  <c r="V128" i="10"/>
  <c r="W128" i="10"/>
  <c r="X128" i="10"/>
  <c r="Y128" i="10"/>
  <c r="G129" i="10"/>
  <c r="H129" i="10"/>
  <c r="I129" i="10"/>
  <c r="J129" i="10"/>
  <c r="K129" i="10"/>
  <c r="L129" i="10"/>
  <c r="T129" i="10"/>
  <c r="U129" i="10"/>
  <c r="V129" i="10"/>
  <c r="W129" i="10"/>
  <c r="X129" i="10"/>
  <c r="Y129" i="10"/>
  <c r="G130" i="10"/>
  <c r="H130" i="10"/>
  <c r="I130" i="10"/>
  <c r="J130" i="10"/>
  <c r="K130" i="10"/>
  <c r="L130" i="10"/>
  <c r="T130" i="10"/>
  <c r="U130" i="10"/>
  <c r="V130" i="10"/>
  <c r="W130" i="10"/>
  <c r="X130" i="10"/>
  <c r="Y130" i="10"/>
  <c r="G131" i="10"/>
  <c r="H131" i="10"/>
  <c r="I131" i="10"/>
  <c r="J131" i="10"/>
  <c r="K131" i="10"/>
  <c r="L131" i="10"/>
  <c r="T131" i="10"/>
  <c r="U131" i="10"/>
  <c r="V131" i="10"/>
  <c r="W131" i="10"/>
  <c r="X131" i="10"/>
  <c r="Y131" i="10"/>
  <c r="G132" i="10"/>
  <c r="H132" i="10"/>
  <c r="I132" i="10"/>
  <c r="J132" i="10"/>
  <c r="K132" i="10"/>
  <c r="L132" i="10"/>
  <c r="T132" i="10"/>
  <c r="U132" i="10"/>
  <c r="V132" i="10"/>
  <c r="W132" i="10"/>
  <c r="X132" i="10"/>
  <c r="Y132" i="10"/>
  <c r="G133" i="10"/>
  <c r="H133" i="10"/>
  <c r="I133" i="10"/>
  <c r="J133" i="10"/>
  <c r="K133" i="10"/>
  <c r="L133" i="10"/>
  <c r="T133" i="10"/>
  <c r="U133" i="10"/>
  <c r="V133" i="10"/>
  <c r="W133" i="10"/>
  <c r="X133" i="10"/>
  <c r="Y133" i="10"/>
  <c r="G134" i="10"/>
  <c r="H134" i="10"/>
  <c r="I134" i="10"/>
  <c r="J134" i="10"/>
  <c r="K134" i="10"/>
  <c r="L134" i="10"/>
  <c r="T134" i="10"/>
  <c r="U134" i="10"/>
  <c r="V134" i="10"/>
  <c r="W134" i="10"/>
  <c r="X134" i="10"/>
  <c r="Y134" i="10"/>
  <c r="G135" i="10"/>
  <c r="H135" i="10"/>
  <c r="I135" i="10"/>
  <c r="J135" i="10"/>
  <c r="K135" i="10"/>
  <c r="L135" i="10"/>
  <c r="T135" i="10"/>
  <c r="U135" i="10"/>
  <c r="V135" i="10"/>
  <c r="W135" i="10"/>
  <c r="X135" i="10"/>
  <c r="Y135" i="10"/>
  <c r="G136" i="10"/>
  <c r="H136" i="10"/>
  <c r="I136" i="10"/>
  <c r="J136" i="10"/>
  <c r="K136" i="10"/>
  <c r="L136" i="10"/>
  <c r="T136" i="10"/>
  <c r="U136" i="10"/>
  <c r="V136" i="10"/>
  <c r="W136" i="10"/>
  <c r="X136" i="10"/>
  <c r="Y136" i="10"/>
  <c r="G137" i="10"/>
  <c r="H137" i="10"/>
  <c r="I137" i="10"/>
  <c r="J137" i="10"/>
  <c r="K137" i="10"/>
  <c r="L137" i="10"/>
  <c r="T137" i="10"/>
  <c r="U137" i="10"/>
  <c r="V137" i="10"/>
  <c r="W137" i="10"/>
  <c r="X137" i="10"/>
  <c r="Y137" i="10"/>
  <c r="G138" i="10"/>
  <c r="H138" i="10"/>
  <c r="I138" i="10"/>
  <c r="J138" i="10"/>
  <c r="K138" i="10"/>
  <c r="L138" i="10"/>
  <c r="T138" i="10"/>
  <c r="U138" i="10"/>
  <c r="V138" i="10"/>
  <c r="W138" i="10"/>
  <c r="X138" i="10"/>
  <c r="Y138" i="10"/>
  <c r="G139" i="10"/>
  <c r="H139" i="10"/>
  <c r="I139" i="10"/>
  <c r="J139" i="10"/>
  <c r="K139" i="10"/>
  <c r="L139" i="10"/>
  <c r="T139" i="10"/>
  <c r="U139" i="10"/>
  <c r="V139" i="10"/>
  <c r="W139" i="10"/>
  <c r="X139" i="10"/>
  <c r="Y139" i="10"/>
  <c r="G140" i="10"/>
  <c r="H140" i="10"/>
  <c r="I140" i="10"/>
  <c r="J140" i="10"/>
  <c r="K140" i="10"/>
  <c r="L140" i="10"/>
  <c r="T140" i="10"/>
  <c r="U140" i="10"/>
  <c r="V140" i="10"/>
  <c r="W140" i="10"/>
  <c r="X140" i="10"/>
  <c r="Y140" i="10"/>
  <c r="G141" i="10"/>
  <c r="H141" i="10"/>
  <c r="I141" i="10"/>
  <c r="J141" i="10"/>
  <c r="K141" i="10"/>
  <c r="L141" i="10"/>
  <c r="T141" i="10"/>
  <c r="U141" i="10"/>
  <c r="V141" i="10"/>
  <c r="W141" i="10"/>
  <c r="X141" i="10"/>
  <c r="Y141" i="10"/>
  <c r="G142" i="10"/>
  <c r="H142" i="10"/>
  <c r="I142" i="10"/>
  <c r="J142" i="10"/>
  <c r="K142" i="10"/>
  <c r="L142" i="10"/>
  <c r="T142" i="10"/>
  <c r="U142" i="10"/>
  <c r="V142" i="10"/>
  <c r="W142" i="10"/>
  <c r="X142" i="10"/>
  <c r="Y142" i="10"/>
  <c r="J2" i="11"/>
  <c r="O14" i="9"/>
  <c r="N14" i="9"/>
  <c r="M14" i="9"/>
  <c r="L14" i="9"/>
  <c r="K14" i="9"/>
  <c r="J14" i="9"/>
  <c r="I14" i="9"/>
  <c r="H14" i="9"/>
  <c r="G14" i="9"/>
  <c r="E14" i="9"/>
  <c r="D14" i="9"/>
  <c r="A14" i="9"/>
  <c r="O20" i="9"/>
  <c r="N20" i="9"/>
  <c r="M20" i="9"/>
  <c r="L20" i="9"/>
  <c r="K20" i="9"/>
  <c r="J20" i="9"/>
  <c r="I20" i="9"/>
  <c r="H20" i="9"/>
  <c r="G20" i="9"/>
  <c r="E20" i="9"/>
  <c r="D20" i="9"/>
  <c r="A20" i="9"/>
  <c r="O9" i="9"/>
  <c r="N9" i="9"/>
  <c r="M9" i="9"/>
  <c r="L9" i="9"/>
  <c r="K9" i="9"/>
  <c r="J9" i="9"/>
  <c r="I9" i="9"/>
  <c r="H9" i="9"/>
  <c r="G9" i="9"/>
  <c r="E9" i="9"/>
  <c r="D9" i="9"/>
  <c r="A9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J32" i="11"/>
  <c r="O41" i="9"/>
  <c r="E41" i="9"/>
  <c r="D41" i="9"/>
  <c r="A41" i="9"/>
  <c r="J31" i="11"/>
  <c r="J30" i="11"/>
  <c r="O40" i="9"/>
  <c r="E40" i="9"/>
  <c r="D40" i="9"/>
  <c r="A40" i="9"/>
  <c r="J29" i="11"/>
  <c r="O39" i="9"/>
  <c r="E39" i="9"/>
  <c r="D39" i="9"/>
  <c r="A39" i="9"/>
  <c r="J28" i="11"/>
  <c r="O38" i="9"/>
  <c r="E38" i="9"/>
  <c r="D38" i="9"/>
  <c r="A38" i="9"/>
  <c r="J27" i="11"/>
  <c r="J26" i="11"/>
  <c r="J25" i="11"/>
  <c r="J24" i="11"/>
  <c r="O37" i="9"/>
  <c r="E37" i="9"/>
  <c r="D37" i="9"/>
  <c r="A37" i="9"/>
  <c r="W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G6" i="2"/>
  <c r="A6" i="2"/>
  <c r="J3" i="7"/>
  <c r="I3" i="7"/>
  <c r="D3" i="7"/>
  <c r="F3" i="7"/>
  <c r="E3" i="7"/>
  <c r="A3" i="7"/>
  <c r="AB4" i="1"/>
  <c r="AD4" i="1"/>
  <c r="AG4" i="1"/>
  <c r="AE4" i="1"/>
  <c r="AC4" i="1"/>
  <c r="E10" i="9"/>
  <c r="V4" i="1"/>
  <c r="Q4" i="1"/>
  <c r="P4" i="1"/>
  <c r="O4" i="1"/>
  <c r="N4" i="1"/>
  <c r="M4" i="1"/>
  <c r="H4" i="1"/>
  <c r="J4" i="1"/>
  <c r="I4" i="1"/>
  <c r="D4" i="1"/>
  <c r="F4" i="1"/>
  <c r="E4" i="1"/>
  <c r="A4" i="1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57" i="9"/>
  <c r="H57" i="9"/>
  <c r="I57" i="9"/>
  <c r="J57" i="9"/>
  <c r="K57" i="9"/>
  <c r="L57" i="9"/>
  <c r="M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M59" i="9"/>
  <c r="N59" i="9"/>
  <c r="G60" i="9"/>
  <c r="H60" i="9"/>
  <c r="I60" i="9"/>
  <c r="J60" i="9"/>
  <c r="K60" i="9"/>
  <c r="L60" i="9"/>
  <c r="M60" i="9"/>
  <c r="N60" i="9"/>
  <c r="G61" i="9"/>
  <c r="H61" i="9"/>
  <c r="I61" i="9"/>
  <c r="J61" i="9"/>
  <c r="K61" i="9"/>
  <c r="L61" i="9"/>
  <c r="M61" i="9"/>
  <c r="N61" i="9"/>
  <c r="G62" i="9"/>
  <c r="H62" i="9"/>
  <c r="I62" i="9"/>
  <c r="J62" i="9"/>
  <c r="K62" i="9"/>
  <c r="L62" i="9"/>
  <c r="M62" i="9"/>
  <c r="N62" i="9"/>
  <c r="G63" i="9"/>
  <c r="H63" i="9"/>
  <c r="I63" i="9"/>
  <c r="J63" i="9"/>
  <c r="K63" i="9"/>
  <c r="L63" i="9"/>
  <c r="M63" i="9"/>
  <c r="N63" i="9"/>
  <c r="G64" i="9"/>
  <c r="H64" i="9"/>
  <c r="I64" i="9"/>
  <c r="J64" i="9"/>
  <c r="K64" i="9"/>
  <c r="L64" i="9"/>
  <c r="M64" i="9"/>
  <c r="N64" i="9"/>
  <c r="G65" i="9"/>
  <c r="H65" i="9"/>
  <c r="I65" i="9"/>
  <c r="J65" i="9"/>
  <c r="K65" i="9"/>
  <c r="L65" i="9"/>
  <c r="M65" i="9"/>
  <c r="N65" i="9"/>
  <c r="G66" i="9"/>
  <c r="H66" i="9"/>
  <c r="I66" i="9"/>
  <c r="J66" i="9"/>
  <c r="K66" i="9"/>
  <c r="L66" i="9"/>
  <c r="M66" i="9"/>
  <c r="N66" i="9"/>
  <c r="G67" i="9"/>
  <c r="H67" i="9"/>
  <c r="I67" i="9"/>
  <c r="J67" i="9"/>
  <c r="K67" i="9"/>
  <c r="L67" i="9"/>
  <c r="M67" i="9"/>
  <c r="N67" i="9"/>
  <c r="G68" i="9"/>
  <c r="H68" i="9"/>
  <c r="I68" i="9"/>
  <c r="J68" i="9"/>
  <c r="K68" i="9"/>
  <c r="L68" i="9"/>
  <c r="M68" i="9"/>
  <c r="N68" i="9"/>
  <c r="G69" i="9"/>
  <c r="H69" i="9"/>
  <c r="I69" i="9"/>
  <c r="J69" i="9"/>
  <c r="K69" i="9"/>
  <c r="L69" i="9"/>
  <c r="M69" i="9"/>
  <c r="N69" i="9"/>
  <c r="G70" i="9"/>
  <c r="H70" i="9"/>
  <c r="I70" i="9"/>
  <c r="J70" i="9"/>
  <c r="K70" i="9"/>
  <c r="L70" i="9"/>
  <c r="M70" i="9"/>
  <c r="N70" i="9"/>
  <c r="G71" i="9"/>
  <c r="H71" i="9"/>
  <c r="I71" i="9"/>
  <c r="J71" i="9"/>
  <c r="K71" i="9"/>
  <c r="L71" i="9"/>
  <c r="M71" i="9"/>
  <c r="N71" i="9"/>
  <c r="G72" i="9"/>
  <c r="H72" i="9"/>
  <c r="I72" i="9"/>
  <c r="J72" i="9"/>
  <c r="K72" i="9"/>
  <c r="L72" i="9"/>
  <c r="M72" i="9"/>
  <c r="N72" i="9"/>
  <c r="G73" i="9"/>
  <c r="H73" i="9"/>
  <c r="I73" i="9"/>
  <c r="J73" i="9"/>
  <c r="K73" i="9"/>
  <c r="L73" i="9"/>
  <c r="M73" i="9"/>
  <c r="N73" i="9"/>
  <c r="G74" i="9"/>
  <c r="H74" i="9"/>
  <c r="I74" i="9"/>
  <c r="J74" i="9"/>
  <c r="K74" i="9"/>
  <c r="L74" i="9"/>
  <c r="M74" i="9"/>
  <c r="N74" i="9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3" i="11"/>
  <c r="J4" i="11"/>
  <c r="O4" i="9"/>
  <c r="E4" i="9"/>
  <c r="D4" i="9"/>
  <c r="A4" i="9"/>
  <c r="O74" i="9"/>
  <c r="E74" i="9"/>
  <c r="D74" i="9"/>
  <c r="A74" i="9"/>
  <c r="O5" i="9"/>
  <c r="E5" i="9"/>
  <c r="D5" i="9"/>
  <c r="A5" i="9"/>
  <c r="O73" i="9"/>
  <c r="E73" i="9"/>
  <c r="D73" i="9"/>
  <c r="A73" i="9"/>
  <c r="O72" i="9"/>
  <c r="E72" i="9"/>
  <c r="D72" i="9"/>
  <c r="A72" i="9"/>
  <c r="O71" i="9"/>
  <c r="E71" i="9"/>
  <c r="D71" i="9"/>
  <c r="A71" i="9"/>
  <c r="O70" i="9"/>
  <c r="E70" i="9"/>
  <c r="D70" i="9"/>
  <c r="A70" i="9"/>
  <c r="O69" i="9"/>
  <c r="E69" i="9"/>
  <c r="D69" i="9"/>
  <c r="A69" i="9"/>
  <c r="O68" i="9"/>
  <c r="E68" i="9"/>
  <c r="D68" i="9"/>
  <c r="A68" i="9"/>
  <c r="O67" i="9"/>
  <c r="E67" i="9"/>
  <c r="D67" i="9"/>
  <c r="A67" i="9"/>
  <c r="O66" i="9"/>
  <c r="E66" i="9"/>
  <c r="D66" i="9"/>
  <c r="A66" i="9"/>
  <c r="O65" i="9"/>
  <c r="E65" i="9"/>
  <c r="D65" i="9"/>
  <c r="A65" i="9"/>
  <c r="O64" i="9"/>
  <c r="E64" i="9"/>
  <c r="D64" i="9"/>
  <c r="A64" i="9"/>
  <c r="O63" i="9"/>
  <c r="E63" i="9"/>
  <c r="D63" i="9"/>
  <c r="A63" i="9"/>
  <c r="O62" i="9"/>
  <c r="E62" i="9"/>
  <c r="D62" i="9"/>
  <c r="A62" i="9"/>
  <c r="O61" i="9"/>
  <c r="E61" i="9"/>
  <c r="D61" i="9"/>
  <c r="A61" i="9"/>
  <c r="O60" i="9"/>
  <c r="E60" i="9"/>
  <c r="D60" i="9"/>
  <c r="A60" i="9"/>
  <c r="O59" i="9"/>
  <c r="E59" i="9"/>
  <c r="D59" i="9"/>
  <c r="A59" i="9"/>
  <c r="O58" i="9"/>
  <c r="E58" i="9"/>
  <c r="D58" i="9"/>
  <c r="A58" i="9"/>
  <c r="O57" i="9"/>
  <c r="E57" i="9"/>
  <c r="D57" i="9"/>
  <c r="A57" i="9"/>
  <c r="O56" i="9"/>
  <c r="E56" i="9"/>
  <c r="D56" i="9"/>
  <c r="A56" i="9"/>
  <c r="O55" i="9"/>
  <c r="E55" i="9"/>
  <c r="D55" i="9"/>
  <c r="A55" i="9"/>
  <c r="O54" i="9"/>
  <c r="E54" i="9"/>
  <c r="D54" i="9"/>
  <c r="A54" i="9"/>
  <c r="O53" i="9"/>
  <c r="E53" i="9"/>
  <c r="D53" i="9"/>
  <c r="A53" i="9"/>
  <c r="O52" i="9"/>
  <c r="E52" i="9"/>
  <c r="D52" i="9"/>
  <c r="A52" i="9"/>
  <c r="O51" i="9"/>
  <c r="E51" i="9"/>
  <c r="D51" i="9"/>
  <c r="A51" i="9"/>
  <c r="O50" i="9"/>
  <c r="E50" i="9"/>
  <c r="D50" i="9"/>
  <c r="A50" i="9"/>
  <c r="O49" i="9"/>
  <c r="E49" i="9"/>
  <c r="D49" i="9"/>
  <c r="A49" i="9"/>
  <c r="O48" i="9"/>
  <c r="E48" i="9"/>
  <c r="D48" i="9"/>
  <c r="A48" i="9"/>
  <c r="O47" i="9"/>
  <c r="E47" i="9"/>
  <c r="D47" i="9"/>
  <c r="A47" i="9"/>
  <c r="O46" i="9"/>
  <c r="E46" i="9"/>
  <c r="D46" i="9"/>
  <c r="A46" i="9"/>
  <c r="O45" i="9"/>
  <c r="E45" i="9"/>
  <c r="D45" i="9"/>
  <c r="A45" i="9"/>
  <c r="O44" i="9"/>
  <c r="E44" i="9"/>
  <c r="D44" i="9"/>
  <c r="A44" i="9"/>
  <c r="O43" i="9"/>
  <c r="E43" i="9"/>
  <c r="D43" i="9"/>
  <c r="A43" i="9"/>
  <c r="O42" i="9"/>
  <c r="E42" i="9"/>
  <c r="D42" i="9"/>
  <c r="A42" i="9"/>
  <c r="O36" i="9"/>
  <c r="E36" i="9"/>
  <c r="D36" i="9"/>
  <c r="A36" i="9"/>
  <c r="O35" i="9"/>
  <c r="E35" i="9"/>
  <c r="D35" i="9"/>
  <c r="A35" i="9"/>
  <c r="O34" i="9"/>
  <c r="E34" i="9"/>
  <c r="D34" i="9"/>
  <c r="A34" i="9"/>
  <c r="O33" i="9"/>
  <c r="E33" i="9"/>
  <c r="D33" i="9"/>
  <c r="A33" i="9"/>
  <c r="O32" i="9"/>
  <c r="E32" i="9"/>
  <c r="D32" i="9"/>
  <c r="A32" i="9"/>
  <c r="O31" i="9"/>
  <c r="E31" i="9"/>
  <c r="D31" i="9"/>
  <c r="A31" i="9"/>
  <c r="O30" i="9"/>
  <c r="E30" i="9"/>
  <c r="D30" i="9"/>
  <c r="A30" i="9"/>
  <c r="O29" i="9"/>
  <c r="E29" i="9"/>
  <c r="D29" i="9"/>
  <c r="A29" i="9"/>
  <c r="O28" i="9"/>
  <c r="E28" i="9"/>
  <c r="D28" i="9"/>
  <c r="A28" i="9"/>
  <c r="O27" i="9"/>
  <c r="E27" i="9"/>
  <c r="D27" i="9"/>
  <c r="A27" i="9"/>
  <c r="O26" i="9"/>
  <c r="E26" i="9"/>
  <c r="D26" i="9"/>
  <c r="A26" i="9"/>
  <c r="O25" i="9"/>
  <c r="E25" i="9"/>
  <c r="D25" i="9"/>
  <c r="A25" i="9"/>
  <c r="O24" i="9"/>
  <c r="E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19" i="9"/>
  <c r="E19" i="9"/>
  <c r="D19" i="9"/>
  <c r="A19" i="9"/>
  <c r="O18" i="9"/>
  <c r="E18" i="9"/>
  <c r="D18" i="9"/>
  <c r="A18" i="9"/>
  <c r="O17" i="9"/>
  <c r="E17" i="9"/>
  <c r="D17" i="9"/>
  <c r="A17" i="9"/>
  <c r="O16" i="9"/>
  <c r="E16" i="9"/>
  <c r="D16" i="9"/>
  <c r="A16" i="9"/>
  <c r="O15" i="9"/>
  <c r="E15" i="9"/>
  <c r="D15" i="9"/>
  <c r="A15" i="9"/>
  <c r="O13" i="9"/>
  <c r="E13" i="9"/>
  <c r="D13" i="9"/>
  <c r="A13" i="9"/>
  <c r="O12" i="9"/>
  <c r="E12" i="9"/>
  <c r="D12" i="9"/>
  <c r="A12" i="9"/>
  <c r="O11" i="9"/>
  <c r="E11" i="9"/>
  <c r="D11" i="9"/>
  <c r="A11" i="9"/>
  <c r="O10" i="9"/>
  <c r="D10" i="9"/>
  <c r="A10" i="9"/>
  <c r="O8" i="9"/>
  <c r="E8" i="9"/>
  <c r="D8" i="9"/>
  <c r="A8" i="9"/>
  <c r="O7" i="9"/>
  <c r="E7" i="9"/>
  <c r="D7" i="9"/>
  <c r="A7" i="9"/>
  <c r="O6" i="9"/>
  <c r="E6" i="9"/>
  <c r="D6" i="9"/>
  <c r="A6" i="9"/>
  <c r="O3" i="9"/>
  <c r="E3" i="9"/>
  <c r="D3" i="9"/>
  <c r="A3" i="9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45" i="10"/>
  <c r="T45" i="10"/>
  <c r="W45" i="10"/>
  <c r="V45" i="10"/>
  <c r="X45" i="10"/>
  <c r="U45" i="10"/>
  <c r="Y45" i="10"/>
  <c r="M56" i="10"/>
  <c r="N56" i="10"/>
  <c r="Q56" i="10"/>
  <c r="P56" i="10"/>
  <c r="R56" i="10"/>
  <c r="O56" i="10"/>
  <c r="S56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T56" i="10"/>
  <c r="W56" i="10"/>
  <c r="V56" i="10"/>
  <c r="X56" i="10"/>
  <c r="U56" i="10"/>
  <c r="Y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M62" i="10"/>
  <c r="N62" i="10"/>
  <c r="Q62" i="10"/>
  <c r="P62" i="10"/>
  <c r="R62" i="10"/>
  <c r="O62" i="10"/>
  <c r="S62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49" i="10"/>
  <c r="T49" i="10"/>
  <c r="W49" i="10"/>
  <c r="V49" i="10"/>
  <c r="X49" i="10"/>
  <c r="U49" i="10"/>
  <c r="Y49" i="10"/>
  <c r="M61" i="10"/>
  <c r="N61" i="10"/>
  <c r="Q61" i="10"/>
  <c r="P61" i="10"/>
  <c r="R61" i="10"/>
  <c r="O61" i="10"/>
  <c r="S61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M60" i="10"/>
  <c r="N60" i="10"/>
  <c r="Q60" i="10"/>
  <c r="P60" i="10"/>
  <c r="R60" i="10"/>
  <c r="O60" i="10"/>
  <c r="S60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M59" i="10"/>
  <c r="N59" i="10"/>
  <c r="Q59" i="10"/>
  <c r="P59" i="10"/>
  <c r="R59" i="10"/>
  <c r="O59" i="10"/>
  <c r="S59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T62" i="10"/>
  <c r="W62" i="10"/>
  <c r="V62" i="10"/>
  <c r="X62" i="10"/>
  <c r="U62" i="10"/>
  <c r="Y62" i="10"/>
  <c r="G62" i="10"/>
  <c r="J62" i="10"/>
  <c r="I62" i="10"/>
  <c r="K62" i="10"/>
  <c r="H62" i="10"/>
  <c r="L62" i="10"/>
  <c r="T61" i="10"/>
  <c r="W61" i="10"/>
  <c r="V61" i="10"/>
  <c r="X61" i="10"/>
  <c r="U61" i="10"/>
  <c r="Y61" i="10"/>
  <c r="G61" i="10"/>
  <c r="J61" i="10"/>
  <c r="I61" i="10"/>
  <c r="K61" i="10"/>
  <c r="H61" i="10"/>
  <c r="L61" i="10"/>
  <c r="T60" i="10"/>
  <c r="W60" i="10"/>
  <c r="V60" i="10"/>
  <c r="X60" i="10"/>
  <c r="U60" i="10"/>
  <c r="Y60" i="10"/>
  <c r="G60" i="10"/>
  <c r="J60" i="10"/>
  <c r="I60" i="10"/>
  <c r="K60" i="10"/>
  <c r="H60" i="10"/>
  <c r="L60" i="10"/>
  <c r="T59" i="10"/>
  <c r="W59" i="10"/>
  <c r="V59" i="10"/>
  <c r="X59" i="10"/>
  <c r="U59" i="10"/>
  <c r="Y59" i="10"/>
  <c r="G59" i="10"/>
  <c r="J59" i="10"/>
  <c r="I59" i="10"/>
  <c r="K59" i="10"/>
  <c r="H59" i="10"/>
  <c r="L59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27" i="10"/>
  <c r="T27" i="10"/>
  <c r="W27" i="10"/>
  <c r="V27" i="10"/>
  <c r="X27" i="10"/>
  <c r="U27" i="10"/>
  <c r="Y27" i="10"/>
  <c r="M37" i="10"/>
  <c r="N37" i="10"/>
  <c r="Q37" i="10"/>
  <c r="P37" i="10"/>
  <c r="R37" i="10"/>
  <c r="O37" i="10"/>
  <c r="S3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2" i="7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AB6" i="1"/>
  <c r="AD6" i="1"/>
  <c r="AG6" i="1"/>
  <c r="AE6" i="1"/>
  <c r="AC6" i="1"/>
  <c r="E2" i="9"/>
  <c r="V6" i="1"/>
  <c r="Q6" i="1"/>
  <c r="P6" i="1"/>
  <c r="O6" i="1"/>
  <c r="N6" i="1"/>
  <c r="M6" i="1"/>
  <c r="H6" i="1"/>
  <c r="J6" i="1"/>
  <c r="I6" i="1"/>
  <c r="D6" i="1"/>
  <c r="F6" i="1"/>
  <c r="E6" i="1"/>
  <c r="A6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2" i="1"/>
  <c r="AD2" i="1"/>
  <c r="AG2" i="1"/>
  <c r="AE2" i="1"/>
  <c r="AC2" i="1"/>
  <c r="V2" i="1"/>
  <c r="Q2" i="1"/>
  <c r="P2" i="1"/>
  <c r="O2" i="1"/>
  <c r="N2" i="1"/>
  <c r="M2" i="1"/>
  <c r="H2" i="1"/>
  <c r="J2" i="1"/>
  <c r="I2" i="1"/>
  <c r="D2" i="1"/>
  <c r="F2" i="1"/>
  <c r="E2" i="1"/>
  <c r="A2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11" i="21"/>
  <c r="I11" i="21"/>
  <c r="J11" i="21"/>
  <c r="G11" i="21"/>
  <c r="F11" i="21"/>
  <c r="D11" i="21"/>
  <c r="C11" i="21"/>
  <c r="B8" i="21"/>
  <c r="I8" i="21"/>
  <c r="J8" i="21"/>
  <c r="G8" i="21"/>
  <c r="F8" i="21"/>
  <c r="D8" i="21"/>
  <c r="C8" i="21"/>
  <c r="B6" i="21"/>
  <c r="I6" i="21"/>
  <c r="J6" i="21"/>
  <c r="G6" i="21"/>
  <c r="F6" i="21"/>
  <c r="D6" i="21"/>
  <c r="C6" i="21"/>
  <c r="C12" i="16"/>
  <c r="B3" i="21"/>
  <c r="I3" i="21"/>
  <c r="J3" i="21"/>
  <c r="G3" i="21"/>
  <c r="F3" i="21"/>
  <c r="D3" i="21"/>
  <c r="C3" i="21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9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<sst xmlns="http://schemas.openxmlformats.org/spreadsheetml/2006/main" count="1379" uniqueCount="480">
  <si>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</si>
  <si>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</si>
  <si>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</si>
  <si>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</si>
  <si>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</si>
  <si>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</si>
  <si>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</si>
  <si>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</si>
  <si>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</si>
  <si>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</si>
  <si>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</si>
  <si>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</si>
  <si>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</si>
  <si>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</si>
  <si>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</si>
  <si>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</si>
  <si>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</si>
  <si>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</si>
  <si>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</si>
  <si>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</si>
  <si>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</si>
  <si>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</si>
  <si>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</si>
  <si>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</si>
  <si>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</si>
  <si>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</si>
  <si>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</si>
  <si>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</si>
  <si>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</si>
  <si>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</si>
  <si>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</si>
  <si>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</si>
  <si>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</si>
  <si>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</si>
  <si>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</si>
  <si>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</si>
  <si>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</si>
  <si>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</si>
  <si>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</si>
  <si>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</si>
  <si>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</si>
  <si>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</si>
  <si>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</si>
  <si>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</si>
  <si>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</si>
  <si>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</si>
  <si>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</si>
  <si>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</si>
  <si>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</si>
  <si>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</si>
  <si>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</si>
  <si>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</si>
  <si>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</si>
  <si>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</si>
  <si>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</si>
  <si>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</si>
  <si>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</si>
  <si>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</si>
  <si>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</si>
  <si>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</si>
  <si>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</si>
  <si>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</si>
  <si>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</si>
  <si>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</si>
  <si>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</si>
  <si>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</si>
  <si>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</si>
  <si>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</si>
  <si>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</si>
  <si>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</si>
  <si>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</si>
  <si>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</si>
  <si>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</si>
  <si>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</si>
  <si>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</si>
  <si>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</si>
  <si>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</si>
  <si>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</si>
  <si>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</si>
  <si>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</si>
  <si>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</si>
  <si>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</si>
  <si>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</si>
  <si>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</si>
  <si>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</si>
  <si>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</si>
  <si>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</si>
  <si>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</si>
  <si>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</si>
  <si>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</si>
  <si>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</si>
  <si>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</si>
  <si>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</si>
  <si>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</si>
  <si>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</si>
  <si>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</si>
  <si>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</si>
  <si>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</si>
  <si>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</si>
  <si>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</si>
  <si>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</si>
  <si>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</si>
  <si>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</si>
  <si>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</si>
  <si>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</si>
  <si>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</si>
  <si>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</si>
  <si>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</si>
  <si>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</si>
  <si>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</si>
  <si>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</si>
  <si>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</si>
  <si>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</si>
  <si>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</si>
  <si>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</si>
  <si>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</si>
  <si>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</si>
  <si>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</si>
  <si>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</si>
  <si>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</si>
  <si>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</si>
  <si>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</si>
  <si>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</si>
  <si>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</si>
  <si>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</si>
  <si>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</si>
  <si>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</si>
  <si>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</si>
  <si>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</si>
  <si>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</si>
  <si>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</si>
  <si>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</si>
  <si>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</si>
  <si>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</si>
  <si>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</si>
  <si>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</si>
  <si>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</si>
  <si>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</si>
  <si>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</si>
  <si>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</si>
  <si>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</si>
  <si>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</si>
  <si>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</si>
  <si>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</si>
  <si>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</si>
  <si>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</si>
  <si>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</si>
  <si>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</si>
  <si>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</si>
  <si>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</si>
  <si>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</si>
  <si>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</si>
  <si>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</si>
  <si>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</si>
  <si>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</si>
  <si>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</si>
  <si>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</si>
  <si>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</si>
  <si>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</si>
  <si>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</si>
  <si>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</si>
  <si>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</si>
  <si>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</si>
  <si>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</si>
  <si>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</si>
  <si>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</si>
  <si>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</si>
  <si>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</si>
  <si>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</si>
  <si>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</si>
  <si>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</si>
  <si>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</si>
  <si>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</si>
  <si>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</si>
  <si>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</si>
  <si>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</si>
  <si>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</si>
  <si>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</si>
  <si>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</si>
  <si>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</si>
  <si>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</si>
  <si>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</si>
  <si>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</si>
  <si>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</si>
  <si>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</si>
  <si>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</si>
  <si>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</si>
  <si>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</si>
  <si>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</si>
  <si>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</si>
  <si>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</si>
  <si>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</si>
  <si>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</si>
  <si>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</si>
  <si>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</si>
  <si>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</si>
  <si>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</si>
  <si>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</si>
  <si>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</si>
  <si>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</si>
  <si>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</si>
  <si>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</si>
  <si>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</si>
  <si>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</si>
  <si>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</si>
  <si>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</si>
  <si>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</si>
  <si>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</si>
  <si>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</si>
  <si>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</si>
  <si>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null</t>
    <phoneticPr fontId="5"/>
  </si>
  <si>
    <t>everyone</t>
  </si>
  <si>
    <t>null</t>
  </si>
  <si>
    <t>unit</t>
  </si>
  <si>
    <t>50004_1</t>
    <phoneticPr fontId="5"/>
  </si>
  <si>
    <t>old</t>
  </si>
  <si>
    <t>フロア1</t>
    <phoneticPr fontId="5"/>
  </si>
  <si>
    <t>予備</t>
    <rPh sb="0" eb="2">
      <t>ヨビ</t>
    </rPh>
    <phoneticPr fontId="5"/>
  </si>
  <si>
    <t>ウリエル</t>
    <phoneticPr fontId="5"/>
  </si>
  <si>
    <t>全体攻撃</t>
    <rPh sb="0" eb="2">
      <t>ゼンタイ</t>
    </rPh>
    <rPh sb="2" eb="4">
      <t>コウゲキ</t>
    </rPh>
    <phoneticPr fontId="5"/>
  </si>
  <si>
    <t>3回連続攻撃</t>
    <rPh sb="1" eb="2">
      <t>カイ</t>
    </rPh>
    <rPh sb="2" eb="4">
      <t>レンゾク</t>
    </rPh>
    <rPh sb="4" eb="6">
      <t>コウゲキ</t>
    </rPh>
    <phoneticPr fontId="5"/>
  </si>
  <si>
    <t>ミカエル</t>
    <phoneticPr fontId="5"/>
  </si>
  <si>
    <t>ガブリエル</t>
    <phoneticPr fontId="5"/>
  </si>
  <si>
    <t>全体回復</t>
    <rPh sb="0" eb="2">
      <t>ゼンタイ</t>
    </rPh>
    <rPh sb="2" eb="4">
      <t>カイフク</t>
    </rPh>
    <phoneticPr fontId="5"/>
  </si>
  <si>
    <t>サキエル</t>
    <phoneticPr fontId="5"/>
  </si>
  <si>
    <t>フラウロス</t>
    <phoneticPr fontId="5"/>
  </si>
  <si>
    <t>時限式パネル10個生成＋攻撃</t>
    <rPh sb="0" eb="3">
      <t>ジゲンシキ</t>
    </rPh>
    <rPh sb="8" eb="9">
      <t>コ</t>
    </rPh>
    <rPh sb="9" eb="11">
      <t>セイセイ</t>
    </rPh>
    <rPh sb="12" eb="14">
      <t>コウゲキ</t>
    </rPh>
    <phoneticPr fontId="5"/>
  </si>
  <si>
    <t>状態異常無効＋7ターンウィルス（R5織田信長）</t>
    <rPh sb="0" eb="6">
      <t>ジョウタイイジョウムコウ</t>
    </rPh>
    <rPh sb="18" eb="22">
      <t>オダノブナガ</t>
    </rPh>
    <phoneticPr fontId="5"/>
  </si>
  <si>
    <t>状態異常無効＋7ターンウィルス（R6織田信長）</t>
    <rPh sb="0" eb="6">
      <t>ジョウタイイジョウムコウ</t>
    </rPh>
    <rPh sb="18" eb="22">
      <t>オダノブナガ</t>
    </rPh>
    <phoneticPr fontId="5"/>
  </si>
  <si>
    <t>赤パネル吸収回復</t>
    <rPh sb="0" eb="1">
      <t>アカ</t>
    </rPh>
    <rPh sb="4" eb="6">
      <t>キュウシュウ</t>
    </rPh>
    <rPh sb="6" eb="8">
      <t>カイフク</t>
    </rPh>
    <phoneticPr fontId="5"/>
  </si>
  <si>
    <t>青パネル吸収回復</t>
    <rPh sb="0" eb="1">
      <t>アオ</t>
    </rPh>
    <rPh sb="4" eb="8">
      <t>キュウシュウカイフク</t>
    </rPh>
    <phoneticPr fontId="5"/>
  </si>
  <si>
    <t>緑パネル吸収回復</t>
    <rPh sb="0" eb="1">
      <t>ミドリ</t>
    </rPh>
    <rPh sb="4" eb="8">
      <t>キュウシュウカイフク</t>
    </rPh>
    <phoneticPr fontId="5"/>
  </si>
  <si>
    <t>黄パネル吸収回復</t>
    <rPh sb="0" eb="1">
      <t>キイロ</t>
    </rPh>
    <rPh sb="4" eb="8">
      <t>キュウシュウカイフク</t>
    </rPh>
    <phoneticPr fontId="5"/>
  </si>
  <si>
    <t>ベルゼブブ（1ゲージ目）</t>
    <rPh sb="10" eb="11">
      <t>メ</t>
    </rPh>
    <phoneticPr fontId="5"/>
  </si>
  <si>
    <t>ベルゼブブ（2ゲージ目）</t>
    <rPh sb="10" eb="11">
      <t>メ</t>
    </rPh>
    <phoneticPr fontId="5"/>
  </si>
  <si>
    <t>状態異常無効＋防御バフ（R5メタトロン）</t>
    <rPh sb="0" eb="4">
      <t>ジョウタイイジョウ</t>
    </rPh>
    <rPh sb="4" eb="6">
      <t>ムコウ</t>
    </rPh>
    <rPh sb="7" eb="9">
      <t>ボウギョ</t>
    </rPh>
    <phoneticPr fontId="5"/>
  </si>
  <si>
    <t>状態異常無効＋防御バフ（R6メタトロン）</t>
    <rPh sb="0" eb="4">
      <t>ジョウタイイジョウ</t>
    </rPh>
    <rPh sb="4" eb="6">
      <t>ムコウ</t>
    </rPh>
    <rPh sb="7" eb="9">
      <t>ボウギョ</t>
    </rPh>
    <phoneticPr fontId="5"/>
  </si>
  <si>
    <t>状態異常無効＋防御バフ（R6織田信長）</t>
    <rPh sb="0" eb="4">
      <t>ジョウタイイジョウ</t>
    </rPh>
    <rPh sb="4" eb="6">
      <t>ムコウ</t>
    </rPh>
    <rPh sb="7" eb="9">
      <t>ボウギョ</t>
    </rPh>
    <rPh sb="14" eb="18">
      <t>オダノブナガ</t>
    </rPh>
    <phoneticPr fontId="5"/>
  </si>
  <si>
    <t>状態異常無効＋防御バフ（R5織田信長）</t>
    <rPh sb="0" eb="4">
      <t>ジョウタイイジョウ</t>
    </rPh>
    <rPh sb="4" eb="6">
      <t>ムコウ</t>
    </rPh>
    <rPh sb="7" eb="9">
      <t>ボウギョ</t>
    </rPh>
    <rPh sb="14" eb="18">
      <t>オダノブナガ</t>
    </rPh>
    <phoneticPr fontId="5"/>
  </si>
  <si>
    <t>撃破時セリフ（R5メタトロン）</t>
    <rPh sb="0" eb="3">
      <t>ゲキハジ</t>
    </rPh>
    <phoneticPr fontId="5"/>
  </si>
  <si>
    <t>撃破時セリフ（R6メタトロン）</t>
    <rPh sb="0" eb="3">
      <t>ゲキハジ</t>
    </rPh>
    <phoneticPr fontId="5"/>
  </si>
  <si>
    <t>撃破時セリフ（R5織田信長）</t>
    <rPh sb="0" eb="3">
      <t>ゲキハジ</t>
    </rPh>
    <rPh sb="9" eb="13">
      <t>オダノブナガ</t>
    </rPh>
    <phoneticPr fontId="5"/>
  </si>
  <si>
    <t>撃破時セリフ（R6織田信長）</t>
    <rPh sb="0" eb="3">
      <t>ゲキハジ</t>
    </rPh>
    <rPh sb="9" eb="13">
      <t>オダノブナガ</t>
    </rPh>
    <phoneticPr fontId="5"/>
  </si>
  <si>
    <t>ja</t>
  </si>
  <si>
    <t>ルシファー（1ゲージ目）</t>
    <rPh sb="10" eb="11">
      <t>メ</t>
    </rPh>
    <phoneticPr fontId="5"/>
  </si>
  <si>
    <t>状態異常無効</t>
    <rPh sb="0" eb="4">
      <t>ジョウタイイジョウ</t>
    </rPh>
    <rPh sb="4" eb="6">
      <t>ムコウ</t>
    </rPh>
    <phoneticPr fontId="5"/>
  </si>
  <si>
    <t>許さない許さない許さない
許さない許さない許さない
許さない許さない許さない
許さない許さない許さない！！</t>
    <rPh sb="0" eb="1">
      <t>ユルサナイ</t>
    </rPh>
    <phoneticPr fontId="5"/>
  </si>
  <si>
    <t>ルシファー（2ゲージ目）</t>
    <rPh sb="10" eb="11">
      <t>メ</t>
    </rPh>
    <phoneticPr fontId="5"/>
  </si>
  <si>
    <t>スキルバインド状態のユニットに大ダメージ</t>
    <rPh sb="7" eb="9">
      <t>ジョウタイ</t>
    </rPh>
    <rPh sb="15" eb="16">
      <t>ダイダメージ</t>
    </rPh>
    <phoneticPr fontId="5"/>
  </si>
  <si>
    <t>スリープ状態のユニットに大ダメージ</t>
    <rPh sb="4" eb="6">
      <t>ジョウタイ</t>
    </rPh>
    <rPh sb="12" eb="13">
      <t>ダイダメージ</t>
    </rPh>
    <phoneticPr fontId="5"/>
  </si>
  <si>
    <t>ルシファー（3ゲージ目）</t>
    <rPh sb="10" eb="11">
      <t>メ</t>
    </rPh>
    <phoneticPr fontId="5"/>
  </si>
  <si>
    <t>即死攻撃90</t>
    <rPh sb="0" eb="2">
      <t>ソクシ</t>
    </rPh>
    <rPh sb="2" eb="4">
      <t>コウゲキ</t>
    </rPh>
    <phoneticPr fontId="5"/>
  </si>
  <si>
    <t>即死攻撃70</t>
    <rPh sb="0" eb="2">
      <t>ソクシ</t>
    </rPh>
    <rPh sb="2" eb="4">
      <t>コウゲキ</t>
    </rPh>
    <phoneticPr fontId="5"/>
  </si>
  <si>
    <t>即死攻撃50</t>
    <rPh sb="0" eb="2">
      <t>ソクシ</t>
    </rPh>
    <rPh sb="2" eb="4">
      <t>コウゲキ</t>
    </rPh>
    <phoneticPr fontId="5"/>
  </si>
  <si>
    <t>即死攻撃30</t>
    <rPh sb="0" eb="2">
      <t>ソクシ</t>
    </rPh>
    <rPh sb="2" eb="4">
      <t>コウゲキ</t>
    </rPh>
    <phoneticPr fontId="5"/>
  </si>
  <si>
    <t>即死攻撃20</t>
    <rPh sb="0" eb="2">
      <t>ソクシ</t>
    </rPh>
    <rPh sb="2" eb="4">
      <t>コウゲキ</t>
    </rPh>
    <phoneticPr fontId="5"/>
  </si>
  <si>
    <t>ルシファー（3ゲージ目）</t>
    <phoneticPr fontId="5"/>
  </si>
  <si>
    <t xml:space="preserve">[effect:virus, turn:7, target:unit_all, rate:1, val:0.1, animation:enemy_virus]    </t>
    <phoneticPr fontId="5"/>
  </si>
  <si>
    <t>[effect:rush, count:3, val:0.4]</t>
    <phoneticPr fontId="5"/>
  </si>
  <si>
    <t>[effect:enhance_enemy, target:myself, turn:5, status:attack, val:0.3, calc:mul, animation:enemy_enhance_attack]</t>
    <phoneticPr fontId="5"/>
  </si>
  <si>
    <t>[effect:critical, val:2.0]</t>
    <phoneticPr fontId="5"/>
  </si>
  <si>
    <t>[effect:reduction, target:enemy_all, turn:1, color:all, val:0.5, animation:reduction_one04]</t>
    <phoneticPr fontId="5"/>
  </si>
  <si>
    <t>[effect:nothing]</t>
    <phoneticPr fontId="5"/>
  </si>
  <si>
    <t>[effect:spread, val:0.35]</t>
    <phoneticPr fontId="5"/>
  </si>
  <si>
    <t>[effect:damage_fix_absolute, target:unit_all, val:999999]</t>
    <phoneticPr fontId="5"/>
  </si>
  <si>
    <t>何もしない</t>
    <rPh sb="0" eb="1">
      <t>ナニモシナイ</t>
    </rPh>
    <phoneticPr fontId="5"/>
  </si>
  <si>
    <t>[effect:reduction, target:myself, turn:1, color:all, val:0.9, animation:reduction_one04]</t>
    <phoneticPr fontId="5"/>
  </si>
  <si>
    <t>[effect:damage_anti_abnormal, target:unit_all, target_effect01:hungup, val1:0.5, val2:0.25]</t>
    <phoneticPr fontId="5"/>
  </si>
  <si>
    <t>[effect:damage_anti_abnormal, target:unit_all, target_effect01:sleep, val1:0.5, val2:0.25]</t>
    <phoneticPr fontId="5"/>
  </si>
  <si>
    <t>null</t>
    <phoneticPr fontId="5"/>
  </si>
  <si>
    <t>[effect:enemy_message, val1:2, val2:2, dead_type:suicide]</t>
  </si>
  <si>
    <t>[effect:enemy_message, val1:2, val2:2, dead_type:suicide]</t>
    <phoneticPr fontId="5"/>
  </si>
  <si>
    <t xml:space="preserve">[effect:heal, target:enemy_all, val:0.08, animation:enemy_heal]    </t>
    <phoneticPr fontId="5"/>
  </si>
  <si>
    <t>[effect:tolerance, target:enemy_all, turn:-1, tolerance_effect:virus, count:-1],[effect:tolerance, target:enemy_all, turn:-1, tolerance_effect:hungup, count:-1],[effect:tolerance, target:enemy_all, turn:-1, tolerance_effect:sleep, count:-1, animation:enemy_tolerance],[effect:virus, turn:7, target:unit_all, rate:1, val:0.1, animation:enemy_virus],[effect:fix_speed, target:myself, turn:1]</t>
    <phoneticPr fontId="5"/>
  </si>
  <si>
    <t>[effect:tolerance, target:enemy_all, turn:-1, tolerance_effect:virus, count:-1],[effect:tolerance, target:enemy_all, turn:-1, tolerance_effect:hungup, count:-1],[effect:tolerance, target:enemy_all, turn:-1, tolerance_effect:sleep, count:-1, animation:enemy_tolerance],[effect:enhance_enemy, target:myself, turn:-1, status:defense, val:2500, calc:add, animation:enemy_enhance_defense],[effect:fix_speed, target:myself, turn:1]</t>
    <phoneticPr fontId="5"/>
  </si>
  <si>
    <t>[effect:tolerance, target:enemy_all, turn:-1, tolerance_effect:virus, count:-1],[effect:tolerance, target:enemy_all, turn:-1, tolerance_effect:hungup, count:-1],[effect:tolerance, target:enemy_all, turn:-1, tolerance_effect:sleep, count:-1, animation:enemy_tolerance],[effect:fix_speed, target:myself, turn:1]</t>
    <phoneticPr fontId="5"/>
  </si>
  <si>
    <t>[effect:tolerance, target:enemy_all, turn:-1, tolerance_effect:virus, count:-1],[effect:tolerance, target:enemy_all, turn:-1, tolerance_effect:hungup, count:-1],[effect:tolerance, target:enemy_all, turn:-1, tolerance_effect:sleep, count:-1, animation:enemy_tolerance],[effect:fix_speed, target:myself, turn:1]</t>
    <phoneticPr fontId="5"/>
  </si>
  <si>
    <t>2015-03-27 00:00:00</t>
  </si>
  <si>
    <t>2970-01-01 09:00:00</t>
  </si>
  <si>
    <t>ベルゼブブ（3ゲージ目）</t>
    <rPh sb="10" eb="11">
      <t>メ</t>
    </rPh>
    <phoneticPr fontId="5"/>
  </si>
  <si>
    <t>ベルゼブブ（2ゲージ目）</t>
    <phoneticPr fontId="5"/>
  </si>
  <si>
    <t>ベルゼブブ（2ゲージ目）</t>
    <phoneticPr fontId="5"/>
  </si>
  <si>
    <t>ベルゼブブ（2ゲージ目）</t>
    <phoneticPr fontId="5"/>
  </si>
  <si>
    <t>[effect:change_panel_ratio, turn:3, block_type:red, val:0.1],[effect:change_panel_ratio, turn:3, block_type:blue, val:0.1],[effect:change_panel_ratio, turn:3, block_type:heal, val:0.1, animation:block_incidence04]</t>
    <phoneticPr fontId="5"/>
  </si>
  <si>
    <t>5ターン赤・青・ハートパネルの出現率DOWN</t>
    <rPh sb="4" eb="5">
      <t>アカ</t>
    </rPh>
    <rPh sb="6" eb="7">
      <t>アオ</t>
    </rPh>
    <rPh sb="15" eb="18">
      <t>シュツゲンリツ</t>
    </rPh>
    <phoneticPr fontId="5"/>
  </si>
  <si>
    <t>null</t>
    <phoneticPr fontId="5"/>
  </si>
  <si>
    <t>緑パネル10個プロテクト＋全体攻撃</t>
    <rPh sb="0" eb="1">
      <t>ミドリ</t>
    </rPh>
    <rPh sb="6" eb="7">
      <t>コ</t>
    </rPh>
    <rPh sb="13" eb="15">
      <t>ゼンタイ</t>
    </rPh>
    <rPh sb="15" eb="17">
      <t>コウゲキ</t>
    </rPh>
    <phoneticPr fontId="5"/>
  </si>
  <si>
    <t>黄パネル10個プロテクト＋全体攻撃</t>
    <rPh sb="0" eb="1">
      <t>キイロ</t>
    </rPh>
    <rPh sb="6" eb="7">
      <t>コ</t>
    </rPh>
    <rPh sb="13" eb="15">
      <t>ゼンタイ</t>
    </rPh>
    <rPh sb="15" eb="17">
      <t>コウゲキ</t>
    </rPh>
    <phoneticPr fontId="5"/>
  </si>
  <si>
    <t>[effect:panel_freeze, target:block_yellow, count:10],[effect:spread, val:0.4]</t>
    <phoneticPr fontId="5"/>
  </si>
  <si>
    <t>[effect:fix_speed, target:enemy_red, turn:1],[effect:fix_speed, target:enemy_yellow, turn:8],[effect:fix_speed, target:enemy_green, turn:2]</t>
    <phoneticPr fontId="5"/>
  </si>
  <si>
    <t>[effect:spread, val:0.4]</t>
    <phoneticPr fontId="5"/>
  </si>
  <si>
    <t>5ターン攻撃力75%DOWN＋攻撃</t>
    <rPh sb="4" eb="7">
      <t>コウゲキリョク</t>
    </rPh>
    <rPh sb="15" eb="17">
      <t>コウゲキ</t>
    </rPh>
    <phoneticPr fontId="5"/>
  </si>
  <si>
    <t>5ターン回復力75%DOWN＋攻撃</t>
    <rPh sb="4" eb="7">
      <t>カイフクリョク</t>
    </rPh>
    <rPh sb="15" eb="17">
      <t>コウゲキ</t>
    </rPh>
    <phoneticPr fontId="5"/>
  </si>
  <si>
    <t>3ターンタップ回数DOWN＋攻撃</t>
    <rPh sb="7" eb="9">
      <t>カイスウ</t>
    </rPh>
    <rPh sb="14" eb="16">
      <t>コウゲキ</t>
    </rPh>
    <phoneticPr fontId="5"/>
  </si>
  <si>
    <t>[effect:rush, count:12, val:0.4]</t>
    <phoneticPr fontId="5"/>
  </si>
  <si>
    <t>[effect:degrade_unit, target:unit_all, turn:5, status:attack, val:0.75, calc:mul],[effect:rush, count:1, val:0.75]</t>
    <phoneticPr fontId="5"/>
  </si>
  <si>
    <t>[effect:degrade_unit, target:unit_all, turn:5, status:heal, val:0.75, calc:mul, animation:degrade_unit_all_heal],[effect:rush, count:1, val:0.75]</t>
    <phoneticPr fontId="5"/>
  </si>
  <si>
    <t>[effect:degrade_unit, target:unit_all, turn:3, status:action, val:1, calc:mul, animation:enemy_tap_down],[effect:rush, count:1, val:0.75]</t>
    <phoneticPr fontId="5"/>
  </si>
  <si>
    <t>3ターン緑パネルロック＋攻撃力50%DOWN</t>
    <rPh sb="4" eb="5">
      <t>ミドリ</t>
    </rPh>
    <rPh sb="12" eb="15">
      <t>コウゲキリョク</t>
    </rPh>
    <phoneticPr fontId="5"/>
  </si>
  <si>
    <t>5ターン赤・青パネルの出現率DOWN</t>
    <phoneticPr fontId="5"/>
  </si>
  <si>
    <t>5ターン赤・青パネルの出現率DOWN（R5メタトロン）</t>
    <phoneticPr fontId="5"/>
  </si>
  <si>
    <t>5ターン赤・青パネルの出現率DOWN（R6メタトロン）</t>
    <phoneticPr fontId="5"/>
  </si>
  <si>
    <t>5ターン赤・青パネルの出現率DOWN（R5織田信長）</t>
    <rPh sb="21" eb="25">
      <t>オダノブナガ</t>
    </rPh>
    <phoneticPr fontId="5"/>
  </si>
  <si>
    <t>5ターン赤・青パネルの出現率DOWN（R6織田信長）</t>
    <rPh sb="21" eb="25">
      <t>オダノブナガ</t>
    </rPh>
    <phoneticPr fontId="5"/>
  </si>
  <si>
    <t>全体攻撃</t>
    <rPh sb="0" eb="4">
      <t>ゼンタイコウゲキ</t>
    </rPh>
    <phoneticPr fontId="5"/>
  </si>
  <si>
    <t>[effect:break_heal_ratio, val:0.01, lowest_val:3000, count:30, block:block_red, target:myself, animation:enemy_heal]</t>
    <phoneticPr fontId="5"/>
  </si>
  <si>
    <t>[effect:break_heal_ratio, val:0.01, lowest_val:3000, count:30, block:block_blue, target:myself, animation:enemy_heal]</t>
    <phoneticPr fontId="5"/>
  </si>
  <si>
    <t>[effect:break_heal_ratio, val:0.01, lowest_val:3000, count:30, block:block_green, target:myself, animation:enemy_heal]</t>
    <phoneticPr fontId="5"/>
  </si>
  <si>
    <t xml:space="preserve">[effect:break_heal_ratio, val:0.01, lowest_val:3000, count:30, block:block_yellow, target:myself, animation:enemy_heal]    </t>
    <phoneticPr fontId="5"/>
  </si>
  <si>
    <t>スキルバインド＋全体攻撃</t>
    <rPh sb="8" eb="12">
      <t>ゼンタイコウゲキ</t>
    </rPh>
    <phoneticPr fontId="5"/>
  </si>
  <si>
    <t>スリープ＋全体攻撃</t>
    <rPh sb="5" eb="9">
      <t>ゼンタイコウゲキ</t>
    </rPh>
    <phoneticPr fontId="5"/>
  </si>
  <si>
    <t>[effect:tolerance, target:enemy_all, turn:-1, tolerance_effect:virus, count:-1],[effect:tolerance, target:enemy_all, turn:-1, tolerance_effect:hungup, count:-1],[effect:tolerance, target:enemy_all, turn:-1, tolerance_effect:sleep, count:-1, animation:enemy_tolerance],[effect:fix_speed, target:myself, turn:1],[effect:hungup, target:unit_all, turn:5, rate:1, animation:hungup01]</t>
    <phoneticPr fontId="5"/>
  </si>
  <si>
    <t>状態異常無効＋5ターンスキルバインド（R5織田信長）</t>
    <rPh sb="0" eb="4">
      <t>ジョウタイイジョウ</t>
    </rPh>
    <rPh sb="4" eb="6">
      <t>ムコウ</t>
    </rPh>
    <rPh sb="21" eb="25">
      <t>オダノブナガ</t>
    </rPh>
    <phoneticPr fontId="5"/>
  </si>
  <si>
    <t>状態異常無効＋5ターンスキルバインド（R6織田信長）</t>
    <rPh sb="0" eb="4">
      <t>ジョウタイイジョウ</t>
    </rPh>
    <rPh sb="4" eb="6">
      <t>ムコウ</t>
    </rPh>
    <rPh sb="21" eb="25">
      <t>オダノブナガ</t>
    </rPh>
    <phoneticPr fontId="5"/>
  </si>
  <si>
    <t>[effect:tolerance, target:enemy_all, turn:-1, tolerance_effect:virus, count:-1],[effect:tolerance, target:enemy_all, turn:-1, tolerance_effect:hungup, count:-1],[effect:tolerance, target:enemy_all, turn:-1, tolerance_effect:sleep, count:-1, animation:enemy_tolerance],[effect:change_panel_ratio, turn:5, block_type:red, val:0.05],[effect:change_panel_ratio, turn:5, block_type:blue, val:0.05],[effect:fix_speed, target:myself, turn:1]</t>
    <phoneticPr fontId="5"/>
  </si>
  <si>
    <t>[effect:spread, val:0.33]</t>
    <phoneticPr fontId="5"/>
  </si>
  <si>
    <t>[effect:sleep, target:unit_all, turn:1, rate:1, animation:sleep01],[effect:spread, val:0.3]</t>
    <phoneticPr fontId="5"/>
  </si>
  <si>
    <t>[effect:hungup, target:unit_all, turn:1, rate:1, animation:hungup01],[effect:spread, val:0.3]</t>
    <phoneticPr fontId="5"/>
  </si>
  <si>
    <t>メタトロン…やはり来たか</t>
    <rPh sb="9" eb="10">
      <t>キタカ</t>
    </rPh>
    <phoneticPr fontId="5"/>
  </si>
  <si>
    <t>激烈クリティカル！</t>
    <rPh sb="0" eb="2">
      <t>ゲキレツ</t>
    </rPh>
    <phoneticPr fontId="5"/>
  </si>
  <si>
    <t>限界出力！いきますっ！</t>
    <rPh sb="0" eb="4">
      <t>ゲンカイシュツリョク</t>
    </rPh>
    <phoneticPr fontId="5"/>
  </si>
  <si>
    <t>デルタボム</t>
    <phoneticPr fontId="5"/>
  </si>
  <si>
    <t>ファイアウォール</t>
    <phoneticPr fontId="5"/>
  </si>
  <si>
    <t>あったまってきたぜ…！</t>
    <phoneticPr fontId="5"/>
  </si>
  <si>
    <t>ヒールカーテン</t>
    <phoneticPr fontId="5"/>
  </si>
  <si>
    <t>リーフシールド</t>
    <phoneticPr fontId="5"/>
  </si>
  <si>
    <t>咲かせてみせましょう…！</t>
    <rPh sb="0" eb="1">
      <t>サカセテ</t>
    </rPh>
    <phoneticPr fontId="5"/>
  </si>
  <si>
    <t>5ターン自身の攻撃力UP</t>
    <rPh sb="4" eb="6">
      <t>ジシンノ</t>
    </rPh>
    <rPh sb="7" eb="10">
      <t>コウゲキリョク</t>
    </rPh>
    <phoneticPr fontId="5"/>
  </si>
  <si>
    <t>1ターン全属性ダメージ50%軽減</t>
    <rPh sb="4" eb="5">
      <t>ゼンタイ</t>
    </rPh>
    <rPh sb="5" eb="7">
      <t>ゾクセイ</t>
    </rPh>
    <rPh sb="14" eb="16">
      <t>ケイゲン</t>
    </rPh>
    <phoneticPr fontId="5"/>
  </si>
  <si>
    <t>5ターン攻撃頻度が1にUP</t>
    <rPh sb="4" eb="8">
      <t>コウゲキヒンド</t>
    </rPh>
    <phoneticPr fontId="5"/>
  </si>
  <si>
    <t>ギッタギタにされたいのはどこの誰かな〜！？</t>
    <rPh sb="15" eb="16">
      <t>ダレカナ</t>
    </rPh>
    <phoneticPr fontId="5"/>
  </si>
  <si>
    <t>女にばっか手ェ出しやがって</t>
    <rPh sb="0" eb="1">
      <t>オンナ</t>
    </rPh>
    <rPh sb="5" eb="6">
      <t>テ</t>
    </rPh>
    <rPh sb="7" eb="8">
      <t>ダシヤガッテ</t>
    </rPh>
    <phoneticPr fontId="5"/>
  </si>
  <si>
    <t>相変わらず騒がしい奴だ</t>
    <rPh sb="0" eb="2">
      <t>アイカワラズ</t>
    </rPh>
    <rPh sb="5" eb="6">
      <t>サワガシイ</t>
    </rPh>
    <rPh sb="9" eb="10">
      <t>ヤツ</t>
    </rPh>
    <phoneticPr fontId="5"/>
  </si>
  <si>
    <t>トゥルーバレット</t>
    <phoneticPr fontId="5"/>
  </si>
  <si>
    <t>だんだん強くなる固定ダメージ！</t>
    <rPh sb="4" eb="5">
      <t>ツヨクナル</t>
    </rPh>
    <rPh sb="8" eb="10">
      <t>コテイ</t>
    </rPh>
    <phoneticPr fontId="5"/>
  </si>
  <si>
    <t>じわじわ効いてくるだろう？</t>
    <rPh sb="4" eb="5">
      <t>キイテクル</t>
    </rPh>
    <phoneticPr fontId="5"/>
  </si>
  <si>
    <t>そら　もう一発だ！</t>
    <rPh sb="5" eb="7">
      <t>イッパツダ</t>
    </rPh>
    <phoneticPr fontId="5"/>
  </si>
  <si>
    <t>これでも耐えられるか？</t>
    <rPh sb="4" eb="5">
      <t>タエラレル</t>
    </rPh>
    <phoneticPr fontId="5"/>
  </si>
  <si>
    <t>いい加減あきらめな！</t>
    <phoneticPr fontId="5"/>
  </si>
  <si>
    <t>ケジメつけてもらうぜ！</t>
    <phoneticPr fontId="5"/>
  </si>
  <si>
    <t>ありゃ　ちょっとヤバイかも？</t>
    <phoneticPr fontId="5"/>
  </si>
  <si>
    <t>必死になんのダサいけど…仕方ないなぁ！</t>
    <rPh sb="0" eb="2">
      <t>ヒッシ</t>
    </rPh>
    <rPh sb="12" eb="14">
      <t>シカタナイ</t>
    </rPh>
    <phoneticPr fontId="5"/>
  </si>
  <si>
    <t>あはは！ザクザクいくよん！</t>
    <phoneticPr fontId="5"/>
  </si>
  <si>
    <t>アームブレイカー</t>
    <phoneticPr fontId="5"/>
  </si>
  <si>
    <t>ソウルブレイカー</t>
    <phoneticPr fontId="5"/>
  </si>
  <si>
    <t>彼女の奪還はお前に任せる</t>
    <phoneticPr fontId="5"/>
  </si>
  <si>
    <t>彼女の奪還はお前に任せる</t>
    <phoneticPr fontId="5"/>
  </si>
  <si>
    <t>…少し手を貸してやろう</t>
    <rPh sb="1" eb="2">
      <t>スコシ</t>
    </rPh>
    <rPh sb="3" eb="4">
      <t>テヲ</t>
    </rPh>
    <rPh sb="5" eb="6">
      <t>カシテヤル</t>
    </rPh>
    <phoneticPr fontId="5"/>
  </si>
  <si>
    <t>お姉様のために…！</t>
    <phoneticPr fontId="5"/>
  </si>
  <si>
    <t>この先へは行かせません！</t>
    <rPh sb="5" eb="6">
      <t>イカセマセン</t>
    </rPh>
    <phoneticPr fontId="5"/>
  </si>
  <si>
    <t>ま　仕事ができりゃ構わねェがな</t>
    <rPh sb="2" eb="4">
      <t>シゴト</t>
    </rPh>
    <rPh sb="9" eb="10">
      <t>カマウ</t>
    </rPh>
    <phoneticPr fontId="5"/>
  </si>
  <si>
    <t>ウェポンブレイカー</t>
    <phoneticPr fontId="5"/>
  </si>
  <si>
    <t>凄まじい力の増幅を感じる…！
【！】次のターン超強力な連続攻撃【！】</t>
    <rPh sb="0" eb="1">
      <t>スサマジイ</t>
    </rPh>
    <rPh sb="4" eb="5">
      <t>チカラ</t>
    </rPh>
    <rPh sb="6" eb="8">
      <t>ゾウフク</t>
    </rPh>
    <rPh sb="9" eb="10">
      <t>カンジル</t>
    </rPh>
    <rPh sb="18" eb="19">
      <t>ツギノ</t>
    </rPh>
    <rPh sb="23" eb="24">
      <t>チョウ</t>
    </rPh>
    <rPh sb="24" eb="26">
      <t>キョウリョク</t>
    </rPh>
    <rPh sb="27" eb="29">
      <t>レンゾク</t>
    </rPh>
    <rPh sb="29" eb="31">
      <t>コウゲキ</t>
    </rPh>
    <phoneticPr fontId="5"/>
  </si>
  <si>
    <t>よくもベルゼを……</t>
    <phoneticPr fontId="5"/>
  </si>
  <si>
    <t>許さない！</t>
    <rPh sb="0" eb="1">
      <t>ユルサナイ</t>
    </rPh>
    <phoneticPr fontId="5"/>
  </si>
  <si>
    <t>9999の固定ダメージ</t>
    <rPh sb="5" eb="7">
      <t>コテイ</t>
    </rPh>
    <phoneticPr fontId="5"/>
  </si>
  <si>
    <t>[effect:damage_fix_absolute, target:unit_one, val:9000]</t>
    <phoneticPr fontId="5"/>
  </si>
  <si>
    <t>[effect:damage_fix_absolute, target:unit_one, val:8000]</t>
    <phoneticPr fontId="5"/>
  </si>
  <si>
    <t>[effect:damage_fix_absolute, target:unit_one, val:7000]</t>
    <phoneticPr fontId="5"/>
  </si>
  <si>
    <t>[effect:damage_fix_absolute, target:unit_one, val:6000]</t>
    <phoneticPr fontId="5"/>
  </si>
  <si>
    <t>[effect:damage_fix_absolute, target:unit_one, val:5000]</t>
    <phoneticPr fontId="5"/>
  </si>
  <si>
    <t>[effect:damage_fix_absolute, target:unit_one, val:9999]</t>
    <phoneticPr fontId="5"/>
  </si>
  <si>
    <t>バランスタイプユニットのプラス効果を解除</t>
    <phoneticPr fontId="5"/>
  </si>
  <si>
    <t>やだ…力が抑えられない…！</t>
    <rPh sb="3" eb="4">
      <t>チカラガ</t>
    </rPh>
    <rPh sb="5" eb="6">
      <t>オサエラレナイ</t>
    </rPh>
    <phoneticPr fontId="5"/>
  </si>
  <si>
    <t>私の力は何があっても…</t>
    <rPh sb="0" eb="1">
      <t>ワタシノ</t>
    </rPh>
    <rPh sb="2" eb="3">
      <t>チカラ</t>
    </rPh>
    <rPh sb="4" eb="5">
      <t>ナニガ</t>
    </rPh>
    <phoneticPr fontId="5"/>
  </si>
  <si>
    <t>うう…あぁぁッ！！</t>
    <phoneticPr fontId="5"/>
  </si>
  <si>
    <t>たとえこの身がどうなろうと…！！</t>
    <phoneticPr fontId="5"/>
  </si>
  <si>
    <t>息をつく暇も与えないッ！</t>
    <phoneticPr fontId="5"/>
  </si>
  <si>
    <t>このまま地獄に突き落としてやる！</t>
    <phoneticPr fontId="5"/>
  </si>
  <si>
    <t>１ッ！２ッ！３ッ！</t>
    <phoneticPr fontId="5"/>
  </si>
  <si>
    <t>４ッ！５ッ！</t>
    <phoneticPr fontId="5"/>
  </si>
  <si>
    <t>恨んでくれて結構！</t>
    <phoneticPr fontId="5"/>
  </si>
  <si>
    <t>今のアタシに…気取ってる余裕はないのよ</t>
    <phoneticPr fontId="5"/>
  </si>
  <si>
    <t>EXTINCTION</t>
    <phoneticPr fontId="5"/>
  </si>
  <si>
    <t>システム起動進行率……50%</t>
    <rPh sb="4" eb="6">
      <t>キドウリツ</t>
    </rPh>
    <rPh sb="6" eb="9">
      <t>シンコウリツ</t>
    </rPh>
    <phoneticPr fontId="5"/>
  </si>
  <si>
    <t>システム起動進行率……75%</t>
    <rPh sb="4" eb="6">
      <t>キドウリツ</t>
    </rPh>
    <rPh sb="6" eb="9">
      <t>シンコウリツ</t>
    </rPh>
    <phoneticPr fontId="5"/>
  </si>
  <si>
    <t>システム起動進行率……88%</t>
    <rPh sb="4" eb="6">
      <t>キドウリツ</t>
    </rPh>
    <rPh sb="6" eb="9">
      <t>シンコウリツ</t>
    </rPh>
    <phoneticPr fontId="5"/>
  </si>
  <si>
    <t>システム起動進行率……96%</t>
    <rPh sb="4" eb="6">
      <t>キドウリツ</t>
    </rPh>
    <rPh sb="6" eb="9">
      <t>シンコウリツ</t>
    </rPh>
    <phoneticPr fontId="5"/>
  </si>
  <si>
    <t>『致命的なエラーを検知』</t>
    <rPh sb="1" eb="4">
      <t>チメイテキナ</t>
    </rPh>
    <rPh sb="9" eb="11">
      <t>ケンチ</t>
    </rPh>
    <phoneticPr fontId="5"/>
  </si>
  <si>
    <t>もう…こんなこと…</t>
    <phoneticPr fontId="5"/>
  </si>
  <si>
    <t>『障害となるノイズを遮断』</t>
    <rPh sb="1" eb="3">
      <t>ショウガイ</t>
    </rPh>
    <rPh sb="10" eb="12">
      <t>シャダン</t>
    </rPh>
    <phoneticPr fontId="5"/>
  </si>
  <si>
    <t>私もふつうになりたい…なんて…</t>
    <rPh sb="0" eb="1">
      <t>ワタシモ</t>
    </rPh>
    <phoneticPr fontId="5"/>
  </si>
  <si>
    <t>アスタロト！力を借りるわよ！</t>
    <rPh sb="6" eb="7">
      <t>チカラヲ</t>
    </rPh>
    <rPh sb="8" eb="9">
      <t>カリル</t>
    </rPh>
    <phoneticPr fontId="5"/>
  </si>
  <si>
    <t>絶望に浸りなさい！</t>
    <rPh sb="0" eb="2">
      <t>ゼツボウ</t>
    </rPh>
    <rPh sb="3" eb="4">
      <t>ヒタリナサイ</t>
    </rPh>
    <phoneticPr fontId="5"/>
  </si>
  <si>
    <t>悪いけど本気でイカせてもらうワヨ？</t>
    <rPh sb="0" eb="1">
      <t>ワルイケド</t>
    </rPh>
    <rPh sb="4" eb="6">
      <t>ホンキデ</t>
    </rPh>
    <phoneticPr fontId="5"/>
  </si>
  <si>
    <t>ここまで突破してくるなんてね</t>
    <rPh sb="4" eb="6">
      <t>トッパ</t>
    </rPh>
    <phoneticPr fontId="5"/>
  </si>
  <si>
    <t>覚悟が足りていないのよ</t>
    <rPh sb="0" eb="2">
      <t>カクゴガ</t>
    </rPh>
    <rPh sb="3" eb="4">
      <t>タリテ</t>
    </rPh>
    <phoneticPr fontId="5"/>
  </si>
  <si>
    <t>アタシの愛で溺れなさい！</t>
    <rPh sb="4" eb="5">
      <t>アイ</t>
    </rPh>
    <rPh sb="6" eb="7">
      <t>オボレル</t>
    </rPh>
    <phoneticPr fontId="5"/>
  </si>
  <si>
    <t>逃げるのよ…ルシファー…</t>
    <rPh sb="0" eb="1">
      <t>ニゲルノヨ</t>
    </rPh>
    <phoneticPr fontId="5"/>
  </si>
  <si>
    <t>アンタは…戦っちゃ…ダメ…</t>
    <rPh sb="5" eb="6">
      <t>タタカッチャ</t>
    </rPh>
    <phoneticPr fontId="5"/>
  </si>
  <si>
    <t>クッ…行かせるものか…</t>
    <phoneticPr fontId="5"/>
  </si>
  <si>
    <t>これが全てを穿つ力よ！</t>
    <rPh sb="3" eb="4">
      <t>スベテ</t>
    </rPh>
    <rPh sb="6" eb="7">
      <t>ウガツ</t>
    </rPh>
    <rPh sb="8" eb="9">
      <t>チカラ</t>
    </rPh>
    <phoneticPr fontId="5"/>
  </si>
  <si>
    <t>全然堪えないわね</t>
    <rPh sb="0" eb="2">
      <t>ゼンゼン</t>
    </rPh>
    <rPh sb="2" eb="3">
      <t>コタエナイ</t>
    </rPh>
    <phoneticPr fontId="5"/>
  </si>
  <si>
    <t>何度でも立ち塞がるわ</t>
    <rPh sb="0" eb="2">
      <t>ナンドデモ</t>
    </rPh>
    <rPh sb="4" eb="5">
      <t>タチハダカル</t>
    </rPh>
    <rPh sb="6" eb="7">
      <t>フサガル</t>
    </rPh>
    <phoneticPr fontId="5"/>
  </si>
  <si>
    <t>私はやりたくない……！</t>
    <rPh sb="0" eb="1">
      <t>ワタシハ</t>
    </rPh>
    <phoneticPr fontId="5"/>
  </si>
  <si>
    <t>[effect:freq_turn, target:enemy_myself, turn:5, val:1, animation:enemy_freq_turn]</t>
    <phoneticPr fontId="5"/>
  </si>
  <si>
    <t>認めるわ　アンタは強い</t>
    <rPh sb="0" eb="1">
      <t>ミトメル</t>
    </rPh>
    <rPh sb="9" eb="10">
      <t>ツヨイ</t>
    </rPh>
    <phoneticPr fontId="5"/>
  </si>
  <si>
    <t>でもね…アタシにも譲れないものがあるのよ！</t>
    <rPh sb="9" eb="10">
      <t>ユズレナイ</t>
    </rPh>
    <phoneticPr fontId="5"/>
  </si>
  <si>
    <t>これならどうかしら！？</t>
    <phoneticPr fontId="5"/>
  </si>
  <si>
    <t>押し潰してアゲル！</t>
    <rPh sb="0" eb="1">
      <t>オシツブシテ</t>
    </rPh>
    <phoneticPr fontId="5"/>
  </si>
  <si>
    <t>この程度で勝ってるつもり？</t>
    <rPh sb="5" eb="6">
      <t>カッテ</t>
    </rPh>
    <phoneticPr fontId="5"/>
  </si>
  <si>
    <t>3ターン回復力50%DOWN＋攻撃</t>
    <phoneticPr fontId="5"/>
  </si>
  <si>
    <t>[effect:degrade_unit, target:unit_all, turn:3, status:heal, val:0.5, calc:mul, animation:degrade_unit_all_heal],[effect:rush, count:1, val:0.5]</t>
    <phoneticPr fontId="5"/>
  </si>
  <si>
    <t>[effect:tolerance, target:myself, turn:-1, tolerance_effect:virus, count:-1],[effect:tolerance, target:myself, turn:-1, tolerance_effect:hungup, count:-1],[effect:tolerance, target:myself, turn:-1, tolerance_effect:sleep, count:-1, animation:enemy_tolerance],[effect:fix_speed, target:myself, turn:1]</t>
    <phoneticPr fontId="5"/>
  </si>
  <si>
    <t>[effect:tolerance, target:myself, turn:-1, tolerance_effect:virus, count:-1],[effect:tolerance, target:myself, turn:-1, tolerance_effect:hungup, count:-1],[effect:tolerance, target:myself, turn:-1, tolerance_effect:sleep, count:-1, animation:enemy_tolerance],[effect:enhance_enemy, target:myself, turn:-1, status:defense, val:2500, calc:add, animation:enemy_enhance_defense],[effect:fix_speed, target:myself, turn:1]</t>
    <phoneticPr fontId="5"/>
  </si>
  <si>
    <t>[effect:tolerance, target:myself, turn:-1, tolerance_effect:virus, count:-1],[effect:tolerance, target:myself, turn:-1, tolerance_effect:hungup, count:-1],[effect:tolerance, target:myself, turn:-1, tolerance_effect:sleep, count:-1, animation:enemy_tolerance],[effect:remove_enhancement, target:unit_balance, target_effect:all, target_type:buff, animation:frozen_wave],[effect:fix_speed, target:myself, turn:1]</t>
    <phoneticPr fontId="5"/>
  </si>
  <si>
    <t>せいぜい無駄にしないことだ</t>
    <rPh sb="4" eb="6">
      <t>ムダニ</t>
    </rPh>
    <phoneticPr fontId="5"/>
  </si>
  <si>
    <t>[effect:enhance_unit, target:unit_all, turn:45, status:defense, val:1440, calc:add],[effect:suicide, val:1, dead_type:escape]</t>
    <phoneticPr fontId="5"/>
  </si>
  <si>
    <t>[effect:degrade_unit, target:unit_all, turn:2, status:heal, val:0.5, calc:mul, animation:degrade_unit_all_heal]</t>
    <phoneticPr fontId="5"/>
  </si>
  <si>
    <t>[effect:rush, count:2, val:0.5]</t>
    <phoneticPr fontId="5"/>
  </si>
  <si>
    <t>『最終執行システムは正常に終了しました』</t>
    <rPh sb="1" eb="5">
      <t>サイシュウシッコウ</t>
    </rPh>
    <phoneticPr fontId="5"/>
  </si>
  <si>
    <t>[effect:enemy_message, val1:1.5, val2:2.4],[effect:tolerance, target:myself, turn:-1, tolerance_effect:virus, count:-1],[effect:tolerance, target:myself, turn:-1, tolerance_effect:hungup, count:-1],[effect:tolerance, target:myself, turn:-1, tolerance_effect:sleep, count:-1, animation:enemy_tolerance],[effect:virus, turn:7, target:unit_all, rate:1, val:0.1, animation:enemy_virus],[effect:fix_speed, target:myself, turn:1]</t>
    <phoneticPr fontId="5"/>
  </si>
  <si>
    <t>[effect:enemy_message, val1:1.2, val2:2.4],[effect:remove_enhancement, target:unit_all, target_effect:all, target_type:buff, animation:frozen_wave],[effect:critical, val:10]</t>
    <phoneticPr fontId="5"/>
  </si>
  <si>
    <t>[effect:enemy_message, val1:1.5, val2:2.8],[effect:tolerance, target:myself, turn:-1, tolerance_effect:virus, count:-1],[effect:tolerance, target:myself, turn:-1, tolerance_effect:hungup, count:-1],[effect:tolerance, target:myself, turn:-1, tolerance_effect:sleep, count:-1, animation:enemy_tolerance],[effect:fix_speed, target:myself, turn:1]</t>
    <phoneticPr fontId="5"/>
  </si>
  <si>
    <t>[effect:enemy_message, val1:2, val2:2.5, dead_type:suicide]</t>
    <phoneticPr fontId="5"/>
  </si>
  <si>
    <t>[effect:enemy_message, val1:1.2, val2:2.0],[effect:fix_speed, target:myself, turn:1]</t>
    <phoneticPr fontId="5"/>
  </si>
  <si>
    <t>ウリエルは毎ターン攻撃してくるうえ
6ターン経過すると攻撃力をUPします
早めに倒してしまうのが良いでしょう</t>
    <rPh sb="5" eb="6">
      <t>マイターン</t>
    </rPh>
    <rPh sb="9" eb="11">
      <t>コウゲキ</t>
    </rPh>
    <rPh sb="22" eb="24">
      <t>ケイカ</t>
    </rPh>
    <rPh sb="27" eb="30">
      <t>コウゲキリョク</t>
    </rPh>
    <rPh sb="38" eb="39">
      <t>ハヤメニ</t>
    </rPh>
    <rPh sb="41" eb="42">
      <t>タオシテ</t>
    </rPh>
    <rPh sb="49" eb="50">
      <t>ヨイ</t>
    </rPh>
    <phoneticPr fontId="5"/>
  </si>
  <si>
    <t>ミカエルは行動が非常に遅いですが
そのぶん強力無比な一撃を放ちます
先に倒すか軽減のスキルで耐えましょう</t>
    <rPh sb="5" eb="7">
      <t>コウドウ</t>
    </rPh>
    <rPh sb="8" eb="10">
      <t>ヒジョウニ</t>
    </rPh>
    <rPh sb="11" eb="12">
      <t>オソイ</t>
    </rPh>
    <rPh sb="21" eb="25">
      <t>キョウリョクムヒ</t>
    </rPh>
    <rPh sb="26" eb="28">
      <t>イチゲキ</t>
    </rPh>
    <rPh sb="29" eb="30">
      <t>ハナチマス</t>
    </rPh>
    <rPh sb="35" eb="36">
      <t>サキニ</t>
    </rPh>
    <rPh sb="37" eb="38">
      <t>タオス</t>
    </rPh>
    <rPh sb="40" eb="42">
      <t>ケイゲン</t>
    </rPh>
    <rPh sb="47" eb="48">
      <t>タエ</t>
    </rPh>
    <phoneticPr fontId="5"/>
  </si>
  <si>
    <t>ガブリエルは支援系のスキルを使います
直接的な攻撃はあまりしてこないので
狙うのは最後にすると良いでしょう</t>
    <rPh sb="6" eb="8">
      <t>シエn</t>
    </rPh>
    <rPh sb="8" eb="9">
      <t>ケイ</t>
    </rPh>
    <rPh sb="14" eb="15">
      <t>ツカイマス</t>
    </rPh>
    <rPh sb="20" eb="23">
      <t>チョクセツテキナ</t>
    </rPh>
    <rPh sb="24" eb="26">
      <t>コウゲキハ</t>
    </rPh>
    <rPh sb="38" eb="39">
      <t>ネラウノハ</t>
    </rPh>
    <rPh sb="42" eb="44">
      <t>サイゴニ</t>
    </rPh>
    <rPh sb="48" eb="49">
      <t>ヨイ</t>
    </rPh>
    <phoneticPr fontId="5"/>
  </si>
  <si>
    <t>サキエルはステータスDOWN系の
スキルで行動を阻害してきます
ステータスUP系のスキルで対抗しましょう</t>
    <rPh sb="14" eb="15">
      <t>ケイ</t>
    </rPh>
    <rPh sb="21" eb="23">
      <t>コウドウヲ</t>
    </rPh>
    <rPh sb="24" eb="26">
      <t>ソガイ</t>
    </rPh>
    <rPh sb="40" eb="41">
      <t>ケイ</t>
    </rPh>
    <rPh sb="46" eb="48">
      <t>タイコウ</t>
    </rPh>
    <phoneticPr fontId="5"/>
  </si>
  <si>
    <t>フラウロスの攻撃はターンが経過すると
少しずつ威力が上昇していきます
耐えられなくなる前に倒しましょう</t>
    <rPh sb="6" eb="8">
      <t>コウゲキハ</t>
    </rPh>
    <rPh sb="13" eb="15">
      <t>ケイカ</t>
    </rPh>
    <rPh sb="19" eb="20">
      <t>スコシズツ</t>
    </rPh>
    <rPh sb="23" eb="25">
      <t>イリョクガ</t>
    </rPh>
    <rPh sb="26" eb="28">
      <t>ジョウショウ</t>
    </rPh>
    <rPh sb="36" eb="37">
      <t>タエラレナクナル</t>
    </rPh>
    <rPh sb="44" eb="45">
      <t>マエニ</t>
    </rPh>
    <rPh sb="46" eb="47">
      <t>タオシマショウ</t>
    </rPh>
    <phoneticPr fontId="5"/>
  </si>
  <si>
    <t>緑の力を封じるわ</t>
    <rPh sb="0" eb="1">
      <t>ミドリノ</t>
    </rPh>
    <rPh sb="2" eb="3">
      <t>チカラ</t>
    </rPh>
    <rPh sb="4" eb="5">
      <t>フウジサセテ</t>
    </rPh>
    <phoneticPr fontId="5"/>
  </si>
  <si>
    <t>黄の力を封じるわ</t>
    <rPh sb="0" eb="1">
      <t>キイロ</t>
    </rPh>
    <rPh sb="2" eb="3">
      <t>チカラ</t>
    </rPh>
    <rPh sb="4" eb="5">
      <t>フウジサセテ</t>
    </rPh>
    <phoneticPr fontId="5"/>
  </si>
  <si>
    <t>緑・黄パネル吸収攻撃（最大20個まで）</t>
    <rPh sb="0" eb="1">
      <t>ミドリ</t>
    </rPh>
    <rPh sb="2" eb="3">
      <t>キイロ</t>
    </rPh>
    <rPh sb="6" eb="8">
      <t>キュウシュウ</t>
    </rPh>
    <rPh sb="8" eb="10">
      <t>コウゲキ</t>
    </rPh>
    <rPh sb="11" eb="13">
      <t>サイダイ</t>
    </rPh>
    <rPh sb="15" eb="16">
      <t>コ</t>
    </rPh>
    <phoneticPr fontId="5"/>
  </si>
  <si>
    <t>[effect:panel_freeze, target:block_green, count:10],[effect:spread, val:0.4]</t>
    <phoneticPr fontId="5"/>
  </si>
  <si>
    <t>[effect:rush, count:3, val:0.5]</t>
    <phoneticPr fontId="5"/>
  </si>
  <si>
    <t>[effect:spread, val:0.35]</t>
    <phoneticPr fontId="5"/>
  </si>
  <si>
    <t>『最終執行　強制発動シーケンスに移行』
全ユニットのスキルが使えなくなる！</t>
    <rPh sb="1" eb="5">
      <t>サイシュウシッコウ</t>
    </rPh>
    <rPh sb="6" eb="10">
      <t>キョウセイハツドウ</t>
    </rPh>
    <rPh sb="16" eb="18">
      <t>イコウ</t>
    </rPh>
    <rPh sb="20" eb="21">
      <t>ゼン</t>
    </rPh>
    <rPh sb="30" eb="31">
      <t>ツカエナクナル</t>
    </rPh>
    <phoneticPr fontId="5"/>
  </si>
  <si>
    <t>[effect:break_attack_fix, val:360, lowest_val:1500, count:20, block01:block_green, block02:block_yellow, target:unit_all]</t>
    <phoneticPr fontId="5"/>
  </si>
  <si>
    <t>ベルゼブブはウィルスをかけて
継続的なダメージを与えてきます
HPの残量には細心の注意を払いましょう</t>
    <rPh sb="15" eb="17">
      <t>ケイゾク</t>
    </rPh>
    <rPh sb="17" eb="18">
      <t>テキニ</t>
    </rPh>
    <rPh sb="24" eb="25">
      <t>アタエテキマス</t>
    </rPh>
    <rPh sb="35" eb="37">
      <t>ザンリョウ</t>
    </rPh>
    <rPh sb="39" eb="41">
      <t>サイシンノ</t>
    </rPh>
    <rPh sb="42" eb="44">
      <t>チュウイヲ</t>
    </rPh>
    <rPh sb="45" eb="46">
      <t>ハライマショウ</t>
    </rPh>
    <phoneticPr fontId="5"/>
  </si>
  <si>
    <t>[effect:enemy_message, val1:1.2, val2:2.2],[effect:tolerance, target:myself, turn:-1, tolerance_effect:virus, count:-1],[effect:tolerance, target:myself, turn:-1, tolerance_effect:hungup, count:-1],[effect:tolerance, target:myself, turn:-1, tolerance_effect:sleep, count:-1, animation:enemy_tolerance],[effect:change_panel_ratio, turn:5, block_type:red, val:0.1],[effect:change_panel_ratio, turn:5, block_type:blue, val:0.1],[effect:fix_speed, target:myself, turn:1]</t>
    <phoneticPr fontId="5"/>
  </si>
  <si>
    <t>ベルゼブブの緑・黄パネル吸収攻撃は
盤面次第で非常に威力が大きくなります
パネルを減らしてダメージを抑えましょう</t>
    <rPh sb="6" eb="7">
      <t>ミドリ</t>
    </rPh>
    <rPh sb="8" eb="9">
      <t>キイロ</t>
    </rPh>
    <rPh sb="12" eb="14">
      <t>キュウシュウ</t>
    </rPh>
    <rPh sb="14" eb="16">
      <t>キュウシュウコウゲキ</t>
    </rPh>
    <rPh sb="18" eb="20">
      <t>バンメn</t>
    </rPh>
    <rPh sb="20" eb="22">
      <t>シダイ</t>
    </rPh>
    <rPh sb="23" eb="25">
      <t>ヒジョウニ</t>
    </rPh>
    <rPh sb="26" eb="28">
      <t>イリョクガ</t>
    </rPh>
    <rPh sb="29" eb="30">
      <t>オオキク</t>
    </rPh>
    <rPh sb="42" eb="43">
      <t>ヘラシテ</t>
    </rPh>
    <rPh sb="51" eb="52">
      <t>オサエマショウ</t>
    </rPh>
    <phoneticPr fontId="5"/>
  </si>
  <si>
    <t>ベルゼブブが攻撃に伴ってカウントを
開始したら即死攻撃が来る合図です
3ターン以内に何とか倒しきりましょう</t>
    <rPh sb="6" eb="8">
      <t>コウゲキニ</t>
    </rPh>
    <rPh sb="9" eb="10">
      <t>トモナッテ</t>
    </rPh>
    <rPh sb="18" eb="20">
      <t>カイシ</t>
    </rPh>
    <rPh sb="23" eb="25">
      <t>ソクシ</t>
    </rPh>
    <rPh sb="25" eb="27">
      <t>コウゲキヲ</t>
    </rPh>
    <rPh sb="28" eb="29">
      <t>クル</t>
    </rPh>
    <rPh sb="30" eb="32">
      <t>アイズ</t>
    </rPh>
    <rPh sb="40" eb="42">
      <t>イナイ</t>
    </rPh>
    <rPh sb="43" eb="44">
      <t>ナントカ</t>
    </rPh>
    <rPh sb="46" eb="47">
      <t>タオシキリマショウ</t>
    </rPh>
    <phoneticPr fontId="5"/>
  </si>
  <si>
    <t>緑パネルを吸収して攻撃力をUPした
ルシファーの攻撃は非常に危険です
持ちうる手段で何としても回避しましょう</t>
    <rPh sb="0" eb="1">
      <t>ミドリ</t>
    </rPh>
    <rPh sb="5" eb="7">
      <t>キュウシュウ</t>
    </rPh>
    <rPh sb="9" eb="12">
      <t>コウゲキリョク</t>
    </rPh>
    <rPh sb="24" eb="26">
      <t>コウゲキハ</t>
    </rPh>
    <rPh sb="27" eb="29">
      <t>ヒジョウニ</t>
    </rPh>
    <rPh sb="30" eb="32">
      <t>キケn</t>
    </rPh>
    <rPh sb="36" eb="37">
      <t>モチウル</t>
    </rPh>
    <rPh sb="40" eb="42">
      <t>シュダn</t>
    </rPh>
    <rPh sb="43" eb="44">
      <t>ナントシテモ</t>
    </rPh>
    <rPh sb="48" eb="50">
      <t>カイヒ</t>
    </rPh>
    <phoneticPr fontId="5"/>
  </si>
  <si>
    <t>ベルゼと…約束したのに…</t>
    <rPh sb="5" eb="7">
      <t>ヤクソク</t>
    </rPh>
    <phoneticPr fontId="5"/>
  </si>
  <si>
    <t>ルシファーは状態異常攻撃からの
キラー攻撃で大ダメージを与えてきます
防御や軽減のスキルで予め対策しましょう</t>
    <rPh sb="6" eb="8">
      <t>ジョウタイイジョウ</t>
    </rPh>
    <rPh sb="8" eb="10">
      <t>イジョウ</t>
    </rPh>
    <rPh sb="10" eb="12">
      <t>コウゲキ</t>
    </rPh>
    <rPh sb="19" eb="21">
      <t>コウゲキ</t>
    </rPh>
    <rPh sb="22" eb="23">
      <t>ダイダメージ</t>
    </rPh>
    <rPh sb="28" eb="29">
      <t>アタエテ</t>
    </rPh>
    <rPh sb="36" eb="38">
      <t>ボウギョ</t>
    </rPh>
    <rPh sb="39" eb="41">
      <t>ケイゲn</t>
    </rPh>
    <rPh sb="46" eb="47">
      <t>アラカジメ</t>
    </rPh>
    <rPh sb="48" eb="50">
      <t>タイサク</t>
    </rPh>
    <phoneticPr fontId="5"/>
  </si>
  <si>
    <t>暴走後のルシファーに対抗するには
大ダメージを与え続ける必要があります
スキル発動可能な状態で
突入するのが攻略の鍵です</t>
    <rPh sb="0" eb="2">
      <t>ボウソウ</t>
    </rPh>
    <rPh sb="2" eb="3">
      <t>ゴ</t>
    </rPh>
    <rPh sb="10" eb="12">
      <t>タイコウ</t>
    </rPh>
    <rPh sb="17" eb="18">
      <t>オオキナ</t>
    </rPh>
    <rPh sb="23" eb="24">
      <t>アタエル</t>
    </rPh>
    <rPh sb="25" eb="26">
      <t>ツヅケ</t>
    </rPh>
    <rPh sb="28" eb="30">
      <t>ヒツヨウ</t>
    </rPh>
    <rPh sb="40" eb="42">
      <t>ハツドウ</t>
    </rPh>
    <rPh sb="42" eb="44">
      <t>カノウ</t>
    </rPh>
    <rPh sb="45" eb="47">
      <t>ジョウタイ</t>
    </rPh>
    <rPh sb="49" eb="51">
      <t>トツニュウ</t>
    </rPh>
    <rPh sb="55" eb="57">
      <t>コウリャクノ</t>
    </rPh>
    <rPh sb="58" eb="59">
      <t>カギ</t>
    </rPh>
    <phoneticPr fontId="5"/>
  </si>
  <si>
    <t>ベルゼブブの軍勢を突破するつもりか？</t>
    <rPh sb="6" eb="8">
      <t>グンゼイ</t>
    </rPh>
    <rPh sb="9" eb="11">
      <t>トッパ</t>
    </rPh>
    <phoneticPr fontId="5"/>
  </si>
  <si>
    <t>ALICEの見出した適合者よ</t>
    <rPh sb="6" eb="8">
      <t>ミイダシタ</t>
    </rPh>
    <rPh sb="10" eb="13">
      <t>テキゴウシャ</t>
    </rPh>
    <phoneticPr fontId="5"/>
  </si>
  <si>
    <t>フィーバーゲージ減少＋攻撃</t>
    <rPh sb="8" eb="10">
      <t>ゲンショウ</t>
    </rPh>
    <rPh sb="11" eb="13">
      <t>コウゲキ</t>
    </rPh>
    <phoneticPr fontId="5"/>
  </si>
  <si>
    <t>ベルゼ……？</t>
    <phoneticPr fontId="5"/>
  </si>
  <si>
    <t>もう私達を…放っておいてよ！</t>
    <rPh sb="2" eb="4">
      <t>ワタシタチ</t>
    </rPh>
    <rPh sb="6" eb="7">
      <t>ホウッテオイテ</t>
    </rPh>
    <phoneticPr fontId="5"/>
  </si>
  <si>
    <t>貴方が…貴方さえ居なければ！</t>
    <rPh sb="0" eb="2">
      <t>アナタガ</t>
    </rPh>
    <rPh sb="4" eb="6">
      <t>アナタ</t>
    </rPh>
    <rPh sb="8" eb="9">
      <t>イナケレバ</t>
    </rPh>
    <phoneticPr fontId="5"/>
  </si>
  <si>
    <t>null</t>
    <phoneticPr fontId="5"/>
  </si>
  <si>
    <t>私達が何をしたって言うの…？</t>
    <rPh sb="0" eb="1">
      <t>ワタシタチ</t>
    </rPh>
    <rPh sb="1" eb="2">
      <t>タチガ</t>
    </rPh>
    <rPh sb="3" eb="4">
      <t>ナニヲ</t>
    </rPh>
    <rPh sb="9" eb="10">
      <t>イウノ</t>
    </rPh>
    <phoneticPr fontId="5"/>
  </si>
  <si>
    <t>ベルゼを返せ！</t>
    <rPh sb="4" eb="5">
      <t>カエセ</t>
    </rPh>
    <phoneticPr fontId="5"/>
  </si>
  <si>
    <t>邪魔しないでよ！</t>
    <rPh sb="0" eb="2">
      <t>ジャマ</t>
    </rPh>
    <phoneticPr fontId="5"/>
  </si>
  <si>
    <t>堕天史の暴走</t>
    <rPh sb="0" eb="2">
      <t>ダテンシ</t>
    </rPh>
    <rPh sb="2" eb="3">
      <t>■</t>
    </rPh>
    <rPh sb="4" eb="6">
      <t>ボウソウ</t>
    </rPh>
    <phoneticPr fontId="5"/>
  </si>
  <si>
    <t>強大な力が流れ込んでくる！
暴走するルシファーの力を鎮めよう！</t>
    <rPh sb="24" eb="25">
      <t>チカラヲ</t>
    </rPh>
    <phoneticPr fontId="5"/>
  </si>
  <si>
    <t>傲慢…だったのかな…</t>
    <phoneticPr fontId="5"/>
  </si>
  <si>
    <t>状態異常無効のユニットに超大ダメージ</t>
    <rPh sb="0" eb="4">
      <t>ジョウタイイジョウ</t>
    </rPh>
    <rPh sb="4" eb="6">
      <t>ムコウ</t>
    </rPh>
    <rPh sb="12" eb="13">
      <t>チョウ</t>
    </rPh>
    <rPh sb="13" eb="14">
      <t>ダイ</t>
    </rPh>
    <phoneticPr fontId="5"/>
  </si>
  <si>
    <t>[effect:damage_anti_abnormal, target:unit_all, target_effect01:tolerance, val1:0.7, val2:0.35]</t>
    <phoneticPr fontId="5"/>
  </si>
  <si>
    <t>絶対使っちゃ…ダメなのに…！</t>
    <rPh sb="0" eb="2">
      <t>ゼッタイ</t>
    </rPh>
    <rPh sb="2" eb="3">
      <t>ツカッチャ</t>
    </rPh>
    <phoneticPr fontId="5"/>
  </si>
  <si>
    <t>ルシファーの力が暴走しつつある！
その影響で状態異常を無効化できるようになった！</t>
    <rPh sb="27" eb="30">
      <t>ムコウカ</t>
    </rPh>
    <phoneticPr fontId="5"/>
  </si>
  <si>
    <t>null</t>
    <phoneticPr fontId="5"/>
  </si>
  <si>
    <t>どうして…こうなっちゃうの…？</t>
    <phoneticPr fontId="5"/>
  </si>
  <si>
    <t>感情が…溢れ出してくる…！</t>
    <rPh sb="0" eb="2">
      <t>カンジョウ</t>
    </rPh>
    <rPh sb="4" eb="5">
      <t>アフレテ</t>
    </rPh>
    <rPh sb="6" eb="7">
      <t>ダシ</t>
    </rPh>
    <phoneticPr fontId="5"/>
  </si>
  <si>
    <t>止まって…止まって！！</t>
    <rPh sb="0" eb="1">
      <t>トマッテ</t>
    </rPh>
    <rPh sb="5" eb="6">
      <t>トマッテ</t>
    </rPh>
    <phoneticPr fontId="5"/>
  </si>
  <si>
    <t>[effect:enemy_message, val1:1.2, val2:2.4],[effect:dis_panel, target:block_green, turn:3, animation:enemy_dis_green],[effect:degrade_unit, target:unit_all, turn:3, status:attack, val:0.5, calc:mul]</t>
    <phoneticPr fontId="5"/>
  </si>
  <si>
    <t>[effect:enemy_message, val1:1.2, val2:2.4],[effect:change_panel_ratio, turn:-1, block_type:green, val:0.0, animation:block_incidence04],[effect:break_enchance_enemy, val:0.02, lowest_val:0.5, count :-1, status:attack, turn:-1, block:block_green, target:myself, calc:mul, animation:enemy_enhance_attack]</t>
    <phoneticPr fontId="5"/>
  </si>
  <si>
    <t>[effect:enemy_message, val1:1.2, val2:2.8],[effect:tolerance, target:unit_all, turn:-1, tolerance_effect:all, count:-1, animation:prevent_abnormal_Unit04]</t>
    <phoneticPr fontId="5"/>
  </si>
  <si>
    <t>[effect:enemy_message, val1:1.2, val2:3.2],[effect:tolerance, target:myself, turn:-1, tolerance_effect:virus, count:-1],[effect:tolerance, target:myself, turn:-1, tolerance_effect:hungup, count:-1],[effect:tolerance, target:myself, turn:-1, tolerance_effect:sleep, count:-1, animation:enemy_tolerance],[effect:fix_speed, target:myself, turn:1],[effect:hungup, target:unit_all, turn:-1, rate:1, animation:hungup01]</t>
    <phoneticPr fontId="5"/>
  </si>
  <si>
    <t>何が望みなの！？</t>
    <rPh sb="0" eb="1">
      <t>ナニガ</t>
    </rPh>
    <rPh sb="2" eb="3">
      <t>ノゾミナノ</t>
    </rPh>
    <phoneticPr fontId="5"/>
  </si>
  <si>
    <t>[effect:enemy_message, val1:1.2, val2:3.0],[effect:enhance_unit, target:unit_all, turn:-1, status:attack, val:1],[effect:change_panel_ratio, turn:-1, block_type:heal, val:0],[effect:drop_block, block_type:crash, color:block_all, val:6, rate:0.2, turn:-1, animation:crash_influence04]</t>
    <phoneticPr fontId="5"/>
  </si>
  <si>
    <t>緑パネル出現率ゼロ＋緑パネル吸収攻撃力UP</t>
    <rPh sb="0" eb="1">
      <t>ミドリ</t>
    </rPh>
    <rPh sb="4" eb="7">
      <t>シュツゲンリツ</t>
    </rPh>
    <rPh sb="10" eb="11">
      <t>ミドリ</t>
    </rPh>
    <rPh sb="14" eb="16">
      <t>キュウシュウ</t>
    </rPh>
    <rPh sb="16" eb="18">
      <t>コウゲキ</t>
    </rPh>
    <rPh sb="18" eb="19">
      <t>チカラ</t>
    </rPh>
    <phoneticPr fontId="5"/>
  </si>
  <si>
    <t>7ターンウィルス状態</t>
    <rPh sb="8" eb="10">
      <t>ジョウタイ</t>
    </rPh>
    <phoneticPr fontId="5"/>
  </si>
  <si>
    <t>[effect:enemy_message, val1:1.2, val2:2.0],[effect:fix_speed, target:myself, turn:2]</t>
    <phoneticPr fontId="5"/>
  </si>
  <si>
    <t>[effect:enemy_message, val1:1.2, val2:2.0],[effect:freq_turn, target:myself, turn:3, val:1, animation:enemy_freq_turn]</t>
    <phoneticPr fontId="5"/>
  </si>
  <si>
    <t>サキエルちゃん登場〜！</t>
    <rPh sb="7" eb="9">
      <t>トウジョウ</t>
    </rPh>
    <phoneticPr fontId="5"/>
  </si>
  <si>
    <t>バアルの防御UPが切れてしまうと
敵の攻撃に耐えるのが難しくなります
継続ターン数は常に意識しておきましょう</t>
    <rPh sb="4" eb="6">
      <t>ボウギョ</t>
    </rPh>
    <rPh sb="9" eb="10">
      <t>キレテ</t>
    </rPh>
    <rPh sb="17" eb="18">
      <t>テキノ</t>
    </rPh>
    <rPh sb="19" eb="21">
      <t>コウゲキニ</t>
    </rPh>
    <rPh sb="22" eb="23">
      <t>タエル</t>
    </rPh>
    <rPh sb="27" eb="28">
      <t>ムズカシクナリマス</t>
    </rPh>
    <rPh sb="36" eb="38">
      <t>ケイゾク</t>
    </rPh>
    <rPh sb="41" eb="42">
      <t>カズ</t>
    </rPh>
    <rPh sb="43" eb="44">
      <t>ツネニ</t>
    </rPh>
    <rPh sb="45" eb="47">
      <t>イシキ</t>
    </rPh>
    <phoneticPr fontId="5"/>
  </si>
  <si>
    <t>ルシファーの有する最終執行の権限は
対象のアバターにまつわる情報を完全抹消し
一切の復元を不可能とする最高位の力です</t>
    <phoneticPr fontId="5"/>
  </si>
  <si>
    <t>ルシファーはベルゼブブと交わした約束で
権限の行使を頑なに拒んでいました
それでも感情だけは抑えられず
悩んでいたようです</t>
    <phoneticPr fontId="5"/>
  </si>
  <si>
    <t>本来ベルゼブブは男性タイプのAIです
しかしルシファーの世話役を務めるうち
相応しい形に自らを改変したといいます</t>
    <phoneticPr fontId="5"/>
  </si>
  <si>
    <t>ルシファーはベルゼブブと共に一定の制約を
条件にALICE勢力の元で保護されました
彼女の悪用を企むのはもう難しいでしょう</t>
    <phoneticPr fontId="5"/>
  </si>
  <si>
    <t>最終執行システム</t>
    <phoneticPr fontId="5"/>
  </si>
  <si>
    <t>制御すべきもの</t>
    <phoneticPr fontId="5"/>
  </si>
  <si>
    <t>母なる存在</t>
    <phoneticPr fontId="5"/>
  </si>
  <si>
    <t>力の終息点</t>
    <phoneticPr fontId="5"/>
  </si>
  <si>
    <t>[effect:degrade_fever, val:1000, animation:fevergauge_down],[effect:rush, count:1, val:1.0]</t>
    <phoneticPr fontId="5"/>
  </si>
  <si>
    <t>[effect:force_change_block, new_block:time_bomb, target:block_all, ignore01:crash, ignore02:color_break, ignore03:magnet, count:10, val:0.25, min_time_count:2, max_time_count:2, animation:change_block],[effect:rush, count:1, val:1.0]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</si>
</sst>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color rgb="FFFF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70C0"/>
      <name val="ＭＳ Ｐゴシック"/>
      <family val="3"/>
      <charset val="128"/>
      <scheme val="minor"/>
    </font>
    <font>
      <sz val="10"/>
      <color theme="5" tint="-0.249977111117893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3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0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6" fillId="13" borderId="3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6" fillId="31" borderId="11" xfId="0" applyFont="1" applyFill="1" applyBorder="1" applyAlignment="1">
      <alignment vertical="center"/>
    </xf>
    <xf numFmtId="0" fontId="6" fillId="31" borderId="3" xfId="0" applyFont="1" applyFill="1" applyBorder="1" applyAlignment="1">
      <alignment vertical="center"/>
    </xf>
    <xf numFmtId="0" fontId="27" fillId="0" borderId="7" xfId="0" applyFont="1" applyBorder="1"/>
    <xf numFmtId="0" fontId="27" fillId="0" borderId="10" xfId="0" applyFont="1" applyBorder="1"/>
    <xf numFmtId="0" fontId="27" fillId="0" borderId="23" xfId="0" applyFont="1" applyBorder="1"/>
    <xf numFmtId="0" fontId="4" fillId="13" borderId="1" xfId="0" applyFont="1" applyFill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11" fillId="0" borderId="10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 wrapText="1"/>
    </xf>
    <xf numFmtId="14" fontId="11" fillId="0" borderId="10" xfId="0" applyNumberFormat="1" applyFont="1" applyBorder="1" applyAlignment="1">
      <alignment horizontal="left"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1" fillId="32" borderId="10" xfId="0" applyFont="1" applyFill="1" applyBorder="1" applyAlignment="1">
      <alignment horizontal="left" vertical="center"/>
    </xf>
    <xf numFmtId="0" fontId="11" fillId="32" borderId="10" xfId="0" applyFont="1" applyFill="1" applyBorder="1" applyAlignment="1">
      <alignment horizontal="left" vertical="center" wrapText="1"/>
    </xf>
    <xf numFmtId="0" fontId="11" fillId="0" borderId="10" xfId="0" applyFont="1" applyFill="1" applyBorder="1" applyAlignment="1">
      <alignment horizontal="left" vertical="center" wrapText="1"/>
    </xf>
    <xf numFmtId="0" fontId="11" fillId="0" borderId="10" xfId="0" applyFont="1" applyFill="1" applyBorder="1" applyAlignment="1">
      <alignment horizontal="left" vertical="center"/>
    </xf>
    <xf numFmtId="0" fontId="11" fillId="0" borderId="7" xfId="0" applyFont="1" applyBorder="1" applyAlignment="1">
      <alignment vertical="center"/>
    </xf>
    <xf numFmtId="0" fontId="11" fillId="0" borderId="7" xfId="0" applyFont="1" applyBorder="1" applyAlignment="1">
      <alignment horizontal="left" vertical="center" wrapText="1"/>
    </xf>
    <xf numFmtId="0" fontId="51" fillId="0" borderId="7" xfId="0" applyFont="1" applyFill="1" applyBorder="1" applyAlignment="1">
      <alignment vertical="center"/>
    </xf>
    <xf numFmtId="0" fontId="11" fillId="0" borderId="7" xfId="0" applyFont="1" applyFill="1" applyBorder="1" applyAlignment="1">
      <alignment vertical="center"/>
    </xf>
    <xf numFmtId="0" fontId="11" fillId="0" borderId="10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0" fontId="52" fillId="0" borderId="10" xfId="0" applyFont="1" applyFill="1" applyBorder="1" applyAlignment="1">
      <alignment vertical="center"/>
    </xf>
    <xf numFmtId="0" fontId="52" fillId="3" borderId="7" xfId="0" applyFont="1" applyFill="1" applyBorder="1" applyAlignment="1">
      <alignment vertical="center"/>
    </xf>
    <xf numFmtId="0" fontId="11" fillId="32" borderId="10" xfId="0" applyFont="1" applyFill="1" applyBorder="1" applyAlignment="1">
      <alignment vertical="center"/>
    </xf>
    <xf numFmtId="0" fontId="11" fillId="32" borderId="7" xfId="0" applyFont="1" applyFill="1" applyBorder="1" applyAlignment="1">
      <alignment vertical="center"/>
    </xf>
    <xf numFmtId="0" fontId="51" fillId="3" borderId="7" xfId="0" applyFont="1" applyFill="1" applyBorder="1" applyAlignment="1">
      <alignment horizontal="left" vertical="center"/>
    </xf>
    <xf numFmtId="0" fontId="53" fillId="3" borderId="7" xfId="0" applyFont="1" applyFill="1" applyBorder="1" applyAlignment="1">
      <alignment horizontal="left" vertical="center"/>
    </xf>
    <xf numFmtId="38" fontId="16" fillId="0" borderId="7" xfId="628" applyFont="1" applyFill="1" applyBorder="1" applyAlignment="1">
      <alignment wrapText="1"/>
    </xf>
    <xf numFmtId="0" fontId="51" fillId="3" borderId="7" xfId="0" applyFont="1" applyFill="1" applyBorder="1" applyAlignment="1">
      <alignment vertical="center"/>
    </xf>
    <xf numFmtId="0" fontId="51" fillId="7" borderId="0" xfId="0" applyFont="1" applyFill="1" applyAlignment="1">
      <alignment vertical="center"/>
    </xf>
    <xf numFmtId="0" fontId="51" fillId="0" borderId="0" xfId="0" applyFont="1" applyAlignment="1">
      <alignment vertical="center"/>
    </xf>
    <xf numFmtId="0" fontId="54" fillId="0" borderId="7" xfId="0" applyFont="1" applyFill="1" applyBorder="1" applyAlignment="1">
      <alignment vertical="center"/>
    </xf>
    <xf numFmtId="0" fontId="54" fillId="3" borderId="7" xfId="0" applyFont="1" applyFill="1" applyBorder="1" applyAlignment="1">
      <alignment vertical="center"/>
    </xf>
    <xf numFmtId="0" fontId="54" fillId="7" borderId="0" xfId="0" applyFont="1" applyFill="1" applyAlignment="1">
      <alignment vertical="center"/>
    </xf>
    <xf numFmtId="0" fontId="54" fillId="0" borderId="0" xfId="0" applyFont="1" applyAlignment="1">
      <alignment vertical="center"/>
    </xf>
  </cellXfs>
  <cellStyles count="70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16" sqref="A1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215</v>
      </c>
      <c r="B2" s="57" t="s">
        <v>106</v>
      </c>
      <c r="C2" s="62">
        <v>50004</v>
      </c>
      <c r="D2" s="57" t="s">
        <v>107</v>
      </c>
      <c r="E2" s="56" t="str">
        <f>B2&amp;C2&amp;D2</f>
        <v>floors_50004.tmp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215</v>
      </c>
      <c r="B3" s="57" t="s">
        <v>109</v>
      </c>
      <c r="C3" s="62">
        <f>C$2</f>
        <v>50004</v>
      </c>
      <c r="D3" s="57" t="s">
        <v>107</v>
      </c>
      <c r="E3" s="56" t="str">
        <f>B3&amp;C3&amp;D3</f>
        <v>enemy_habitats_50004.tmp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176</v>
      </c>
    </row>
    <row r="4" spans="1:30" x14ac:dyDescent="0.15">
      <c r="A4" s="61" t="s">
        <v>215</v>
      </c>
      <c r="B4" s="57" t="s">
        <v>111</v>
      </c>
      <c r="C4" s="62">
        <f t="shared" ref="C4:C12" si="0">C$2</f>
        <v>50004</v>
      </c>
      <c r="D4" s="57" t="s">
        <v>107</v>
      </c>
      <c r="E4" s="56" t="str">
        <f>B4&amp;C4&amp;D4</f>
        <v>enemy_habitat_S_50004.tmp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215</v>
      </c>
      <c r="B5" s="57" t="s">
        <v>113</v>
      </c>
      <c r="C5" s="62">
        <f t="shared" si="0"/>
        <v>50004</v>
      </c>
      <c r="D5" s="57" t="s">
        <v>107</v>
      </c>
      <c r="E5" s="56" t="str">
        <f>B5&amp;C5&amp;D5</f>
        <v>enemy_skill_sets_50004.tmp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215</v>
      </c>
      <c r="B6" s="57" t="s">
        <v>115</v>
      </c>
      <c r="C6" s="62">
        <f t="shared" si="0"/>
        <v>50004</v>
      </c>
      <c r="D6" s="57" t="s">
        <v>116</v>
      </c>
      <c r="E6" s="56" t="str">
        <f t="shared" ref="E6:E10" si="1">B6&amp;C6&amp;D6</f>
        <v>enemy_skills_tmp_50004.tmp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215</v>
      </c>
      <c r="B7" s="57" t="s">
        <v>117</v>
      </c>
      <c r="C7" s="62">
        <f t="shared" si="0"/>
        <v>50004</v>
      </c>
      <c r="D7" s="57" t="s">
        <v>107</v>
      </c>
      <c r="E7" s="56" t="str">
        <f>B7&amp;C7&amp;D7</f>
        <v>enemy_skills_i18n_50004.tmp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215</v>
      </c>
      <c r="B8" s="57" t="s">
        <v>119</v>
      </c>
      <c r="C8" s="62">
        <f t="shared" si="0"/>
        <v>50004</v>
      </c>
      <c r="D8" s="57" t="s">
        <v>120</v>
      </c>
      <c r="E8" s="56" t="str">
        <f t="shared" si="1"/>
        <v>enemy_skill_triggers_50004.tmp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215</v>
      </c>
      <c r="B9" s="67" t="s">
        <v>175</v>
      </c>
      <c r="C9" s="62">
        <f t="shared" si="0"/>
        <v>50004</v>
      </c>
      <c r="D9" s="67" t="s">
        <v>169</v>
      </c>
      <c r="E9" s="68" t="str">
        <f t="shared" si="1"/>
        <v>stage_bug_bonuses_50004.tmp</v>
      </c>
      <c r="F9" s="67" t="s">
        <v>170</v>
      </c>
      <c r="G9" s="64" t="s">
        <v>150</v>
      </c>
      <c r="H9" s="64" t="s">
        <v>171</v>
      </c>
      <c r="I9" s="64" t="s">
        <v>172</v>
      </c>
      <c r="J9" s="66" t="s">
        <v>173</v>
      </c>
      <c r="K9" s="64" t="s">
        <v>174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</row>
    <row r="10" spans="1:30" s="74" customFormat="1" x14ac:dyDescent="0.15">
      <c r="A10" s="61" t="s">
        <v>215</v>
      </c>
      <c r="B10" s="67" t="s">
        <v>199</v>
      </c>
      <c r="C10" s="62">
        <f>C$2</f>
        <v>50004</v>
      </c>
      <c r="D10" s="67" t="s">
        <v>178</v>
      </c>
      <c r="E10" s="68" t="str">
        <f t="shared" si="1"/>
        <v>stage_hints_data_c_50004.tmp</v>
      </c>
      <c r="F10" s="67" t="s">
        <v>207</v>
      </c>
      <c r="G10" s="71" t="s">
        <v>179</v>
      </c>
      <c r="H10" s="71" t="s">
        <v>171</v>
      </c>
      <c r="I10" s="72" t="s">
        <v>180</v>
      </c>
      <c r="J10" s="66" t="s">
        <v>181</v>
      </c>
      <c r="K10" s="73" t="s">
        <v>182</v>
      </c>
    </row>
    <row r="11" spans="1:30" s="74" customFormat="1" x14ac:dyDescent="0.15">
      <c r="A11" s="61" t="s">
        <v>215</v>
      </c>
      <c r="B11" s="67" t="s">
        <v>200</v>
      </c>
      <c r="C11" s="62">
        <f t="shared" si="0"/>
        <v>50004</v>
      </c>
      <c r="D11" s="67" t="s">
        <v>169</v>
      </c>
      <c r="E11" s="68" t="str">
        <f t="shared" ref="E11:E12" si="2">B11&amp;C11&amp;D11</f>
        <v>stage_hints_data_f_50004.tmp</v>
      </c>
      <c r="F11" s="67" t="s">
        <v>208</v>
      </c>
      <c r="G11" s="71" t="s">
        <v>179</v>
      </c>
      <c r="H11" s="71" t="s">
        <v>171</v>
      </c>
      <c r="I11" s="72" t="s">
        <v>180</v>
      </c>
      <c r="J11" s="66" t="s">
        <v>181</v>
      </c>
      <c r="K11" s="73" t="s">
        <v>182</v>
      </c>
    </row>
    <row r="12" spans="1:30" s="74" customFormat="1" x14ac:dyDescent="0.15">
      <c r="A12" s="61" t="s">
        <v>215</v>
      </c>
      <c r="B12" s="67" t="s">
        <v>201</v>
      </c>
      <c r="C12" s="62">
        <f t="shared" si="0"/>
        <v>50004</v>
      </c>
      <c r="D12" s="67" t="s">
        <v>169</v>
      </c>
      <c r="E12" s="68" t="str">
        <f t="shared" si="2"/>
        <v>stage_hints_i18n_50004.tmp</v>
      </c>
      <c r="F12" s="67" t="s">
        <v>209</v>
      </c>
      <c r="G12" s="72" t="s">
        <v>202</v>
      </c>
      <c r="H12" s="92" t="s">
        <v>203</v>
      </c>
      <c r="I12" s="71" t="s">
        <v>204</v>
      </c>
      <c r="J12" s="93" t="s">
        <v>205</v>
      </c>
      <c r="K12" s="73" t="s">
        <v>206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N16" sqref="N1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6" si="0">G2&amp;"-"&amp;I2</f>
        <v>50004_1-1</v>
      </c>
      <c r="B2" s="16" t="str">
        <f>IF(COUNTIF(enemy_habitats!$H:$H,A2),"OK","NG")</f>
        <v>OK</v>
      </c>
      <c r="C2" s="7">
        <v>50004</v>
      </c>
      <c r="D2" s="11" t="str">
        <f ca="1">VLOOKUP($C2,OFFSET([2]quests!$A$1,0,0,COUNTA([2]quests!$A:$A),MATCH(D$1,[2]quests!$1:$1,0)-MATCH($C$1,[2]quests!$1:$1,0)+1),MATCH(D$1,[2]quests!$1:$1,0)-MATCH($C$1,[2]quests!$1:$1,0)+1,FALSE)</f>
        <v>ルシファー襲来！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超降臨4</v>
      </c>
      <c r="F2" s="21">
        <v>1</v>
      </c>
      <c r="G2" s="23" t="str">
        <f t="shared" ref="G2:G6" si="1">C2&amp;"_"&amp;F2</f>
        <v>50004_1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【超ウィザード級】ルシファー襲来 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50004_1-2</v>
      </c>
      <c r="B3" s="16" t="str">
        <f>IF(COUNTIF(enemy_habitats!$H:$H,A3),"OK","NG")</f>
        <v>OK</v>
      </c>
      <c r="C3" s="7">
        <v>50004</v>
      </c>
      <c r="D3" s="11" t="str">
        <f ca="1">VLOOKUP($C3,OFFSET([2]quests!$A$1,0,0,COUNTA([2]quests!$A:$A),MATCH(D$1,[2]quests!$1:$1,0)-MATCH($C$1,[2]quests!$1:$1,0)+1),MATCH(D$1,[2]quests!$1:$1,0)-MATCH($C$1,[2]quests!$1:$1,0)+1,FALSE)</f>
        <v>ルシファー襲来！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超降臨4</v>
      </c>
      <c r="F3" s="21">
        <v>1</v>
      </c>
      <c r="G3" s="23" t="str">
        <f t="shared" si="1"/>
        <v>50004_1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【超ウィザード級】ルシファー襲来 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50004_1-3</v>
      </c>
      <c r="B4" s="16" t="str">
        <f>IF(COUNTIF(enemy_habitats!$H:$H,A4),"OK","NG")</f>
        <v>OK</v>
      </c>
      <c r="C4" s="7">
        <v>50004</v>
      </c>
      <c r="D4" s="11" t="str">
        <f ca="1">VLOOKUP($C4,OFFSET([2]quests!$A$1,0,0,COUNTA([2]quests!$A:$A),MATCH(D$1,[2]quests!$1:$1,0)-MATCH($C$1,[2]quests!$1:$1,0)+1),MATCH(D$1,[2]quests!$1:$1,0)-MATCH($C$1,[2]quests!$1:$1,0)+1,FALSE)</f>
        <v>ルシファー襲来！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超降臨4</v>
      </c>
      <c r="F4" s="21">
        <v>1</v>
      </c>
      <c r="G4" s="23" t="str">
        <f t="shared" si="1"/>
        <v>50004_1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【超ウィザード級】ルシファー襲来 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50004_1-4</v>
      </c>
      <c r="B5" s="16" t="str">
        <f>IF(COUNTIF(enemy_habitats!$H:$H,A5),"OK","NG")</f>
        <v>OK</v>
      </c>
      <c r="C5" s="7">
        <v>50004</v>
      </c>
      <c r="D5" s="11" t="str">
        <f ca="1">VLOOKUP($C5,OFFSET([2]quests!$A$1,0,0,COUNTA([2]quests!$A:$A),MATCH(D$1,[2]quests!$1:$1,0)-MATCH($C$1,[2]quests!$1:$1,0)+1),MATCH(D$1,[2]quests!$1:$1,0)-MATCH($C$1,[2]quests!$1:$1,0)+1,FALSE)</f>
        <v>ルシファー襲来！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超降臨4</v>
      </c>
      <c r="F5" s="21">
        <v>1</v>
      </c>
      <c r="G5" s="23" t="str">
        <f t="shared" si="1"/>
        <v>50004_1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【超ウィザード級】ルシファー襲来 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50004_1-5</v>
      </c>
      <c r="B6" s="16" t="str">
        <f>IF(COUNTIF(enemy_habitats!$H:$H,A6),"OK","NG")</f>
        <v>OK</v>
      </c>
      <c r="C6" s="7">
        <v>50004</v>
      </c>
      <c r="D6" s="11" t="str">
        <f ca="1">VLOOKUP($C6,OFFSET([2]quests!$A$1,0,0,COUNTA([2]quests!$A:$A),MATCH(D$1,[2]quests!$1:$1,0)-MATCH($C$1,[2]quests!$1:$1,0)+1),MATCH(D$1,[2]quests!$1:$1,0)-MATCH($C$1,[2]quests!$1:$1,0)+1,FALSE)</f>
        <v>ルシファー襲来！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超降臨4</v>
      </c>
      <c r="F6" s="21">
        <v>1</v>
      </c>
      <c r="G6" s="23" t="str">
        <f t="shared" si="1"/>
        <v>50004_1</v>
      </c>
      <c r="H6" s="15" t="str">
        <f ca="1">VLOOKUP($G6,OFFSET([2]stages!$A$1,0,0,COUNTA([2]stages!$A:$A),MATCH(H$1,[2]stages!$2:$2,0)-MATCH($G$1,[2]stages!$2:$2,0)+1),MATCH(H$1,[2]stages!$2:$2,0)-MATCH($G$1,[2]stages!$2:$2,0)+1,FALSE)</f>
        <v xml:space="preserve">【超ウィザード級】ルシファー襲来 </v>
      </c>
      <c r="I6" s="21">
        <v>5</v>
      </c>
      <c r="J6" s="12">
        <v>60</v>
      </c>
      <c r="K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9"/>
  <sheetViews>
    <sheetView showGridLines="0" tabSelected="1" zoomScale="90" zoomScaleNormal="90" zoomScalePageLayoutView="90" workbookViewId="0">
      <pane xSplit="17" ySplit="1" topLeftCell="Y2" activePane="bottomRight" state="frozen"/>
      <selection pane="topRight" activeCell="N1" sqref="N1"/>
      <selection pane="bottomLeft" activeCell="A2" sqref="A2"/>
      <selection pane="bottomRight" activeCell="AH10" sqref="AH10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177</v>
      </c>
    </row>
    <row r="2" spans="1:40" ht="21" customHeight="1" x14ac:dyDescent="0.15">
      <c r="A2" s="16" t="str">
        <f t="shared" ref="A2:A9" si="0">B2&amp;"_"&amp;C2&amp;"-"&amp;G2&amp;"/"&amp;L2&amp;"&lt;lv"&amp;R2&amp;"&gt;s"&amp;AA2</f>
        <v>50004_1-1/851&lt;lv60&gt;s1</v>
      </c>
      <c r="B2" s="22">
        <v>50004</v>
      </c>
      <c r="C2" s="21">
        <v>1</v>
      </c>
      <c r="D2" s="2" t="str">
        <f t="shared" ref="D2:D9" si="1">B2&amp;"_"&amp;C2</f>
        <v>50004_1</v>
      </c>
      <c r="E2" s="4" t="str">
        <f ca="1">VLOOKUP($B2,OFFSET([2]quests!$A$1,0,0,COUNTA([2]quests!$A:$A),MATCH(E$1,[2]quests!$1:$1,0)-MATCH($B$1,[2]quests!$1:$1,0)+1),MATCH(E$1,[2]quests!$1:$1,0)-MATCH($B$1,[2]quests!$1:$1,0)+1,FALSE)</f>
        <v>ルシファー襲来！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【超ウィザード級】ルシファー襲来 </v>
      </c>
      <c r="G2" s="21">
        <v>1</v>
      </c>
      <c r="H2" s="15" t="str">
        <f t="shared" ref="H2:H9" si="2">B2&amp;"_"&amp;C2&amp;"-"&amp;G2</f>
        <v>50004_1-1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851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寡黙なる凶王 バアル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60</v>
      </c>
      <c r="S2" s="25">
        <v>10</v>
      </c>
      <c r="T2" s="25">
        <v>0.1</v>
      </c>
      <c r="U2" s="5">
        <v>50000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ベルゼブブの軍勢を突破するつもりか？</v>
      </c>
      <c r="W2" s="94">
        <v>50004001</v>
      </c>
      <c r="X2" s="6">
        <v>0</v>
      </c>
      <c r="Y2" s="6">
        <v>100</v>
      </c>
      <c r="Z2" s="6">
        <v>1</v>
      </c>
      <c r="AA2" s="95">
        <v>1</v>
      </c>
      <c r="AB2" s="24">
        <f t="shared" ref="AB2:AB8" si="3">L2</f>
        <v>851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寡黙なる凶王 バアル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6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2" s="7">
        <v>1</v>
      </c>
      <c r="AG2" s="24">
        <f t="shared" ref="AG2:AG9" ca="1" si="4">AD2</f>
        <v>6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si="0"/>
        <v>50004_1-2/238&lt;lv60&gt;s1</v>
      </c>
      <c r="B3" s="22">
        <v>50004</v>
      </c>
      <c r="C3" s="21">
        <v>1</v>
      </c>
      <c r="D3" s="2" t="str">
        <f t="shared" si="1"/>
        <v>50004_1</v>
      </c>
      <c r="E3" s="4" t="str">
        <f ca="1">VLOOKUP($B3,OFFSET([2]quests!$A$1,0,0,COUNTA([2]quests!$A:$A),MATCH(E$1,[2]quests!$1:$1,0)-MATCH($B$1,[2]quests!$1:$1,0)+1),MATCH(E$1,[2]quests!$1:$1,0)-MATCH($B$1,[2]quests!$1:$1,0)+1,FALSE)</f>
        <v>ルシファー襲来！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【超ウィザード級】ルシファー襲来 </v>
      </c>
      <c r="G3" s="21">
        <v>2</v>
      </c>
      <c r="H3" s="15" t="str">
        <f t="shared" si="2"/>
        <v>50004_1-2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238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ウリエル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60</v>
      </c>
      <c r="S3" s="25">
        <v>4.3</v>
      </c>
      <c r="T3" s="25">
        <v>3.5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3回連続攻撃</v>
      </c>
      <c r="W3" s="94">
        <v>50004002</v>
      </c>
      <c r="X3" s="6">
        <v>0</v>
      </c>
      <c r="Y3" s="6">
        <v>100</v>
      </c>
      <c r="Z3" s="6">
        <v>2</v>
      </c>
      <c r="AA3" s="95">
        <v>1</v>
      </c>
      <c r="AB3" s="24">
        <f t="shared" si="3"/>
        <v>238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ウリエル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7">
        <v>1</v>
      </c>
      <c r="AG3" s="24">
        <f t="shared" ca="1" si="4"/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ref="A4" si="5">B4&amp;"_"&amp;C4&amp;"-"&amp;G4&amp;"/"&amp;L4&amp;"&lt;lv"&amp;R4&amp;"&gt;s"&amp;AA4</f>
        <v>50004_1-2/247&lt;lv60&gt;s8</v>
      </c>
      <c r="B4" s="22">
        <v>50004</v>
      </c>
      <c r="C4" s="21">
        <v>1</v>
      </c>
      <c r="D4" s="2" t="str">
        <f t="shared" ref="D4" si="6">B4&amp;"_"&amp;C4</f>
        <v>50004_1</v>
      </c>
      <c r="E4" s="4" t="str">
        <f ca="1">VLOOKUP($B4,OFFSET([2]quests!$A$1,0,0,COUNTA([2]quests!$A:$A),MATCH(E$1,[2]quests!$1:$1,0)-MATCH($B$1,[2]quests!$1:$1,0)+1),MATCH(E$1,[2]quests!$1:$1,0)-MATCH($B$1,[2]quests!$1:$1,0)+1,FALSE)</f>
        <v>ルシファー襲来！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【超ウィザード級】ルシファー襲来 </v>
      </c>
      <c r="G4" s="21">
        <v>2</v>
      </c>
      <c r="H4" s="15" t="str">
        <f t="shared" ref="H4" si="7">B4&amp;"_"&amp;C4&amp;"-"&amp;G4</f>
        <v>50004_1-2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247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ミカエル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60</v>
      </c>
      <c r="S4" s="25">
        <v>6.5</v>
      </c>
      <c r="T4" s="25">
        <v>2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この先へは行かせません！</v>
      </c>
      <c r="W4" s="94">
        <v>50004003</v>
      </c>
      <c r="X4" s="6">
        <v>0</v>
      </c>
      <c r="Y4" s="6">
        <v>100</v>
      </c>
      <c r="Z4" s="6">
        <v>1</v>
      </c>
      <c r="AA4" s="95">
        <v>8</v>
      </c>
      <c r="AB4" s="24">
        <f t="shared" ref="AB4" si="8">L4</f>
        <v>247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ミカエル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7">
        <v>1</v>
      </c>
      <c r="AG4" s="24">
        <f t="shared" ref="AG4" ca="1" si="9">AD4</f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si="0"/>
        <v>50004_1-2/241&lt;lv60&gt;s2</v>
      </c>
      <c r="B5" s="22">
        <v>50004</v>
      </c>
      <c r="C5" s="21">
        <v>1</v>
      </c>
      <c r="D5" s="2" t="str">
        <f t="shared" si="1"/>
        <v>50004_1</v>
      </c>
      <c r="E5" s="4" t="str">
        <f ca="1">VLOOKUP($B5,OFFSET([2]quests!$A$1,0,0,COUNTA([2]quests!$A:$A),MATCH(E$1,[2]quests!$1:$1,0)-MATCH($B$1,[2]quests!$1:$1,0)+1),MATCH(E$1,[2]quests!$1:$1,0)-MATCH($B$1,[2]quests!$1:$1,0)+1,FALSE)</f>
        <v>ルシファー襲来！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【超ウィザード級】ルシファー襲来 </v>
      </c>
      <c r="G5" s="21">
        <v>2</v>
      </c>
      <c r="H5" s="15" t="str">
        <f t="shared" si="2"/>
        <v>50004_1-2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241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ガブリエル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60</v>
      </c>
      <c r="S5" s="25">
        <v>6.6</v>
      </c>
      <c r="T5" s="25">
        <v>2.4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全体回復</v>
      </c>
      <c r="W5" s="94">
        <v>50004004</v>
      </c>
      <c r="X5" s="6">
        <v>0</v>
      </c>
      <c r="Y5" s="6">
        <v>100</v>
      </c>
      <c r="Z5" s="6">
        <v>0</v>
      </c>
      <c r="AA5" s="95">
        <v>2</v>
      </c>
      <c r="AB5" s="24">
        <f t="shared" si="3"/>
        <v>241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ガブリエル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7">
        <v>1</v>
      </c>
      <c r="AG5" s="24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50004_1-3/852&lt;lv60&gt;s2</v>
      </c>
      <c r="B6" s="22">
        <v>50004</v>
      </c>
      <c r="C6" s="21">
        <v>1</v>
      </c>
      <c r="D6" s="2" t="str">
        <f t="shared" si="1"/>
        <v>50004_1</v>
      </c>
      <c r="E6" s="4" t="str">
        <f ca="1">VLOOKUP($B6,OFFSET([2]quests!$A$1,0,0,COUNTA([2]quests!$A:$A),MATCH(E$1,[2]quests!$1:$1,0)-MATCH($B$1,[2]quests!$1:$1,0)+1),MATCH(E$1,[2]quests!$1:$1,0)-MATCH($B$1,[2]quests!$1:$1,0)+1,FALSE)</f>
        <v>ルシファー襲来！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【超ウィザード級】ルシファー襲来 </v>
      </c>
      <c r="G6" s="21">
        <v>3</v>
      </c>
      <c r="H6" s="15" t="str">
        <f t="shared" si="2"/>
        <v>50004_1-3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852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サキエル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5">
        <v>3.3</v>
      </c>
      <c r="T6" s="25">
        <v>1.3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ギッタギタにされたいのはどこの誰かな〜！？</v>
      </c>
      <c r="W6" s="94">
        <v>50004005</v>
      </c>
      <c r="X6" s="6">
        <v>0</v>
      </c>
      <c r="Y6" s="6">
        <v>100</v>
      </c>
      <c r="Z6" s="6">
        <v>2</v>
      </c>
      <c r="AA6" s="95">
        <v>2</v>
      </c>
      <c r="AB6" s="24">
        <f t="shared" si="3"/>
        <v>852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サキエル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si="0"/>
        <v>50004_1-3/854&lt;lv60&gt;s1</v>
      </c>
      <c r="B7" s="22">
        <v>50004</v>
      </c>
      <c r="C7" s="21">
        <v>1</v>
      </c>
      <c r="D7" s="2" t="str">
        <f t="shared" si="1"/>
        <v>50004_1</v>
      </c>
      <c r="E7" s="4" t="str">
        <f ca="1">VLOOKUP($B7,OFFSET([2]quests!$A$1,0,0,COUNTA([2]quests!$A:$A),MATCH(E$1,[2]quests!$1:$1,0)-MATCH($B$1,[2]quests!$1:$1,0)+1),MATCH(E$1,[2]quests!$1:$1,0)-MATCH($B$1,[2]quests!$1:$1,0)+1,FALSE)</f>
        <v>ルシファー襲来！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【超ウィザード級】ルシファー襲来 </v>
      </c>
      <c r="G7" s="21">
        <v>3</v>
      </c>
      <c r="H7" s="15" t="str">
        <f t="shared" si="2"/>
        <v>50004_1-3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854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フラウロス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60</v>
      </c>
      <c r="S7" s="25">
        <v>6.7</v>
      </c>
      <c r="T7" s="25">
        <v>1.2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ま　仕事ができりゃ構わねェがな</v>
      </c>
      <c r="W7" s="94">
        <v>50004006</v>
      </c>
      <c r="X7" s="6">
        <v>0</v>
      </c>
      <c r="Y7" s="6">
        <v>100</v>
      </c>
      <c r="Z7" s="6">
        <v>1</v>
      </c>
      <c r="AA7" s="95">
        <v>1</v>
      </c>
      <c r="AB7" s="24">
        <f t="shared" si="3"/>
        <v>854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フラウロス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4">
        <f t="shared" ca="1" si="4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50004_1-4/844&lt;lv60&gt;s1</v>
      </c>
      <c r="B8" s="22">
        <v>50004</v>
      </c>
      <c r="C8" s="21">
        <v>1</v>
      </c>
      <c r="D8" s="2" t="str">
        <f t="shared" si="1"/>
        <v>50004_1</v>
      </c>
      <c r="E8" s="4" t="str">
        <f ca="1">VLOOKUP($B8,OFFSET([2]quests!$A$1,0,0,COUNTA([2]quests!$A:$A),MATCH(E$1,[2]quests!$1:$1,0)-MATCH($B$1,[2]quests!$1:$1,0)+1),MATCH(E$1,[2]quests!$1:$1,0)-MATCH($B$1,[2]quests!$1:$1,0)+1,FALSE)</f>
        <v>ルシファー襲来！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【超ウィザード級】ルシファー襲来 </v>
      </c>
      <c r="G8" s="21">
        <v>4</v>
      </c>
      <c r="H8" s="15" t="str">
        <f t="shared" si="2"/>
        <v>50004_1-4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844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ベルゼブブ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60</v>
      </c>
      <c r="S8" s="25">
        <v>8.5</v>
      </c>
      <c r="T8" s="25">
        <v>1.8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悪いけど本気でイカせてもらうワヨ？</v>
      </c>
      <c r="W8" s="94">
        <v>50004009</v>
      </c>
      <c r="X8" s="6">
        <v>0</v>
      </c>
      <c r="Y8" s="6">
        <v>100</v>
      </c>
      <c r="Z8" s="6">
        <v>1</v>
      </c>
      <c r="AA8" s="95">
        <v>1</v>
      </c>
      <c r="AB8" s="24">
        <f t="shared" si="3"/>
        <v>844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ベルゼブブ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8" s="7">
        <v>1</v>
      </c>
      <c r="AG8" s="24">
        <f t="shared" ca="1" si="4"/>
        <v>5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si="0"/>
        <v>50004_1-5/847&lt;lv60&gt;s1</v>
      </c>
      <c r="B9" s="22">
        <v>50004</v>
      </c>
      <c r="C9" s="21">
        <v>1</v>
      </c>
      <c r="D9" s="2" t="str">
        <f t="shared" si="1"/>
        <v>50004_1</v>
      </c>
      <c r="E9" s="4" t="str">
        <f ca="1">VLOOKUP($B9,OFFSET([2]quests!$A$1,0,0,COUNTA([2]quests!$A:$A),MATCH(E$1,[2]quests!$1:$1,0)-MATCH($B$1,[2]quests!$1:$1,0)+1),MATCH(E$1,[2]quests!$1:$1,0)-MATCH($B$1,[2]quests!$1:$1,0)+1,FALSE)</f>
        <v>ルシファー襲来！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 xml:space="preserve">【超ウィザード級】ルシファー襲来 </v>
      </c>
      <c r="G9" s="21">
        <v>5</v>
      </c>
      <c r="H9" s="15" t="str">
        <f t="shared" si="2"/>
        <v>50004_1-5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20">
        <v>847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傲慢なる堕天史 ルシファー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60</v>
      </c>
      <c r="S9" s="25">
        <v>8.5</v>
      </c>
      <c r="T9" s="25">
        <v>1.6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凄まじい力の増幅を感じる…！_x000D_【！】次のターン超強力な連続攻撃【！】</v>
      </c>
      <c r="W9" s="94">
        <v>50004011</v>
      </c>
      <c r="X9" s="6">
        <v>0</v>
      </c>
      <c r="Y9" s="6">
        <v>100</v>
      </c>
      <c r="Z9" s="6">
        <v>1</v>
      </c>
      <c r="AA9" s="95">
        <v>1</v>
      </c>
      <c r="AB9" s="101">
        <v>846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ルシファー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DropWizSS</v>
      </c>
      <c r="AF9" s="7">
        <v>1</v>
      </c>
      <c r="AG9" s="24">
        <f t="shared" ca="1" si="4"/>
        <v>5</v>
      </c>
      <c r="AH9" s="8">
        <v>85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</sheetData>
  <sheetProtection selectLockedCells="1" selectUnlockedCells="1"/>
  <autoFilter ref="B1:AH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18" sqref="T1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50004_1-4/845&lt;lv60&gt;sq1st2</v>
      </c>
      <c r="B2" s="22">
        <v>50004</v>
      </c>
      <c r="C2" s="21">
        <v>1</v>
      </c>
      <c r="D2" s="2" t="str">
        <f>B2&amp;"_"&amp;C2</f>
        <v>50004_1</v>
      </c>
      <c r="E2" s="4" t="str">
        <f ca="1">VLOOKUP($B2,OFFSET([2]quests!$A$1,0,0,COUNTA([2]quests!$A:$A),MATCH(E$1,[2]quests!$1:$1,0)-MATCH($B$1,[2]quests!$1:$1,0)+1),MATCH(E$1,[2]quests!$1:$1,0)-MATCH($B$1,[2]quests!$1:$1,0)+1,FALSE)</f>
        <v>ルシファー襲来！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【超ウィザード級】ルシファー襲来 </v>
      </c>
      <c r="G2" s="21">
        <v>4</v>
      </c>
      <c r="H2" s="15" t="str">
        <f>B2&amp;"_"&amp;C2&amp;"-"&amp;G2</f>
        <v>50004_1-4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845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妖艶なる蝿王 ベルゼブブ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5">
        <v>9</v>
      </c>
      <c r="U2" s="25">
        <v>1.6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97">
        <v>50004007</v>
      </c>
      <c r="Y2" s="96">
        <v>1</v>
      </c>
    </row>
    <row r="3" spans="1:25" ht="21" customHeight="1" x14ac:dyDescent="0.15">
      <c r="A3" s="16" t="str">
        <f>B3&amp;"_"&amp;C3&amp;"-"&amp;G3&amp;"/"&amp;M3&amp;"&lt;lv"&amp;S3&amp;"&gt;sq"&amp;K3&amp;"st"&amp;L3</f>
        <v>50004_1-4/845&lt;lv60&gt;sq1st3</v>
      </c>
      <c r="B3" s="22">
        <v>50004</v>
      </c>
      <c r="C3" s="21">
        <v>1</v>
      </c>
      <c r="D3" s="2" t="str">
        <f>B3&amp;"_"&amp;C3</f>
        <v>50004_1</v>
      </c>
      <c r="E3" s="4" t="str">
        <f ca="1">VLOOKUP($B3,OFFSET([2]quests!$A$1,0,0,COUNTA([2]quests!$A:$A),MATCH(E$1,[2]quests!$1:$1,0)-MATCH($B$1,[2]quests!$1:$1,0)+1),MATCH(E$1,[2]quests!$1:$1,0)-MATCH($B$1,[2]quests!$1:$1,0)+1,FALSE)</f>
        <v>ルシファー襲来！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【超ウィザード級】ルシファー襲来 </v>
      </c>
      <c r="G3" s="21">
        <v>4</v>
      </c>
      <c r="H3" s="15" t="str">
        <f>B3&amp;"_"&amp;C3&amp;"-"&amp;G3</f>
        <v>50004_1-4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845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妖艶なる蝿王 ベルゼブブ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5">
        <v>6.6</v>
      </c>
      <c r="U3" s="25">
        <v>1.8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97">
        <v>50004010</v>
      </c>
      <c r="Y3" s="96">
        <v>1</v>
      </c>
    </row>
    <row r="4" spans="1:25" ht="21" customHeight="1" x14ac:dyDescent="0.15">
      <c r="A4" s="16" t="str">
        <f>B4&amp;"_"&amp;C4&amp;"-"&amp;G4&amp;"/"&amp;M4&amp;"&lt;lv"&amp;S4&amp;"&gt;sq"&amp;K4&amp;"st"&amp;L4</f>
        <v>50004_1-5/847&lt;lv60&gt;sq2st2</v>
      </c>
      <c r="B4" s="22">
        <v>50004</v>
      </c>
      <c r="C4" s="21">
        <v>1</v>
      </c>
      <c r="D4" s="2" t="str">
        <f>B4&amp;"_"&amp;C4</f>
        <v>50004_1</v>
      </c>
      <c r="E4" s="4" t="str">
        <f ca="1">VLOOKUP($B4,OFFSET([2]quests!$A$1,0,0,COUNTA([2]quests!$A:$A),MATCH(E$1,[2]quests!$1:$1,0)-MATCH($B$1,[2]quests!$1:$1,0)+1),MATCH(E$1,[2]quests!$1:$1,0)-MATCH($B$1,[2]quests!$1:$1,0)+1,FALSE)</f>
        <v>ルシファー襲来！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【超ウィザード級】ルシファー襲来 </v>
      </c>
      <c r="G4" s="21">
        <v>5</v>
      </c>
      <c r="H4" s="15" t="str">
        <f>B4&amp;"_"&amp;C4&amp;"-"&amp;G4</f>
        <v>50004_1-5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2</v>
      </c>
      <c r="M4" s="20">
        <v>847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傲慢なる堕天史 ルシファー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5">
        <v>9</v>
      </c>
      <c r="U4" s="25">
        <v>1.6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97">
        <v>50004012</v>
      </c>
      <c r="Y4" s="96">
        <v>1</v>
      </c>
    </row>
    <row r="5" spans="1:25" ht="21" customHeight="1" x14ac:dyDescent="0.15">
      <c r="A5" s="16" t="str">
        <f>B5&amp;"_"&amp;C5&amp;"-"&amp;G5&amp;"/"&amp;M5&amp;"&lt;lv"&amp;S5&amp;"&gt;sq"&amp;K5&amp;"st"&amp;L5</f>
        <v>50004_1-5/847&lt;lv60&gt;sq2st3</v>
      </c>
      <c r="B5" s="22">
        <v>50004</v>
      </c>
      <c r="C5" s="21">
        <v>1</v>
      </c>
      <c r="D5" s="2" t="str">
        <f>B5&amp;"_"&amp;C5</f>
        <v>50004_1</v>
      </c>
      <c r="E5" s="4" t="str">
        <f ca="1">VLOOKUP($B5,OFFSET([2]quests!$A$1,0,0,COUNTA([2]quests!$A:$A),MATCH(E$1,[2]quests!$1:$1,0)-MATCH($B$1,[2]quests!$1:$1,0)+1),MATCH(E$1,[2]quests!$1:$1,0)-MATCH($B$1,[2]quests!$1:$1,0)+1,FALSE)</f>
        <v>ルシファー襲来！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【超ウィザード級】ルシファー襲来 </v>
      </c>
      <c r="G5" s="21">
        <v>5</v>
      </c>
      <c r="H5" s="15" t="str">
        <f>B5&amp;"_"&amp;C5&amp;"-"&amp;G5</f>
        <v>50004_1-5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38">
        <v>3</v>
      </c>
      <c r="M5" s="20">
        <v>847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傲慢なる堕天史 ルシファー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5">
        <v>40</v>
      </c>
      <c r="U5" s="25">
        <v>0.1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97">
        <v>50004013</v>
      </c>
      <c r="Y5" s="96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4"/>
  <sheetViews>
    <sheetView showGridLines="0" workbookViewId="0">
      <pane xSplit="5" ySplit="1" topLeftCell="F39" activePane="bottomRight" state="frozen"/>
      <selection pane="topRight"/>
      <selection pane="bottomLeft"/>
      <selection pane="bottomRight" activeCell="F54" sqref="F54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50004001_50004001</v>
      </c>
      <c r="B2" s="47">
        <v>50004001</v>
      </c>
      <c r="C2" s="47">
        <v>50004001</v>
      </c>
      <c r="D2" s="123" t="str">
        <f ca="1">VLOOKUP($C2,OFFSET(enemy_skills!$A$1,0,0,COUNTA(enemy_skills!$A:$A),MATCH(D$1,enemy_skills!$1:$1,0)-MATCH("enemy_skill_id",enemy_skills!$1:$1,0)+1),MATCH(D$1,enemy_skills!$1:$1,0)-MATCH("enemy_skill_id",enemy_skills!$1:$1,0)+1,FALSE)</f>
        <v>ALICEの見出した適合者よ</v>
      </c>
      <c r="E2" s="123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ベルゼブブの軍勢を突破するつもりか？</v>
      </c>
      <c r="F2" s="47">
        <v>50004001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50004001_50004002</v>
      </c>
      <c r="B3" s="47">
        <v>50004001</v>
      </c>
      <c r="C3" s="47">
        <v>50004002</v>
      </c>
      <c r="D3" s="123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メタトロン…やはり来たか</v>
      </c>
      <c r="E3" s="123" t="str">
        <f ca="1">VLOOKUP($C3,OFFSET(enemy_skills!$A$1,0,0,COUNTA(enemy_skills!$A:$A),MATCH(E$1,enemy_skills!$1:$1,0)-MATCH("enemy_skill_id",enemy_skills!$1:$1,0)+1),MATCH(E$1,enemy_skills!$1:$1,0)-MATCH("enemy_skill_id",enemy_skills!$1:$1,0)+1,FALSE)</f>
        <v>彼女の奪還はお前に任せる</v>
      </c>
      <c r="F3" s="47">
        <v>50004002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848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50004001_50004003</v>
      </c>
      <c r="B4" s="47">
        <v>50004001</v>
      </c>
      <c r="C4" s="47">
        <v>50004003</v>
      </c>
      <c r="D4" s="123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メタトロン…やはり来たか</v>
      </c>
      <c r="E4" s="123" t="str">
        <f ca="1">VLOOKUP($C4,OFFSET(enemy_skills!$A$1,0,0,COUNTA(enemy_skills!$A:$A),MATCH(E$1,enemy_skills!$1:$1,0)-MATCH("enemy_skill_id",enemy_skills!$1:$1,0)+1),MATCH(E$1,enemy_skills!$1:$1,0)-MATCH("enemy_skill_id",enemy_skills!$1:$1,0)+1,FALSE)</f>
        <v>彼女の奪還はお前に任せる</v>
      </c>
      <c r="F4" s="47">
        <v>50004003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52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849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" si="2">B5&amp;"_"&amp;C5</f>
        <v>50004001_50004004</v>
      </c>
      <c r="B5" s="47">
        <v>50004001</v>
      </c>
      <c r="C5" s="47">
        <v>50004004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…少し手を貸してやろう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せいぜい無駄にしないことだ</v>
      </c>
      <c r="F5" s="47">
        <v>50004004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:A24" si="3">B6&amp;"_"&amp;C6</f>
        <v>50004002_50004006</v>
      </c>
      <c r="B6" s="47">
        <v>50004002</v>
      </c>
      <c r="C6" s="47">
        <v>50004006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デルタボム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6" s="47">
        <v>50004005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7"/>
      <c r="Q6" s="47"/>
      <c r="R6" s="47"/>
    </row>
    <row r="7" spans="1:18" ht="21" customHeight="1" x14ac:dyDescent="0.15">
      <c r="A7" s="39" t="str">
        <f t="shared" si="3"/>
        <v>50004002_50004007</v>
      </c>
      <c r="B7" s="47">
        <v>50004002</v>
      </c>
      <c r="C7" s="47">
        <v>50004007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ファイアウォール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" s="47">
        <v>50004006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3"/>
        <v>50004002_50004008</v>
      </c>
      <c r="B8" s="47">
        <v>50004002</v>
      </c>
      <c r="C8" s="47">
        <v>50004008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あったまってきたぜ…！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5ターン自身の攻撃力UP</v>
      </c>
      <c r="F8" s="47">
        <v>50004007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" si="4">B9&amp;"_"&amp;C9</f>
        <v>50004003_50004013</v>
      </c>
      <c r="B9" s="47">
        <v>50004003</v>
      </c>
      <c r="C9" s="47">
        <v>50004013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お姉様のために…！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この先へは行かせません！</v>
      </c>
      <c r="F9" s="47">
        <v>50004001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3"/>
        <v>50004003_50004012</v>
      </c>
      <c r="B10" s="47">
        <v>50004003</v>
      </c>
      <c r="C10" s="115">
        <v>50004012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限界出力！いきますっ！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激烈クリティカル！</v>
      </c>
      <c r="F10" s="47">
        <v>50004008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3"/>
        <v>50004004_50004016</v>
      </c>
      <c r="B11" s="47">
        <v>50004004</v>
      </c>
      <c r="C11" s="47">
        <v>50004016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ヒールカーテン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全体回復</v>
      </c>
      <c r="F11" s="47">
        <v>50004009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3"/>
        <v>50004004_50004017</v>
      </c>
      <c r="B12" s="47">
        <v>50004004</v>
      </c>
      <c r="C12" s="47">
        <v>50004017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リーフシールド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1ターン全属性ダメージ50%軽減</v>
      </c>
      <c r="F12" s="47">
        <v>50004010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3"/>
        <v>50004004_50004018</v>
      </c>
      <c r="B13" s="47">
        <v>50004004</v>
      </c>
      <c r="C13" s="47">
        <v>50004018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咲かせてみせましょう…！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5ターン攻撃頻度が1にUP</v>
      </c>
      <c r="F13" s="47">
        <v>50004011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3"/>
        <v>50004005_50004027</v>
      </c>
      <c r="B14" s="47">
        <v>50004005</v>
      </c>
      <c r="C14" s="115">
        <v>50004027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サキエルちゃん登場〜！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ギッタギタにされたいのはどこの誰かな〜！？</v>
      </c>
      <c r="F14" s="47">
        <v>50004001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3"/>
        <v>50004005_50004022</v>
      </c>
      <c r="B15" s="47">
        <v>50004005</v>
      </c>
      <c r="C15" s="47">
        <v>50004022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ウェポンブレイカー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5ターン攻撃力75%DOWN＋攻撃</v>
      </c>
      <c r="F15" s="47">
        <v>50004012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3"/>
        <v>50004005_50004023</v>
      </c>
      <c r="B16" s="47">
        <v>50004005</v>
      </c>
      <c r="C16" s="47">
        <v>50004023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ソウルブレイカー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5ターン回復力75%DOWN＋攻撃</v>
      </c>
      <c r="F16" s="47">
        <v>50004013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3"/>
        <v>50004005_50004024</v>
      </c>
      <c r="B17" s="47">
        <v>50004005</v>
      </c>
      <c r="C17" s="47">
        <v>50004024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アームブレイカー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3ターンタップ回数DOWN＋攻撃</v>
      </c>
      <c r="F17" s="47">
        <v>50004014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28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3"/>
        <v>50004005_50004025</v>
      </c>
      <c r="B18" s="47">
        <v>50004005</v>
      </c>
      <c r="C18" s="47">
        <v>50004025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あはは！ザクザクいくよん！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8" s="47">
        <v>50004015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7"/>
      <c r="Q18" s="47"/>
      <c r="R18" s="47"/>
    </row>
    <row r="19" spans="1:18" ht="21" customHeight="1" x14ac:dyDescent="0.15">
      <c r="A19" s="39" t="str">
        <f t="shared" si="3"/>
        <v>50004005_50004026</v>
      </c>
      <c r="B19" s="47">
        <v>50004005</v>
      </c>
      <c r="C19" s="47">
        <v>50004026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ありゃ　ちょっとヤバイかも？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必死になんのダサいけど…仕方ないなぁ！</v>
      </c>
      <c r="F19" s="47">
        <v>50004016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854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" si="5">B20&amp;"_"&amp;C20</f>
        <v>50004006_50004036</v>
      </c>
      <c r="B20" s="47">
        <v>50004006</v>
      </c>
      <c r="C20" s="115">
        <v>50004036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相変わらず騒がしい奴だ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ま　仕事ができりゃ構わねェがな</v>
      </c>
      <c r="F20" s="47">
        <v>50004001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3"/>
        <v>50004006_50004030</v>
      </c>
      <c r="B21" s="47">
        <v>50004006</v>
      </c>
      <c r="C21" s="47">
        <v>50004030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トゥルーバレット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だんだん強くなる固定ダメージ！</v>
      </c>
      <c r="F21" s="47">
        <v>50004017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3"/>
        <v>50004006_50004031</v>
      </c>
      <c r="B22" s="47">
        <v>50004006</v>
      </c>
      <c r="C22" s="47">
        <v>50004031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トゥルーバレット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じわじわ効いてくるだろう？</v>
      </c>
      <c r="F22" s="47">
        <v>50004018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3"/>
        <v>50004006_50004032</v>
      </c>
      <c r="B23" s="47">
        <v>50004006</v>
      </c>
      <c r="C23" s="47">
        <v>50004032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トゥルーバレット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そら　もう一発だ！</v>
      </c>
      <c r="F23" s="47">
        <v>50004019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3"/>
        <v>50004006_50004033</v>
      </c>
      <c r="B24" s="47">
        <v>50004006</v>
      </c>
      <c r="C24" s="47">
        <v>50004033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トゥルーバレット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これでも耐えられるか？</v>
      </c>
      <c r="F24" s="47">
        <v>50004020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ref="A25:A26" si="6">B25&amp;"_"&amp;C25</f>
        <v>50004006_50004034</v>
      </c>
      <c r="B25" s="47">
        <v>50004006</v>
      </c>
      <c r="C25" s="47">
        <v>50004034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トゥルーバレット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いい加減あきらめな！</v>
      </c>
      <c r="F25" s="47">
        <v>50004021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6"/>
        <v>50004006_50004035</v>
      </c>
      <c r="B26" s="47">
        <v>50004006</v>
      </c>
      <c r="C26" s="47">
        <v>50004035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女にばっか手ェ出しやがって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ケジメつけてもらうぜ！</v>
      </c>
      <c r="F26" s="47">
        <v>50004022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852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:A42" si="7">B27&amp;"_"&amp;C27</f>
        <v>50004009_50004057</v>
      </c>
      <c r="B27" s="47">
        <v>50004009</v>
      </c>
      <c r="C27" s="47">
        <v>50004057</v>
      </c>
      <c r="D27" s="123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ここまで突破してくるなんてね</v>
      </c>
      <c r="E27" s="123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悪いけど本気でイカせてもらうワヨ？</v>
      </c>
      <c r="F27" s="47">
        <v>50004035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7"/>
        <v>50004009_50004058</v>
      </c>
      <c r="B28" s="47">
        <v>50004009</v>
      </c>
      <c r="C28" s="47">
        <v>50004058</v>
      </c>
      <c r="D28" s="123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認めるわ　アンタは強い</v>
      </c>
      <c r="E28" s="123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でもね…アタシにも譲れないものがあるのよ！</v>
      </c>
      <c r="F28" s="47">
        <v>50004036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53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848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7"/>
        <v>50004009_50004059</v>
      </c>
      <c r="B29" s="47">
        <v>50004009</v>
      </c>
      <c r="C29" s="47">
        <v>50004059</v>
      </c>
      <c r="D29" s="123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認めるわ　アンタは強い</v>
      </c>
      <c r="E29" s="123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でもね…アタシにも譲れないものがあるのよ！</v>
      </c>
      <c r="F29" s="47">
        <v>50004037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54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849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7"/>
        <v>50004009_50004062</v>
      </c>
      <c r="B30" s="47">
        <v>50004009</v>
      </c>
      <c r="C30" s="47">
        <v>50004062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押し潰してアゲル！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0" s="47">
        <v>50004040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0" s="47"/>
      <c r="Q30" s="47"/>
      <c r="R30" s="47"/>
    </row>
    <row r="31" spans="1:18" ht="21" customHeight="1" x14ac:dyDescent="0.15">
      <c r="A31" s="39" t="str">
        <f t="shared" si="7"/>
        <v>50004009_50004063</v>
      </c>
      <c r="B31" s="47">
        <v>50004009</v>
      </c>
      <c r="C31" s="47">
        <v>50004063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これならどうかしら！？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時限式パネル10個生成＋攻撃</v>
      </c>
      <c r="F31" s="47">
        <v>50004041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7"/>
        <v>50004009_50004064</v>
      </c>
      <c r="B32" s="47">
        <v>50004009</v>
      </c>
      <c r="C32" s="47">
        <v>50004064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アタシの愛で溺れなさい！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7ターンウィルス状態</v>
      </c>
      <c r="F32" s="47">
        <v>50004042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7"/>
        <v>50004009_50004065</v>
      </c>
      <c r="B33" s="47">
        <v>50004009</v>
      </c>
      <c r="C33" s="47">
        <v>50004065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この程度で勝ってるつもり？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赤パネル吸収回復</v>
      </c>
      <c r="F33" s="47">
        <v>50004043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7"/>
        <v>50004009_50004066</v>
      </c>
      <c r="B34" s="47">
        <v>50004009</v>
      </c>
      <c r="C34" s="47">
        <v>50004066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全然堪えないわね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青パネル吸収回復</v>
      </c>
      <c r="F34" s="47">
        <v>50004044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7"/>
        <v>50004009_50004067</v>
      </c>
      <c r="B35" s="47">
        <v>50004009</v>
      </c>
      <c r="C35" s="47">
        <v>50004067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覚悟が足りていないのよ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緑パネル吸収回復</v>
      </c>
      <c r="F35" s="47">
        <v>50004045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7"/>
        <v>50004009_50004068</v>
      </c>
      <c r="B36" s="47">
        <v>50004009</v>
      </c>
      <c r="C36" s="47">
        <v>50004068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何度でも立ち塞がるわ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黄パネル吸収回復</v>
      </c>
      <c r="F36" s="47">
        <v>50004046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7"/>
        <v>50004007_50004039</v>
      </c>
      <c r="B37" s="47">
        <v>50004007</v>
      </c>
      <c r="C37" s="47">
        <v>50004039</v>
      </c>
      <c r="D37" s="123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アスタロト！力を借りるわよ！</v>
      </c>
      <c r="E37" s="123" t="str">
        <f ca="1">VLOOKUP($C37,OFFSET(enemy_skills!$A$1,0,0,COUNTA(enemy_skills!$A:$A),MATCH(E$1,enemy_skills!$1:$1,0)-MATCH("enemy_skill_id",enemy_skills!$1:$1,0)+1),MATCH(E$1,enemy_skills!$1:$1,0)-MATCH("enemy_skill_id",enemy_skills!$1:$1,0)+1,FALSE)</f>
        <v>5ターン赤・青パネルの出現率DOWN</v>
      </c>
      <c r="F37" s="115">
        <v>50004023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7"/>
        <v>50004007_50004044</v>
      </c>
      <c r="B38" s="47">
        <v>50004007</v>
      </c>
      <c r="C38" s="47">
        <v>50004044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緑の力を封じるわ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緑パネル10個プロテクト＋全体攻撃</v>
      </c>
      <c r="F38" s="115">
        <v>50004028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8" s="47"/>
      <c r="Q38" s="47"/>
      <c r="R38" s="47"/>
    </row>
    <row r="39" spans="1:18" ht="21" customHeight="1" x14ac:dyDescent="0.15">
      <c r="A39" s="39" t="str">
        <f t="shared" ref="A39:A40" si="8">B39&amp;"_"&amp;C39</f>
        <v>50004007_50004045</v>
      </c>
      <c r="B39" s="47">
        <v>50004007</v>
      </c>
      <c r="C39" s="47">
        <v>50004045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黄の力を封じるわ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黄パネル10個プロテクト＋全体攻撃</v>
      </c>
      <c r="F39" s="115">
        <v>50004029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8"/>
        <v>50004007_50004046</v>
      </c>
      <c r="B40" s="47">
        <v>50004007</v>
      </c>
      <c r="C40" s="47">
        <v>50004046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これが全てを穿つ力よ！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緑・黄パネル吸収攻撃（最大20個まで）</v>
      </c>
      <c r="F40" s="115">
        <v>50004030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" si="9">B41&amp;"_"&amp;C41</f>
        <v>50004007_50004048</v>
      </c>
      <c r="B41" s="47">
        <v>50004007</v>
      </c>
      <c r="C41" s="47">
        <v>50004048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絶望に浸りなさい！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フィーバーゲージ減少＋攻撃</v>
      </c>
      <c r="F41" s="115">
        <v>50004032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7"/>
        <v>50004010_50004072</v>
      </c>
      <c r="B42" s="47">
        <v>50004010</v>
      </c>
      <c r="C42" s="47">
        <v>50004072</v>
      </c>
      <c r="D42" s="123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クッ…行かせるものか…</v>
      </c>
      <c r="E42" s="123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たとえこの身がどうなろうと…！！</v>
      </c>
      <c r="F42" s="47">
        <v>50004047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ref="A43:A57" si="10">B43&amp;"_"&amp;C43</f>
        <v>50004010_50004077</v>
      </c>
      <c r="B43" s="47">
        <v>50004010</v>
      </c>
      <c r="C43" s="47">
        <v>50004077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１ッ！２ッ！３ッ！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息をつく暇も与えないッ！</v>
      </c>
      <c r="F43" s="47">
        <v>50004052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10"/>
        <v>50004010_50004078</v>
      </c>
      <c r="B44" s="47">
        <v>50004010</v>
      </c>
      <c r="C44" s="47">
        <v>50004078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４ッ！５ッ！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このまま地獄に突き落としてやる！</v>
      </c>
      <c r="F44" s="47">
        <v>50004053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10"/>
        <v>50004010_50004079</v>
      </c>
      <c r="B45" s="47">
        <v>50004010</v>
      </c>
      <c r="C45" s="47">
        <v>50004079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恨んでくれて結構！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今のアタシに…気取ってる余裕はないのよ</v>
      </c>
      <c r="F45" s="47">
        <v>50004054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10"/>
        <v>50004010_50004080</v>
      </c>
      <c r="B46" s="47">
        <v>50004010</v>
      </c>
      <c r="C46" s="47">
        <v>50004080</v>
      </c>
      <c r="D46" s="124" t="str">
        <f ca="1">VLOOKUP($C46,OFFSET(enemy_skills!$A$1,0,0,COUNTA(enemy_skills!$A:$A),MATCH(D$1,enemy_skills!$1:$1,0)-MATCH("enemy_skill_id",enemy_skills!$1:$1,0)+1),MATCH(D$1,enemy_skills!$1:$1,0)-MATCH("enemy_skill_id",enemy_skills!$1:$1,0)+1,FALSE)</f>
        <v>逃げるのよ…ルシファー…</v>
      </c>
      <c r="E46" s="124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アンタは…戦っちゃ…ダメ…</v>
      </c>
      <c r="F46" s="47">
        <v>50004055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0"/>
        <v>50004011_50004088</v>
      </c>
      <c r="B47" s="47">
        <v>50004011</v>
      </c>
      <c r="C47" s="47">
        <v>50004088</v>
      </c>
      <c r="D47" s="123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ベルゼ……？</v>
      </c>
      <c r="E47" s="123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凄まじい力の増幅を感じる…！_x000D_【！】次のターン超強力な連続攻撃【！】</v>
      </c>
      <c r="F47" s="47">
        <v>50004060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0"/>
        <v>50004011_50004091</v>
      </c>
      <c r="B48" s="47">
        <v>50004011</v>
      </c>
      <c r="C48" s="47">
        <v>50004091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よくもベルゼを……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許さない許さない許さない_x000D_許さない許さない許さない_x000D_許さない許さない許さない_x000D_許さない許さない許さない！！</v>
      </c>
      <c r="F48" s="47">
        <v>50004063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0"/>
        <v>50004011_50004092</v>
      </c>
      <c r="B49" s="47">
        <v>50004011</v>
      </c>
      <c r="C49" s="47">
        <v>50004092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許さない！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9" s="47">
        <v>50004064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0"/>
        <v>50004011_50004093</v>
      </c>
      <c r="B50" s="47">
        <v>50004011</v>
      </c>
      <c r="C50" s="47">
        <v>50004093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ベルゼを返せ！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9999の固定ダメージ</v>
      </c>
      <c r="F50" s="47">
        <v>50004065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0"/>
        <v>50004011_50004094</v>
      </c>
      <c r="B51" s="47">
        <v>50004011</v>
      </c>
      <c r="C51" s="47">
        <v>50004094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私達が何をしたって言うの…？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3ターン緑パネルロック＋攻撃力50%DOWN</v>
      </c>
      <c r="F51" s="47">
        <v>50004066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0"/>
        <v>50004011_50004095</v>
      </c>
      <c r="B52" s="47">
        <v>50004011</v>
      </c>
      <c r="C52" s="47">
        <v>50004095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もう私達を…放っておいてよ！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緑パネル出現率ゼロ＋緑パネル吸収攻撃力UP</v>
      </c>
      <c r="F52" s="47">
        <v>50004067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0"/>
        <v>50004012_50004099</v>
      </c>
      <c r="B53" s="47">
        <v>50004012</v>
      </c>
      <c r="C53" s="47">
        <v>50004099</v>
      </c>
      <c r="D53" s="123" t="str">
        <f ca="1">VLOOKUP($C53,OFFSET(enemy_skills!$A$1,0,0,COUNTA(enemy_skills!$A:$A),MATCH(D$1,enemy_skills!$1:$1,0)-MATCH("enemy_skill_id",enemy_skills!$1:$1,0)+1),MATCH(D$1,enemy_skills!$1:$1,0)-MATCH("enemy_skill_id",enemy_skills!$1:$1,0)+1,FALSE)</f>
        <v>感情が…溢れ出してくる…！</v>
      </c>
      <c r="E53" s="123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53" s="47">
        <v>50004068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0"/>
        <v>50004012_50004100</v>
      </c>
      <c r="B54" s="47">
        <v>50004012</v>
      </c>
      <c r="C54" s="47">
        <v>50004100</v>
      </c>
      <c r="D54" s="123" t="str">
        <f ca="1">VLOOKUP($C54,OFFSET(enemy_skills!$A$1,0,0,COUNTA(enemy_skills!$A:$A),MATCH(D$1,enemy_skills!$1:$1,0)-MATCH("enemy_skill_id",enemy_skills!$1:$1,0)+1),MATCH(D$1,enemy_skills!$1:$1,0)-MATCH("enemy_skill_id",enemy_skills!$1:$1,0)+1,FALSE)</f>
        <v>貴方が…貴方さえ居なければ！</v>
      </c>
      <c r="E54" s="123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バランスタイプユニットのプラス効果を解除</v>
      </c>
      <c r="F54" s="47">
        <v>50004069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726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0"/>
        <v>50004012_50004102</v>
      </c>
      <c r="B55" s="47">
        <v>50004012</v>
      </c>
      <c r="C55" s="47">
        <v>50004102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邪魔しないでよ！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5" s="47">
        <v>50004071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10"/>
        <v>50004012_50004103</v>
      </c>
      <c r="B56" s="47">
        <v>50004012</v>
      </c>
      <c r="C56" s="47">
        <v>50004103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何が望みなの！？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3ターン回復力50%DOWN＋攻撃</v>
      </c>
      <c r="F56" s="47">
        <v>50004072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0"/>
        <v>50004012_50004104</v>
      </c>
      <c r="B57" s="47">
        <v>50004012</v>
      </c>
      <c r="C57" s="47">
        <v>50004104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やだ…力が抑えられない…！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スキルバインド＋全体攻撃</v>
      </c>
      <c r="F57" s="47">
        <v>50004073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ref="A58:A71" si="11">B58&amp;"_"&amp;C58</f>
        <v>50004012_50004105</v>
      </c>
      <c r="B58" s="47">
        <v>50004012</v>
      </c>
      <c r="C58" s="47">
        <v>50004105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ベルゼと…約束したのに…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スキルバインド状態のユニットに大ダメージ</v>
      </c>
      <c r="F58" s="47">
        <v>50004074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34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1"/>
        <v>50004012_50004106</v>
      </c>
      <c r="B59" s="47">
        <v>50004012</v>
      </c>
      <c r="C59" s="47">
        <v>50004106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私の力は何があっても…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スリープ＋全体攻撃</v>
      </c>
      <c r="F59" s="47">
        <v>50004075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33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11"/>
        <v>50004012_50004107</v>
      </c>
      <c r="B60" s="47">
        <v>50004012</v>
      </c>
      <c r="C60" s="47">
        <v>50004107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絶対使っちゃ…ダメなのに…！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スリープ状態のユニットに大ダメージ</v>
      </c>
      <c r="F60" s="47">
        <v>50004076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1"/>
        <v>50004012_50004108</v>
      </c>
      <c r="B61" s="47">
        <v>50004012</v>
      </c>
      <c r="C61" s="47">
        <v>50004108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うう…あぁぁッ！！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ルシファーの力が暴走しつつある！_x000D_その影響で状態異常を無効化できるようになった！</v>
      </c>
      <c r="F61" s="47">
        <v>50004077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1"/>
        <v>50004012_50004109</v>
      </c>
      <c r="B62" s="47">
        <v>50004012</v>
      </c>
      <c r="C62" s="47">
        <v>50004109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止まって…止まって！！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状態異常無効のユニットに超大ダメージ</v>
      </c>
      <c r="F62" s="47">
        <v>50004078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1"/>
        <v>50004013_50004113</v>
      </c>
      <c r="B63" s="47">
        <v>50004013</v>
      </c>
      <c r="C63" s="47">
        <v>50004113</v>
      </c>
      <c r="D63" s="123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『致命的なエラーを検知』</v>
      </c>
      <c r="E63" s="123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『最終執行　強制発動シーケンスに移行』_x000D_全ユニットのスキルが使えなくなる！</v>
      </c>
      <c r="F63" s="47">
        <v>50004079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1"/>
        <v>50004013_50004116</v>
      </c>
      <c r="B64" s="47">
        <v>50004013</v>
      </c>
      <c r="C64" s="47">
        <v>50004116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堕天史の暴走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強大な力が流れ込んでくる！_x000D_暴走するルシファーの力を鎮めよう！</v>
      </c>
      <c r="F64" s="47">
        <v>50004082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1"/>
        <v>50004013_50004119</v>
      </c>
      <c r="B65" s="47">
        <v>50004013</v>
      </c>
      <c r="C65" s="47">
        <v>50004119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EXTINCTION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『最終執行システムは正常に終了しました』</v>
      </c>
      <c r="F65" s="47">
        <v>50004085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11"/>
        <v>50004013_50004120</v>
      </c>
      <c r="B66" s="47">
        <v>50004013</v>
      </c>
      <c r="C66" s="47">
        <v>50004120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どうして…こうなっちゃうの…？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システム起動進行率……50%</v>
      </c>
      <c r="F66" s="47">
        <v>50004086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1"/>
        <v>50004013_50004123</v>
      </c>
      <c r="B67" s="47">
        <v>50004013</v>
      </c>
      <c r="C67" s="47">
        <v>50004123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EXTINCTION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『最終執行システムは正常に終了しました』</v>
      </c>
      <c r="F67" s="47">
        <v>50004089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60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1"/>
        <v>50004013_50004124</v>
      </c>
      <c r="B68" s="47">
        <v>50004013</v>
      </c>
      <c r="C68" s="47">
        <v>50004124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もう…こんなこと…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システム起動進行率……75%</v>
      </c>
      <c r="F68" s="47">
        <v>50004090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1"/>
        <v>50004013_50004127</v>
      </c>
      <c r="B69" s="47">
        <v>50004013</v>
      </c>
      <c r="C69" s="47">
        <v>50004127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EXTINCTION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『最終執行システムは正常に終了しました』</v>
      </c>
      <c r="F69" s="47">
        <v>50004093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1"/>
        <v>50004013_50004128</v>
      </c>
      <c r="B70" s="47">
        <v>50004013</v>
      </c>
      <c r="C70" s="47">
        <v>50004128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私はやりたくない……！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システム起動進行率……88%</v>
      </c>
      <c r="F70" s="47">
        <v>50004094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1"/>
        <v>50004013_50004133</v>
      </c>
      <c r="B71" s="47">
        <v>50004013</v>
      </c>
      <c r="C71" s="47">
        <v>50004133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EXTINCTION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『最終執行システムは正常に終了しました』</v>
      </c>
      <c r="F71" s="47">
        <v>50004097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ref="A72" si="12">B72&amp;"_"&amp;C72</f>
        <v>50004013_50004134</v>
      </c>
      <c r="B72" s="47">
        <v>50004013</v>
      </c>
      <c r="C72" s="47">
        <v>50004134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『障害となるノイズを遮断』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システム起動進行率……96%</v>
      </c>
      <c r="F72" s="47">
        <v>50004098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ref="A73" si="13">B73&amp;"_"&amp;C73</f>
        <v>50004013_50004135</v>
      </c>
      <c r="B73" s="47">
        <v>50004013</v>
      </c>
      <c r="C73" s="47">
        <v>50004135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EXTINCTION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『最終執行システムは正常に終了しました』</v>
      </c>
      <c r="F73" s="47">
        <v>50004101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ref="A74" si="14">B74&amp;"_"&amp;C74</f>
        <v>50004013_50004136</v>
      </c>
      <c r="B74" s="47">
        <v>50004013</v>
      </c>
      <c r="C74" s="47">
        <v>50004136</v>
      </c>
      <c r="D74" s="124" t="str">
        <f ca="1">VLOOKUP($C74,OFFSET(enemy_skills!$A$1,0,0,COUNTA(enemy_skills!$A:$A),MATCH(D$1,enemy_skills!$1:$1,0)-MATCH("enemy_skill_id",enemy_skills!$1:$1,0)+1),MATCH(D$1,enemy_skills!$1:$1,0)-MATCH("enemy_skill_id",enemy_skills!$1:$1,0)+1,FALSE)</f>
        <v>私もふつうになりたい…なんて…</v>
      </c>
      <c r="E74" s="124" t="str">
        <f ca="1">VLOOKUP($C74,OFFSET(enemy_skills!$A$1,0,0,COUNTA(enemy_skills!$A:$A),MATCH(E$1,enemy_skills!$1:$1,0)-MATCH("enemy_skill_id",enemy_skills!$1:$1,0)+1),MATCH(E$1,enemy_skills!$1:$1,0)-MATCH("enemy_skill_id",enemy_skills!$1:$1,0)+1,FALSE)</f>
        <v>傲慢…だったのかな…</v>
      </c>
      <c r="F74" s="47">
        <v>50004102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42"/>
  <sheetViews>
    <sheetView showGridLines="0" workbookViewId="0">
      <pane ySplit="1" topLeftCell="A85" activePane="bottomLeft" state="frozenSplit"/>
      <selection pane="bottomLeft" activeCell="E101" sqref="E101:F101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50004001</v>
      </c>
      <c r="B2" s="47" t="s">
        <v>403</v>
      </c>
      <c r="C2" s="50">
        <v>3</v>
      </c>
      <c r="D2" s="50" t="s">
        <v>127</v>
      </c>
      <c r="E2" s="51" t="s">
        <v>438</v>
      </c>
      <c r="F2" s="51" t="s">
        <v>437</v>
      </c>
      <c r="G2" s="63" t="str">
        <f t="shared" ref="G2:G33" si="0">IFERROR(LEFT(B2,FIND("],",B2)),B2)</f>
        <v>[effect:tolerance, target:myself, turn:-1, tolerance_effect:virus, count:-1]</v>
      </c>
      <c r="H2" s="63">
        <f t="shared" ref="H2:H33" si="1">FIND("effect:",G2)+7</f>
        <v>9</v>
      </c>
      <c r="I2" s="63">
        <f t="shared" ref="I2:I33" si="2">IFERROR(FIND(",",G2),LEN(G2))</f>
        <v>18</v>
      </c>
      <c r="J2" s="63">
        <f t="shared" ref="J2:J33" si="3">FIND("target:",G2)+7</f>
        <v>27</v>
      </c>
      <c r="K2" s="63">
        <f t="shared" ref="K2:K33" si="4">FIND(",",G2,I2+1)</f>
        <v>33</v>
      </c>
      <c r="L2" s="63" t="str">
        <f>IFERROR(VLOOKUP(MID(G2,J2,K2-J2),[6]skilldef!$C:$D,2,FALSE),"-") &amp; " / " &amp; IFERROR(VLOOKUP(MID(G2,H2,I2-H2),[6]skilldef!$A:$B,2,FALSE),"-")</f>
        <v>自分自身に / 状態異常耐性</v>
      </c>
      <c r="M2" s="63" t="str">
        <f t="shared" ref="M2:M33" si="5">IFERROR(RIGHT(B2,LEN(B2)-FIND("],",B2)-1),"none")</f>
        <v>[effect:tolerance, target:myself, turn:-1, tolerance_effect:hungup, count:-1],[effect:tolerance, target:myself, turn:-1, tolerance_effect:sleep, count:-1, animation:enemy_tolerance],[effect:fix_speed, target:myself, turn:1]</v>
      </c>
      <c r="N2" s="48" t="str">
        <f t="shared" ref="N2:N12" si="6">IFERROR(LEFT(M2,FIND("],",M2)+S13),M2)</f>
        <v>[effect:tolerance, target:myself, turn:-1, tolerance_effect:hungup, count:-1],[effect:tolerance, target:myself, turn:-1, tolerance_effect:sleep, count:-1, animation:enemy_tolerance],[effect:fix_speed, target:myself, turn:1]</v>
      </c>
      <c r="O2" s="63">
        <f t="shared" ref="O2:O33" si="7">FIND("effect:",N2)+7</f>
        <v>9</v>
      </c>
      <c r="P2" s="63">
        <f t="shared" ref="P2:P33" si="8">IFERROR(FIND(",",N2),LEN(N2))</f>
        <v>18</v>
      </c>
      <c r="Q2" s="63">
        <f t="shared" ref="Q2:Q33" si="9">FIND("target:",N2)+7</f>
        <v>27</v>
      </c>
      <c r="R2" s="63">
        <f t="shared" ref="R2:R33" si="10">FIND(",",N2,P2+1)</f>
        <v>33</v>
      </c>
      <c r="S2" s="63" t="str">
        <f>IFERROR(VLOOKUP(MID(N2,Q2,R2-Q2),[6]skilldef!$C:$D,2,FALSE),"-") &amp; " / " &amp; IFERROR(VLOOKUP(MID(N2,O2,P2-O2),[6]skilldef!$A:$B,2,FALSE),"-")</f>
        <v>自分自身に / 状態異常耐性</v>
      </c>
      <c r="T2" s="48" t="str">
        <f t="shared" ref="T2:T33" si="11">IFERROR(RIGHT(M2,LEN(M2)-FIND("],",M2)-1),"none")</f>
        <v>[effect:tolerance, target:myself, turn:-1, tolerance_effect:sleep, count:-1, animation:enemy_tolerance],[effect:fix_speed, target:myself, turn:1]</v>
      </c>
      <c r="U2" s="63">
        <f t="shared" ref="U2:U33" si="12">FIND("effect:",T2)+7</f>
        <v>9</v>
      </c>
      <c r="V2" s="63">
        <f t="shared" ref="V2:V33" si="13">IFERROR(FIND(",",T2),LEN(T2))</f>
        <v>18</v>
      </c>
      <c r="W2" s="63">
        <f t="shared" ref="W2:W33" si="14">FIND("target:",T2)+7</f>
        <v>27</v>
      </c>
      <c r="X2" s="63">
        <f t="shared" ref="X2:X33" si="15">FIND(",",T2,V2+1)</f>
        <v>33</v>
      </c>
      <c r="Y2" s="63" t="str">
        <f>IFERROR(VLOOKUP(MID(T2,W2,X2-W2),[6]skilldef!$C:$D,2,FALSE),"-") &amp; " / " &amp; IFERROR(VLOOKUP(MID(T2,U2,V2-U2),[6]skilldef!$A:$B,2,FALSE),"-")</f>
        <v>自分自身に / 状態異常耐性</v>
      </c>
      <c r="Z2" s="50"/>
      <c r="AA2" s="52"/>
      <c r="AB2" s="50"/>
    </row>
    <row r="3" spans="1:28" ht="21" customHeight="1" x14ac:dyDescent="0.15">
      <c r="A3" s="47">
        <v>50004002</v>
      </c>
      <c r="B3" s="47" t="s">
        <v>403</v>
      </c>
      <c r="C3" s="50">
        <v>3</v>
      </c>
      <c r="D3" s="50" t="s">
        <v>127</v>
      </c>
      <c r="E3" s="51" t="s">
        <v>318</v>
      </c>
      <c r="F3" s="51" t="s">
        <v>345</v>
      </c>
      <c r="G3" s="63" t="str">
        <f t="shared" si="0"/>
        <v>[effect:tolerance, target:myself, turn:-1, tolerance_effect:virus, count:-1]</v>
      </c>
      <c r="H3" s="63">
        <f t="shared" si="1"/>
        <v>9</v>
      </c>
      <c r="I3" s="63">
        <f t="shared" si="2"/>
        <v>18</v>
      </c>
      <c r="J3" s="63">
        <f t="shared" si="3"/>
        <v>27</v>
      </c>
      <c r="K3" s="63">
        <f t="shared" si="4"/>
        <v>33</v>
      </c>
      <c r="L3" s="63" t="str">
        <f>IFERROR(VLOOKUP(MID(G3,J3,K3-J3),[6]skilldef!$C:$D,2,FALSE),"-") &amp; " / " &amp; IFERROR(VLOOKUP(MID(G3,H3,I3-H3),[6]skilldef!$A:$B,2,FALSE),"-")</f>
        <v>自分自身に / 状態異常耐性</v>
      </c>
      <c r="M3" s="63" t="str">
        <f t="shared" si="5"/>
        <v>[effect:tolerance, target:myself, turn:-1, tolerance_effect:hungup, count:-1],[effect:tolerance, target:myself, turn:-1, tolerance_effect:sleep, count:-1, animation:enemy_tolerance],[effect:fix_speed, target:myself, turn:1]</v>
      </c>
      <c r="N3" s="48" t="str">
        <f t="shared" si="6"/>
        <v>[effect:tolerance, target:myself, turn:-1, tolerance_effect:hungup, count:-1],[effect:tolerance, target:myself, turn:-1, tolerance_effect:sleep, count:-1, animation:enemy_tolerance],[effect:fix_speed, target:myself, turn:1]</v>
      </c>
      <c r="O3" s="63">
        <f t="shared" si="7"/>
        <v>9</v>
      </c>
      <c r="P3" s="63">
        <f t="shared" si="8"/>
        <v>18</v>
      </c>
      <c r="Q3" s="63">
        <f t="shared" si="9"/>
        <v>27</v>
      </c>
      <c r="R3" s="63">
        <f t="shared" si="10"/>
        <v>33</v>
      </c>
      <c r="S3" s="63" t="str">
        <f>IFERROR(VLOOKUP(MID(N3,Q3,R3-Q3),[6]skilldef!$C:$D,2,FALSE),"-") &amp; " / " &amp; IFERROR(VLOOKUP(MID(N3,O3,P3-O3),[6]skilldef!$A:$B,2,FALSE),"-")</f>
        <v>自分自身に / 状態異常耐性</v>
      </c>
      <c r="T3" s="48" t="str">
        <f t="shared" si="11"/>
        <v>[effect:tolerance, target:myself, turn:-1, tolerance_effect:sleep, count:-1, animation:enemy_tolerance],[effect:fix_speed, target:myself, turn:1]</v>
      </c>
      <c r="U3" s="63">
        <f t="shared" si="12"/>
        <v>9</v>
      </c>
      <c r="V3" s="63">
        <f t="shared" si="13"/>
        <v>18</v>
      </c>
      <c r="W3" s="63">
        <f t="shared" si="14"/>
        <v>27</v>
      </c>
      <c r="X3" s="63">
        <f t="shared" si="15"/>
        <v>33</v>
      </c>
      <c r="Y3" s="63" t="str">
        <f>IFERROR(VLOOKUP(MID(T3,W3,X3-W3),[6]skilldef!$C:$D,2,FALSE),"-") &amp; " / " &amp; IFERROR(VLOOKUP(MID(T3,U3,V3-U3),[6]skilldef!$A:$B,2,FALSE),"-")</f>
        <v>自分自身に / 状態異常耐性</v>
      </c>
      <c r="Z3" s="50"/>
      <c r="AA3" s="52"/>
      <c r="AB3" s="50"/>
    </row>
    <row r="4" spans="1:28" ht="21" customHeight="1" x14ac:dyDescent="0.15">
      <c r="A4" s="47">
        <v>50004003</v>
      </c>
      <c r="B4" s="47" t="s">
        <v>403</v>
      </c>
      <c r="C4" s="50">
        <v>3</v>
      </c>
      <c r="D4" s="50" t="s">
        <v>127</v>
      </c>
      <c r="E4" s="51" t="s">
        <v>318</v>
      </c>
      <c r="F4" s="51" t="s">
        <v>346</v>
      </c>
      <c r="G4" s="63" t="str">
        <f t="shared" si="0"/>
        <v>[effect:tolerance, target:myself, turn:-1, tolerance_effect:virus, count:-1]</v>
      </c>
      <c r="H4" s="63">
        <f t="shared" si="1"/>
        <v>9</v>
      </c>
      <c r="I4" s="63">
        <f t="shared" si="2"/>
        <v>18</v>
      </c>
      <c r="J4" s="63">
        <f t="shared" si="3"/>
        <v>27</v>
      </c>
      <c r="K4" s="63">
        <f t="shared" si="4"/>
        <v>33</v>
      </c>
      <c r="L4" s="63" t="str">
        <f>IFERROR(VLOOKUP(MID(G4,J4,K4-J4),[6]skilldef!$C:$D,2,FALSE),"-") &amp; " / " &amp; IFERROR(VLOOKUP(MID(G4,H4,I4-H4),[6]skilldef!$A:$B,2,FALSE),"-")</f>
        <v>自分自身に / 状態異常耐性</v>
      </c>
      <c r="M4" s="63" t="str">
        <f t="shared" si="5"/>
        <v>[effect:tolerance, target:myself, turn:-1, tolerance_effect:hungup, count:-1],[effect:tolerance, target:myself, turn:-1, tolerance_effect:sleep, count:-1, animation:enemy_tolerance],[effect:fix_speed, target:myself, turn:1]</v>
      </c>
      <c r="N4" s="48" t="str">
        <f t="shared" si="6"/>
        <v>[effect:tolerance, target:myself, turn:-1, tolerance_effect:hungup, count:-1],[effect:tolerance, target:myself, turn:-1, tolerance_effect:sleep, count:-1, animation:enemy_tolerance],[effect:fix_speed, target:myself, turn:1]</v>
      </c>
      <c r="O4" s="63">
        <f t="shared" si="7"/>
        <v>9</v>
      </c>
      <c r="P4" s="63">
        <f t="shared" si="8"/>
        <v>18</v>
      </c>
      <c r="Q4" s="63">
        <f t="shared" si="9"/>
        <v>27</v>
      </c>
      <c r="R4" s="63">
        <f t="shared" si="10"/>
        <v>33</v>
      </c>
      <c r="S4" s="63" t="str">
        <f>IFERROR(VLOOKUP(MID(N4,Q4,R4-Q4),[6]skilldef!$C:$D,2,FALSE),"-") &amp; " / " &amp; IFERROR(VLOOKUP(MID(N4,O4,P4-O4),[6]skilldef!$A:$B,2,FALSE),"-")</f>
        <v>自分自身に / 状態異常耐性</v>
      </c>
      <c r="T4" s="48" t="str">
        <f t="shared" si="11"/>
        <v>[effect:tolerance, target:myself, turn:-1, tolerance_effect:sleep, count:-1, animation:enemy_tolerance],[effect:fix_speed, target:myself, turn:1]</v>
      </c>
      <c r="U4" s="63">
        <f t="shared" si="12"/>
        <v>9</v>
      </c>
      <c r="V4" s="63">
        <f t="shared" si="13"/>
        <v>18</v>
      </c>
      <c r="W4" s="63">
        <f t="shared" si="14"/>
        <v>27</v>
      </c>
      <c r="X4" s="63">
        <f t="shared" si="15"/>
        <v>33</v>
      </c>
      <c r="Y4" s="63" t="str">
        <f>IFERROR(VLOOKUP(MID(T4,W4,X4-W4),[6]skilldef!$C:$D,2,FALSE),"-") &amp; " / " &amp; IFERROR(VLOOKUP(MID(T4,U4,V4-U4),[6]skilldef!$A:$B,2,FALSE),"-")</f>
        <v>自分自身に / 状態異常耐性</v>
      </c>
      <c r="Z4" s="50"/>
      <c r="AA4" s="52"/>
      <c r="AB4" s="50"/>
    </row>
    <row r="5" spans="1:28" ht="21" customHeight="1" x14ac:dyDescent="0.15">
      <c r="A5" s="47">
        <v>50004004</v>
      </c>
      <c r="B5" s="47" t="s">
        <v>407</v>
      </c>
      <c r="C5" s="50">
        <v>3</v>
      </c>
      <c r="D5" s="50" t="s">
        <v>127</v>
      </c>
      <c r="E5" s="51" t="s">
        <v>347</v>
      </c>
      <c r="F5" s="51" t="s">
        <v>406</v>
      </c>
      <c r="G5" s="63" t="str">
        <f t="shared" si="0"/>
        <v>[effect:enhance_unit, target:unit_all, turn:45, status:defense, val:1440, calc:add]</v>
      </c>
      <c r="H5" s="63">
        <f t="shared" si="1"/>
        <v>9</v>
      </c>
      <c r="I5" s="63">
        <f t="shared" si="2"/>
        <v>21</v>
      </c>
      <c r="J5" s="63">
        <f t="shared" si="3"/>
        <v>30</v>
      </c>
      <c r="K5" s="63">
        <f t="shared" si="4"/>
        <v>38</v>
      </c>
      <c r="L5" s="63" t="str">
        <f>IFERROR(VLOOKUP(MID(G5,J5,K5-J5),[6]skilldef!$C:$D,2,FALSE),"-") &amp; " / " &amp; IFERROR(VLOOKUP(MID(G5,H5,I5-H5),[6]skilldef!$A:$B,2,FALSE),"-")</f>
        <v>味方全体に / -</v>
      </c>
      <c r="M5" s="63" t="str">
        <f t="shared" si="5"/>
        <v>[effect:suicide, val:1, dead_type:escape]</v>
      </c>
      <c r="N5" s="48" t="str">
        <f t="shared" si="6"/>
        <v>[effect:suicide, val:1, dead_type:escape]</v>
      </c>
      <c r="O5" s="63">
        <f t="shared" si="7"/>
        <v>9</v>
      </c>
      <c r="P5" s="63">
        <f t="shared" si="8"/>
        <v>16</v>
      </c>
      <c r="Q5" s="63" t="e">
        <f t="shared" si="9"/>
        <v>#VALUE!</v>
      </c>
      <c r="R5" s="63">
        <f t="shared" si="10"/>
        <v>23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106">
        <v>50004005</v>
      </c>
      <c r="B6" s="106" t="s">
        <v>262</v>
      </c>
      <c r="C6" s="107">
        <v>1</v>
      </c>
      <c r="D6" s="107" t="s">
        <v>127</v>
      </c>
      <c r="E6" s="108" t="s">
        <v>216</v>
      </c>
      <c r="F6" s="108" t="s">
        <v>217</v>
      </c>
      <c r="G6" s="63" t="str">
        <f t="shared" si="0"/>
        <v>[effect:nothing]</v>
      </c>
      <c r="H6" s="63">
        <f t="shared" si="1"/>
        <v>9</v>
      </c>
      <c r="I6" s="63">
        <f t="shared" si="2"/>
        <v>16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IFERROR(VLOOKUP(MID(G6,J6,K6-J6),[6]skilldef!$C:$D,2,FALSE),"-") &amp; " / " &amp; IFERROR(VLOOKUP(MID(G6,H6,I6-H6),[6]skilldef!$A:$B,2,FALSE),"-")</f>
        <v>- / 何もしない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50004006</v>
      </c>
      <c r="B7" s="47" t="s">
        <v>258</v>
      </c>
      <c r="C7" s="50">
        <v>3</v>
      </c>
      <c r="D7" s="50" t="s">
        <v>127</v>
      </c>
      <c r="E7" s="51" t="s">
        <v>321</v>
      </c>
      <c r="F7" s="51" t="s">
        <v>220</v>
      </c>
      <c r="G7" s="63" t="str">
        <f t="shared" si="0"/>
        <v>[effect:rush, count:3, val:0.4]</v>
      </c>
      <c r="H7" s="63">
        <f t="shared" si="1"/>
        <v>9</v>
      </c>
      <c r="I7" s="63">
        <f t="shared" si="2"/>
        <v>13</v>
      </c>
      <c r="J7" s="63" t="e">
        <f t="shared" si="3"/>
        <v>#VALUE!</v>
      </c>
      <c r="K7" s="63">
        <f t="shared" si="4"/>
        <v>22</v>
      </c>
      <c r="L7" s="63" t="str">
        <f>IFERROR(VLOOKUP(MID(G7,J7,K7-J7),[6]skilldef!$C:$D,2,FALSE),"-") &amp; " / " &amp; IFERROR(VLOOKUP(MID(G7,H7,I7-H7),[6]skilldef!$A:$B,2,FALSE),"-")</f>
        <v>- / 連続攻撃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50004007</v>
      </c>
      <c r="B8" s="47" t="s">
        <v>263</v>
      </c>
      <c r="C8" s="50">
        <v>3</v>
      </c>
      <c r="D8" s="50" t="s">
        <v>127</v>
      </c>
      <c r="E8" s="51" t="s">
        <v>322</v>
      </c>
      <c r="F8" s="51" t="s">
        <v>219</v>
      </c>
      <c r="G8" s="63" t="str">
        <f t="shared" si="0"/>
        <v>[effect:spread, val:0.35]</v>
      </c>
      <c r="H8" s="63">
        <f t="shared" si="1"/>
        <v>9</v>
      </c>
      <c r="I8" s="63">
        <f t="shared" si="2"/>
        <v>15</v>
      </c>
      <c r="J8" s="63" t="e">
        <f t="shared" si="3"/>
        <v>#VALUE!</v>
      </c>
      <c r="K8" s="63" t="e">
        <f t="shared" si="4"/>
        <v>#VALUE!</v>
      </c>
      <c r="L8" s="63" t="str">
        <f>IFERROR(VLOOKUP(MID(G8,J8,K8-J8),[6]skilldef!$C:$D,2,FALSE),"-") &amp; " / " &amp; IFERROR(VLOOKUP(MID(G8,H8,I8-H8),[6]skilldef!$A:$B,2,FALSE),"-")</f>
        <v>- / 全体攻撃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50004008</v>
      </c>
      <c r="B9" s="47" t="s">
        <v>259</v>
      </c>
      <c r="C9" s="50">
        <v>3</v>
      </c>
      <c r="D9" s="50" t="s">
        <v>127</v>
      </c>
      <c r="E9" s="51" t="s">
        <v>323</v>
      </c>
      <c r="F9" s="51" t="s">
        <v>327</v>
      </c>
      <c r="G9" s="63" t="str">
        <f t="shared" si="0"/>
        <v>[effect:enhance_enemy, target:myself, turn:5, status:attack, val:0.3, calc:mul, animation:enemy_enhance_attack]</v>
      </c>
      <c r="H9" s="63">
        <f t="shared" si="1"/>
        <v>9</v>
      </c>
      <c r="I9" s="63">
        <f t="shared" si="2"/>
        <v>22</v>
      </c>
      <c r="J9" s="63">
        <f t="shared" si="3"/>
        <v>31</v>
      </c>
      <c r="K9" s="63">
        <f t="shared" si="4"/>
        <v>37</v>
      </c>
      <c r="L9" s="63" t="str">
        <f>IFERROR(VLOOKUP(MID(G9,J9,K9-J9),[6]skilldef!$C:$D,2,FALSE),"-") &amp; " / " &amp; IFERROR(VLOOKUP(MID(G9,H9,I9-H9),[6]skilldef!$A:$B,2,FALSE),"-")</f>
        <v>自分自身に / ステータス強化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106">
        <v>50004009</v>
      </c>
      <c r="B10" s="106" t="s">
        <v>262</v>
      </c>
      <c r="C10" s="107">
        <v>1</v>
      </c>
      <c r="D10" s="107" t="s">
        <v>127</v>
      </c>
      <c r="E10" s="108" t="s">
        <v>218</v>
      </c>
      <c r="F10" s="108" t="s">
        <v>217</v>
      </c>
      <c r="G10" s="63" t="str">
        <f t="shared" si="0"/>
        <v>[effect:nothing]</v>
      </c>
      <c r="H10" s="63">
        <f t="shared" si="1"/>
        <v>9</v>
      </c>
      <c r="I10" s="63">
        <f t="shared" si="2"/>
        <v>16</v>
      </c>
      <c r="J10" s="63" t="e">
        <f t="shared" si="3"/>
        <v>#VALUE!</v>
      </c>
      <c r="K10" s="63" t="e">
        <f t="shared" si="4"/>
        <v>#VALUE!</v>
      </c>
      <c r="L10" s="63" t="str">
        <f>IFERROR(VLOOKUP(MID(G10,J10,K10-J10),[6]skilldef!$C:$D,2,FALSE),"-") &amp; " / " &amp; IFERROR(VLOOKUP(MID(G10,H10,I10-H10),[6]skilldef!$A:$B,2,FALSE),"-")</f>
        <v>- / 何もしない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106">
        <v>50004010</v>
      </c>
      <c r="B11" s="106" t="s">
        <v>262</v>
      </c>
      <c r="C11" s="107">
        <v>1</v>
      </c>
      <c r="D11" s="107" t="s">
        <v>127</v>
      </c>
      <c r="E11" s="108" t="s">
        <v>218</v>
      </c>
      <c r="F11" s="108" t="s">
        <v>217</v>
      </c>
      <c r="G11" s="63" t="str">
        <f t="shared" si="0"/>
        <v>[effect:nothing]</v>
      </c>
      <c r="H11" s="63">
        <f t="shared" si="1"/>
        <v>9</v>
      </c>
      <c r="I11" s="63">
        <f t="shared" si="2"/>
        <v>16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IFERROR(VLOOKUP(MID(G11,J11,K11-J11),[6]skilldef!$C:$D,2,FALSE),"-") &amp; " / " &amp; IFERROR(VLOOKUP(MID(G11,H11,I11-H11),[6]skilldef!$A:$B,2,FALSE),"-")</f>
        <v>- / 何もしない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106">
        <v>50004011</v>
      </c>
      <c r="B12" s="106" t="s">
        <v>262</v>
      </c>
      <c r="C12" s="107">
        <v>1</v>
      </c>
      <c r="D12" s="107" t="s">
        <v>127</v>
      </c>
      <c r="E12" s="108" t="s">
        <v>218</v>
      </c>
      <c r="F12" s="108" t="s">
        <v>217</v>
      </c>
      <c r="G12" s="63" t="str">
        <f t="shared" si="0"/>
        <v>[effect:nothing]</v>
      </c>
      <c r="H12" s="63">
        <f t="shared" si="1"/>
        <v>9</v>
      </c>
      <c r="I12" s="63">
        <f t="shared" si="2"/>
        <v>16</v>
      </c>
      <c r="J12" s="63" t="e">
        <f t="shared" si="3"/>
        <v>#VALUE!</v>
      </c>
      <c r="K12" s="63" t="e">
        <f t="shared" si="4"/>
        <v>#VALUE!</v>
      </c>
      <c r="L12" s="63" t="str">
        <f>IFERROR(VLOOKUP(MID(G12,J12,K12-J12),[6]skilldef!$C:$D,2,FALSE),"-") &amp; " / " &amp; IFERROR(VLOOKUP(MID(G12,H12,I12-H12),[6]skilldef!$A:$B,2,FALSE),"-")</f>
        <v>- / 何もしない</v>
      </c>
      <c r="M12" s="63" t="str">
        <f t="shared" si="5"/>
        <v>none</v>
      </c>
      <c r="N12" s="48" t="str">
        <f t="shared" si="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50004012</v>
      </c>
      <c r="B13" s="47" t="s">
        <v>260</v>
      </c>
      <c r="C13" s="50">
        <v>3</v>
      </c>
      <c r="D13" s="50" t="s">
        <v>127</v>
      </c>
      <c r="E13" s="51" t="s">
        <v>320</v>
      </c>
      <c r="F13" s="51" t="s">
        <v>319</v>
      </c>
      <c r="G13" s="63" t="str">
        <f t="shared" si="0"/>
        <v>[effect:critical, val:2.0]</v>
      </c>
      <c r="H13" s="63">
        <f t="shared" si="1"/>
        <v>9</v>
      </c>
      <c r="I13" s="63">
        <f t="shared" si="2"/>
        <v>17</v>
      </c>
      <c r="J13" s="63" t="e">
        <f t="shared" si="3"/>
        <v>#VALUE!</v>
      </c>
      <c r="K13" s="63" t="e">
        <f t="shared" si="4"/>
        <v>#VALUE!</v>
      </c>
      <c r="L13" s="63" t="str">
        <f>IFERROR(VLOOKUP(MID(G13,J13,K13-J13),[6]skilldef!$C:$D,2,FALSE),"-") &amp; " / " &amp; IFERROR(VLOOKUP(MID(G13,H13,I13-H13),[6]skilldef!$A:$B,2,FALSE),"-")</f>
        <v>- / 大攻撃</v>
      </c>
      <c r="M13" s="63" t="str">
        <f t="shared" si="5"/>
        <v>none</v>
      </c>
      <c r="N13" s="48" t="str">
        <f>IFERROR(LEFT(M13,FIND("],",M13)+S23),M13)</f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50004013</v>
      </c>
      <c r="B14" s="47" t="s">
        <v>289</v>
      </c>
      <c r="C14" s="50">
        <v>3</v>
      </c>
      <c r="D14" s="50" t="s">
        <v>127</v>
      </c>
      <c r="E14" s="51" t="s">
        <v>348</v>
      </c>
      <c r="F14" s="51" t="s">
        <v>349</v>
      </c>
      <c r="G14" s="63" t="str">
        <f t="shared" si="0"/>
        <v>[effect:fix_speed, target:enemy_red, turn:1]</v>
      </c>
      <c r="H14" s="63">
        <f t="shared" si="1"/>
        <v>9</v>
      </c>
      <c r="I14" s="63">
        <f t="shared" si="2"/>
        <v>18</v>
      </c>
      <c r="J14" s="63">
        <f t="shared" si="3"/>
        <v>27</v>
      </c>
      <c r="K14" s="63">
        <f t="shared" si="4"/>
        <v>36</v>
      </c>
      <c r="L14" s="63" t="str">
        <f>IFERROR(VLOOKUP(MID(G14,J14,K14-J14),[6]skilldef!$C:$D,2,FALSE),"-") &amp; " / " &amp; IFERROR(VLOOKUP(MID(G14,H14,I14-H14),[6]skilldef!$A:$B,2,FALSE),"-")</f>
        <v>赤の敵に / 行動値設定</v>
      </c>
      <c r="M14" s="63" t="str">
        <f t="shared" si="5"/>
        <v>[effect:fix_speed, target:enemy_yellow, turn:8],[effect:fix_speed, target:enemy_green, turn:2]</v>
      </c>
      <c r="N14" s="48" t="str">
        <f>IFERROR(LEFT(M14,FIND("],",M14)+S24),M14)</f>
        <v>[effect:fix_speed, target:enemy_yellow, turn:8],[effect:fix_speed, target:enemy_green, turn:2]</v>
      </c>
      <c r="O14" s="63">
        <f t="shared" si="7"/>
        <v>9</v>
      </c>
      <c r="P14" s="63">
        <f t="shared" si="8"/>
        <v>18</v>
      </c>
      <c r="Q14" s="63">
        <f t="shared" si="9"/>
        <v>27</v>
      </c>
      <c r="R14" s="63">
        <f t="shared" si="10"/>
        <v>39</v>
      </c>
      <c r="S14" s="63" t="str">
        <f>IFERROR(VLOOKUP(MID(N14,Q14,R14-Q14),[6]skilldef!$C:$D,2,FALSE),"-") &amp; " / " &amp; IFERROR(VLOOKUP(MID(N14,O14,P14-O14),[6]skilldef!$A:$B,2,FALSE),"-")</f>
        <v>黄の敵に / 行動値設定</v>
      </c>
      <c r="T14" s="48" t="str">
        <f t="shared" si="11"/>
        <v>[effect:fix_speed, target:enemy_green, turn:2]</v>
      </c>
      <c r="U14" s="63">
        <f t="shared" si="12"/>
        <v>9</v>
      </c>
      <c r="V14" s="63">
        <f t="shared" si="13"/>
        <v>18</v>
      </c>
      <c r="W14" s="63">
        <f t="shared" si="14"/>
        <v>27</v>
      </c>
      <c r="X14" s="63">
        <f t="shared" si="15"/>
        <v>38</v>
      </c>
      <c r="Y14" s="63" t="str">
        <f>IFERROR(VLOOKUP(MID(T14,W14,X14-W14),[6]skilldef!$C:$D,2,FALSE),"-") &amp; " / " &amp; IFERROR(VLOOKUP(MID(T14,U14,V14-U14),[6]skilldef!$A:$B,2,FALSE),"-")</f>
        <v>緑の敵に / 行動値設定</v>
      </c>
      <c r="Z14" s="50"/>
      <c r="AA14" s="52"/>
      <c r="AB14" s="50"/>
    </row>
    <row r="15" spans="1:28" ht="21" customHeight="1" x14ac:dyDescent="0.15">
      <c r="A15" s="106">
        <v>50004014</v>
      </c>
      <c r="B15" s="106" t="s">
        <v>262</v>
      </c>
      <c r="C15" s="107">
        <v>1</v>
      </c>
      <c r="D15" s="107" t="s">
        <v>127</v>
      </c>
      <c r="E15" s="108" t="s">
        <v>221</v>
      </c>
      <c r="F15" s="108" t="s">
        <v>217</v>
      </c>
      <c r="G15" s="63" t="str">
        <f t="shared" si="0"/>
        <v>[effect:nothing]</v>
      </c>
      <c r="H15" s="63">
        <f t="shared" si="1"/>
        <v>9</v>
      </c>
      <c r="I15" s="63">
        <f t="shared" si="2"/>
        <v>16</v>
      </c>
      <c r="J15" s="63" t="e">
        <f t="shared" si="3"/>
        <v>#VALUE!</v>
      </c>
      <c r="K15" s="63" t="e">
        <f t="shared" si="4"/>
        <v>#VALUE!</v>
      </c>
      <c r="L15" s="63" t="str">
        <f>IFERROR(VLOOKUP(MID(G15,J15,K15-J15),[6]skilldef!$C:$D,2,FALSE),"-") &amp; " / " &amp; IFERROR(VLOOKUP(MID(G15,H15,I15-H15),[6]skilldef!$A:$B,2,FALSE),"-")</f>
        <v>- / 何もしない</v>
      </c>
      <c r="M15" s="63" t="str">
        <f t="shared" si="5"/>
        <v>none</v>
      </c>
      <c r="N15" s="48" t="str">
        <f>IFERROR(LEFT(M15,FIND("],",M15)+S25),M15)</f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106">
        <v>50004015</v>
      </c>
      <c r="B16" s="106" t="s">
        <v>262</v>
      </c>
      <c r="C16" s="107">
        <v>1</v>
      </c>
      <c r="D16" s="107" t="s">
        <v>127</v>
      </c>
      <c r="E16" s="108" t="s">
        <v>221</v>
      </c>
      <c r="F16" s="108" t="s">
        <v>217</v>
      </c>
      <c r="G16" s="63" t="str">
        <f t="shared" si="0"/>
        <v>[effect:nothing]</v>
      </c>
      <c r="H16" s="63">
        <f t="shared" si="1"/>
        <v>9</v>
      </c>
      <c r="I16" s="63">
        <f t="shared" si="2"/>
        <v>16</v>
      </c>
      <c r="J16" s="63" t="e">
        <f t="shared" si="3"/>
        <v>#VALUE!</v>
      </c>
      <c r="K16" s="63" t="e">
        <f t="shared" si="4"/>
        <v>#VALUE!</v>
      </c>
      <c r="L16" s="63" t="str">
        <f>IFERROR(VLOOKUP(MID(G16,J16,K16-J16),[6]skilldef!$C:$D,2,FALSE),"-") &amp; " / " &amp; IFERROR(VLOOKUP(MID(G16,H16,I16-H16),[6]skilldef!$A:$B,2,FALSE),"-")</f>
        <v>- / 何もしない</v>
      </c>
      <c r="M16" s="63" t="str">
        <f t="shared" si="5"/>
        <v>none</v>
      </c>
      <c r="N16" s="48" t="str">
        <f>IFERROR(LEFT(M16,FIND("],",M16)+S26),M16)</f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50004016</v>
      </c>
      <c r="B17" s="47" t="s">
        <v>272</v>
      </c>
      <c r="C17" s="50">
        <v>3</v>
      </c>
      <c r="D17" s="50" t="s">
        <v>127</v>
      </c>
      <c r="E17" s="51" t="s">
        <v>324</v>
      </c>
      <c r="F17" s="51" t="s">
        <v>223</v>
      </c>
      <c r="G17" s="63" t="str">
        <f t="shared" si="0"/>
        <v xml:space="preserve">[effect:heal, target:enemy_all, val:0.08, animation:enemy_heal]    </v>
      </c>
      <c r="H17" s="63">
        <f t="shared" si="1"/>
        <v>9</v>
      </c>
      <c r="I17" s="63">
        <f t="shared" si="2"/>
        <v>13</v>
      </c>
      <c r="J17" s="63">
        <f t="shared" si="3"/>
        <v>22</v>
      </c>
      <c r="K17" s="63">
        <f t="shared" si="4"/>
        <v>31</v>
      </c>
      <c r="L17" s="63" t="str">
        <f>IFERROR(VLOOKUP(MID(G17,J17,K17-J17),[6]skilldef!$C:$D,2,FALSE),"-") &amp; " / " &amp; IFERROR(VLOOKUP(MID(G17,H17,I17-H17),[6]skilldef!$A:$B,2,FALSE),"-")</f>
        <v>敵全体に / 回復</v>
      </c>
      <c r="M17" s="63" t="str">
        <f t="shared" si="5"/>
        <v>none</v>
      </c>
      <c r="N17" s="48" t="str">
        <f t="shared" ref="N17:N26" si="16">IFERROR(LEFT(M17,FIND("],",M17)+S28),M17)</f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50004017</v>
      </c>
      <c r="B18" s="47" t="s">
        <v>261</v>
      </c>
      <c r="C18" s="50">
        <v>3</v>
      </c>
      <c r="D18" s="50" t="s">
        <v>127</v>
      </c>
      <c r="E18" s="51" t="s">
        <v>325</v>
      </c>
      <c r="F18" s="51" t="s">
        <v>328</v>
      </c>
      <c r="G18" s="63" t="str">
        <f t="shared" si="0"/>
        <v>[effect:reduction, target:enemy_all, turn:1, color:all, val:0.5, animation:reduction_one04]</v>
      </c>
      <c r="H18" s="63">
        <f t="shared" si="1"/>
        <v>9</v>
      </c>
      <c r="I18" s="63">
        <f t="shared" si="2"/>
        <v>18</v>
      </c>
      <c r="J18" s="63">
        <f t="shared" si="3"/>
        <v>27</v>
      </c>
      <c r="K18" s="63">
        <f t="shared" si="4"/>
        <v>36</v>
      </c>
      <c r="L18" s="63" t="str">
        <f>IFERROR(VLOOKUP(MID(G18,J18,K18-J18),[6]skilldef!$C:$D,2,FALSE),"-") &amp; " / " &amp; IFERROR(VLOOKUP(MID(G18,H18,I18-H18),[6]skilldef!$A:$B,2,FALSE),"-")</f>
        <v>敵全体に / -</v>
      </c>
      <c r="M18" s="63" t="str">
        <f t="shared" si="5"/>
        <v>none</v>
      </c>
      <c r="N18" s="48" t="str">
        <f t="shared" si="16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50004018</v>
      </c>
      <c r="B19" s="47" t="s">
        <v>395</v>
      </c>
      <c r="C19" s="50">
        <v>3</v>
      </c>
      <c r="D19" s="50" t="s">
        <v>127</v>
      </c>
      <c r="E19" s="51" t="s">
        <v>326</v>
      </c>
      <c r="F19" s="51" t="s">
        <v>329</v>
      </c>
      <c r="G19" s="63" t="str">
        <f t="shared" si="0"/>
        <v>[effect:freq_turn, target:enemy_myself, turn:5, val:1, animation:enemy_freq_turn]</v>
      </c>
      <c r="H19" s="63">
        <f t="shared" si="1"/>
        <v>9</v>
      </c>
      <c r="I19" s="63">
        <f t="shared" si="2"/>
        <v>18</v>
      </c>
      <c r="J19" s="63">
        <f t="shared" si="3"/>
        <v>27</v>
      </c>
      <c r="K19" s="63">
        <f t="shared" si="4"/>
        <v>39</v>
      </c>
      <c r="L19" s="63" t="str">
        <f>IFERROR(VLOOKUP(MID(G19,J19,K19-J19),[6]skilldef!$C:$D,2,FALSE),"-") &amp; " / " &amp; IFERROR(VLOOKUP(MID(G19,H19,I19-H19),[6]skilldef!$A:$B,2,FALSE),"-")</f>
        <v>- / 攻撃頻度がUP</v>
      </c>
      <c r="M19" s="63" t="str">
        <f t="shared" si="5"/>
        <v>none</v>
      </c>
      <c r="N19" s="48" t="str">
        <f t="shared" si="1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106">
        <v>50004019</v>
      </c>
      <c r="B20" s="106" t="s">
        <v>262</v>
      </c>
      <c r="C20" s="107">
        <v>1</v>
      </c>
      <c r="D20" s="107" t="s">
        <v>127</v>
      </c>
      <c r="E20" s="108" t="s">
        <v>222</v>
      </c>
      <c r="F20" s="108" t="s">
        <v>217</v>
      </c>
      <c r="G20" s="63" t="str">
        <f t="shared" si="0"/>
        <v>[effect:nothing]</v>
      </c>
      <c r="H20" s="63">
        <f t="shared" si="1"/>
        <v>9</v>
      </c>
      <c r="I20" s="63">
        <f t="shared" si="2"/>
        <v>16</v>
      </c>
      <c r="J20" s="63" t="e">
        <f t="shared" si="3"/>
        <v>#VALUE!</v>
      </c>
      <c r="K20" s="63" t="e">
        <f t="shared" si="4"/>
        <v>#VALUE!</v>
      </c>
      <c r="L20" s="63" t="str">
        <f>IFERROR(VLOOKUP(MID(G20,J20,K20-J20),[6]skilldef!$C:$D,2,FALSE),"-") &amp; " / " &amp; IFERROR(VLOOKUP(MID(G20,H20,I20-H20),[6]skilldef!$A:$B,2,FALSE),"-")</f>
        <v>- / 何もしない</v>
      </c>
      <c r="M20" s="63" t="str">
        <f t="shared" si="5"/>
        <v>none</v>
      </c>
      <c r="N20" s="48" t="str">
        <f t="shared" si="16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106">
        <v>50004020</v>
      </c>
      <c r="B21" s="106" t="s">
        <v>262</v>
      </c>
      <c r="C21" s="107">
        <v>1</v>
      </c>
      <c r="D21" s="107" t="s">
        <v>127</v>
      </c>
      <c r="E21" s="108" t="s">
        <v>222</v>
      </c>
      <c r="F21" s="108" t="s">
        <v>217</v>
      </c>
      <c r="G21" s="63" t="str">
        <f t="shared" si="0"/>
        <v>[effect:nothing]</v>
      </c>
      <c r="H21" s="63">
        <f t="shared" si="1"/>
        <v>9</v>
      </c>
      <c r="I21" s="63">
        <f t="shared" si="2"/>
        <v>16</v>
      </c>
      <c r="J21" s="63" t="e">
        <f t="shared" si="3"/>
        <v>#VALUE!</v>
      </c>
      <c r="K21" s="63" t="e">
        <f t="shared" si="4"/>
        <v>#VALUE!</v>
      </c>
      <c r="L21" s="63" t="str">
        <f>IFERROR(VLOOKUP(MID(G21,J21,K21-J21),[6]skilldef!$C:$D,2,FALSE),"-") &amp; " / " &amp; IFERROR(VLOOKUP(MID(G21,H21,I21-H21),[6]skilldef!$A:$B,2,FALSE),"-")</f>
        <v>- / 何もしない</v>
      </c>
      <c r="M21" s="63" t="str">
        <f t="shared" si="5"/>
        <v>none</v>
      </c>
      <c r="N21" s="48" t="str">
        <f t="shared" si="1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06">
        <v>50004021</v>
      </c>
      <c r="B22" s="106" t="s">
        <v>262</v>
      </c>
      <c r="C22" s="107">
        <v>1</v>
      </c>
      <c r="D22" s="107" t="s">
        <v>127</v>
      </c>
      <c r="E22" s="108" t="s">
        <v>222</v>
      </c>
      <c r="F22" s="108" t="s">
        <v>217</v>
      </c>
      <c r="G22" s="63" t="str">
        <f t="shared" si="0"/>
        <v>[effect:nothing]</v>
      </c>
      <c r="H22" s="63">
        <f t="shared" si="1"/>
        <v>9</v>
      </c>
      <c r="I22" s="63">
        <f t="shared" si="2"/>
        <v>16</v>
      </c>
      <c r="J22" s="63" t="e">
        <f t="shared" si="3"/>
        <v>#VALUE!</v>
      </c>
      <c r="K22" s="63" t="e">
        <f t="shared" si="4"/>
        <v>#VALUE!</v>
      </c>
      <c r="L22" s="63" t="str">
        <f>IFERROR(VLOOKUP(MID(G22,J22,K22-J22),[6]skilldef!$C:$D,2,FALSE),"-") &amp; " / " &amp; IFERROR(VLOOKUP(MID(G22,H22,I22-H22),[6]skilldef!$A:$B,2,FALSE),"-")</f>
        <v>- / 何もしない</v>
      </c>
      <c r="M22" s="63" t="str">
        <f t="shared" si="5"/>
        <v>none</v>
      </c>
      <c r="N22" s="48" t="str">
        <f t="shared" si="16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50004022</v>
      </c>
      <c r="B23" s="47" t="s">
        <v>295</v>
      </c>
      <c r="C23" s="50">
        <v>3</v>
      </c>
      <c r="D23" s="50" t="s">
        <v>127</v>
      </c>
      <c r="E23" s="51" t="s">
        <v>351</v>
      </c>
      <c r="F23" s="51" t="s">
        <v>291</v>
      </c>
      <c r="G23" s="63" t="str">
        <f t="shared" si="0"/>
        <v>[effect:degrade_unit, target:unit_all, turn:5, status:attack, val:0.75, calc:mul]</v>
      </c>
      <c r="H23" s="63">
        <f t="shared" si="1"/>
        <v>9</v>
      </c>
      <c r="I23" s="63">
        <f t="shared" si="2"/>
        <v>21</v>
      </c>
      <c r="J23" s="63">
        <f t="shared" si="3"/>
        <v>30</v>
      </c>
      <c r="K23" s="63">
        <f t="shared" si="4"/>
        <v>38</v>
      </c>
      <c r="L23" s="63" t="str">
        <f>IFERROR(VLOOKUP(MID(G23,J23,K23-J23),[6]skilldef!$C:$D,2,FALSE),"-") &amp; " / " &amp; IFERROR(VLOOKUP(MID(G23,H23,I23-H23),[6]skilldef!$A:$B,2,FALSE),"-")</f>
        <v>味方全体に / ステータスDOWN</v>
      </c>
      <c r="M23" s="63" t="str">
        <f t="shared" si="5"/>
        <v>[effect:rush, count:1, val:0.75]</v>
      </c>
      <c r="N23" s="48" t="str">
        <f t="shared" si="16"/>
        <v>[effect:rush, count:1, val:0.75]</v>
      </c>
      <c r="O23" s="63">
        <f t="shared" si="7"/>
        <v>9</v>
      </c>
      <c r="P23" s="63">
        <f t="shared" si="8"/>
        <v>13</v>
      </c>
      <c r="Q23" s="63" t="e">
        <f t="shared" si="9"/>
        <v>#VALUE!</v>
      </c>
      <c r="R23" s="63">
        <f t="shared" si="10"/>
        <v>22</v>
      </c>
      <c r="S23" s="63" t="str">
        <f>IFERROR(VLOOKUP(MID(N23,Q23,R23-Q23),[6]skilldef!$C:$D,2,FALSE),"-") &amp; " / " &amp; IFERROR(VLOOKUP(MID(N23,O23,P23-O23),[6]skilldef!$A:$B,2,FALSE),"-")</f>
        <v>- / 連続攻撃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50004023</v>
      </c>
      <c r="B24" s="47" t="s">
        <v>296</v>
      </c>
      <c r="C24" s="50">
        <v>3</v>
      </c>
      <c r="D24" s="50" t="s">
        <v>127</v>
      </c>
      <c r="E24" s="51" t="s">
        <v>344</v>
      </c>
      <c r="F24" s="51" t="s">
        <v>292</v>
      </c>
      <c r="G24" s="63" t="str">
        <f t="shared" si="0"/>
        <v>[effect:degrade_unit, target:unit_all, turn:5, status:heal, val:0.75, calc:mul, animation:degrade_unit_all_heal]</v>
      </c>
      <c r="H24" s="63">
        <f t="shared" si="1"/>
        <v>9</v>
      </c>
      <c r="I24" s="63">
        <f t="shared" si="2"/>
        <v>21</v>
      </c>
      <c r="J24" s="63">
        <f t="shared" si="3"/>
        <v>30</v>
      </c>
      <c r="K24" s="63">
        <f t="shared" si="4"/>
        <v>38</v>
      </c>
      <c r="L24" s="63" t="str">
        <f>IFERROR(VLOOKUP(MID(G24,J24,K24-J24),[6]skilldef!$C:$D,2,FALSE),"-") &amp; " / " &amp; IFERROR(VLOOKUP(MID(G24,H24,I24-H24),[6]skilldef!$A:$B,2,FALSE),"-")</f>
        <v>味方全体に / ステータスDOWN</v>
      </c>
      <c r="M24" s="63" t="str">
        <f t="shared" si="5"/>
        <v>[effect:rush, count:1, val:0.75]</v>
      </c>
      <c r="N24" s="48" t="str">
        <f t="shared" si="16"/>
        <v>[effect:rush, count:1, val:0.75]</v>
      </c>
      <c r="O24" s="63">
        <f t="shared" si="7"/>
        <v>9</v>
      </c>
      <c r="P24" s="63">
        <f t="shared" si="8"/>
        <v>13</v>
      </c>
      <c r="Q24" s="63" t="e">
        <f t="shared" si="9"/>
        <v>#VALUE!</v>
      </c>
      <c r="R24" s="63">
        <f t="shared" si="10"/>
        <v>22</v>
      </c>
      <c r="S24" s="63" t="str">
        <f>IFERROR(VLOOKUP(MID(N24,Q24,R24-Q24),[6]skilldef!$C:$D,2,FALSE),"-") &amp; " / " &amp; IFERROR(VLOOKUP(MID(N24,O24,P24-O24),[6]skilldef!$A:$B,2,FALSE),"-")</f>
        <v>- / 連続攻撃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50004024</v>
      </c>
      <c r="B25" s="47" t="s">
        <v>297</v>
      </c>
      <c r="C25" s="50">
        <v>3</v>
      </c>
      <c r="D25" s="50" t="s">
        <v>127</v>
      </c>
      <c r="E25" s="51" t="s">
        <v>343</v>
      </c>
      <c r="F25" s="51" t="s">
        <v>293</v>
      </c>
      <c r="G25" s="63" t="str">
        <f t="shared" si="0"/>
        <v>[effect:degrade_unit, target:unit_all, turn:3, status:action, val:1, calc:mul, animation:enemy_tap_down]</v>
      </c>
      <c r="H25" s="63">
        <f t="shared" si="1"/>
        <v>9</v>
      </c>
      <c r="I25" s="63">
        <f t="shared" si="2"/>
        <v>21</v>
      </c>
      <c r="J25" s="63">
        <f t="shared" si="3"/>
        <v>30</v>
      </c>
      <c r="K25" s="63">
        <f t="shared" si="4"/>
        <v>38</v>
      </c>
      <c r="L25" s="63" t="str">
        <f>IFERROR(VLOOKUP(MID(G25,J25,K25-J25),[6]skilldef!$C:$D,2,FALSE),"-") &amp; " / " &amp; IFERROR(VLOOKUP(MID(G25,H25,I25-H25),[6]skilldef!$A:$B,2,FALSE),"-")</f>
        <v>味方全体に / ステータスDOWN</v>
      </c>
      <c r="M25" s="63" t="str">
        <f t="shared" si="5"/>
        <v>[effect:rush, count:1, val:0.75]</v>
      </c>
      <c r="N25" s="48" t="str">
        <f t="shared" si="16"/>
        <v>[effect:rush, count:1, val:0.75]</v>
      </c>
      <c r="O25" s="63">
        <f t="shared" si="7"/>
        <v>9</v>
      </c>
      <c r="P25" s="63">
        <f t="shared" si="8"/>
        <v>13</v>
      </c>
      <c r="Q25" s="63" t="e">
        <f t="shared" si="9"/>
        <v>#VALUE!</v>
      </c>
      <c r="R25" s="63">
        <f t="shared" si="10"/>
        <v>22</v>
      </c>
      <c r="S25" s="63" t="str">
        <f>IFERROR(VLOOKUP(MID(N25,Q25,R25-Q25),[6]skilldef!$C:$D,2,FALSE),"-") &amp; " / " &amp; IFERROR(VLOOKUP(MID(N25,O25,P25-O25),[6]skilldef!$A:$B,2,FALSE),"-")</f>
        <v>- / 連続攻撃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50004025</v>
      </c>
      <c r="B26" s="47" t="s">
        <v>290</v>
      </c>
      <c r="C26" s="50">
        <v>3</v>
      </c>
      <c r="D26" s="50" t="s">
        <v>127</v>
      </c>
      <c r="E26" s="51" t="s">
        <v>342</v>
      </c>
      <c r="F26" s="51" t="s">
        <v>219</v>
      </c>
      <c r="G26" s="63" t="str">
        <f t="shared" si="0"/>
        <v>[effect:spread, val:0.4]</v>
      </c>
      <c r="H26" s="63">
        <f t="shared" si="1"/>
        <v>9</v>
      </c>
      <c r="I26" s="63">
        <f t="shared" si="2"/>
        <v>15</v>
      </c>
      <c r="J26" s="63" t="e">
        <f t="shared" si="3"/>
        <v>#VALUE!</v>
      </c>
      <c r="K26" s="63" t="e">
        <f t="shared" si="4"/>
        <v>#VALUE!</v>
      </c>
      <c r="L26" s="63" t="str">
        <f>IFERROR(VLOOKUP(MID(G26,J26,K26-J26),[6]skilldef!$C:$D,2,FALSE),"-") &amp; " / " &amp; IFERROR(VLOOKUP(MID(G26,H26,I26-H26),[6]skilldef!$A:$B,2,FALSE),"-")</f>
        <v>- / 全体攻撃</v>
      </c>
      <c r="M26" s="63" t="str">
        <f t="shared" si="5"/>
        <v>none</v>
      </c>
      <c r="N26" s="48" t="str">
        <f t="shared" si="16"/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50004026</v>
      </c>
      <c r="B27" s="47" t="s">
        <v>467</v>
      </c>
      <c r="C27" s="50">
        <v>3</v>
      </c>
      <c r="D27" s="50" t="s">
        <v>127</v>
      </c>
      <c r="E27" s="51" t="s">
        <v>340</v>
      </c>
      <c r="F27" s="51" t="s">
        <v>341</v>
      </c>
      <c r="G27" s="63" t="str">
        <f t="shared" si="0"/>
        <v>[effect:enemy_message, val1:1.2, val2:2.0]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5"/>
        <v>[effect:freq_turn, target:myself, turn:3, val:1, animation:enemy_freq_turn]</v>
      </c>
      <c r="N27" s="48" t="str">
        <f>IFERROR(LEFT(M27,FIND("],",M27)+S37),M27)</f>
        <v>[effect:freq_turn, target:myself, turn:3, val:1, animation:enemy_freq_turn]</v>
      </c>
      <c r="O27" s="63">
        <f t="shared" si="7"/>
        <v>9</v>
      </c>
      <c r="P27" s="63">
        <f t="shared" si="8"/>
        <v>18</v>
      </c>
      <c r="Q27" s="63">
        <f t="shared" si="9"/>
        <v>27</v>
      </c>
      <c r="R27" s="63">
        <f t="shared" si="10"/>
        <v>33</v>
      </c>
      <c r="S27" s="63" t="str">
        <f>IFERROR(VLOOKUP(MID(N27,Q27,R27-Q27),[6]skilldef!$C:$D,2,FALSE),"-") &amp; " / " &amp; IFERROR(VLOOKUP(MID(N27,O27,P27-O27),[6]skilldef!$A:$B,2,FALSE),"-")</f>
        <v>自分自身に / 攻撃頻度がUP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50004027</v>
      </c>
      <c r="B28" s="47" t="s">
        <v>466</v>
      </c>
      <c r="C28" s="50">
        <v>3</v>
      </c>
      <c r="D28" s="50" t="s">
        <v>127</v>
      </c>
      <c r="E28" s="51" t="s">
        <v>468</v>
      </c>
      <c r="F28" s="51" t="s">
        <v>330</v>
      </c>
      <c r="G28" s="63" t="str">
        <f t="shared" si="0"/>
        <v>[effect:enemy_message, val1:1.2, val2:2.0]</v>
      </c>
      <c r="H28" s="63">
        <f t="shared" si="1"/>
        <v>9</v>
      </c>
      <c r="I28" s="63">
        <f t="shared" si="2"/>
        <v>22</v>
      </c>
      <c r="J28" s="63" t="e">
        <f t="shared" si="3"/>
        <v>#VALUE!</v>
      </c>
      <c r="K28" s="63">
        <f t="shared" si="4"/>
        <v>32</v>
      </c>
      <c r="L28" s="63" t="str">
        <f>IFERROR(VLOOKUP(MID(G28,J28,K28-J28),[6]skilldef!$C:$D,2,FALSE),"-") &amp; " / " &amp; IFERROR(VLOOKUP(MID(G28,H28,I28-H28),[6]skilldef!$A:$B,2,FALSE),"-")</f>
        <v>- / -</v>
      </c>
      <c r="M28" s="63" t="str">
        <f t="shared" si="5"/>
        <v>[effect:fix_speed, target:myself, turn:2]</v>
      </c>
      <c r="N28" s="48" t="str">
        <f>IFERROR(LEFT(M28,FIND("],",M28)+S38),M28)</f>
        <v>[effect:fix_speed, target:myself, turn:2]</v>
      </c>
      <c r="O28" s="63">
        <f t="shared" si="7"/>
        <v>9</v>
      </c>
      <c r="P28" s="63">
        <f t="shared" si="8"/>
        <v>18</v>
      </c>
      <c r="Q28" s="63">
        <f t="shared" si="9"/>
        <v>27</v>
      </c>
      <c r="R28" s="63">
        <f t="shared" si="10"/>
        <v>33</v>
      </c>
      <c r="S28" s="63" t="str">
        <f>IFERROR(VLOOKUP(MID(N28,Q28,R28-Q28),[6]skilldef!$C:$D,2,FALSE),"-") &amp; " / " &amp; IFERROR(VLOOKUP(MID(N28,O28,P28-O28),[6]skilldef!$A:$B,2,FALSE),"-")</f>
        <v>自分自身に / 行動値設定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106">
        <v>50004028</v>
      </c>
      <c r="B29" s="106" t="s">
        <v>262</v>
      </c>
      <c r="C29" s="107">
        <v>1</v>
      </c>
      <c r="D29" s="107" t="s">
        <v>127</v>
      </c>
      <c r="E29" s="108" t="s">
        <v>224</v>
      </c>
      <c r="F29" s="108" t="s">
        <v>217</v>
      </c>
      <c r="G29" s="63" t="str">
        <f t="shared" si="0"/>
        <v>[effect:nothing]</v>
      </c>
      <c r="H29" s="63">
        <f t="shared" si="1"/>
        <v>9</v>
      </c>
      <c r="I29" s="63">
        <f t="shared" si="2"/>
        <v>16</v>
      </c>
      <c r="J29" s="63" t="e">
        <f t="shared" si="3"/>
        <v>#VALUE!</v>
      </c>
      <c r="K29" s="63" t="e">
        <f t="shared" si="4"/>
        <v>#VALUE!</v>
      </c>
      <c r="L29" s="63" t="str">
        <f>IFERROR(VLOOKUP(MID(G29,J29,K29-J29),[6]skilldef!$C:$D,2,FALSE),"-") &amp; " / " &amp; IFERROR(VLOOKUP(MID(G29,H29,I29-H29),[6]skilldef!$A:$B,2,FALSE),"-")</f>
        <v>- / 何もしない</v>
      </c>
      <c r="M29" s="63" t="str">
        <f t="shared" si="5"/>
        <v>none</v>
      </c>
      <c r="N29" s="48" t="str">
        <f>IFERROR(LEFT(M29,FIND("],",M29)+S39),M29)</f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106">
        <v>50004029</v>
      </c>
      <c r="B30" s="106" t="s">
        <v>262</v>
      </c>
      <c r="C30" s="107">
        <v>1</v>
      </c>
      <c r="D30" s="107" t="s">
        <v>127</v>
      </c>
      <c r="E30" s="108" t="s">
        <v>224</v>
      </c>
      <c r="F30" s="108" t="s">
        <v>217</v>
      </c>
      <c r="G30" s="63" t="str">
        <f t="shared" si="0"/>
        <v>[effect:nothing]</v>
      </c>
      <c r="H30" s="63">
        <f t="shared" si="1"/>
        <v>9</v>
      </c>
      <c r="I30" s="63">
        <f t="shared" si="2"/>
        <v>16</v>
      </c>
      <c r="J30" s="63" t="e">
        <f t="shared" si="3"/>
        <v>#VALUE!</v>
      </c>
      <c r="K30" s="63" t="e">
        <f t="shared" si="4"/>
        <v>#VALUE!</v>
      </c>
      <c r="L30" s="63" t="str">
        <f>IFERROR(VLOOKUP(MID(G30,J30,K30-J30),[6]skilldef!$C:$D,2,FALSE),"-") &amp; " / " &amp; IFERROR(VLOOKUP(MID(G30,H30,I30-H30),[6]skilldef!$A:$B,2,FALSE),"-")</f>
        <v>- / 何もしない</v>
      </c>
      <c r="M30" s="63" t="str">
        <f t="shared" si="5"/>
        <v>none</v>
      </c>
      <c r="N30" s="48" t="str">
        <f>IFERROR(LEFT(M30,FIND("],",M30)+S41),M30)</f>
        <v>none</v>
      </c>
      <c r="O30" s="63" t="e">
        <f t="shared" si="7"/>
        <v>#VALUE!</v>
      </c>
      <c r="P30" s="63">
        <f t="shared" si="8"/>
        <v>4</v>
      </c>
      <c r="Q30" s="63" t="e">
        <f t="shared" si="9"/>
        <v>#VALUE!</v>
      </c>
      <c r="R30" s="63" t="e">
        <f t="shared" si="10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50004030</v>
      </c>
      <c r="B31" s="47" t="s">
        <v>360</v>
      </c>
      <c r="C31" s="50">
        <v>3</v>
      </c>
      <c r="D31" s="50" t="s">
        <v>127</v>
      </c>
      <c r="E31" s="51" t="s">
        <v>333</v>
      </c>
      <c r="F31" s="51" t="s">
        <v>334</v>
      </c>
      <c r="G31" s="63" t="str">
        <f t="shared" si="0"/>
        <v>[effect:damage_fix_absolute, target:unit_one, val:5000]</v>
      </c>
      <c r="H31" s="63">
        <f t="shared" si="1"/>
        <v>9</v>
      </c>
      <c r="I31" s="63">
        <f t="shared" si="2"/>
        <v>28</v>
      </c>
      <c r="J31" s="63">
        <f t="shared" si="3"/>
        <v>37</v>
      </c>
      <c r="K31" s="63">
        <f t="shared" si="4"/>
        <v>45</v>
      </c>
      <c r="L31" s="63" t="str">
        <f>IFERROR(VLOOKUP(MID(G31,J31,K31-J31),[6]skilldef!$C:$D,2,FALSE),"-") &amp; " / " &amp; IFERROR(VLOOKUP(MID(G31,H31,I31-H31),[6]skilldef!$A:$B,2,FALSE),"-")</f>
        <v>味方単体に / -</v>
      </c>
      <c r="M31" s="63" t="str">
        <f t="shared" si="5"/>
        <v>none</v>
      </c>
      <c r="N31" s="48" t="str">
        <f>IFERROR(LEFT(M31,FIND("],",M31)+#REF!),M31)</f>
        <v>none</v>
      </c>
      <c r="O31" s="63" t="e">
        <f t="shared" si="7"/>
        <v>#VALUE!</v>
      </c>
      <c r="P31" s="63">
        <f t="shared" si="8"/>
        <v>4</v>
      </c>
      <c r="Q31" s="63" t="e">
        <f t="shared" si="9"/>
        <v>#VALUE!</v>
      </c>
      <c r="R31" s="63" t="e">
        <f t="shared" si="10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1"/>
        <v>none</v>
      </c>
      <c r="U31" s="63" t="e">
        <f t="shared" si="12"/>
        <v>#VALUE!</v>
      </c>
      <c r="V31" s="63">
        <f t="shared" si="13"/>
        <v>4</v>
      </c>
      <c r="W31" s="63" t="e">
        <f t="shared" si="14"/>
        <v>#VALUE!</v>
      </c>
      <c r="X31" s="63" t="e">
        <f t="shared" si="15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50004031</v>
      </c>
      <c r="B32" s="47" t="s">
        <v>359</v>
      </c>
      <c r="C32" s="50">
        <v>3</v>
      </c>
      <c r="D32" s="50" t="s">
        <v>127</v>
      </c>
      <c r="E32" s="51" t="s">
        <v>333</v>
      </c>
      <c r="F32" s="51" t="s">
        <v>335</v>
      </c>
      <c r="G32" s="63" t="str">
        <f t="shared" si="0"/>
        <v>[effect:damage_fix_absolute, target:unit_one, val:6000]</v>
      </c>
      <c r="H32" s="63">
        <f t="shared" si="1"/>
        <v>9</v>
      </c>
      <c r="I32" s="63">
        <f t="shared" si="2"/>
        <v>28</v>
      </c>
      <c r="J32" s="63">
        <f t="shared" si="3"/>
        <v>37</v>
      </c>
      <c r="K32" s="63">
        <f t="shared" si="4"/>
        <v>45</v>
      </c>
      <c r="L32" s="63" t="str">
        <f>IFERROR(VLOOKUP(MID(G32,J32,K32-J32),[6]skilldef!$C:$D,2,FALSE),"-") &amp; " / " &amp; IFERROR(VLOOKUP(MID(G32,H32,I32-H32),[6]skilldef!$A:$B,2,FALSE),"-")</f>
        <v>味方単体に / -</v>
      </c>
      <c r="M32" s="63" t="str">
        <f t="shared" si="5"/>
        <v>none</v>
      </c>
      <c r="N32" s="48" t="str">
        <f>IFERROR(LEFT(M32,FIND("],",M32)+S42),M32)</f>
        <v>none</v>
      </c>
      <c r="O32" s="63" t="e">
        <f t="shared" si="7"/>
        <v>#VALUE!</v>
      </c>
      <c r="P32" s="63">
        <f t="shared" si="8"/>
        <v>4</v>
      </c>
      <c r="Q32" s="63" t="e">
        <f t="shared" si="9"/>
        <v>#VALUE!</v>
      </c>
      <c r="R32" s="63" t="e">
        <f t="shared" si="10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11"/>
        <v>none</v>
      </c>
      <c r="U32" s="63" t="e">
        <f t="shared" si="12"/>
        <v>#VALUE!</v>
      </c>
      <c r="V32" s="63">
        <f t="shared" si="13"/>
        <v>4</v>
      </c>
      <c r="W32" s="63" t="e">
        <f t="shared" si="14"/>
        <v>#VALUE!</v>
      </c>
      <c r="X32" s="63" t="e">
        <f t="shared" si="15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50004032</v>
      </c>
      <c r="B33" s="47" t="s">
        <v>358</v>
      </c>
      <c r="C33" s="50">
        <v>3</v>
      </c>
      <c r="D33" s="50" t="s">
        <v>127</v>
      </c>
      <c r="E33" s="51" t="s">
        <v>333</v>
      </c>
      <c r="F33" s="51" t="s">
        <v>336</v>
      </c>
      <c r="G33" s="63" t="str">
        <f t="shared" si="0"/>
        <v>[effect:damage_fix_absolute, target:unit_one, val:7000]</v>
      </c>
      <c r="H33" s="63">
        <f t="shared" si="1"/>
        <v>9</v>
      </c>
      <c r="I33" s="63">
        <f t="shared" si="2"/>
        <v>28</v>
      </c>
      <c r="J33" s="63">
        <f t="shared" si="3"/>
        <v>37</v>
      </c>
      <c r="K33" s="63">
        <f t="shared" si="4"/>
        <v>45</v>
      </c>
      <c r="L33" s="63" t="str">
        <f>IFERROR(VLOOKUP(MID(G33,J33,K33-J33),[6]skilldef!$C:$D,2,FALSE),"-") &amp; " / " &amp; IFERROR(VLOOKUP(MID(G33,H33,I33-H33),[6]skilldef!$A:$B,2,FALSE),"-")</f>
        <v>味方単体に / -</v>
      </c>
      <c r="M33" s="63" t="str">
        <f t="shared" si="5"/>
        <v>none</v>
      </c>
      <c r="N33" s="48" t="str">
        <f>IFERROR(LEFT(M33,FIND("],",M33)+S43),M33)</f>
        <v>none</v>
      </c>
      <c r="O33" s="63" t="e">
        <f t="shared" si="7"/>
        <v>#VALUE!</v>
      </c>
      <c r="P33" s="63">
        <f t="shared" si="8"/>
        <v>4</v>
      </c>
      <c r="Q33" s="63" t="e">
        <f t="shared" si="9"/>
        <v>#VALUE!</v>
      </c>
      <c r="R33" s="63" t="e">
        <f t="shared" si="10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50004033</v>
      </c>
      <c r="B34" s="47" t="s">
        <v>357</v>
      </c>
      <c r="C34" s="50">
        <v>3</v>
      </c>
      <c r="D34" s="50" t="s">
        <v>127</v>
      </c>
      <c r="E34" s="51" t="s">
        <v>333</v>
      </c>
      <c r="F34" s="51" t="s">
        <v>337</v>
      </c>
      <c r="G34" s="63" t="str">
        <f t="shared" ref="G34:G65" si="17">IFERROR(LEFT(B34,FIND("],",B34)),B34)</f>
        <v>[effect:damage_fix_absolute, target:unit_one, val:8000]</v>
      </c>
      <c r="H34" s="63">
        <f t="shared" ref="H34:H65" si="18">FIND("effect:",G34)+7</f>
        <v>9</v>
      </c>
      <c r="I34" s="63">
        <f t="shared" ref="I34:I65" si="19">IFERROR(FIND(",",G34),LEN(G34))</f>
        <v>28</v>
      </c>
      <c r="J34" s="63">
        <f t="shared" ref="J34:J65" si="20">FIND("target:",G34)+7</f>
        <v>37</v>
      </c>
      <c r="K34" s="63">
        <f t="shared" ref="K34:K65" si="21">FIND(",",G34,I34+1)</f>
        <v>45</v>
      </c>
      <c r="L34" s="63" t="str">
        <f>IFERROR(VLOOKUP(MID(G34,J34,K34-J34),[6]skilldef!$C:$D,2,FALSE),"-") &amp; " / " &amp; IFERROR(VLOOKUP(MID(G34,H34,I34-H34),[6]skilldef!$A:$B,2,FALSE),"-")</f>
        <v>味方単体に / -</v>
      </c>
      <c r="M34" s="63" t="str">
        <f t="shared" ref="M34:M65" si="22">IFERROR(RIGHT(B34,LEN(B34)-FIND("],",B34)-1),"none")</f>
        <v>none</v>
      </c>
      <c r="N34" s="48" t="str">
        <f>IFERROR(LEFT(M34,FIND("],",M34)+S44),M34)</f>
        <v>none</v>
      </c>
      <c r="O34" s="63" t="e">
        <f t="shared" ref="O34:O65" si="23">FIND("effect:",N34)+7</f>
        <v>#VALUE!</v>
      </c>
      <c r="P34" s="63">
        <f t="shared" ref="P34:P65" si="24">IFERROR(FIND(",",N34),LEN(N34))</f>
        <v>4</v>
      </c>
      <c r="Q34" s="63" t="e">
        <f t="shared" ref="Q34:Q65" si="25">FIND("target:",N34)+7</f>
        <v>#VALUE!</v>
      </c>
      <c r="R34" s="63" t="e">
        <f t="shared" ref="R34:R65" si="26">FIND(",",N34,P34+1)</f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ref="T34:T65" si="27">IFERROR(RIGHT(M34,LEN(M34)-FIND("],",M34)-1),"none")</f>
        <v>none</v>
      </c>
      <c r="U34" s="63" t="e">
        <f t="shared" ref="U34:U65" si="28">FIND("effect:",T34)+7</f>
        <v>#VALUE!</v>
      </c>
      <c r="V34" s="63">
        <f t="shared" ref="V34:V65" si="29">IFERROR(FIND(",",T34),LEN(T34))</f>
        <v>4</v>
      </c>
      <c r="W34" s="63" t="e">
        <f t="shared" ref="W34:W65" si="30">FIND("target:",T34)+7</f>
        <v>#VALUE!</v>
      </c>
      <c r="X34" s="63" t="e">
        <f t="shared" ref="X34:X65" si="31">FIND(",",T34,V34+1)</f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50004034</v>
      </c>
      <c r="B35" s="47" t="s">
        <v>356</v>
      </c>
      <c r="C35" s="50">
        <v>3</v>
      </c>
      <c r="D35" s="50" t="s">
        <v>127</v>
      </c>
      <c r="E35" s="51" t="s">
        <v>333</v>
      </c>
      <c r="F35" s="51" t="s">
        <v>338</v>
      </c>
      <c r="G35" s="63" t="str">
        <f t="shared" si="17"/>
        <v>[effect:damage_fix_absolute, target:unit_one, val:9000]</v>
      </c>
      <c r="H35" s="63">
        <f t="shared" si="18"/>
        <v>9</v>
      </c>
      <c r="I35" s="63">
        <f t="shared" si="19"/>
        <v>28</v>
      </c>
      <c r="J35" s="63">
        <f t="shared" si="20"/>
        <v>37</v>
      </c>
      <c r="K35" s="63">
        <f t="shared" si="21"/>
        <v>45</v>
      </c>
      <c r="L35" s="63" t="str">
        <f>IFERROR(VLOOKUP(MID(G35,J35,K35-J35),[6]skilldef!$C:$D,2,FALSE),"-") &amp; " / " &amp; IFERROR(VLOOKUP(MID(G35,H35,I35-H35),[6]skilldef!$A:$B,2,FALSE),"-")</f>
        <v>味方単体に / -</v>
      </c>
      <c r="M35" s="63" t="str">
        <f t="shared" si="22"/>
        <v>none</v>
      </c>
      <c r="N35" s="48" t="str">
        <f>IFERROR(LEFT(M35,FIND("],",M35)+S46),M35)</f>
        <v>none</v>
      </c>
      <c r="O35" s="63" t="e">
        <f t="shared" si="23"/>
        <v>#VALUE!</v>
      </c>
      <c r="P35" s="63">
        <f t="shared" si="24"/>
        <v>4</v>
      </c>
      <c r="Q35" s="63" t="e">
        <f t="shared" si="25"/>
        <v>#VALUE!</v>
      </c>
      <c r="R35" s="63" t="e">
        <f t="shared" si="26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27"/>
        <v>none</v>
      </c>
      <c r="U35" s="63" t="e">
        <f t="shared" si="28"/>
        <v>#VALUE!</v>
      </c>
      <c r="V35" s="63">
        <f t="shared" si="29"/>
        <v>4</v>
      </c>
      <c r="W35" s="63" t="e">
        <f t="shared" si="30"/>
        <v>#VALUE!</v>
      </c>
      <c r="X35" s="63" t="e">
        <f t="shared" si="31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50004035</v>
      </c>
      <c r="B36" s="47" t="s">
        <v>408</v>
      </c>
      <c r="C36" s="50">
        <v>3</v>
      </c>
      <c r="D36" s="50" t="s">
        <v>127</v>
      </c>
      <c r="E36" s="51" t="s">
        <v>331</v>
      </c>
      <c r="F36" s="51" t="s">
        <v>339</v>
      </c>
      <c r="G36" s="63" t="str">
        <f t="shared" si="17"/>
        <v>[effect:degrade_unit, target:unit_all, turn:2, status:heal, val:0.5, calc:mul, animation:degrade_unit_all_heal]</v>
      </c>
      <c r="H36" s="63">
        <f t="shared" si="18"/>
        <v>9</v>
      </c>
      <c r="I36" s="63">
        <f t="shared" si="19"/>
        <v>21</v>
      </c>
      <c r="J36" s="63">
        <f t="shared" si="20"/>
        <v>30</v>
      </c>
      <c r="K36" s="63">
        <f t="shared" si="21"/>
        <v>38</v>
      </c>
      <c r="L36" s="63" t="str">
        <f>IFERROR(VLOOKUP(MID(G36,J36,K36-J36),[6]skilldef!$C:$D,2,FALSE),"-") &amp; " / " &amp; IFERROR(VLOOKUP(MID(G36,H36,I36-H36),[6]skilldef!$A:$B,2,FALSE),"-")</f>
        <v>味方全体に / ステータスDOWN</v>
      </c>
      <c r="M36" s="63" t="str">
        <f t="shared" si="22"/>
        <v>none</v>
      </c>
      <c r="N36" s="48" t="str">
        <f>IFERROR(LEFT(M36,FIND("],",M36)+S47),M36)</f>
        <v>none</v>
      </c>
      <c r="O36" s="63" t="e">
        <f t="shared" si="23"/>
        <v>#VALUE!</v>
      </c>
      <c r="P36" s="63">
        <f t="shared" si="24"/>
        <v>4</v>
      </c>
      <c r="Q36" s="63" t="e">
        <f t="shared" si="25"/>
        <v>#VALUE!</v>
      </c>
      <c r="R36" s="63" t="e">
        <f t="shared" si="26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27"/>
        <v>none</v>
      </c>
      <c r="U36" s="63" t="e">
        <f t="shared" si="28"/>
        <v>#VALUE!</v>
      </c>
      <c r="V36" s="63">
        <f t="shared" si="29"/>
        <v>4</v>
      </c>
      <c r="W36" s="63" t="e">
        <f t="shared" si="30"/>
        <v>#VALUE!</v>
      </c>
      <c r="X36" s="63" t="e">
        <f t="shared" si="31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50004036</v>
      </c>
      <c r="B37" s="47" t="s">
        <v>415</v>
      </c>
      <c r="C37" s="50">
        <v>3</v>
      </c>
      <c r="D37" s="50" t="s">
        <v>127</v>
      </c>
      <c r="E37" s="51" t="s">
        <v>332</v>
      </c>
      <c r="F37" s="51" t="s">
        <v>350</v>
      </c>
      <c r="G37" s="63" t="str">
        <f t="shared" si="17"/>
        <v>[effect:enemy_message, val1:1.2, val2:2.0]</v>
      </c>
      <c r="H37" s="63">
        <f t="shared" si="18"/>
        <v>9</v>
      </c>
      <c r="I37" s="63">
        <f t="shared" si="19"/>
        <v>22</v>
      </c>
      <c r="J37" s="63" t="e">
        <f t="shared" si="20"/>
        <v>#VALUE!</v>
      </c>
      <c r="K37" s="63">
        <f t="shared" si="21"/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22"/>
        <v>[effect:fix_speed, target:myself, turn:1]</v>
      </c>
      <c r="N37" s="48" t="str">
        <f>IFERROR(LEFT(M37,FIND("],",M37)+S48),M37)</f>
        <v>[effect:fix_speed, target:myself, turn:1]</v>
      </c>
      <c r="O37" s="63">
        <f t="shared" si="23"/>
        <v>9</v>
      </c>
      <c r="P37" s="63">
        <f t="shared" si="24"/>
        <v>18</v>
      </c>
      <c r="Q37" s="63">
        <f t="shared" si="25"/>
        <v>27</v>
      </c>
      <c r="R37" s="63">
        <f t="shared" si="26"/>
        <v>33</v>
      </c>
      <c r="S37" s="63" t="str">
        <f>IFERROR(VLOOKUP(MID(N37,Q37,R37-Q37),[6]skilldef!$C:$D,2,FALSE),"-") &amp; " / " &amp; IFERROR(VLOOKUP(MID(N37,O37,P37-O37),[6]skilldef!$A:$B,2,FALSE),"-")</f>
        <v>自分自身に / 行動値設定</v>
      </c>
      <c r="T37" s="48" t="str">
        <f t="shared" si="27"/>
        <v>none</v>
      </c>
      <c r="U37" s="63" t="e">
        <f t="shared" si="28"/>
        <v>#VALUE!</v>
      </c>
      <c r="V37" s="63">
        <f t="shared" si="29"/>
        <v>4</v>
      </c>
      <c r="W37" s="63" t="e">
        <f t="shared" si="30"/>
        <v>#VALUE!</v>
      </c>
      <c r="X37" s="63" t="e">
        <f t="shared" si="31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106">
        <v>50004037</v>
      </c>
      <c r="B38" s="106" t="s">
        <v>262</v>
      </c>
      <c r="C38" s="107">
        <v>1</v>
      </c>
      <c r="D38" s="107" t="s">
        <v>127</v>
      </c>
      <c r="E38" s="108" t="s">
        <v>225</v>
      </c>
      <c r="F38" s="108" t="s">
        <v>217</v>
      </c>
      <c r="G38" s="63" t="str">
        <f t="shared" si="17"/>
        <v>[effect:nothing]</v>
      </c>
      <c r="H38" s="63">
        <f t="shared" si="18"/>
        <v>9</v>
      </c>
      <c r="I38" s="63">
        <f t="shared" si="19"/>
        <v>16</v>
      </c>
      <c r="J38" s="63" t="e">
        <f t="shared" si="20"/>
        <v>#VALUE!</v>
      </c>
      <c r="K38" s="63" t="e">
        <f t="shared" si="21"/>
        <v>#VALUE!</v>
      </c>
      <c r="L38" s="63" t="str">
        <f>IFERROR(VLOOKUP(MID(G38,J38,K38-J38),[6]skilldef!$C:$D,2,FALSE),"-") &amp; " / " &amp; IFERROR(VLOOKUP(MID(G38,H38,I38-H38),[6]skilldef!$A:$B,2,FALSE),"-")</f>
        <v>- / 何もしない</v>
      </c>
      <c r="M38" s="63" t="str">
        <f t="shared" si="22"/>
        <v>none</v>
      </c>
      <c r="N38" s="48" t="str">
        <f>IFERROR(LEFT(M38,FIND("],",M38)+S49),M38)</f>
        <v>none</v>
      </c>
      <c r="O38" s="63" t="e">
        <f t="shared" si="23"/>
        <v>#VALUE!</v>
      </c>
      <c r="P38" s="63">
        <f t="shared" si="24"/>
        <v>4</v>
      </c>
      <c r="Q38" s="63" t="e">
        <f t="shared" si="25"/>
        <v>#VALUE!</v>
      </c>
      <c r="R38" s="63" t="e">
        <f t="shared" si="26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27"/>
        <v>none</v>
      </c>
      <c r="U38" s="63" t="e">
        <f t="shared" si="28"/>
        <v>#VALUE!</v>
      </c>
      <c r="V38" s="63">
        <f t="shared" si="29"/>
        <v>4</v>
      </c>
      <c r="W38" s="63" t="e">
        <f t="shared" si="30"/>
        <v>#VALUE!</v>
      </c>
      <c r="X38" s="63" t="e">
        <f t="shared" si="31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106">
        <v>50004038</v>
      </c>
      <c r="B39" s="106" t="s">
        <v>262</v>
      </c>
      <c r="C39" s="107">
        <v>1</v>
      </c>
      <c r="D39" s="107" t="s">
        <v>127</v>
      </c>
      <c r="E39" s="108" t="s">
        <v>225</v>
      </c>
      <c r="F39" s="108" t="s">
        <v>217</v>
      </c>
      <c r="G39" s="63" t="str">
        <f t="shared" si="17"/>
        <v>[effect:nothing]</v>
      </c>
      <c r="H39" s="63">
        <f t="shared" si="18"/>
        <v>9</v>
      </c>
      <c r="I39" s="63">
        <f t="shared" si="19"/>
        <v>16</v>
      </c>
      <c r="J39" s="63" t="e">
        <f t="shared" si="20"/>
        <v>#VALUE!</v>
      </c>
      <c r="K39" s="63" t="e">
        <f t="shared" si="21"/>
        <v>#VALUE!</v>
      </c>
      <c r="L39" s="63" t="str">
        <f>IFERROR(VLOOKUP(MID(G39,J39,K39-J39),[6]skilldef!$C:$D,2,FALSE),"-") &amp; " / " &amp; IFERROR(VLOOKUP(MID(G39,H39,I39-H39),[6]skilldef!$A:$B,2,FALSE),"-")</f>
        <v>- / 何もしない</v>
      </c>
      <c r="M39" s="63" t="str">
        <f t="shared" si="22"/>
        <v>none</v>
      </c>
      <c r="N39" s="48" t="str">
        <f>IFERROR(LEFT(M39,FIND("],",M39)+S50),M39)</f>
        <v>none</v>
      </c>
      <c r="O39" s="63" t="e">
        <f t="shared" si="23"/>
        <v>#VALUE!</v>
      </c>
      <c r="P39" s="63">
        <f t="shared" si="24"/>
        <v>4</v>
      </c>
      <c r="Q39" s="63" t="e">
        <f t="shared" si="25"/>
        <v>#VALUE!</v>
      </c>
      <c r="R39" s="63" t="e">
        <f t="shared" si="26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27"/>
        <v>none</v>
      </c>
      <c r="U39" s="63" t="e">
        <f t="shared" si="28"/>
        <v>#VALUE!</v>
      </c>
      <c r="V39" s="63">
        <f t="shared" si="29"/>
        <v>4</v>
      </c>
      <c r="W39" s="63" t="e">
        <f t="shared" si="30"/>
        <v>#VALUE!</v>
      </c>
      <c r="X39" s="63" t="e">
        <f t="shared" si="31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50004039</v>
      </c>
      <c r="B40" s="47" t="s">
        <v>430</v>
      </c>
      <c r="C40" s="50">
        <v>3</v>
      </c>
      <c r="D40" s="50" t="s">
        <v>127</v>
      </c>
      <c r="E40" s="51" t="s">
        <v>382</v>
      </c>
      <c r="F40" s="51" t="s">
        <v>299</v>
      </c>
      <c r="G40" s="63" t="str">
        <f t="shared" si="17"/>
        <v>[effect:enemy_message, val1:1.2, val2:2.2]</v>
      </c>
      <c r="H40" s="63">
        <f t="shared" si="18"/>
        <v>9</v>
      </c>
      <c r="I40" s="63">
        <f t="shared" si="19"/>
        <v>22</v>
      </c>
      <c r="J40" s="63" t="e">
        <f t="shared" si="20"/>
        <v>#VALUE!</v>
      </c>
      <c r="K40" s="63">
        <f t="shared" si="21"/>
        <v>32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 t="shared" si="22"/>
        <v>[effect:tolerance, target:myself, turn:-1, tolerance_effect:virus, count:-1],[effect:tolerance, target:myself, turn:-1, tolerance_effect:hungup, count:-1],[effect:tolerance, target:myself, turn:-1, tolerance_effect:sleep, count:-1, animation:enemy_tolerance],[effect:change_panel_ratio, turn:5, block_type:red, val:0.1],[effect:change_panel_ratio, turn:5, block_type:blue, val:0.1],[effect:fix_speed, target:myself, turn:1]</v>
      </c>
      <c r="N40" s="48" t="str">
        <f>IFERROR(LEFT(M40,FIND("],",M40)+S50),M40)</f>
        <v>[effect:tolerance, target:myself, turn:-1, tolerance_effect:virus, count:-1],[effect:tolerance, target:myself, turn:-1, tolerance_effect:hungup, count:-1],[effect:tolerance, target:myself, turn:-1, tolerance_effect:sleep, count:-1, animation:enemy_tolerance],[effect:change_panel_ratio, turn:5, block_type:red, val:0.1],[effect:change_panel_ratio, turn:5, block_type:blue, val:0.1],[effect:fix_speed, target:myself, turn:1]</v>
      </c>
      <c r="O40" s="63">
        <f t="shared" si="23"/>
        <v>9</v>
      </c>
      <c r="P40" s="63">
        <f t="shared" si="24"/>
        <v>18</v>
      </c>
      <c r="Q40" s="63">
        <f t="shared" si="25"/>
        <v>27</v>
      </c>
      <c r="R40" s="63">
        <f t="shared" si="26"/>
        <v>33</v>
      </c>
      <c r="S40" s="63" t="str">
        <f>IFERROR(VLOOKUP(MID(N40,Q40,R40-Q40),[6]skilldef!$C:$D,2,FALSE),"-") &amp; " / " &amp; IFERROR(VLOOKUP(MID(N40,O40,P40-O40),[6]skilldef!$A:$B,2,FALSE),"-")</f>
        <v>自分自身に / 状態異常耐性</v>
      </c>
      <c r="T40" s="48" t="str">
        <f t="shared" si="27"/>
        <v>[effect:tolerance, target:myself, turn:-1, tolerance_effect:hungup, count:-1],[effect:tolerance, target:myself, turn:-1, tolerance_effect:sleep, count:-1, animation:enemy_tolerance],[effect:change_panel_ratio, turn:5, block_type:red, val:0.1],[effect:change_panel_ratio, turn:5, block_type:blue, val:0.1],[effect:fix_speed, target:myself, turn:1]</v>
      </c>
      <c r="U40" s="63">
        <f t="shared" si="28"/>
        <v>9</v>
      </c>
      <c r="V40" s="63">
        <f t="shared" si="29"/>
        <v>18</v>
      </c>
      <c r="W40" s="63">
        <f t="shared" si="30"/>
        <v>27</v>
      </c>
      <c r="X40" s="63">
        <f t="shared" si="31"/>
        <v>33</v>
      </c>
      <c r="Y40" s="63" t="str">
        <f>IFERROR(VLOOKUP(MID(T40,W40,X40-W40),[6]skilldef!$C:$D,2,FALSE),"-") &amp; " / " &amp; IFERROR(VLOOKUP(MID(T40,U40,V40-U40),[6]skilldef!$A:$B,2,FALSE),"-")</f>
        <v>自分自身に / 状態異常耐性</v>
      </c>
      <c r="Z40" s="50"/>
      <c r="AA40" s="52"/>
      <c r="AB40" s="50"/>
    </row>
    <row r="41" spans="1:28" ht="21" customHeight="1" x14ac:dyDescent="0.15">
      <c r="A41" s="106">
        <v>50004040</v>
      </c>
      <c r="B41" s="106" t="s">
        <v>314</v>
      </c>
      <c r="C41" s="107">
        <v>1</v>
      </c>
      <c r="D41" s="107" t="s">
        <v>127</v>
      </c>
      <c r="E41" s="108" t="s">
        <v>234</v>
      </c>
      <c r="F41" s="108" t="s">
        <v>300</v>
      </c>
      <c r="G41" s="63" t="str">
        <f t="shared" si="17"/>
        <v>[effect:tolerance, target:enemy_all, turn:-1, tolerance_effect:virus, count:-1]</v>
      </c>
      <c r="H41" s="63">
        <f t="shared" si="18"/>
        <v>9</v>
      </c>
      <c r="I41" s="63">
        <f t="shared" si="19"/>
        <v>18</v>
      </c>
      <c r="J41" s="63">
        <f t="shared" si="20"/>
        <v>27</v>
      </c>
      <c r="K41" s="63">
        <f t="shared" si="21"/>
        <v>36</v>
      </c>
      <c r="L41" s="63" t="str">
        <f>IFERROR(VLOOKUP(MID(G41,J41,K41-J41),[6]skilldef!$C:$D,2,FALSE),"-") &amp; " / " &amp; IFERROR(VLOOKUP(MID(G41,H41,I41-H41),[6]skilldef!$A:$B,2,FALSE),"-")</f>
        <v>敵全体に / 状態異常耐性</v>
      </c>
      <c r="M41" s="63" t="str">
        <f t="shared" si="22"/>
        <v>[effect:tolerance, target:enemy_all, turn:-1, tolerance_effect:hungup, count:-1],[effect:tolerance, target:enemy_all, turn:-1, tolerance_effect:sleep, count:-1, animation:enemy_tolerance],[effect:change_panel_ratio, turn:5, block_type:red, val:0.05],[effect:change_panel_ratio, turn:5, block_type:blue, val:0.05],[effect:fix_speed, target:myself, turn:1]</v>
      </c>
      <c r="N41" s="48" t="str">
        <f>IFERROR(LEFT(M41,FIND("],",M41)+S51),M41)</f>
        <v>[effect:tolerance, target:enemy_all, turn:-1, tolerance_effect:hungup, count:-1],[effect:tolerance, target:enemy_all, turn:-1, tolerance_effect:sleep, count:-1, animation:enemy_tolerance],[effect:change_panel_ratio, turn:5, block_type:red, val:0.05],[effect:change_panel_ratio, turn:5, block_type:blue, val:0.05],[effect:fix_speed, target:myself, turn:1]</v>
      </c>
      <c r="O41" s="63">
        <f t="shared" si="23"/>
        <v>9</v>
      </c>
      <c r="P41" s="63">
        <f t="shared" si="24"/>
        <v>18</v>
      </c>
      <c r="Q41" s="63">
        <f t="shared" si="25"/>
        <v>27</v>
      </c>
      <c r="R41" s="63">
        <f t="shared" si="26"/>
        <v>36</v>
      </c>
      <c r="S41" s="63" t="str">
        <f>IFERROR(VLOOKUP(MID(N41,Q41,R41-Q41),[6]skilldef!$C:$D,2,FALSE),"-") &amp; " / " &amp; IFERROR(VLOOKUP(MID(N41,O41,P41-O41),[6]skilldef!$A:$B,2,FALSE),"-")</f>
        <v>敵全体に / 状態異常耐性</v>
      </c>
      <c r="T41" s="48" t="str">
        <f t="shared" si="27"/>
        <v>[effect:tolerance, target:enemy_all, turn:-1, tolerance_effect:sleep, count:-1, animation:enemy_tolerance],[effect:change_panel_ratio, turn:5, block_type:red, val:0.05],[effect:change_panel_ratio, turn:5, block_type:blue, val:0.05],[effect:fix_speed, target:myself, turn:1]</v>
      </c>
      <c r="U41" s="63">
        <f t="shared" si="28"/>
        <v>9</v>
      </c>
      <c r="V41" s="63">
        <f t="shared" si="29"/>
        <v>18</v>
      </c>
      <c r="W41" s="63">
        <f t="shared" si="30"/>
        <v>27</v>
      </c>
      <c r="X41" s="63">
        <f t="shared" si="31"/>
        <v>36</v>
      </c>
      <c r="Y41" s="63" t="str">
        <f>IFERROR(VLOOKUP(MID(T41,W41,X41-W41),[6]skilldef!$C:$D,2,FALSE),"-") &amp; " / " &amp; IFERROR(VLOOKUP(MID(T41,U41,V41-U41),[6]skilldef!$A:$B,2,FALSE),"-")</f>
        <v>敵全体に / 状態異常耐性</v>
      </c>
      <c r="Z41" s="50"/>
      <c r="AA41" s="52"/>
      <c r="AB41" s="50"/>
    </row>
    <row r="42" spans="1:28" ht="21" customHeight="1" x14ac:dyDescent="0.15">
      <c r="A42" s="106">
        <v>50004041</v>
      </c>
      <c r="B42" s="106" t="s">
        <v>314</v>
      </c>
      <c r="C42" s="107">
        <v>1</v>
      </c>
      <c r="D42" s="107" t="s">
        <v>127</v>
      </c>
      <c r="E42" s="108" t="s">
        <v>234</v>
      </c>
      <c r="F42" s="108" t="s">
        <v>301</v>
      </c>
      <c r="G42" s="63" t="str">
        <f t="shared" si="17"/>
        <v>[effect:tolerance, target:enemy_all, turn:-1, tolerance_effect:virus, count:-1]</v>
      </c>
      <c r="H42" s="63">
        <f t="shared" si="18"/>
        <v>9</v>
      </c>
      <c r="I42" s="63">
        <f t="shared" si="19"/>
        <v>18</v>
      </c>
      <c r="J42" s="63">
        <f t="shared" si="20"/>
        <v>27</v>
      </c>
      <c r="K42" s="63">
        <f t="shared" si="21"/>
        <v>36</v>
      </c>
      <c r="L42" s="63" t="str">
        <f>IFERROR(VLOOKUP(MID(G42,J42,K42-J42),[6]skilldef!$C:$D,2,FALSE),"-") &amp; " / " &amp; IFERROR(VLOOKUP(MID(G42,H42,I42-H42),[6]skilldef!$A:$B,2,FALSE),"-")</f>
        <v>敵全体に / 状態異常耐性</v>
      </c>
      <c r="M42" s="63" t="str">
        <f t="shared" si="22"/>
        <v>[effect:tolerance, target:enemy_all, turn:-1, tolerance_effect:hungup, count:-1],[effect:tolerance, target:enemy_all, turn:-1, tolerance_effect:sleep, count:-1, animation:enemy_tolerance],[effect:change_panel_ratio, turn:5, block_type:red, val:0.05],[effect:change_panel_ratio, turn:5, block_type:blue, val:0.05],[effect:fix_speed, target:myself, turn:1]</v>
      </c>
      <c r="N42" s="48" t="str">
        <f>IFERROR(LEFT(M42,FIND("],",M42)+S53),M42)</f>
        <v>[effect:tolerance, target:enemy_all, turn:-1, tolerance_effect:hungup, count:-1],[effect:tolerance, target:enemy_all, turn:-1, tolerance_effect:sleep, count:-1, animation:enemy_tolerance],[effect:change_panel_ratio, turn:5, block_type:red, val:0.05],[effect:change_panel_ratio, turn:5, block_type:blue, val:0.05],[effect:fix_speed, target:myself, turn:1]</v>
      </c>
      <c r="O42" s="63">
        <f t="shared" si="23"/>
        <v>9</v>
      </c>
      <c r="P42" s="63">
        <f t="shared" si="24"/>
        <v>18</v>
      </c>
      <c r="Q42" s="63">
        <f t="shared" si="25"/>
        <v>27</v>
      </c>
      <c r="R42" s="63">
        <f t="shared" si="26"/>
        <v>36</v>
      </c>
      <c r="S42" s="63" t="str">
        <f>IFERROR(VLOOKUP(MID(N42,Q42,R42-Q42),[6]skilldef!$C:$D,2,FALSE),"-") &amp; " / " &amp; IFERROR(VLOOKUP(MID(N42,O42,P42-O42),[6]skilldef!$A:$B,2,FALSE),"-")</f>
        <v>敵全体に / 状態異常耐性</v>
      </c>
      <c r="T42" s="48" t="str">
        <f t="shared" si="27"/>
        <v>[effect:tolerance, target:enemy_all, turn:-1, tolerance_effect:sleep, count:-1, animation:enemy_tolerance],[effect:change_panel_ratio, turn:5, block_type:red, val:0.05],[effect:change_panel_ratio, turn:5, block_type:blue, val:0.05],[effect:fix_speed, target:myself, turn:1]</v>
      </c>
      <c r="U42" s="63">
        <f t="shared" si="28"/>
        <v>9</v>
      </c>
      <c r="V42" s="63">
        <f t="shared" si="29"/>
        <v>18</v>
      </c>
      <c r="W42" s="63">
        <f t="shared" si="30"/>
        <v>27</v>
      </c>
      <c r="X42" s="63">
        <f t="shared" si="31"/>
        <v>36</v>
      </c>
      <c r="Y42" s="63" t="str">
        <f>IFERROR(VLOOKUP(MID(T42,W42,X42-W42),[6]skilldef!$C:$D,2,FALSE),"-") &amp; " / " &amp; IFERROR(VLOOKUP(MID(T42,U42,V42-U42),[6]skilldef!$A:$B,2,FALSE),"-")</f>
        <v>敵全体に / 状態異常耐性</v>
      </c>
      <c r="Z42" s="50"/>
      <c r="AA42" s="52"/>
      <c r="AB42" s="50"/>
    </row>
    <row r="43" spans="1:28" ht="21" customHeight="1" x14ac:dyDescent="0.15">
      <c r="A43" s="106">
        <v>50004042</v>
      </c>
      <c r="B43" s="106" t="s">
        <v>314</v>
      </c>
      <c r="C43" s="107">
        <v>1</v>
      </c>
      <c r="D43" s="107" t="s">
        <v>127</v>
      </c>
      <c r="E43" s="108" t="s">
        <v>234</v>
      </c>
      <c r="F43" s="108" t="s">
        <v>302</v>
      </c>
      <c r="G43" s="63" t="str">
        <f t="shared" si="17"/>
        <v>[effect:tolerance, target:enemy_all, turn:-1, tolerance_effect:virus, count:-1]</v>
      </c>
      <c r="H43" s="63">
        <f t="shared" si="18"/>
        <v>9</v>
      </c>
      <c r="I43" s="63">
        <f t="shared" si="19"/>
        <v>18</v>
      </c>
      <c r="J43" s="63">
        <f t="shared" si="20"/>
        <v>27</v>
      </c>
      <c r="K43" s="63">
        <f t="shared" si="21"/>
        <v>36</v>
      </c>
      <c r="L43" s="63" t="str">
        <f>IFERROR(VLOOKUP(MID(G43,J43,K43-J43),[6]skilldef!$C:$D,2,FALSE),"-") &amp; " / " &amp; IFERROR(VLOOKUP(MID(G43,H43,I43-H43),[6]skilldef!$A:$B,2,FALSE),"-")</f>
        <v>敵全体に / 状態異常耐性</v>
      </c>
      <c r="M43" s="63" t="str">
        <f t="shared" si="22"/>
        <v>[effect:tolerance, target:enemy_all, turn:-1, tolerance_effect:hungup, count:-1],[effect:tolerance, target:enemy_all, turn:-1, tolerance_effect:sleep, count:-1, animation:enemy_tolerance],[effect:change_panel_ratio, turn:5, block_type:red, val:0.05],[effect:change_panel_ratio, turn:5, block_type:blue, val:0.05],[effect:fix_speed, target:myself, turn:1]</v>
      </c>
      <c r="N43" s="48" t="str">
        <f>IFERROR(LEFT(M43,FIND("],",M43)+S55),M43)</f>
        <v>[effect:tolerance, target:enemy_all, turn:-1, tolerance_effect:hungup, count:-1],[effect:tolerance, target:enemy_all, turn:-1, tolerance_effect:sleep, count:-1, animation:enemy_tolerance],[effect:change_panel_ratio, turn:5, block_type:red, val:0.05],[effect:change_panel_ratio, turn:5, block_type:blue, val:0.05],[effect:fix_speed, target:myself, turn:1]</v>
      </c>
      <c r="O43" s="63">
        <f t="shared" si="23"/>
        <v>9</v>
      </c>
      <c r="P43" s="63">
        <f t="shared" si="24"/>
        <v>18</v>
      </c>
      <c r="Q43" s="63">
        <f t="shared" si="25"/>
        <v>27</v>
      </c>
      <c r="R43" s="63">
        <f t="shared" si="26"/>
        <v>36</v>
      </c>
      <c r="S43" s="63" t="str">
        <f>IFERROR(VLOOKUP(MID(N43,Q43,R43-Q43),[6]skilldef!$C:$D,2,FALSE),"-") &amp; " / " &amp; IFERROR(VLOOKUP(MID(N43,O43,P43-O43),[6]skilldef!$A:$B,2,FALSE),"-")</f>
        <v>敵全体に / 状態異常耐性</v>
      </c>
      <c r="T43" s="48" t="str">
        <f t="shared" si="27"/>
        <v>[effect:tolerance, target:enemy_all, turn:-1, tolerance_effect:sleep, count:-1, animation:enemy_tolerance],[effect:change_panel_ratio, turn:5, block_type:red, val:0.05],[effect:change_panel_ratio, turn:5, block_type:blue, val:0.05],[effect:fix_speed, target:myself, turn:1]</v>
      </c>
      <c r="U43" s="63">
        <f t="shared" si="28"/>
        <v>9</v>
      </c>
      <c r="V43" s="63">
        <f t="shared" si="29"/>
        <v>18</v>
      </c>
      <c r="W43" s="63">
        <f t="shared" si="30"/>
        <v>27</v>
      </c>
      <c r="X43" s="63">
        <f t="shared" si="31"/>
        <v>36</v>
      </c>
      <c r="Y43" s="63" t="str">
        <f>IFERROR(VLOOKUP(MID(T43,W43,X43-W43),[6]skilldef!$C:$D,2,FALSE),"-") &amp; " / " &amp; IFERROR(VLOOKUP(MID(T43,U43,V43-U43),[6]skilldef!$A:$B,2,FALSE),"-")</f>
        <v>敵全体に / 状態異常耐性</v>
      </c>
      <c r="Z43" s="50"/>
      <c r="AA43" s="52"/>
      <c r="AB43" s="50"/>
    </row>
    <row r="44" spans="1:28" ht="21" customHeight="1" x14ac:dyDescent="0.15">
      <c r="A44" s="106">
        <v>50004043</v>
      </c>
      <c r="B44" s="106" t="s">
        <v>314</v>
      </c>
      <c r="C44" s="107">
        <v>1</v>
      </c>
      <c r="D44" s="107" t="s">
        <v>127</v>
      </c>
      <c r="E44" s="108" t="s">
        <v>234</v>
      </c>
      <c r="F44" s="108" t="s">
        <v>303</v>
      </c>
      <c r="G44" s="63" t="str">
        <f t="shared" si="17"/>
        <v>[effect:tolerance, target:enemy_all, turn:-1, tolerance_effect:virus, count:-1]</v>
      </c>
      <c r="H44" s="63">
        <f t="shared" si="18"/>
        <v>9</v>
      </c>
      <c r="I44" s="63">
        <f t="shared" si="19"/>
        <v>18</v>
      </c>
      <c r="J44" s="63">
        <f t="shared" si="20"/>
        <v>27</v>
      </c>
      <c r="K44" s="63">
        <f t="shared" si="21"/>
        <v>36</v>
      </c>
      <c r="L44" s="63" t="str">
        <f>IFERROR(VLOOKUP(MID(G44,J44,K44-J44),[6]skilldef!$C:$D,2,FALSE),"-") &amp; " / " &amp; IFERROR(VLOOKUP(MID(G44,H44,I44-H44),[6]skilldef!$A:$B,2,FALSE),"-")</f>
        <v>敵全体に / 状態異常耐性</v>
      </c>
      <c r="M44" s="63" t="str">
        <f t="shared" si="22"/>
        <v>[effect:tolerance, target:enemy_all, turn:-1, tolerance_effect:hungup, count:-1],[effect:tolerance, target:enemy_all, turn:-1, tolerance_effect:sleep, count:-1, animation:enemy_tolerance],[effect:change_panel_ratio, turn:5, block_type:red, val:0.05],[effect:change_panel_ratio, turn:5, block_type:blue, val:0.05],[effect:fix_speed, target:myself, turn:1]</v>
      </c>
      <c r="N44" s="48" t="str">
        <f>IFERROR(LEFT(M44,FIND("],",M44)+S55),M44)</f>
        <v>[effect:tolerance, target:enemy_all, turn:-1, tolerance_effect:hungup, count:-1],[effect:tolerance, target:enemy_all, turn:-1, tolerance_effect:sleep, count:-1, animation:enemy_tolerance],[effect:change_panel_ratio, turn:5, block_type:red, val:0.05],[effect:change_panel_ratio, turn:5, block_type:blue, val:0.05],[effect:fix_speed, target:myself, turn:1]</v>
      </c>
      <c r="O44" s="63">
        <f t="shared" si="23"/>
        <v>9</v>
      </c>
      <c r="P44" s="63">
        <f t="shared" si="24"/>
        <v>18</v>
      </c>
      <c r="Q44" s="63">
        <f t="shared" si="25"/>
        <v>27</v>
      </c>
      <c r="R44" s="63">
        <f t="shared" si="26"/>
        <v>36</v>
      </c>
      <c r="S44" s="63" t="str">
        <f>IFERROR(VLOOKUP(MID(N44,Q44,R44-Q44),[6]skilldef!$C:$D,2,FALSE),"-") &amp; " / " &amp; IFERROR(VLOOKUP(MID(N44,O44,P44-O44),[6]skilldef!$A:$B,2,FALSE),"-")</f>
        <v>敵全体に / 状態異常耐性</v>
      </c>
      <c r="T44" s="48" t="str">
        <f t="shared" si="27"/>
        <v>[effect:tolerance, target:enemy_all, turn:-1, tolerance_effect:sleep, count:-1, animation:enemy_tolerance],[effect:change_panel_ratio, turn:5, block_type:red, val:0.05],[effect:change_panel_ratio, turn:5, block_type:blue, val:0.05],[effect:fix_speed, target:myself, turn:1]</v>
      </c>
      <c r="U44" s="63">
        <f t="shared" si="28"/>
        <v>9</v>
      </c>
      <c r="V44" s="63">
        <f t="shared" si="29"/>
        <v>18</v>
      </c>
      <c r="W44" s="63">
        <f t="shared" si="30"/>
        <v>27</v>
      </c>
      <c r="X44" s="63">
        <f t="shared" si="31"/>
        <v>36</v>
      </c>
      <c r="Y44" s="63" t="str">
        <f>IFERROR(VLOOKUP(MID(T44,W44,X44-W44),[6]skilldef!$C:$D,2,FALSE),"-") &amp; " / " &amp; IFERROR(VLOOKUP(MID(T44,U44,V44-U44),[6]skilldef!$A:$B,2,FALSE),"-")</f>
        <v>敵全体に / 状態異常耐性</v>
      </c>
      <c r="Z44" s="50"/>
      <c r="AA44" s="52"/>
      <c r="AB44" s="50"/>
    </row>
    <row r="45" spans="1:28" ht="21" customHeight="1" x14ac:dyDescent="0.15">
      <c r="A45" s="47">
        <v>50004044</v>
      </c>
      <c r="B45" s="47" t="s">
        <v>424</v>
      </c>
      <c r="C45" s="50">
        <v>3</v>
      </c>
      <c r="D45" s="50" t="s">
        <v>127</v>
      </c>
      <c r="E45" s="114" t="s">
        <v>421</v>
      </c>
      <c r="F45" s="51" t="s">
        <v>286</v>
      </c>
      <c r="G45" s="63" t="str">
        <f t="shared" si="17"/>
        <v>[effect:panel_freeze, target:block_green, count:10]</v>
      </c>
      <c r="H45" s="63">
        <f t="shared" si="18"/>
        <v>9</v>
      </c>
      <c r="I45" s="63">
        <f t="shared" si="19"/>
        <v>21</v>
      </c>
      <c r="J45" s="63">
        <f t="shared" si="20"/>
        <v>30</v>
      </c>
      <c r="K45" s="63">
        <f t="shared" si="21"/>
        <v>41</v>
      </c>
      <c r="L45" s="63" t="str">
        <f>IFERROR(VLOOKUP(MID(G45,J45,K45-J45),[6]skilldef!$C:$D,2,FALSE),"-") &amp; " / " &amp; IFERROR(VLOOKUP(MID(G45,H45,I45-H45),[6]skilldef!$A:$B,2,FALSE),"-")</f>
        <v>緑パネルを / -</v>
      </c>
      <c r="M45" s="63" t="str">
        <f t="shared" si="22"/>
        <v>[effect:spread, val:0.4]</v>
      </c>
      <c r="N45" s="48" t="str">
        <f>IFERROR(LEFT(M45,FIND("],",M45)+S56),M45)</f>
        <v>[effect:spread, val:0.4]</v>
      </c>
      <c r="O45" s="63">
        <f t="shared" si="23"/>
        <v>9</v>
      </c>
      <c r="P45" s="63">
        <f t="shared" si="24"/>
        <v>15</v>
      </c>
      <c r="Q45" s="63" t="e">
        <f t="shared" si="25"/>
        <v>#VALUE!</v>
      </c>
      <c r="R45" s="63" t="e">
        <f t="shared" si="26"/>
        <v>#VALUE!</v>
      </c>
      <c r="S45" s="63" t="str">
        <f>IFERROR(VLOOKUP(MID(N45,Q45,R45-Q45),[6]skilldef!$C:$D,2,FALSE),"-") &amp; " / " &amp; IFERROR(VLOOKUP(MID(N45,O45,P45-O45),[6]skilldef!$A:$B,2,FALSE),"-")</f>
        <v>- / 全体攻撃</v>
      </c>
      <c r="T45" s="48" t="str">
        <f t="shared" si="27"/>
        <v>none</v>
      </c>
      <c r="U45" s="63" t="e">
        <f t="shared" si="28"/>
        <v>#VALUE!</v>
      </c>
      <c r="V45" s="63">
        <f t="shared" si="29"/>
        <v>4</v>
      </c>
      <c r="W45" s="63" t="e">
        <f t="shared" si="30"/>
        <v>#VALUE!</v>
      </c>
      <c r="X45" s="63" t="e">
        <f t="shared" si="31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50004045</v>
      </c>
      <c r="B46" s="47" t="s">
        <v>288</v>
      </c>
      <c r="C46" s="50">
        <v>3</v>
      </c>
      <c r="D46" s="50" t="s">
        <v>127</v>
      </c>
      <c r="E46" s="114" t="s">
        <v>422</v>
      </c>
      <c r="F46" s="51" t="s">
        <v>287</v>
      </c>
      <c r="G46" s="63" t="str">
        <f t="shared" si="17"/>
        <v>[effect:panel_freeze, target:block_yellow, count:10]</v>
      </c>
      <c r="H46" s="63">
        <f t="shared" si="18"/>
        <v>9</v>
      </c>
      <c r="I46" s="63">
        <f t="shared" si="19"/>
        <v>21</v>
      </c>
      <c r="J46" s="63">
        <f t="shared" si="20"/>
        <v>30</v>
      </c>
      <c r="K46" s="63">
        <f t="shared" si="21"/>
        <v>42</v>
      </c>
      <c r="L46" s="63" t="str">
        <f>IFERROR(VLOOKUP(MID(G46,J46,K46-J46),[6]skilldef!$C:$D,2,FALSE),"-") &amp; " / " &amp; IFERROR(VLOOKUP(MID(G46,H46,I46-H46),[6]skilldef!$A:$B,2,FALSE),"-")</f>
        <v>黄色パネルを / -</v>
      </c>
      <c r="M46" s="63" t="str">
        <f t="shared" si="22"/>
        <v>[effect:spread, val:0.4]</v>
      </c>
      <c r="N46" s="48" t="str">
        <f>IFERROR(LEFT(M46,FIND("],",M46)+S57),M46)</f>
        <v>[effect:spread, val:0.4]</v>
      </c>
      <c r="O46" s="63">
        <f t="shared" si="23"/>
        <v>9</v>
      </c>
      <c r="P46" s="63">
        <f t="shared" si="24"/>
        <v>15</v>
      </c>
      <c r="Q46" s="63" t="e">
        <f t="shared" si="25"/>
        <v>#VALUE!</v>
      </c>
      <c r="R46" s="63" t="e">
        <f t="shared" si="26"/>
        <v>#VALUE!</v>
      </c>
      <c r="S46" s="63" t="str">
        <f>IFERROR(VLOOKUP(MID(N46,Q46,R46-Q46),[6]skilldef!$C:$D,2,FALSE),"-") &amp; " / " &amp; IFERROR(VLOOKUP(MID(N46,O46,P46-O46),[6]skilldef!$A:$B,2,FALSE),"-")</f>
        <v>- / 全体攻撃</v>
      </c>
      <c r="T46" s="48" t="str">
        <f t="shared" si="27"/>
        <v>none</v>
      </c>
      <c r="U46" s="63" t="e">
        <f t="shared" si="28"/>
        <v>#VALUE!</v>
      </c>
      <c r="V46" s="63">
        <f t="shared" si="29"/>
        <v>4</v>
      </c>
      <c r="W46" s="63" t="e">
        <f t="shared" si="30"/>
        <v>#VALUE!</v>
      </c>
      <c r="X46" s="63" t="e">
        <f t="shared" si="31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50004046</v>
      </c>
      <c r="B47" s="47" t="s">
        <v>428</v>
      </c>
      <c r="C47" s="50">
        <v>3</v>
      </c>
      <c r="D47" s="50" t="s">
        <v>127</v>
      </c>
      <c r="E47" s="51" t="s">
        <v>391</v>
      </c>
      <c r="F47" s="51" t="s">
        <v>423</v>
      </c>
      <c r="G47" s="63" t="str">
        <f t="shared" si="17"/>
        <v>[effect:break_attack_fix, val:360, lowest_val:1500, count:20, block01:block_green, block02:block_yellow, target:unit_all]</v>
      </c>
      <c r="H47" s="63">
        <f t="shared" si="18"/>
        <v>9</v>
      </c>
      <c r="I47" s="63">
        <f t="shared" si="19"/>
        <v>25</v>
      </c>
      <c r="J47" s="63">
        <f t="shared" si="20"/>
        <v>113</v>
      </c>
      <c r="K47" s="63">
        <f t="shared" si="21"/>
        <v>34</v>
      </c>
      <c r="L47" s="63" t="str">
        <f>IFERROR(VLOOKUP(MID(G47,J47,K47-J47),[6]skilldef!$C:$D,2,FALSE),"-") &amp; " / " &amp; IFERROR(VLOOKUP(MID(G47,H47,I47-H47),[6]skilldef!$A:$B,2,FALSE),"-")</f>
        <v>- / -</v>
      </c>
      <c r="M47" s="63" t="str">
        <f t="shared" si="22"/>
        <v>none</v>
      </c>
      <c r="N47" s="48" t="str">
        <f t="shared" ref="N47:N53" si="32">IFERROR(LEFT(M47,FIND("],",M47)+S59),M47)</f>
        <v>none</v>
      </c>
      <c r="O47" s="63" t="e">
        <f t="shared" si="23"/>
        <v>#VALUE!</v>
      </c>
      <c r="P47" s="63">
        <f t="shared" si="24"/>
        <v>4</v>
      </c>
      <c r="Q47" s="63" t="e">
        <f t="shared" si="25"/>
        <v>#VALUE!</v>
      </c>
      <c r="R47" s="63" t="e">
        <f t="shared" si="26"/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27"/>
        <v>none</v>
      </c>
      <c r="U47" s="63" t="e">
        <f t="shared" si="28"/>
        <v>#VALUE!</v>
      </c>
      <c r="V47" s="63">
        <f t="shared" si="29"/>
        <v>4</v>
      </c>
      <c r="W47" s="63" t="e">
        <f t="shared" si="30"/>
        <v>#VALUE!</v>
      </c>
      <c r="X47" s="63" t="e">
        <f t="shared" si="31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106">
        <v>50004047</v>
      </c>
      <c r="B48" s="106" t="s">
        <v>283</v>
      </c>
      <c r="C48" s="107">
        <v>1</v>
      </c>
      <c r="D48" s="107" t="s">
        <v>127</v>
      </c>
      <c r="E48" s="108" t="s">
        <v>234</v>
      </c>
      <c r="F48" s="108" t="s">
        <v>284</v>
      </c>
      <c r="G48" s="63" t="str">
        <f t="shared" si="17"/>
        <v>[effect:change_panel_ratio, turn:3, block_type:red, val:0.1]</v>
      </c>
      <c r="H48" s="63">
        <f t="shared" si="18"/>
        <v>9</v>
      </c>
      <c r="I48" s="63">
        <f t="shared" si="19"/>
        <v>27</v>
      </c>
      <c r="J48" s="63" t="e">
        <f t="shared" si="20"/>
        <v>#VALUE!</v>
      </c>
      <c r="K48" s="63">
        <f t="shared" si="21"/>
        <v>35</v>
      </c>
      <c r="L48" s="63" t="str">
        <f>IFERROR(VLOOKUP(MID(G48,J48,K48-J48),[6]skilldef!$C:$D,2,FALSE),"-") &amp; " / " &amp; IFERROR(VLOOKUP(MID(G48,H48,I48-H48),[6]skilldef!$A:$B,2,FALSE),"-")</f>
        <v>- / -</v>
      </c>
      <c r="M48" s="63" t="str">
        <f t="shared" si="22"/>
        <v>[effect:change_panel_ratio, turn:3, block_type:blue, val:0.1],[effect:change_panel_ratio, turn:3, block_type:heal, val:0.1, animation:block_incidence04]</v>
      </c>
      <c r="N48" s="48" t="str">
        <f t="shared" si="32"/>
        <v>[effect:change_panel_ratio, turn:3, block_type:blue, val:0.1],[effect:change_panel_ratio, turn:3, block_type:heal, val:0.1, animation:block_incidence04]</v>
      </c>
      <c r="O48" s="63">
        <f t="shared" si="23"/>
        <v>9</v>
      </c>
      <c r="P48" s="63">
        <f t="shared" si="24"/>
        <v>27</v>
      </c>
      <c r="Q48" s="63" t="e">
        <f t="shared" si="25"/>
        <v>#VALUE!</v>
      </c>
      <c r="R48" s="63">
        <f t="shared" si="26"/>
        <v>35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27"/>
        <v>[effect:change_panel_ratio, turn:3, block_type:heal, val:0.1, animation:block_incidence04]</v>
      </c>
      <c r="U48" s="63">
        <f t="shared" si="28"/>
        <v>9</v>
      </c>
      <c r="V48" s="63">
        <f t="shared" si="29"/>
        <v>27</v>
      </c>
      <c r="W48" s="63" t="e">
        <f t="shared" si="30"/>
        <v>#VALUE!</v>
      </c>
      <c r="X48" s="63">
        <f t="shared" si="31"/>
        <v>35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50004048</v>
      </c>
      <c r="B49" s="47" t="s">
        <v>478</v>
      </c>
      <c r="C49" s="50">
        <v>3</v>
      </c>
      <c r="D49" s="50" t="s">
        <v>127</v>
      </c>
      <c r="E49" s="51" t="s">
        <v>383</v>
      </c>
      <c r="F49" s="51" t="s">
        <v>439</v>
      </c>
      <c r="G49" s="63" t="str">
        <f t="shared" si="17"/>
        <v>[effect:degrade_fever, val:1000, animation:fevergauge_down]</v>
      </c>
      <c r="H49" s="63">
        <f t="shared" si="18"/>
        <v>9</v>
      </c>
      <c r="I49" s="63">
        <f t="shared" si="19"/>
        <v>22</v>
      </c>
      <c r="J49" s="63" t="e">
        <f t="shared" si="20"/>
        <v>#VALUE!</v>
      </c>
      <c r="K49" s="63">
        <f t="shared" si="21"/>
        <v>32</v>
      </c>
      <c r="L49" s="63" t="str">
        <f>IFERROR(VLOOKUP(MID(G49,J49,K49-J49),[6]skilldef!$C:$D,2,FALSE),"-") &amp; " / " &amp; IFERROR(VLOOKUP(MID(G49,H49,I49-H49),[6]skilldef!$A:$B,2,FALSE),"-")</f>
        <v>- / フィーバーゲージ減少</v>
      </c>
      <c r="M49" s="63" t="str">
        <f t="shared" si="22"/>
        <v>[effect:rush, count:1, val:1.0]</v>
      </c>
      <c r="N49" s="48" t="str">
        <f t="shared" si="32"/>
        <v>[effect:rush, count:1, val:1.0]</v>
      </c>
      <c r="O49" s="63">
        <f t="shared" si="23"/>
        <v>9</v>
      </c>
      <c r="P49" s="63">
        <f t="shared" si="24"/>
        <v>13</v>
      </c>
      <c r="Q49" s="63" t="e">
        <f t="shared" si="25"/>
        <v>#VALUE!</v>
      </c>
      <c r="R49" s="63">
        <f t="shared" si="26"/>
        <v>22</v>
      </c>
      <c r="S49" s="63" t="str">
        <f>IFERROR(VLOOKUP(MID(N49,Q49,R49-Q49),[6]skilldef!$C:$D,2,FALSE),"-") &amp; " / " &amp; IFERROR(VLOOKUP(MID(N49,O49,P49-O49),[6]skilldef!$A:$B,2,FALSE),"-")</f>
        <v>- / 連続攻撃</v>
      </c>
      <c r="T49" s="48" t="str">
        <f t="shared" si="27"/>
        <v>none</v>
      </c>
      <c r="U49" s="63" t="e">
        <f t="shared" si="28"/>
        <v>#VALUE!</v>
      </c>
      <c r="V49" s="63">
        <f t="shared" si="29"/>
        <v>4</v>
      </c>
      <c r="W49" s="63" t="e">
        <f t="shared" si="30"/>
        <v>#VALUE!</v>
      </c>
      <c r="X49" s="63" t="e">
        <f t="shared" si="31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106">
        <v>50004049</v>
      </c>
      <c r="B50" s="106" t="s">
        <v>262</v>
      </c>
      <c r="C50" s="107">
        <v>1</v>
      </c>
      <c r="D50" s="107" t="s">
        <v>127</v>
      </c>
      <c r="E50" s="108" t="s">
        <v>280</v>
      </c>
      <c r="F50" s="108" t="s">
        <v>217</v>
      </c>
      <c r="G50" s="63" t="str">
        <f t="shared" si="17"/>
        <v>[effect:nothing]</v>
      </c>
      <c r="H50" s="63">
        <f t="shared" si="18"/>
        <v>9</v>
      </c>
      <c r="I50" s="63">
        <f t="shared" si="19"/>
        <v>16</v>
      </c>
      <c r="J50" s="63" t="e">
        <f t="shared" si="20"/>
        <v>#VALUE!</v>
      </c>
      <c r="K50" s="63" t="e">
        <f t="shared" si="21"/>
        <v>#VALUE!</v>
      </c>
      <c r="L50" s="63" t="str">
        <f>IFERROR(VLOOKUP(MID(G50,J50,K50-J50),[6]skilldef!$C:$D,2,FALSE),"-") &amp; " / " &amp; IFERROR(VLOOKUP(MID(G50,H50,I50-H50),[6]skilldef!$A:$B,2,FALSE),"-")</f>
        <v>- / 何もしない</v>
      </c>
      <c r="M50" s="63" t="str">
        <f t="shared" si="22"/>
        <v>none</v>
      </c>
      <c r="N50" s="48" t="str">
        <f t="shared" si="32"/>
        <v>none</v>
      </c>
      <c r="O50" s="63" t="e">
        <f t="shared" si="23"/>
        <v>#VALUE!</v>
      </c>
      <c r="P50" s="63">
        <f t="shared" si="24"/>
        <v>4</v>
      </c>
      <c r="Q50" s="63" t="e">
        <f t="shared" si="25"/>
        <v>#VALUE!</v>
      </c>
      <c r="R50" s="63" t="e">
        <f t="shared" si="26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27"/>
        <v>none</v>
      </c>
      <c r="U50" s="63" t="e">
        <f t="shared" si="28"/>
        <v>#VALUE!</v>
      </c>
      <c r="V50" s="63">
        <f t="shared" si="29"/>
        <v>4</v>
      </c>
      <c r="W50" s="63" t="e">
        <f t="shared" si="30"/>
        <v>#VALUE!</v>
      </c>
      <c r="X50" s="63" t="e">
        <f t="shared" si="31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106">
        <v>50004050</v>
      </c>
      <c r="B51" s="106" t="s">
        <v>262</v>
      </c>
      <c r="C51" s="107">
        <v>1</v>
      </c>
      <c r="D51" s="107" t="s">
        <v>127</v>
      </c>
      <c r="E51" s="108" t="s">
        <v>281</v>
      </c>
      <c r="F51" s="108" t="s">
        <v>217</v>
      </c>
      <c r="G51" s="63" t="str">
        <f t="shared" si="17"/>
        <v>[effect:nothing]</v>
      </c>
      <c r="H51" s="63">
        <f t="shared" si="18"/>
        <v>9</v>
      </c>
      <c r="I51" s="63">
        <f t="shared" si="19"/>
        <v>16</v>
      </c>
      <c r="J51" s="63" t="e">
        <f t="shared" si="20"/>
        <v>#VALUE!</v>
      </c>
      <c r="K51" s="63" t="e">
        <f t="shared" si="21"/>
        <v>#VALUE!</v>
      </c>
      <c r="L51" s="63" t="str">
        <f>IFERROR(VLOOKUP(MID(G51,J51,K51-J51),[6]skilldef!$C:$D,2,FALSE),"-") &amp; " / " &amp; IFERROR(VLOOKUP(MID(G51,H51,I51-H51),[6]skilldef!$A:$B,2,FALSE),"-")</f>
        <v>- / 何もしない</v>
      </c>
      <c r="M51" s="63" t="str">
        <f t="shared" si="22"/>
        <v>none</v>
      </c>
      <c r="N51" s="48" t="str">
        <f t="shared" si="32"/>
        <v>none</v>
      </c>
      <c r="O51" s="63" t="e">
        <f t="shared" si="23"/>
        <v>#VALUE!</v>
      </c>
      <c r="P51" s="63">
        <f t="shared" si="24"/>
        <v>4</v>
      </c>
      <c r="Q51" s="63" t="e">
        <f t="shared" si="25"/>
        <v>#VALUE!</v>
      </c>
      <c r="R51" s="63" t="e">
        <f t="shared" si="26"/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27"/>
        <v>none</v>
      </c>
      <c r="U51" s="63" t="e">
        <f t="shared" si="28"/>
        <v>#VALUE!</v>
      </c>
      <c r="V51" s="63">
        <f t="shared" si="29"/>
        <v>4</v>
      </c>
      <c r="W51" s="63" t="e">
        <f t="shared" si="30"/>
        <v>#VALUE!</v>
      </c>
      <c r="X51" s="63" t="e">
        <f t="shared" si="31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106">
        <v>50004051</v>
      </c>
      <c r="B52" s="106" t="s">
        <v>262</v>
      </c>
      <c r="C52" s="107">
        <v>1</v>
      </c>
      <c r="D52" s="107" t="s">
        <v>127</v>
      </c>
      <c r="E52" s="108" t="s">
        <v>282</v>
      </c>
      <c r="F52" s="108" t="s">
        <v>217</v>
      </c>
      <c r="G52" s="63" t="str">
        <f t="shared" si="17"/>
        <v>[effect:nothing]</v>
      </c>
      <c r="H52" s="63">
        <f t="shared" si="18"/>
        <v>9</v>
      </c>
      <c r="I52" s="63">
        <f t="shared" si="19"/>
        <v>16</v>
      </c>
      <c r="J52" s="63" t="e">
        <f t="shared" si="20"/>
        <v>#VALUE!</v>
      </c>
      <c r="K52" s="63" t="e">
        <f t="shared" si="21"/>
        <v>#VALUE!</v>
      </c>
      <c r="L52" s="63" t="str">
        <f>IFERROR(VLOOKUP(MID(G52,J52,K52-J52),[6]skilldef!$C:$D,2,FALSE),"-") &amp; " / " &amp; IFERROR(VLOOKUP(MID(G52,H52,I52-H52),[6]skilldef!$A:$B,2,FALSE),"-")</f>
        <v>- / 何もしない</v>
      </c>
      <c r="M52" s="63" t="str">
        <f t="shared" si="22"/>
        <v>none</v>
      </c>
      <c r="N52" s="48" t="str">
        <f t="shared" si="32"/>
        <v>none</v>
      </c>
      <c r="O52" s="63" t="e">
        <f t="shared" si="23"/>
        <v>#VALUE!</v>
      </c>
      <c r="P52" s="63">
        <f t="shared" si="24"/>
        <v>4</v>
      </c>
      <c r="Q52" s="63" t="e">
        <f t="shared" si="25"/>
        <v>#VALUE!</v>
      </c>
      <c r="R52" s="63" t="e">
        <f t="shared" si="26"/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si="27"/>
        <v>none</v>
      </c>
      <c r="U52" s="63" t="e">
        <f t="shared" si="28"/>
        <v>#VALUE!</v>
      </c>
      <c r="V52" s="63">
        <f t="shared" si="29"/>
        <v>4</v>
      </c>
      <c r="W52" s="63" t="e">
        <f t="shared" si="30"/>
        <v>#VALUE!</v>
      </c>
      <c r="X52" s="63" t="e">
        <f t="shared" si="31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106">
        <v>50004052</v>
      </c>
      <c r="B53" s="106" t="s">
        <v>262</v>
      </c>
      <c r="C53" s="107">
        <v>1</v>
      </c>
      <c r="D53" s="107" t="s">
        <v>127</v>
      </c>
      <c r="E53" s="108" t="s">
        <v>281</v>
      </c>
      <c r="F53" s="108" t="s">
        <v>217</v>
      </c>
      <c r="G53" s="63" t="str">
        <f t="shared" si="17"/>
        <v>[effect:nothing]</v>
      </c>
      <c r="H53" s="63">
        <f t="shared" si="18"/>
        <v>9</v>
      </c>
      <c r="I53" s="63">
        <f t="shared" si="19"/>
        <v>16</v>
      </c>
      <c r="J53" s="63" t="e">
        <f t="shared" si="20"/>
        <v>#VALUE!</v>
      </c>
      <c r="K53" s="63" t="e">
        <f t="shared" si="21"/>
        <v>#VALUE!</v>
      </c>
      <c r="L53" s="63" t="str">
        <f>IFERROR(VLOOKUP(MID(G53,J53,K53-J53),[6]skilldef!$C:$D,2,FALSE),"-") &amp; " / " &amp; IFERROR(VLOOKUP(MID(G53,H53,I53-H53),[6]skilldef!$A:$B,2,FALSE),"-")</f>
        <v>- / 何もしない</v>
      </c>
      <c r="M53" s="63" t="str">
        <f t="shared" si="22"/>
        <v>none</v>
      </c>
      <c r="N53" s="48" t="str">
        <f t="shared" si="32"/>
        <v>none</v>
      </c>
      <c r="O53" s="63" t="e">
        <f t="shared" si="23"/>
        <v>#VALUE!</v>
      </c>
      <c r="P53" s="63">
        <f t="shared" si="24"/>
        <v>4</v>
      </c>
      <c r="Q53" s="63" t="e">
        <f t="shared" si="25"/>
        <v>#VALUE!</v>
      </c>
      <c r="R53" s="63" t="e">
        <f t="shared" si="26"/>
        <v>#VALUE!</v>
      </c>
      <c r="S53" s="63" t="str">
        <f>IFERROR(VLOOKUP(MID(N53,Q53,R53-Q53),[6]skilldef!$C:$D,2,FALSE),"-") &amp; " / " &amp; IFERROR(VLOOKUP(MID(N53,O53,P53-O53),[6]skilldef!$A:$B,2,FALSE),"-")</f>
        <v>- / -</v>
      </c>
      <c r="T53" s="48" t="str">
        <f t="shared" si="27"/>
        <v>none</v>
      </c>
      <c r="U53" s="63" t="e">
        <f t="shared" si="28"/>
        <v>#VALUE!</v>
      </c>
      <c r="V53" s="63">
        <f t="shared" si="29"/>
        <v>4</v>
      </c>
      <c r="W53" s="63" t="e">
        <f t="shared" si="30"/>
        <v>#VALUE!</v>
      </c>
      <c r="X53" s="63" t="e">
        <f t="shared" si="31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106">
        <v>50004053</v>
      </c>
      <c r="B54" s="106" t="s">
        <v>262</v>
      </c>
      <c r="C54" s="107">
        <v>1</v>
      </c>
      <c r="D54" s="107" t="s">
        <v>127</v>
      </c>
      <c r="E54" s="108" t="s">
        <v>282</v>
      </c>
      <c r="F54" s="108" t="s">
        <v>217</v>
      </c>
      <c r="G54" s="63" t="str">
        <f t="shared" si="17"/>
        <v>[effect:nothing]</v>
      </c>
      <c r="H54" s="63">
        <f t="shared" si="18"/>
        <v>9</v>
      </c>
      <c r="I54" s="63">
        <f t="shared" si="19"/>
        <v>16</v>
      </c>
      <c r="J54" s="63" t="e">
        <f t="shared" si="20"/>
        <v>#VALUE!</v>
      </c>
      <c r="K54" s="63" t="e">
        <f t="shared" si="21"/>
        <v>#VALUE!</v>
      </c>
      <c r="L54" s="63" t="str">
        <f>IFERROR(VLOOKUP(MID(G54,J54,K54-J54),[6]skilldef!$C:$D,2,FALSE),"-") &amp; " / " &amp; IFERROR(VLOOKUP(MID(G54,H54,I54-H54),[6]skilldef!$A:$B,2,FALSE),"-")</f>
        <v>- / 何もしない</v>
      </c>
      <c r="M54" s="63" t="str">
        <f t="shared" si="22"/>
        <v>none</v>
      </c>
      <c r="N54" s="48" t="str">
        <f>IFERROR(LEFT(M54,FIND("],",M54)+S65),M54)</f>
        <v>none</v>
      </c>
      <c r="O54" s="63" t="e">
        <f t="shared" si="23"/>
        <v>#VALUE!</v>
      </c>
      <c r="P54" s="63">
        <f t="shared" si="24"/>
        <v>4</v>
      </c>
      <c r="Q54" s="63" t="e">
        <f t="shared" si="25"/>
        <v>#VALUE!</v>
      </c>
      <c r="R54" s="63" t="e">
        <f t="shared" si="26"/>
        <v>#VALUE!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si="27"/>
        <v>none</v>
      </c>
      <c r="U54" s="63" t="e">
        <f t="shared" si="28"/>
        <v>#VALUE!</v>
      </c>
      <c r="V54" s="63">
        <f t="shared" si="29"/>
        <v>4</v>
      </c>
      <c r="W54" s="63" t="e">
        <f t="shared" si="30"/>
        <v>#VALUE!</v>
      </c>
      <c r="X54" s="63" t="e">
        <f t="shared" si="31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106">
        <v>50004054</v>
      </c>
      <c r="B55" s="106" t="s">
        <v>262</v>
      </c>
      <c r="C55" s="107">
        <v>1</v>
      </c>
      <c r="D55" s="107" t="s">
        <v>127</v>
      </c>
      <c r="E55" s="108" t="s">
        <v>280</v>
      </c>
      <c r="F55" s="108" t="s">
        <v>217</v>
      </c>
      <c r="G55" s="63" t="str">
        <f t="shared" si="17"/>
        <v>[effect:nothing]</v>
      </c>
      <c r="H55" s="63">
        <f t="shared" si="18"/>
        <v>9</v>
      </c>
      <c r="I55" s="63">
        <f t="shared" si="19"/>
        <v>16</v>
      </c>
      <c r="J55" s="63" t="e">
        <f t="shared" si="20"/>
        <v>#VALUE!</v>
      </c>
      <c r="K55" s="63" t="e">
        <f t="shared" si="21"/>
        <v>#VALUE!</v>
      </c>
      <c r="L55" s="63" t="str">
        <f>IFERROR(VLOOKUP(MID(G55,J55,K55-J55),[6]skilldef!$C:$D,2,FALSE),"-") &amp; " / " &amp; IFERROR(VLOOKUP(MID(G55,H55,I55-H55),[6]skilldef!$A:$B,2,FALSE),"-")</f>
        <v>- / 何もしない</v>
      </c>
      <c r="M55" s="63" t="str">
        <f t="shared" si="22"/>
        <v>none</v>
      </c>
      <c r="N55" s="48" t="str">
        <f>IFERROR(LEFT(M55,FIND("],",M55)+S66),M55)</f>
        <v>none</v>
      </c>
      <c r="O55" s="63" t="e">
        <f t="shared" si="23"/>
        <v>#VALUE!</v>
      </c>
      <c r="P55" s="63">
        <f t="shared" si="24"/>
        <v>4</v>
      </c>
      <c r="Q55" s="63" t="e">
        <f t="shared" si="25"/>
        <v>#VALUE!</v>
      </c>
      <c r="R55" s="63" t="e">
        <f t="shared" si="26"/>
        <v>#VALUE!</v>
      </c>
      <c r="S55" s="63" t="str">
        <f>IFERROR(VLOOKUP(MID(N55,Q55,R55-Q55),[6]skilldef!$C:$D,2,FALSE),"-") &amp; " / " &amp; IFERROR(VLOOKUP(MID(N55,O55,P55-O55),[6]skilldef!$A:$B,2,FALSE),"-")</f>
        <v>- / -</v>
      </c>
      <c r="T55" s="48" t="str">
        <f t="shared" si="27"/>
        <v>none</v>
      </c>
      <c r="U55" s="63" t="e">
        <f t="shared" si="28"/>
        <v>#VALUE!</v>
      </c>
      <c r="V55" s="63">
        <f t="shared" si="29"/>
        <v>4</v>
      </c>
      <c r="W55" s="63" t="e">
        <f t="shared" si="30"/>
        <v>#VALUE!</v>
      </c>
      <c r="X55" s="63" t="e">
        <f t="shared" si="31"/>
        <v>#VALUE!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106">
        <v>50004055</v>
      </c>
      <c r="B56" s="106" t="s">
        <v>262</v>
      </c>
      <c r="C56" s="107">
        <v>1</v>
      </c>
      <c r="D56" s="107" t="s">
        <v>127</v>
      </c>
      <c r="E56" s="108" t="s">
        <v>281</v>
      </c>
      <c r="F56" s="108" t="s">
        <v>217</v>
      </c>
      <c r="G56" s="63" t="str">
        <f t="shared" si="17"/>
        <v>[effect:nothing]</v>
      </c>
      <c r="H56" s="63">
        <f t="shared" si="18"/>
        <v>9</v>
      </c>
      <c r="I56" s="63">
        <f t="shared" si="19"/>
        <v>16</v>
      </c>
      <c r="J56" s="63" t="e">
        <f t="shared" si="20"/>
        <v>#VALUE!</v>
      </c>
      <c r="K56" s="63" t="e">
        <f t="shared" si="21"/>
        <v>#VALUE!</v>
      </c>
      <c r="L56" s="63" t="str">
        <f>IFERROR(VLOOKUP(MID(G56,J56,K56-J56),[6]skilldef!$C:$D,2,FALSE),"-") &amp; " / " &amp; IFERROR(VLOOKUP(MID(G56,H56,I56-H56),[6]skilldef!$A:$B,2,FALSE),"-")</f>
        <v>- / 何もしない</v>
      </c>
      <c r="M56" s="63" t="str">
        <f t="shared" si="22"/>
        <v>none</v>
      </c>
      <c r="N56" s="48" t="str">
        <f>IFERROR(LEFT(M56,FIND("],",M56)+S67),M56)</f>
        <v>none</v>
      </c>
      <c r="O56" s="63" t="e">
        <f t="shared" si="23"/>
        <v>#VALUE!</v>
      </c>
      <c r="P56" s="63">
        <f t="shared" si="24"/>
        <v>4</v>
      </c>
      <c r="Q56" s="63" t="e">
        <f t="shared" si="25"/>
        <v>#VALUE!</v>
      </c>
      <c r="R56" s="63" t="e">
        <f t="shared" si="26"/>
        <v>#VALUE!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27"/>
        <v>none</v>
      </c>
      <c r="U56" s="63" t="e">
        <f t="shared" si="28"/>
        <v>#VALUE!</v>
      </c>
      <c r="V56" s="63">
        <f t="shared" si="29"/>
        <v>4</v>
      </c>
      <c r="W56" s="63" t="e">
        <f t="shared" si="30"/>
        <v>#VALUE!</v>
      </c>
      <c r="X56" s="63" t="e">
        <f t="shared" si="31"/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106">
        <v>50004056</v>
      </c>
      <c r="B57" s="106" t="s">
        <v>262</v>
      </c>
      <c r="C57" s="107">
        <v>1</v>
      </c>
      <c r="D57" s="107" t="s">
        <v>127</v>
      </c>
      <c r="E57" s="108" t="s">
        <v>282</v>
      </c>
      <c r="F57" s="108" t="s">
        <v>217</v>
      </c>
      <c r="G57" s="63" t="str">
        <f t="shared" si="17"/>
        <v>[effect:nothing]</v>
      </c>
      <c r="H57" s="63">
        <f t="shared" si="18"/>
        <v>9</v>
      </c>
      <c r="I57" s="63">
        <f t="shared" si="19"/>
        <v>16</v>
      </c>
      <c r="J57" s="63" t="e">
        <f t="shared" si="20"/>
        <v>#VALUE!</v>
      </c>
      <c r="K57" s="63" t="e">
        <f t="shared" si="21"/>
        <v>#VALUE!</v>
      </c>
      <c r="L57" s="63" t="str">
        <f>IFERROR(VLOOKUP(MID(G57,J57,K57-J57),[6]skilldef!$C:$D,2,FALSE),"-") &amp; " / " &amp; IFERROR(VLOOKUP(MID(G57,H57,I57-H57),[6]skilldef!$A:$B,2,FALSE),"-")</f>
        <v>- / 何もしない</v>
      </c>
      <c r="M57" s="63" t="str">
        <f t="shared" si="22"/>
        <v>none</v>
      </c>
      <c r="N57" s="48" t="str">
        <f>IFERROR(LEFT(M57,FIND("],",M57)+S68),M57)</f>
        <v>none</v>
      </c>
      <c r="O57" s="63" t="e">
        <f t="shared" si="23"/>
        <v>#VALUE!</v>
      </c>
      <c r="P57" s="63">
        <f t="shared" si="24"/>
        <v>4</v>
      </c>
      <c r="Q57" s="63" t="e">
        <f t="shared" si="25"/>
        <v>#VALUE!</v>
      </c>
      <c r="R57" s="63" t="e">
        <f t="shared" si="26"/>
        <v>#VALUE!</v>
      </c>
      <c r="S57" s="63" t="str">
        <f>IFERROR(VLOOKUP(MID(N57,Q57,R57-Q57),[6]skilldef!$C:$D,2,FALSE),"-") &amp; " / " &amp; IFERROR(VLOOKUP(MID(N57,O57,P57-O57),[6]skilldef!$A:$B,2,FALSE),"-")</f>
        <v>- / -</v>
      </c>
      <c r="T57" s="48" t="str">
        <f t="shared" si="27"/>
        <v>none</v>
      </c>
      <c r="U57" s="63" t="e">
        <f t="shared" si="28"/>
        <v>#VALUE!</v>
      </c>
      <c r="V57" s="63">
        <f t="shared" si="29"/>
        <v>4</v>
      </c>
      <c r="W57" s="63" t="e">
        <f t="shared" si="30"/>
        <v>#VALUE!</v>
      </c>
      <c r="X57" s="63" t="e">
        <f t="shared" si="31"/>
        <v>#VALUE!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47">
        <v>50004057</v>
      </c>
      <c r="B58" s="47" t="s">
        <v>411</v>
      </c>
      <c r="C58" s="50">
        <v>3</v>
      </c>
      <c r="D58" s="50" t="s">
        <v>127</v>
      </c>
      <c r="E58" s="51" t="s">
        <v>385</v>
      </c>
      <c r="F58" s="51" t="s">
        <v>384</v>
      </c>
      <c r="G58" s="63" t="str">
        <f t="shared" si="17"/>
        <v>[effect:enemy_message, val1:1.5, val2:2.4]</v>
      </c>
      <c r="H58" s="63">
        <f t="shared" si="18"/>
        <v>9</v>
      </c>
      <c r="I58" s="63">
        <f t="shared" si="19"/>
        <v>22</v>
      </c>
      <c r="J58" s="63" t="e">
        <f t="shared" si="20"/>
        <v>#VALUE!</v>
      </c>
      <c r="K58" s="63">
        <f t="shared" si="21"/>
        <v>32</v>
      </c>
      <c r="L58" s="63" t="str">
        <f>IFERROR(VLOOKUP(MID(G58,J58,K58-J58),[6]skilldef!$C:$D,2,FALSE),"-") &amp; " / " &amp; IFERROR(VLOOKUP(MID(G58,H58,I58-H58),[6]skilldef!$A:$B,2,FALSE),"-")</f>
        <v>- / -</v>
      </c>
      <c r="M58" s="63" t="str">
        <f t="shared" si="22"/>
        <v>[effect:tolerance, target:myself, turn:-1, tolerance_effect:virus, count:-1],[effect:tolerance, target:myself, turn:-1, tolerance_effect:hungup, count:-1],[effect:tolerance, target:myself, turn:-1, tolerance_effect:sleep, count:-1, animation:enemy_tolerance],[effect:virus, turn:7, target:unit_all, rate:1, val:0.1, animation:enemy_virus],[effect:fix_speed, target:myself, turn:1]</v>
      </c>
      <c r="N58" s="48" t="str">
        <f t="shared" ref="N58:N82" si="33">IFERROR(LEFT(M58,FIND("],",M58)+S68),M58)</f>
        <v>[effect:tolerance, target:myself, turn:-1, tolerance_effect:virus, count:-1],[effect:tolerance, target:myself, turn:-1, tolerance_effect:hungup, count:-1],[effect:tolerance, target:myself, turn:-1, tolerance_effect:sleep, count:-1, animation:enemy_tolerance],[effect:virus, turn:7, target:unit_all, rate:1, val:0.1, animation:enemy_virus],[effect:fix_speed, target:myself, turn:1]</v>
      </c>
      <c r="O58" s="63">
        <f t="shared" si="23"/>
        <v>9</v>
      </c>
      <c r="P58" s="63">
        <f t="shared" si="24"/>
        <v>18</v>
      </c>
      <c r="Q58" s="63">
        <f t="shared" si="25"/>
        <v>27</v>
      </c>
      <c r="R58" s="63">
        <f t="shared" si="26"/>
        <v>33</v>
      </c>
      <c r="S58" s="63" t="str">
        <f>IFERROR(VLOOKUP(MID(N58,Q58,R58-Q58),[6]skilldef!$C:$D,2,FALSE),"-") &amp; " / " &amp; IFERROR(VLOOKUP(MID(N58,O58,P58-O58),[6]skilldef!$A:$B,2,FALSE),"-")</f>
        <v>自分自身に / 状態異常耐性</v>
      </c>
      <c r="T58" s="48" t="str">
        <f t="shared" si="27"/>
        <v>[effect:tolerance, target:myself, turn:-1, tolerance_effect:hungup, count:-1],[effect:tolerance, target:myself, turn:-1, tolerance_effect:sleep, count:-1, animation:enemy_tolerance],[effect:virus, turn:7, target:unit_all, rate:1, val:0.1, animation:enemy_virus],[effect:fix_speed, target:myself, turn:1]</v>
      </c>
      <c r="U58" s="63">
        <f t="shared" si="28"/>
        <v>9</v>
      </c>
      <c r="V58" s="63">
        <f t="shared" si="29"/>
        <v>18</v>
      </c>
      <c r="W58" s="63">
        <f t="shared" si="30"/>
        <v>27</v>
      </c>
      <c r="X58" s="63">
        <f t="shared" si="31"/>
        <v>33</v>
      </c>
      <c r="Y58" s="63" t="str">
        <f>IFERROR(VLOOKUP(MID(T58,W58,X58-W58),[6]skilldef!$C:$D,2,FALSE),"-") &amp; " / " &amp; IFERROR(VLOOKUP(MID(T58,U58,V58-U58),[6]skilldef!$A:$B,2,FALSE),"-")</f>
        <v>自分自身に / 状態異常耐性</v>
      </c>
      <c r="Z58" s="50"/>
      <c r="AA58" s="52"/>
      <c r="AB58" s="50"/>
    </row>
    <row r="59" spans="1:28" ht="21" customHeight="1" x14ac:dyDescent="0.15">
      <c r="A59" s="47">
        <v>50004058</v>
      </c>
      <c r="B59" s="47" t="s">
        <v>411</v>
      </c>
      <c r="C59" s="50">
        <v>3</v>
      </c>
      <c r="D59" s="50" t="s">
        <v>127</v>
      </c>
      <c r="E59" s="51" t="s">
        <v>396</v>
      </c>
      <c r="F59" s="51" t="s">
        <v>397</v>
      </c>
      <c r="G59" s="63" t="str">
        <f t="shared" si="17"/>
        <v>[effect:enemy_message, val1:1.5, val2:2.4]</v>
      </c>
      <c r="H59" s="63">
        <f t="shared" si="18"/>
        <v>9</v>
      </c>
      <c r="I59" s="63">
        <f t="shared" si="19"/>
        <v>22</v>
      </c>
      <c r="J59" s="63" t="e">
        <f t="shared" si="20"/>
        <v>#VALUE!</v>
      </c>
      <c r="K59" s="63">
        <f t="shared" si="21"/>
        <v>32</v>
      </c>
      <c r="L59" s="63" t="str">
        <f>IFERROR(VLOOKUP(MID(G59,J59,K59-J59),[6]skilldef!$C:$D,2,FALSE),"-") &amp; " / " &amp; IFERROR(VLOOKUP(MID(G59,H59,I59-H59),[6]skilldef!$A:$B,2,FALSE),"-")</f>
        <v>- / -</v>
      </c>
      <c r="M59" s="63" t="str">
        <f t="shared" si="22"/>
        <v>[effect:tolerance, target:myself, turn:-1, tolerance_effect:virus, count:-1],[effect:tolerance, target:myself, turn:-1, tolerance_effect:hungup, count:-1],[effect:tolerance, target:myself, turn:-1, tolerance_effect:sleep, count:-1, animation:enemy_tolerance],[effect:virus, turn:7, target:unit_all, rate:1, val:0.1, animation:enemy_virus],[effect:fix_speed, target:myself, turn:1]</v>
      </c>
      <c r="N59" s="48" t="str">
        <f t="shared" si="33"/>
        <v>[effect:tolerance, target:myself, turn:-1, tolerance_effect:virus, count:-1],[effect:tolerance, target:myself, turn:-1, tolerance_effect:hungup, count:-1],[effect:tolerance, target:myself, turn:-1, tolerance_effect:sleep, count:-1, animation:enemy_tolerance],[effect:virus, turn:7, target:unit_all, rate:1, val:0.1, animation:enemy_virus],[effect:fix_speed, target:myself, turn:1]</v>
      </c>
      <c r="O59" s="63">
        <f t="shared" si="23"/>
        <v>9</v>
      </c>
      <c r="P59" s="63">
        <f t="shared" si="24"/>
        <v>18</v>
      </c>
      <c r="Q59" s="63">
        <f t="shared" si="25"/>
        <v>27</v>
      </c>
      <c r="R59" s="63">
        <f t="shared" si="26"/>
        <v>33</v>
      </c>
      <c r="S59" s="63" t="str">
        <f>IFERROR(VLOOKUP(MID(N59,Q59,R59-Q59),[6]skilldef!$C:$D,2,FALSE),"-") &amp; " / " &amp; IFERROR(VLOOKUP(MID(N59,O59,P59-O59),[6]skilldef!$A:$B,2,FALSE),"-")</f>
        <v>自分自身に / 状態異常耐性</v>
      </c>
      <c r="T59" s="48" t="str">
        <f t="shared" si="27"/>
        <v>[effect:tolerance, target:myself, turn:-1, tolerance_effect:hungup, count:-1],[effect:tolerance, target:myself, turn:-1, tolerance_effect:sleep, count:-1, animation:enemy_tolerance],[effect:virus, turn:7, target:unit_all, rate:1, val:0.1, animation:enemy_virus],[effect:fix_speed, target:myself, turn:1]</v>
      </c>
      <c r="U59" s="63">
        <f t="shared" si="28"/>
        <v>9</v>
      </c>
      <c r="V59" s="63">
        <f t="shared" si="29"/>
        <v>18</v>
      </c>
      <c r="W59" s="63">
        <f t="shared" si="30"/>
        <v>27</v>
      </c>
      <c r="X59" s="63">
        <f t="shared" si="31"/>
        <v>33</v>
      </c>
      <c r="Y59" s="63" t="str">
        <f>IFERROR(VLOOKUP(MID(T59,W59,X59-W59),[6]skilldef!$C:$D,2,FALSE),"-") &amp; " / " &amp; IFERROR(VLOOKUP(MID(T59,U59,V59-U59),[6]skilldef!$A:$B,2,FALSE),"-")</f>
        <v>自分自身に / 状態異常耐性</v>
      </c>
      <c r="Z59" s="50"/>
      <c r="AA59" s="52"/>
      <c r="AB59" s="50"/>
    </row>
    <row r="60" spans="1:28" ht="21" customHeight="1" x14ac:dyDescent="0.15">
      <c r="A60" s="47">
        <v>50004059</v>
      </c>
      <c r="B60" s="47" t="s">
        <v>411</v>
      </c>
      <c r="C60" s="50">
        <v>3</v>
      </c>
      <c r="D60" s="50" t="s">
        <v>127</v>
      </c>
      <c r="E60" s="51" t="s">
        <v>396</v>
      </c>
      <c r="F60" s="51" t="s">
        <v>397</v>
      </c>
      <c r="G60" s="63" t="str">
        <f t="shared" si="17"/>
        <v>[effect:enemy_message, val1:1.5, val2:2.4]</v>
      </c>
      <c r="H60" s="63">
        <f t="shared" si="18"/>
        <v>9</v>
      </c>
      <c r="I60" s="63">
        <f t="shared" si="19"/>
        <v>22</v>
      </c>
      <c r="J60" s="63" t="e">
        <f t="shared" si="20"/>
        <v>#VALUE!</v>
      </c>
      <c r="K60" s="63">
        <f t="shared" si="21"/>
        <v>32</v>
      </c>
      <c r="L60" s="63" t="str">
        <f>IFERROR(VLOOKUP(MID(G60,J60,K60-J60),[6]skilldef!$C:$D,2,FALSE),"-") &amp; " / " &amp; IFERROR(VLOOKUP(MID(G60,H60,I60-H60),[6]skilldef!$A:$B,2,FALSE),"-")</f>
        <v>- / -</v>
      </c>
      <c r="M60" s="63" t="str">
        <f t="shared" si="22"/>
        <v>[effect:tolerance, target:myself, turn:-1, tolerance_effect:virus, count:-1],[effect:tolerance, target:myself, turn:-1, tolerance_effect:hungup, count:-1],[effect:tolerance, target:myself, turn:-1, tolerance_effect:sleep, count:-1, animation:enemy_tolerance],[effect:virus, turn:7, target:unit_all, rate:1, val:0.1, animation:enemy_virus],[effect:fix_speed, target:myself, turn:1]</v>
      </c>
      <c r="N60" s="48" t="str">
        <f t="shared" si="33"/>
        <v>[effect:tolerance, target:myself, turn:-1, tolerance_effect:virus, count:-1],[effect:tolerance, target:myself, turn:-1, tolerance_effect:hungup, count:-1],[effect:tolerance, target:myself, turn:-1, tolerance_effect:sleep, count:-1, animation:enemy_tolerance],[effect:virus, turn:7, target:unit_all, rate:1, val:0.1, animation:enemy_virus],[effect:fix_speed, target:myself, turn:1]</v>
      </c>
      <c r="O60" s="63">
        <f t="shared" si="23"/>
        <v>9</v>
      </c>
      <c r="P60" s="63">
        <f t="shared" si="24"/>
        <v>18</v>
      </c>
      <c r="Q60" s="63">
        <f t="shared" si="25"/>
        <v>27</v>
      </c>
      <c r="R60" s="63">
        <f t="shared" si="26"/>
        <v>33</v>
      </c>
      <c r="S60" s="63" t="str">
        <f>IFERROR(VLOOKUP(MID(N60,Q60,R60-Q60),[6]skilldef!$C:$D,2,FALSE),"-") &amp; " / " &amp; IFERROR(VLOOKUP(MID(N60,O60,P60-O60),[6]skilldef!$A:$B,2,FALSE),"-")</f>
        <v>自分自身に / 状態異常耐性</v>
      </c>
      <c r="T60" s="48" t="str">
        <f t="shared" si="27"/>
        <v>[effect:tolerance, target:myself, turn:-1, tolerance_effect:hungup, count:-1],[effect:tolerance, target:myself, turn:-1, tolerance_effect:sleep, count:-1, animation:enemy_tolerance],[effect:virus, turn:7, target:unit_all, rate:1, val:0.1, animation:enemy_virus],[effect:fix_speed, target:myself, turn:1]</v>
      </c>
      <c r="U60" s="63">
        <f t="shared" si="28"/>
        <v>9</v>
      </c>
      <c r="V60" s="63">
        <f t="shared" si="29"/>
        <v>18</v>
      </c>
      <c r="W60" s="63">
        <f t="shared" si="30"/>
        <v>27</v>
      </c>
      <c r="X60" s="63">
        <f t="shared" si="31"/>
        <v>33</v>
      </c>
      <c r="Y60" s="63" t="str">
        <f>IFERROR(VLOOKUP(MID(T60,W60,X60-W60),[6]skilldef!$C:$D,2,FALSE),"-") &amp; " / " &amp; IFERROR(VLOOKUP(MID(T60,U60,V60-U60),[6]skilldef!$A:$B,2,FALSE),"-")</f>
        <v>自分自身に / 状態異常耐性</v>
      </c>
      <c r="Z60" s="50"/>
      <c r="AA60" s="52"/>
      <c r="AB60" s="50"/>
    </row>
    <row r="61" spans="1:28" ht="21" customHeight="1" x14ac:dyDescent="0.15">
      <c r="A61" s="106">
        <v>50004060</v>
      </c>
      <c r="B61" s="106" t="s">
        <v>273</v>
      </c>
      <c r="C61" s="107">
        <v>1</v>
      </c>
      <c r="D61" s="107" t="s">
        <v>127</v>
      </c>
      <c r="E61" s="108" t="s">
        <v>233</v>
      </c>
      <c r="F61" s="108" t="s">
        <v>227</v>
      </c>
      <c r="G61" s="63" t="str">
        <f t="shared" si="17"/>
        <v>[effect:tolerance, target:enemy_all, turn:-1, tolerance_effect:virus, count:-1]</v>
      </c>
      <c r="H61" s="63">
        <f t="shared" si="18"/>
        <v>9</v>
      </c>
      <c r="I61" s="63">
        <f t="shared" si="19"/>
        <v>18</v>
      </c>
      <c r="J61" s="63">
        <f t="shared" si="20"/>
        <v>27</v>
      </c>
      <c r="K61" s="63">
        <f t="shared" si="21"/>
        <v>36</v>
      </c>
      <c r="L61" s="63" t="str">
        <f>IFERROR(VLOOKUP(MID(G61,J61,K61-J61),[6]skilldef!$C:$D,2,FALSE),"-") &amp; " / " &amp; IFERROR(VLOOKUP(MID(G61,H61,I61-H61),[6]skilldef!$A:$B,2,FALSE),"-")</f>
        <v>敵全体に / 状態異常耐性</v>
      </c>
      <c r="M61" s="63" t="str">
        <f t="shared" si="22"/>
        <v>[effect:tolerance, target:enemy_all, turn:-1, tolerance_effect:hungup, count:-1],[effect:tolerance, target:enemy_all, turn:-1, tolerance_effect:sleep, count:-1, animation:enemy_tolerance],[effect:virus, turn:7, target:unit_all, rate:1, val:0.1, animation:enemy_virus],[effect:fix_speed, target:myself, turn:1]</v>
      </c>
      <c r="N61" s="48" t="str">
        <f t="shared" si="33"/>
        <v>[effect:tolerance, target:enemy_all, turn:-1, tolerance_effect:hungup, count:-1],[effect:tolerance, target:enemy_all, turn:-1, tolerance_effect:sleep, count:-1, animation:enemy_tolerance],[effect:virus, turn:7, target:unit_all, rate:1, val:0.1, animation:enemy_virus],[effect:fix_speed, target:myself, turn:1]</v>
      </c>
      <c r="O61" s="63">
        <f t="shared" si="23"/>
        <v>9</v>
      </c>
      <c r="P61" s="63">
        <f t="shared" si="24"/>
        <v>18</v>
      </c>
      <c r="Q61" s="63">
        <f t="shared" si="25"/>
        <v>27</v>
      </c>
      <c r="R61" s="63">
        <f t="shared" si="26"/>
        <v>36</v>
      </c>
      <c r="S61" s="63" t="str">
        <f>IFERROR(VLOOKUP(MID(N61,Q61,R61-Q61),[6]skilldef!$C:$D,2,FALSE),"-") &amp; " / " &amp; IFERROR(VLOOKUP(MID(N61,O61,P61-O61),[6]skilldef!$A:$B,2,FALSE),"-")</f>
        <v>敵全体に / 状態異常耐性</v>
      </c>
      <c r="T61" s="48" t="str">
        <f t="shared" si="27"/>
        <v>[effect:tolerance, target:enemy_all, turn:-1, tolerance_effect:sleep, count:-1, animation:enemy_tolerance],[effect:virus, turn:7, target:unit_all, rate:1, val:0.1, animation:enemy_virus],[effect:fix_speed, target:myself, turn:1]</v>
      </c>
      <c r="U61" s="63">
        <f t="shared" si="28"/>
        <v>9</v>
      </c>
      <c r="V61" s="63">
        <f t="shared" si="29"/>
        <v>18</v>
      </c>
      <c r="W61" s="63">
        <f t="shared" si="30"/>
        <v>27</v>
      </c>
      <c r="X61" s="63">
        <f t="shared" si="31"/>
        <v>36</v>
      </c>
      <c r="Y61" s="63" t="str">
        <f>IFERROR(VLOOKUP(MID(T61,W61,X61-W61),[6]skilldef!$C:$D,2,FALSE),"-") &amp; " / " &amp; IFERROR(VLOOKUP(MID(T61,U61,V61-U61),[6]skilldef!$A:$B,2,FALSE),"-")</f>
        <v>敵全体に / 状態異常耐性</v>
      </c>
      <c r="Z61" s="50"/>
      <c r="AA61" s="52"/>
      <c r="AB61" s="50"/>
    </row>
    <row r="62" spans="1:28" ht="21" customHeight="1" x14ac:dyDescent="0.15">
      <c r="A62" s="106">
        <v>50004061</v>
      </c>
      <c r="B62" s="106" t="s">
        <v>273</v>
      </c>
      <c r="C62" s="107">
        <v>1</v>
      </c>
      <c r="D62" s="107" t="s">
        <v>127</v>
      </c>
      <c r="E62" s="108" t="s">
        <v>233</v>
      </c>
      <c r="F62" s="108" t="s">
        <v>228</v>
      </c>
      <c r="G62" s="63" t="str">
        <f t="shared" si="17"/>
        <v>[effect:tolerance, target:enemy_all, turn:-1, tolerance_effect:virus, count:-1]</v>
      </c>
      <c r="H62" s="63">
        <f t="shared" si="18"/>
        <v>9</v>
      </c>
      <c r="I62" s="63">
        <f t="shared" si="19"/>
        <v>18</v>
      </c>
      <c r="J62" s="63">
        <f t="shared" si="20"/>
        <v>27</v>
      </c>
      <c r="K62" s="63">
        <f t="shared" si="21"/>
        <v>36</v>
      </c>
      <c r="L62" s="63" t="str">
        <f>IFERROR(VLOOKUP(MID(G62,J62,K62-J62),[6]skilldef!$C:$D,2,FALSE),"-") &amp; " / " &amp; IFERROR(VLOOKUP(MID(G62,H62,I62-H62),[6]skilldef!$A:$B,2,FALSE),"-")</f>
        <v>敵全体に / 状態異常耐性</v>
      </c>
      <c r="M62" s="63" t="str">
        <f t="shared" si="22"/>
        <v>[effect:tolerance, target:enemy_all, turn:-1, tolerance_effect:hungup, count:-1],[effect:tolerance, target:enemy_all, turn:-1, tolerance_effect:sleep, count:-1, animation:enemy_tolerance],[effect:virus, turn:7, target:unit_all, rate:1, val:0.1, animation:enemy_virus],[effect:fix_speed, target:myself, turn:1]</v>
      </c>
      <c r="N62" s="48" t="str">
        <f t="shared" si="33"/>
        <v>[effect:tolerance, target:enemy_all, turn:-1, tolerance_effect:hungup, count:-1],[effect:tolerance, target:enemy_all, turn:-1, tolerance_effect:sleep, count:-1, animation:enemy_tolerance],[effect:virus, turn:7, target:unit_all, rate:1, val:0.1, animation:enemy_virus],[effect:fix_speed, target:myself, turn:1]</v>
      </c>
      <c r="O62" s="63">
        <f t="shared" si="23"/>
        <v>9</v>
      </c>
      <c r="P62" s="63">
        <f t="shared" si="24"/>
        <v>18</v>
      </c>
      <c r="Q62" s="63">
        <f t="shared" si="25"/>
        <v>27</v>
      </c>
      <c r="R62" s="63">
        <f t="shared" si="26"/>
        <v>36</v>
      </c>
      <c r="S62" s="63" t="str">
        <f>IFERROR(VLOOKUP(MID(N62,Q62,R62-Q62),[6]skilldef!$C:$D,2,FALSE),"-") &amp; " / " &amp; IFERROR(VLOOKUP(MID(N62,O62,P62-O62),[6]skilldef!$A:$B,2,FALSE),"-")</f>
        <v>敵全体に / 状態異常耐性</v>
      </c>
      <c r="T62" s="48" t="str">
        <f t="shared" si="27"/>
        <v>[effect:tolerance, target:enemy_all, turn:-1, tolerance_effect:sleep, count:-1, animation:enemy_tolerance],[effect:virus, turn:7, target:unit_all, rate:1, val:0.1, animation:enemy_virus],[effect:fix_speed, target:myself, turn:1]</v>
      </c>
      <c r="U62" s="63">
        <f t="shared" si="28"/>
        <v>9</v>
      </c>
      <c r="V62" s="63">
        <f t="shared" si="29"/>
        <v>18</v>
      </c>
      <c r="W62" s="63">
        <f t="shared" si="30"/>
        <v>27</v>
      </c>
      <c r="X62" s="63">
        <f t="shared" si="31"/>
        <v>36</v>
      </c>
      <c r="Y62" s="63" t="str">
        <f>IFERROR(VLOOKUP(MID(T62,W62,X62-W62),[6]skilldef!$C:$D,2,FALSE),"-") &amp; " / " &amp; IFERROR(VLOOKUP(MID(T62,U62,V62-U62),[6]skilldef!$A:$B,2,FALSE),"-")</f>
        <v>敵全体に / 状態異常耐性</v>
      </c>
      <c r="Z62" s="50"/>
      <c r="AA62" s="52"/>
      <c r="AB62" s="50"/>
    </row>
    <row r="63" spans="1:28" ht="21" customHeight="1" x14ac:dyDescent="0.15">
      <c r="A63" s="47">
        <v>50004062</v>
      </c>
      <c r="B63" s="47" t="s">
        <v>290</v>
      </c>
      <c r="C63" s="50">
        <v>3</v>
      </c>
      <c r="D63" s="50" t="s">
        <v>127</v>
      </c>
      <c r="E63" s="51" t="s">
        <v>399</v>
      </c>
      <c r="F63" s="51" t="s">
        <v>219</v>
      </c>
      <c r="G63" s="63" t="str">
        <f t="shared" si="17"/>
        <v>[effect:spread, val:0.4]</v>
      </c>
      <c r="H63" s="63">
        <f t="shared" si="18"/>
        <v>9</v>
      </c>
      <c r="I63" s="63">
        <f t="shared" si="19"/>
        <v>15</v>
      </c>
      <c r="J63" s="63" t="e">
        <f t="shared" si="20"/>
        <v>#VALUE!</v>
      </c>
      <c r="K63" s="63" t="e">
        <f t="shared" si="21"/>
        <v>#VALUE!</v>
      </c>
      <c r="L63" s="63" t="str">
        <f>IFERROR(VLOOKUP(MID(G63,J63,K63-J63),[6]skilldef!$C:$D,2,FALSE),"-") &amp; " / " &amp; IFERROR(VLOOKUP(MID(G63,H63,I63-H63),[6]skilldef!$A:$B,2,FALSE),"-")</f>
        <v>- / 全体攻撃</v>
      </c>
      <c r="M63" s="63" t="str">
        <f t="shared" si="22"/>
        <v>none</v>
      </c>
      <c r="N63" s="48" t="str">
        <f t="shared" si="33"/>
        <v>none</v>
      </c>
      <c r="O63" s="63" t="e">
        <f t="shared" si="23"/>
        <v>#VALUE!</v>
      </c>
      <c r="P63" s="63">
        <f t="shared" si="24"/>
        <v>4</v>
      </c>
      <c r="Q63" s="63" t="e">
        <f t="shared" si="25"/>
        <v>#VALUE!</v>
      </c>
      <c r="R63" s="63" t="e">
        <f t="shared" si="26"/>
        <v>#VALUE!</v>
      </c>
      <c r="S63" s="63" t="str">
        <f>IFERROR(VLOOKUP(MID(N63,Q63,R63-Q63),[6]skilldef!$C:$D,2,FALSE),"-") &amp; " / " &amp; IFERROR(VLOOKUP(MID(N63,O63,P63-O63),[6]skilldef!$A:$B,2,FALSE),"-")</f>
        <v>- / -</v>
      </c>
      <c r="T63" s="48" t="str">
        <f t="shared" si="27"/>
        <v>none</v>
      </c>
      <c r="U63" s="63" t="e">
        <f t="shared" si="28"/>
        <v>#VALUE!</v>
      </c>
      <c r="V63" s="63">
        <f t="shared" si="29"/>
        <v>4</v>
      </c>
      <c r="W63" s="63" t="e">
        <f t="shared" si="30"/>
        <v>#VALUE!</v>
      </c>
      <c r="X63" s="63" t="e">
        <f t="shared" si="31"/>
        <v>#VALUE!</v>
      </c>
      <c r="Y63" s="63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 x14ac:dyDescent="0.15">
      <c r="A64" s="47">
        <v>50004063</v>
      </c>
      <c r="B64" s="47" t="s">
        <v>479</v>
      </c>
      <c r="C64" s="50">
        <v>3</v>
      </c>
      <c r="D64" s="50" t="s">
        <v>127</v>
      </c>
      <c r="E64" s="51" t="s">
        <v>398</v>
      </c>
      <c r="F64" s="51" t="s">
        <v>226</v>
      </c>
      <c r="G64" s="63" t="str">
        <f t="shared" si="17"/>
        <v>[effect:force_change_block, new_block:time_bomb, target:block_all, ignore01:crash, ignore02:color_break, ignore03:magnet, count:10, val:0.25, min_time_count:2, max_time_count:2, animation:change_block]</v>
      </c>
      <c r="H64" s="63">
        <f t="shared" si="18"/>
        <v>9</v>
      </c>
      <c r="I64" s="63">
        <f t="shared" si="19"/>
        <v>27</v>
      </c>
      <c r="J64" s="63">
        <f t="shared" si="20"/>
        <v>57</v>
      </c>
      <c r="K64" s="63">
        <f t="shared" si="21"/>
        <v>48</v>
      </c>
      <c r="L64" s="63" t="str">
        <f>IFERROR(VLOOKUP(MID(G64,J64,K64-J64),[6]skilldef!$C:$D,2,FALSE),"-") &amp; " / " &amp; IFERROR(VLOOKUP(MID(G64,H64,I64-H64),[6]skilldef!$A:$B,2,FALSE),"-")</f>
        <v>- / -</v>
      </c>
      <c r="M64" s="63" t="str">
        <f t="shared" si="22"/>
        <v>[effect:rush, count:1, val:1.0]</v>
      </c>
      <c r="N64" s="48" t="str">
        <f t="shared" si="33"/>
        <v>[effect:rush, count:1, val:1.0]</v>
      </c>
      <c r="O64" s="63">
        <f t="shared" si="23"/>
        <v>9</v>
      </c>
      <c r="P64" s="63">
        <f t="shared" si="24"/>
        <v>13</v>
      </c>
      <c r="Q64" s="63" t="e">
        <f t="shared" si="25"/>
        <v>#VALUE!</v>
      </c>
      <c r="R64" s="63">
        <f t="shared" si="26"/>
        <v>22</v>
      </c>
      <c r="S64" s="63" t="str">
        <f>IFERROR(VLOOKUP(MID(N64,Q64,R64-Q64),[6]skilldef!$C:$D,2,FALSE),"-") &amp; " / " &amp; IFERROR(VLOOKUP(MID(N64,O64,P64-O64),[6]skilldef!$A:$B,2,FALSE),"-")</f>
        <v>- / 連続攻撃</v>
      </c>
      <c r="T64" s="48" t="str">
        <f t="shared" si="27"/>
        <v>none</v>
      </c>
      <c r="U64" s="63" t="e">
        <f t="shared" si="28"/>
        <v>#VALUE!</v>
      </c>
      <c r="V64" s="63">
        <f t="shared" si="29"/>
        <v>4</v>
      </c>
      <c r="W64" s="63" t="e">
        <f t="shared" si="30"/>
        <v>#VALUE!</v>
      </c>
      <c r="X64" s="63" t="e">
        <f t="shared" si="31"/>
        <v>#VALUE!</v>
      </c>
      <c r="Y64" s="63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 x14ac:dyDescent="0.15">
      <c r="A65" s="47">
        <v>50004064</v>
      </c>
      <c r="B65" s="47" t="s">
        <v>257</v>
      </c>
      <c r="C65" s="50">
        <v>3</v>
      </c>
      <c r="D65" s="50" t="s">
        <v>127</v>
      </c>
      <c r="E65" s="51" t="s">
        <v>387</v>
      </c>
      <c r="F65" s="51" t="s">
        <v>465</v>
      </c>
      <c r="G65" s="63" t="str">
        <f t="shared" si="17"/>
        <v xml:space="preserve">[effect:virus, turn:7, target:unit_all, rate:1, val:0.1, animation:enemy_virus]    </v>
      </c>
      <c r="H65" s="63">
        <f t="shared" si="18"/>
        <v>9</v>
      </c>
      <c r="I65" s="63">
        <f t="shared" si="19"/>
        <v>14</v>
      </c>
      <c r="J65" s="63">
        <f t="shared" si="20"/>
        <v>31</v>
      </c>
      <c r="K65" s="63">
        <f t="shared" si="21"/>
        <v>22</v>
      </c>
      <c r="L65" s="63" t="str">
        <f>IFERROR(VLOOKUP(MID(G65,J65,K65-J65),[6]skilldef!$C:$D,2,FALSE),"-") &amp; " / " &amp; IFERROR(VLOOKUP(MID(G65,H65,I65-H65),[6]skilldef!$A:$B,2,FALSE),"-")</f>
        <v>- / ウィルス</v>
      </c>
      <c r="M65" s="63" t="str">
        <f t="shared" si="22"/>
        <v>none</v>
      </c>
      <c r="N65" s="48" t="str">
        <f t="shared" si="33"/>
        <v>none</v>
      </c>
      <c r="O65" s="63" t="e">
        <f t="shared" si="23"/>
        <v>#VALUE!</v>
      </c>
      <c r="P65" s="63">
        <f t="shared" si="24"/>
        <v>4</v>
      </c>
      <c r="Q65" s="63" t="e">
        <f t="shared" si="25"/>
        <v>#VALUE!</v>
      </c>
      <c r="R65" s="63" t="e">
        <f t="shared" si="26"/>
        <v>#VALUE!</v>
      </c>
      <c r="S65" s="63" t="str">
        <f>IFERROR(VLOOKUP(MID(N65,Q65,R65-Q65),[6]skilldef!$C:$D,2,FALSE),"-") &amp; " / " &amp; IFERROR(VLOOKUP(MID(N65,O65,P65-O65),[6]skilldef!$A:$B,2,FALSE),"-")</f>
        <v>- / -</v>
      </c>
      <c r="T65" s="48" t="str">
        <f t="shared" si="27"/>
        <v>none</v>
      </c>
      <c r="U65" s="63" t="e">
        <f t="shared" si="28"/>
        <v>#VALUE!</v>
      </c>
      <c r="V65" s="63">
        <f t="shared" si="29"/>
        <v>4</v>
      </c>
      <c r="W65" s="63" t="e">
        <f t="shared" si="30"/>
        <v>#VALUE!</v>
      </c>
      <c r="X65" s="63" t="e">
        <f t="shared" si="31"/>
        <v>#VALUE!</v>
      </c>
      <c r="Y65" s="63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21" customHeight="1" x14ac:dyDescent="0.15">
      <c r="A66" s="47">
        <v>50004065</v>
      </c>
      <c r="B66" s="47" t="s">
        <v>305</v>
      </c>
      <c r="C66" s="50">
        <v>3</v>
      </c>
      <c r="D66" s="50" t="s">
        <v>127</v>
      </c>
      <c r="E66" s="51" t="s">
        <v>400</v>
      </c>
      <c r="F66" s="51" t="s">
        <v>229</v>
      </c>
      <c r="G66" s="63" t="str">
        <f t="shared" ref="G66:G82" si="34">IFERROR(LEFT(B66,FIND("],",B66)),B66)</f>
        <v>[effect:break_heal_ratio, val:0.01, lowest_val:3000, count:30, block:block_red, target:myself, animation:enemy_heal]</v>
      </c>
      <c r="H66" s="63">
        <f t="shared" ref="H66:H82" si="35">FIND("effect:",G66)+7</f>
        <v>9</v>
      </c>
      <c r="I66" s="63">
        <f t="shared" ref="I66:I82" si="36">IFERROR(FIND(",",G66),LEN(G66))</f>
        <v>25</v>
      </c>
      <c r="J66" s="63">
        <f t="shared" ref="J66:J82" si="37">FIND("target:",G66)+7</f>
        <v>88</v>
      </c>
      <c r="K66" s="63">
        <f t="shared" ref="K66:K82" si="38">FIND(",",G66,I66+1)</f>
        <v>35</v>
      </c>
      <c r="L66" s="63" t="str">
        <f>IFERROR(VLOOKUP(MID(G66,J66,K66-J66),[6]skilldef!$C:$D,2,FALSE),"-") &amp; " / " &amp; IFERROR(VLOOKUP(MID(G66,H66,I66-H66),[6]skilldef!$A:$B,2,FALSE),"-")</f>
        <v>- / -</v>
      </c>
      <c r="M66" s="63" t="str">
        <f t="shared" ref="M66:M82" si="39">IFERROR(RIGHT(B66,LEN(B66)-FIND("],",B66)-1),"none")</f>
        <v>none</v>
      </c>
      <c r="N66" s="48" t="str">
        <f t="shared" si="33"/>
        <v>none</v>
      </c>
      <c r="O66" s="63" t="e">
        <f t="shared" ref="O66:O82" si="40">FIND("effect:",N66)+7</f>
        <v>#VALUE!</v>
      </c>
      <c r="P66" s="63">
        <f t="shared" ref="P66:P82" si="41">IFERROR(FIND(",",N66),LEN(N66))</f>
        <v>4</v>
      </c>
      <c r="Q66" s="63" t="e">
        <f t="shared" ref="Q66:Q82" si="42">FIND("target:",N66)+7</f>
        <v>#VALUE!</v>
      </c>
      <c r="R66" s="63" t="e">
        <f t="shared" ref="R66:R82" si="43">FIND(",",N66,P66+1)</f>
        <v>#VALUE!</v>
      </c>
      <c r="S66" s="63" t="str">
        <f>IFERROR(VLOOKUP(MID(N66,Q66,R66-Q66),[6]skilldef!$C:$D,2,FALSE),"-") &amp; " / " &amp; IFERROR(VLOOKUP(MID(N66,O66,P66-O66),[6]skilldef!$A:$B,2,FALSE),"-")</f>
        <v>- / -</v>
      </c>
      <c r="T66" s="48" t="str">
        <f t="shared" ref="T66:T82" si="44">IFERROR(RIGHT(M66,LEN(M66)-FIND("],",M66)-1),"none")</f>
        <v>none</v>
      </c>
      <c r="U66" s="63" t="e">
        <f t="shared" ref="U66:U82" si="45">FIND("effect:",T66)+7</f>
        <v>#VALUE!</v>
      </c>
      <c r="V66" s="63">
        <f t="shared" ref="V66:V82" si="46">IFERROR(FIND(",",T66),LEN(T66))</f>
        <v>4</v>
      </c>
      <c r="W66" s="63" t="e">
        <f t="shared" ref="W66:W82" si="47">FIND("target:",T66)+7</f>
        <v>#VALUE!</v>
      </c>
      <c r="X66" s="63" t="e">
        <f t="shared" ref="X66:X82" si="48">FIND(",",T66,V66+1)</f>
        <v>#VALUE!</v>
      </c>
      <c r="Y66" s="63" t="str">
        <f>IFERROR(VLOOKUP(MID(T66,W66,X66-W66),[6]skilldef!$C:$D,2,FALSE),"-") &amp; " / " &amp; IFERROR(VLOOKUP(MID(T66,U66,V66-U66),[6]skilldef!$A:$B,2,FALSE),"-")</f>
        <v>- / -</v>
      </c>
      <c r="Z66" s="50"/>
      <c r="AA66" s="52"/>
      <c r="AB66" s="50"/>
    </row>
    <row r="67" spans="1:28" ht="21" customHeight="1" x14ac:dyDescent="0.15">
      <c r="A67" s="47">
        <v>50004066</v>
      </c>
      <c r="B67" s="47" t="s">
        <v>306</v>
      </c>
      <c r="C67" s="50">
        <v>3</v>
      </c>
      <c r="D67" s="50" t="s">
        <v>127</v>
      </c>
      <c r="E67" s="51" t="s">
        <v>392</v>
      </c>
      <c r="F67" s="51" t="s">
        <v>230</v>
      </c>
      <c r="G67" s="63" t="str">
        <f t="shared" si="34"/>
        <v>[effect:break_heal_ratio, val:0.01, lowest_val:3000, count:30, block:block_blue, target:myself, animation:enemy_heal]</v>
      </c>
      <c r="H67" s="63">
        <f t="shared" si="35"/>
        <v>9</v>
      </c>
      <c r="I67" s="63">
        <f t="shared" si="36"/>
        <v>25</v>
      </c>
      <c r="J67" s="63">
        <f t="shared" si="37"/>
        <v>89</v>
      </c>
      <c r="K67" s="63">
        <f t="shared" si="38"/>
        <v>35</v>
      </c>
      <c r="L67" s="63" t="str">
        <f>IFERROR(VLOOKUP(MID(G67,J67,K67-J67),[6]skilldef!$C:$D,2,FALSE),"-") &amp; " / " &amp; IFERROR(VLOOKUP(MID(G67,H67,I67-H67),[6]skilldef!$A:$B,2,FALSE),"-")</f>
        <v>- / -</v>
      </c>
      <c r="M67" s="63" t="str">
        <f t="shared" si="39"/>
        <v>none</v>
      </c>
      <c r="N67" s="48" t="str">
        <f t="shared" si="33"/>
        <v>none</v>
      </c>
      <c r="O67" s="63" t="e">
        <f t="shared" si="40"/>
        <v>#VALUE!</v>
      </c>
      <c r="P67" s="63">
        <f t="shared" si="41"/>
        <v>4</v>
      </c>
      <c r="Q67" s="63" t="e">
        <f t="shared" si="42"/>
        <v>#VALUE!</v>
      </c>
      <c r="R67" s="63" t="e">
        <f t="shared" si="43"/>
        <v>#VALUE!</v>
      </c>
      <c r="S67" s="63" t="str">
        <f>IFERROR(VLOOKUP(MID(N67,Q67,R67-Q67),[6]skilldef!$C:$D,2,FALSE),"-") &amp; " / " &amp; IFERROR(VLOOKUP(MID(N67,O67,P67-O67),[6]skilldef!$A:$B,2,FALSE),"-")</f>
        <v>- / -</v>
      </c>
      <c r="T67" s="48" t="str">
        <f t="shared" si="44"/>
        <v>none</v>
      </c>
      <c r="U67" s="63" t="e">
        <f t="shared" si="45"/>
        <v>#VALUE!</v>
      </c>
      <c r="V67" s="63">
        <f t="shared" si="46"/>
        <v>4</v>
      </c>
      <c r="W67" s="63" t="e">
        <f t="shared" si="47"/>
        <v>#VALUE!</v>
      </c>
      <c r="X67" s="63" t="e">
        <f t="shared" si="48"/>
        <v>#VALUE!</v>
      </c>
      <c r="Y67" s="63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21" customHeight="1" x14ac:dyDescent="0.15">
      <c r="A68" s="47">
        <v>50004067</v>
      </c>
      <c r="B68" s="47" t="s">
        <v>307</v>
      </c>
      <c r="C68" s="50">
        <v>3</v>
      </c>
      <c r="D68" s="50" t="s">
        <v>127</v>
      </c>
      <c r="E68" s="51" t="s">
        <v>386</v>
      </c>
      <c r="F68" s="51" t="s">
        <v>231</v>
      </c>
      <c r="G68" s="63" t="str">
        <f t="shared" si="34"/>
        <v>[effect:break_heal_ratio, val:0.01, lowest_val:3000, count:30, block:block_green, target:myself, animation:enemy_heal]</v>
      </c>
      <c r="H68" s="63">
        <f t="shared" si="35"/>
        <v>9</v>
      </c>
      <c r="I68" s="63">
        <f t="shared" si="36"/>
        <v>25</v>
      </c>
      <c r="J68" s="63">
        <f t="shared" si="37"/>
        <v>90</v>
      </c>
      <c r="K68" s="63">
        <f t="shared" si="38"/>
        <v>35</v>
      </c>
      <c r="L68" s="63" t="str">
        <f>IFERROR(VLOOKUP(MID(G68,J68,K68-J68),[6]skilldef!$C:$D,2,FALSE),"-") &amp; " / " &amp; IFERROR(VLOOKUP(MID(G68,H68,I68-H68),[6]skilldef!$A:$B,2,FALSE),"-")</f>
        <v>- / -</v>
      </c>
      <c r="M68" s="63" t="str">
        <f t="shared" si="39"/>
        <v>none</v>
      </c>
      <c r="N68" s="48" t="str">
        <f t="shared" si="33"/>
        <v>none</v>
      </c>
      <c r="O68" s="63" t="e">
        <f t="shared" si="40"/>
        <v>#VALUE!</v>
      </c>
      <c r="P68" s="63">
        <f t="shared" si="41"/>
        <v>4</v>
      </c>
      <c r="Q68" s="63" t="e">
        <f t="shared" si="42"/>
        <v>#VALUE!</v>
      </c>
      <c r="R68" s="63" t="e">
        <f t="shared" si="43"/>
        <v>#VALUE!</v>
      </c>
      <c r="S68" s="63" t="str">
        <f>IFERROR(VLOOKUP(MID(N68,Q68,R68-Q68),[6]skilldef!$C:$D,2,FALSE),"-") &amp; " / " &amp; IFERROR(VLOOKUP(MID(N68,O68,P68-O68),[6]skilldef!$A:$B,2,FALSE),"-")</f>
        <v>- / -</v>
      </c>
      <c r="T68" s="48" t="str">
        <f t="shared" si="44"/>
        <v>none</v>
      </c>
      <c r="U68" s="63" t="e">
        <f t="shared" si="45"/>
        <v>#VALUE!</v>
      </c>
      <c r="V68" s="63">
        <f t="shared" si="46"/>
        <v>4</v>
      </c>
      <c r="W68" s="63" t="e">
        <f t="shared" si="47"/>
        <v>#VALUE!</v>
      </c>
      <c r="X68" s="63" t="e">
        <f t="shared" si="48"/>
        <v>#VALUE!</v>
      </c>
      <c r="Y68" s="63" t="str">
        <f>IFERROR(VLOOKUP(MID(T68,W68,X68-W68),[6]skilldef!$C:$D,2,FALSE),"-") &amp; " / " &amp; IFERROR(VLOOKUP(MID(T68,U68,V68-U68),[6]skilldef!$A:$B,2,FALSE),"-")</f>
        <v>- / -</v>
      </c>
      <c r="Z68" s="50"/>
      <c r="AA68" s="52"/>
      <c r="AB68" s="50"/>
    </row>
    <row r="69" spans="1:28" ht="21" customHeight="1" x14ac:dyDescent="0.15">
      <c r="A69" s="47">
        <v>50004068</v>
      </c>
      <c r="B69" s="47" t="s">
        <v>308</v>
      </c>
      <c r="C69" s="50">
        <v>3</v>
      </c>
      <c r="D69" s="50" t="s">
        <v>127</v>
      </c>
      <c r="E69" s="51" t="s">
        <v>393</v>
      </c>
      <c r="F69" s="51" t="s">
        <v>232</v>
      </c>
      <c r="G69" s="63" t="str">
        <f t="shared" si="34"/>
        <v xml:space="preserve">[effect:break_heal_ratio, val:0.01, lowest_val:3000, count:30, block:block_yellow, target:myself, animation:enemy_heal]    </v>
      </c>
      <c r="H69" s="63">
        <f t="shared" si="35"/>
        <v>9</v>
      </c>
      <c r="I69" s="63">
        <f t="shared" si="36"/>
        <v>25</v>
      </c>
      <c r="J69" s="63">
        <f t="shared" si="37"/>
        <v>91</v>
      </c>
      <c r="K69" s="63">
        <f t="shared" si="38"/>
        <v>35</v>
      </c>
      <c r="L69" s="63" t="str">
        <f>IFERROR(VLOOKUP(MID(G69,J69,K69-J69),[6]skilldef!$C:$D,2,FALSE),"-") &amp; " / " &amp; IFERROR(VLOOKUP(MID(G69,H69,I69-H69),[6]skilldef!$A:$B,2,FALSE),"-")</f>
        <v>- / -</v>
      </c>
      <c r="M69" s="63" t="str">
        <f t="shared" si="39"/>
        <v>none</v>
      </c>
      <c r="N69" s="48" t="str">
        <f t="shared" si="33"/>
        <v>none</v>
      </c>
      <c r="O69" s="63" t="e">
        <f t="shared" si="40"/>
        <v>#VALUE!</v>
      </c>
      <c r="P69" s="63">
        <f t="shared" si="41"/>
        <v>4</v>
      </c>
      <c r="Q69" s="63" t="e">
        <f t="shared" si="42"/>
        <v>#VALUE!</v>
      </c>
      <c r="R69" s="63" t="e">
        <f t="shared" si="43"/>
        <v>#VALUE!</v>
      </c>
      <c r="S69" s="63" t="str">
        <f>IFERROR(VLOOKUP(MID(N69,Q69,R69-Q69),[6]skilldef!$C:$D,2,FALSE),"-") &amp; " / " &amp; IFERROR(VLOOKUP(MID(N69,O69,P69-O69),[6]skilldef!$A:$B,2,FALSE),"-")</f>
        <v>- / -</v>
      </c>
      <c r="T69" s="48" t="str">
        <f t="shared" si="44"/>
        <v>none</v>
      </c>
      <c r="U69" s="63" t="e">
        <f t="shared" si="45"/>
        <v>#VALUE!</v>
      </c>
      <c r="V69" s="63">
        <f t="shared" si="46"/>
        <v>4</v>
      </c>
      <c r="W69" s="63" t="e">
        <f t="shared" si="47"/>
        <v>#VALUE!</v>
      </c>
      <c r="X69" s="63" t="e">
        <f t="shared" si="48"/>
        <v>#VALUE!</v>
      </c>
      <c r="Y69" s="63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  <row r="70" spans="1:28" ht="21" customHeight="1" x14ac:dyDescent="0.15">
      <c r="A70" s="106">
        <v>50004069</v>
      </c>
      <c r="B70" s="106" t="s">
        <v>262</v>
      </c>
      <c r="C70" s="107">
        <v>1</v>
      </c>
      <c r="D70" s="107" t="s">
        <v>127</v>
      </c>
      <c r="E70" s="108" t="s">
        <v>233</v>
      </c>
      <c r="F70" s="108" t="s">
        <v>217</v>
      </c>
      <c r="G70" s="63" t="str">
        <f t="shared" si="34"/>
        <v>[effect:nothing]</v>
      </c>
      <c r="H70" s="63">
        <f t="shared" si="35"/>
        <v>9</v>
      </c>
      <c r="I70" s="63">
        <f t="shared" si="36"/>
        <v>16</v>
      </c>
      <c r="J70" s="63" t="e">
        <f t="shared" si="37"/>
        <v>#VALUE!</v>
      </c>
      <c r="K70" s="63" t="e">
        <f t="shared" si="38"/>
        <v>#VALUE!</v>
      </c>
      <c r="L70" s="63" t="str">
        <f>IFERROR(VLOOKUP(MID(G70,J70,K70-J70),[6]skilldef!$C:$D,2,FALSE),"-") &amp; " / " &amp; IFERROR(VLOOKUP(MID(G70,H70,I70-H70),[6]skilldef!$A:$B,2,FALSE),"-")</f>
        <v>- / 何もしない</v>
      </c>
      <c r="M70" s="63" t="str">
        <f t="shared" si="39"/>
        <v>none</v>
      </c>
      <c r="N70" s="48" t="str">
        <f t="shared" si="33"/>
        <v>none</v>
      </c>
      <c r="O70" s="63" t="e">
        <f t="shared" si="40"/>
        <v>#VALUE!</v>
      </c>
      <c r="P70" s="63">
        <f t="shared" si="41"/>
        <v>4</v>
      </c>
      <c r="Q70" s="63" t="e">
        <f t="shared" si="42"/>
        <v>#VALUE!</v>
      </c>
      <c r="R70" s="63" t="e">
        <f t="shared" si="43"/>
        <v>#VALUE!</v>
      </c>
      <c r="S70" s="63" t="str">
        <f>IFERROR(VLOOKUP(MID(N70,Q70,R70-Q70),[6]skilldef!$C:$D,2,FALSE),"-") &amp; " / " &amp; IFERROR(VLOOKUP(MID(N70,O70,P70-O70),[6]skilldef!$A:$B,2,FALSE),"-")</f>
        <v>- / -</v>
      </c>
      <c r="T70" s="48" t="str">
        <f t="shared" si="44"/>
        <v>none</v>
      </c>
      <c r="U70" s="63" t="e">
        <f t="shared" si="45"/>
        <v>#VALUE!</v>
      </c>
      <c r="V70" s="63">
        <f t="shared" si="46"/>
        <v>4</v>
      </c>
      <c r="W70" s="63" t="e">
        <f t="shared" si="47"/>
        <v>#VALUE!</v>
      </c>
      <c r="X70" s="63" t="e">
        <f t="shared" si="48"/>
        <v>#VALUE!</v>
      </c>
      <c r="Y70" s="63" t="str">
        <f>IFERROR(VLOOKUP(MID(T70,W70,X70-W70),[6]skilldef!$C:$D,2,FALSE),"-") &amp; " / " &amp; IFERROR(VLOOKUP(MID(T70,U70,V70-U70),[6]skilldef!$A:$B,2,FALSE),"-")</f>
        <v>- / -</v>
      </c>
      <c r="Z70" s="50"/>
      <c r="AA70" s="52"/>
      <c r="AB70" s="50"/>
    </row>
    <row r="71" spans="1:28" ht="21" customHeight="1" x14ac:dyDescent="0.15">
      <c r="A71" s="106">
        <v>50004070</v>
      </c>
      <c r="B71" s="106" t="s">
        <v>262</v>
      </c>
      <c r="C71" s="107">
        <v>1</v>
      </c>
      <c r="D71" s="107" t="s">
        <v>127</v>
      </c>
      <c r="E71" s="108" t="s">
        <v>233</v>
      </c>
      <c r="F71" s="108" t="s">
        <v>217</v>
      </c>
      <c r="G71" s="63" t="str">
        <f t="shared" si="34"/>
        <v>[effect:nothing]</v>
      </c>
      <c r="H71" s="63">
        <f t="shared" si="35"/>
        <v>9</v>
      </c>
      <c r="I71" s="63">
        <f t="shared" si="36"/>
        <v>16</v>
      </c>
      <c r="J71" s="63" t="e">
        <f t="shared" si="37"/>
        <v>#VALUE!</v>
      </c>
      <c r="K71" s="63" t="e">
        <f t="shared" si="38"/>
        <v>#VALUE!</v>
      </c>
      <c r="L71" s="63" t="str">
        <f>IFERROR(VLOOKUP(MID(G71,J71,K71-J71),[6]skilldef!$C:$D,2,FALSE),"-") &amp; " / " &amp; IFERROR(VLOOKUP(MID(G71,H71,I71-H71),[6]skilldef!$A:$B,2,FALSE),"-")</f>
        <v>- / 何もしない</v>
      </c>
      <c r="M71" s="63" t="str">
        <f t="shared" si="39"/>
        <v>none</v>
      </c>
      <c r="N71" s="48" t="str">
        <f t="shared" si="33"/>
        <v>none</v>
      </c>
      <c r="O71" s="63" t="e">
        <f t="shared" si="40"/>
        <v>#VALUE!</v>
      </c>
      <c r="P71" s="63">
        <f t="shared" si="41"/>
        <v>4</v>
      </c>
      <c r="Q71" s="63" t="e">
        <f t="shared" si="42"/>
        <v>#VALUE!</v>
      </c>
      <c r="R71" s="63" t="e">
        <f t="shared" si="43"/>
        <v>#VALUE!</v>
      </c>
      <c r="S71" s="63" t="str">
        <f>IFERROR(VLOOKUP(MID(N71,Q71,R71-Q71),[6]skilldef!$C:$D,2,FALSE),"-") &amp; " / " &amp; IFERROR(VLOOKUP(MID(N71,O71,P71-O71),[6]skilldef!$A:$B,2,FALSE),"-")</f>
        <v>- / -</v>
      </c>
      <c r="T71" s="48" t="str">
        <f t="shared" si="44"/>
        <v>none</v>
      </c>
      <c r="U71" s="63" t="e">
        <f t="shared" si="45"/>
        <v>#VALUE!</v>
      </c>
      <c r="V71" s="63">
        <f t="shared" si="46"/>
        <v>4</v>
      </c>
      <c r="W71" s="63" t="e">
        <f t="shared" si="47"/>
        <v>#VALUE!</v>
      </c>
      <c r="X71" s="63" t="e">
        <f t="shared" si="48"/>
        <v>#VALUE!</v>
      </c>
      <c r="Y71" s="63" t="str">
        <f>IFERROR(VLOOKUP(MID(T71,W71,X71-W71),[6]skilldef!$C:$D,2,FALSE),"-") &amp; " / " &amp; IFERROR(VLOOKUP(MID(T71,U71,V71-U71),[6]skilldef!$A:$B,2,FALSE),"-")</f>
        <v>- / -</v>
      </c>
      <c r="Z71" s="50"/>
      <c r="AA71" s="52"/>
      <c r="AB71" s="50"/>
    </row>
    <row r="72" spans="1:28" ht="21" customHeight="1" x14ac:dyDescent="0.15">
      <c r="A72" s="106">
        <v>50004071</v>
      </c>
      <c r="B72" s="106" t="s">
        <v>262</v>
      </c>
      <c r="C72" s="107">
        <v>1</v>
      </c>
      <c r="D72" s="107" t="s">
        <v>127</v>
      </c>
      <c r="E72" s="108" t="s">
        <v>233</v>
      </c>
      <c r="F72" s="108" t="s">
        <v>217</v>
      </c>
      <c r="G72" s="63" t="str">
        <f t="shared" si="34"/>
        <v>[effect:nothing]</v>
      </c>
      <c r="H72" s="63">
        <f t="shared" si="35"/>
        <v>9</v>
      </c>
      <c r="I72" s="63">
        <f t="shared" si="36"/>
        <v>16</v>
      </c>
      <c r="J72" s="63" t="e">
        <f t="shared" si="37"/>
        <v>#VALUE!</v>
      </c>
      <c r="K72" s="63" t="e">
        <f t="shared" si="38"/>
        <v>#VALUE!</v>
      </c>
      <c r="L72" s="63" t="str">
        <f>IFERROR(VLOOKUP(MID(G72,J72,K72-J72),[6]skilldef!$C:$D,2,FALSE),"-") &amp; " / " &amp; IFERROR(VLOOKUP(MID(G72,H72,I72-H72),[6]skilldef!$A:$B,2,FALSE),"-")</f>
        <v>- / 何もしない</v>
      </c>
      <c r="M72" s="63" t="str">
        <f t="shared" si="39"/>
        <v>none</v>
      </c>
      <c r="N72" s="48" t="str">
        <f t="shared" si="33"/>
        <v>none</v>
      </c>
      <c r="O72" s="63" t="e">
        <f t="shared" si="40"/>
        <v>#VALUE!</v>
      </c>
      <c r="P72" s="63">
        <f t="shared" si="41"/>
        <v>4</v>
      </c>
      <c r="Q72" s="63" t="e">
        <f t="shared" si="42"/>
        <v>#VALUE!</v>
      </c>
      <c r="R72" s="63" t="e">
        <f t="shared" si="43"/>
        <v>#VALUE!</v>
      </c>
      <c r="S72" s="63" t="str">
        <f>IFERROR(VLOOKUP(MID(N72,Q72,R72-Q72),[6]skilldef!$C:$D,2,FALSE),"-") &amp; " / " &amp; IFERROR(VLOOKUP(MID(N72,O72,P72-O72),[6]skilldef!$A:$B,2,FALSE),"-")</f>
        <v>- / -</v>
      </c>
      <c r="T72" s="48" t="str">
        <f t="shared" si="44"/>
        <v>none</v>
      </c>
      <c r="U72" s="63" t="e">
        <f t="shared" si="45"/>
        <v>#VALUE!</v>
      </c>
      <c r="V72" s="63">
        <f t="shared" si="46"/>
        <v>4</v>
      </c>
      <c r="W72" s="63" t="e">
        <f t="shared" si="47"/>
        <v>#VALUE!</v>
      </c>
      <c r="X72" s="63" t="e">
        <f t="shared" si="48"/>
        <v>#VALUE!</v>
      </c>
      <c r="Y72" s="63" t="str">
        <f>IFERROR(VLOOKUP(MID(T72,W72,X72-W72),[6]skilldef!$C:$D,2,FALSE),"-") &amp; " / " &amp; IFERROR(VLOOKUP(MID(T72,U72,V72-U72),[6]skilldef!$A:$B,2,FALSE),"-")</f>
        <v>- / -</v>
      </c>
      <c r="Z72" s="50"/>
      <c r="AA72" s="52"/>
      <c r="AB72" s="50"/>
    </row>
    <row r="73" spans="1:28" ht="21" customHeight="1" x14ac:dyDescent="0.15">
      <c r="A73" s="47">
        <v>50004072</v>
      </c>
      <c r="B73" s="47" t="s">
        <v>404</v>
      </c>
      <c r="C73" s="50">
        <v>3</v>
      </c>
      <c r="D73" s="50" t="s">
        <v>127</v>
      </c>
      <c r="E73" s="51" t="s">
        <v>390</v>
      </c>
      <c r="F73" s="51" t="s">
        <v>366</v>
      </c>
      <c r="G73" s="63" t="str">
        <f t="shared" si="34"/>
        <v>[effect:tolerance, target:myself, turn:-1, tolerance_effect:virus, count:-1]</v>
      </c>
      <c r="H73" s="63">
        <f t="shared" si="35"/>
        <v>9</v>
      </c>
      <c r="I73" s="63">
        <f t="shared" si="36"/>
        <v>18</v>
      </c>
      <c r="J73" s="63">
        <f t="shared" si="37"/>
        <v>27</v>
      </c>
      <c r="K73" s="63">
        <f t="shared" si="38"/>
        <v>33</v>
      </c>
      <c r="L73" s="63" t="str">
        <f>IFERROR(VLOOKUP(MID(G73,J73,K73-J73),[6]skilldef!$C:$D,2,FALSE),"-") &amp; " / " &amp; IFERROR(VLOOKUP(MID(G73,H73,I73-H73),[6]skilldef!$A:$B,2,FALSE),"-")</f>
        <v>自分自身に / 状態異常耐性</v>
      </c>
      <c r="M73" s="63" t="str">
        <f t="shared" si="39"/>
        <v>[effect:tolerance, target:myself, turn:-1, tolerance_effect:hungup, count:-1],[effect:tolerance, target:myself, turn:-1, tolerance_effect:sleep, count:-1, animation:enemy_tolerance],[effect:enhance_enemy, target:myself, turn:-1, status:defense, val:2500, calc:add, animation:enemy_enhance_defense],[effect:fix_speed, target:myself, turn:1]</v>
      </c>
      <c r="N73" s="48" t="str">
        <f t="shared" si="33"/>
        <v>[effect:tolerance, target:myself, turn:-1, tolerance_effect:hungup, count:-1],[effect:tolerance, target:myself, turn:-1, tolerance_effect:sleep, count:-1, animation:enemy_tolerance],[effect:enhance_enemy, target:myself, turn:-1, status:defense, val:2500, calc:add, animation:enemy_enhance_defense],[effect:fix_speed, target:myself, turn:1]</v>
      </c>
      <c r="O73" s="63">
        <f t="shared" si="40"/>
        <v>9</v>
      </c>
      <c r="P73" s="63">
        <f t="shared" si="41"/>
        <v>18</v>
      </c>
      <c r="Q73" s="63">
        <f t="shared" si="42"/>
        <v>27</v>
      </c>
      <c r="R73" s="63">
        <f t="shared" si="43"/>
        <v>33</v>
      </c>
      <c r="S73" s="63" t="str">
        <f>IFERROR(VLOOKUP(MID(N73,Q73,R73-Q73),[6]skilldef!$C:$D,2,FALSE),"-") &amp; " / " &amp; IFERROR(VLOOKUP(MID(N73,O73,P73-O73),[6]skilldef!$A:$B,2,FALSE),"-")</f>
        <v>自分自身に / 状態異常耐性</v>
      </c>
      <c r="T73" s="48" t="str">
        <f t="shared" si="44"/>
        <v>[effect:tolerance, target:myself, turn:-1, tolerance_effect:sleep, count:-1, animation:enemy_tolerance],[effect:enhance_enemy, target:myself, turn:-1, status:defense, val:2500, calc:add, animation:enemy_enhance_defense],[effect:fix_speed, target:myself, turn:1]</v>
      </c>
      <c r="U73" s="63">
        <f t="shared" si="45"/>
        <v>9</v>
      </c>
      <c r="V73" s="63">
        <f t="shared" si="46"/>
        <v>18</v>
      </c>
      <c r="W73" s="63">
        <f t="shared" si="47"/>
        <v>27</v>
      </c>
      <c r="X73" s="63">
        <f t="shared" si="48"/>
        <v>33</v>
      </c>
      <c r="Y73" s="63" t="str">
        <f>IFERROR(VLOOKUP(MID(T73,W73,X73-W73),[6]skilldef!$C:$D,2,FALSE),"-") &amp; " / " &amp; IFERROR(VLOOKUP(MID(T73,U73,V73-U73),[6]skilldef!$A:$B,2,FALSE),"-")</f>
        <v>自分自身に / 状態異常耐性</v>
      </c>
      <c r="Z73" s="50"/>
      <c r="AA73" s="52"/>
      <c r="AB73" s="50"/>
    </row>
    <row r="74" spans="1:28" ht="21" customHeight="1" x14ac:dyDescent="0.15">
      <c r="A74" s="106">
        <v>50004073</v>
      </c>
      <c r="B74" s="106" t="s">
        <v>274</v>
      </c>
      <c r="C74" s="107">
        <v>1</v>
      </c>
      <c r="D74" s="107" t="s">
        <v>127</v>
      </c>
      <c r="E74" s="108" t="s">
        <v>279</v>
      </c>
      <c r="F74" s="108" t="s">
        <v>235</v>
      </c>
      <c r="G74" s="63" t="str">
        <f t="shared" si="34"/>
        <v>[effect:tolerance, target:enemy_all, turn:-1, tolerance_effect:virus, count:-1]</v>
      </c>
      <c r="H74" s="63">
        <f t="shared" si="35"/>
        <v>9</v>
      </c>
      <c r="I74" s="63">
        <f t="shared" si="36"/>
        <v>18</v>
      </c>
      <c r="J74" s="63">
        <f t="shared" si="37"/>
        <v>27</v>
      </c>
      <c r="K74" s="63">
        <f t="shared" si="38"/>
        <v>36</v>
      </c>
      <c r="L74" s="63" t="str">
        <f>IFERROR(VLOOKUP(MID(G74,J74,K74-J74),[6]skilldef!$C:$D,2,FALSE),"-") &amp; " / " &amp; IFERROR(VLOOKUP(MID(G74,H74,I74-H74),[6]skilldef!$A:$B,2,FALSE),"-")</f>
        <v>敵全体に / 状態異常耐性</v>
      </c>
      <c r="M74" s="63" t="str">
        <f t="shared" si="39"/>
        <v>[effect:tolerance, target:enemy_all, turn:-1, tolerance_effect:hungup, count:-1],[effect:tolerance, target:enemy_all, turn:-1, tolerance_effect:sleep, count:-1, animation:enemy_tolerance],[effect:enhance_enemy, target:myself, turn:-1, status:defense, val:2500, calc:add, animation:enemy_enhance_defense],[effect:fix_speed, target:myself, turn:1]</v>
      </c>
      <c r="N74" s="48" t="str">
        <f t="shared" si="33"/>
        <v>[effect:tolerance, target:enemy_all, turn:-1, tolerance_effect:hungup, count:-1],[effect:tolerance, target:enemy_all, turn:-1, tolerance_effect:sleep, count:-1, animation:enemy_tolerance],[effect:enhance_enemy, target:myself, turn:-1, status:defense, val:2500, calc:add, animation:enemy_enhance_defense],[effect:fix_speed, target:myself, turn:1]</v>
      </c>
      <c r="O74" s="63">
        <f t="shared" si="40"/>
        <v>9</v>
      </c>
      <c r="P74" s="63">
        <f t="shared" si="41"/>
        <v>18</v>
      </c>
      <c r="Q74" s="63">
        <f t="shared" si="42"/>
        <v>27</v>
      </c>
      <c r="R74" s="63">
        <f t="shared" si="43"/>
        <v>36</v>
      </c>
      <c r="S74" s="63" t="str">
        <f>IFERROR(VLOOKUP(MID(N74,Q74,R74-Q74),[6]skilldef!$C:$D,2,FALSE),"-") &amp; " / " &amp; IFERROR(VLOOKUP(MID(N74,O74,P74-O74),[6]skilldef!$A:$B,2,FALSE),"-")</f>
        <v>敵全体に / 状態異常耐性</v>
      </c>
      <c r="T74" s="48" t="str">
        <f t="shared" si="44"/>
        <v>[effect:tolerance, target:enemy_all, turn:-1, tolerance_effect:sleep, count:-1, animation:enemy_tolerance],[effect:enhance_enemy, target:myself, turn:-1, status:defense, val:2500, calc:add, animation:enemy_enhance_defense],[effect:fix_speed, target:myself, turn:1]</v>
      </c>
      <c r="U74" s="63">
        <f t="shared" si="45"/>
        <v>9</v>
      </c>
      <c r="V74" s="63">
        <f t="shared" si="46"/>
        <v>18</v>
      </c>
      <c r="W74" s="63">
        <f t="shared" si="47"/>
        <v>27</v>
      </c>
      <c r="X74" s="63">
        <f t="shared" si="48"/>
        <v>36</v>
      </c>
      <c r="Y74" s="63" t="str">
        <f>IFERROR(VLOOKUP(MID(T74,W74,X74-W74),[6]skilldef!$C:$D,2,FALSE),"-") &amp; " / " &amp; IFERROR(VLOOKUP(MID(T74,U74,V74-U74),[6]skilldef!$A:$B,2,FALSE),"-")</f>
        <v>敵全体に / 状態異常耐性</v>
      </c>
      <c r="Z74" s="50"/>
      <c r="AA74" s="52"/>
      <c r="AB74" s="50"/>
    </row>
    <row r="75" spans="1:28" ht="21" customHeight="1" x14ac:dyDescent="0.15">
      <c r="A75" s="106">
        <v>50004074</v>
      </c>
      <c r="B75" s="106" t="s">
        <v>274</v>
      </c>
      <c r="C75" s="107">
        <v>1</v>
      </c>
      <c r="D75" s="107" t="s">
        <v>127</v>
      </c>
      <c r="E75" s="108" t="s">
        <v>279</v>
      </c>
      <c r="F75" s="108" t="s">
        <v>236</v>
      </c>
      <c r="G75" s="63" t="str">
        <f t="shared" si="34"/>
        <v>[effect:tolerance, target:enemy_all, turn:-1, tolerance_effect:virus, count:-1]</v>
      </c>
      <c r="H75" s="63">
        <f t="shared" si="35"/>
        <v>9</v>
      </c>
      <c r="I75" s="63">
        <f t="shared" si="36"/>
        <v>18</v>
      </c>
      <c r="J75" s="63">
        <f t="shared" si="37"/>
        <v>27</v>
      </c>
      <c r="K75" s="63">
        <f t="shared" si="38"/>
        <v>36</v>
      </c>
      <c r="L75" s="63" t="str">
        <f>IFERROR(VLOOKUP(MID(G75,J75,K75-J75),[6]skilldef!$C:$D,2,FALSE),"-") &amp; " / " &amp; IFERROR(VLOOKUP(MID(G75,H75,I75-H75),[6]skilldef!$A:$B,2,FALSE),"-")</f>
        <v>敵全体に / 状態異常耐性</v>
      </c>
      <c r="M75" s="63" t="str">
        <f t="shared" si="39"/>
        <v>[effect:tolerance, target:enemy_all, turn:-1, tolerance_effect:hungup, count:-1],[effect:tolerance, target:enemy_all, turn:-1, tolerance_effect:sleep, count:-1, animation:enemy_tolerance],[effect:enhance_enemy, target:myself, turn:-1, status:defense, val:2500, calc:add, animation:enemy_enhance_defense],[effect:fix_speed, target:myself, turn:1]</v>
      </c>
      <c r="N75" s="48" t="str">
        <f t="shared" si="33"/>
        <v>[effect:tolerance, target:enemy_all, turn:-1, tolerance_effect:hungup, count:-1],[effect:tolerance, target:enemy_all, turn:-1, tolerance_effect:sleep, count:-1, animation:enemy_tolerance],[effect:enhance_enemy, target:myself, turn:-1, status:defense, val:2500, calc:add, animation:enemy_enhance_defense],[effect:fix_speed, target:myself, turn:1]</v>
      </c>
      <c r="O75" s="63">
        <f t="shared" si="40"/>
        <v>9</v>
      </c>
      <c r="P75" s="63">
        <f t="shared" si="41"/>
        <v>18</v>
      </c>
      <c r="Q75" s="63">
        <f t="shared" si="42"/>
        <v>27</v>
      </c>
      <c r="R75" s="63">
        <f t="shared" si="43"/>
        <v>36</v>
      </c>
      <c r="S75" s="63" t="str">
        <f>IFERROR(VLOOKUP(MID(N75,Q75,R75-Q75),[6]skilldef!$C:$D,2,FALSE),"-") &amp; " / " &amp; IFERROR(VLOOKUP(MID(N75,O75,P75-O75),[6]skilldef!$A:$B,2,FALSE),"-")</f>
        <v>敵全体に / 状態異常耐性</v>
      </c>
      <c r="T75" s="48" t="str">
        <f t="shared" si="44"/>
        <v>[effect:tolerance, target:enemy_all, turn:-1, tolerance_effect:sleep, count:-1, animation:enemy_tolerance],[effect:enhance_enemy, target:myself, turn:-1, status:defense, val:2500, calc:add, animation:enemy_enhance_defense],[effect:fix_speed, target:myself, turn:1]</v>
      </c>
      <c r="U75" s="63">
        <f t="shared" si="45"/>
        <v>9</v>
      </c>
      <c r="V75" s="63">
        <f t="shared" si="46"/>
        <v>18</v>
      </c>
      <c r="W75" s="63">
        <f t="shared" si="47"/>
        <v>27</v>
      </c>
      <c r="X75" s="63">
        <f t="shared" si="48"/>
        <v>36</v>
      </c>
      <c r="Y75" s="63" t="str">
        <f>IFERROR(VLOOKUP(MID(T75,W75,X75-W75),[6]skilldef!$C:$D,2,FALSE),"-") &amp; " / " &amp; IFERROR(VLOOKUP(MID(T75,U75,V75-U75),[6]skilldef!$A:$B,2,FALSE),"-")</f>
        <v>敵全体に / 状態異常耐性</v>
      </c>
      <c r="Z75" s="50"/>
      <c r="AA75" s="52"/>
      <c r="AB75" s="50"/>
    </row>
    <row r="76" spans="1:28" ht="21" customHeight="1" x14ac:dyDescent="0.15">
      <c r="A76" s="106">
        <v>50004075</v>
      </c>
      <c r="B76" s="106" t="s">
        <v>274</v>
      </c>
      <c r="C76" s="107">
        <v>1</v>
      </c>
      <c r="D76" s="107" t="s">
        <v>127</v>
      </c>
      <c r="E76" s="108" t="s">
        <v>279</v>
      </c>
      <c r="F76" s="108" t="s">
        <v>238</v>
      </c>
      <c r="G76" s="63" t="str">
        <f t="shared" si="34"/>
        <v>[effect:tolerance, target:enemy_all, turn:-1, tolerance_effect:virus, count:-1]</v>
      </c>
      <c r="H76" s="63">
        <f t="shared" si="35"/>
        <v>9</v>
      </c>
      <c r="I76" s="63">
        <f t="shared" si="36"/>
        <v>18</v>
      </c>
      <c r="J76" s="63">
        <f t="shared" si="37"/>
        <v>27</v>
      </c>
      <c r="K76" s="63">
        <f t="shared" si="38"/>
        <v>36</v>
      </c>
      <c r="L76" s="63" t="str">
        <f>IFERROR(VLOOKUP(MID(G76,J76,K76-J76),[6]skilldef!$C:$D,2,FALSE),"-") &amp; " / " &amp; IFERROR(VLOOKUP(MID(G76,H76,I76-H76),[6]skilldef!$A:$B,2,FALSE),"-")</f>
        <v>敵全体に / 状態異常耐性</v>
      </c>
      <c r="M76" s="63" t="str">
        <f t="shared" si="39"/>
        <v>[effect:tolerance, target:enemy_all, turn:-1, tolerance_effect:hungup, count:-1],[effect:tolerance, target:enemy_all, turn:-1, tolerance_effect:sleep, count:-1, animation:enemy_tolerance],[effect:enhance_enemy, target:myself, turn:-1, status:defense, val:2500, calc:add, animation:enemy_enhance_defense],[effect:fix_speed, target:myself, turn:1]</v>
      </c>
      <c r="N76" s="48" t="str">
        <f t="shared" si="33"/>
        <v>[effect:tolerance, target:enemy_all, turn:-1, tolerance_effect:hungup, count:-1],[effect:tolerance, target:enemy_all, turn:-1, tolerance_effect:sleep, count:-1, animation:enemy_tolerance],[effect:enhance_enemy, target:myself, turn:-1, status:defense, val:2500, calc:add, animation:enemy_enhance_defense],[effect:fix_speed, target:myself, turn:1]</v>
      </c>
      <c r="O76" s="63">
        <f t="shared" si="40"/>
        <v>9</v>
      </c>
      <c r="P76" s="63">
        <f t="shared" si="41"/>
        <v>18</v>
      </c>
      <c r="Q76" s="63">
        <f t="shared" si="42"/>
        <v>27</v>
      </c>
      <c r="R76" s="63">
        <f t="shared" si="43"/>
        <v>36</v>
      </c>
      <c r="S76" s="63" t="str">
        <f>IFERROR(VLOOKUP(MID(N76,Q76,R76-Q76),[6]skilldef!$C:$D,2,FALSE),"-") &amp; " / " &amp; IFERROR(VLOOKUP(MID(N76,O76,P76-O76),[6]skilldef!$A:$B,2,FALSE),"-")</f>
        <v>敵全体に / 状態異常耐性</v>
      </c>
      <c r="T76" s="48" t="str">
        <f t="shared" si="44"/>
        <v>[effect:tolerance, target:enemy_all, turn:-1, tolerance_effect:sleep, count:-1, animation:enemy_tolerance],[effect:enhance_enemy, target:myself, turn:-1, status:defense, val:2500, calc:add, animation:enemy_enhance_defense],[effect:fix_speed, target:myself, turn:1]</v>
      </c>
      <c r="U76" s="63">
        <f t="shared" si="45"/>
        <v>9</v>
      </c>
      <c r="V76" s="63">
        <f t="shared" si="46"/>
        <v>18</v>
      </c>
      <c r="W76" s="63">
        <f t="shared" si="47"/>
        <v>27</v>
      </c>
      <c r="X76" s="63">
        <f t="shared" si="48"/>
        <v>36</v>
      </c>
      <c r="Y76" s="63" t="str">
        <f>IFERROR(VLOOKUP(MID(T76,W76,X76-W76),[6]skilldef!$C:$D,2,FALSE),"-") &amp; " / " &amp; IFERROR(VLOOKUP(MID(T76,U76,V76-U76),[6]skilldef!$A:$B,2,FALSE),"-")</f>
        <v>敵全体に / 状態異常耐性</v>
      </c>
      <c r="Z76" s="50"/>
      <c r="AA76" s="52"/>
      <c r="AB76" s="50"/>
    </row>
    <row r="77" spans="1:28" ht="21" customHeight="1" x14ac:dyDescent="0.15">
      <c r="A77" s="106">
        <v>50004076</v>
      </c>
      <c r="B77" s="106" t="s">
        <v>274</v>
      </c>
      <c r="C77" s="107">
        <v>1</v>
      </c>
      <c r="D77" s="107" t="s">
        <v>127</v>
      </c>
      <c r="E77" s="108" t="s">
        <v>279</v>
      </c>
      <c r="F77" s="108" t="s">
        <v>237</v>
      </c>
      <c r="G77" s="63" t="str">
        <f t="shared" si="34"/>
        <v>[effect:tolerance, target:enemy_all, turn:-1, tolerance_effect:virus, count:-1]</v>
      </c>
      <c r="H77" s="63">
        <f t="shared" si="35"/>
        <v>9</v>
      </c>
      <c r="I77" s="63">
        <f t="shared" si="36"/>
        <v>18</v>
      </c>
      <c r="J77" s="63">
        <f t="shared" si="37"/>
        <v>27</v>
      </c>
      <c r="K77" s="63">
        <f t="shared" si="38"/>
        <v>36</v>
      </c>
      <c r="L77" s="63" t="str">
        <f>IFERROR(VLOOKUP(MID(G77,J77,K77-J77),[6]skilldef!$C:$D,2,FALSE),"-") &amp; " / " &amp; IFERROR(VLOOKUP(MID(G77,H77,I77-H77),[6]skilldef!$A:$B,2,FALSE),"-")</f>
        <v>敵全体に / 状態異常耐性</v>
      </c>
      <c r="M77" s="63" t="str">
        <f t="shared" si="39"/>
        <v>[effect:tolerance, target:enemy_all, turn:-1, tolerance_effect:hungup, count:-1],[effect:tolerance, target:enemy_all, turn:-1, tolerance_effect:sleep, count:-1, animation:enemy_tolerance],[effect:enhance_enemy, target:myself, turn:-1, status:defense, val:2500, calc:add, animation:enemy_enhance_defense],[effect:fix_speed, target:myself, turn:1]</v>
      </c>
      <c r="N77" s="48" t="str">
        <f t="shared" si="33"/>
        <v>[effect:tolerance, target:enemy_all, turn:-1, tolerance_effect:hungup, count:-1],[effect:tolerance, target:enemy_all, turn:-1, tolerance_effect:sleep, count:-1, animation:enemy_tolerance],[effect:enhance_enemy, target:myself, turn:-1, status:defense, val:2500, calc:add, animation:enemy_enhance_defense],[effect:fix_speed, target:myself, turn:1]</v>
      </c>
      <c r="O77" s="63">
        <f t="shared" si="40"/>
        <v>9</v>
      </c>
      <c r="P77" s="63">
        <f t="shared" si="41"/>
        <v>18</v>
      </c>
      <c r="Q77" s="63">
        <f t="shared" si="42"/>
        <v>27</v>
      </c>
      <c r="R77" s="63">
        <f t="shared" si="43"/>
        <v>36</v>
      </c>
      <c r="S77" s="63" t="str">
        <f>IFERROR(VLOOKUP(MID(N77,Q77,R77-Q77),[6]skilldef!$C:$D,2,FALSE),"-") &amp; " / " &amp; IFERROR(VLOOKUP(MID(N77,O77,P77-O77),[6]skilldef!$A:$B,2,FALSE),"-")</f>
        <v>敵全体に / 状態異常耐性</v>
      </c>
      <c r="T77" s="48" t="str">
        <f t="shared" si="44"/>
        <v>[effect:tolerance, target:enemy_all, turn:-1, tolerance_effect:sleep, count:-1, animation:enemy_tolerance],[effect:enhance_enemy, target:myself, turn:-1, status:defense, val:2500, calc:add, animation:enemy_enhance_defense],[effect:fix_speed, target:myself, turn:1]</v>
      </c>
      <c r="U77" s="63">
        <f t="shared" si="45"/>
        <v>9</v>
      </c>
      <c r="V77" s="63">
        <f t="shared" si="46"/>
        <v>18</v>
      </c>
      <c r="W77" s="63">
        <f t="shared" si="47"/>
        <v>27</v>
      </c>
      <c r="X77" s="63">
        <f t="shared" si="48"/>
        <v>36</v>
      </c>
      <c r="Y77" s="63" t="str">
        <f>IFERROR(VLOOKUP(MID(T77,W77,X77-W77),[6]skilldef!$C:$D,2,FALSE),"-") &amp; " / " &amp; IFERROR(VLOOKUP(MID(T77,U77,V77-U77),[6]skilldef!$A:$B,2,FALSE),"-")</f>
        <v>敵全体に / 状態異常耐性</v>
      </c>
      <c r="Z77" s="50"/>
      <c r="AA77" s="52"/>
      <c r="AB77" s="50"/>
    </row>
    <row r="78" spans="1:28" ht="21" customHeight="1" x14ac:dyDescent="0.15">
      <c r="A78" s="47">
        <v>50004077</v>
      </c>
      <c r="B78" s="47" t="s">
        <v>425</v>
      </c>
      <c r="C78" s="50">
        <v>3</v>
      </c>
      <c r="D78" s="50" t="s">
        <v>127</v>
      </c>
      <c r="E78" s="51" t="s">
        <v>369</v>
      </c>
      <c r="F78" s="51" t="s">
        <v>367</v>
      </c>
      <c r="G78" s="63" t="str">
        <f t="shared" si="34"/>
        <v>[effect:rush, count:3, val:0.5]</v>
      </c>
      <c r="H78" s="63">
        <f t="shared" si="35"/>
        <v>9</v>
      </c>
      <c r="I78" s="63">
        <f t="shared" si="36"/>
        <v>13</v>
      </c>
      <c r="J78" s="63" t="e">
        <f t="shared" si="37"/>
        <v>#VALUE!</v>
      </c>
      <c r="K78" s="63">
        <f t="shared" si="38"/>
        <v>22</v>
      </c>
      <c r="L78" s="63" t="str">
        <f>IFERROR(VLOOKUP(MID(G78,J78,K78-J78),[6]skilldef!$C:$D,2,FALSE),"-") &amp; " / " &amp; IFERROR(VLOOKUP(MID(G78,H78,I78-H78),[6]skilldef!$A:$B,2,FALSE),"-")</f>
        <v>- / 連続攻撃</v>
      </c>
      <c r="M78" s="63" t="str">
        <f t="shared" si="39"/>
        <v>none</v>
      </c>
      <c r="N78" s="48" t="str">
        <f t="shared" si="33"/>
        <v>none</v>
      </c>
      <c r="O78" s="63" t="e">
        <f t="shared" si="40"/>
        <v>#VALUE!</v>
      </c>
      <c r="P78" s="63">
        <f t="shared" si="41"/>
        <v>4</v>
      </c>
      <c r="Q78" s="63" t="e">
        <f t="shared" si="42"/>
        <v>#VALUE!</v>
      </c>
      <c r="R78" s="63" t="e">
        <f t="shared" si="43"/>
        <v>#VALUE!</v>
      </c>
      <c r="S78" s="63" t="str">
        <f>IFERROR(VLOOKUP(MID(N78,Q78,R78-Q78),[6]skilldef!$C:$D,2,FALSE),"-") &amp; " / " &amp; IFERROR(VLOOKUP(MID(N78,O78,P78-O78),[6]skilldef!$A:$B,2,FALSE),"-")</f>
        <v>- / -</v>
      </c>
      <c r="T78" s="48" t="str">
        <f t="shared" si="44"/>
        <v>none</v>
      </c>
      <c r="U78" s="63" t="e">
        <f t="shared" si="45"/>
        <v>#VALUE!</v>
      </c>
      <c r="V78" s="63">
        <f t="shared" si="46"/>
        <v>4</v>
      </c>
      <c r="W78" s="63" t="e">
        <f t="shared" si="47"/>
        <v>#VALUE!</v>
      </c>
      <c r="X78" s="63" t="e">
        <f t="shared" si="48"/>
        <v>#VALUE!</v>
      </c>
      <c r="Y78" s="63" t="str">
        <f>IFERROR(VLOOKUP(MID(T78,W78,X78-W78),[6]skilldef!$C:$D,2,FALSE),"-") &amp; " / " &amp; IFERROR(VLOOKUP(MID(T78,U78,V78-U78),[6]skilldef!$A:$B,2,FALSE),"-")</f>
        <v>- / -</v>
      </c>
      <c r="Z78" s="50"/>
      <c r="AA78" s="52"/>
      <c r="AB78" s="50"/>
    </row>
    <row r="79" spans="1:28" ht="21" customHeight="1" x14ac:dyDescent="0.15">
      <c r="A79" s="47">
        <v>50004078</v>
      </c>
      <c r="B79" s="47" t="s">
        <v>409</v>
      </c>
      <c r="C79" s="50">
        <v>3</v>
      </c>
      <c r="D79" s="50" t="s">
        <v>127</v>
      </c>
      <c r="E79" s="51" t="s">
        <v>370</v>
      </c>
      <c r="F79" s="51" t="s">
        <v>368</v>
      </c>
      <c r="G79" s="63" t="str">
        <f t="shared" si="34"/>
        <v>[effect:rush, count:2, val:0.5]</v>
      </c>
      <c r="H79" s="63">
        <f t="shared" si="35"/>
        <v>9</v>
      </c>
      <c r="I79" s="63">
        <f t="shared" si="36"/>
        <v>13</v>
      </c>
      <c r="J79" s="63" t="e">
        <f t="shared" si="37"/>
        <v>#VALUE!</v>
      </c>
      <c r="K79" s="63">
        <f t="shared" si="38"/>
        <v>22</v>
      </c>
      <c r="L79" s="63" t="str">
        <f>IFERROR(VLOOKUP(MID(G79,J79,K79-J79),[6]skilldef!$C:$D,2,FALSE),"-") &amp; " / " &amp; IFERROR(VLOOKUP(MID(G79,H79,I79-H79),[6]skilldef!$A:$B,2,FALSE),"-")</f>
        <v>- / 連続攻撃</v>
      </c>
      <c r="M79" s="63" t="str">
        <f t="shared" si="39"/>
        <v>none</v>
      </c>
      <c r="N79" s="48" t="str">
        <f t="shared" si="33"/>
        <v>none</v>
      </c>
      <c r="O79" s="63" t="e">
        <f t="shared" si="40"/>
        <v>#VALUE!</v>
      </c>
      <c r="P79" s="63">
        <f t="shared" si="41"/>
        <v>4</v>
      </c>
      <c r="Q79" s="63" t="e">
        <f t="shared" si="42"/>
        <v>#VALUE!</v>
      </c>
      <c r="R79" s="63" t="e">
        <f t="shared" si="43"/>
        <v>#VALUE!</v>
      </c>
      <c r="S79" s="63" t="str">
        <f>IFERROR(VLOOKUP(MID(N79,Q79,R79-Q79),[6]skilldef!$C:$D,2,FALSE),"-") &amp; " / " &amp; IFERROR(VLOOKUP(MID(N79,O79,P79-O79),[6]skilldef!$A:$B,2,FALSE),"-")</f>
        <v>- / -</v>
      </c>
      <c r="T79" s="48" t="str">
        <f t="shared" si="44"/>
        <v>none</v>
      </c>
      <c r="U79" s="63" t="e">
        <f t="shared" si="45"/>
        <v>#VALUE!</v>
      </c>
      <c r="V79" s="63">
        <f t="shared" si="46"/>
        <v>4</v>
      </c>
      <c r="W79" s="63" t="e">
        <f t="shared" si="47"/>
        <v>#VALUE!</v>
      </c>
      <c r="X79" s="63" t="e">
        <f t="shared" si="48"/>
        <v>#VALUE!</v>
      </c>
      <c r="Y79" s="63" t="str">
        <f>IFERROR(VLOOKUP(MID(T79,W79,X79-W79),[6]skilldef!$C:$D,2,FALSE),"-") &amp; " / " &amp; IFERROR(VLOOKUP(MID(T79,U79,V79-U79),[6]skilldef!$A:$B,2,FALSE),"-")</f>
        <v>- / -</v>
      </c>
      <c r="Z79" s="50"/>
      <c r="AA79" s="52"/>
      <c r="AB79" s="50"/>
    </row>
    <row r="80" spans="1:28" ht="21" customHeight="1" x14ac:dyDescent="0.15">
      <c r="A80" s="47">
        <v>50004079</v>
      </c>
      <c r="B80" s="47" t="s">
        <v>412</v>
      </c>
      <c r="C80" s="50">
        <v>3</v>
      </c>
      <c r="D80" s="50" t="s">
        <v>127</v>
      </c>
      <c r="E80" s="51" t="s">
        <v>371</v>
      </c>
      <c r="F80" s="51" t="s">
        <v>372</v>
      </c>
      <c r="G80" s="63" t="str">
        <f t="shared" si="34"/>
        <v>[effect:enemy_message, val1:1.2, val2:2.4]</v>
      </c>
      <c r="H80" s="63">
        <f t="shared" si="35"/>
        <v>9</v>
      </c>
      <c r="I80" s="63">
        <f t="shared" si="36"/>
        <v>22</v>
      </c>
      <c r="J80" s="63" t="e">
        <f t="shared" si="37"/>
        <v>#VALUE!</v>
      </c>
      <c r="K80" s="63">
        <f t="shared" si="38"/>
        <v>32</v>
      </c>
      <c r="L80" s="63" t="str">
        <f>IFERROR(VLOOKUP(MID(G80,J80,K80-J80),[6]skilldef!$C:$D,2,FALSE),"-") &amp; " / " &amp; IFERROR(VLOOKUP(MID(G80,H80,I80-H80),[6]skilldef!$A:$B,2,FALSE),"-")</f>
        <v>- / -</v>
      </c>
      <c r="M80" s="63" t="str">
        <f t="shared" si="39"/>
        <v>[effect:remove_enhancement, target:unit_all, target_effect:all, target_type:buff, animation:frozen_wave],[effect:critical, val:10]</v>
      </c>
      <c r="N80" s="48" t="str">
        <f t="shared" si="33"/>
        <v>[effect:remove_enhancement, target:unit_all, target_effect:all, target_type:buff, animation:frozen_wave],[effect:critical, val:10]</v>
      </c>
      <c r="O80" s="63">
        <f t="shared" si="40"/>
        <v>9</v>
      </c>
      <c r="P80" s="63">
        <f t="shared" si="41"/>
        <v>27</v>
      </c>
      <c r="Q80" s="63">
        <f t="shared" si="42"/>
        <v>36</v>
      </c>
      <c r="R80" s="63">
        <f t="shared" si="43"/>
        <v>44</v>
      </c>
      <c r="S80" s="63" t="str">
        <f>IFERROR(VLOOKUP(MID(N80,Q80,R80-Q80),[6]skilldef!$C:$D,2,FALSE),"-") &amp; " / " &amp; IFERROR(VLOOKUP(MID(N80,O80,P80-O80),[6]skilldef!$A:$B,2,FALSE),"-")</f>
        <v>味方全体に / -</v>
      </c>
      <c r="T80" s="48" t="str">
        <f t="shared" si="44"/>
        <v>[effect:critical, val:10]</v>
      </c>
      <c r="U80" s="63">
        <f t="shared" si="45"/>
        <v>9</v>
      </c>
      <c r="V80" s="63">
        <f t="shared" si="46"/>
        <v>17</v>
      </c>
      <c r="W80" s="63" t="e">
        <f t="shared" si="47"/>
        <v>#VALUE!</v>
      </c>
      <c r="X80" s="63" t="e">
        <f t="shared" si="48"/>
        <v>#VALUE!</v>
      </c>
      <c r="Y80" s="63" t="str">
        <f>IFERROR(VLOOKUP(MID(T80,W80,X80-W80),[6]skilldef!$C:$D,2,FALSE),"-") &amp; " / " &amp; IFERROR(VLOOKUP(MID(T80,U80,V80-U80),[6]skilldef!$A:$B,2,FALSE),"-")</f>
        <v>- / 大攻撃</v>
      </c>
      <c r="Z80" s="50"/>
      <c r="AA80" s="52"/>
      <c r="AB80" s="50"/>
    </row>
    <row r="81" spans="1:28" ht="21" customHeight="1" x14ac:dyDescent="0.15">
      <c r="A81" s="47">
        <v>50004080</v>
      </c>
      <c r="B81" s="47" t="s">
        <v>414</v>
      </c>
      <c r="C81" s="50">
        <v>3</v>
      </c>
      <c r="D81" s="50" t="s">
        <v>127</v>
      </c>
      <c r="E81" s="51" t="s">
        <v>388</v>
      </c>
      <c r="F81" s="51" t="s">
        <v>389</v>
      </c>
      <c r="G81" s="63" t="str">
        <f t="shared" si="34"/>
        <v>[effect:enemy_message, val1:2, val2:2.5, dead_type:suicide]</v>
      </c>
      <c r="H81" s="63">
        <f t="shared" si="35"/>
        <v>9</v>
      </c>
      <c r="I81" s="63">
        <f t="shared" si="36"/>
        <v>22</v>
      </c>
      <c r="J81" s="63" t="e">
        <f t="shared" si="37"/>
        <v>#VALUE!</v>
      </c>
      <c r="K81" s="63">
        <f t="shared" si="38"/>
        <v>30</v>
      </c>
      <c r="L81" s="63" t="str">
        <f>IFERROR(VLOOKUP(MID(G81,J81,K81-J81),[6]skilldef!$C:$D,2,FALSE),"-") &amp; " / " &amp; IFERROR(VLOOKUP(MID(G81,H81,I81-H81),[6]skilldef!$A:$B,2,FALSE),"-")</f>
        <v>- / -</v>
      </c>
      <c r="M81" s="63" t="str">
        <f t="shared" si="39"/>
        <v>none</v>
      </c>
      <c r="N81" s="48" t="str">
        <f t="shared" si="33"/>
        <v>none</v>
      </c>
      <c r="O81" s="63" t="e">
        <f t="shared" si="40"/>
        <v>#VALUE!</v>
      </c>
      <c r="P81" s="63">
        <f t="shared" si="41"/>
        <v>4</v>
      </c>
      <c r="Q81" s="63" t="e">
        <f t="shared" si="42"/>
        <v>#VALUE!</v>
      </c>
      <c r="R81" s="63" t="e">
        <f t="shared" si="43"/>
        <v>#VALUE!</v>
      </c>
      <c r="S81" s="63" t="str">
        <f>IFERROR(VLOOKUP(MID(N81,Q81,R81-Q81),[6]skilldef!$C:$D,2,FALSE),"-") &amp; " / " &amp; IFERROR(VLOOKUP(MID(N81,O81,P81-O81),[6]skilldef!$A:$B,2,FALSE),"-")</f>
        <v>- / -</v>
      </c>
      <c r="T81" s="48" t="str">
        <f t="shared" si="44"/>
        <v>none</v>
      </c>
      <c r="U81" s="63" t="e">
        <f t="shared" si="45"/>
        <v>#VALUE!</v>
      </c>
      <c r="V81" s="63">
        <f t="shared" si="46"/>
        <v>4</v>
      </c>
      <c r="W81" s="63" t="e">
        <f t="shared" si="47"/>
        <v>#VALUE!</v>
      </c>
      <c r="X81" s="63" t="e">
        <f t="shared" si="48"/>
        <v>#VALUE!</v>
      </c>
      <c r="Y81" s="63" t="str">
        <f>IFERROR(VLOOKUP(MID(T81,W81,X81-W81),[6]skilldef!$C:$D,2,FALSE),"-") &amp; " / " &amp; IFERROR(VLOOKUP(MID(T81,U81,V81-U81),[6]skilldef!$A:$B,2,FALSE),"-")</f>
        <v>- / -</v>
      </c>
      <c r="Z81" s="50"/>
      <c r="AA81" s="52"/>
      <c r="AB81" s="50"/>
    </row>
    <row r="82" spans="1:28" ht="21" customHeight="1" x14ac:dyDescent="0.15">
      <c r="A82" s="106">
        <v>50004081</v>
      </c>
      <c r="B82" s="106" t="s">
        <v>271</v>
      </c>
      <c r="C82" s="107">
        <v>1</v>
      </c>
      <c r="D82" s="107" t="s">
        <v>127</v>
      </c>
      <c r="E82" s="108" t="s">
        <v>279</v>
      </c>
      <c r="F82" s="108" t="s">
        <v>239</v>
      </c>
      <c r="G82" s="63" t="str">
        <f t="shared" si="34"/>
        <v>[effect:enemy_message, val1:2, val2:2, dead_type:suicide]</v>
      </c>
      <c r="H82" s="63">
        <f t="shared" si="35"/>
        <v>9</v>
      </c>
      <c r="I82" s="63">
        <f t="shared" si="36"/>
        <v>22</v>
      </c>
      <c r="J82" s="63" t="e">
        <f t="shared" si="37"/>
        <v>#VALUE!</v>
      </c>
      <c r="K82" s="63">
        <f t="shared" si="38"/>
        <v>30</v>
      </c>
      <c r="L82" s="63" t="str">
        <f>IFERROR(VLOOKUP(MID(G82,J82,K82-J82),[6]skilldef!$C:$D,2,FALSE),"-") &amp; " / " &amp; IFERROR(VLOOKUP(MID(G82,H82,I82-H82),[6]skilldef!$A:$B,2,FALSE),"-")</f>
        <v>- / -</v>
      </c>
      <c r="M82" s="63" t="str">
        <f t="shared" si="39"/>
        <v>none</v>
      </c>
      <c r="N82" s="48" t="str">
        <f t="shared" si="33"/>
        <v>none</v>
      </c>
      <c r="O82" s="63" t="e">
        <f t="shared" si="40"/>
        <v>#VALUE!</v>
      </c>
      <c r="P82" s="63">
        <f t="shared" si="41"/>
        <v>4</v>
      </c>
      <c r="Q82" s="63" t="e">
        <f t="shared" si="42"/>
        <v>#VALUE!</v>
      </c>
      <c r="R82" s="63" t="e">
        <f t="shared" si="43"/>
        <v>#VALUE!</v>
      </c>
      <c r="S82" s="63" t="str">
        <f>IFERROR(VLOOKUP(MID(N82,Q82,R82-Q82),[6]skilldef!$C:$D,2,FALSE),"-") &amp; " / " &amp; IFERROR(VLOOKUP(MID(N82,O82,P82-O82),[6]skilldef!$A:$B,2,FALSE),"-")</f>
        <v>- / -</v>
      </c>
      <c r="T82" s="48" t="str">
        <f t="shared" si="44"/>
        <v>none</v>
      </c>
      <c r="U82" s="63" t="e">
        <f t="shared" si="45"/>
        <v>#VALUE!</v>
      </c>
      <c r="V82" s="63">
        <f t="shared" si="46"/>
        <v>4</v>
      </c>
      <c r="W82" s="63" t="e">
        <f t="shared" si="47"/>
        <v>#VALUE!</v>
      </c>
      <c r="X82" s="63" t="e">
        <f t="shared" si="48"/>
        <v>#VALUE!</v>
      </c>
      <c r="Y82" s="63" t="str">
        <f>IFERROR(VLOOKUP(MID(T82,W82,X82-W82),[6]skilldef!$C:$D,2,FALSE),"-") &amp; " / " &amp; IFERROR(VLOOKUP(MID(T82,U82,V82-U82),[6]skilldef!$A:$B,2,FALSE),"-")</f>
        <v>- / -</v>
      </c>
      <c r="Z82" s="50"/>
      <c r="AA82" s="52"/>
      <c r="AB82" s="50"/>
    </row>
    <row r="83" spans="1:28" ht="21" customHeight="1" x14ac:dyDescent="0.15">
      <c r="A83" s="106">
        <v>50004082</v>
      </c>
      <c r="B83" s="106" t="s">
        <v>271</v>
      </c>
      <c r="C83" s="107">
        <v>1</v>
      </c>
      <c r="D83" s="107" t="s">
        <v>127</v>
      </c>
      <c r="E83" s="108" t="s">
        <v>279</v>
      </c>
      <c r="F83" s="108" t="s">
        <v>240</v>
      </c>
      <c r="G83" s="63" t="str">
        <f t="shared" ref="G83:G142" si="49">IFERROR(LEFT(B83,FIND("],",B83)),B83)</f>
        <v>[effect:enemy_message, val1:2, val2:2, dead_type:suicide]</v>
      </c>
      <c r="H83" s="63">
        <f t="shared" ref="H83:H142" si="50">FIND("effect:",G83)+7</f>
        <v>9</v>
      </c>
      <c r="I83" s="63">
        <f t="shared" ref="I83:I142" si="51">IFERROR(FIND(",",G83),LEN(G83))</f>
        <v>22</v>
      </c>
      <c r="J83" s="63" t="e">
        <f t="shared" ref="J83:J142" si="52">FIND("target:",G83)+7</f>
        <v>#VALUE!</v>
      </c>
      <c r="K83" s="63">
        <f t="shared" ref="K83:K142" si="53">FIND(",",G83,I83+1)</f>
        <v>30</v>
      </c>
      <c r="L83" s="63" t="str">
        <f>IFERROR(VLOOKUP(MID(G83,J83,K83-J83),[6]skilldef!$C:$D,2,FALSE),"-") &amp; " / " &amp; IFERROR(VLOOKUP(MID(G83,H83,I83-H83),[6]skilldef!$A:$B,2,FALSE),"-")</f>
        <v>- / -</v>
      </c>
      <c r="M83" s="63" t="str">
        <f t="shared" ref="M83:M142" si="54">IFERROR(RIGHT(B83,LEN(B83)-FIND("],",B83)-1),"none")</f>
        <v>none</v>
      </c>
      <c r="N83" s="48" t="str">
        <f t="shared" ref="N83:N132" si="55">IFERROR(LEFT(M83,FIND("],",M83)+S93),M83)</f>
        <v>none</v>
      </c>
      <c r="O83" s="63" t="e">
        <f t="shared" ref="O83:O142" si="56">FIND("effect:",N83)+7</f>
        <v>#VALUE!</v>
      </c>
      <c r="P83" s="63">
        <f t="shared" ref="P83:P142" si="57">IFERROR(FIND(",",N83),LEN(N83))</f>
        <v>4</v>
      </c>
      <c r="Q83" s="63" t="e">
        <f t="shared" ref="Q83:Q142" si="58">FIND("target:",N83)+7</f>
        <v>#VALUE!</v>
      </c>
      <c r="R83" s="63" t="e">
        <f t="shared" ref="R83:R142" si="59">FIND(",",N83,P83+1)</f>
        <v>#VALUE!</v>
      </c>
      <c r="S83" s="63" t="str">
        <f>IFERROR(VLOOKUP(MID(N83,Q83,R83-Q83),[6]skilldef!$C:$D,2,FALSE),"-") &amp; " / " &amp; IFERROR(VLOOKUP(MID(N83,O83,P83-O83),[6]skilldef!$A:$B,2,FALSE),"-")</f>
        <v>- / -</v>
      </c>
      <c r="T83" s="48" t="str">
        <f t="shared" ref="T83:T142" si="60">IFERROR(RIGHT(M83,LEN(M83)-FIND("],",M83)-1),"none")</f>
        <v>none</v>
      </c>
      <c r="U83" s="63" t="e">
        <f t="shared" ref="U83:U142" si="61">FIND("effect:",T83)+7</f>
        <v>#VALUE!</v>
      </c>
      <c r="V83" s="63">
        <f t="shared" ref="V83:V142" si="62">IFERROR(FIND(",",T83),LEN(T83))</f>
        <v>4</v>
      </c>
      <c r="W83" s="63" t="e">
        <f t="shared" ref="W83:W142" si="63">FIND("target:",T83)+7</f>
        <v>#VALUE!</v>
      </c>
      <c r="X83" s="63" t="e">
        <f t="shared" ref="X83:X142" si="64">FIND(",",T83,V83+1)</f>
        <v>#VALUE!</v>
      </c>
      <c r="Y83" s="63" t="str">
        <f>IFERROR(VLOOKUP(MID(T83,W83,X83-W83),[6]skilldef!$C:$D,2,FALSE),"-") &amp; " / " &amp; IFERROR(VLOOKUP(MID(T83,U83,V83-U83),[6]skilldef!$A:$B,2,FALSE),"-")</f>
        <v>- / -</v>
      </c>
      <c r="Z83" s="50"/>
      <c r="AA83" s="52"/>
      <c r="AB83" s="50"/>
    </row>
    <row r="84" spans="1:28" ht="21" customHeight="1" x14ac:dyDescent="0.15">
      <c r="A84" s="106">
        <v>50004083</v>
      </c>
      <c r="B84" s="106" t="s">
        <v>271</v>
      </c>
      <c r="C84" s="107">
        <v>1</v>
      </c>
      <c r="D84" s="107" t="s">
        <v>127</v>
      </c>
      <c r="E84" s="108" t="s">
        <v>279</v>
      </c>
      <c r="F84" s="108" t="s">
        <v>241</v>
      </c>
      <c r="G84" s="63" t="str">
        <f t="shared" si="49"/>
        <v>[effect:enemy_message, val1:2, val2:2, dead_type:suicide]</v>
      </c>
      <c r="H84" s="63">
        <f t="shared" si="50"/>
        <v>9</v>
      </c>
      <c r="I84" s="63">
        <f t="shared" si="51"/>
        <v>22</v>
      </c>
      <c r="J84" s="63" t="e">
        <f t="shared" si="52"/>
        <v>#VALUE!</v>
      </c>
      <c r="K84" s="63">
        <f t="shared" si="53"/>
        <v>30</v>
      </c>
      <c r="L84" s="63" t="str">
        <f>IFERROR(VLOOKUP(MID(G84,J84,K84-J84),[6]skilldef!$C:$D,2,FALSE),"-") &amp; " / " &amp; IFERROR(VLOOKUP(MID(G84,H84,I84-H84),[6]skilldef!$A:$B,2,FALSE),"-")</f>
        <v>- / -</v>
      </c>
      <c r="M84" s="63" t="str">
        <f t="shared" si="54"/>
        <v>none</v>
      </c>
      <c r="N84" s="48" t="str">
        <f t="shared" si="55"/>
        <v>none</v>
      </c>
      <c r="O84" s="63" t="e">
        <f t="shared" si="56"/>
        <v>#VALUE!</v>
      </c>
      <c r="P84" s="63">
        <f t="shared" si="57"/>
        <v>4</v>
      </c>
      <c r="Q84" s="63" t="e">
        <f t="shared" si="58"/>
        <v>#VALUE!</v>
      </c>
      <c r="R84" s="63" t="e">
        <f t="shared" si="59"/>
        <v>#VALUE!</v>
      </c>
      <c r="S84" s="63" t="str">
        <f>IFERROR(VLOOKUP(MID(N84,Q84,R84-Q84),[6]skilldef!$C:$D,2,FALSE),"-") &amp; " / " &amp; IFERROR(VLOOKUP(MID(N84,O84,P84-O84),[6]skilldef!$A:$B,2,FALSE),"-")</f>
        <v>- / -</v>
      </c>
      <c r="T84" s="48" t="str">
        <f t="shared" si="60"/>
        <v>none</v>
      </c>
      <c r="U84" s="63" t="e">
        <f t="shared" si="61"/>
        <v>#VALUE!</v>
      </c>
      <c r="V84" s="63">
        <f t="shared" si="62"/>
        <v>4</v>
      </c>
      <c r="W84" s="63" t="e">
        <f t="shared" si="63"/>
        <v>#VALUE!</v>
      </c>
      <c r="X84" s="63" t="e">
        <f t="shared" si="64"/>
        <v>#VALUE!</v>
      </c>
      <c r="Y84" s="63" t="str">
        <f>IFERROR(VLOOKUP(MID(T84,W84,X84-W84),[6]skilldef!$C:$D,2,FALSE),"-") &amp; " / " &amp; IFERROR(VLOOKUP(MID(T84,U84,V84-U84),[6]skilldef!$A:$B,2,FALSE),"-")</f>
        <v>- / -</v>
      </c>
      <c r="Z84" s="50"/>
      <c r="AA84" s="52"/>
      <c r="AB84" s="50"/>
    </row>
    <row r="85" spans="1:28" ht="21" customHeight="1" x14ac:dyDescent="0.15">
      <c r="A85" s="106">
        <v>50004084</v>
      </c>
      <c r="B85" s="106" t="s">
        <v>271</v>
      </c>
      <c r="C85" s="107">
        <v>1</v>
      </c>
      <c r="D85" s="107" t="s">
        <v>127</v>
      </c>
      <c r="E85" s="108" t="s">
        <v>279</v>
      </c>
      <c r="F85" s="108" t="s">
        <v>242</v>
      </c>
      <c r="G85" s="63" t="str">
        <f t="shared" si="49"/>
        <v>[effect:enemy_message, val1:2, val2:2, dead_type:suicide]</v>
      </c>
      <c r="H85" s="63">
        <f t="shared" si="50"/>
        <v>9</v>
      </c>
      <c r="I85" s="63">
        <f t="shared" si="51"/>
        <v>22</v>
      </c>
      <c r="J85" s="63" t="e">
        <f t="shared" si="52"/>
        <v>#VALUE!</v>
      </c>
      <c r="K85" s="63">
        <f t="shared" si="53"/>
        <v>30</v>
      </c>
      <c r="L85" s="63" t="str">
        <f>IFERROR(VLOOKUP(MID(G85,J85,K85-J85),[6]skilldef!$C:$D,2,FALSE),"-") &amp; " / " &amp; IFERROR(VLOOKUP(MID(G85,H85,I85-H85),[6]skilldef!$A:$B,2,FALSE),"-")</f>
        <v>- / -</v>
      </c>
      <c r="M85" s="63" t="str">
        <f t="shared" si="54"/>
        <v>none</v>
      </c>
      <c r="N85" s="48" t="str">
        <f t="shared" si="55"/>
        <v>none</v>
      </c>
      <c r="O85" s="63" t="e">
        <f t="shared" si="56"/>
        <v>#VALUE!</v>
      </c>
      <c r="P85" s="63">
        <f t="shared" si="57"/>
        <v>4</v>
      </c>
      <c r="Q85" s="63" t="e">
        <f t="shared" si="58"/>
        <v>#VALUE!</v>
      </c>
      <c r="R85" s="63" t="e">
        <f t="shared" si="59"/>
        <v>#VALUE!</v>
      </c>
      <c r="S85" s="63" t="str">
        <f>IFERROR(VLOOKUP(MID(N85,Q85,R85-Q85),[6]skilldef!$C:$D,2,FALSE),"-") &amp; " / " &amp; IFERROR(VLOOKUP(MID(N85,O85,P85-O85),[6]skilldef!$A:$B,2,FALSE),"-")</f>
        <v>- / -</v>
      </c>
      <c r="T85" s="48" t="str">
        <f t="shared" si="60"/>
        <v>none</v>
      </c>
      <c r="U85" s="63" t="e">
        <f t="shared" si="61"/>
        <v>#VALUE!</v>
      </c>
      <c r="V85" s="63">
        <f t="shared" si="62"/>
        <v>4</v>
      </c>
      <c r="W85" s="63" t="e">
        <f t="shared" si="63"/>
        <v>#VALUE!</v>
      </c>
      <c r="X85" s="63" t="e">
        <f t="shared" si="64"/>
        <v>#VALUE!</v>
      </c>
      <c r="Y85" s="63" t="str">
        <f>IFERROR(VLOOKUP(MID(T85,W85,X85-W85),[6]skilldef!$C:$D,2,FALSE),"-") &amp; " / " &amp; IFERROR(VLOOKUP(MID(T85,U85,V85-U85),[6]skilldef!$A:$B,2,FALSE),"-")</f>
        <v>- / -</v>
      </c>
      <c r="Z85" s="50"/>
      <c r="AA85" s="52"/>
      <c r="AB85" s="50"/>
    </row>
    <row r="86" spans="1:28" ht="21" customHeight="1" x14ac:dyDescent="0.15">
      <c r="A86" s="106">
        <v>50004085</v>
      </c>
      <c r="B86" s="106" t="s">
        <v>262</v>
      </c>
      <c r="C86" s="107">
        <v>1</v>
      </c>
      <c r="D86" s="107" t="s">
        <v>127</v>
      </c>
      <c r="E86" s="108" t="s">
        <v>234</v>
      </c>
      <c r="F86" s="108" t="s">
        <v>217</v>
      </c>
      <c r="G86" s="63" t="str">
        <f t="shared" si="49"/>
        <v>[effect:nothing]</v>
      </c>
      <c r="H86" s="63">
        <f t="shared" si="50"/>
        <v>9</v>
      </c>
      <c r="I86" s="63">
        <f t="shared" si="51"/>
        <v>16</v>
      </c>
      <c r="J86" s="63" t="e">
        <f t="shared" si="52"/>
        <v>#VALUE!</v>
      </c>
      <c r="K86" s="63" t="e">
        <f t="shared" si="53"/>
        <v>#VALUE!</v>
      </c>
      <c r="L86" s="63" t="str">
        <f>IFERROR(VLOOKUP(MID(G86,J86,K86-J86),[6]skilldef!$C:$D,2,FALSE),"-") &amp; " / " &amp; IFERROR(VLOOKUP(MID(G86,H86,I86-H86),[6]skilldef!$A:$B,2,FALSE),"-")</f>
        <v>- / 何もしない</v>
      </c>
      <c r="M86" s="63" t="str">
        <f t="shared" si="54"/>
        <v>none</v>
      </c>
      <c r="N86" s="48" t="str">
        <f t="shared" si="55"/>
        <v>none</v>
      </c>
      <c r="O86" s="63" t="e">
        <f t="shared" si="56"/>
        <v>#VALUE!</v>
      </c>
      <c r="P86" s="63">
        <f t="shared" si="57"/>
        <v>4</v>
      </c>
      <c r="Q86" s="63" t="e">
        <f t="shared" si="58"/>
        <v>#VALUE!</v>
      </c>
      <c r="R86" s="63" t="e">
        <f t="shared" si="59"/>
        <v>#VALUE!</v>
      </c>
      <c r="S86" s="63" t="str">
        <f>IFERROR(VLOOKUP(MID(N86,Q86,R86-Q86),[6]skilldef!$C:$D,2,FALSE),"-") &amp; " / " &amp; IFERROR(VLOOKUP(MID(N86,O86,P86-O86),[6]skilldef!$A:$B,2,FALSE),"-")</f>
        <v>- / -</v>
      </c>
      <c r="T86" s="48" t="str">
        <f t="shared" si="60"/>
        <v>none</v>
      </c>
      <c r="U86" s="63" t="e">
        <f t="shared" si="61"/>
        <v>#VALUE!</v>
      </c>
      <c r="V86" s="63">
        <f t="shared" si="62"/>
        <v>4</v>
      </c>
      <c r="W86" s="63" t="e">
        <f t="shared" si="63"/>
        <v>#VALUE!</v>
      </c>
      <c r="X86" s="63" t="e">
        <f t="shared" si="64"/>
        <v>#VALUE!</v>
      </c>
      <c r="Y86" s="63" t="str">
        <f>IFERROR(VLOOKUP(MID(T86,W86,X86-W86),[6]skilldef!$C:$D,2,FALSE),"-") &amp; " / " &amp; IFERROR(VLOOKUP(MID(T86,U86,V86-U86),[6]skilldef!$A:$B,2,FALSE),"-")</f>
        <v>- / -</v>
      </c>
      <c r="Z86" s="50"/>
      <c r="AA86" s="52"/>
      <c r="AB86" s="50"/>
    </row>
    <row r="87" spans="1:28" ht="21" customHeight="1" x14ac:dyDescent="0.15">
      <c r="A87" s="106">
        <v>50004086</v>
      </c>
      <c r="B87" s="106" t="s">
        <v>262</v>
      </c>
      <c r="C87" s="107">
        <v>1</v>
      </c>
      <c r="D87" s="107" t="s">
        <v>127</v>
      </c>
      <c r="E87" s="108" t="s">
        <v>234</v>
      </c>
      <c r="F87" s="108" t="s">
        <v>217</v>
      </c>
      <c r="G87" s="63" t="str">
        <f t="shared" si="49"/>
        <v>[effect:nothing]</v>
      </c>
      <c r="H87" s="63">
        <f t="shared" si="50"/>
        <v>9</v>
      </c>
      <c r="I87" s="63">
        <f t="shared" si="51"/>
        <v>16</v>
      </c>
      <c r="J87" s="63" t="e">
        <f t="shared" si="52"/>
        <v>#VALUE!</v>
      </c>
      <c r="K87" s="63" t="e">
        <f t="shared" si="53"/>
        <v>#VALUE!</v>
      </c>
      <c r="L87" s="63" t="str">
        <f>IFERROR(VLOOKUP(MID(G87,J87,K87-J87),[6]skilldef!$C:$D,2,FALSE),"-") &amp; " / " &amp; IFERROR(VLOOKUP(MID(G87,H87,I87-H87),[6]skilldef!$A:$B,2,FALSE),"-")</f>
        <v>- / 何もしない</v>
      </c>
      <c r="M87" s="63" t="str">
        <f t="shared" si="54"/>
        <v>none</v>
      </c>
      <c r="N87" s="48" t="str">
        <f t="shared" si="55"/>
        <v>none</v>
      </c>
      <c r="O87" s="63" t="e">
        <f t="shared" si="56"/>
        <v>#VALUE!</v>
      </c>
      <c r="P87" s="63">
        <f t="shared" si="57"/>
        <v>4</v>
      </c>
      <c r="Q87" s="63" t="e">
        <f t="shared" si="58"/>
        <v>#VALUE!</v>
      </c>
      <c r="R87" s="63" t="e">
        <f t="shared" si="59"/>
        <v>#VALUE!</v>
      </c>
      <c r="S87" s="63" t="str">
        <f>IFERROR(VLOOKUP(MID(N87,Q87,R87-Q87),[6]skilldef!$C:$D,2,FALSE),"-") &amp; " / " &amp; IFERROR(VLOOKUP(MID(N87,O87,P87-O87),[6]skilldef!$A:$B,2,FALSE),"-")</f>
        <v>- / -</v>
      </c>
      <c r="T87" s="48" t="str">
        <f t="shared" si="60"/>
        <v>none</v>
      </c>
      <c r="U87" s="63" t="e">
        <f t="shared" si="61"/>
        <v>#VALUE!</v>
      </c>
      <c r="V87" s="63">
        <f t="shared" si="62"/>
        <v>4</v>
      </c>
      <c r="W87" s="63" t="e">
        <f t="shared" si="63"/>
        <v>#VALUE!</v>
      </c>
      <c r="X87" s="63" t="e">
        <f t="shared" si="64"/>
        <v>#VALUE!</v>
      </c>
      <c r="Y87" s="63" t="str">
        <f>IFERROR(VLOOKUP(MID(T87,W87,X87-W87),[6]skilldef!$C:$D,2,FALSE),"-") &amp; " / " &amp; IFERROR(VLOOKUP(MID(T87,U87,V87-U87),[6]skilldef!$A:$B,2,FALSE),"-")</f>
        <v>- / -</v>
      </c>
      <c r="Z87" s="50"/>
      <c r="AA87" s="52"/>
      <c r="AB87" s="50"/>
    </row>
    <row r="88" spans="1:28" ht="21" customHeight="1" x14ac:dyDescent="0.15">
      <c r="A88" s="106">
        <v>50004087</v>
      </c>
      <c r="B88" s="106" t="s">
        <v>262</v>
      </c>
      <c r="C88" s="107">
        <v>1</v>
      </c>
      <c r="D88" s="107" t="s">
        <v>127</v>
      </c>
      <c r="E88" s="108" t="s">
        <v>234</v>
      </c>
      <c r="F88" s="108" t="s">
        <v>217</v>
      </c>
      <c r="G88" s="63" t="str">
        <f t="shared" si="49"/>
        <v>[effect:nothing]</v>
      </c>
      <c r="H88" s="63">
        <f t="shared" si="50"/>
        <v>9</v>
      </c>
      <c r="I88" s="63">
        <f t="shared" si="51"/>
        <v>16</v>
      </c>
      <c r="J88" s="63" t="e">
        <f t="shared" si="52"/>
        <v>#VALUE!</v>
      </c>
      <c r="K88" s="63" t="e">
        <f t="shared" si="53"/>
        <v>#VALUE!</v>
      </c>
      <c r="L88" s="63" t="str">
        <f>IFERROR(VLOOKUP(MID(G88,J88,K88-J88),[6]skilldef!$C:$D,2,FALSE),"-") &amp; " / " &amp; IFERROR(VLOOKUP(MID(G88,H88,I88-H88),[6]skilldef!$A:$B,2,FALSE),"-")</f>
        <v>- / 何もしない</v>
      </c>
      <c r="M88" s="63" t="str">
        <f t="shared" si="54"/>
        <v>none</v>
      </c>
      <c r="N88" s="48" t="str">
        <f t="shared" si="55"/>
        <v>none</v>
      </c>
      <c r="O88" s="63" t="e">
        <f t="shared" si="56"/>
        <v>#VALUE!</v>
      </c>
      <c r="P88" s="63">
        <f t="shared" si="57"/>
        <v>4</v>
      </c>
      <c r="Q88" s="63" t="e">
        <f t="shared" si="58"/>
        <v>#VALUE!</v>
      </c>
      <c r="R88" s="63" t="e">
        <f t="shared" si="59"/>
        <v>#VALUE!</v>
      </c>
      <c r="S88" s="63" t="str">
        <f>IFERROR(VLOOKUP(MID(N88,Q88,R88-Q88),[6]skilldef!$C:$D,2,FALSE),"-") &amp; " / " &amp; IFERROR(VLOOKUP(MID(N88,O88,P88-O88),[6]skilldef!$A:$B,2,FALSE),"-")</f>
        <v>- / -</v>
      </c>
      <c r="T88" s="48" t="str">
        <f t="shared" si="60"/>
        <v>none</v>
      </c>
      <c r="U88" s="63" t="e">
        <f t="shared" si="61"/>
        <v>#VALUE!</v>
      </c>
      <c r="V88" s="63">
        <f t="shared" si="62"/>
        <v>4</v>
      </c>
      <c r="W88" s="63" t="e">
        <f t="shared" si="63"/>
        <v>#VALUE!</v>
      </c>
      <c r="X88" s="63" t="e">
        <f t="shared" si="64"/>
        <v>#VALUE!</v>
      </c>
      <c r="Y88" s="63" t="str">
        <f>IFERROR(VLOOKUP(MID(T88,W88,X88-W88),[6]skilldef!$C:$D,2,FALSE),"-") &amp; " / " &amp; IFERROR(VLOOKUP(MID(T88,U88,V88-U88),[6]skilldef!$A:$B,2,FALSE),"-")</f>
        <v>- / -</v>
      </c>
      <c r="Z88" s="50"/>
      <c r="AA88" s="52"/>
      <c r="AB88" s="50"/>
    </row>
    <row r="89" spans="1:28" ht="21" customHeight="1" x14ac:dyDescent="0.15">
      <c r="A89" s="47">
        <v>50004088</v>
      </c>
      <c r="B89" s="47" t="s">
        <v>413</v>
      </c>
      <c r="C89" s="103">
        <v>3</v>
      </c>
      <c r="D89" s="103" t="s">
        <v>243</v>
      </c>
      <c r="E89" s="104" t="s">
        <v>440</v>
      </c>
      <c r="F89" s="104" t="s">
        <v>352</v>
      </c>
      <c r="G89" s="63" t="str">
        <f t="shared" si="49"/>
        <v>[effect:enemy_message, val1:1.5, val2:2.8]</v>
      </c>
      <c r="H89" s="63">
        <f t="shared" si="50"/>
        <v>9</v>
      </c>
      <c r="I89" s="63">
        <f t="shared" si="51"/>
        <v>22</v>
      </c>
      <c r="J89" s="63" t="e">
        <f t="shared" si="52"/>
        <v>#VALUE!</v>
      </c>
      <c r="K89" s="63">
        <f t="shared" si="53"/>
        <v>32</v>
      </c>
      <c r="L89" s="63" t="str">
        <f>IFERROR(VLOOKUP(MID(G89,J89,K89-J89),[6]skilldef!$C:$D,2,FALSE),"-") &amp; " / " &amp; IFERROR(VLOOKUP(MID(G89,H89,I89-H89),[6]skilldef!$A:$B,2,FALSE),"-")</f>
        <v>- / -</v>
      </c>
      <c r="M89" s="63" t="str">
        <f t="shared" si="54"/>
        <v>[effect:tolerance, target:myself, turn:-1, tolerance_effect:virus, count:-1],[effect:tolerance, target:myself, turn:-1, tolerance_effect:hungup, count:-1],[effect:tolerance, target:myself, turn:-1, tolerance_effect:sleep, count:-1, animation:enemy_tolerance],[effect:fix_speed, target:myself, turn:1]</v>
      </c>
      <c r="N89" s="48" t="str">
        <f t="shared" si="55"/>
        <v>[effect:tolerance, target:myself, turn:-1, tolerance_effect:virus, count:-1],[effect:tolerance, target:myself, turn:-1, tolerance_effect:hungup, count:-1],[effect:tolerance, target:myself, turn:-1, tolerance_effect:sleep, count:-1, animation:enemy_tolerance],[effect:fix_speed, target:myself, turn:1]</v>
      </c>
      <c r="O89" s="63">
        <f t="shared" si="56"/>
        <v>9</v>
      </c>
      <c r="P89" s="63">
        <f t="shared" si="57"/>
        <v>18</v>
      </c>
      <c r="Q89" s="63">
        <f t="shared" si="58"/>
        <v>27</v>
      </c>
      <c r="R89" s="63">
        <f t="shared" si="59"/>
        <v>33</v>
      </c>
      <c r="S89" s="63" t="str">
        <f>IFERROR(VLOOKUP(MID(N89,Q89,R89-Q89),[6]skilldef!$C:$D,2,FALSE),"-") &amp; " / " &amp; IFERROR(VLOOKUP(MID(N89,O89,P89-O89),[6]skilldef!$A:$B,2,FALSE),"-")</f>
        <v>自分自身に / 状態異常耐性</v>
      </c>
      <c r="T89" s="48" t="str">
        <f t="shared" si="60"/>
        <v>[effect:tolerance, target:myself, turn:-1, tolerance_effect:hungup, count:-1],[effect:tolerance, target:myself, turn:-1, tolerance_effect:sleep, count:-1, animation:enemy_tolerance],[effect:fix_speed, target:myself, turn:1]</v>
      </c>
      <c r="U89" s="63">
        <f t="shared" si="61"/>
        <v>9</v>
      </c>
      <c r="V89" s="63">
        <f t="shared" si="62"/>
        <v>18</v>
      </c>
      <c r="W89" s="63">
        <f t="shared" si="63"/>
        <v>27</v>
      </c>
      <c r="X89" s="63">
        <f t="shared" si="64"/>
        <v>33</v>
      </c>
      <c r="Y89" s="63" t="str">
        <f>IFERROR(VLOOKUP(MID(T89,W89,X89-W89),[6]skilldef!$C:$D,2,FALSE),"-") &amp; " / " &amp; IFERROR(VLOOKUP(MID(T89,U89,V89-U89),[6]skilldef!$A:$B,2,FALSE),"-")</f>
        <v>自分自身に / 状態異常耐性</v>
      </c>
      <c r="Z89" s="103"/>
      <c r="AA89" s="105"/>
      <c r="AB89" s="103"/>
    </row>
    <row r="90" spans="1:28" ht="21" customHeight="1" x14ac:dyDescent="0.15">
      <c r="A90" s="106">
        <v>50004089</v>
      </c>
      <c r="B90" s="121" t="s">
        <v>275</v>
      </c>
      <c r="C90" s="109">
        <v>1</v>
      </c>
      <c r="D90" s="109" t="s">
        <v>243</v>
      </c>
      <c r="E90" s="110" t="s">
        <v>244</v>
      </c>
      <c r="F90" s="110" t="s">
        <v>352</v>
      </c>
      <c r="G90" s="63" t="str">
        <f t="shared" si="49"/>
        <v>[effect:tolerance, target:enemy_all, turn:-1, tolerance_effect:virus, count:-1]</v>
      </c>
      <c r="H90" s="63">
        <f t="shared" si="50"/>
        <v>9</v>
      </c>
      <c r="I90" s="63">
        <f t="shared" si="51"/>
        <v>18</v>
      </c>
      <c r="J90" s="63">
        <f t="shared" si="52"/>
        <v>27</v>
      </c>
      <c r="K90" s="63">
        <f t="shared" si="53"/>
        <v>36</v>
      </c>
      <c r="L90" s="63" t="str">
        <f>IFERROR(VLOOKUP(MID(G90,J90,K90-J90),[6]skilldef!$C:$D,2,FALSE),"-") &amp; " / " &amp; IFERROR(VLOOKUP(MID(G90,H90,I90-H90),[6]skilldef!$A:$B,2,FALSE),"-")</f>
        <v>敵全体に / 状態異常耐性</v>
      </c>
      <c r="M90" s="63" t="str">
        <f t="shared" si="54"/>
        <v>[effect:tolerance, target:enemy_all, turn:-1, tolerance_effect:hungup, count:-1],[effect:tolerance, target:enemy_all, turn:-1, tolerance_effect:sleep, count:-1, animation:enemy_tolerance],[effect:fix_speed, target:myself, turn:1]</v>
      </c>
      <c r="N90" s="48" t="str">
        <f t="shared" si="55"/>
        <v>[effect:tolerance, target:enemy_all, turn:-1, tolerance_effect:hungup, count:-1],[effect:tolerance, target:enemy_all, turn:-1, tolerance_effect:sleep, count:-1, animation:enemy_tolerance],[effect:fix_speed, target:myself, turn:1]</v>
      </c>
      <c r="O90" s="63">
        <f t="shared" si="56"/>
        <v>9</v>
      </c>
      <c r="P90" s="63">
        <f t="shared" si="57"/>
        <v>18</v>
      </c>
      <c r="Q90" s="63">
        <f t="shared" si="58"/>
        <v>27</v>
      </c>
      <c r="R90" s="63">
        <f t="shared" si="59"/>
        <v>36</v>
      </c>
      <c r="S90" s="63" t="str">
        <f>IFERROR(VLOOKUP(MID(N90,Q90,R90-Q90),[6]skilldef!$C:$D,2,FALSE),"-") &amp; " / " &amp; IFERROR(VLOOKUP(MID(N90,O90,P90-O90),[6]skilldef!$A:$B,2,FALSE),"-")</f>
        <v>敵全体に / 状態異常耐性</v>
      </c>
      <c r="T90" s="48" t="str">
        <f t="shared" si="60"/>
        <v>[effect:tolerance, target:enemy_all, turn:-1, tolerance_effect:sleep, count:-1, animation:enemy_tolerance],[effect:fix_speed, target:myself, turn:1]</v>
      </c>
      <c r="U90" s="63">
        <f t="shared" si="61"/>
        <v>9</v>
      </c>
      <c r="V90" s="63">
        <f t="shared" si="62"/>
        <v>18</v>
      </c>
      <c r="W90" s="63">
        <f t="shared" si="63"/>
        <v>27</v>
      </c>
      <c r="X90" s="63">
        <f t="shared" si="64"/>
        <v>36</v>
      </c>
      <c r="Y90" s="63" t="str">
        <f>IFERROR(VLOOKUP(MID(T90,W90,X90-W90),[6]skilldef!$C:$D,2,FALSE),"-") &amp; " / " &amp; IFERROR(VLOOKUP(MID(T90,U90,V90-U90),[6]skilldef!$A:$B,2,FALSE),"-")</f>
        <v>敵全体に / 状態異常耐性</v>
      </c>
      <c r="Z90" s="103"/>
      <c r="AA90" s="105"/>
      <c r="AB90" s="103"/>
    </row>
    <row r="91" spans="1:28" ht="21" customHeight="1" x14ac:dyDescent="0.15">
      <c r="A91" s="106">
        <v>50004090</v>
      </c>
      <c r="B91" s="121" t="s">
        <v>276</v>
      </c>
      <c r="C91" s="109">
        <v>1</v>
      </c>
      <c r="D91" s="109" t="s">
        <v>243</v>
      </c>
      <c r="E91" s="110" t="s">
        <v>244</v>
      </c>
      <c r="F91" s="110" t="s">
        <v>352</v>
      </c>
      <c r="G91" s="63" t="str">
        <f t="shared" si="49"/>
        <v>[effect:tolerance, target:enemy_all, turn:-1, tolerance_effect:virus, count:-1]</v>
      </c>
      <c r="H91" s="63">
        <f t="shared" si="50"/>
        <v>9</v>
      </c>
      <c r="I91" s="63">
        <f t="shared" si="51"/>
        <v>18</v>
      </c>
      <c r="J91" s="63">
        <f t="shared" si="52"/>
        <v>27</v>
      </c>
      <c r="K91" s="63">
        <f t="shared" si="53"/>
        <v>36</v>
      </c>
      <c r="L91" s="63" t="str">
        <f>IFERROR(VLOOKUP(MID(G91,J91,K91-J91),[6]skilldef!$C:$D,2,FALSE),"-") &amp; " / " &amp; IFERROR(VLOOKUP(MID(G91,H91,I91-H91),[6]skilldef!$A:$B,2,FALSE),"-")</f>
        <v>敵全体に / 状態異常耐性</v>
      </c>
      <c r="M91" s="63" t="str">
        <f t="shared" si="54"/>
        <v>[effect:tolerance, target:enemy_all, turn:-1, tolerance_effect:hungup, count:-1],[effect:tolerance, target:enemy_all, turn:-1, tolerance_effect:sleep, count:-1, animation:enemy_tolerance],[effect:fix_speed, target:myself, turn:1]</v>
      </c>
      <c r="N91" s="48" t="str">
        <f t="shared" si="55"/>
        <v>[effect:tolerance, target:enemy_all, turn:-1, tolerance_effect:hungup, count:-1],[effect:tolerance, target:enemy_all, turn:-1, tolerance_effect:sleep, count:-1, animation:enemy_tolerance],[effect:fix_speed, target:myself, turn:1]</v>
      </c>
      <c r="O91" s="63">
        <f t="shared" si="56"/>
        <v>9</v>
      </c>
      <c r="P91" s="63">
        <f t="shared" si="57"/>
        <v>18</v>
      </c>
      <c r="Q91" s="63">
        <f t="shared" si="58"/>
        <v>27</v>
      </c>
      <c r="R91" s="63">
        <f t="shared" si="59"/>
        <v>36</v>
      </c>
      <c r="S91" s="63" t="str">
        <f>IFERROR(VLOOKUP(MID(N91,Q91,R91-Q91),[6]skilldef!$C:$D,2,FALSE),"-") &amp; " / " &amp; IFERROR(VLOOKUP(MID(N91,O91,P91-O91),[6]skilldef!$A:$B,2,FALSE),"-")</f>
        <v>敵全体に / 状態異常耐性</v>
      </c>
      <c r="T91" s="48" t="str">
        <f t="shared" si="60"/>
        <v>[effect:tolerance, target:enemy_all, turn:-1, tolerance_effect:sleep, count:-1, animation:enemy_tolerance],[effect:fix_speed, target:myself, turn:1]</v>
      </c>
      <c r="U91" s="63">
        <f t="shared" si="61"/>
        <v>9</v>
      </c>
      <c r="V91" s="63">
        <f t="shared" si="62"/>
        <v>18</v>
      </c>
      <c r="W91" s="63">
        <f t="shared" si="63"/>
        <v>27</v>
      </c>
      <c r="X91" s="63">
        <f t="shared" si="64"/>
        <v>36</v>
      </c>
      <c r="Y91" s="63" t="str">
        <f>IFERROR(VLOOKUP(MID(T91,W91,X91-W91),[6]skilldef!$C:$D,2,FALSE),"-") &amp; " / " &amp; IFERROR(VLOOKUP(MID(T91,U91,V91-U91),[6]skilldef!$A:$B,2,FALSE),"-")</f>
        <v>敵全体に / 状態異常耐性</v>
      </c>
      <c r="Z91" s="103"/>
      <c r="AA91" s="105"/>
      <c r="AB91" s="103"/>
    </row>
    <row r="92" spans="1:28" ht="21" customHeight="1" x14ac:dyDescent="0.15">
      <c r="A92" s="47">
        <v>50004091</v>
      </c>
      <c r="B92" s="47" t="s">
        <v>294</v>
      </c>
      <c r="C92" s="103">
        <v>3</v>
      </c>
      <c r="D92" s="103" t="s">
        <v>243</v>
      </c>
      <c r="E92" s="111" t="s">
        <v>353</v>
      </c>
      <c r="F92" s="111" t="s">
        <v>246</v>
      </c>
      <c r="G92" s="63" t="str">
        <f t="shared" si="49"/>
        <v>[effect:rush, count:12, val:0.4]</v>
      </c>
      <c r="H92" s="63">
        <f t="shared" si="50"/>
        <v>9</v>
      </c>
      <c r="I92" s="63">
        <f t="shared" si="51"/>
        <v>13</v>
      </c>
      <c r="J92" s="63" t="e">
        <f t="shared" si="52"/>
        <v>#VALUE!</v>
      </c>
      <c r="K92" s="63">
        <f t="shared" si="53"/>
        <v>23</v>
      </c>
      <c r="L92" s="63" t="str">
        <f>IFERROR(VLOOKUP(MID(G92,J92,K92-J92),[6]skilldef!$C:$D,2,FALSE),"-") &amp; " / " &amp; IFERROR(VLOOKUP(MID(G92,H92,I92-H92),[6]skilldef!$A:$B,2,FALSE),"-")</f>
        <v>- / 連続攻撃</v>
      </c>
      <c r="M92" s="63" t="str">
        <f t="shared" si="54"/>
        <v>none</v>
      </c>
      <c r="N92" s="48" t="str">
        <f t="shared" si="55"/>
        <v>none</v>
      </c>
      <c r="O92" s="63" t="e">
        <f t="shared" si="56"/>
        <v>#VALUE!</v>
      </c>
      <c r="P92" s="63">
        <f t="shared" si="57"/>
        <v>4</v>
      </c>
      <c r="Q92" s="63" t="e">
        <f t="shared" si="58"/>
        <v>#VALUE!</v>
      </c>
      <c r="R92" s="63" t="e">
        <f t="shared" si="59"/>
        <v>#VALUE!</v>
      </c>
      <c r="S92" s="63" t="str">
        <f>IFERROR(VLOOKUP(MID(N92,Q92,R92-Q92),[6]skilldef!$C:$D,2,FALSE),"-") &amp; " / " &amp; IFERROR(VLOOKUP(MID(N92,O92,P92-O92),[6]skilldef!$A:$B,2,FALSE),"-")</f>
        <v>- / -</v>
      </c>
      <c r="T92" s="48" t="str">
        <f t="shared" si="60"/>
        <v>none</v>
      </c>
      <c r="U92" s="63" t="e">
        <f t="shared" si="61"/>
        <v>#VALUE!</v>
      </c>
      <c r="V92" s="63">
        <f t="shared" si="62"/>
        <v>4</v>
      </c>
      <c r="W92" s="63" t="e">
        <f t="shared" si="63"/>
        <v>#VALUE!</v>
      </c>
      <c r="X92" s="63" t="e">
        <f t="shared" si="64"/>
        <v>#VALUE!</v>
      </c>
      <c r="Y92" s="63" t="str">
        <f>IFERROR(VLOOKUP(MID(T92,W92,X92-W92),[6]skilldef!$C:$D,2,FALSE),"-") &amp; " / " &amp; IFERROR(VLOOKUP(MID(T92,U92,V92-U92),[6]skilldef!$A:$B,2,FALSE),"-")</f>
        <v>- / -</v>
      </c>
      <c r="Z92" s="103"/>
      <c r="AA92" s="105"/>
      <c r="AB92" s="103"/>
    </row>
    <row r="93" spans="1:28" ht="21" customHeight="1" x14ac:dyDescent="0.15">
      <c r="A93" s="47">
        <v>50004092</v>
      </c>
      <c r="B93" s="47" t="s">
        <v>426</v>
      </c>
      <c r="C93" s="103">
        <v>3</v>
      </c>
      <c r="D93" s="103" t="s">
        <v>243</v>
      </c>
      <c r="E93" s="104" t="s">
        <v>354</v>
      </c>
      <c r="F93" s="104" t="s">
        <v>304</v>
      </c>
      <c r="G93" s="63" t="str">
        <f t="shared" si="49"/>
        <v>[effect:spread, val:0.35]</v>
      </c>
      <c r="H93" s="63">
        <f t="shared" si="50"/>
        <v>9</v>
      </c>
      <c r="I93" s="63">
        <f t="shared" si="51"/>
        <v>15</v>
      </c>
      <c r="J93" s="63" t="e">
        <f t="shared" si="52"/>
        <v>#VALUE!</v>
      </c>
      <c r="K93" s="63" t="e">
        <f t="shared" si="53"/>
        <v>#VALUE!</v>
      </c>
      <c r="L93" s="63" t="str">
        <f>IFERROR(VLOOKUP(MID(G93,J93,K93-J93),[6]skilldef!$C:$D,2,FALSE),"-") &amp; " / " &amp; IFERROR(VLOOKUP(MID(G93,H93,I93-H93),[6]skilldef!$A:$B,2,FALSE),"-")</f>
        <v>- / 全体攻撃</v>
      </c>
      <c r="M93" s="63" t="str">
        <f t="shared" si="54"/>
        <v>none</v>
      </c>
      <c r="N93" s="48" t="str">
        <f t="shared" si="55"/>
        <v>none</v>
      </c>
      <c r="O93" s="63" t="e">
        <f t="shared" si="56"/>
        <v>#VALUE!</v>
      </c>
      <c r="P93" s="63">
        <f t="shared" si="57"/>
        <v>4</v>
      </c>
      <c r="Q93" s="63" t="e">
        <f t="shared" si="58"/>
        <v>#VALUE!</v>
      </c>
      <c r="R93" s="63" t="e">
        <f t="shared" si="59"/>
        <v>#VALUE!</v>
      </c>
      <c r="S93" s="63" t="str">
        <f>IFERROR(VLOOKUP(MID(N93,Q93,R93-Q93),[6]skilldef!$C:$D,2,FALSE),"-") &amp; " / " &amp; IFERROR(VLOOKUP(MID(N93,O93,P93-O93),[6]skilldef!$A:$B,2,FALSE),"-")</f>
        <v>- / -</v>
      </c>
      <c r="T93" s="48" t="str">
        <f t="shared" si="60"/>
        <v>none</v>
      </c>
      <c r="U93" s="63" t="e">
        <f t="shared" si="61"/>
        <v>#VALUE!</v>
      </c>
      <c r="V93" s="63">
        <f t="shared" si="62"/>
        <v>4</v>
      </c>
      <c r="W93" s="63" t="e">
        <f t="shared" si="63"/>
        <v>#VALUE!</v>
      </c>
      <c r="X93" s="63" t="e">
        <f t="shared" si="64"/>
        <v>#VALUE!</v>
      </c>
      <c r="Y93" s="63" t="str">
        <f>IFERROR(VLOOKUP(MID(T93,W93,X93-W93),[6]skilldef!$C:$D,2,FALSE),"-") &amp; " / " &amp; IFERROR(VLOOKUP(MID(T93,U93,V93-U93),[6]skilldef!$A:$B,2,FALSE),"-")</f>
        <v>- / -</v>
      </c>
      <c r="Z93" s="103"/>
      <c r="AA93" s="105"/>
      <c r="AB93" s="103"/>
    </row>
    <row r="94" spans="1:28" ht="21" customHeight="1" x14ac:dyDescent="0.15">
      <c r="A94" s="47">
        <v>50004093</v>
      </c>
      <c r="B94" s="47" t="s">
        <v>361</v>
      </c>
      <c r="C94" s="103">
        <v>3</v>
      </c>
      <c r="D94" s="103" t="s">
        <v>243</v>
      </c>
      <c r="E94" s="104" t="s">
        <v>445</v>
      </c>
      <c r="F94" s="104" t="s">
        <v>355</v>
      </c>
      <c r="G94" s="63" t="str">
        <f t="shared" si="49"/>
        <v>[effect:damage_fix_absolute, target:unit_one, val:9999]</v>
      </c>
      <c r="H94" s="63">
        <f t="shared" si="50"/>
        <v>9</v>
      </c>
      <c r="I94" s="63">
        <f t="shared" si="51"/>
        <v>28</v>
      </c>
      <c r="J94" s="63">
        <f t="shared" si="52"/>
        <v>37</v>
      </c>
      <c r="K94" s="63">
        <f t="shared" si="53"/>
        <v>45</v>
      </c>
      <c r="L94" s="63" t="str">
        <f>IFERROR(VLOOKUP(MID(G94,J94,K94-J94),[6]skilldef!$C:$D,2,FALSE),"-") &amp; " / " &amp; IFERROR(VLOOKUP(MID(G94,H94,I94-H94),[6]skilldef!$A:$B,2,FALSE),"-")</f>
        <v>味方単体に / -</v>
      </c>
      <c r="M94" s="63" t="str">
        <f t="shared" si="54"/>
        <v>none</v>
      </c>
      <c r="N94" s="48" t="str">
        <f t="shared" si="55"/>
        <v>none</v>
      </c>
      <c r="O94" s="63" t="e">
        <f t="shared" si="56"/>
        <v>#VALUE!</v>
      </c>
      <c r="P94" s="63">
        <f t="shared" si="57"/>
        <v>4</v>
      </c>
      <c r="Q94" s="63" t="e">
        <f t="shared" si="58"/>
        <v>#VALUE!</v>
      </c>
      <c r="R94" s="63" t="e">
        <f t="shared" si="59"/>
        <v>#VALUE!</v>
      </c>
      <c r="S94" s="63" t="str">
        <f>IFERROR(VLOOKUP(MID(N94,Q94,R94-Q94),[6]skilldef!$C:$D,2,FALSE),"-") &amp; " / " &amp; IFERROR(VLOOKUP(MID(N94,O94,P94-O94),[6]skilldef!$A:$B,2,FALSE),"-")</f>
        <v>- / -</v>
      </c>
      <c r="T94" s="48" t="str">
        <f t="shared" si="60"/>
        <v>none</v>
      </c>
      <c r="U94" s="63" t="e">
        <f t="shared" si="61"/>
        <v>#VALUE!</v>
      </c>
      <c r="V94" s="63">
        <f t="shared" si="62"/>
        <v>4</v>
      </c>
      <c r="W94" s="63" t="e">
        <f t="shared" si="63"/>
        <v>#VALUE!</v>
      </c>
      <c r="X94" s="63" t="e">
        <f t="shared" si="64"/>
        <v>#VALUE!</v>
      </c>
      <c r="Y94" s="63" t="str">
        <f>IFERROR(VLOOKUP(MID(T94,W94,X94-W94),[6]skilldef!$C:$D,2,FALSE),"-") &amp; " / " &amp; IFERROR(VLOOKUP(MID(T94,U94,V94-U94),[6]skilldef!$A:$B,2,FALSE),"-")</f>
        <v>- / -</v>
      </c>
      <c r="Z94" s="103"/>
      <c r="AA94" s="105"/>
      <c r="AB94" s="103"/>
    </row>
    <row r="95" spans="1:28" ht="21" customHeight="1" x14ac:dyDescent="0.15">
      <c r="A95" s="47">
        <v>50004094</v>
      </c>
      <c r="B95" s="102" t="s">
        <v>458</v>
      </c>
      <c r="C95" s="103">
        <v>3</v>
      </c>
      <c r="D95" s="103" t="s">
        <v>243</v>
      </c>
      <c r="E95" s="104" t="s">
        <v>444</v>
      </c>
      <c r="F95" s="104" t="s">
        <v>298</v>
      </c>
      <c r="G95" s="63" t="str">
        <f t="shared" si="49"/>
        <v>[effect:enemy_message, val1:1.2, val2:2.4]</v>
      </c>
      <c r="H95" s="63">
        <f t="shared" si="50"/>
        <v>9</v>
      </c>
      <c r="I95" s="63">
        <f t="shared" si="51"/>
        <v>22</v>
      </c>
      <c r="J95" s="63" t="e">
        <f t="shared" si="52"/>
        <v>#VALUE!</v>
      </c>
      <c r="K95" s="63">
        <f t="shared" si="53"/>
        <v>32</v>
      </c>
      <c r="L95" s="63" t="str">
        <f>IFERROR(VLOOKUP(MID(G95,J95,K95-J95),[6]skilldef!$C:$D,2,FALSE),"-") &amp; " / " &amp; IFERROR(VLOOKUP(MID(G95,H95,I95-H95),[6]skilldef!$A:$B,2,FALSE),"-")</f>
        <v>- / -</v>
      </c>
      <c r="M95" s="63" t="str">
        <f t="shared" si="54"/>
        <v>[effect:dis_panel, target:block_green, turn:3, animation:enemy_dis_green],[effect:degrade_unit, target:unit_all, turn:3, status:attack, val:0.5, calc:mul]</v>
      </c>
      <c r="N95" s="48" t="str">
        <f t="shared" si="55"/>
        <v>[effect:dis_panel, target:block_green, turn:3, animation:enemy_dis_green],[effect:degrade_unit, target:unit_all, turn:3, status:attack, val:0.5, calc:mul]</v>
      </c>
      <c r="O95" s="63">
        <f t="shared" si="56"/>
        <v>9</v>
      </c>
      <c r="P95" s="63">
        <f t="shared" si="57"/>
        <v>18</v>
      </c>
      <c r="Q95" s="63">
        <f t="shared" si="58"/>
        <v>27</v>
      </c>
      <c r="R95" s="63">
        <f t="shared" si="59"/>
        <v>38</v>
      </c>
      <c r="S95" s="63" t="str">
        <f>IFERROR(VLOOKUP(MID(N95,Q95,R95-Q95),[6]skilldef!$C:$D,2,FALSE),"-") &amp; " / " &amp; IFERROR(VLOOKUP(MID(N95,O95,P95-O95),[6]skilldef!$A:$B,2,FALSE),"-")</f>
        <v>緑パネルを / ディスパネル</v>
      </c>
      <c r="T95" s="48" t="str">
        <f t="shared" si="60"/>
        <v>[effect:degrade_unit, target:unit_all, turn:3, status:attack, val:0.5, calc:mul]</v>
      </c>
      <c r="U95" s="63">
        <f t="shared" si="61"/>
        <v>9</v>
      </c>
      <c r="V95" s="63">
        <f t="shared" si="62"/>
        <v>21</v>
      </c>
      <c r="W95" s="63">
        <f t="shared" si="63"/>
        <v>30</v>
      </c>
      <c r="X95" s="63">
        <f t="shared" si="64"/>
        <v>38</v>
      </c>
      <c r="Y95" s="63" t="str">
        <f>IFERROR(VLOOKUP(MID(T95,W95,X95-W95),[6]skilldef!$C:$D,2,FALSE),"-") &amp; " / " &amp; IFERROR(VLOOKUP(MID(T95,U95,V95-U95),[6]skilldef!$A:$B,2,FALSE),"-")</f>
        <v>味方全体に / ステータスDOWN</v>
      </c>
      <c r="Z95" s="103"/>
      <c r="AA95" s="105"/>
      <c r="AB95" s="103"/>
    </row>
    <row r="96" spans="1:28" ht="21" customHeight="1" x14ac:dyDescent="0.15">
      <c r="A96" s="47">
        <v>50004095</v>
      </c>
      <c r="B96" s="47" t="s">
        <v>459</v>
      </c>
      <c r="C96" s="103">
        <v>3</v>
      </c>
      <c r="D96" s="103" t="s">
        <v>243</v>
      </c>
      <c r="E96" s="104" t="s">
        <v>441</v>
      </c>
      <c r="F96" s="104" t="s">
        <v>464</v>
      </c>
      <c r="G96" s="63" t="str">
        <f t="shared" si="49"/>
        <v>[effect:enemy_message, val1:1.2, val2:2.4]</v>
      </c>
      <c r="H96" s="63">
        <f t="shared" si="50"/>
        <v>9</v>
      </c>
      <c r="I96" s="63">
        <f t="shared" si="51"/>
        <v>22</v>
      </c>
      <c r="J96" s="63" t="e">
        <f t="shared" si="52"/>
        <v>#VALUE!</v>
      </c>
      <c r="K96" s="63">
        <f t="shared" si="53"/>
        <v>32</v>
      </c>
      <c r="L96" s="63" t="str">
        <f>IFERROR(VLOOKUP(MID(G96,J96,K96-J96),[6]skilldef!$C:$D,2,FALSE),"-") &amp; " / " &amp; IFERROR(VLOOKUP(MID(G96,H96,I96-H96),[6]skilldef!$A:$B,2,FALSE),"-")</f>
        <v>- / -</v>
      </c>
      <c r="M96" s="63" t="str">
        <f t="shared" si="54"/>
        <v>[effect:change_panel_ratio, turn:-1, block_type:green, val:0.0, animation:block_incidence04],[effect:break_enchance_enemy, val:0.02, lowest_val:0.5, count :-1, status:attack, turn:-1, block:block_green, target:myself, calc:mul, animation:enemy_enhance_attack]</v>
      </c>
      <c r="N96" s="48" t="str">
        <f t="shared" si="55"/>
        <v>[effect:change_panel_ratio, turn:-1, block_type:green, val:0.0, animation:block_incidence04],[effect:break_enchance_enemy, val:0.02, lowest_val:0.5, count :-1, status:attack, turn:-1, block:block_green, target:myself, calc:mul, animation:enemy_enhance_attack]</v>
      </c>
      <c r="O96" s="63">
        <f t="shared" si="56"/>
        <v>9</v>
      </c>
      <c r="P96" s="63">
        <f t="shared" si="57"/>
        <v>27</v>
      </c>
      <c r="Q96" s="63">
        <f t="shared" si="58"/>
        <v>211</v>
      </c>
      <c r="R96" s="63">
        <f t="shared" si="59"/>
        <v>36</v>
      </c>
      <c r="S96" s="63" t="str">
        <f>IFERROR(VLOOKUP(MID(N96,Q96,R96-Q96),[6]skilldef!$C:$D,2,FALSE),"-") &amp; " / " &amp; IFERROR(VLOOKUP(MID(N96,O96,P96-O96),[6]skilldef!$A:$B,2,FALSE),"-")</f>
        <v>- / -</v>
      </c>
      <c r="T96" s="48" t="str">
        <f t="shared" si="60"/>
        <v>[effect:break_enchance_enemy, val:0.02, lowest_val:0.5, count :-1, status:attack, turn:-1, block:block_green, target:myself, calc:mul, animation:enemy_enhance_attack]</v>
      </c>
      <c r="U96" s="63">
        <f t="shared" si="61"/>
        <v>9</v>
      </c>
      <c r="V96" s="63">
        <f t="shared" si="62"/>
        <v>29</v>
      </c>
      <c r="W96" s="63">
        <f t="shared" si="63"/>
        <v>118</v>
      </c>
      <c r="X96" s="63">
        <f t="shared" si="64"/>
        <v>39</v>
      </c>
      <c r="Y96" s="63" t="str">
        <f>IFERROR(VLOOKUP(MID(T96,W96,X96-W96),[6]skilldef!$C:$D,2,FALSE),"-") &amp; " / " &amp; IFERROR(VLOOKUP(MID(T96,U96,V96-U96),[6]skilldef!$A:$B,2,FALSE),"-")</f>
        <v>- / -</v>
      </c>
      <c r="Z96" s="103"/>
      <c r="AA96" s="105"/>
      <c r="AB96" s="103"/>
    </row>
    <row r="97" spans="1:28" ht="21" customHeight="1" x14ac:dyDescent="0.15">
      <c r="A97" s="106">
        <v>50004096</v>
      </c>
      <c r="B97" s="106" t="s">
        <v>262</v>
      </c>
      <c r="C97" s="109">
        <v>1</v>
      </c>
      <c r="D97" s="109" t="s">
        <v>243</v>
      </c>
      <c r="E97" s="110" t="s">
        <v>244</v>
      </c>
      <c r="F97" s="110" t="s">
        <v>217</v>
      </c>
      <c r="G97" s="63" t="str">
        <f t="shared" si="49"/>
        <v>[effect:nothing]</v>
      </c>
      <c r="H97" s="63">
        <f t="shared" si="50"/>
        <v>9</v>
      </c>
      <c r="I97" s="63">
        <f t="shared" si="51"/>
        <v>16</v>
      </c>
      <c r="J97" s="63" t="e">
        <f t="shared" si="52"/>
        <v>#VALUE!</v>
      </c>
      <c r="K97" s="63" t="e">
        <f t="shared" si="53"/>
        <v>#VALUE!</v>
      </c>
      <c r="L97" s="63" t="str">
        <f>IFERROR(VLOOKUP(MID(G97,J97,K97-J97),[6]skilldef!$C:$D,2,FALSE),"-") &amp; " / " &amp; IFERROR(VLOOKUP(MID(G97,H97,I97-H97),[6]skilldef!$A:$B,2,FALSE),"-")</f>
        <v>- / 何もしない</v>
      </c>
      <c r="M97" s="63" t="str">
        <f t="shared" si="54"/>
        <v>none</v>
      </c>
      <c r="N97" s="48" t="str">
        <f t="shared" si="55"/>
        <v>none</v>
      </c>
      <c r="O97" s="63" t="e">
        <f t="shared" si="56"/>
        <v>#VALUE!</v>
      </c>
      <c r="P97" s="63">
        <f t="shared" si="57"/>
        <v>4</v>
      </c>
      <c r="Q97" s="63" t="e">
        <f t="shared" si="58"/>
        <v>#VALUE!</v>
      </c>
      <c r="R97" s="63" t="e">
        <f t="shared" si="59"/>
        <v>#VALUE!</v>
      </c>
      <c r="S97" s="63" t="str">
        <f>IFERROR(VLOOKUP(MID(N97,Q97,R97-Q97),[6]skilldef!$C:$D,2,FALSE),"-") &amp; " / " &amp; IFERROR(VLOOKUP(MID(N97,O97,P97-O97),[6]skilldef!$A:$B,2,FALSE),"-")</f>
        <v>- / -</v>
      </c>
      <c r="T97" s="48" t="str">
        <f t="shared" si="60"/>
        <v>none</v>
      </c>
      <c r="U97" s="63" t="e">
        <f t="shared" si="61"/>
        <v>#VALUE!</v>
      </c>
      <c r="V97" s="63">
        <f t="shared" si="62"/>
        <v>4</v>
      </c>
      <c r="W97" s="63" t="e">
        <f t="shared" si="63"/>
        <v>#VALUE!</v>
      </c>
      <c r="X97" s="63" t="e">
        <f t="shared" si="64"/>
        <v>#VALUE!</v>
      </c>
      <c r="Y97" s="63" t="str">
        <f>IFERROR(VLOOKUP(MID(T97,W97,X97-W97),[6]skilldef!$C:$D,2,FALSE),"-") &amp; " / " &amp; IFERROR(VLOOKUP(MID(T97,U97,V97-U97),[6]skilldef!$A:$B,2,FALSE),"-")</f>
        <v>- / -</v>
      </c>
      <c r="Z97" s="103"/>
      <c r="AA97" s="105"/>
      <c r="AB97" s="103"/>
    </row>
    <row r="98" spans="1:28" ht="21" customHeight="1" x14ac:dyDescent="0.15">
      <c r="A98" s="106">
        <v>50004097</v>
      </c>
      <c r="B98" s="106" t="s">
        <v>262</v>
      </c>
      <c r="C98" s="109">
        <v>1</v>
      </c>
      <c r="D98" s="109" t="s">
        <v>243</v>
      </c>
      <c r="E98" s="110" t="s">
        <v>244</v>
      </c>
      <c r="F98" s="110" t="s">
        <v>217</v>
      </c>
      <c r="G98" s="63" t="str">
        <f t="shared" si="49"/>
        <v>[effect:nothing]</v>
      </c>
      <c r="H98" s="63">
        <f t="shared" si="50"/>
        <v>9</v>
      </c>
      <c r="I98" s="63">
        <f t="shared" si="51"/>
        <v>16</v>
      </c>
      <c r="J98" s="63" t="e">
        <f t="shared" si="52"/>
        <v>#VALUE!</v>
      </c>
      <c r="K98" s="63" t="e">
        <f t="shared" si="53"/>
        <v>#VALUE!</v>
      </c>
      <c r="L98" s="63" t="str">
        <f>IFERROR(VLOOKUP(MID(G98,J98,K98-J98),[6]skilldef!$C:$D,2,FALSE),"-") &amp; " / " &amp; IFERROR(VLOOKUP(MID(G98,H98,I98-H98),[6]skilldef!$A:$B,2,FALSE),"-")</f>
        <v>- / 何もしない</v>
      </c>
      <c r="M98" s="63" t="str">
        <f t="shared" si="54"/>
        <v>none</v>
      </c>
      <c r="N98" s="48" t="str">
        <f t="shared" si="55"/>
        <v>none</v>
      </c>
      <c r="O98" s="63" t="e">
        <f t="shared" si="56"/>
        <v>#VALUE!</v>
      </c>
      <c r="P98" s="63">
        <f t="shared" si="57"/>
        <v>4</v>
      </c>
      <c r="Q98" s="63" t="e">
        <f t="shared" si="58"/>
        <v>#VALUE!</v>
      </c>
      <c r="R98" s="63" t="e">
        <f t="shared" si="59"/>
        <v>#VALUE!</v>
      </c>
      <c r="S98" s="63" t="str">
        <f>IFERROR(VLOOKUP(MID(N98,Q98,R98-Q98),[6]skilldef!$C:$D,2,FALSE),"-") &amp; " / " &amp; IFERROR(VLOOKUP(MID(N98,O98,P98-O98),[6]skilldef!$A:$B,2,FALSE),"-")</f>
        <v>- / -</v>
      </c>
      <c r="T98" s="48" t="str">
        <f t="shared" si="60"/>
        <v>none</v>
      </c>
      <c r="U98" s="63" t="e">
        <f t="shared" si="61"/>
        <v>#VALUE!</v>
      </c>
      <c r="V98" s="63">
        <f t="shared" si="62"/>
        <v>4</v>
      </c>
      <c r="W98" s="63" t="e">
        <f t="shared" si="63"/>
        <v>#VALUE!</v>
      </c>
      <c r="X98" s="63" t="e">
        <f t="shared" si="64"/>
        <v>#VALUE!</v>
      </c>
      <c r="Y98" s="63" t="str">
        <f>IFERROR(VLOOKUP(MID(T98,W98,X98-W98),[6]skilldef!$C:$D,2,FALSE),"-") &amp; " / " &amp; IFERROR(VLOOKUP(MID(T98,U98,V98-U98),[6]skilldef!$A:$B,2,FALSE),"-")</f>
        <v>- / -</v>
      </c>
      <c r="Z98" s="103"/>
      <c r="AA98" s="105"/>
      <c r="AB98" s="103"/>
    </row>
    <row r="99" spans="1:28" ht="21" customHeight="1" x14ac:dyDescent="0.15">
      <c r="A99" s="106">
        <v>50004098</v>
      </c>
      <c r="B99" s="106" t="s">
        <v>262</v>
      </c>
      <c r="C99" s="109">
        <v>1</v>
      </c>
      <c r="D99" s="109" t="s">
        <v>243</v>
      </c>
      <c r="E99" s="110" t="s">
        <v>244</v>
      </c>
      <c r="F99" s="110" t="s">
        <v>217</v>
      </c>
      <c r="G99" s="63" t="str">
        <f t="shared" si="49"/>
        <v>[effect:nothing]</v>
      </c>
      <c r="H99" s="63">
        <f t="shared" si="50"/>
        <v>9</v>
      </c>
      <c r="I99" s="63">
        <f t="shared" si="51"/>
        <v>16</v>
      </c>
      <c r="J99" s="63" t="e">
        <f t="shared" si="52"/>
        <v>#VALUE!</v>
      </c>
      <c r="K99" s="63" t="e">
        <f t="shared" si="53"/>
        <v>#VALUE!</v>
      </c>
      <c r="L99" s="63" t="str">
        <f>IFERROR(VLOOKUP(MID(G99,J99,K99-J99),[6]skilldef!$C:$D,2,FALSE),"-") &amp; " / " &amp; IFERROR(VLOOKUP(MID(G99,H99,I99-H99),[6]skilldef!$A:$B,2,FALSE),"-")</f>
        <v>- / 何もしない</v>
      </c>
      <c r="M99" s="63" t="str">
        <f t="shared" si="54"/>
        <v>none</v>
      </c>
      <c r="N99" s="48" t="str">
        <f t="shared" si="55"/>
        <v>none</v>
      </c>
      <c r="O99" s="63" t="e">
        <f t="shared" si="56"/>
        <v>#VALUE!</v>
      </c>
      <c r="P99" s="63">
        <f t="shared" si="57"/>
        <v>4</v>
      </c>
      <c r="Q99" s="63" t="e">
        <f t="shared" si="58"/>
        <v>#VALUE!</v>
      </c>
      <c r="R99" s="63" t="e">
        <f t="shared" si="59"/>
        <v>#VALUE!</v>
      </c>
      <c r="S99" s="63" t="str">
        <f>IFERROR(VLOOKUP(MID(N99,Q99,R99-Q99),[6]skilldef!$C:$D,2,FALSE),"-") &amp; " / " &amp; IFERROR(VLOOKUP(MID(N99,O99,P99-O99),[6]skilldef!$A:$B,2,FALSE),"-")</f>
        <v>- / -</v>
      </c>
      <c r="T99" s="48" t="str">
        <f t="shared" si="60"/>
        <v>none</v>
      </c>
      <c r="U99" s="63" t="e">
        <f t="shared" si="61"/>
        <v>#VALUE!</v>
      </c>
      <c r="V99" s="63">
        <f t="shared" si="62"/>
        <v>4</v>
      </c>
      <c r="W99" s="63" t="e">
        <f t="shared" si="63"/>
        <v>#VALUE!</v>
      </c>
      <c r="X99" s="63" t="e">
        <f t="shared" si="64"/>
        <v>#VALUE!</v>
      </c>
      <c r="Y99" s="63" t="str">
        <f>IFERROR(VLOOKUP(MID(T99,W99,X99-W99),[6]skilldef!$C:$D,2,FALSE),"-") &amp; " / " &amp; IFERROR(VLOOKUP(MID(T99,U99,V99-U99),[6]skilldef!$A:$B,2,FALSE),"-")</f>
        <v>- / -</v>
      </c>
      <c r="Z99" s="103"/>
      <c r="AA99" s="105"/>
      <c r="AB99" s="103"/>
    </row>
    <row r="100" spans="1:28" ht="21" customHeight="1" x14ac:dyDescent="0.15">
      <c r="A100" s="47">
        <v>50004099</v>
      </c>
      <c r="B100" s="102" t="s">
        <v>403</v>
      </c>
      <c r="C100" s="103">
        <v>3</v>
      </c>
      <c r="D100" s="103" t="s">
        <v>243</v>
      </c>
      <c r="E100" s="104" t="s">
        <v>456</v>
      </c>
      <c r="F100" s="104" t="s">
        <v>245</v>
      </c>
      <c r="G100" s="63" t="str">
        <f t="shared" si="49"/>
        <v>[effect:tolerance, target:myself, turn:-1, tolerance_effect:virus, count:-1]</v>
      </c>
      <c r="H100" s="63">
        <f t="shared" si="50"/>
        <v>9</v>
      </c>
      <c r="I100" s="63">
        <f t="shared" si="51"/>
        <v>18</v>
      </c>
      <c r="J100" s="63">
        <f t="shared" si="52"/>
        <v>27</v>
      </c>
      <c r="K100" s="63">
        <f t="shared" si="53"/>
        <v>33</v>
      </c>
      <c r="L100" s="63" t="str">
        <f>IFERROR(VLOOKUP(MID(G100,J100,K100-J100),[6]skilldef!$C:$D,2,FALSE),"-") &amp; " / " &amp; IFERROR(VLOOKUP(MID(G100,H100,I100-H100),[6]skilldef!$A:$B,2,FALSE),"-")</f>
        <v>自分自身に / 状態異常耐性</v>
      </c>
      <c r="M100" s="63" t="str">
        <f t="shared" si="54"/>
        <v>[effect:tolerance, target:myself, turn:-1, tolerance_effect:hungup, count:-1],[effect:tolerance, target:myself, turn:-1, tolerance_effect:sleep, count:-1, animation:enemy_tolerance],[effect:fix_speed, target:myself, turn:1]</v>
      </c>
      <c r="N100" s="48" t="str">
        <f t="shared" si="55"/>
        <v>[effect:tolerance, target:myself, turn:-1, tolerance_effect:hungup, count:-1],[effect:tolerance, target:myself, turn:-1, tolerance_effect:sleep, count:-1, animation:enemy_tolerance],[effect:fix_speed, target:myself, turn:1]</v>
      </c>
      <c r="O100" s="63">
        <f t="shared" si="56"/>
        <v>9</v>
      </c>
      <c r="P100" s="63">
        <f t="shared" si="57"/>
        <v>18</v>
      </c>
      <c r="Q100" s="63">
        <f t="shared" si="58"/>
        <v>27</v>
      </c>
      <c r="R100" s="63">
        <f t="shared" si="59"/>
        <v>33</v>
      </c>
      <c r="S100" s="63" t="str">
        <f>IFERROR(VLOOKUP(MID(N100,Q100,R100-Q100),[6]skilldef!$C:$D,2,FALSE),"-") &amp; " / " &amp; IFERROR(VLOOKUP(MID(N100,O100,P100-O100),[6]skilldef!$A:$B,2,FALSE),"-")</f>
        <v>自分自身に / 状態異常耐性</v>
      </c>
      <c r="T100" s="48" t="str">
        <f t="shared" si="60"/>
        <v>[effect:tolerance, target:myself, turn:-1, tolerance_effect:sleep, count:-1, animation:enemy_tolerance],[effect:fix_speed, target:myself, turn:1]</v>
      </c>
      <c r="U100" s="63">
        <f t="shared" si="61"/>
        <v>9</v>
      </c>
      <c r="V100" s="63">
        <f t="shared" si="62"/>
        <v>18</v>
      </c>
      <c r="W100" s="63">
        <f t="shared" si="63"/>
        <v>27</v>
      </c>
      <c r="X100" s="63">
        <f t="shared" si="64"/>
        <v>33</v>
      </c>
      <c r="Y100" s="63" t="str">
        <f>IFERROR(VLOOKUP(MID(T100,W100,X100-W100),[6]skilldef!$C:$D,2,FALSE),"-") &amp; " / " &amp; IFERROR(VLOOKUP(MID(T100,U100,V100-U100),[6]skilldef!$A:$B,2,FALSE),"-")</f>
        <v>自分自身に / 状態異常耐性</v>
      </c>
      <c r="Z100" s="103"/>
      <c r="AA100" s="105"/>
      <c r="AB100" s="103"/>
    </row>
    <row r="101" spans="1:28" ht="21" customHeight="1" x14ac:dyDescent="0.15">
      <c r="A101" s="47">
        <v>50004100</v>
      </c>
      <c r="B101" s="102" t="s">
        <v>405</v>
      </c>
      <c r="C101" s="103">
        <v>3</v>
      </c>
      <c r="D101" s="103" t="s">
        <v>243</v>
      </c>
      <c r="E101" s="104" t="s">
        <v>442</v>
      </c>
      <c r="F101" s="104" t="s">
        <v>362</v>
      </c>
      <c r="G101" s="63" t="str">
        <f t="shared" si="49"/>
        <v>[effect:tolerance, target:myself, turn:-1, tolerance_effect:virus, count:-1]</v>
      </c>
      <c r="H101" s="63">
        <f t="shared" si="50"/>
        <v>9</v>
      </c>
      <c r="I101" s="63">
        <f t="shared" si="51"/>
        <v>18</v>
      </c>
      <c r="J101" s="63">
        <f t="shared" si="52"/>
        <v>27</v>
      </c>
      <c r="K101" s="63">
        <f t="shared" si="53"/>
        <v>33</v>
      </c>
      <c r="L101" s="63" t="str">
        <f>IFERROR(VLOOKUP(MID(G101,J101,K101-J101),[6]skilldef!$C:$D,2,FALSE),"-") &amp; " / " &amp; IFERROR(VLOOKUP(MID(G101,H101,I101-H101),[6]skilldef!$A:$B,2,FALSE),"-")</f>
        <v>自分自身に / 状態異常耐性</v>
      </c>
      <c r="M101" s="63" t="str">
        <f t="shared" si="54"/>
        <v>[effect:tolerance, target:myself, turn:-1, tolerance_effect:hungup, count:-1],[effect:tolerance, target:myself, turn:-1, tolerance_effect:sleep, count:-1, animation:enemy_tolerance],[effect:remove_enhancement, target:unit_balance, target_effect:all, target_type:buff, animation:frozen_wave],[effect:fix_speed, target:myself, turn:1]</v>
      </c>
      <c r="N101" s="48" t="str">
        <f t="shared" si="55"/>
        <v>[effect:tolerance, target:myself, turn:-1, tolerance_effect:hungup, count:-1],[effect:tolerance, target:myself, turn:-1, tolerance_effect:sleep, count:-1, animation:enemy_tolerance],[effect:remove_enhancement, target:unit_balance, target_effect:all, target_type:buff, animation:frozen_wave],[effect:fix_speed, target:myself, turn:1]</v>
      </c>
      <c r="O101" s="63">
        <f t="shared" si="56"/>
        <v>9</v>
      </c>
      <c r="P101" s="63">
        <f t="shared" si="57"/>
        <v>18</v>
      </c>
      <c r="Q101" s="63">
        <f t="shared" si="58"/>
        <v>27</v>
      </c>
      <c r="R101" s="63">
        <f t="shared" si="59"/>
        <v>33</v>
      </c>
      <c r="S101" s="63" t="str">
        <f>IFERROR(VLOOKUP(MID(N101,Q101,R101-Q101),[6]skilldef!$C:$D,2,FALSE),"-") &amp; " / " &amp; IFERROR(VLOOKUP(MID(N101,O101,P101-O101),[6]skilldef!$A:$B,2,FALSE),"-")</f>
        <v>自分自身に / 状態異常耐性</v>
      </c>
      <c r="T101" s="48" t="str">
        <f t="shared" si="60"/>
        <v>[effect:tolerance, target:myself, turn:-1, tolerance_effect:sleep, count:-1, animation:enemy_tolerance],[effect:remove_enhancement, target:unit_balance, target_effect:all, target_type:buff, animation:frozen_wave],[effect:fix_speed, target:myself, turn:1]</v>
      </c>
      <c r="U101" s="63">
        <f t="shared" si="61"/>
        <v>9</v>
      </c>
      <c r="V101" s="63">
        <f t="shared" si="62"/>
        <v>18</v>
      </c>
      <c r="W101" s="63">
        <f t="shared" si="63"/>
        <v>27</v>
      </c>
      <c r="X101" s="63">
        <f t="shared" si="64"/>
        <v>33</v>
      </c>
      <c r="Y101" s="63" t="str">
        <f>IFERROR(VLOOKUP(MID(T101,W101,X101-W101),[6]skilldef!$C:$D,2,FALSE),"-") &amp; " / " &amp; IFERROR(VLOOKUP(MID(T101,U101,V101-U101),[6]skilldef!$A:$B,2,FALSE),"-")</f>
        <v>自分自身に / 状態異常耐性</v>
      </c>
      <c r="Z101" s="103"/>
      <c r="AA101" s="105"/>
      <c r="AB101" s="103"/>
    </row>
    <row r="102" spans="1:28" ht="21" customHeight="1" x14ac:dyDescent="0.15">
      <c r="A102" s="47">
        <v>50004101</v>
      </c>
      <c r="B102" s="102" t="s">
        <v>405</v>
      </c>
      <c r="C102" s="103">
        <v>3</v>
      </c>
      <c r="D102" s="103" t="s">
        <v>243</v>
      </c>
      <c r="E102" s="104" t="s">
        <v>442</v>
      </c>
      <c r="F102" s="104" t="s">
        <v>362</v>
      </c>
      <c r="G102" s="63" t="str">
        <f t="shared" si="49"/>
        <v>[effect:tolerance, target:myself, turn:-1, tolerance_effect:virus, count:-1]</v>
      </c>
      <c r="H102" s="63">
        <f t="shared" si="50"/>
        <v>9</v>
      </c>
      <c r="I102" s="63">
        <f t="shared" si="51"/>
        <v>18</v>
      </c>
      <c r="J102" s="63">
        <f t="shared" si="52"/>
        <v>27</v>
      </c>
      <c r="K102" s="63">
        <f t="shared" si="53"/>
        <v>33</v>
      </c>
      <c r="L102" s="63" t="str">
        <f>IFERROR(VLOOKUP(MID(G102,J102,K102-J102),[6]skilldef!$C:$D,2,FALSE),"-") &amp; " / " &amp; IFERROR(VLOOKUP(MID(G102,H102,I102-H102),[6]skilldef!$A:$B,2,FALSE),"-")</f>
        <v>自分自身に / 状態異常耐性</v>
      </c>
      <c r="M102" s="63" t="str">
        <f t="shared" si="54"/>
        <v>[effect:tolerance, target:myself, turn:-1, tolerance_effect:hungup, count:-1],[effect:tolerance, target:myself, turn:-1, tolerance_effect:sleep, count:-1, animation:enemy_tolerance],[effect:remove_enhancement, target:unit_balance, target_effect:all, target_type:buff, animation:frozen_wave],[effect:fix_speed, target:myself, turn:1]</v>
      </c>
      <c r="N102" s="48" t="str">
        <f t="shared" si="55"/>
        <v>[effect:tolerance, target:myself, turn:-1, tolerance_effect:hungup, count:-1],[effect:tolerance, target:myself, turn:-1, tolerance_effect:sleep, count:-1, animation:enemy_tolerance],[effect:remove_enhancement, target:unit_balance, target_effect:all, target_type:buff, animation:frozen_wave],[effect:fix_speed, target:myself, turn:1]</v>
      </c>
      <c r="O102" s="63">
        <f t="shared" si="56"/>
        <v>9</v>
      </c>
      <c r="P102" s="63">
        <f t="shared" si="57"/>
        <v>18</v>
      </c>
      <c r="Q102" s="63">
        <f t="shared" si="58"/>
        <v>27</v>
      </c>
      <c r="R102" s="63">
        <f t="shared" si="59"/>
        <v>33</v>
      </c>
      <c r="S102" s="63" t="str">
        <f>IFERROR(VLOOKUP(MID(N102,Q102,R102-Q102),[6]skilldef!$C:$D,2,FALSE),"-") &amp; " / " &amp; IFERROR(VLOOKUP(MID(N102,O102,P102-O102),[6]skilldef!$A:$B,2,FALSE),"-")</f>
        <v>自分自身に / 状態異常耐性</v>
      </c>
      <c r="T102" s="48" t="str">
        <f t="shared" si="60"/>
        <v>[effect:tolerance, target:myself, turn:-1, tolerance_effect:sleep, count:-1, animation:enemy_tolerance],[effect:remove_enhancement, target:unit_balance, target_effect:all, target_type:buff, animation:frozen_wave],[effect:fix_speed, target:myself, turn:1]</v>
      </c>
      <c r="U102" s="63">
        <f t="shared" si="61"/>
        <v>9</v>
      </c>
      <c r="V102" s="63">
        <f t="shared" si="62"/>
        <v>18</v>
      </c>
      <c r="W102" s="63">
        <f t="shared" si="63"/>
        <v>27</v>
      </c>
      <c r="X102" s="63">
        <f t="shared" si="64"/>
        <v>33</v>
      </c>
      <c r="Y102" s="63" t="str">
        <f>IFERROR(VLOOKUP(MID(T102,W102,X102-W102),[6]skilldef!$C:$D,2,FALSE),"-") &amp; " / " &amp; IFERROR(VLOOKUP(MID(T102,U102,V102-U102),[6]skilldef!$A:$B,2,FALSE),"-")</f>
        <v>自分自身に / 状態異常耐性</v>
      </c>
      <c r="Z102" s="103"/>
      <c r="AA102" s="105"/>
      <c r="AB102" s="103"/>
    </row>
    <row r="103" spans="1:28" ht="21" customHeight="1" x14ac:dyDescent="0.15">
      <c r="A103" s="47">
        <v>50004102</v>
      </c>
      <c r="B103" s="47" t="s">
        <v>315</v>
      </c>
      <c r="C103" s="103">
        <v>3</v>
      </c>
      <c r="D103" s="103" t="s">
        <v>243</v>
      </c>
      <c r="E103" s="104" t="s">
        <v>446</v>
      </c>
      <c r="F103" s="104" t="s">
        <v>219</v>
      </c>
      <c r="G103" s="63" t="str">
        <f t="shared" si="49"/>
        <v>[effect:spread, val:0.33]</v>
      </c>
      <c r="H103" s="63">
        <f t="shared" si="50"/>
        <v>9</v>
      </c>
      <c r="I103" s="63">
        <f t="shared" si="51"/>
        <v>15</v>
      </c>
      <c r="J103" s="63" t="e">
        <f t="shared" si="52"/>
        <v>#VALUE!</v>
      </c>
      <c r="K103" s="63" t="e">
        <f t="shared" si="53"/>
        <v>#VALUE!</v>
      </c>
      <c r="L103" s="63" t="str">
        <f>IFERROR(VLOOKUP(MID(G103,J103,K103-J103),[6]skilldef!$C:$D,2,FALSE),"-") &amp; " / " &amp; IFERROR(VLOOKUP(MID(G103,H103,I103-H103),[6]skilldef!$A:$B,2,FALSE),"-")</f>
        <v>- / 全体攻撃</v>
      </c>
      <c r="M103" s="63" t="str">
        <f t="shared" si="54"/>
        <v>none</v>
      </c>
      <c r="N103" s="48" t="str">
        <f t="shared" si="55"/>
        <v>none</v>
      </c>
      <c r="O103" s="63" t="e">
        <f t="shared" si="56"/>
        <v>#VALUE!</v>
      </c>
      <c r="P103" s="63">
        <f t="shared" si="57"/>
        <v>4</v>
      </c>
      <c r="Q103" s="63" t="e">
        <f t="shared" si="58"/>
        <v>#VALUE!</v>
      </c>
      <c r="R103" s="63" t="e">
        <f t="shared" si="59"/>
        <v>#VALUE!</v>
      </c>
      <c r="S103" s="63" t="str">
        <f>IFERROR(VLOOKUP(MID(N103,Q103,R103-Q103),[6]skilldef!$C:$D,2,FALSE),"-") &amp; " / " &amp; IFERROR(VLOOKUP(MID(N103,O103,P103-O103),[6]skilldef!$A:$B,2,FALSE),"-")</f>
        <v>- / -</v>
      </c>
      <c r="T103" s="48" t="str">
        <f t="shared" si="60"/>
        <v>none</v>
      </c>
      <c r="U103" s="63" t="e">
        <f t="shared" si="61"/>
        <v>#VALUE!</v>
      </c>
      <c r="V103" s="63">
        <f t="shared" si="62"/>
        <v>4</v>
      </c>
      <c r="W103" s="63" t="e">
        <f t="shared" si="63"/>
        <v>#VALUE!</v>
      </c>
      <c r="X103" s="63" t="e">
        <f t="shared" si="64"/>
        <v>#VALUE!</v>
      </c>
      <c r="Y103" s="63" t="str">
        <f>IFERROR(VLOOKUP(MID(T103,W103,X103-W103),[6]skilldef!$C:$D,2,FALSE),"-") &amp; " / " &amp; IFERROR(VLOOKUP(MID(T103,U103,V103-U103),[6]skilldef!$A:$B,2,FALSE),"-")</f>
        <v>- / -</v>
      </c>
      <c r="Z103" s="103"/>
      <c r="AA103" s="105"/>
      <c r="AB103" s="103"/>
    </row>
    <row r="104" spans="1:28" ht="21" customHeight="1" x14ac:dyDescent="0.15">
      <c r="A104" s="47">
        <v>50004103</v>
      </c>
      <c r="B104" s="102" t="s">
        <v>402</v>
      </c>
      <c r="C104" s="103">
        <v>3</v>
      </c>
      <c r="D104" s="103" t="s">
        <v>243</v>
      </c>
      <c r="E104" s="104" t="s">
        <v>462</v>
      </c>
      <c r="F104" s="104" t="s">
        <v>401</v>
      </c>
      <c r="G104" s="63" t="str">
        <f t="shared" si="49"/>
        <v>[effect:degrade_unit, target:unit_all, turn:3, status:heal, val:0.5, calc:mul, animation:degrade_unit_all_heal]</v>
      </c>
      <c r="H104" s="63">
        <f t="shared" si="50"/>
        <v>9</v>
      </c>
      <c r="I104" s="63">
        <f t="shared" si="51"/>
        <v>21</v>
      </c>
      <c r="J104" s="63">
        <f t="shared" si="52"/>
        <v>30</v>
      </c>
      <c r="K104" s="63">
        <f t="shared" si="53"/>
        <v>38</v>
      </c>
      <c r="L104" s="63" t="str">
        <f>IFERROR(VLOOKUP(MID(G104,J104,K104-J104),[6]skilldef!$C:$D,2,FALSE),"-") &amp; " / " &amp; IFERROR(VLOOKUP(MID(G104,H104,I104-H104),[6]skilldef!$A:$B,2,FALSE),"-")</f>
        <v>味方全体に / ステータスDOWN</v>
      </c>
      <c r="M104" s="63" t="str">
        <f t="shared" si="54"/>
        <v>[effect:rush, count:1, val:0.5]</v>
      </c>
      <c r="N104" s="48" t="str">
        <f t="shared" si="55"/>
        <v>[effect:rush, count:1, val:0.5]</v>
      </c>
      <c r="O104" s="63">
        <f t="shared" si="56"/>
        <v>9</v>
      </c>
      <c r="P104" s="63">
        <f t="shared" si="57"/>
        <v>13</v>
      </c>
      <c r="Q104" s="63" t="e">
        <f t="shared" si="58"/>
        <v>#VALUE!</v>
      </c>
      <c r="R104" s="63">
        <f t="shared" si="59"/>
        <v>22</v>
      </c>
      <c r="S104" s="63" t="str">
        <f>IFERROR(VLOOKUP(MID(N104,Q104,R104-Q104),[6]skilldef!$C:$D,2,FALSE),"-") &amp; " / " &amp; IFERROR(VLOOKUP(MID(N104,O104,P104-O104),[6]skilldef!$A:$B,2,FALSE),"-")</f>
        <v>- / 連続攻撃</v>
      </c>
      <c r="T104" s="48" t="str">
        <f t="shared" si="60"/>
        <v>none</v>
      </c>
      <c r="U104" s="63" t="e">
        <f t="shared" si="61"/>
        <v>#VALUE!</v>
      </c>
      <c r="V104" s="63">
        <f t="shared" si="62"/>
        <v>4</v>
      </c>
      <c r="W104" s="63" t="e">
        <f t="shared" si="63"/>
        <v>#VALUE!</v>
      </c>
      <c r="X104" s="63" t="e">
        <f t="shared" si="64"/>
        <v>#VALUE!</v>
      </c>
      <c r="Y104" s="63" t="str">
        <f>IFERROR(VLOOKUP(MID(T104,W104,X104-W104),[6]skilldef!$C:$D,2,FALSE),"-") &amp; " / " &amp; IFERROR(VLOOKUP(MID(T104,U104,V104-U104),[6]skilldef!$A:$B,2,FALSE),"-")</f>
        <v>- / -</v>
      </c>
      <c r="Z104" s="103"/>
      <c r="AA104" s="105"/>
      <c r="AB104" s="103"/>
    </row>
    <row r="105" spans="1:28" ht="21" customHeight="1" x14ac:dyDescent="0.15">
      <c r="A105" s="47">
        <v>50004104</v>
      </c>
      <c r="B105" s="102" t="s">
        <v>317</v>
      </c>
      <c r="C105" s="103">
        <v>3</v>
      </c>
      <c r="D105" s="103" t="s">
        <v>243</v>
      </c>
      <c r="E105" s="104" t="s">
        <v>363</v>
      </c>
      <c r="F105" s="104" t="s">
        <v>309</v>
      </c>
      <c r="G105" s="63" t="str">
        <f t="shared" si="49"/>
        <v>[effect:hungup, target:unit_all, turn:1, rate:1, animation:hungup01]</v>
      </c>
      <c r="H105" s="63">
        <f t="shared" si="50"/>
        <v>9</v>
      </c>
      <c r="I105" s="63">
        <f t="shared" si="51"/>
        <v>15</v>
      </c>
      <c r="J105" s="63">
        <f t="shared" si="52"/>
        <v>24</v>
      </c>
      <c r="K105" s="63">
        <f t="shared" si="53"/>
        <v>32</v>
      </c>
      <c r="L105" s="63" t="str">
        <f>IFERROR(VLOOKUP(MID(G105,J105,K105-J105),[6]skilldef!$C:$D,2,FALSE),"-") &amp; " / " &amp; IFERROR(VLOOKUP(MID(G105,H105,I105-H105),[6]skilldef!$A:$B,2,FALSE),"-")</f>
        <v>味方全体に / ハングアップ</v>
      </c>
      <c r="M105" s="63" t="str">
        <f t="shared" si="54"/>
        <v>[effect:spread, val:0.3]</v>
      </c>
      <c r="N105" s="48" t="str">
        <f t="shared" si="55"/>
        <v>[effect:spread, val:0.3]</v>
      </c>
      <c r="O105" s="63">
        <f t="shared" si="56"/>
        <v>9</v>
      </c>
      <c r="P105" s="63">
        <f t="shared" si="57"/>
        <v>15</v>
      </c>
      <c r="Q105" s="63" t="e">
        <f t="shared" si="58"/>
        <v>#VALUE!</v>
      </c>
      <c r="R105" s="63" t="e">
        <f t="shared" si="59"/>
        <v>#VALUE!</v>
      </c>
      <c r="S105" s="63" t="str">
        <f>IFERROR(VLOOKUP(MID(N105,Q105,R105-Q105),[6]skilldef!$C:$D,2,FALSE),"-") &amp; " / " &amp; IFERROR(VLOOKUP(MID(N105,O105,P105-O105),[6]skilldef!$A:$B,2,FALSE),"-")</f>
        <v>- / 全体攻撃</v>
      </c>
      <c r="T105" s="48" t="str">
        <f t="shared" si="60"/>
        <v>none</v>
      </c>
      <c r="U105" s="63" t="e">
        <f t="shared" si="61"/>
        <v>#VALUE!</v>
      </c>
      <c r="V105" s="63">
        <f t="shared" si="62"/>
        <v>4</v>
      </c>
      <c r="W105" s="63" t="e">
        <f t="shared" si="63"/>
        <v>#VALUE!</v>
      </c>
      <c r="X105" s="63" t="e">
        <f t="shared" si="64"/>
        <v>#VALUE!</v>
      </c>
      <c r="Y105" s="63" t="str">
        <f>IFERROR(VLOOKUP(MID(T105,W105,X105-W105),[6]skilldef!$C:$D,2,FALSE),"-") &amp; " / " &amp; IFERROR(VLOOKUP(MID(T105,U105,V105-U105),[6]skilldef!$A:$B,2,FALSE),"-")</f>
        <v>- / -</v>
      </c>
      <c r="Z105" s="103"/>
      <c r="AA105" s="105"/>
      <c r="AB105" s="103"/>
    </row>
    <row r="106" spans="1:28" ht="21" customHeight="1" x14ac:dyDescent="0.15">
      <c r="A106" s="47">
        <v>50004105</v>
      </c>
      <c r="B106" s="102" t="s">
        <v>267</v>
      </c>
      <c r="C106" s="103">
        <v>3</v>
      </c>
      <c r="D106" s="103" t="s">
        <v>243</v>
      </c>
      <c r="E106" s="104" t="s">
        <v>434</v>
      </c>
      <c r="F106" s="104" t="s">
        <v>248</v>
      </c>
      <c r="G106" s="63" t="str">
        <f t="shared" si="49"/>
        <v>[effect:damage_anti_abnormal, target:unit_all, target_effect01:hungup, val1:0.5, val2:0.25]</v>
      </c>
      <c r="H106" s="63">
        <f t="shared" si="50"/>
        <v>9</v>
      </c>
      <c r="I106" s="63">
        <f t="shared" si="51"/>
        <v>29</v>
      </c>
      <c r="J106" s="63">
        <f t="shared" si="52"/>
        <v>38</v>
      </c>
      <c r="K106" s="63">
        <f t="shared" si="53"/>
        <v>46</v>
      </c>
      <c r="L106" s="63" t="str">
        <f>IFERROR(VLOOKUP(MID(G106,J106,K106-J106),[6]skilldef!$C:$D,2,FALSE),"-") &amp; " / " &amp; IFERROR(VLOOKUP(MID(G106,H106,I106-H106),[6]skilldef!$A:$B,2,FALSE),"-")</f>
        <v>味方全体に / -</v>
      </c>
      <c r="M106" s="63" t="str">
        <f t="shared" si="54"/>
        <v>none</v>
      </c>
      <c r="N106" s="48" t="str">
        <f t="shared" si="55"/>
        <v>none</v>
      </c>
      <c r="O106" s="63" t="e">
        <f t="shared" si="56"/>
        <v>#VALUE!</v>
      </c>
      <c r="P106" s="63">
        <f t="shared" si="57"/>
        <v>4</v>
      </c>
      <c r="Q106" s="63" t="e">
        <f t="shared" si="58"/>
        <v>#VALUE!</v>
      </c>
      <c r="R106" s="63" t="e">
        <f t="shared" si="59"/>
        <v>#VALUE!</v>
      </c>
      <c r="S106" s="63" t="str">
        <f>IFERROR(VLOOKUP(MID(N106,Q106,R106-Q106),[6]skilldef!$C:$D,2,FALSE),"-") &amp; " / " &amp; IFERROR(VLOOKUP(MID(N106,O106,P106-O106),[6]skilldef!$A:$B,2,FALSE),"-")</f>
        <v>- / -</v>
      </c>
      <c r="T106" s="48" t="str">
        <f t="shared" si="60"/>
        <v>none</v>
      </c>
      <c r="U106" s="63" t="e">
        <f t="shared" si="61"/>
        <v>#VALUE!</v>
      </c>
      <c r="V106" s="63">
        <f t="shared" si="62"/>
        <v>4</v>
      </c>
      <c r="W106" s="63" t="e">
        <f t="shared" si="63"/>
        <v>#VALUE!</v>
      </c>
      <c r="X106" s="63" t="e">
        <f t="shared" si="64"/>
        <v>#VALUE!</v>
      </c>
      <c r="Y106" s="63" t="str">
        <f>IFERROR(VLOOKUP(MID(T106,W106,X106-W106),[6]skilldef!$C:$D,2,FALSE),"-") &amp; " / " &amp; IFERROR(VLOOKUP(MID(T106,U106,V106-U106),[6]skilldef!$A:$B,2,FALSE),"-")</f>
        <v>- / -</v>
      </c>
      <c r="Z106" s="103"/>
      <c r="AA106" s="105"/>
      <c r="AB106" s="103"/>
    </row>
    <row r="107" spans="1:28" ht="21" customHeight="1" x14ac:dyDescent="0.15">
      <c r="A107" s="47">
        <v>50004106</v>
      </c>
      <c r="B107" s="102" t="s">
        <v>316</v>
      </c>
      <c r="C107" s="103">
        <v>3</v>
      </c>
      <c r="D107" s="103" t="s">
        <v>243</v>
      </c>
      <c r="E107" s="104" t="s">
        <v>364</v>
      </c>
      <c r="F107" s="104" t="s">
        <v>310</v>
      </c>
      <c r="G107" s="63" t="str">
        <f t="shared" si="49"/>
        <v>[effect:sleep, target:unit_all, turn:1, rate:1, animation:sleep01]</v>
      </c>
      <c r="H107" s="63">
        <f t="shared" si="50"/>
        <v>9</v>
      </c>
      <c r="I107" s="63">
        <f t="shared" si="51"/>
        <v>14</v>
      </c>
      <c r="J107" s="63">
        <f t="shared" si="52"/>
        <v>23</v>
      </c>
      <c r="K107" s="63">
        <f t="shared" si="53"/>
        <v>31</v>
      </c>
      <c r="L107" s="63" t="str">
        <f>IFERROR(VLOOKUP(MID(G107,J107,K107-J107),[6]skilldef!$C:$D,2,FALSE),"-") &amp; " / " &amp; IFERROR(VLOOKUP(MID(G107,H107,I107-H107),[6]skilldef!$A:$B,2,FALSE),"-")</f>
        <v>味方全体に / スリープ</v>
      </c>
      <c r="M107" s="63" t="str">
        <f t="shared" si="54"/>
        <v>[effect:spread, val:0.3]</v>
      </c>
      <c r="N107" s="48" t="str">
        <f t="shared" si="55"/>
        <v>[effect:spread, val:0.3]</v>
      </c>
      <c r="O107" s="63">
        <f t="shared" si="56"/>
        <v>9</v>
      </c>
      <c r="P107" s="63">
        <f t="shared" si="57"/>
        <v>15</v>
      </c>
      <c r="Q107" s="63" t="e">
        <f t="shared" si="58"/>
        <v>#VALUE!</v>
      </c>
      <c r="R107" s="63" t="e">
        <f t="shared" si="59"/>
        <v>#VALUE!</v>
      </c>
      <c r="S107" s="63" t="str">
        <f>IFERROR(VLOOKUP(MID(N107,Q107,R107-Q107),[6]skilldef!$C:$D,2,FALSE),"-") &amp; " / " &amp; IFERROR(VLOOKUP(MID(N107,O107,P107-O107),[6]skilldef!$A:$B,2,FALSE),"-")</f>
        <v>- / 全体攻撃</v>
      </c>
      <c r="T107" s="48" t="str">
        <f t="shared" si="60"/>
        <v>none</v>
      </c>
      <c r="U107" s="63" t="e">
        <f t="shared" si="61"/>
        <v>#VALUE!</v>
      </c>
      <c r="V107" s="63">
        <f t="shared" si="62"/>
        <v>4</v>
      </c>
      <c r="W107" s="63" t="e">
        <f t="shared" si="63"/>
        <v>#VALUE!</v>
      </c>
      <c r="X107" s="63" t="e">
        <f t="shared" si="64"/>
        <v>#VALUE!</v>
      </c>
      <c r="Y107" s="63" t="str">
        <f>IFERROR(VLOOKUP(MID(T107,W107,X107-W107),[6]skilldef!$C:$D,2,FALSE),"-") &amp; " / " &amp; IFERROR(VLOOKUP(MID(T107,U107,V107-U107),[6]skilldef!$A:$B,2,FALSE),"-")</f>
        <v>- / -</v>
      </c>
      <c r="Z107" s="103"/>
      <c r="AA107" s="105"/>
      <c r="AB107" s="103"/>
    </row>
    <row r="108" spans="1:28" ht="21" customHeight="1" x14ac:dyDescent="0.15">
      <c r="A108" s="47">
        <v>50004107</v>
      </c>
      <c r="B108" s="102" t="s">
        <v>268</v>
      </c>
      <c r="C108" s="103">
        <v>3</v>
      </c>
      <c r="D108" s="103" t="s">
        <v>243</v>
      </c>
      <c r="E108" s="104" t="s">
        <v>452</v>
      </c>
      <c r="F108" s="104" t="s">
        <v>249</v>
      </c>
      <c r="G108" s="63" t="str">
        <f t="shared" si="49"/>
        <v>[effect:damage_anti_abnormal, target:unit_all, target_effect01:sleep, val1:0.5, val2:0.25]</v>
      </c>
      <c r="H108" s="63">
        <f t="shared" si="50"/>
        <v>9</v>
      </c>
      <c r="I108" s="63">
        <f t="shared" si="51"/>
        <v>29</v>
      </c>
      <c r="J108" s="63">
        <f t="shared" si="52"/>
        <v>38</v>
      </c>
      <c r="K108" s="63">
        <f t="shared" si="53"/>
        <v>46</v>
      </c>
      <c r="L108" s="63" t="str">
        <f>IFERROR(VLOOKUP(MID(G108,J108,K108-J108),[6]skilldef!$C:$D,2,FALSE),"-") &amp; " / " &amp; IFERROR(VLOOKUP(MID(G108,H108,I108-H108),[6]skilldef!$A:$B,2,FALSE),"-")</f>
        <v>味方全体に / -</v>
      </c>
      <c r="M108" s="63" t="str">
        <f t="shared" si="54"/>
        <v>none</v>
      </c>
      <c r="N108" s="48" t="str">
        <f t="shared" si="55"/>
        <v>none</v>
      </c>
      <c r="O108" s="63" t="e">
        <f t="shared" si="56"/>
        <v>#VALUE!</v>
      </c>
      <c r="P108" s="63">
        <f t="shared" si="57"/>
        <v>4</v>
      </c>
      <c r="Q108" s="63" t="e">
        <f t="shared" si="58"/>
        <v>#VALUE!</v>
      </c>
      <c r="R108" s="63" t="e">
        <f t="shared" si="59"/>
        <v>#VALUE!</v>
      </c>
      <c r="S108" s="63" t="str">
        <f>IFERROR(VLOOKUP(MID(N108,Q108,R108-Q108),[6]skilldef!$C:$D,2,FALSE),"-") &amp; " / " &amp; IFERROR(VLOOKUP(MID(N108,O108,P108-O108),[6]skilldef!$A:$B,2,FALSE),"-")</f>
        <v>- / -</v>
      </c>
      <c r="T108" s="48" t="str">
        <f t="shared" si="60"/>
        <v>none</v>
      </c>
      <c r="U108" s="63" t="e">
        <f t="shared" si="61"/>
        <v>#VALUE!</v>
      </c>
      <c r="V108" s="63">
        <f t="shared" si="62"/>
        <v>4</v>
      </c>
      <c r="W108" s="63" t="e">
        <f t="shared" si="63"/>
        <v>#VALUE!</v>
      </c>
      <c r="X108" s="63" t="e">
        <f t="shared" si="64"/>
        <v>#VALUE!</v>
      </c>
      <c r="Y108" s="63" t="str">
        <f>IFERROR(VLOOKUP(MID(T108,W108,X108-W108),[6]skilldef!$C:$D,2,FALSE),"-") &amp; " / " &amp; IFERROR(VLOOKUP(MID(T108,U108,V108-U108),[6]skilldef!$A:$B,2,FALSE),"-")</f>
        <v>- / -</v>
      </c>
      <c r="Z108" s="103"/>
      <c r="AA108" s="105"/>
      <c r="AB108" s="103"/>
    </row>
    <row r="109" spans="1:28" ht="21" customHeight="1" x14ac:dyDescent="0.15">
      <c r="A109" s="47">
        <v>50004108</v>
      </c>
      <c r="B109" s="102" t="s">
        <v>460</v>
      </c>
      <c r="C109" s="103">
        <v>3</v>
      </c>
      <c r="D109" s="103" t="s">
        <v>243</v>
      </c>
      <c r="E109" s="104" t="s">
        <v>365</v>
      </c>
      <c r="F109" s="104" t="s">
        <v>453</v>
      </c>
      <c r="G109" s="63" t="str">
        <f t="shared" si="49"/>
        <v>[effect:enemy_message, val1:1.2, val2:2.8]</v>
      </c>
      <c r="H109" s="63">
        <f t="shared" si="50"/>
        <v>9</v>
      </c>
      <c r="I109" s="63">
        <f t="shared" si="51"/>
        <v>22</v>
      </c>
      <c r="J109" s="63" t="e">
        <f t="shared" si="52"/>
        <v>#VALUE!</v>
      </c>
      <c r="K109" s="63">
        <f t="shared" si="53"/>
        <v>32</v>
      </c>
      <c r="L109" s="63" t="str">
        <f>IFERROR(VLOOKUP(MID(G109,J109,K109-J109),[6]skilldef!$C:$D,2,FALSE),"-") &amp; " / " &amp; IFERROR(VLOOKUP(MID(G109,H109,I109-H109),[6]skilldef!$A:$B,2,FALSE),"-")</f>
        <v>- / -</v>
      </c>
      <c r="M109" s="63" t="str">
        <f t="shared" si="54"/>
        <v>[effect:tolerance, target:unit_all, turn:-1, tolerance_effect:all, count:-1, animation:prevent_abnormal_Unit04]</v>
      </c>
      <c r="N109" s="48" t="str">
        <f t="shared" si="55"/>
        <v>[effect:tolerance, target:unit_all, turn:-1, tolerance_effect:all, count:-1, animation:prevent_abnormal_Unit04]</v>
      </c>
      <c r="O109" s="63">
        <f t="shared" si="56"/>
        <v>9</v>
      </c>
      <c r="P109" s="63">
        <f t="shared" si="57"/>
        <v>18</v>
      </c>
      <c r="Q109" s="63">
        <f t="shared" si="58"/>
        <v>27</v>
      </c>
      <c r="R109" s="63">
        <f t="shared" si="59"/>
        <v>35</v>
      </c>
      <c r="S109" s="63" t="str">
        <f>IFERROR(VLOOKUP(MID(N109,Q109,R109-Q109),[6]skilldef!$C:$D,2,FALSE),"-") &amp; " / " &amp; IFERROR(VLOOKUP(MID(N109,O109,P109-O109),[6]skilldef!$A:$B,2,FALSE),"-")</f>
        <v>味方全体に / 状態異常耐性</v>
      </c>
      <c r="T109" s="48" t="str">
        <f t="shared" si="60"/>
        <v>none</v>
      </c>
      <c r="U109" s="63" t="e">
        <f t="shared" si="61"/>
        <v>#VALUE!</v>
      </c>
      <c r="V109" s="63">
        <f t="shared" si="62"/>
        <v>4</v>
      </c>
      <c r="W109" s="63" t="e">
        <f t="shared" si="63"/>
        <v>#VALUE!</v>
      </c>
      <c r="X109" s="63" t="e">
        <f t="shared" si="64"/>
        <v>#VALUE!</v>
      </c>
      <c r="Y109" s="63" t="str">
        <f>IFERROR(VLOOKUP(MID(T109,W109,X109-W109),[6]skilldef!$C:$D,2,FALSE),"-") &amp; " / " &amp; IFERROR(VLOOKUP(MID(T109,U109,V109-U109),[6]skilldef!$A:$B,2,FALSE),"-")</f>
        <v>- / -</v>
      </c>
      <c r="Z109" s="103"/>
      <c r="AA109" s="105"/>
      <c r="AB109" s="103"/>
    </row>
    <row r="110" spans="1:28" ht="21" customHeight="1" x14ac:dyDescent="0.15">
      <c r="A110" s="47">
        <v>50004109</v>
      </c>
      <c r="B110" s="102" t="s">
        <v>451</v>
      </c>
      <c r="C110" s="103">
        <v>3</v>
      </c>
      <c r="D110" s="103" t="s">
        <v>243</v>
      </c>
      <c r="E110" s="104" t="s">
        <v>457</v>
      </c>
      <c r="F110" s="104" t="s">
        <v>450</v>
      </c>
      <c r="G110" s="63" t="str">
        <f t="shared" si="49"/>
        <v>[effect:damage_anti_abnormal, target:unit_all, target_effect01:tolerance, val1:0.7, val2:0.35]</v>
      </c>
      <c r="H110" s="63">
        <f t="shared" si="50"/>
        <v>9</v>
      </c>
      <c r="I110" s="63">
        <f t="shared" si="51"/>
        <v>29</v>
      </c>
      <c r="J110" s="63">
        <f t="shared" si="52"/>
        <v>38</v>
      </c>
      <c r="K110" s="63">
        <f t="shared" si="53"/>
        <v>46</v>
      </c>
      <c r="L110" s="63" t="str">
        <f>IFERROR(VLOOKUP(MID(G110,J110,K110-J110),[6]skilldef!$C:$D,2,FALSE),"-") &amp; " / " &amp; IFERROR(VLOOKUP(MID(G110,H110,I110-H110),[6]skilldef!$A:$B,2,FALSE),"-")</f>
        <v>味方全体に / -</v>
      </c>
      <c r="M110" s="63" t="str">
        <f t="shared" si="54"/>
        <v>none</v>
      </c>
      <c r="N110" s="48" t="str">
        <f t="shared" si="55"/>
        <v>none</v>
      </c>
      <c r="O110" s="63" t="e">
        <f t="shared" si="56"/>
        <v>#VALUE!</v>
      </c>
      <c r="P110" s="63">
        <f t="shared" si="57"/>
        <v>4</v>
      </c>
      <c r="Q110" s="63" t="e">
        <f t="shared" si="58"/>
        <v>#VALUE!</v>
      </c>
      <c r="R110" s="63" t="e">
        <f t="shared" si="59"/>
        <v>#VALUE!</v>
      </c>
      <c r="S110" s="63" t="str">
        <f>IFERROR(VLOOKUP(MID(N110,Q110,R110-Q110),[6]skilldef!$C:$D,2,FALSE),"-") &amp; " / " &amp; IFERROR(VLOOKUP(MID(N110,O110,P110-O110),[6]skilldef!$A:$B,2,FALSE),"-")</f>
        <v>- / -</v>
      </c>
      <c r="T110" s="48" t="str">
        <f t="shared" si="60"/>
        <v>none</v>
      </c>
      <c r="U110" s="63" t="e">
        <f t="shared" si="61"/>
        <v>#VALUE!</v>
      </c>
      <c r="V110" s="63">
        <f t="shared" si="62"/>
        <v>4</v>
      </c>
      <c r="W110" s="63" t="e">
        <f t="shared" si="63"/>
        <v>#VALUE!</v>
      </c>
      <c r="X110" s="63" t="e">
        <f t="shared" si="64"/>
        <v>#VALUE!</v>
      </c>
      <c r="Y110" s="63" t="str">
        <f>IFERROR(VLOOKUP(MID(T110,W110,X110-W110),[6]skilldef!$C:$D,2,FALSE),"-") &amp; " / " &amp; IFERROR(VLOOKUP(MID(T110,U110,V110-U110),[6]skilldef!$A:$B,2,FALSE),"-")</f>
        <v>- / -</v>
      </c>
      <c r="Z110" s="103"/>
      <c r="AA110" s="105"/>
      <c r="AB110" s="103"/>
    </row>
    <row r="111" spans="1:28" ht="21" customHeight="1" x14ac:dyDescent="0.15">
      <c r="A111" s="106">
        <v>50004110</v>
      </c>
      <c r="B111" s="106" t="s">
        <v>262</v>
      </c>
      <c r="C111" s="109">
        <v>1</v>
      </c>
      <c r="D111" s="109" t="s">
        <v>243</v>
      </c>
      <c r="E111" s="110" t="s">
        <v>247</v>
      </c>
      <c r="F111" s="110" t="s">
        <v>217</v>
      </c>
      <c r="G111" s="63" t="str">
        <f t="shared" si="49"/>
        <v>[effect:nothing]</v>
      </c>
      <c r="H111" s="63">
        <f t="shared" si="50"/>
        <v>9</v>
      </c>
      <c r="I111" s="63">
        <f t="shared" si="51"/>
        <v>16</v>
      </c>
      <c r="J111" s="63" t="e">
        <f t="shared" si="52"/>
        <v>#VALUE!</v>
      </c>
      <c r="K111" s="63" t="e">
        <f t="shared" si="53"/>
        <v>#VALUE!</v>
      </c>
      <c r="L111" s="63" t="str">
        <f>IFERROR(VLOOKUP(MID(G111,J111,K111-J111),[6]skilldef!$C:$D,2,FALSE),"-") &amp; " / " &amp; IFERROR(VLOOKUP(MID(G111,H111,I111-H111),[6]skilldef!$A:$B,2,FALSE),"-")</f>
        <v>- / 何もしない</v>
      </c>
      <c r="M111" s="63" t="str">
        <f t="shared" si="54"/>
        <v>none</v>
      </c>
      <c r="N111" s="48" t="str">
        <f t="shared" si="55"/>
        <v>none</v>
      </c>
      <c r="O111" s="63" t="e">
        <f t="shared" si="56"/>
        <v>#VALUE!</v>
      </c>
      <c r="P111" s="63">
        <f t="shared" si="57"/>
        <v>4</v>
      </c>
      <c r="Q111" s="63" t="e">
        <f t="shared" si="58"/>
        <v>#VALUE!</v>
      </c>
      <c r="R111" s="63" t="e">
        <f t="shared" si="59"/>
        <v>#VALUE!</v>
      </c>
      <c r="S111" s="63" t="str">
        <f>IFERROR(VLOOKUP(MID(N111,Q111,R111-Q111),[6]skilldef!$C:$D,2,FALSE),"-") &amp; " / " &amp; IFERROR(VLOOKUP(MID(N111,O111,P111-O111),[6]skilldef!$A:$B,2,FALSE),"-")</f>
        <v>- / -</v>
      </c>
      <c r="T111" s="48" t="str">
        <f t="shared" si="60"/>
        <v>none</v>
      </c>
      <c r="U111" s="63" t="e">
        <f t="shared" si="61"/>
        <v>#VALUE!</v>
      </c>
      <c r="V111" s="63">
        <f t="shared" si="62"/>
        <v>4</v>
      </c>
      <c r="W111" s="63" t="e">
        <f t="shared" si="63"/>
        <v>#VALUE!</v>
      </c>
      <c r="X111" s="63" t="e">
        <f t="shared" si="64"/>
        <v>#VALUE!</v>
      </c>
      <c r="Y111" s="63" t="str">
        <f>IFERROR(VLOOKUP(MID(T111,W111,X111-W111),[6]skilldef!$C:$D,2,FALSE),"-") &amp; " / " &amp; IFERROR(VLOOKUP(MID(T111,U111,V111-U111),[6]skilldef!$A:$B,2,FALSE),"-")</f>
        <v>- / -</v>
      </c>
      <c r="Z111" s="103"/>
      <c r="AA111" s="105"/>
      <c r="AB111" s="103"/>
    </row>
    <row r="112" spans="1:28" ht="21" customHeight="1" x14ac:dyDescent="0.15">
      <c r="A112" s="106">
        <v>50004111</v>
      </c>
      <c r="B112" s="106" t="s">
        <v>262</v>
      </c>
      <c r="C112" s="109">
        <v>1</v>
      </c>
      <c r="D112" s="109" t="s">
        <v>243</v>
      </c>
      <c r="E112" s="110" t="s">
        <v>247</v>
      </c>
      <c r="F112" s="110" t="s">
        <v>217</v>
      </c>
      <c r="G112" s="63" t="str">
        <f t="shared" si="49"/>
        <v>[effect:nothing]</v>
      </c>
      <c r="H112" s="63">
        <f t="shared" si="50"/>
        <v>9</v>
      </c>
      <c r="I112" s="63">
        <f t="shared" si="51"/>
        <v>16</v>
      </c>
      <c r="J112" s="63" t="e">
        <f t="shared" si="52"/>
        <v>#VALUE!</v>
      </c>
      <c r="K112" s="63" t="e">
        <f t="shared" si="53"/>
        <v>#VALUE!</v>
      </c>
      <c r="L112" s="63" t="str">
        <f>IFERROR(VLOOKUP(MID(G112,J112,K112-J112),[6]skilldef!$C:$D,2,FALSE),"-") &amp; " / " &amp; IFERROR(VLOOKUP(MID(G112,H112,I112-H112),[6]skilldef!$A:$B,2,FALSE),"-")</f>
        <v>- / 何もしない</v>
      </c>
      <c r="M112" s="63" t="str">
        <f t="shared" si="54"/>
        <v>none</v>
      </c>
      <c r="N112" s="48" t="str">
        <f t="shared" si="55"/>
        <v>none</v>
      </c>
      <c r="O112" s="63" t="e">
        <f t="shared" si="56"/>
        <v>#VALUE!</v>
      </c>
      <c r="P112" s="63">
        <f t="shared" si="57"/>
        <v>4</v>
      </c>
      <c r="Q112" s="63" t="e">
        <f t="shared" si="58"/>
        <v>#VALUE!</v>
      </c>
      <c r="R112" s="63" t="e">
        <f t="shared" si="59"/>
        <v>#VALUE!</v>
      </c>
      <c r="S112" s="63" t="str">
        <f>IFERROR(VLOOKUP(MID(N112,Q112,R112-Q112),[6]skilldef!$C:$D,2,FALSE),"-") &amp; " / " &amp; IFERROR(VLOOKUP(MID(N112,O112,P112-O112),[6]skilldef!$A:$B,2,FALSE),"-")</f>
        <v>- / -</v>
      </c>
      <c r="T112" s="48" t="str">
        <f t="shared" si="60"/>
        <v>none</v>
      </c>
      <c r="U112" s="63" t="e">
        <f t="shared" si="61"/>
        <v>#VALUE!</v>
      </c>
      <c r="V112" s="63">
        <f t="shared" si="62"/>
        <v>4</v>
      </c>
      <c r="W112" s="63" t="e">
        <f t="shared" si="63"/>
        <v>#VALUE!</v>
      </c>
      <c r="X112" s="63" t="e">
        <f t="shared" si="64"/>
        <v>#VALUE!</v>
      </c>
      <c r="Y112" s="63" t="str">
        <f>IFERROR(VLOOKUP(MID(T112,W112,X112-W112),[6]skilldef!$C:$D,2,FALSE),"-") &amp; " / " &amp; IFERROR(VLOOKUP(MID(T112,U112,V112-U112),[6]skilldef!$A:$B,2,FALSE),"-")</f>
        <v>- / -</v>
      </c>
      <c r="Z112" s="103"/>
      <c r="AA112" s="105"/>
      <c r="AB112" s="103"/>
    </row>
    <row r="113" spans="1:28" ht="21" customHeight="1" x14ac:dyDescent="0.15">
      <c r="A113" s="106">
        <v>50004112</v>
      </c>
      <c r="B113" s="106" t="s">
        <v>262</v>
      </c>
      <c r="C113" s="109">
        <v>1</v>
      </c>
      <c r="D113" s="109" t="s">
        <v>243</v>
      </c>
      <c r="E113" s="110" t="s">
        <v>247</v>
      </c>
      <c r="F113" s="110" t="s">
        <v>217</v>
      </c>
      <c r="G113" s="63" t="str">
        <f t="shared" si="49"/>
        <v>[effect:nothing]</v>
      </c>
      <c r="H113" s="63">
        <f t="shared" si="50"/>
        <v>9</v>
      </c>
      <c r="I113" s="63">
        <f t="shared" si="51"/>
        <v>16</v>
      </c>
      <c r="J113" s="63" t="e">
        <f t="shared" si="52"/>
        <v>#VALUE!</v>
      </c>
      <c r="K113" s="63" t="e">
        <f t="shared" si="53"/>
        <v>#VALUE!</v>
      </c>
      <c r="L113" s="63" t="str">
        <f>IFERROR(VLOOKUP(MID(G113,J113,K113-J113),[6]skilldef!$C:$D,2,FALSE),"-") &amp; " / " &amp; IFERROR(VLOOKUP(MID(G113,H113,I113-H113),[6]skilldef!$A:$B,2,FALSE),"-")</f>
        <v>- / 何もしない</v>
      </c>
      <c r="M113" s="63" t="str">
        <f t="shared" si="54"/>
        <v>none</v>
      </c>
      <c r="N113" s="48" t="str">
        <f t="shared" si="55"/>
        <v>none</v>
      </c>
      <c r="O113" s="63" t="e">
        <f t="shared" si="56"/>
        <v>#VALUE!</v>
      </c>
      <c r="P113" s="63">
        <f t="shared" si="57"/>
        <v>4</v>
      </c>
      <c r="Q113" s="63" t="e">
        <f t="shared" si="58"/>
        <v>#VALUE!</v>
      </c>
      <c r="R113" s="63" t="e">
        <f t="shared" si="59"/>
        <v>#VALUE!</v>
      </c>
      <c r="S113" s="63" t="str">
        <f>IFERROR(VLOOKUP(MID(N113,Q113,R113-Q113),[6]skilldef!$C:$D,2,FALSE),"-") &amp; " / " &amp; IFERROR(VLOOKUP(MID(N113,O113,P113-O113),[6]skilldef!$A:$B,2,FALSE),"-")</f>
        <v>- / -</v>
      </c>
      <c r="T113" s="48" t="str">
        <f t="shared" si="60"/>
        <v>none</v>
      </c>
      <c r="U113" s="63" t="e">
        <f t="shared" si="61"/>
        <v>#VALUE!</v>
      </c>
      <c r="V113" s="63">
        <f t="shared" si="62"/>
        <v>4</v>
      </c>
      <c r="W113" s="63" t="e">
        <f t="shared" si="63"/>
        <v>#VALUE!</v>
      </c>
      <c r="X113" s="63" t="e">
        <f t="shared" si="64"/>
        <v>#VALUE!</v>
      </c>
      <c r="Y113" s="63" t="str">
        <f>IFERROR(VLOOKUP(MID(T113,W113,X113-W113),[6]skilldef!$C:$D,2,FALSE),"-") &amp; " / " &amp; IFERROR(VLOOKUP(MID(T113,U113,V113-U113),[6]skilldef!$A:$B,2,FALSE),"-")</f>
        <v>- / -</v>
      </c>
      <c r="Z113" s="103"/>
      <c r="AA113" s="105"/>
      <c r="AB113" s="103"/>
    </row>
    <row r="114" spans="1:28" ht="21" customHeight="1" x14ac:dyDescent="0.15">
      <c r="A114" s="47">
        <v>50004113</v>
      </c>
      <c r="B114" s="102" t="s">
        <v>461</v>
      </c>
      <c r="C114" s="103">
        <v>3</v>
      </c>
      <c r="D114" s="103" t="s">
        <v>243</v>
      </c>
      <c r="E114" s="104" t="s">
        <v>378</v>
      </c>
      <c r="F114" s="104" t="s">
        <v>427</v>
      </c>
      <c r="G114" s="63" t="str">
        <f t="shared" si="49"/>
        <v>[effect:enemy_message, val1:1.2, val2:3.2]</v>
      </c>
      <c r="H114" s="63">
        <f t="shared" si="50"/>
        <v>9</v>
      </c>
      <c r="I114" s="63">
        <f t="shared" si="51"/>
        <v>22</v>
      </c>
      <c r="J114" s="63" t="e">
        <f t="shared" si="52"/>
        <v>#VALUE!</v>
      </c>
      <c r="K114" s="63">
        <f t="shared" si="53"/>
        <v>32</v>
      </c>
      <c r="L114" s="63" t="str">
        <f>IFERROR(VLOOKUP(MID(G114,J114,K114-J114),[6]skilldef!$C:$D,2,FALSE),"-") &amp; " / " &amp; IFERROR(VLOOKUP(MID(G114,H114,I114-H114),[6]skilldef!$A:$B,2,FALSE),"-")</f>
        <v>- / -</v>
      </c>
      <c r="M114" s="63" t="str">
        <f t="shared" si="54"/>
        <v>[effect:tolerance, target:myself, turn:-1, tolerance_effect:virus, count:-1],[effect:tolerance, target:myself, turn:-1, tolerance_effect:hungup, count:-1],[effect:tolerance, target:myself, turn:-1, tolerance_effect:sleep, count:-1, animation:enemy_tolerance],[effect:fix_speed, target:myself, turn:1],[effect:hungup, target:unit_all, turn:-1, rate:1, animation:hungup01]</v>
      </c>
      <c r="N114" s="48" t="str">
        <f t="shared" si="55"/>
        <v>[effect:tolerance, target:myself, turn:-1, tolerance_effect:virus, count:-1],[effect:tolerance, target:myself, turn:-1, tolerance_effect:hungup, count:-1],[effect:tolerance, target:myself, turn:-1, tolerance_effect:sleep, count:-1, animation:enemy_tolerance],[effect:fix_speed, target:myself, turn:1],[effect:hungup, target:unit_all, turn:-1, rate:1, animation:hungup01]</v>
      </c>
      <c r="O114" s="63">
        <f t="shared" si="56"/>
        <v>9</v>
      </c>
      <c r="P114" s="63">
        <f t="shared" si="57"/>
        <v>18</v>
      </c>
      <c r="Q114" s="63">
        <f t="shared" si="58"/>
        <v>27</v>
      </c>
      <c r="R114" s="63">
        <f t="shared" si="59"/>
        <v>33</v>
      </c>
      <c r="S114" s="63" t="str">
        <f>IFERROR(VLOOKUP(MID(N114,Q114,R114-Q114),[6]skilldef!$C:$D,2,FALSE),"-") &amp; " / " &amp; IFERROR(VLOOKUP(MID(N114,O114,P114-O114),[6]skilldef!$A:$B,2,FALSE),"-")</f>
        <v>自分自身に / 状態異常耐性</v>
      </c>
      <c r="T114" s="48" t="str">
        <f t="shared" si="60"/>
        <v>[effect:tolerance, target:myself, turn:-1, tolerance_effect:hungup, count:-1],[effect:tolerance, target:myself, turn:-1, tolerance_effect:sleep, count:-1, animation:enemy_tolerance],[effect:fix_speed, target:myself, turn:1],[effect:hungup, target:unit_all, turn:-1, rate:1, animation:hungup01]</v>
      </c>
      <c r="U114" s="63">
        <f t="shared" si="61"/>
        <v>9</v>
      </c>
      <c r="V114" s="63">
        <f t="shared" si="62"/>
        <v>18</v>
      </c>
      <c r="W114" s="63">
        <f t="shared" si="63"/>
        <v>27</v>
      </c>
      <c r="X114" s="63">
        <f t="shared" si="64"/>
        <v>33</v>
      </c>
      <c r="Y114" s="63" t="str">
        <f>IFERROR(VLOOKUP(MID(T114,W114,X114-W114),[6]skilldef!$C:$D,2,FALSE),"-") &amp; " / " &amp; IFERROR(VLOOKUP(MID(T114,U114,V114-U114),[6]skilldef!$A:$B,2,FALSE),"-")</f>
        <v>自分自身に / 状態異常耐性</v>
      </c>
      <c r="Z114" s="103"/>
      <c r="AA114" s="105"/>
      <c r="AB114" s="103"/>
    </row>
    <row r="115" spans="1:28" ht="21" customHeight="1" x14ac:dyDescent="0.15">
      <c r="A115" s="106">
        <v>50004114</v>
      </c>
      <c r="B115" s="121" t="s">
        <v>311</v>
      </c>
      <c r="C115" s="109">
        <v>1</v>
      </c>
      <c r="D115" s="109" t="s">
        <v>243</v>
      </c>
      <c r="E115" s="110" t="s">
        <v>250</v>
      </c>
      <c r="F115" s="110" t="s">
        <v>312</v>
      </c>
      <c r="G115" s="63" t="str">
        <f t="shared" si="49"/>
        <v>[effect:tolerance, target:enemy_all, turn:-1, tolerance_effect:virus, count:-1]</v>
      </c>
      <c r="H115" s="63">
        <f t="shared" si="50"/>
        <v>9</v>
      </c>
      <c r="I115" s="63">
        <f t="shared" si="51"/>
        <v>18</v>
      </c>
      <c r="J115" s="63">
        <f t="shared" si="52"/>
        <v>27</v>
      </c>
      <c r="K115" s="63">
        <f t="shared" si="53"/>
        <v>36</v>
      </c>
      <c r="L115" s="63" t="str">
        <f>IFERROR(VLOOKUP(MID(G115,J115,K115-J115),[6]skilldef!$C:$D,2,FALSE),"-") &amp; " / " &amp; IFERROR(VLOOKUP(MID(G115,H115,I115-H115),[6]skilldef!$A:$B,2,FALSE),"-")</f>
        <v>敵全体に / 状態異常耐性</v>
      </c>
      <c r="M115" s="63" t="str">
        <f t="shared" si="54"/>
        <v>[effect:tolerance, target:enemy_all, turn:-1, tolerance_effect:hungup, count:-1],[effect:tolerance, target:enemy_all, turn:-1, tolerance_effect:sleep, count:-1, animation:enemy_tolerance],[effect:fix_speed, target:myself, turn:1],[effect:hungup, target:unit_all, turn:5, rate:1, animation:hungup01]</v>
      </c>
      <c r="N115" s="48" t="str">
        <f t="shared" si="55"/>
        <v>[effect:tolerance, target:enemy_all, turn:-1, tolerance_effect:hungup, count:-1],[effect:tolerance, target:enemy_all, turn:-1, tolerance_effect:sleep, count:-1, animation:enemy_tolerance],[effect:fix_speed, target:myself, turn:1],[effect:hungup, target:unit_all, turn:5, rate:1, animation:hungup01]</v>
      </c>
      <c r="O115" s="63">
        <f t="shared" si="56"/>
        <v>9</v>
      </c>
      <c r="P115" s="63">
        <f t="shared" si="57"/>
        <v>18</v>
      </c>
      <c r="Q115" s="63">
        <f t="shared" si="58"/>
        <v>27</v>
      </c>
      <c r="R115" s="63">
        <f t="shared" si="59"/>
        <v>36</v>
      </c>
      <c r="S115" s="63" t="str">
        <f>IFERROR(VLOOKUP(MID(N115,Q115,R115-Q115),[6]skilldef!$C:$D,2,FALSE),"-") &amp; " / " &amp; IFERROR(VLOOKUP(MID(N115,O115,P115-O115),[6]skilldef!$A:$B,2,FALSE),"-")</f>
        <v>敵全体に / 状態異常耐性</v>
      </c>
      <c r="T115" s="48" t="str">
        <f t="shared" si="60"/>
        <v>[effect:tolerance, target:enemy_all, turn:-1, tolerance_effect:sleep, count:-1, animation:enemy_tolerance],[effect:fix_speed, target:myself, turn:1],[effect:hungup, target:unit_all, turn:5, rate:1, animation:hungup01]</v>
      </c>
      <c r="U115" s="63">
        <f t="shared" si="61"/>
        <v>9</v>
      </c>
      <c r="V115" s="63">
        <f t="shared" si="62"/>
        <v>18</v>
      </c>
      <c r="W115" s="63">
        <f t="shared" si="63"/>
        <v>27</v>
      </c>
      <c r="X115" s="63">
        <f t="shared" si="64"/>
        <v>36</v>
      </c>
      <c r="Y115" s="63" t="str">
        <f>IFERROR(VLOOKUP(MID(T115,W115,X115-W115),[6]skilldef!$C:$D,2,FALSE),"-") &amp; " / " &amp; IFERROR(VLOOKUP(MID(T115,U115,V115-U115),[6]skilldef!$A:$B,2,FALSE),"-")</f>
        <v>敵全体に / 状態異常耐性</v>
      </c>
      <c r="Z115" s="103"/>
      <c r="AA115" s="105"/>
      <c r="AB115" s="103"/>
    </row>
    <row r="116" spans="1:28" ht="21" customHeight="1" x14ac:dyDescent="0.15">
      <c r="A116" s="106">
        <v>50004115</v>
      </c>
      <c r="B116" s="121" t="s">
        <v>311</v>
      </c>
      <c r="C116" s="109">
        <v>1</v>
      </c>
      <c r="D116" s="109" t="s">
        <v>243</v>
      </c>
      <c r="E116" s="110" t="s">
        <v>250</v>
      </c>
      <c r="F116" s="110" t="s">
        <v>313</v>
      </c>
      <c r="G116" s="63" t="str">
        <f t="shared" si="49"/>
        <v>[effect:tolerance, target:enemy_all, turn:-1, tolerance_effect:virus, count:-1]</v>
      </c>
      <c r="H116" s="63">
        <f t="shared" si="50"/>
        <v>9</v>
      </c>
      <c r="I116" s="63">
        <f t="shared" si="51"/>
        <v>18</v>
      </c>
      <c r="J116" s="63">
        <f t="shared" si="52"/>
        <v>27</v>
      </c>
      <c r="K116" s="63">
        <f t="shared" si="53"/>
        <v>36</v>
      </c>
      <c r="L116" s="63" t="str">
        <f>IFERROR(VLOOKUP(MID(G116,J116,K116-J116),[6]skilldef!$C:$D,2,FALSE),"-") &amp; " / " &amp; IFERROR(VLOOKUP(MID(G116,H116,I116-H116),[6]skilldef!$A:$B,2,FALSE),"-")</f>
        <v>敵全体に / 状態異常耐性</v>
      </c>
      <c r="M116" s="63" t="str">
        <f t="shared" si="54"/>
        <v>[effect:tolerance, target:enemy_all, turn:-1, tolerance_effect:hungup, count:-1],[effect:tolerance, target:enemy_all, turn:-1, tolerance_effect:sleep, count:-1, animation:enemy_tolerance],[effect:fix_speed, target:myself, turn:1],[effect:hungup, target:unit_all, turn:5, rate:1, animation:hungup01]</v>
      </c>
      <c r="N116" s="48" t="str">
        <f t="shared" si="55"/>
        <v>[effect:tolerance, target:enemy_all, turn:-1, tolerance_effect:hungup, count:-1],[effect:tolerance, target:enemy_all, turn:-1, tolerance_effect:sleep, count:-1, animation:enemy_tolerance],[effect:fix_speed, target:myself, turn:1],[effect:hungup, target:unit_all, turn:5, rate:1, animation:hungup01]</v>
      </c>
      <c r="O116" s="63">
        <f t="shared" si="56"/>
        <v>9</v>
      </c>
      <c r="P116" s="63">
        <f t="shared" si="57"/>
        <v>18</v>
      </c>
      <c r="Q116" s="63">
        <f t="shared" si="58"/>
        <v>27</v>
      </c>
      <c r="R116" s="63">
        <f t="shared" si="59"/>
        <v>36</v>
      </c>
      <c r="S116" s="63" t="str">
        <f>IFERROR(VLOOKUP(MID(N116,Q116,R116-Q116),[6]skilldef!$C:$D,2,FALSE),"-") &amp; " / " &amp; IFERROR(VLOOKUP(MID(N116,O116,P116-O116),[6]skilldef!$A:$B,2,FALSE),"-")</f>
        <v>敵全体に / 状態異常耐性</v>
      </c>
      <c r="T116" s="48" t="str">
        <f t="shared" si="60"/>
        <v>[effect:tolerance, target:enemy_all, turn:-1, tolerance_effect:sleep, count:-1, animation:enemy_tolerance],[effect:fix_speed, target:myself, turn:1],[effect:hungup, target:unit_all, turn:5, rate:1, animation:hungup01]</v>
      </c>
      <c r="U116" s="63">
        <f t="shared" si="61"/>
        <v>9</v>
      </c>
      <c r="V116" s="63">
        <f t="shared" si="62"/>
        <v>18</v>
      </c>
      <c r="W116" s="63">
        <f t="shared" si="63"/>
        <v>27</v>
      </c>
      <c r="X116" s="63">
        <f t="shared" si="64"/>
        <v>36</v>
      </c>
      <c r="Y116" s="63" t="str">
        <f>IFERROR(VLOOKUP(MID(T116,W116,X116-W116),[6]skilldef!$C:$D,2,FALSE),"-") &amp; " / " &amp; IFERROR(VLOOKUP(MID(T116,U116,V116-U116),[6]skilldef!$A:$B,2,FALSE),"-")</f>
        <v>敵全体に / 状態異常耐性</v>
      </c>
      <c r="Z116" s="103"/>
      <c r="AA116" s="105"/>
      <c r="AB116" s="103"/>
    </row>
    <row r="117" spans="1:28" ht="21" customHeight="1" x14ac:dyDescent="0.15">
      <c r="A117" s="47">
        <v>50004116</v>
      </c>
      <c r="B117" s="102" t="s">
        <v>463</v>
      </c>
      <c r="C117" s="103">
        <v>3</v>
      </c>
      <c r="D117" s="103" t="s">
        <v>243</v>
      </c>
      <c r="E117" s="104" t="s">
        <v>447</v>
      </c>
      <c r="F117" s="104" t="s">
        <v>448</v>
      </c>
      <c r="G117" s="63" t="str">
        <f t="shared" si="49"/>
        <v>[effect:enemy_message, val1:1.2, val2:3.0]</v>
      </c>
      <c r="H117" s="63">
        <f t="shared" si="50"/>
        <v>9</v>
      </c>
      <c r="I117" s="63">
        <f t="shared" si="51"/>
        <v>22</v>
      </c>
      <c r="J117" s="63" t="e">
        <f t="shared" si="52"/>
        <v>#VALUE!</v>
      </c>
      <c r="K117" s="63">
        <f t="shared" si="53"/>
        <v>32</v>
      </c>
      <c r="L117" s="63" t="str">
        <f>IFERROR(VLOOKUP(MID(G117,J117,K117-J117),[6]skilldef!$C:$D,2,FALSE),"-") &amp; " / " &amp; IFERROR(VLOOKUP(MID(G117,H117,I117-H117),[6]skilldef!$A:$B,2,FALSE),"-")</f>
        <v>- / -</v>
      </c>
      <c r="M117" s="63" t="str">
        <f t="shared" si="54"/>
        <v>[effect:enhance_unit, target:unit_all, turn:-1, status:attack, val:1],[effect:change_panel_ratio, turn:-1, block_type:heal, val:0],[effect:drop_block, block_type:crash, color:block_all, val:6, rate:0.2, turn:-1, animation:crash_influence04]</v>
      </c>
      <c r="N117" s="48" t="str">
        <f t="shared" si="55"/>
        <v>[effect:enhance_unit, target:unit_all, turn:-1, status:attack, val:1],[effect:change_panel_ratio, turn:-1, block_type:heal, val:0],[effect:drop_block, block_type:crash, color:block_all, val:6, rate:0.2, turn:-1, animation:crash_influence04]</v>
      </c>
      <c r="O117" s="63">
        <f t="shared" si="56"/>
        <v>9</v>
      </c>
      <c r="P117" s="63">
        <f t="shared" si="57"/>
        <v>21</v>
      </c>
      <c r="Q117" s="63">
        <f t="shared" si="58"/>
        <v>30</v>
      </c>
      <c r="R117" s="63">
        <f t="shared" si="59"/>
        <v>38</v>
      </c>
      <c r="S117" s="63" t="str">
        <f>IFERROR(VLOOKUP(MID(N117,Q117,R117-Q117),[6]skilldef!$C:$D,2,FALSE),"-") &amp; " / " &amp; IFERROR(VLOOKUP(MID(N117,O117,P117-O117),[6]skilldef!$A:$B,2,FALSE),"-")</f>
        <v>味方全体に / -</v>
      </c>
      <c r="T117" s="48" t="str">
        <f t="shared" si="60"/>
        <v>[effect:change_panel_ratio, turn:-1, block_type:heal, val:0],[effect:drop_block, block_type:crash, color:block_all, val:6, rate:0.2, turn:-1, animation:crash_influence04]</v>
      </c>
      <c r="U117" s="63">
        <f t="shared" si="61"/>
        <v>9</v>
      </c>
      <c r="V117" s="63">
        <f t="shared" si="62"/>
        <v>27</v>
      </c>
      <c r="W117" s="63" t="e">
        <f t="shared" si="63"/>
        <v>#VALUE!</v>
      </c>
      <c r="X117" s="63">
        <f t="shared" si="64"/>
        <v>36</v>
      </c>
      <c r="Y117" s="63" t="str">
        <f>IFERROR(VLOOKUP(MID(T117,W117,X117-W117),[6]skilldef!$C:$D,2,FALSE),"-") &amp; " / " &amp; IFERROR(VLOOKUP(MID(T117,U117,V117-U117),[6]skilldef!$A:$B,2,FALSE),"-")</f>
        <v>- / -</v>
      </c>
      <c r="Z117" s="103"/>
      <c r="AA117" s="105"/>
      <c r="AB117" s="103"/>
    </row>
    <row r="118" spans="1:28" ht="21" customHeight="1" x14ac:dyDescent="0.15">
      <c r="A118" s="106">
        <v>50004117</v>
      </c>
      <c r="B118" s="106" t="s">
        <v>264</v>
      </c>
      <c r="C118" s="109">
        <v>1</v>
      </c>
      <c r="D118" s="109" t="s">
        <v>243</v>
      </c>
      <c r="E118" s="110" t="s">
        <v>250</v>
      </c>
      <c r="F118" s="110" t="s">
        <v>251</v>
      </c>
      <c r="G118" s="63" t="str">
        <f t="shared" si="49"/>
        <v>[effect:damage_fix_absolute, target:unit_all, val:999999]</v>
      </c>
      <c r="H118" s="63">
        <f t="shared" si="50"/>
        <v>9</v>
      </c>
      <c r="I118" s="63">
        <f t="shared" si="51"/>
        <v>28</v>
      </c>
      <c r="J118" s="63">
        <f t="shared" si="52"/>
        <v>37</v>
      </c>
      <c r="K118" s="63">
        <f t="shared" si="53"/>
        <v>45</v>
      </c>
      <c r="L118" s="63" t="str">
        <f>IFERROR(VLOOKUP(MID(G118,J118,K118-J118),[6]skilldef!$C:$D,2,FALSE),"-") &amp; " / " &amp; IFERROR(VLOOKUP(MID(G118,H118,I118-H118),[6]skilldef!$A:$B,2,FALSE),"-")</f>
        <v>味方全体に / -</v>
      </c>
      <c r="M118" s="63" t="str">
        <f t="shared" si="54"/>
        <v>none</v>
      </c>
      <c r="N118" s="48" t="str">
        <f t="shared" si="55"/>
        <v>none</v>
      </c>
      <c r="O118" s="63" t="e">
        <f t="shared" si="56"/>
        <v>#VALUE!</v>
      </c>
      <c r="P118" s="63">
        <f t="shared" si="57"/>
        <v>4</v>
      </c>
      <c r="Q118" s="63" t="e">
        <f t="shared" si="58"/>
        <v>#VALUE!</v>
      </c>
      <c r="R118" s="63" t="e">
        <f t="shared" si="59"/>
        <v>#VALUE!</v>
      </c>
      <c r="S118" s="63" t="str">
        <f>IFERROR(VLOOKUP(MID(N118,Q118,R118-Q118),[6]skilldef!$C:$D,2,FALSE),"-") &amp; " / " &amp; IFERROR(VLOOKUP(MID(N118,O118,P118-O118),[6]skilldef!$A:$B,2,FALSE),"-")</f>
        <v>- / -</v>
      </c>
      <c r="T118" s="48" t="str">
        <f t="shared" si="60"/>
        <v>none</v>
      </c>
      <c r="U118" s="63" t="e">
        <f t="shared" si="61"/>
        <v>#VALUE!</v>
      </c>
      <c r="V118" s="63">
        <f t="shared" si="62"/>
        <v>4</v>
      </c>
      <c r="W118" s="63" t="e">
        <f t="shared" si="63"/>
        <v>#VALUE!</v>
      </c>
      <c r="X118" s="63" t="e">
        <f t="shared" si="64"/>
        <v>#VALUE!</v>
      </c>
      <c r="Y118" s="63" t="str">
        <f>IFERROR(VLOOKUP(MID(T118,W118,X118-W118),[6]skilldef!$C:$D,2,FALSE),"-") &amp; " / " &amp; IFERROR(VLOOKUP(MID(T118,U118,V118-U118),[6]skilldef!$A:$B,2,FALSE),"-")</f>
        <v>- / -</v>
      </c>
      <c r="Z118" s="103"/>
      <c r="AA118" s="105"/>
      <c r="AB118" s="103"/>
    </row>
    <row r="119" spans="1:28" ht="21" customHeight="1" x14ac:dyDescent="0.15">
      <c r="A119" s="106">
        <v>50004118</v>
      </c>
      <c r="B119" s="121" t="s">
        <v>262</v>
      </c>
      <c r="C119" s="109">
        <v>1</v>
      </c>
      <c r="D119" s="109" t="s">
        <v>243</v>
      </c>
      <c r="E119" s="110" t="s">
        <v>250</v>
      </c>
      <c r="F119" s="110" t="s">
        <v>265</v>
      </c>
      <c r="G119" s="63" t="str">
        <f t="shared" si="49"/>
        <v>[effect:nothing]</v>
      </c>
      <c r="H119" s="63">
        <f t="shared" si="50"/>
        <v>9</v>
      </c>
      <c r="I119" s="63">
        <f t="shared" si="51"/>
        <v>16</v>
      </c>
      <c r="J119" s="63" t="e">
        <f t="shared" si="52"/>
        <v>#VALUE!</v>
      </c>
      <c r="K119" s="63" t="e">
        <f t="shared" si="53"/>
        <v>#VALUE!</v>
      </c>
      <c r="L119" s="63" t="str">
        <f>IFERROR(VLOOKUP(MID(G119,J119,K119-J119),[6]skilldef!$C:$D,2,FALSE),"-") &amp; " / " &amp; IFERROR(VLOOKUP(MID(G119,H119,I119-H119),[6]skilldef!$A:$B,2,FALSE),"-")</f>
        <v>- / 何もしない</v>
      </c>
      <c r="M119" s="63" t="str">
        <f t="shared" si="54"/>
        <v>none</v>
      </c>
      <c r="N119" s="48" t="str">
        <f t="shared" si="55"/>
        <v>none</v>
      </c>
      <c r="O119" s="63" t="e">
        <f t="shared" si="56"/>
        <v>#VALUE!</v>
      </c>
      <c r="P119" s="63">
        <f t="shared" si="57"/>
        <v>4</v>
      </c>
      <c r="Q119" s="63" t="e">
        <f t="shared" si="58"/>
        <v>#VALUE!</v>
      </c>
      <c r="R119" s="63" t="e">
        <f t="shared" si="59"/>
        <v>#VALUE!</v>
      </c>
      <c r="S119" s="63" t="str">
        <f>IFERROR(VLOOKUP(MID(N119,Q119,R119-Q119),[6]skilldef!$C:$D,2,FALSE),"-") &amp; " / " &amp; IFERROR(VLOOKUP(MID(N119,O119,P119-O119),[6]skilldef!$A:$B,2,FALSE),"-")</f>
        <v>- / -</v>
      </c>
      <c r="T119" s="48" t="str">
        <f t="shared" si="60"/>
        <v>none</v>
      </c>
      <c r="U119" s="63" t="e">
        <f t="shared" si="61"/>
        <v>#VALUE!</v>
      </c>
      <c r="V119" s="63">
        <f t="shared" si="62"/>
        <v>4</v>
      </c>
      <c r="W119" s="63" t="e">
        <f t="shared" si="63"/>
        <v>#VALUE!</v>
      </c>
      <c r="X119" s="63" t="e">
        <f t="shared" si="64"/>
        <v>#VALUE!</v>
      </c>
      <c r="Y119" s="63" t="str">
        <f>IFERROR(VLOOKUP(MID(T119,W119,X119-W119),[6]skilldef!$C:$D,2,FALSE),"-") &amp; " / " &amp; IFERROR(VLOOKUP(MID(T119,U119,V119-U119),[6]skilldef!$A:$B,2,FALSE),"-")</f>
        <v>- / -</v>
      </c>
      <c r="Z119" s="103"/>
      <c r="AA119" s="105"/>
      <c r="AB119" s="103"/>
    </row>
    <row r="120" spans="1:28" ht="21" customHeight="1" x14ac:dyDescent="0.15">
      <c r="A120" s="47">
        <v>50004119</v>
      </c>
      <c r="B120" s="47" t="s">
        <v>264</v>
      </c>
      <c r="C120" s="103">
        <v>3</v>
      </c>
      <c r="D120" s="103" t="s">
        <v>243</v>
      </c>
      <c r="E120" s="111" t="s">
        <v>373</v>
      </c>
      <c r="F120" s="111" t="s">
        <v>410</v>
      </c>
      <c r="G120" s="63" t="str">
        <f t="shared" si="49"/>
        <v>[effect:damage_fix_absolute, target:unit_all, val:999999]</v>
      </c>
      <c r="H120" s="63">
        <f t="shared" si="50"/>
        <v>9</v>
      </c>
      <c r="I120" s="63">
        <f t="shared" si="51"/>
        <v>28</v>
      </c>
      <c r="J120" s="63">
        <f t="shared" si="52"/>
        <v>37</v>
      </c>
      <c r="K120" s="63">
        <f t="shared" si="53"/>
        <v>45</v>
      </c>
      <c r="L120" s="63" t="str">
        <f>IFERROR(VLOOKUP(MID(G120,J120,K120-J120),[6]skilldef!$C:$D,2,FALSE),"-") &amp; " / " &amp; IFERROR(VLOOKUP(MID(G120,H120,I120-H120),[6]skilldef!$A:$B,2,FALSE),"-")</f>
        <v>味方全体に / -</v>
      </c>
      <c r="M120" s="63" t="str">
        <f t="shared" si="54"/>
        <v>none</v>
      </c>
      <c r="N120" s="48" t="str">
        <f t="shared" si="55"/>
        <v>none</v>
      </c>
      <c r="O120" s="63" t="e">
        <f t="shared" si="56"/>
        <v>#VALUE!</v>
      </c>
      <c r="P120" s="63">
        <f t="shared" si="57"/>
        <v>4</v>
      </c>
      <c r="Q120" s="63" t="e">
        <f t="shared" si="58"/>
        <v>#VALUE!</v>
      </c>
      <c r="R120" s="63" t="e">
        <f t="shared" si="59"/>
        <v>#VALUE!</v>
      </c>
      <c r="S120" s="63" t="str">
        <f>IFERROR(VLOOKUP(MID(N120,Q120,R120-Q120),[6]skilldef!$C:$D,2,FALSE),"-") &amp; " / " &amp; IFERROR(VLOOKUP(MID(N120,O120,P120-O120),[6]skilldef!$A:$B,2,FALSE),"-")</f>
        <v>- / -</v>
      </c>
      <c r="T120" s="48" t="str">
        <f t="shared" si="60"/>
        <v>none</v>
      </c>
      <c r="U120" s="63" t="e">
        <f t="shared" si="61"/>
        <v>#VALUE!</v>
      </c>
      <c r="V120" s="63">
        <f t="shared" si="62"/>
        <v>4</v>
      </c>
      <c r="W120" s="63" t="e">
        <f t="shared" si="63"/>
        <v>#VALUE!</v>
      </c>
      <c r="X120" s="63" t="e">
        <f t="shared" si="64"/>
        <v>#VALUE!</v>
      </c>
      <c r="Y120" s="63" t="str">
        <f>IFERROR(VLOOKUP(MID(T120,W120,X120-W120),[6]skilldef!$C:$D,2,FALSE),"-") &amp; " / " &amp; IFERROR(VLOOKUP(MID(T120,U120,V120-U120),[6]skilldef!$A:$B,2,FALSE),"-")</f>
        <v>- / -</v>
      </c>
      <c r="Z120" s="103"/>
      <c r="AA120" s="105"/>
      <c r="AB120" s="103"/>
    </row>
    <row r="121" spans="1:28" ht="21" customHeight="1" x14ac:dyDescent="0.15">
      <c r="A121" s="47">
        <v>50004120</v>
      </c>
      <c r="B121" s="102" t="s">
        <v>262</v>
      </c>
      <c r="C121" s="103">
        <v>3</v>
      </c>
      <c r="D121" s="103" t="s">
        <v>243</v>
      </c>
      <c r="E121" s="104" t="s">
        <v>455</v>
      </c>
      <c r="F121" s="111" t="s">
        <v>374</v>
      </c>
      <c r="G121" s="63" t="str">
        <f t="shared" si="49"/>
        <v>[effect:nothing]</v>
      </c>
      <c r="H121" s="63">
        <f t="shared" si="50"/>
        <v>9</v>
      </c>
      <c r="I121" s="63">
        <f t="shared" si="51"/>
        <v>16</v>
      </c>
      <c r="J121" s="63" t="e">
        <f t="shared" si="52"/>
        <v>#VALUE!</v>
      </c>
      <c r="K121" s="63" t="e">
        <f t="shared" si="53"/>
        <v>#VALUE!</v>
      </c>
      <c r="L121" s="63" t="str">
        <f>IFERROR(VLOOKUP(MID(G121,J121,K121-J121),[6]skilldef!$C:$D,2,FALSE),"-") &amp; " / " &amp; IFERROR(VLOOKUP(MID(G121,H121,I121-H121),[6]skilldef!$A:$B,2,FALSE),"-")</f>
        <v>- / 何もしない</v>
      </c>
      <c r="M121" s="63" t="str">
        <f t="shared" si="54"/>
        <v>none</v>
      </c>
      <c r="N121" s="48" t="str">
        <f t="shared" si="55"/>
        <v>none</v>
      </c>
      <c r="O121" s="63" t="e">
        <f t="shared" si="56"/>
        <v>#VALUE!</v>
      </c>
      <c r="P121" s="63">
        <f t="shared" si="57"/>
        <v>4</v>
      </c>
      <c r="Q121" s="63" t="e">
        <f t="shared" si="58"/>
        <v>#VALUE!</v>
      </c>
      <c r="R121" s="63" t="e">
        <f t="shared" si="59"/>
        <v>#VALUE!</v>
      </c>
      <c r="S121" s="63" t="str">
        <f>IFERROR(VLOOKUP(MID(N121,Q121,R121-Q121),[6]skilldef!$C:$D,2,FALSE),"-") &amp; " / " &amp; IFERROR(VLOOKUP(MID(N121,O121,P121-O121),[6]skilldef!$A:$B,2,FALSE),"-")</f>
        <v>- / -</v>
      </c>
      <c r="T121" s="48" t="str">
        <f t="shared" si="60"/>
        <v>none</v>
      </c>
      <c r="U121" s="63" t="e">
        <f t="shared" si="61"/>
        <v>#VALUE!</v>
      </c>
      <c r="V121" s="63">
        <f t="shared" si="62"/>
        <v>4</v>
      </c>
      <c r="W121" s="63" t="e">
        <f t="shared" si="63"/>
        <v>#VALUE!</v>
      </c>
      <c r="X121" s="63" t="e">
        <f t="shared" si="64"/>
        <v>#VALUE!</v>
      </c>
      <c r="Y121" s="63" t="str">
        <f>IFERROR(VLOOKUP(MID(T121,W121,X121-W121),[6]skilldef!$C:$D,2,FALSE),"-") &amp; " / " &amp; IFERROR(VLOOKUP(MID(T121,U121,V121-U121),[6]skilldef!$A:$B,2,FALSE),"-")</f>
        <v>- / -</v>
      </c>
      <c r="Z121" s="103"/>
      <c r="AA121" s="105"/>
      <c r="AB121" s="103"/>
    </row>
    <row r="122" spans="1:28" ht="21" customHeight="1" x14ac:dyDescent="0.15">
      <c r="A122" s="106">
        <v>50004121</v>
      </c>
      <c r="B122" s="106" t="s">
        <v>264</v>
      </c>
      <c r="C122" s="109">
        <v>1</v>
      </c>
      <c r="D122" s="109" t="s">
        <v>243</v>
      </c>
      <c r="E122" s="110" t="s">
        <v>250</v>
      </c>
      <c r="F122" s="110" t="s">
        <v>252</v>
      </c>
      <c r="G122" s="63" t="str">
        <f t="shared" si="49"/>
        <v>[effect:damage_fix_absolute, target:unit_all, val:999999]</v>
      </c>
      <c r="H122" s="63">
        <f t="shared" si="50"/>
        <v>9</v>
      </c>
      <c r="I122" s="63">
        <f t="shared" si="51"/>
        <v>28</v>
      </c>
      <c r="J122" s="63">
        <f t="shared" si="52"/>
        <v>37</v>
      </c>
      <c r="K122" s="63">
        <f t="shared" si="53"/>
        <v>45</v>
      </c>
      <c r="L122" s="63" t="str">
        <f>IFERROR(VLOOKUP(MID(G122,J122,K122-J122),[6]skilldef!$C:$D,2,FALSE),"-") &amp; " / " &amp; IFERROR(VLOOKUP(MID(G122,H122,I122-H122),[6]skilldef!$A:$B,2,FALSE),"-")</f>
        <v>味方全体に / -</v>
      </c>
      <c r="M122" s="63" t="str">
        <f t="shared" si="54"/>
        <v>none</v>
      </c>
      <c r="N122" s="48" t="str">
        <f t="shared" si="55"/>
        <v>none</v>
      </c>
      <c r="O122" s="63" t="e">
        <f t="shared" si="56"/>
        <v>#VALUE!</v>
      </c>
      <c r="P122" s="63">
        <f t="shared" si="57"/>
        <v>4</v>
      </c>
      <c r="Q122" s="63" t="e">
        <f t="shared" si="58"/>
        <v>#VALUE!</v>
      </c>
      <c r="R122" s="63" t="e">
        <f t="shared" si="59"/>
        <v>#VALUE!</v>
      </c>
      <c r="S122" s="63" t="str">
        <f>IFERROR(VLOOKUP(MID(N122,Q122,R122-Q122),[6]skilldef!$C:$D,2,FALSE),"-") &amp; " / " &amp; IFERROR(VLOOKUP(MID(N122,O122,P122-O122),[6]skilldef!$A:$B,2,FALSE),"-")</f>
        <v>- / -</v>
      </c>
      <c r="T122" s="48" t="str">
        <f t="shared" si="60"/>
        <v>none</v>
      </c>
      <c r="U122" s="63" t="e">
        <f t="shared" si="61"/>
        <v>#VALUE!</v>
      </c>
      <c r="V122" s="63">
        <f t="shared" si="62"/>
        <v>4</v>
      </c>
      <c r="W122" s="63" t="e">
        <f t="shared" si="63"/>
        <v>#VALUE!</v>
      </c>
      <c r="X122" s="63" t="e">
        <f t="shared" si="64"/>
        <v>#VALUE!</v>
      </c>
      <c r="Y122" s="63" t="str">
        <f>IFERROR(VLOOKUP(MID(T122,W122,X122-W122),[6]skilldef!$C:$D,2,FALSE),"-") &amp; " / " &amp; IFERROR(VLOOKUP(MID(T122,U122,V122-U122),[6]skilldef!$A:$B,2,FALSE),"-")</f>
        <v>- / -</v>
      </c>
      <c r="Z122" s="103"/>
      <c r="AA122" s="105"/>
      <c r="AB122" s="103"/>
    </row>
    <row r="123" spans="1:28" ht="21" customHeight="1" x14ac:dyDescent="0.15">
      <c r="A123" s="106">
        <v>50004122</v>
      </c>
      <c r="B123" s="121" t="s">
        <v>262</v>
      </c>
      <c r="C123" s="109">
        <v>1</v>
      </c>
      <c r="D123" s="109" t="s">
        <v>243</v>
      </c>
      <c r="E123" s="110" t="s">
        <v>250</v>
      </c>
      <c r="F123" s="110" t="s">
        <v>265</v>
      </c>
      <c r="G123" s="63" t="str">
        <f t="shared" si="49"/>
        <v>[effect:nothing]</v>
      </c>
      <c r="H123" s="63">
        <f t="shared" si="50"/>
        <v>9</v>
      </c>
      <c r="I123" s="63">
        <f t="shared" si="51"/>
        <v>16</v>
      </c>
      <c r="J123" s="63" t="e">
        <f t="shared" si="52"/>
        <v>#VALUE!</v>
      </c>
      <c r="K123" s="63" t="e">
        <f t="shared" si="53"/>
        <v>#VALUE!</v>
      </c>
      <c r="L123" s="63" t="str">
        <f>IFERROR(VLOOKUP(MID(G123,J123,K123-J123),[6]skilldef!$C:$D,2,FALSE),"-") &amp; " / " &amp; IFERROR(VLOOKUP(MID(G123,H123,I123-H123),[6]skilldef!$A:$B,2,FALSE),"-")</f>
        <v>- / 何もしない</v>
      </c>
      <c r="M123" s="63" t="str">
        <f t="shared" si="54"/>
        <v>none</v>
      </c>
      <c r="N123" s="48" t="str">
        <f t="shared" si="55"/>
        <v>none</v>
      </c>
      <c r="O123" s="63" t="e">
        <f t="shared" si="56"/>
        <v>#VALUE!</v>
      </c>
      <c r="P123" s="63">
        <f t="shared" si="57"/>
        <v>4</v>
      </c>
      <c r="Q123" s="63" t="e">
        <f t="shared" si="58"/>
        <v>#VALUE!</v>
      </c>
      <c r="R123" s="63" t="e">
        <f t="shared" si="59"/>
        <v>#VALUE!</v>
      </c>
      <c r="S123" s="63" t="str">
        <f>IFERROR(VLOOKUP(MID(N123,Q123,R123-Q123),[6]skilldef!$C:$D,2,FALSE),"-") &amp; " / " &amp; IFERROR(VLOOKUP(MID(N123,O123,P123-O123),[6]skilldef!$A:$B,2,FALSE),"-")</f>
        <v>- / -</v>
      </c>
      <c r="T123" s="48" t="str">
        <f t="shared" si="60"/>
        <v>none</v>
      </c>
      <c r="U123" s="63" t="e">
        <f t="shared" si="61"/>
        <v>#VALUE!</v>
      </c>
      <c r="V123" s="63">
        <f t="shared" si="62"/>
        <v>4</v>
      </c>
      <c r="W123" s="63" t="e">
        <f t="shared" si="63"/>
        <v>#VALUE!</v>
      </c>
      <c r="X123" s="63" t="e">
        <f t="shared" si="64"/>
        <v>#VALUE!</v>
      </c>
      <c r="Y123" s="63" t="str">
        <f>IFERROR(VLOOKUP(MID(T123,W123,X123-W123),[6]skilldef!$C:$D,2,FALSE),"-") &amp; " / " &amp; IFERROR(VLOOKUP(MID(T123,U123,V123-U123),[6]skilldef!$A:$B,2,FALSE),"-")</f>
        <v>- / -</v>
      </c>
      <c r="Z123" s="103"/>
      <c r="AA123" s="105"/>
      <c r="AB123" s="103"/>
    </row>
    <row r="124" spans="1:28" ht="21" customHeight="1" x14ac:dyDescent="0.15">
      <c r="A124" s="47">
        <v>50004123</v>
      </c>
      <c r="B124" s="47" t="s">
        <v>264</v>
      </c>
      <c r="C124" s="103">
        <v>3</v>
      </c>
      <c r="D124" s="103" t="s">
        <v>243</v>
      </c>
      <c r="E124" s="111" t="s">
        <v>373</v>
      </c>
      <c r="F124" s="111" t="s">
        <v>410</v>
      </c>
      <c r="G124" s="63" t="str">
        <f t="shared" si="49"/>
        <v>[effect:damage_fix_absolute, target:unit_all, val:999999]</v>
      </c>
      <c r="H124" s="63">
        <f t="shared" si="50"/>
        <v>9</v>
      </c>
      <c r="I124" s="63">
        <f t="shared" si="51"/>
        <v>28</v>
      </c>
      <c r="J124" s="63">
        <f t="shared" si="52"/>
        <v>37</v>
      </c>
      <c r="K124" s="63">
        <f t="shared" si="53"/>
        <v>45</v>
      </c>
      <c r="L124" s="63" t="str">
        <f>IFERROR(VLOOKUP(MID(G124,J124,K124-J124),[6]skilldef!$C:$D,2,FALSE),"-") &amp; " / " &amp; IFERROR(VLOOKUP(MID(G124,H124,I124-H124),[6]skilldef!$A:$B,2,FALSE),"-")</f>
        <v>味方全体に / -</v>
      </c>
      <c r="M124" s="63" t="str">
        <f t="shared" si="54"/>
        <v>none</v>
      </c>
      <c r="N124" s="48" t="str">
        <f t="shared" si="55"/>
        <v>none</v>
      </c>
      <c r="O124" s="63" t="e">
        <f t="shared" si="56"/>
        <v>#VALUE!</v>
      </c>
      <c r="P124" s="63">
        <f t="shared" si="57"/>
        <v>4</v>
      </c>
      <c r="Q124" s="63" t="e">
        <f t="shared" si="58"/>
        <v>#VALUE!</v>
      </c>
      <c r="R124" s="63" t="e">
        <f t="shared" si="59"/>
        <v>#VALUE!</v>
      </c>
      <c r="S124" s="63" t="str">
        <f>IFERROR(VLOOKUP(MID(N124,Q124,R124-Q124),[6]skilldef!$C:$D,2,FALSE),"-") &amp; " / " &amp; IFERROR(VLOOKUP(MID(N124,O124,P124-O124),[6]skilldef!$A:$B,2,FALSE),"-")</f>
        <v>- / -</v>
      </c>
      <c r="T124" s="48" t="str">
        <f t="shared" si="60"/>
        <v>none</v>
      </c>
      <c r="U124" s="63" t="e">
        <f t="shared" si="61"/>
        <v>#VALUE!</v>
      </c>
      <c r="V124" s="63">
        <f t="shared" si="62"/>
        <v>4</v>
      </c>
      <c r="W124" s="63" t="e">
        <f t="shared" si="63"/>
        <v>#VALUE!</v>
      </c>
      <c r="X124" s="63" t="e">
        <f t="shared" si="64"/>
        <v>#VALUE!</v>
      </c>
      <c r="Y124" s="63" t="str">
        <f>IFERROR(VLOOKUP(MID(T124,W124,X124-W124),[6]skilldef!$C:$D,2,FALSE),"-") &amp; " / " &amp; IFERROR(VLOOKUP(MID(T124,U124,V124-U124),[6]skilldef!$A:$B,2,FALSE),"-")</f>
        <v>- / -</v>
      </c>
      <c r="Z124" s="103"/>
      <c r="AA124" s="105"/>
      <c r="AB124" s="103"/>
    </row>
    <row r="125" spans="1:28" ht="21" customHeight="1" x14ac:dyDescent="0.15">
      <c r="A125" s="47">
        <v>50004124</v>
      </c>
      <c r="B125" s="102" t="s">
        <v>262</v>
      </c>
      <c r="C125" s="103">
        <v>3</v>
      </c>
      <c r="D125" s="103" t="s">
        <v>243</v>
      </c>
      <c r="E125" s="111" t="s">
        <v>379</v>
      </c>
      <c r="F125" s="111" t="s">
        <v>375</v>
      </c>
      <c r="G125" s="63" t="str">
        <f t="shared" si="49"/>
        <v>[effect:nothing]</v>
      </c>
      <c r="H125" s="63">
        <f t="shared" si="50"/>
        <v>9</v>
      </c>
      <c r="I125" s="63">
        <f t="shared" si="51"/>
        <v>16</v>
      </c>
      <c r="J125" s="63" t="e">
        <f t="shared" si="52"/>
        <v>#VALUE!</v>
      </c>
      <c r="K125" s="63" t="e">
        <f t="shared" si="53"/>
        <v>#VALUE!</v>
      </c>
      <c r="L125" s="63" t="str">
        <f>IFERROR(VLOOKUP(MID(G125,J125,K125-J125),[6]skilldef!$C:$D,2,FALSE),"-") &amp; " / " &amp; IFERROR(VLOOKUP(MID(G125,H125,I125-H125),[6]skilldef!$A:$B,2,FALSE),"-")</f>
        <v>- / 何もしない</v>
      </c>
      <c r="M125" s="63" t="str">
        <f t="shared" si="54"/>
        <v>none</v>
      </c>
      <c r="N125" s="48" t="str">
        <f t="shared" si="55"/>
        <v>none</v>
      </c>
      <c r="O125" s="63" t="e">
        <f t="shared" si="56"/>
        <v>#VALUE!</v>
      </c>
      <c r="P125" s="63">
        <f t="shared" si="57"/>
        <v>4</v>
      </c>
      <c r="Q125" s="63" t="e">
        <f t="shared" si="58"/>
        <v>#VALUE!</v>
      </c>
      <c r="R125" s="63" t="e">
        <f t="shared" si="59"/>
        <v>#VALUE!</v>
      </c>
      <c r="S125" s="63" t="str">
        <f>IFERROR(VLOOKUP(MID(N125,Q125,R125-Q125),[6]skilldef!$C:$D,2,FALSE),"-") &amp; " / " &amp; IFERROR(VLOOKUP(MID(N125,O125,P125-O125),[6]skilldef!$A:$B,2,FALSE),"-")</f>
        <v>- / -</v>
      </c>
      <c r="T125" s="48" t="str">
        <f t="shared" si="60"/>
        <v>none</v>
      </c>
      <c r="U125" s="63" t="e">
        <f t="shared" si="61"/>
        <v>#VALUE!</v>
      </c>
      <c r="V125" s="63">
        <f t="shared" si="62"/>
        <v>4</v>
      </c>
      <c r="W125" s="63" t="e">
        <f t="shared" si="63"/>
        <v>#VALUE!</v>
      </c>
      <c r="X125" s="63" t="e">
        <f t="shared" si="64"/>
        <v>#VALUE!</v>
      </c>
      <c r="Y125" s="63" t="str">
        <f>IFERROR(VLOOKUP(MID(T125,W125,X125-W125),[6]skilldef!$C:$D,2,FALSE),"-") &amp; " / " &amp; IFERROR(VLOOKUP(MID(T125,U125,V125-U125),[6]skilldef!$A:$B,2,FALSE),"-")</f>
        <v>- / -</v>
      </c>
      <c r="Z125" s="103"/>
      <c r="AA125" s="105"/>
      <c r="AB125" s="103"/>
    </row>
    <row r="126" spans="1:28" ht="21" customHeight="1" x14ac:dyDescent="0.15">
      <c r="A126" s="106">
        <v>50004125</v>
      </c>
      <c r="B126" s="106" t="s">
        <v>264</v>
      </c>
      <c r="C126" s="109">
        <v>1</v>
      </c>
      <c r="D126" s="109" t="s">
        <v>243</v>
      </c>
      <c r="E126" s="110" t="s">
        <v>250</v>
      </c>
      <c r="F126" s="110" t="s">
        <v>253</v>
      </c>
      <c r="G126" s="63" t="str">
        <f t="shared" si="49"/>
        <v>[effect:damage_fix_absolute, target:unit_all, val:999999]</v>
      </c>
      <c r="H126" s="63">
        <f t="shared" si="50"/>
        <v>9</v>
      </c>
      <c r="I126" s="63">
        <f t="shared" si="51"/>
        <v>28</v>
      </c>
      <c r="J126" s="63">
        <f t="shared" si="52"/>
        <v>37</v>
      </c>
      <c r="K126" s="63">
        <f t="shared" si="53"/>
        <v>45</v>
      </c>
      <c r="L126" s="63" t="str">
        <f>IFERROR(VLOOKUP(MID(G126,J126,K126-J126),[6]skilldef!$C:$D,2,FALSE),"-") &amp; " / " &amp; IFERROR(VLOOKUP(MID(G126,H126,I126-H126),[6]skilldef!$A:$B,2,FALSE),"-")</f>
        <v>味方全体に / -</v>
      </c>
      <c r="M126" s="63" t="str">
        <f t="shared" si="54"/>
        <v>none</v>
      </c>
      <c r="N126" s="48" t="str">
        <f t="shared" si="55"/>
        <v>none</v>
      </c>
      <c r="O126" s="63" t="e">
        <f t="shared" si="56"/>
        <v>#VALUE!</v>
      </c>
      <c r="P126" s="63">
        <f t="shared" si="57"/>
        <v>4</v>
      </c>
      <c r="Q126" s="63" t="e">
        <f t="shared" si="58"/>
        <v>#VALUE!</v>
      </c>
      <c r="R126" s="63" t="e">
        <f t="shared" si="59"/>
        <v>#VALUE!</v>
      </c>
      <c r="S126" s="63" t="str">
        <f>IFERROR(VLOOKUP(MID(N126,Q126,R126-Q126),[6]skilldef!$C:$D,2,FALSE),"-") &amp; " / " &amp; IFERROR(VLOOKUP(MID(N126,O126,P126-O126),[6]skilldef!$A:$B,2,FALSE),"-")</f>
        <v>- / -</v>
      </c>
      <c r="T126" s="48" t="str">
        <f t="shared" si="60"/>
        <v>none</v>
      </c>
      <c r="U126" s="63" t="e">
        <f t="shared" si="61"/>
        <v>#VALUE!</v>
      </c>
      <c r="V126" s="63">
        <f t="shared" si="62"/>
        <v>4</v>
      </c>
      <c r="W126" s="63" t="e">
        <f t="shared" si="63"/>
        <v>#VALUE!</v>
      </c>
      <c r="X126" s="63" t="e">
        <f t="shared" si="64"/>
        <v>#VALUE!</v>
      </c>
      <c r="Y126" s="63" t="str">
        <f>IFERROR(VLOOKUP(MID(T126,W126,X126-W126),[6]skilldef!$C:$D,2,FALSE),"-") &amp; " / " &amp; IFERROR(VLOOKUP(MID(T126,U126,V126-U126),[6]skilldef!$A:$B,2,FALSE),"-")</f>
        <v>- / -</v>
      </c>
      <c r="Z126" s="103"/>
      <c r="AA126" s="105"/>
      <c r="AB126" s="103"/>
    </row>
    <row r="127" spans="1:28" ht="21" customHeight="1" x14ac:dyDescent="0.15">
      <c r="A127" s="106">
        <v>50004126</v>
      </c>
      <c r="B127" s="121" t="s">
        <v>262</v>
      </c>
      <c r="C127" s="109">
        <v>1</v>
      </c>
      <c r="D127" s="109" t="s">
        <v>243</v>
      </c>
      <c r="E127" s="110" t="s">
        <v>250</v>
      </c>
      <c r="F127" s="110" t="s">
        <v>265</v>
      </c>
      <c r="G127" s="63" t="str">
        <f t="shared" si="49"/>
        <v>[effect:nothing]</v>
      </c>
      <c r="H127" s="63">
        <f t="shared" si="50"/>
        <v>9</v>
      </c>
      <c r="I127" s="63">
        <f t="shared" si="51"/>
        <v>16</v>
      </c>
      <c r="J127" s="63" t="e">
        <f t="shared" si="52"/>
        <v>#VALUE!</v>
      </c>
      <c r="K127" s="63" t="e">
        <f t="shared" si="53"/>
        <v>#VALUE!</v>
      </c>
      <c r="L127" s="63" t="str">
        <f>IFERROR(VLOOKUP(MID(G127,J127,K127-J127),[6]skilldef!$C:$D,2,FALSE),"-") &amp; " / " &amp; IFERROR(VLOOKUP(MID(G127,H127,I127-H127),[6]skilldef!$A:$B,2,FALSE),"-")</f>
        <v>- / 何もしない</v>
      </c>
      <c r="M127" s="63" t="str">
        <f t="shared" si="54"/>
        <v>none</v>
      </c>
      <c r="N127" s="48" t="str">
        <f t="shared" si="55"/>
        <v>none</v>
      </c>
      <c r="O127" s="63" t="e">
        <f t="shared" si="56"/>
        <v>#VALUE!</v>
      </c>
      <c r="P127" s="63">
        <f t="shared" si="57"/>
        <v>4</v>
      </c>
      <c r="Q127" s="63" t="e">
        <f t="shared" si="58"/>
        <v>#VALUE!</v>
      </c>
      <c r="R127" s="63" t="e">
        <f t="shared" si="59"/>
        <v>#VALUE!</v>
      </c>
      <c r="S127" s="63" t="str">
        <f>IFERROR(VLOOKUP(MID(N127,Q127,R127-Q127),[6]skilldef!$C:$D,2,FALSE),"-") &amp; " / " &amp; IFERROR(VLOOKUP(MID(N127,O127,P127-O127),[6]skilldef!$A:$B,2,FALSE),"-")</f>
        <v>- / -</v>
      </c>
      <c r="T127" s="48" t="str">
        <f t="shared" si="60"/>
        <v>none</v>
      </c>
      <c r="U127" s="63" t="e">
        <f t="shared" si="61"/>
        <v>#VALUE!</v>
      </c>
      <c r="V127" s="63">
        <f t="shared" si="62"/>
        <v>4</v>
      </c>
      <c r="W127" s="63" t="e">
        <f t="shared" si="63"/>
        <v>#VALUE!</v>
      </c>
      <c r="X127" s="63" t="e">
        <f t="shared" si="64"/>
        <v>#VALUE!</v>
      </c>
      <c r="Y127" s="63" t="str">
        <f>IFERROR(VLOOKUP(MID(T127,W127,X127-W127),[6]skilldef!$C:$D,2,FALSE),"-") &amp; " / " &amp; IFERROR(VLOOKUP(MID(T127,U127,V127-U127),[6]skilldef!$A:$B,2,FALSE),"-")</f>
        <v>- / -</v>
      </c>
      <c r="Z127" s="103"/>
      <c r="AA127" s="105"/>
      <c r="AB127" s="103"/>
    </row>
    <row r="128" spans="1:28" ht="21" customHeight="1" x14ac:dyDescent="0.15">
      <c r="A128" s="47">
        <v>50004127</v>
      </c>
      <c r="B128" s="47" t="s">
        <v>264</v>
      </c>
      <c r="C128" s="103">
        <v>3</v>
      </c>
      <c r="D128" s="103" t="s">
        <v>243</v>
      </c>
      <c r="E128" s="111" t="s">
        <v>373</v>
      </c>
      <c r="F128" s="111" t="s">
        <v>410</v>
      </c>
      <c r="G128" s="63" t="str">
        <f t="shared" si="49"/>
        <v>[effect:damage_fix_absolute, target:unit_all, val:999999]</v>
      </c>
      <c r="H128" s="63">
        <f t="shared" si="50"/>
        <v>9</v>
      </c>
      <c r="I128" s="63">
        <f t="shared" si="51"/>
        <v>28</v>
      </c>
      <c r="J128" s="63">
        <f t="shared" si="52"/>
        <v>37</v>
      </c>
      <c r="K128" s="63">
        <f t="shared" si="53"/>
        <v>45</v>
      </c>
      <c r="L128" s="63" t="str">
        <f>IFERROR(VLOOKUP(MID(G128,J128,K128-J128),[6]skilldef!$C:$D,2,FALSE),"-") &amp; " / " &amp; IFERROR(VLOOKUP(MID(G128,H128,I128-H128),[6]skilldef!$A:$B,2,FALSE),"-")</f>
        <v>味方全体に / -</v>
      </c>
      <c r="M128" s="63" t="str">
        <f t="shared" si="54"/>
        <v>none</v>
      </c>
      <c r="N128" s="48" t="str">
        <f t="shared" si="55"/>
        <v>none</v>
      </c>
      <c r="O128" s="63" t="e">
        <f t="shared" si="56"/>
        <v>#VALUE!</v>
      </c>
      <c r="P128" s="63">
        <f t="shared" si="57"/>
        <v>4</v>
      </c>
      <c r="Q128" s="63" t="e">
        <f t="shared" si="58"/>
        <v>#VALUE!</v>
      </c>
      <c r="R128" s="63" t="e">
        <f t="shared" si="59"/>
        <v>#VALUE!</v>
      </c>
      <c r="S128" s="63" t="str">
        <f>IFERROR(VLOOKUP(MID(N128,Q128,R128-Q128),[6]skilldef!$C:$D,2,FALSE),"-") &amp; " / " &amp; IFERROR(VLOOKUP(MID(N128,O128,P128-O128),[6]skilldef!$A:$B,2,FALSE),"-")</f>
        <v>- / -</v>
      </c>
      <c r="T128" s="48" t="str">
        <f t="shared" si="60"/>
        <v>none</v>
      </c>
      <c r="U128" s="63" t="e">
        <f t="shared" si="61"/>
        <v>#VALUE!</v>
      </c>
      <c r="V128" s="63">
        <f t="shared" si="62"/>
        <v>4</v>
      </c>
      <c r="W128" s="63" t="e">
        <f t="shared" si="63"/>
        <v>#VALUE!</v>
      </c>
      <c r="X128" s="63" t="e">
        <f t="shared" si="64"/>
        <v>#VALUE!</v>
      </c>
      <c r="Y128" s="63" t="str">
        <f>IFERROR(VLOOKUP(MID(T128,W128,X128-W128),[6]skilldef!$C:$D,2,FALSE),"-") &amp; " / " &amp; IFERROR(VLOOKUP(MID(T128,U128,V128-U128),[6]skilldef!$A:$B,2,FALSE),"-")</f>
        <v>- / -</v>
      </c>
      <c r="Z128" s="103"/>
      <c r="AA128" s="105"/>
      <c r="AB128" s="103"/>
    </row>
    <row r="129" spans="1:28" ht="21" customHeight="1" x14ac:dyDescent="0.15">
      <c r="A129" s="47">
        <v>50004128</v>
      </c>
      <c r="B129" s="102" t="s">
        <v>262</v>
      </c>
      <c r="C129" s="103">
        <v>3</v>
      </c>
      <c r="D129" s="103" t="s">
        <v>243</v>
      </c>
      <c r="E129" s="111" t="s">
        <v>394</v>
      </c>
      <c r="F129" s="111" t="s">
        <v>376</v>
      </c>
      <c r="G129" s="63" t="str">
        <f t="shared" si="49"/>
        <v>[effect:nothing]</v>
      </c>
      <c r="H129" s="63">
        <f t="shared" si="50"/>
        <v>9</v>
      </c>
      <c r="I129" s="63">
        <f t="shared" si="51"/>
        <v>16</v>
      </c>
      <c r="J129" s="63" t="e">
        <f t="shared" si="52"/>
        <v>#VALUE!</v>
      </c>
      <c r="K129" s="63" t="e">
        <f t="shared" si="53"/>
        <v>#VALUE!</v>
      </c>
      <c r="L129" s="63" t="str">
        <f>IFERROR(VLOOKUP(MID(G129,J129,K129-J129),[6]skilldef!$C:$D,2,FALSE),"-") &amp; " / " &amp; IFERROR(VLOOKUP(MID(G129,H129,I129-H129),[6]skilldef!$A:$B,2,FALSE),"-")</f>
        <v>- / 何もしない</v>
      </c>
      <c r="M129" s="63" t="str">
        <f t="shared" si="54"/>
        <v>none</v>
      </c>
      <c r="N129" s="48" t="str">
        <f t="shared" si="55"/>
        <v>none</v>
      </c>
      <c r="O129" s="63" t="e">
        <f t="shared" si="56"/>
        <v>#VALUE!</v>
      </c>
      <c r="P129" s="63">
        <f t="shared" si="57"/>
        <v>4</v>
      </c>
      <c r="Q129" s="63" t="e">
        <f t="shared" si="58"/>
        <v>#VALUE!</v>
      </c>
      <c r="R129" s="63" t="e">
        <f t="shared" si="59"/>
        <v>#VALUE!</v>
      </c>
      <c r="S129" s="63" t="str">
        <f>IFERROR(VLOOKUP(MID(N129,Q129,R129-Q129),[6]skilldef!$C:$D,2,FALSE),"-") &amp; " / " &amp; IFERROR(VLOOKUP(MID(N129,O129,P129-O129),[6]skilldef!$A:$B,2,FALSE),"-")</f>
        <v>- / -</v>
      </c>
      <c r="T129" s="48" t="str">
        <f t="shared" si="60"/>
        <v>none</v>
      </c>
      <c r="U129" s="63" t="e">
        <f t="shared" si="61"/>
        <v>#VALUE!</v>
      </c>
      <c r="V129" s="63">
        <f t="shared" si="62"/>
        <v>4</v>
      </c>
      <c r="W129" s="63" t="e">
        <f t="shared" si="63"/>
        <v>#VALUE!</v>
      </c>
      <c r="X129" s="63" t="e">
        <f t="shared" si="64"/>
        <v>#VALUE!</v>
      </c>
      <c r="Y129" s="63" t="str">
        <f>IFERROR(VLOOKUP(MID(T129,W129,X129-W129),[6]skilldef!$C:$D,2,FALSE),"-") &amp; " / " &amp; IFERROR(VLOOKUP(MID(T129,U129,V129-U129),[6]skilldef!$A:$B,2,FALSE),"-")</f>
        <v>- / -</v>
      </c>
      <c r="Z129" s="103"/>
      <c r="AA129" s="105"/>
      <c r="AB129" s="103"/>
    </row>
    <row r="130" spans="1:28" ht="21" customHeight="1" x14ac:dyDescent="0.15">
      <c r="A130" s="106">
        <v>50004129</v>
      </c>
      <c r="B130" s="106" t="s">
        <v>264</v>
      </c>
      <c r="C130" s="109">
        <v>1</v>
      </c>
      <c r="D130" s="109" t="s">
        <v>243</v>
      </c>
      <c r="E130" s="110" t="s">
        <v>250</v>
      </c>
      <c r="F130" s="110" t="s">
        <v>254</v>
      </c>
      <c r="G130" s="63" t="str">
        <f t="shared" si="49"/>
        <v>[effect:damage_fix_absolute, target:unit_all, val:999999]</v>
      </c>
      <c r="H130" s="63">
        <f t="shared" si="50"/>
        <v>9</v>
      </c>
      <c r="I130" s="63">
        <f t="shared" si="51"/>
        <v>28</v>
      </c>
      <c r="J130" s="63">
        <f t="shared" si="52"/>
        <v>37</v>
      </c>
      <c r="K130" s="63">
        <f t="shared" si="53"/>
        <v>45</v>
      </c>
      <c r="L130" s="63" t="str">
        <f>IFERROR(VLOOKUP(MID(G130,J130,K130-J130),[6]skilldef!$C:$D,2,FALSE),"-") &amp; " / " &amp; IFERROR(VLOOKUP(MID(G130,H130,I130-H130),[6]skilldef!$A:$B,2,FALSE),"-")</f>
        <v>味方全体に / -</v>
      </c>
      <c r="M130" s="63" t="str">
        <f t="shared" si="54"/>
        <v>none</v>
      </c>
      <c r="N130" s="48" t="str">
        <f t="shared" si="55"/>
        <v>none</v>
      </c>
      <c r="O130" s="63" t="e">
        <f t="shared" si="56"/>
        <v>#VALUE!</v>
      </c>
      <c r="P130" s="63">
        <f t="shared" si="57"/>
        <v>4</v>
      </c>
      <c r="Q130" s="63" t="e">
        <f t="shared" si="58"/>
        <v>#VALUE!</v>
      </c>
      <c r="R130" s="63" t="e">
        <f t="shared" si="59"/>
        <v>#VALUE!</v>
      </c>
      <c r="S130" s="63" t="str">
        <f>IFERROR(VLOOKUP(MID(N130,Q130,R130-Q130),[6]skilldef!$C:$D,2,FALSE),"-") &amp; " / " &amp; IFERROR(VLOOKUP(MID(N130,O130,P130-O130),[6]skilldef!$A:$B,2,FALSE),"-")</f>
        <v>- / -</v>
      </c>
      <c r="T130" s="48" t="str">
        <f t="shared" si="60"/>
        <v>none</v>
      </c>
      <c r="U130" s="63" t="e">
        <f t="shared" si="61"/>
        <v>#VALUE!</v>
      </c>
      <c r="V130" s="63">
        <f t="shared" si="62"/>
        <v>4</v>
      </c>
      <c r="W130" s="63" t="e">
        <f t="shared" si="63"/>
        <v>#VALUE!</v>
      </c>
      <c r="X130" s="63" t="e">
        <f t="shared" si="64"/>
        <v>#VALUE!</v>
      </c>
      <c r="Y130" s="63" t="str">
        <f>IFERROR(VLOOKUP(MID(T130,W130,X130-W130),[6]skilldef!$C:$D,2,FALSE),"-") &amp; " / " &amp; IFERROR(VLOOKUP(MID(T130,U130,V130-U130),[6]skilldef!$A:$B,2,FALSE),"-")</f>
        <v>- / -</v>
      </c>
      <c r="Z130" s="103"/>
      <c r="AA130" s="105"/>
      <c r="AB130" s="103"/>
    </row>
    <row r="131" spans="1:28" ht="21" customHeight="1" x14ac:dyDescent="0.15">
      <c r="A131" s="106">
        <v>50004130</v>
      </c>
      <c r="B131" s="121" t="s">
        <v>262</v>
      </c>
      <c r="C131" s="109">
        <v>1</v>
      </c>
      <c r="D131" s="109" t="s">
        <v>243</v>
      </c>
      <c r="E131" s="110" t="s">
        <v>250</v>
      </c>
      <c r="F131" s="110" t="s">
        <v>265</v>
      </c>
      <c r="G131" s="63" t="str">
        <f t="shared" si="49"/>
        <v>[effect:nothing]</v>
      </c>
      <c r="H131" s="63">
        <f t="shared" si="50"/>
        <v>9</v>
      </c>
      <c r="I131" s="63">
        <f t="shared" si="51"/>
        <v>16</v>
      </c>
      <c r="J131" s="63" t="e">
        <f t="shared" si="52"/>
        <v>#VALUE!</v>
      </c>
      <c r="K131" s="63" t="e">
        <f t="shared" si="53"/>
        <v>#VALUE!</v>
      </c>
      <c r="L131" s="63" t="str">
        <f>IFERROR(VLOOKUP(MID(G131,J131,K131-J131),[6]skilldef!$C:$D,2,FALSE),"-") &amp; " / " &amp; IFERROR(VLOOKUP(MID(G131,H131,I131-H131),[6]skilldef!$A:$B,2,FALSE),"-")</f>
        <v>- / 何もしない</v>
      </c>
      <c r="M131" s="63" t="str">
        <f t="shared" si="54"/>
        <v>none</v>
      </c>
      <c r="N131" s="48" t="str">
        <f t="shared" si="55"/>
        <v>none</v>
      </c>
      <c r="O131" s="63" t="e">
        <f t="shared" si="56"/>
        <v>#VALUE!</v>
      </c>
      <c r="P131" s="63">
        <f t="shared" si="57"/>
        <v>4</v>
      </c>
      <c r="Q131" s="63" t="e">
        <f t="shared" si="58"/>
        <v>#VALUE!</v>
      </c>
      <c r="R131" s="63" t="e">
        <f t="shared" si="59"/>
        <v>#VALUE!</v>
      </c>
      <c r="S131" s="63" t="str">
        <f>IFERROR(VLOOKUP(MID(N131,Q131,R131-Q131),[6]skilldef!$C:$D,2,FALSE),"-") &amp; " / " &amp; IFERROR(VLOOKUP(MID(N131,O131,P131-O131),[6]skilldef!$A:$B,2,FALSE),"-")</f>
        <v>- / -</v>
      </c>
      <c r="T131" s="48" t="str">
        <f t="shared" si="60"/>
        <v>none</v>
      </c>
      <c r="U131" s="63" t="e">
        <f t="shared" si="61"/>
        <v>#VALUE!</v>
      </c>
      <c r="V131" s="63">
        <f t="shared" si="62"/>
        <v>4</v>
      </c>
      <c r="W131" s="63" t="e">
        <f t="shared" si="63"/>
        <v>#VALUE!</v>
      </c>
      <c r="X131" s="63" t="e">
        <f t="shared" si="64"/>
        <v>#VALUE!</v>
      </c>
      <c r="Y131" s="63" t="str">
        <f>IFERROR(VLOOKUP(MID(T131,W131,X131-W131),[6]skilldef!$C:$D,2,FALSE),"-") &amp; " / " &amp; IFERROR(VLOOKUP(MID(T131,U131,V131-U131),[6]skilldef!$A:$B,2,FALSE),"-")</f>
        <v>- / -</v>
      </c>
      <c r="Z131" s="103"/>
      <c r="AA131" s="105"/>
      <c r="AB131" s="103"/>
    </row>
    <row r="132" spans="1:28" ht="21" customHeight="1" x14ac:dyDescent="0.15">
      <c r="A132" s="106">
        <v>50004131</v>
      </c>
      <c r="B132" s="106" t="s">
        <v>264</v>
      </c>
      <c r="C132" s="109">
        <v>1</v>
      </c>
      <c r="D132" s="109" t="s">
        <v>243</v>
      </c>
      <c r="E132" s="110" t="s">
        <v>250</v>
      </c>
      <c r="F132" s="110" t="s">
        <v>255</v>
      </c>
      <c r="G132" s="63" t="str">
        <f t="shared" si="49"/>
        <v>[effect:damage_fix_absolute, target:unit_all, val:999999]</v>
      </c>
      <c r="H132" s="63">
        <f t="shared" si="50"/>
        <v>9</v>
      </c>
      <c r="I132" s="63">
        <f t="shared" si="51"/>
        <v>28</v>
      </c>
      <c r="J132" s="63">
        <f t="shared" si="52"/>
        <v>37</v>
      </c>
      <c r="K132" s="63">
        <f t="shared" si="53"/>
        <v>45</v>
      </c>
      <c r="L132" s="63" t="str">
        <f>IFERROR(VLOOKUP(MID(G132,J132,K132-J132),[6]skilldef!$C:$D,2,FALSE),"-") &amp; " / " &amp; IFERROR(VLOOKUP(MID(G132,H132,I132-H132),[6]skilldef!$A:$B,2,FALSE),"-")</f>
        <v>味方全体に / -</v>
      </c>
      <c r="M132" s="63" t="str">
        <f t="shared" si="54"/>
        <v>none</v>
      </c>
      <c r="N132" s="48" t="str">
        <f t="shared" si="55"/>
        <v>none</v>
      </c>
      <c r="O132" s="63" t="e">
        <f t="shared" si="56"/>
        <v>#VALUE!</v>
      </c>
      <c r="P132" s="63">
        <f t="shared" si="57"/>
        <v>4</v>
      </c>
      <c r="Q132" s="63" t="e">
        <f t="shared" si="58"/>
        <v>#VALUE!</v>
      </c>
      <c r="R132" s="63" t="e">
        <f t="shared" si="59"/>
        <v>#VALUE!</v>
      </c>
      <c r="S132" s="63" t="str">
        <f>IFERROR(VLOOKUP(MID(N132,Q132,R132-Q132),[6]skilldef!$C:$D,2,FALSE),"-") &amp; " / " &amp; IFERROR(VLOOKUP(MID(N132,O132,P132-O132),[6]skilldef!$A:$B,2,FALSE),"-")</f>
        <v>- / -</v>
      </c>
      <c r="T132" s="48" t="str">
        <f t="shared" si="60"/>
        <v>none</v>
      </c>
      <c r="U132" s="63" t="e">
        <f t="shared" si="61"/>
        <v>#VALUE!</v>
      </c>
      <c r="V132" s="63">
        <f t="shared" si="62"/>
        <v>4</v>
      </c>
      <c r="W132" s="63" t="e">
        <f t="shared" si="63"/>
        <v>#VALUE!</v>
      </c>
      <c r="X132" s="63" t="e">
        <f t="shared" si="64"/>
        <v>#VALUE!</v>
      </c>
      <c r="Y132" s="63" t="str">
        <f>IFERROR(VLOOKUP(MID(T132,W132,X132-W132),[6]skilldef!$C:$D,2,FALSE),"-") &amp; " / " &amp; IFERROR(VLOOKUP(MID(T132,U132,V132-U132),[6]skilldef!$A:$B,2,FALSE),"-")</f>
        <v>- / -</v>
      </c>
      <c r="Z132" s="103"/>
      <c r="AA132" s="105"/>
      <c r="AB132" s="103"/>
    </row>
    <row r="133" spans="1:28" ht="21" customHeight="1" x14ac:dyDescent="0.15">
      <c r="A133" s="106">
        <v>50004132</v>
      </c>
      <c r="B133" s="121" t="s">
        <v>262</v>
      </c>
      <c r="C133" s="109">
        <v>1</v>
      </c>
      <c r="D133" s="109" t="s">
        <v>243</v>
      </c>
      <c r="E133" s="110" t="s">
        <v>250</v>
      </c>
      <c r="F133" s="110" t="s">
        <v>265</v>
      </c>
      <c r="G133" s="63" t="str">
        <f t="shared" si="49"/>
        <v>[effect:nothing]</v>
      </c>
      <c r="H133" s="63">
        <f t="shared" si="50"/>
        <v>9</v>
      </c>
      <c r="I133" s="63">
        <f t="shared" si="51"/>
        <v>16</v>
      </c>
      <c r="J133" s="63" t="e">
        <f t="shared" si="52"/>
        <v>#VALUE!</v>
      </c>
      <c r="K133" s="63" t="e">
        <f t="shared" si="53"/>
        <v>#VALUE!</v>
      </c>
      <c r="L133" s="63" t="str">
        <f>IFERROR(VLOOKUP(MID(G133,J133,K133-J133),[6]skilldef!$C:$D,2,FALSE),"-") &amp; " / " &amp; IFERROR(VLOOKUP(MID(G133,H133,I133-H133),[6]skilldef!$A:$B,2,FALSE),"-")</f>
        <v>- / 何もしない</v>
      </c>
      <c r="M133" s="63" t="str">
        <f t="shared" si="54"/>
        <v>none</v>
      </c>
      <c r="N133" s="48" t="str">
        <f>IFERROR(LEFT(M133,FIND("],",M133)+#REF!),M133)</f>
        <v>none</v>
      </c>
      <c r="O133" s="63" t="e">
        <f t="shared" si="56"/>
        <v>#VALUE!</v>
      </c>
      <c r="P133" s="63">
        <f t="shared" si="57"/>
        <v>4</v>
      </c>
      <c r="Q133" s="63" t="e">
        <f t="shared" si="58"/>
        <v>#VALUE!</v>
      </c>
      <c r="R133" s="63" t="e">
        <f t="shared" si="59"/>
        <v>#VALUE!</v>
      </c>
      <c r="S133" s="63" t="str">
        <f>IFERROR(VLOOKUP(MID(N133,Q133,R133-Q133),[6]skilldef!$C:$D,2,FALSE),"-") &amp; " / " &amp; IFERROR(VLOOKUP(MID(N133,O133,P133-O133),[6]skilldef!$A:$B,2,FALSE),"-")</f>
        <v>- / -</v>
      </c>
      <c r="T133" s="48" t="str">
        <f t="shared" si="60"/>
        <v>none</v>
      </c>
      <c r="U133" s="63" t="e">
        <f t="shared" si="61"/>
        <v>#VALUE!</v>
      </c>
      <c r="V133" s="63">
        <f t="shared" si="62"/>
        <v>4</v>
      </c>
      <c r="W133" s="63" t="e">
        <f t="shared" si="63"/>
        <v>#VALUE!</v>
      </c>
      <c r="X133" s="63" t="e">
        <f t="shared" si="64"/>
        <v>#VALUE!</v>
      </c>
      <c r="Y133" s="63" t="str">
        <f>IFERROR(VLOOKUP(MID(T133,W133,X133-W133),[6]skilldef!$C:$D,2,FALSE),"-") &amp; " / " &amp; IFERROR(VLOOKUP(MID(T133,U133,V133-U133),[6]skilldef!$A:$B,2,FALSE),"-")</f>
        <v>- / -</v>
      </c>
      <c r="Z133" s="103"/>
      <c r="AA133" s="105"/>
      <c r="AB133" s="103"/>
    </row>
    <row r="134" spans="1:28" ht="21" customHeight="1" x14ac:dyDescent="0.15">
      <c r="A134" s="47">
        <v>50004133</v>
      </c>
      <c r="B134" s="47" t="s">
        <v>264</v>
      </c>
      <c r="C134" s="103">
        <v>3</v>
      </c>
      <c r="D134" s="103" t="s">
        <v>243</v>
      </c>
      <c r="E134" s="111" t="s">
        <v>373</v>
      </c>
      <c r="F134" s="111" t="s">
        <v>410</v>
      </c>
      <c r="G134" s="63" t="str">
        <f t="shared" si="49"/>
        <v>[effect:damage_fix_absolute, target:unit_all, val:999999]</v>
      </c>
      <c r="H134" s="63">
        <f t="shared" si="50"/>
        <v>9</v>
      </c>
      <c r="I134" s="63">
        <f t="shared" si="51"/>
        <v>28</v>
      </c>
      <c r="J134" s="63">
        <f t="shared" si="52"/>
        <v>37</v>
      </c>
      <c r="K134" s="63">
        <f t="shared" si="53"/>
        <v>45</v>
      </c>
      <c r="L134" s="63" t="str">
        <f>IFERROR(VLOOKUP(MID(G134,J134,K134-J134),[6]skilldef!$C:$D,2,FALSE),"-") &amp; " / " &amp; IFERROR(VLOOKUP(MID(G134,H134,I134-H134),[6]skilldef!$A:$B,2,FALSE),"-")</f>
        <v>味方全体に / -</v>
      </c>
      <c r="M134" s="63" t="str">
        <f t="shared" si="54"/>
        <v>none</v>
      </c>
      <c r="N134" s="48" t="str">
        <f>IFERROR(LEFT(M134,FIND("],",M134)+#REF!),M134)</f>
        <v>none</v>
      </c>
      <c r="O134" s="63" t="e">
        <f t="shared" si="56"/>
        <v>#VALUE!</v>
      </c>
      <c r="P134" s="63">
        <f t="shared" si="57"/>
        <v>4</v>
      </c>
      <c r="Q134" s="63" t="e">
        <f t="shared" si="58"/>
        <v>#VALUE!</v>
      </c>
      <c r="R134" s="63" t="e">
        <f t="shared" si="59"/>
        <v>#VALUE!</v>
      </c>
      <c r="S134" s="63" t="str">
        <f>IFERROR(VLOOKUP(MID(N134,Q134,R134-Q134),[6]skilldef!$C:$D,2,FALSE),"-") &amp; " / " &amp; IFERROR(VLOOKUP(MID(N134,O134,P134-O134),[6]skilldef!$A:$B,2,FALSE),"-")</f>
        <v>- / -</v>
      </c>
      <c r="T134" s="48" t="str">
        <f t="shared" si="60"/>
        <v>none</v>
      </c>
      <c r="U134" s="63" t="e">
        <f t="shared" si="61"/>
        <v>#VALUE!</v>
      </c>
      <c r="V134" s="63">
        <f t="shared" si="62"/>
        <v>4</v>
      </c>
      <c r="W134" s="63" t="e">
        <f t="shared" si="63"/>
        <v>#VALUE!</v>
      </c>
      <c r="X134" s="63" t="e">
        <f t="shared" si="64"/>
        <v>#VALUE!</v>
      </c>
      <c r="Y134" s="63" t="str">
        <f>IFERROR(VLOOKUP(MID(T134,W134,X134-W134),[6]skilldef!$C:$D,2,FALSE),"-") &amp; " / " &amp; IFERROR(VLOOKUP(MID(T134,U134,V134-U134),[6]skilldef!$A:$B,2,FALSE),"-")</f>
        <v>- / -</v>
      </c>
      <c r="Z134" s="103"/>
      <c r="AA134" s="105"/>
      <c r="AB134" s="103"/>
    </row>
    <row r="135" spans="1:28" ht="21" customHeight="1" x14ac:dyDescent="0.15">
      <c r="A135" s="47">
        <v>50004134</v>
      </c>
      <c r="B135" s="102" t="s">
        <v>266</v>
      </c>
      <c r="C135" s="103">
        <v>3</v>
      </c>
      <c r="D135" s="103" t="s">
        <v>243</v>
      </c>
      <c r="E135" s="111" t="s">
        <v>380</v>
      </c>
      <c r="F135" s="111" t="s">
        <v>377</v>
      </c>
      <c r="G135" s="63" t="str">
        <f t="shared" si="49"/>
        <v>[effect:reduction, target:myself, turn:1, color:all, val:0.9, animation:reduction_one04]</v>
      </c>
      <c r="H135" s="63">
        <f t="shared" si="50"/>
        <v>9</v>
      </c>
      <c r="I135" s="63">
        <f t="shared" si="51"/>
        <v>18</v>
      </c>
      <c r="J135" s="63">
        <f t="shared" si="52"/>
        <v>27</v>
      </c>
      <c r="K135" s="63">
        <f t="shared" si="53"/>
        <v>33</v>
      </c>
      <c r="L135" s="63" t="str">
        <f>IFERROR(VLOOKUP(MID(G135,J135,K135-J135),[6]skilldef!$C:$D,2,FALSE),"-") &amp; " / " &amp; IFERROR(VLOOKUP(MID(G135,H135,I135-H135),[6]skilldef!$A:$B,2,FALSE),"-")</f>
        <v>自分自身に / -</v>
      </c>
      <c r="M135" s="63" t="str">
        <f t="shared" si="54"/>
        <v>none</v>
      </c>
      <c r="N135" s="48" t="str">
        <f t="shared" ref="N135:N142" si="65">IFERROR(LEFT(M135,FIND("],",M135)+S143),M135)</f>
        <v>none</v>
      </c>
      <c r="O135" s="63" t="e">
        <f t="shared" si="56"/>
        <v>#VALUE!</v>
      </c>
      <c r="P135" s="63">
        <f t="shared" si="57"/>
        <v>4</v>
      </c>
      <c r="Q135" s="63" t="e">
        <f t="shared" si="58"/>
        <v>#VALUE!</v>
      </c>
      <c r="R135" s="63" t="e">
        <f t="shared" si="59"/>
        <v>#VALUE!</v>
      </c>
      <c r="S135" s="63" t="str">
        <f>IFERROR(VLOOKUP(MID(N135,Q135,R135-Q135),[6]skilldef!$C:$D,2,FALSE),"-") &amp; " / " &amp; IFERROR(VLOOKUP(MID(N135,O135,P135-O135),[6]skilldef!$A:$B,2,FALSE),"-")</f>
        <v>- / -</v>
      </c>
      <c r="T135" s="48" t="str">
        <f t="shared" si="60"/>
        <v>none</v>
      </c>
      <c r="U135" s="63" t="e">
        <f t="shared" si="61"/>
        <v>#VALUE!</v>
      </c>
      <c r="V135" s="63">
        <f t="shared" si="62"/>
        <v>4</v>
      </c>
      <c r="W135" s="63" t="e">
        <f t="shared" si="63"/>
        <v>#VALUE!</v>
      </c>
      <c r="X135" s="63" t="e">
        <f t="shared" si="64"/>
        <v>#VALUE!</v>
      </c>
      <c r="Y135" s="63" t="str">
        <f>IFERROR(VLOOKUP(MID(T135,W135,X135-W135),[6]skilldef!$C:$D,2,FALSE),"-") &amp; " / " &amp; IFERROR(VLOOKUP(MID(T135,U135,V135-U135),[6]skilldef!$A:$B,2,FALSE),"-")</f>
        <v>- / -</v>
      </c>
      <c r="Z135" s="103"/>
      <c r="AA135" s="105"/>
      <c r="AB135" s="103"/>
    </row>
    <row r="136" spans="1:28" ht="21" customHeight="1" x14ac:dyDescent="0.15">
      <c r="A136" s="47">
        <v>50004135</v>
      </c>
      <c r="B136" s="47" t="s">
        <v>264</v>
      </c>
      <c r="C136" s="103">
        <v>3</v>
      </c>
      <c r="D136" s="103" t="s">
        <v>243</v>
      </c>
      <c r="E136" s="111" t="s">
        <v>373</v>
      </c>
      <c r="F136" s="111" t="s">
        <v>410</v>
      </c>
      <c r="G136" s="63" t="str">
        <f t="shared" si="49"/>
        <v>[effect:damage_fix_absolute, target:unit_all, val:999999]</v>
      </c>
      <c r="H136" s="63">
        <f t="shared" si="50"/>
        <v>9</v>
      </c>
      <c r="I136" s="63">
        <f t="shared" si="51"/>
        <v>28</v>
      </c>
      <c r="J136" s="63">
        <f t="shared" si="52"/>
        <v>37</v>
      </c>
      <c r="K136" s="63">
        <f t="shared" si="53"/>
        <v>45</v>
      </c>
      <c r="L136" s="63" t="str">
        <f>IFERROR(VLOOKUP(MID(G136,J136,K136-J136),[6]skilldef!$C:$D,2,FALSE),"-") &amp; " / " &amp; IFERROR(VLOOKUP(MID(G136,H136,I136-H136),[6]skilldef!$A:$B,2,FALSE),"-")</f>
        <v>味方全体に / -</v>
      </c>
      <c r="M136" s="63" t="str">
        <f t="shared" si="54"/>
        <v>none</v>
      </c>
      <c r="N136" s="48" t="str">
        <f t="shared" si="65"/>
        <v>none</v>
      </c>
      <c r="O136" s="63" t="e">
        <f t="shared" si="56"/>
        <v>#VALUE!</v>
      </c>
      <c r="P136" s="63">
        <f t="shared" si="57"/>
        <v>4</v>
      </c>
      <c r="Q136" s="63" t="e">
        <f t="shared" si="58"/>
        <v>#VALUE!</v>
      </c>
      <c r="R136" s="63" t="e">
        <f t="shared" si="59"/>
        <v>#VALUE!</v>
      </c>
      <c r="S136" s="63" t="str">
        <f>IFERROR(VLOOKUP(MID(N136,Q136,R136-Q136),[6]skilldef!$C:$D,2,FALSE),"-") &amp; " / " &amp; IFERROR(VLOOKUP(MID(N136,O136,P136-O136),[6]skilldef!$A:$B,2,FALSE),"-")</f>
        <v>- / -</v>
      </c>
      <c r="T136" s="48" t="str">
        <f t="shared" si="60"/>
        <v>none</v>
      </c>
      <c r="U136" s="63" t="e">
        <f t="shared" si="61"/>
        <v>#VALUE!</v>
      </c>
      <c r="V136" s="63">
        <f t="shared" si="62"/>
        <v>4</v>
      </c>
      <c r="W136" s="63" t="e">
        <f t="shared" si="63"/>
        <v>#VALUE!</v>
      </c>
      <c r="X136" s="63" t="e">
        <f t="shared" si="64"/>
        <v>#VALUE!</v>
      </c>
      <c r="Y136" s="63" t="str">
        <f>IFERROR(VLOOKUP(MID(T136,W136,X136-W136),[6]skilldef!$C:$D,2,FALSE),"-") &amp; " / " &amp; IFERROR(VLOOKUP(MID(T136,U136,V136-U136),[6]skilldef!$A:$B,2,FALSE),"-")</f>
        <v>- / -</v>
      </c>
      <c r="Z136" s="103"/>
      <c r="AA136" s="105"/>
      <c r="AB136" s="103"/>
    </row>
    <row r="137" spans="1:28" ht="21" customHeight="1" x14ac:dyDescent="0.15">
      <c r="A137" s="47">
        <v>50004136</v>
      </c>
      <c r="B137" s="113" t="s">
        <v>414</v>
      </c>
      <c r="C137" s="112">
        <v>3</v>
      </c>
      <c r="D137" s="112" t="s">
        <v>243</v>
      </c>
      <c r="E137" s="111" t="s">
        <v>381</v>
      </c>
      <c r="F137" s="111" t="s">
        <v>449</v>
      </c>
      <c r="G137" s="63" t="str">
        <f t="shared" si="49"/>
        <v>[effect:enemy_message, val1:2, val2:2.5, dead_type:suicide]</v>
      </c>
      <c r="H137" s="63">
        <f t="shared" si="50"/>
        <v>9</v>
      </c>
      <c r="I137" s="63">
        <f t="shared" si="51"/>
        <v>22</v>
      </c>
      <c r="J137" s="63" t="e">
        <f t="shared" si="52"/>
        <v>#VALUE!</v>
      </c>
      <c r="K137" s="63">
        <f t="shared" si="53"/>
        <v>30</v>
      </c>
      <c r="L137" s="63" t="str">
        <f>IFERROR(VLOOKUP(MID(G137,J137,K137-J137),[6]skilldef!$C:$D,2,FALSE),"-") &amp; " / " &amp; IFERROR(VLOOKUP(MID(G137,H137,I137-H137),[6]skilldef!$A:$B,2,FALSE),"-")</f>
        <v>- / -</v>
      </c>
      <c r="M137" s="63" t="str">
        <f t="shared" si="54"/>
        <v>none</v>
      </c>
      <c r="N137" s="48" t="str">
        <f t="shared" si="65"/>
        <v>none</v>
      </c>
      <c r="O137" s="63" t="e">
        <f t="shared" si="56"/>
        <v>#VALUE!</v>
      </c>
      <c r="P137" s="63">
        <f t="shared" si="57"/>
        <v>4</v>
      </c>
      <c r="Q137" s="63" t="e">
        <f t="shared" si="58"/>
        <v>#VALUE!</v>
      </c>
      <c r="R137" s="63" t="e">
        <f t="shared" si="59"/>
        <v>#VALUE!</v>
      </c>
      <c r="S137" s="63" t="str">
        <f>IFERROR(VLOOKUP(MID(N137,Q137,R137-Q137),[6]skilldef!$C:$D,2,FALSE),"-") &amp; " / " &amp; IFERROR(VLOOKUP(MID(N137,O137,P137-O137),[6]skilldef!$A:$B,2,FALSE),"-")</f>
        <v>- / -</v>
      </c>
      <c r="T137" s="48" t="str">
        <f t="shared" si="60"/>
        <v>none</v>
      </c>
      <c r="U137" s="63" t="e">
        <f t="shared" si="61"/>
        <v>#VALUE!</v>
      </c>
      <c r="V137" s="63">
        <f t="shared" si="62"/>
        <v>4</v>
      </c>
      <c r="W137" s="63" t="e">
        <f t="shared" si="63"/>
        <v>#VALUE!</v>
      </c>
      <c r="X137" s="63" t="e">
        <f t="shared" si="64"/>
        <v>#VALUE!</v>
      </c>
      <c r="Y137" s="63" t="str">
        <f>IFERROR(VLOOKUP(MID(T137,W137,X137-W137),[6]skilldef!$C:$D,2,FALSE),"-") &amp; " / " &amp; IFERROR(VLOOKUP(MID(T137,U137,V137-U137),[6]skilldef!$A:$B,2,FALSE),"-")</f>
        <v>- / -</v>
      </c>
      <c r="Z137" s="103"/>
      <c r="AA137" s="105"/>
      <c r="AB137" s="103"/>
    </row>
    <row r="138" spans="1:28" ht="21" customHeight="1" x14ac:dyDescent="0.15">
      <c r="A138" s="106">
        <v>50004137</v>
      </c>
      <c r="B138" s="122" t="s">
        <v>270</v>
      </c>
      <c r="C138" s="109">
        <v>1</v>
      </c>
      <c r="D138" s="109" t="s">
        <v>243</v>
      </c>
      <c r="E138" s="110" t="s">
        <v>256</v>
      </c>
      <c r="F138" s="108" t="s">
        <v>241</v>
      </c>
      <c r="G138" s="63" t="str">
        <f t="shared" si="49"/>
        <v>[effect:enemy_message, val1:2, val2:2, dead_type:suicide]</v>
      </c>
      <c r="H138" s="63">
        <f t="shared" si="50"/>
        <v>9</v>
      </c>
      <c r="I138" s="63">
        <f t="shared" si="51"/>
        <v>22</v>
      </c>
      <c r="J138" s="63" t="e">
        <f t="shared" si="52"/>
        <v>#VALUE!</v>
      </c>
      <c r="K138" s="63">
        <f t="shared" si="53"/>
        <v>30</v>
      </c>
      <c r="L138" s="63" t="str">
        <f>IFERROR(VLOOKUP(MID(G138,J138,K138-J138),[6]skilldef!$C:$D,2,FALSE),"-") &amp; " / " &amp; IFERROR(VLOOKUP(MID(G138,H138,I138-H138),[6]skilldef!$A:$B,2,FALSE),"-")</f>
        <v>- / -</v>
      </c>
      <c r="M138" s="63" t="str">
        <f t="shared" si="54"/>
        <v>none</v>
      </c>
      <c r="N138" s="48" t="str">
        <f t="shared" si="65"/>
        <v>none</v>
      </c>
      <c r="O138" s="63" t="e">
        <f t="shared" si="56"/>
        <v>#VALUE!</v>
      </c>
      <c r="P138" s="63">
        <f t="shared" si="57"/>
        <v>4</v>
      </c>
      <c r="Q138" s="63" t="e">
        <f t="shared" si="58"/>
        <v>#VALUE!</v>
      </c>
      <c r="R138" s="63" t="e">
        <f t="shared" si="59"/>
        <v>#VALUE!</v>
      </c>
      <c r="S138" s="63" t="str">
        <f>IFERROR(VLOOKUP(MID(N138,Q138,R138-Q138),[6]skilldef!$C:$D,2,FALSE),"-") &amp; " / " &amp; IFERROR(VLOOKUP(MID(N138,O138,P138-O138),[6]skilldef!$A:$B,2,FALSE),"-")</f>
        <v>- / -</v>
      </c>
      <c r="T138" s="48" t="str">
        <f t="shared" si="60"/>
        <v>none</v>
      </c>
      <c r="U138" s="63" t="e">
        <f t="shared" si="61"/>
        <v>#VALUE!</v>
      </c>
      <c r="V138" s="63">
        <f t="shared" si="62"/>
        <v>4</v>
      </c>
      <c r="W138" s="63" t="e">
        <f t="shared" si="63"/>
        <v>#VALUE!</v>
      </c>
      <c r="X138" s="63" t="e">
        <f t="shared" si="64"/>
        <v>#VALUE!</v>
      </c>
      <c r="Y138" s="63" t="str">
        <f>IFERROR(VLOOKUP(MID(T138,W138,X138-W138),[6]skilldef!$C:$D,2,FALSE),"-") &amp; " / " &amp; IFERROR(VLOOKUP(MID(T138,U138,V138-U138),[6]skilldef!$A:$B,2,FALSE),"-")</f>
        <v>- / -</v>
      </c>
      <c r="Z138" s="103"/>
      <c r="AA138" s="105"/>
      <c r="AB138" s="103"/>
    </row>
    <row r="139" spans="1:28" ht="21" customHeight="1" x14ac:dyDescent="0.15">
      <c r="A139" s="106">
        <v>50004138</v>
      </c>
      <c r="B139" s="122" t="s">
        <v>270</v>
      </c>
      <c r="C139" s="109">
        <v>1</v>
      </c>
      <c r="D139" s="109" t="s">
        <v>243</v>
      </c>
      <c r="E139" s="110" t="s">
        <v>256</v>
      </c>
      <c r="F139" s="108" t="s">
        <v>242</v>
      </c>
      <c r="G139" s="63" t="str">
        <f t="shared" si="49"/>
        <v>[effect:enemy_message, val1:2, val2:2, dead_type:suicide]</v>
      </c>
      <c r="H139" s="63">
        <f t="shared" si="50"/>
        <v>9</v>
      </c>
      <c r="I139" s="63">
        <f t="shared" si="51"/>
        <v>22</v>
      </c>
      <c r="J139" s="63" t="e">
        <f t="shared" si="52"/>
        <v>#VALUE!</v>
      </c>
      <c r="K139" s="63">
        <f t="shared" si="53"/>
        <v>30</v>
      </c>
      <c r="L139" s="63" t="str">
        <f>IFERROR(VLOOKUP(MID(G139,J139,K139-J139),[6]skilldef!$C:$D,2,FALSE),"-") &amp; " / " &amp; IFERROR(VLOOKUP(MID(G139,H139,I139-H139),[6]skilldef!$A:$B,2,FALSE),"-")</f>
        <v>- / -</v>
      </c>
      <c r="M139" s="63" t="str">
        <f t="shared" si="54"/>
        <v>none</v>
      </c>
      <c r="N139" s="48" t="str">
        <f t="shared" si="65"/>
        <v>none</v>
      </c>
      <c r="O139" s="63" t="e">
        <f t="shared" si="56"/>
        <v>#VALUE!</v>
      </c>
      <c r="P139" s="63">
        <f t="shared" si="57"/>
        <v>4</v>
      </c>
      <c r="Q139" s="63" t="e">
        <f t="shared" si="58"/>
        <v>#VALUE!</v>
      </c>
      <c r="R139" s="63" t="e">
        <f t="shared" si="59"/>
        <v>#VALUE!</v>
      </c>
      <c r="S139" s="63" t="str">
        <f>IFERROR(VLOOKUP(MID(N139,Q139,R139-Q139),[6]skilldef!$C:$D,2,FALSE),"-") &amp; " / " &amp; IFERROR(VLOOKUP(MID(N139,O139,P139-O139),[6]skilldef!$A:$B,2,FALSE),"-")</f>
        <v>- / -</v>
      </c>
      <c r="T139" s="48" t="str">
        <f t="shared" si="60"/>
        <v>none</v>
      </c>
      <c r="U139" s="63" t="e">
        <f t="shared" si="61"/>
        <v>#VALUE!</v>
      </c>
      <c r="V139" s="63">
        <f t="shared" si="62"/>
        <v>4</v>
      </c>
      <c r="W139" s="63" t="e">
        <f t="shared" si="63"/>
        <v>#VALUE!</v>
      </c>
      <c r="X139" s="63" t="e">
        <f t="shared" si="64"/>
        <v>#VALUE!</v>
      </c>
      <c r="Y139" s="63" t="str">
        <f>IFERROR(VLOOKUP(MID(T139,W139,X139-W139),[6]skilldef!$C:$D,2,FALSE),"-") &amp; " / " &amp; IFERROR(VLOOKUP(MID(T139,U139,V139-U139),[6]skilldef!$A:$B,2,FALSE),"-")</f>
        <v>- / -</v>
      </c>
      <c r="Z139" s="103"/>
      <c r="AA139" s="105"/>
      <c r="AB139" s="103"/>
    </row>
    <row r="140" spans="1:28" ht="21" customHeight="1" x14ac:dyDescent="0.15">
      <c r="A140" s="106">
        <v>50004139</v>
      </c>
      <c r="B140" s="106" t="s">
        <v>262</v>
      </c>
      <c r="C140" s="109">
        <v>1</v>
      </c>
      <c r="D140" s="109" t="s">
        <v>243</v>
      </c>
      <c r="E140" s="110" t="s">
        <v>256</v>
      </c>
      <c r="F140" s="110" t="s">
        <v>217</v>
      </c>
      <c r="G140" s="63" t="str">
        <f t="shared" si="49"/>
        <v>[effect:nothing]</v>
      </c>
      <c r="H140" s="63">
        <f t="shared" si="50"/>
        <v>9</v>
      </c>
      <c r="I140" s="63">
        <f t="shared" si="51"/>
        <v>16</v>
      </c>
      <c r="J140" s="63" t="e">
        <f t="shared" si="52"/>
        <v>#VALUE!</v>
      </c>
      <c r="K140" s="63" t="e">
        <f t="shared" si="53"/>
        <v>#VALUE!</v>
      </c>
      <c r="L140" s="63" t="str">
        <f>IFERROR(VLOOKUP(MID(G140,J140,K140-J140),[6]skilldef!$C:$D,2,FALSE),"-") &amp; " / " &amp; IFERROR(VLOOKUP(MID(G140,H140,I140-H140),[6]skilldef!$A:$B,2,FALSE),"-")</f>
        <v>- / 何もしない</v>
      </c>
      <c r="M140" s="63" t="str">
        <f t="shared" si="54"/>
        <v>none</v>
      </c>
      <c r="N140" s="48" t="str">
        <f t="shared" si="65"/>
        <v>none</v>
      </c>
      <c r="O140" s="63" t="e">
        <f t="shared" si="56"/>
        <v>#VALUE!</v>
      </c>
      <c r="P140" s="63">
        <f t="shared" si="57"/>
        <v>4</v>
      </c>
      <c r="Q140" s="63" t="e">
        <f t="shared" si="58"/>
        <v>#VALUE!</v>
      </c>
      <c r="R140" s="63" t="e">
        <f t="shared" si="59"/>
        <v>#VALUE!</v>
      </c>
      <c r="S140" s="63" t="str">
        <f>IFERROR(VLOOKUP(MID(N140,Q140,R140-Q140),[6]skilldef!$C:$D,2,FALSE),"-") &amp; " / " &amp; IFERROR(VLOOKUP(MID(N140,O140,P140-O140),[6]skilldef!$A:$B,2,FALSE),"-")</f>
        <v>- / -</v>
      </c>
      <c r="T140" s="48" t="str">
        <f t="shared" si="60"/>
        <v>none</v>
      </c>
      <c r="U140" s="63" t="e">
        <f t="shared" si="61"/>
        <v>#VALUE!</v>
      </c>
      <c r="V140" s="63">
        <f t="shared" si="62"/>
        <v>4</v>
      </c>
      <c r="W140" s="63" t="e">
        <f t="shared" si="63"/>
        <v>#VALUE!</v>
      </c>
      <c r="X140" s="63" t="e">
        <f t="shared" si="64"/>
        <v>#VALUE!</v>
      </c>
      <c r="Y140" s="63" t="str">
        <f>IFERROR(VLOOKUP(MID(T140,W140,X140-W140),[6]skilldef!$C:$D,2,FALSE),"-") &amp; " / " &amp; IFERROR(VLOOKUP(MID(T140,U140,V140-U140),[6]skilldef!$A:$B,2,FALSE),"-")</f>
        <v>- / -</v>
      </c>
      <c r="Z140" s="103"/>
      <c r="AA140" s="105"/>
      <c r="AB140" s="103"/>
    </row>
    <row r="141" spans="1:28" ht="21" customHeight="1" x14ac:dyDescent="0.15">
      <c r="A141" s="106">
        <v>50004140</v>
      </c>
      <c r="B141" s="106" t="s">
        <v>262</v>
      </c>
      <c r="C141" s="109">
        <v>1</v>
      </c>
      <c r="D141" s="109" t="s">
        <v>243</v>
      </c>
      <c r="E141" s="110" t="s">
        <v>256</v>
      </c>
      <c r="F141" s="110" t="s">
        <v>217</v>
      </c>
      <c r="G141" s="63" t="str">
        <f t="shared" si="49"/>
        <v>[effect:nothing]</v>
      </c>
      <c r="H141" s="63">
        <f t="shared" si="50"/>
        <v>9</v>
      </c>
      <c r="I141" s="63">
        <f t="shared" si="51"/>
        <v>16</v>
      </c>
      <c r="J141" s="63" t="e">
        <f t="shared" si="52"/>
        <v>#VALUE!</v>
      </c>
      <c r="K141" s="63" t="e">
        <f t="shared" si="53"/>
        <v>#VALUE!</v>
      </c>
      <c r="L141" s="63" t="str">
        <f>IFERROR(VLOOKUP(MID(G141,J141,K141-J141),[6]skilldef!$C:$D,2,FALSE),"-") &amp; " / " &amp; IFERROR(VLOOKUP(MID(G141,H141,I141-H141),[6]skilldef!$A:$B,2,FALSE),"-")</f>
        <v>- / 何もしない</v>
      </c>
      <c r="M141" s="63" t="str">
        <f t="shared" si="54"/>
        <v>none</v>
      </c>
      <c r="N141" s="48" t="str">
        <f t="shared" si="65"/>
        <v>none</v>
      </c>
      <c r="O141" s="63" t="e">
        <f t="shared" si="56"/>
        <v>#VALUE!</v>
      </c>
      <c r="P141" s="63">
        <f t="shared" si="57"/>
        <v>4</v>
      </c>
      <c r="Q141" s="63" t="e">
        <f t="shared" si="58"/>
        <v>#VALUE!</v>
      </c>
      <c r="R141" s="63" t="e">
        <f t="shared" si="59"/>
        <v>#VALUE!</v>
      </c>
      <c r="S141" s="63" t="str">
        <f>IFERROR(VLOOKUP(MID(N141,Q141,R141-Q141),[6]skilldef!$C:$D,2,FALSE),"-") &amp; " / " &amp; IFERROR(VLOOKUP(MID(N141,O141,P141-O141),[6]skilldef!$A:$B,2,FALSE),"-")</f>
        <v>- / -</v>
      </c>
      <c r="T141" s="48" t="str">
        <f t="shared" si="60"/>
        <v>none</v>
      </c>
      <c r="U141" s="63" t="e">
        <f t="shared" si="61"/>
        <v>#VALUE!</v>
      </c>
      <c r="V141" s="63">
        <f t="shared" si="62"/>
        <v>4</v>
      </c>
      <c r="W141" s="63" t="e">
        <f t="shared" si="63"/>
        <v>#VALUE!</v>
      </c>
      <c r="X141" s="63" t="e">
        <f t="shared" si="64"/>
        <v>#VALUE!</v>
      </c>
      <c r="Y141" s="63" t="str">
        <f>IFERROR(VLOOKUP(MID(T141,W141,X141-W141),[6]skilldef!$C:$D,2,FALSE),"-") &amp; " / " &amp; IFERROR(VLOOKUP(MID(T141,U141,V141-U141),[6]skilldef!$A:$B,2,FALSE),"-")</f>
        <v>- / -</v>
      </c>
      <c r="Z141" s="103"/>
      <c r="AA141" s="105"/>
      <c r="AB141" s="103"/>
    </row>
    <row r="142" spans="1:28" ht="21" customHeight="1" x14ac:dyDescent="0.15">
      <c r="A142" s="106">
        <v>50004141</v>
      </c>
      <c r="B142" s="106" t="s">
        <v>262</v>
      </c>
      <c r="C142" s="109">
        <v>1</v>
      </c>
      <c r="D142" s="109" t="s">
        <v>243</v>
      </c>
      <c r="E142" s="110" t="s">
        <v>256</v>
      </c>
      <c r="F142" s="110" t="s">
        <v>217</v>
      </c>
      <c r="G142" s="63" t="str">
        <f t="shared" si="49"/>
        <v>[effect:nothing]</v>
      </c>
      <c r="H142" s="63">
        <f t="shared" si="50"/>
        <v>9</v>
      </c>
      <c r="I142" s="63">
        <f t="shared" si="51"/>
        <v>16</v>
      </c>
      <c r="J142" s="63" t="e">
        <f t="shared" si="52"/>
        <v>#VALUE!</v>
      </c>
      <c r="K142" s="63" t="e">
        <f t="shared" si="53"/>
        <v>#VALUE!</v>
      </c>
      <c r="L142" s="63" t="str">
        <f>IFERROR(VLOOKUP(MID(G142,J142,K142-J142),[6]skilldef!$C:$D,2,FALSE),"-") &amp; " / " &amp; IFERROR(VLOOKUP(MID(G142,H142,I142-H142),[6]skilldef!$A:$B,2,FALSE),"-")</f>
        <v>- / 何もしない</v>
      </c>
      <c r="M142" s="63" t="str">
        <f t="shared" si="54"/>
        <v>none</v>
      </c>
      <c r="N142" s="48" t="str">
        <f t="shared" si="65"/>
        <v>none</v>
      </c>
      <c r="O142" s="63" t="e">
        <f t="shared" si="56"/>
        <v>#VALUE!</v>
      </c>
      <c r="P142" s="63">
        <f t="shared" si="57"/>
        <v>4</v>
      </c>
      <c r="Q142" s="63" t="e">
        <f t="shared" si="58"/>
        <v>#VALUE!</v>
      </c>
      <c r="R142" s="63" t="e">
        <f t="shared" si="59"/>
        <v>#VALUE!</v>
      </c>
      <c r="S142" s="63" t="str">
        <f>IFERROR(VLOOKUP(MID(N142,Q142,R142-Q142),[6]skilldef!$C:$D,2,FALSE),"-") &amp; " / " &amp; IFERROR(VLOOKUP(MID(N142,O142,P142-O142),[6]skilldef!$A:$B,2,FALSE),"-")</f>
        <v>- / -</v>
      </c>
      <c r="T142" s="48" t="str">
        <f t="shared" si="60"/>
        <v>none</v>
      </c>
      <c r="U142" s="63" t="e">
        <f t="shared" si="61"/>
        <v>#VALUE!</v>
      </c>
      <c r="V142" s="63">
        <f t="shared" si="62"/>
        <v>4</v>
      </c>
      <c r="W142" s="63" t="e">
        <f t="shared" si="63"/>
        <v>#VALUE!</v>
      </c>
      <c r="X142" s="63" t="e">
        <f t="shared" si="64"/>
        <v>#VALUE!</v>
      </c>
      <c r="Y142" s="63" t="str">
        <f>IFERROR(VLOOKUP(MID(T142,W142,X142-W142),[6]skilldef!$C:$D,2,FALSE),"-") &amp; " / " &amp; IFERROR(VLOOKUP(MID(T142,U142,V142-U142),[6]skilldef!$A:$B,2,FALSE),"-")</f>
        <v>- / -</v>
      </c>
      <c r="Z142" s="103"/>
      <c r="AA142" s="105"/>
      <c r="AB142" s="103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01"/>
  <sheetViews>
    <sheetView showGridLines="0" workbookViewId="0">
      <pane ySplit="1" topLeftCell="A46" activePane="bottomLeft" state="frozenSplit"/>
      <selection pane="bottomLeft" activeCell="A67" sqref="A6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50004001</v>
      </c>
      <c r="B2" s="47">
        <v>1</v>
      </c>
      <c r="C2" s="47">
        <v>50</v>
      </c>
      <c r="D2" s="47">
        <v>100</v>
      </c>
      <c r="E2" s="47" t="s">
        <v>210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:J62" si="0">D2</f>
        <v>100</v>
      </c>
    </row>
    <row r="3" spans="1:11" ht="21" customHeight="1" x14ac:dyDescent="0.15">
      <c r="A3" s="47">
        <v>50004002</v>
      </c>
      <c r="B3" s="47">
        <v>1</v>
      </c>
      <c r="C3" s="47">
        <v>51</v>
      </c>
      <c r="D3" s="47">
        <v>100</v>
      </c>
      <c r="E3" s="47" t="s">
        <v>89</v>
      </c>
      <c r="F3" s="47" t="s">
        <v>89</v>
      </c>
      <c r="G3" s="47">
        <v>1</v>
      </c>
      <c r="H3" s="47" t="s">
        <v>89</v>
      </c>
      <c r="I3" s="47">
        <v>848</v>
      </c>
      <c r="J3" s="48">
        <f t="shared" si="0"/>
        <v>100</v>
      </c>
    </row>
    <row r="4" spans="1:11" ht="21" customHeight="1" x14ac:dyDescent="0.15">
      <c r="A4" s="47">
        <v>50004003</v>
      </c>
      <c r="B4" s="47">
        <v>1</v>
      </c>
      <c r="C4" s="47">
        <v>52</v>
      </c>
      <c r="D4" s="47">
        <v>100</v>
      </c>
      <c r="E4" s="47" t="s">
        <v>89</v>
      </c>
      <c r="F4" s="47" t="s">
        <v>89</v>
      </c>
      <c r="G4" s="47">
        <v>1</v>
      </c>
      <c r="H4" s="47" t="s">
        <v>89</v>
      </c>
      <c r="I4" s="47">
        <v>849</v>
      </c>
      <c r="J4" s="48">
        <f t="shared" si="0"/>
        <v>100</v>
      </c>
    </row>
    <row r="5" spans="1:11" ht="21" customHeight="1" x14ac:dyDescent="0.15">
      <c r="A5" s="47">
        <v>50004004</v>
      </c>
      <c r="B5" s="47">
        <v>0</v>
      </c>
      <c r="C5" s="47">
        <v>25</v>
      </c>
      <c r="D5" s="47">
        <v>100</v>
      </c>
      <c r="E5" s="47" t="s">
        <v>89</v>
      </c>
      <c r="F5" s="47" t="s">
        <v>89</v>
      </c>
      <c r="G5" s="47">
        <v>1</v>
      </c>
      <c r="H5" s="47" t="s">
        <v>89</v>
      </c>
      <c r="I5" s="47" t="s">
        <v>89</v>
      </c>
      <c r="J5" s="48">
        <f t="shared" si="0"/>
        <v>100</v>
      </c>
    </row>
    <row r="6" spans="1:11" ht="21" customHeight="1" x14ac:dyDescent="0.15">
      <c r="A6" s="47">
        <v>50004005</v>
      </c>
      <c r="B6" s="47">
        <v>0</v>
      </c>
      <c r="C6" s="47">
        <v>25</v>
      </c>
      <c r="D6" s="47">
        <v>50</v>
      </c>
      <c r="E6" s="47" t="s">
        <v>89</v>
      </c>
      <c r="F6" s="47" t="s">
        <v>89</v>
      </c>
      <c r="G6" s="47" t="s">
        <v>89</v>
      </c>
      <c r="H6" s="47" t="s">
        <v>89</v>
      </c>
      <c r="I6" s="47" t="s">
        <v>89</v>
      </c>
      <c r="J6" s="48">
        <f t="shared" si="0"/>
        <v>50</v>
      </c>
    </row>
    <row r="7" spans="1:11" ht="21" customHeight="1" x14ac:dyDescent="0.15">
      <c r="A7" s="47">
        <v>50004006</v>
      </c>
      <c r="B7" s="47">
        <v>0</v>
      </c>
      <c r="C7" s="47">
        <v>24</v>
      </c>
      <c r="D7" s="47">
        <v>100</v>
      </c>
      <c r="E7" s="47" t="s">
        <v>89</v>
      </c>
      <c r="F7" s="47" t="s">
        <v>89</v>
      </c>
      <c r="G7" s="47" t="s">
        <v>89</v>
      </c>
      <c r="H7" s="47" t="s">
        <v>89</v>
      </c>
      <c r="I7" s="47" t="s">
        <v>89</v>
      </c>
      <c r="J7" s="48">
        <f t="shared" si="0"/>
        <v>100</v>
      </c>
    </row>
    <row r="8" spans="1:11" ht="21" customHeight="1" x14ac:dyDescent="0.15">
      <c r="A8" s="47">
        <v>50004007</v>
      </c>
      <c r="B8" s="47">
        <v>0</v>
      </c>
      <c r="C8" s="47">
        <v>30</v>
      </c>
      <c r="D8" s="47">
        <v>100</v>
      </c>
      <c r="E8" s="47" t="s">
        <v>89</v>
      </c>
      <c r="F8" s="47" t="s">
        <v>89</v>
      </c>
      <c r="G8" s="47" t="s">
        <v>89</v>
      </c>
      <c r="H8" s="47">
        <v>6</v>
      </c>
      <c r="I8" s="47" t="s">
        <v>89</v>
      </c>
      <c r="J8" s="48">
        <f t="shared" si="0"/>
        <v>100</v>
      </c>
    </row>
    <row r="9" spans="1:11" ht="21" customHeight="1" x14ac:dyDescent="0.15">
      <c r="A9" s="47">
        <v>50004008</v>
      </c>
      <c r="B9" s="47">
        <v>0</v>
      </c>
      <c r="C9" s="47">
        <v>25</v>
      </c>
      <c r="D9" s="47">
        <v>100</v>
      </c>
      <c r="E9" s="47" t="s">
        <v>89</v>
      </c>
      <c r="F9" s="47" t="s">
        <v>89</v>
      </c>
      <c r="G9" s="47">
        <v>3</v>
      </c>
      <c r="H9" s="47" t="s">
        <v>89</v>
      </c>
      <c r="I9" s="47" t="s">
        <v>89</v>
      </c>
      <c r="J9" s="48">
        <f t="shared" si="0"/>
        <v>100</v>
      </c>
    </row>
    <row r="10" spans="1:11" ht="21" customHeight="1" x14ac:dyDescent="0.15">
      <c r="A10" s="47">
        <v>50004009</v>
      </c>
      <c r="B10" s="47">
        <v>0</v>
      </c>
      <c r="C10" s="47">
        <v>25</v>
      </c>
      <c r="D10" s="47">
        <v>100</v>
      </c>
      <c r="E10" s="47" t="s">
        <v>89</v>
      </c>
      <c r="F10" s="47" t="s">
        <v>89</v>
      </c>
      <c r="G10" s="47">
        <v>4</v>
      </c>
      <c r="H10" s="47" t="s">
        <v>53</v>
      </c>
      <c r="I10" s="47" t="s">
        <v>89</v>
      </c>
      <c r="J10" s="48">
        <f t="shared" si="0"/>
        <v>100</v>
      </c>
    </row>
    <row r="11" spans="1:11" ht="21" customHeight="1" x14ac:dyDescent="0.15">
      <c r="A11" s="47">
        <v>50004010</v>
      </c>
      <c r="B11" s="47">
        <v>0</v>
      </c>
      <c r="C11" s="47">
        <v>26</v>
      </c>
      <c r="D11" s="47">
        <v>100</v>
      </c>
      <c r="E11" s="47" t="s">
        <v>89</v>
      </c>
      <c r="F11" s="47" t="s">
        <v>89</v>
      </c>
      <c r="G11" s="47">
        <v>2</v>
      </c>
      <c r="H11" s="47">
        <v>2</v>
      </c>
      <c r="I11" s="47" t="s">
        <v>89</v>
      </c>
      <c r="J11" s="48">
        <f t="shared" si="0"/>
        <v>100</v>
      </c>
    </row>
    <row r="12" spans="1:11" ht="21" customHeight="1" x14ac:dyDescent="0.15">
      <c r="A12" s="47">
        <v>50004011</v>
      </c>
      <c r="B12" s="47">
        <v>0</v>
      </c>
      <c r="C12" s="47">
        <v>30</v>
      </c>
      <c r="D12" s="47">
        <v>100</v>
      </c>
      <c r="E12" s="47">
        <v>50</v>
      </c>
      <c r="F12" s="47" t="s">
        <v>89</v>
      </c>
      <c r="G12" s="47">
        <v>1</v>
      </c>
      <c r="H12" s="47">
        <v>1</v>
      </c>
      <c r="I12" s="47" t="s">
        <v>89</v>
      </c>
      <c r="J12" s="48">
        <f t="shared" si="0"/>
        <v>100</v>
      </c>
    </row>
    <row r="13" spans="1:11" ht="21" customHeight="1" x14ac:dyDescent="0.15">
      <c r="A13" s="47">
        <v>50004012</v>
      </c>
      <c r="B13" s="47">
        <v>0</v>
      </c>
      <c r="C13" s="47">
        <v>29</v>
      </c>
      <c r="D13" s="47">
        <v>100</v>
      </c>
      <c r="E13" s="47" t="s">
        <v>89</v>
      </c>
      <c r="F13" s="47" t="s">
        <v>89</v>
      </c>
      <c r="G13" s="47">
        <v>1</v>
      </c>
      <c r="H13" s="47" t="s">
        <v>89</v>
      </c>
      <c r="I13" s="47" t="s">
        <v>89</v>
      </c>
      <c r="J13" s="48">
        <f t="shared" si="0"/>
        <v>100</v>
      </c>
    </row>
    <row r="14" spans="1:11" ht="21" customHeight="1" x14ac:dyDescent="0.15">
      <c r="A14" s="47">
        <v>50004013</v>
      </c>
      <c r="B14" s="47">
        <v>0</v>
      </c>
      <c r="C14" s="47">
        <v>30</v>
      </c>
      <c r="D14" s="47">
        <v>100</v>
      </c>
      <c r="E14" s="47" t="s">
        <v>89</v>
      </c>
      <c r="F14" s="47" t="s">
        <v>89</v>
      </c>
      <c r="G14" s="47">
        <v>1</v>
      </c>
      <c r="H14" s="47" t="s">
        <v>89</v>
      </c>
      <c r="I14" s="47" t="s">
        <v>89</v>
      </c>
      <c r="J14" s="48">
        <f t="shared" si="0"/>
        <v>100</v>
      </c>
    </row>
    <row r="15" spans="1:11" ht="21" customHeight="1" x14ac:dyDescent="0.15">
      <c r="A15" s="47">
        <v>50004014</v>
      </c>
      <c r="B15" s="47">
        <v>0</v>
      </c>
      <c r="C15" s="47">
        <v>28</v>
      </c>
      <c r="D15" s="47">
        <v>100</v>
      </c>
      <c r="E15" s="47" t="s">
        <v>89</v>
      </c>
      <c r="F15" s="47" t="s">
        <v>89</v>
      </c>
      <c r="G15" s="47">
        <v>1</v>
      </c>
      <c r="H15" s="47" t="s">
        <v>89</v>
      </c>
      <c r="I15" s="47" t="s">
        <v>89</v>
      </c>
      <c r="J15" s="48">
        <f t="shared" si="0"/>
        <v>100</v>
      </c>
    </row>
    <row r="16" spans="1:11" ht="21" customHeight="1" x14ac:dyDescent="0.15">
      <c r="A16" s="47">
        <v>50004015</v>
      </c>
      <c r="B16" s="47">
        <v>0</v>
      </c>
      <c r="C16" s="47">
        <v>25</v>
      </c>
      <c r="D16" s="47">
        <v>50</v>
      </c>
      <c r="E16" s="47" t="s">
        <v>89</v>
      </c>
      <c r="F16" s="47" t="s">
        <v>89</v>
      </c>
      <c r="G16" s="47" t="s">
        <v>89</v>
      </c>
      <c r="H16" s="47" t="s">
        <v>89</v>
      </c>
      <c r="I16" s="47" t="s">
        <v>89</v>
      </c>
      <c r="J16" s="48">
        <f t="shared" si="0"/>
        <v>50</v>
      </c>
    </row>
    <row r="17" spans="1:11" ht="21" customHeight="1" x14ac:dyDescent="0.15">
      <c r="A17" s="47">
        <v>50004016</v>
      </c>
      <c r="B17" s="47">
        <v>0</v>
      </c>
      <c r="C17" s="47" t="s">
        <v>89</v>
      </c>
      <c r="D17" s="47">
        <v>100</v>
      </c>
      <c r="E17" s="47" t="s">
        <v>89</v>
      </c>
      <c r="F17" s="47" t="s">
        <v>89</v>
      </c>
      <c r="G17" s="47">
        <v>1</v>
      </c>
      <c r="H17" s="47" t="s">
        <v>89</v>
      </c>
      <c r="I17" s="47">
        <v>854</v>
      </c>
      <c r="J17" s="48">
        <f t="shared" si="0"/>
        <v>100</v>
      </c>
    </row>
    <row r="18" spans="1:11" ht="21" customHeight="1" x14ac:dyDescent="0.15">
      <c r="A18" s="47">
        <v>50004017</v>
      </c>
      <c r="B18" s="47">
        <v>0</v>
      </c>
      <c r="C18" s="47">
        <v>25</v>
      </c>
      <c r="D18" s="47">
        <v>100</v>
      </c>
      <c r="E18" s="47" t="s">
        <v>89</v>
      </c>
      <c r="F18" s="47" t="s">
        <v>89</v>
      </c>
      <c r="G18" s="47">
        <v>1</v>
      </c>
      <c r="H18" s="47" t="s">
        <v>89</v>
      </c>
      <c r="I18" s="47" t="s">
        <v>89</v>
      </c>
      <c r="J18" s="48">
        <f t="shared" si="0"/>
        <v>100</v>
      </c>
    </row>
    <row r="19" spans="1:11" ht="21" customHeight="1" x14ac:dyDescent="0.15">
      <c r="A19" s="47">
        <v>50004018</v>
      </c>
      <c r="B19" s="47">
        <v>0</v>
      </c>
      <c r="C19" s="47">
        <v>24</v>
      </c>
      <c r="D19" s="47">
        <v>100</v>
      </c>
      <c r="E19" s="47" t="s">
        <v>89</v>
      </c>
      <c r="F19" s="47" t="s">
        <v>89</v>
      </c>
      <c r="G19" s="47">
        <v>1</v>
      </c>
      <c r="H19" s="47" t="s">
        <v>89</v>
      </c>
      <c r="I19" s="47" t="s">
        <v>89</v>
      </c>
      <c r="J19" s="48">
        <f t="shared" si="0"/>
        <v>100</v>
      </c>
    </row>
    <row r="20" spans="1:11" ht="21" customHeight="1" x14ac:dyDescent="0.15">
      <c r="A20" s="47">
        <v>50004019</v>
      </c>
      <c r="B20" s="47">
        <v>0</v>
      </c>
      <c r="C20" s="47">
        <v>23</v>
      </c>
      <c r="D20" s="47">
        <v>100</v>
      </c>
      <c r="E20" s="47" t="s">
        <v>89</v>
      </c>
      <c r="F20" s="47" t="s">
        <v>89</v>
      </c>
      <c r="G20" s="47">
        <v>1</v>
      </c>
      <c r="H20" s="47" t="s">
        <v>89</v>
      </c>
      <c r="I20" s="47" t="s">
        <v>89</v>
      </c>
      <c r="J20" s="48">
        <f t="shared" si="0"/>
        <v>100</v>
      </c>
    </row>
    <row r="21" spans="1:11" ht="21" customHeight="1" x14ac:dyDescent="0.15">
      <c r="A21" s="47">
        <v>50004020</v>
      </c>
      <c r="B21" s="47">
        <v>0</v>
      </c>
      <c r="C21" s="47">
        <v>22</v>
      </c>
      <c r="D21" s="47">
        <v>100</v>
      </c>
      <c r="E21" s="47" t="s">
        <v>89</v>
      </c>
      <c r="F21" s="47" t="s">
        <v>89</v>
      </c>
      <c r="G21" s="47">
        <v>1</v>
      </c>
      <c r="H21" s="47" t="s">
        <v>89</v>
      </c>
      <c r="I21" s="47" t="s">
        <v>89</v>
      </c>
      <c r="J21" s="48">
        <f t="shared" si="0"/>
        <v>100</v>
      </c>
    </row>
    <row r="22" spans="1:11" ht="21" customHeight="1" x14ac:dyDescent="0.15">
      <c r="A22" s="47">
        <v>50004021</v>
      </c>
      <c r="B22" s="47">
        <v>0</v>
      </c>
      <c r="C22" s="47">
        <v>21</v>
      </c>
      <c r="D22" s="47">
        <v>100</v>
      </c>
      <c r="E22" s="47" t="s">
        <v>89</v>
      </c>
      <c r="F22" s="47" t="s">
        <v>89</v>
      </c>
      <c r="G22" s="47" t="s">
        <v>269</v>
      </c>
      <c r="H22" s="47" t="s">
        <v>89</v>
      </c>
      <c r="I22" s="47" t="s">
        <v>89</v>
      </c>
      <c r="J22" s="48">
        <f t="shared" si="0"/>
        <v>100</v>
      </c>
    </row>
    <row r="23" spans="1:11" ht="21" customHeight="1" x14ac:dyDescent="0.15">
      <c r="A23" s="47">
        <v>50004022</v>
      </c>
      <c r="B23" s="47">
        <v>0</v>
      </c>
      <c r="C23" s="47" t="s">
        <v>89</v>
      </c>
      <c r="D23" s="47">
        <v>100</v>
      </c>
      <c r="E23" s="47" t="s">
        <v>89</v>
      </c>
      <c r="F23" s="47" t="s">
        <v>89</v>
      </c>
      <c r="G23" s="47">
        <v>1</v>
      </c>
      <c r="H23" s="47" t="s">
        <v>89</v>
      </c>
      <c r="I23" s="47">
        <v>852</v>
      </c>
      <c r="J23" s="48">
        <f t="shared" si="0"/>
        <v>100</v>
      </c>
    </row>
    <row r="24" spans="1:11" ht="21" customHeight="1" x14ac:dyDescent="0.15">
      <c r="A24" s="115">
        <v>50004023</v>
      </c>
      <c r="B24" s="47">
        <v>1</v>
      </c>
      <c r="C24" s="47">
        <v>50</v>
      </c>
      <c r="D24" s="47">
        <v>100</v>
      </c>
      <c r="E24" s="47" t="s">
        <v>89</v>
      </c>
      <c r="F24" s="47" t="s">
        <v>89</v>
      </c>
      <c r="G24" s="47">
        <v>1</v>
      </c>
      <c r="H24" s="47" t="s">
        <v>285</v>
      </c>
      <c r="I24" s="47" t="s">
        <v>89</v>
      </c>
      <c r="J24" s="48">
        <f t="shared" si="0"/>
        <v>100</v>
      </c>
    </row>
    <row r="25" spans="1:11" ht="21" customHeight="1" x14ac:dyDescent="0.15">
      <c r="A25" s="115">
        <v>50004024</v>
      </c>
      <c r="B25" s="47">
        <v>1</v>
      </c>
      <c r="C25" s="47">
        <v>53</v>
      </c>
      <c r="D25" s="47">
        <v>100</v>
      </c>
      <c r="E25" s="47" t="s">
        <v>89</v>
      </c>
      <c r="F25" s="47" t="s">
        <v>89</v>
      </c>
      <c r="G25" s="47">
        <v>1</v>
      </c>
      <c r="H25" s="47" t="s">
        <v>285</v>
      </c>
      <c r="I25" s="47">
        <v>848</v>
      </c>
      <c r="J25" s="48">
        <f t="shared" si="0"/>
        <v>100</v>
      </c>
    </row>
    <row r="26" spans="1:11" ht="21" customHeight="1" x14ac:dyDescent="0.15">
      <c r="A26" s="115">
        <v>50004025</v>
      </c>
      <c r="B26" s="47">
        <v>1</v>
      </c>
      <c r="C26" s="47">
        <v>54</v>
      </c>
      <c r="D26" s="47">
        <v>100</v>
      </c>
      <c r="E26" s="47" t="s">
        <v>89</v>
      </c>
      <c r="F26" s="47" t="s">
        <v>89</v>
      </c>
      <c r="G26" s="47">
        <v>1</v>
      </c>
      <c r="H26" s="47" t="s">
        <v>285</v>
      </c>
      <c r="I26" s="47">
        <v>849</v>
      </c>
      <c r="J26" s="48">
        <f t="shared" si="0"/>
        <v>100</v>
      </c>
    </row>
    <row r="27" spans="1:11" s="132" customFormat="1" ht="21" customHeight="1" x14ac:dyDescent="0.15">
      <c r="A27" s="129">
        <v>50004026</v>
      </c>
      <c r="B27" s="129">
        <v>1</v>
      </c>
      <c r="C27" s="129">
        <v>51</v>
      </c>
      <c r="D27" s="129">
        <v>100</v>
      </c>
      <c r="E27" s="129" t="s">
        <v>89</v>
      </c>
      <c r="F27" s="129" t="s">
        <v>89</v>
      </c>
      <c r="G27" s="129">
        <v>1</v>
      </c>
      <c r="H27" s="129" t="s">
        <v>285</v>
      </c>
      <c r="I27" s="129">
        <v>726</v>
      </c>
      <c r="J27" s="130">
        <f t="shared" si="0"/>
        <v>100</v>
      </c>
      <c r="K27" s="131"/>
    </row>
    <row r="28" spans="1:11" ht="21" customHeight="1" x14ac:dyDescent="0.15">
      <c r="A28" s="115">
        <v>50004028</v>
      </c>
      <c r="B28" s="116">
        <v>0</v>
      </c>
      <c r="C28" s="117">
        <v>25</v>
      </c>
      <c r="D28" s="117">
        <v>50</v>
      </c>
      <c r="E28" s="117" t="s">
        <v>212</v>
      </c>
      <c r="F28" s="117" t="s">
        <v>212</v>
      </c>
      <c r="G28" s="117" t="s">
        <v>89</v>
      </c>
      <c r="H28" s="117" t="s">
        <v>212</v>
      </c>
      <c r="I28" s="117" t="s">
        <v>212</v>
      </c>
      <c r="J28" s="48">
        <f t="shared" si="0"/>
        <v>50</v>
      </c>
    </row>
    <row r="29" spans="1:11" ht="21" customHeight="1" x14ac:dyDescent="0.15">
      <c r="A29" s="115">
        <v>50004029</v>
      </c>
      <c r="B29" s="116">
        <v>0</v>
      </c>
      <c r="C29" s="117">
        <v>24</v>
      </c>
      <c r="D29" s="117">
        <v>100</v>
      </c>
      <c r="E29" s="117" t="s">
        <v>212</v>
      </c>
      <c r="F29" s="117" t="s">
        <v>212</v>
      </c>
      <c r="G29" s="117" t="s">
        <v>89</v>
      </c>
      <c r="H29" s="117" t="s">
        <v>212</v>
      </c>
      <c r="I29" s="117" t="s">
        <v>212</v>
      </c>
      <c r="J29" s="48">
        <f t="shared" si="0"/>
        <v>100</v>
      </c>
    </row>
    <row r="30" spans="1:11" ht="21" customHeight="1" x14ac:dyDescent="0.15">
      <c r="A30" s="115">
        <v>50004030</v>
      </c>
      <c r="B30" s="116">
        <v>0</v>
      </c>
      <c r="C30" s="117">
        <v>30</v>
      </c>
      <c r="D30" s="117">
        <v>100</v>
      </c>
      <c r="E30" s="117" t="s">
        <v>212</v>
      </c>
      <c r="F30" s="117" t="s">
        <v>212</v>
      </c>
      <c r="G30" s="117" t="s">
        <v>89</v>
      </c>
      <c r="H30" s="117">
        <v>2</v>
      </c>
      <c r="I30" s="117" t="s">
        <v>212</v>
      </c>
      <c r="J30" s="48">
        <f t="shared" si="0"/>
        <v>100</v>
      </c>
    </row>
    <row r="31" spans="1:11" ht="21" customHeight="1" x14ac:dyDescent="0.15">
      <c r="A31" s="118">
        <v>50004031</v>
      </c>
      <c r="B31" s="118">
        <v>0</v>
      </c>
      <c r="C31" s="119">
        <v>40</v>
      </c>
      <c r="D31" s="119">
        <v>100</v>
      </c>
      <c r="E31" s="119" t="s">
        <v>212</v>
      </c>
      <c r="F31" s="119" t="s">
        <v>212</v>
      </c>
      <c r="G31" s="119">
        <v>1</v>
      </c>
      <c r="H31" s="119">
        <v>1</v>
      </c>
      <c r="I31" s="119" t="s">
        <v>212</v>
      </c>
      <c r="J31" s="120">
        <f t="shared" si="0"/>
        <v>100</v>
      </c>
    </row>
    <row r="32" spans="1:11" ht="21" customHeight="1" x14ac:dyDescent="0.15">
      <c r="A32" s="115">
        <v>50004032</v>
      </c>
      <c r="B32" s="116">
        <v>0</v>
      </c>
      <c r="C32" s="117">
        <v>35</v>
      </c>
      <c r="D32" s="117">
        <v>100</v>
      </c>
      <c r="E32" s="117" t="s">
        <v>212</v>
      </c>
      <c r="F32" s="117" t="s">
        <v>212</v>
      </c>
      <c r="G32" s="117">
        <v>1</v>
      </c>
      <c r="H32" s="117">
        <v>5</v>
      </c>
      <c r="I32" s="117" t="s">
        <v>212</v>
      </c>
      <c r="J32" s="48">
        <f t="shared" si="0"/>
        <v>100</v>
      </c>
    </row>
    <row r="33" spans="1:11" ht="21" customHeight="1" x14ac:dyDescent="0.15">
      <c r="A33" s="47">
        <v>50004033</v>
      </c>
      <c r="B33" s="47">
        <v>0</v>
      </c>
      <c r="C33" s="47">
        <v>31</v>
      </c>
      <c r="D33" s="47">
        <v>100</v>
      </c>
      <c r="E33" s="47" t="s">
        <v>89</v>
      </c>
      <c r="F33" s="47" t="s">
        <v>89</v>
      </c>
      <c r="G33" s="47" t="s">
        <v>89</v>
      </c>
      <c r="H33" s="47">
        <v>4</v>
      </c>
      <c r="I33" s="47" t="s">
        <v>89</v>
      </c>
      <c r="J33" s="48">
        <f t="shared" si="0"/>
        <v>100</v>
      </c>
    </row>
    <row r="34" spans="1:11" ht="21" customHeight="1" x14ac:dyDescent="0.15">
      <c r="A34" s="47">
        <v>50004034</v>
      </c>
      <c r="B34" s="47">
        <v>0</v>
      </c>
      <c r="C34" s="47" t="s">
        <v>89</v>
      </c>
      <c r="D34" s="47">
        <v>100</v>
      </c>
      <c r="E34" s="47" t="s">
        <v>89</v>
      </c>
      <c r="F34" s="47" t="s">
        <v>89</v>
      </c>
      <c r="G34" s="47">
        <v>1</v>
      </c>
      <c r="H34" s="47" t="s">
        <v>89</v>
      </c>
      <c r="I34" s="47">
        <v>408</v>
      </c>
      <c r="J34" s="48">
        <f t="shared" si="0"/>
        <v>100</v>
      </c>
    </row>
    <row r="35" spans="1:11" ht="21" customHeight="1" x14ac:dyDescent="0.15">
      <c r="A35" s="47">
        <v>50004035</v>
      </c>
      <c r="B35" s="47">
        <v>1</v>
      </c>
      <c r="C35" s="47">
        <v>50</v>
      </c>
      <c r="D35" s="47">
        <v>100</v>
      </c>
      <c r="E35" s="47" t="s">
        <v>89</v>
      </c>
      <c r="F35" s="47" t="s">
        <v>89</v>
      </c>
      <c r="G35" s="47">
        <v>1</v>
      </c>
      <c r="H35" s="47" t="s">
        <v>89</v>
      </c>
      <c r="I35" s="47" t="s">
        <v>89</v>
      </c>
      <c r="J35" s="48">
        <f t="shared" si="0"/>
        <v>100</v>
      </c>
    </row>
    <row r="36" spans="1:11" ht="21" customHeight="1" x14ac:dyDescent="0.15">
      <c r="A36" s="47">
        <v>50004036</v>
      </c>
      <c r="B36" s="47">
        <v>1</v>
      </c>
      <c r="C36" s="47">
        <v>53</v>
      </c>
      <c r="D36" s="47">
        <v>100</v>
      </c>
      <c r="E36" s="47" t="s">
        <v>89</v>
      </c>
      <c r="F36" s="47" t="s">
        <v>89</v>
      </c>
      <c r="G36" s="47">
        <v>1</v>
      </c>
      <c r="H36" s="47" t="s">
        <v>89</v>
      </c>
      <c r="I36" s="47">
        <v>848</v>
      </c>
      <c r="J36" s="48">
        <f t="shared" si="0"/>
        <v>100</v>
      </c>
    </row>
    <row r="37" spans="1:11" ht="21" customHeight="1" x14ac:dyDescent="0.15">
      <c r="A37" s="47">
        <v>50004037</v>
      </c>
      <c r="B37" s="47">
        <v>1</v>
      </c>
      <c r="C37" s="47">
        <v>54</v>
      </c>
      <c r="D37" s="47">
        <v>100</v>
      </c>
      <c r="E37" s="47" t="s">
        <v>89</v>
      </c>
      <c r="F37" s="47" t="s">
        <v>89</v>
      </c>
      <c r="G37" s="47">
        <v>1</v>
      </c>
      <c r="H37" s="47" t="s">
        <v>89</v>
      </c>
      <c r="I37" s="47">
        <v>849</v>
      </c>
      <c r="J37" s="48">
        <f t="shared" si="0"/>
        <v>100</v>
      </c>
    </row>
    <row r="38" spans="1:11" s="132" customFormat="1" ht="21" customHeight="1" x14ac:dyDescent="0.15">
      <c r="A38" s="129">
        <v>50004038</v>
      </c>
      <c r="B38" s="129">
        <v>1</v>
      </c>
      <c r="C38" s="129">
        <v>51</v>
      </c>
      <c r="D38" s="129">
        <v>100</v>
      </c>
      <c r="E38" s="129" t="s">
        <v>89</v>
      </c>
      <c r="F38" s="129" t="s">
        <v>89</v>
      </c>
      <c r="G38" s="129">
        <v>1</v>
      </c>
      <c r="H38" s="129" t="s">
        <v>89</v>
      </c>
      <c r="I38" s="129">
        <v>726</v>
      </c>
      <c r="J38" s="130">
        <f t="shared" si="0"/>
        <v>100</v>
      </c>
      <c r="K38" s="131"/>
    </row>
    <row r="39" spans="1:11" ht="21" customHeight="1" x14ac:dyDescent="0.15">
      <c r="A39" s="47">
        <v>50004040</v>
      </c>
      <c r="B39" s="47">
        <v>0</v>
      </c>
      <c r="C39" s="47">
        <v>25</v>
      </c>
      <c r="D39" s="47">
        <v>60</v>
      </c>
      <c r="E39" s="47" t="s">
        <v>89</v>
      </c>
      <c r="F39" s="47" t="s">
        <v>89</v>
      </c>
      <c r="G39" s="47" t="s">
        <v>89</v>
      </c>
      <c r="H39" s="47" t="s">
        <v>89</v>
      </c>
      <c r="I39" s="47" t="s">
        <v>89</v>
      </c>
      <c r="J39" s="48">
        <f t="shared" si="0"/>
        <v>60</v>
      </c>
    </row>
    <row r="40" spans="1:11" ht="21" customHeight="1" x14ac:dyDescent="0.15">
      <c r="A40" s="47">
        <v>50004041</v>
      </c>
      <c r="B40" s="47">
        <v>0</v>
      </c>
      <c r="C40" s="47">
        <v>24</v>
      </c>
      <c r="D40" s="47">
        <v>100</v>
      </c>
      <c r="E40" s="47" t="s">
        <v>89</v>
      </c>
      <c r="F40" s="47" t="s">
        <v>89</v>
      </c>
      <c r="G40" s="47">
        <v>3</v>
      </c>
      <c r="H40" s="47" t="s">
        <v>89</v>
      </c>
      <c r="I40" s="47" t="s">
        <v>89</v>
      </c>
      <c r="J40" s="48">
        <f t="shared" si="0"/>
        <v>100</v>
      </c>
    </row>
    <row r="41" spans="1:11" ht="21" customHeight="1" x14ac:dyDescent="0.15">
      <c r="A41" s="47">
        <v>50004042</v>
      </c>
      <c r="B41" s="47">
        <v>0</v>
      </c>
      <c r="C41" s="47">
        <v>40</v>
      </c>
      <c r="D41" s="47">
        <v>100</v>
      </c>
      <c r="E41" s="47" t="s">
        <v>89</v>
      </c>
      <c r="F41" s="47" t="s">
        <v>89</v>
      </c>
      <c r="G41" s="47" t="s">
        <v>89</v>
      </c>
      <c r="H41" s="47">
        <v>8</v>
      </c>
      <c r="I41" s="47" t="s">
        <v>89</v>
      </c>
      <c r="J41" s="48">
        <f t="shared" si="0"/>
        <v>100</v>
      </c>
    </row>
    <row r="42" spans="1:11" ht="21" customHeight="1" x14ac:dyDescent="0.15">
      <c r="A42" s="47">
        <v>50004043</v>
      </c>
      <c r="B42" s="47">
        <v>0</v>
      </c>
      <c r="C42" s="47">
        <v>30</v>
      </c>
      <c r="D42" s="47">
        <v>100</v>
      </c>
      <c r="E42" s="47">
        <v>50</v>
      </c>
      <c r="F42" s="47" t="s">
        <v>89</v>
      </c>
      <c r="G42" s="47" t="s">
        <v>89</v>
      </c>
      <c r="H42" s="47">
        <v>3</v>
      </c>
      <c r="I42" s="47" t="s">
        <v>89</v>
      </c>
      <c r="J42" s="48">
        <f t="shared" si="0"/>
        <v>100</v>
      </c>
    </row>
    <row r="43" spans="1:11" ht="21" customHeight="1" x14ac:dyDescent="0.15">
      <c r="A43" s="47">
        <v>50004044</v>
      </c>
      <c r="B43" s="47">
        <v>0</v>
      </c>
      <c r="C43" s="47">
        <v>30</v>
      </c>
      <c r="D43" s="47">
        <v>100</v>
      </c>
      <c r="E43" s="47">
        <v>50</v>
      </c>
      <c r="F43" s="47" t="s">
        <v>89</v>
      </c>
      <c r="G43" s="47" t="s">
        <v>89</v>
      </c>
      <c r="H43" s="47">
        <v>3</v>
      </c>
      <c r="I43" s="47" t="s">
        <v>89</v>
      </c>
      <c r="J43" s="48">
        <f t="shared" si="0"/>
        <v>100</v>
      </c>
    </row>
    <row r="44" spans="1:11" ht="21" customHeight="1" x14ac:dyDescent="0.15">
      <c r="A44" s="47">
        <v>50004045</v>
      </c>
      <c r="B44" s="47">
        <v>0</v>
      </c>
      <c r="C44" s="47">
        <v>30</v>
      </c>
      <c r="D44" s="47">
        <v>100</v>
      </c>
      <c r="E44" s="47">
        <v>50</v>
      </c>
      <c r="F44" s="47" t="s">
        <v>89</v>
      </c>
      <c r="G44" s="47" t="s">
        <v>89</v>
      </c>
      <c r="H44" s="47">
        <v>3</v>
      </c>
      <c r="I44" s="47" t="s">
        <v>89</v>
      </c>
      <c r="J44" s="48">
        <f t="shared" si="0"/>
        <v>100</v>
      </c>
    </row>
    <row r="45" spans="1:11" ht="21" customHeight="1" x14ac:dyDescent="0.15">
      <c r="A45" s="47">
        <v>50004046</v>
      </c>
      <c r="B45" s="47">
        <v>0</v>
      </c>
      <c r="C45" s="47">
        <v>30</v>
      </c>
      <c r="D45" s="47">
        <v>100</v>
      </c>
      <c r="E45" s="47">
        <v>50</v>
      </c>
      <c r="F45" s="47" t="s">
        <v>89</v>
      </c>
      <c r="G45" s="47" t="s">
        <v>89</v>
      </c>
      <c r="H45" s="47">
        <v>3</v>
      </c>
      <c r="I45" s="47" t="s">
        <v>89</v>
      </c>
      <c r="J45" s="48">
        <f t="shared" si="0"/>
        <v>100</v>
      </c>
    </row>
    <row r="46" spans="1:11" ht="21" customHeight="1" x14ac:dyDescent="0.15">
      <c r="A46" s="47">
        <v>50004047</v>
      </c>
      <c r="B46" s="47">
        <v>1</v>
      </c>
      <c r="C46" s="47">
        <v>50</v>
      </c>
      <c r="D46" s="47">
        <v>100</v>
      </c>
      <c r="E46" s="47" t="s">
        <v>89</v>
      </c>
      <c r="F46" s="47" t="s">
        <v>89</v>
      </c>
      <c r="G46" s="47">
        <v>1</v>
      </c>
      <c r="H46" s="47" t="s">
        <v>89</v>
      </c>
      <c r="I46" s="47" t="s">
        <v>89</v>
      </c>
      <c r="J46" s="48">
        <f t="shared" si="0"/>
        <v>100</v>
      </c>
    </row>
    <row r="47" spans="1:11" ht="21" customHeight="1" x14ac:dyDescent="0.15">
      <c r="A47" s="47">
        <v>50004048</v>
      </c>
      <c r="B47" s="47">
        <v>1</v>
      </c>
      <c r="C47" s="47">
        <v>53</v>
      </c>
      <c r="D47" s="47">
        <v>100</v>
      </c>
      <c r="E47" s="47" t="s">
        <v>89</v>
      </c>
      <c r="F47" s="47" t="s">
        <v>89</v>
      </c>
      <c r="G47" s="47">
        <v>1</v>
      </c>
      <c r="H47" s="47" t="s">
        <v>89</v>
      </c>
      <c r="I47" s="47">
        <v>848</v>
      </c>
      <c r="J47" s="48">
        <f t="shared" si="0"/>
        <v>100</v>
      </c>
    </row>
    <row r="48" spans="1:11" ht="21" customHeight="1" x14ac:dyDescent="0.15">
      <c r="A48" s="47">
        <v>50004049</v>
      </c>
      <c r="B48" s="47">
        <v>1</v>
      </c>
      <c r="C48" s="47">
        <v>54</v>
      </c>
      <c r="D48" s="47">
        <v>100</v>
      </c>
      <c r="E48" s="47" t="s">
        <v>89</v>
      </c>
      <c r="F48" s="47" t="s">
        <v>89</v>
      </c>
      <c r="G48" s="47">
        <v>1</v>
      </c>
      <c r="H48" s="47" t="s">
        <v>89</v>
      </c>
      <c r="I48" s="47">
        <v>849</v>
      </c>
      <c r="J48" s="48">
        <f t="shared" si="0"/>
        <v>100</v>
      </c>
    </row>
    <row r="49" spans="1:11" s="132" customFormat="1" ht="21" customHeight="1" x14ac:dyDescent="0.15">
      <c r="A49" s="129">
        <v>50004050</v>
      </c>
      <c r="B49" s="129">
        <v>1</v>
      </c>
      <c r="C49" s="129">
        <v>51</v>
      </c>
      <c r="D49" s="129">
        <v>100</v>
      </c>
      <c r="E49" s="129" t="s">
        <v>89</v>
      </c>
      <c r="F49" s="129" t="s">
        <v>89</v>
      </c>
      <c r="G49" s="129">
        <v>1</v>
      </c>
      <c r="H49" s="129" t="s">
        <v>89</v>
      </c>
      <c r="I49" s="129">
        <v>726</v>
      </c>
      <c r="J49" s="130">
        <f t="shared" si="0"/>
        <v>100</v>
      </c>
      <c r="K49" s="131"/>
    </row>
    <row r="50" spans="1:11" ht="21" customHeight="1" x14ac:dyDescent="0.15">
      <c r="A50" s="47">
        <v>50004052</v>
      </c>
      <c r="B50" s="47">
        <v>0</v>
      </c>
      <c r="C50" s="47">
        <v>25</v>
      </c>
      <c r="D50" s="47">
        <v>100</v>
      </c>
      <c r="E50" s="47" t="s">
        <v>89</v>
      </c>
      <c r="F50" s="47" t="s">
        <v>89</v>
      </c>
      <c r="G50" s="47">
        <v>1</v>
      </c>
      <c r="H50" s="47" t="s">
        <v>89</v>
      </c>
      <c r="I50" s="47" t="s">
        <v>89</v>
      </c>
      <c r="J50" s="48">
        <f t="shared" si="0"/>
        <v>100</v>
      </c>
    </row>
    <row r="51" spans="1:11" ht="21" customHeight="1" x14ac:dyDescent="0.15">
      <c r="A51" s="47">
        <v>50004053</v>
      </c>
      <c r="B51" s="47">
        <v>0</v>
      </c>
      <c r="C51" s="47">
        <v>24</v>
      </c>
      <c r="D51" s="47">
        <v>100</v>
      </c>
      <c r="E51" s="47" t="s">
        <v>89</v>
      </c>
      <c r="F51" s="47" t="s">
        <v>89</v>
      </c>
      <c r="G51" s="47">
        <v>1</v>
      </c>
      <c r="H51" s="47" t="s">
        <v>89</v>
      </c>
      <c r="I51" s="47" t="s">
        <v>89</v>
      </c>
      <c r="J51" s="48">
        <f t="shared" si="0"/>
        <v>100</v>
      </c>
    </row>
    <row r="52" spans="1:11" ht="21" customHeight="1" x14ac:dyDescent="0.15">
      <c r="A52" s="47">
        <v>50004054</v>
      </c>
      <c r="B52" s="47">
        <v>0</v>
      </c>
      <c r="C52" s="47">
        <v>23</v>
      </c>
      <c r="D52" s="47">
        <v>100</v>
      </c>
      <c r="E52" s="47" t="s">
        <v>89</v>
      </c>
      <c r="F52" s="47" t="s">
        <v>89</v>
      </c>
      <c r="G52" s="47" t="s">
        <v>89</v>
      </c>
      <c r="H52" s="47" t="s">
        <v>89</v>
      </c>
      <c r="I52" s="47" t="s">
        <v>89</v>
      </c>
      <c r="J52" s="48">
        <f t="shared" si="0"/>
        <v>100</v>
      </c>
    </row>
    <row r="53" spans="1:11" ht="21" customHeight="1" x14ac:dyDescent="0.15">
      <c r="A53" s="47">
        <v>50004055</v>
      </c>
      <c r="B53" s="47">
        <v>0</v>
      </c>
      <c r="C53" s="47">
        <v>1</v>
      </c>
      <c r="D53" s="47">
        <v>100</v>
      </c>
      <c r="E53" s="47" t="s">
        <v>89</v>
      </c>
      <c r="F53" s="47" t="s">
        <v>89</v>
      </c>
      <c r="G53" s="47">
        <v>0</v>
      </c>
      <c r="H53" s="47" t="s">
        <v>89</v>
      </c>
      <c r="I53" s="47">
        <v>0</v>
      </c>
      <c r="J53" s="48">
        <f t="shared" si="0"/>
        <v>100</v>
      </c>
    </row>
    <row r="54" spans="1:11" ht="21" customHeight="1" x14ac:dyDescent="0.15">
      <c r="A54" s="47">
        <v>50004056</v>
      </c>
      <c r="B54" s="47">
        <v>0</v>
      </c>
      <c r="C54" s="47">
        <v>5</v>
      </c>
      <c r="D54" s="47">
        <v>100</v>
      </c>
      <c r="E54" s="47" t="s">
        <v>89</v>
      </c>
      <c r="F54" s="47" t="s">
        <v>89</v>
      </c>
      <c r="G54" s="47">
        <v>0</v>
      </c>
      <c r="H54" s="47" t="s">
        <v>89</v>
      </c>
      <c r="I54" s="47">
        <v>848</v>
      </c>
      <c r="J54" s="48">
        <f t="shared" si="0"/>
        <v>100</v>
      </c>
    </row>
    <row r="55" spans="1:11" ht="21" customHeight="1" x14ac:dyDescent="0.15">
      <c r="A55" s="47">
        <v>50004057</v>
      </c>
      <c r="B55" s="47">
        <v>0</v>
      </c>
      <c r="C55" s="47">
        <v>6</v>
      </c>
      <c r="D55" s="47">
        <v>100</v>
      </c>
      <c r="E55" s="47" t="s">
        <v>89</v>
      </c>
      <c r="F55" s="47" t="s">
        <v>89</v>
      </c>
      <c r="G55" s="47">
        <v>0</v>
      </c>
      <c r="H55" s="47" t="s">
        <v>89</v>
      </c>
      <c r="I55" s="47">
        <v>849</v>
      </c>
      <c r="J55" s="48">
        <f t="shared" si="0"/>
        <v>100</v>
      </c>
    </row>
    <row r="56" spans="1:11" s="132" customFormat="1" ht="21" customHeight="1" x14ac:dyDescent="0.15">
      <c r="A56" s="115">
        <v>50004058</v>
      </c>
      <c r="B56" s="115">
        <v>0</v>
      </c>
      <c r="C56" s="115">
        <v>2</v>
      </c>
      <c r="D56" s="115">
        <v>100</v>
      </c>
      <c r="E56" s="115" t="s">
        <v>89</v>
      </c>
      <c r="F56" s="115" t="s">
        <v>89</v>
      </c>
      <c r="G56" s="115">
        <v>0</v>
      </c>
      <c r="H56" s="115" t="s">
        <v>89</v>
      </c>
      <c r="I56" s="115">
        <v>726</v>
      </c>
      <c r="J56" s="126">
        <f t="shared" si="0"/>
        <v>100</v>
      </c>
      <c r="K56" s="131"/>
    </row>
    <row r="57" spans="1:11" s="132" customFormat="1" ht="21" customHeight="1" x14ac:dyDescent="0.15">
      <c r="A57" s="115">
        <v>50004059</v>
      </c>
      <c r="B57" s="115">
        <v>0</v>
      </c>
      <c r="C57" s="115">
        <v>3</v>
      </c>
      <c r="D57" s="115">
        <v>100</v>
      </c>
      <c r="E57" s="115" t="s">
        <v>89</v>
      </c>
      <c r="F57" s="115" t="s">
        <v>89</v>
      </c>
      <c r="G57" s="115">
        <v>0</v>
      </c>
      <c r="H57" s="115" t="s">
        <v>89</v>
      </c>
      <c r="I57" s="115">
        <v>727</v>
      </c>
      <c r="J57" s="126">
        <f t="shared" si="0"/>
        <v>100</v>
      </c>
      <c r="K57" s="131"/>
    </row>
    <row r="58" spans="1:11" s="132" customFormat="1" ht="21" customHeight="1" x14ac:dyDescent="0.15">
      <c r="A58" s="115">
        <v>50004106</v>
      </c>
      <c r="B58" s="115">
        <v>0</v>
      </c>
      <c r="C58" s="115">
        <v>4</v>
      </c>
      <c r="D58" s="115">
        <v>100</v>
      </c>
      <c r="E58" s="115" t="s">
        <v>89</v>
      </c>
      <c r="F58" s="115" t="s">
        <v>89</v>
      </c>
      <c r="G58" s="115">
        <v>0</v>
      </c>
      <c r="H58" s="115" t="s">
        <v>89</v>
      </c>
      <c r="I58" s="115">
        <v>1273</v>
      </c>
      <c r="J58" s="126">
        <f t="shared" ref="J58" si="1">D58</f>
        <v>100</v>
      </c>
      <c r="K58" s="131"/>
    </row>
    <row r="59" spans="1:11" ht="21" customHeight="1" x14ac:dyDescent="0.15">
      <c r="A59" s="47">
        <v>50004060</v>
      </c>
      <c r="B59" s="47">
        <v>1</v>
      </c>
      <c r="C59" s="47">
        <v>50</v>
      </c>
      <c r="D59" s="47">
        <v>100</v>
      </c>
      <c r="E59" s="47" t="s">
        <v>89</v>
      </c>
      <c r="F59" s="47" t="s">
        <v>89</v>
      </c>
      <c r="G59" s="47">
        <v>1</v>
      </c>
      <c r="H59" s="47" t="s">
        <v>89</v>
      </c>
      <c r="I59" s="47" t="s">
        <v>89</v>
      </c>
      <c r="J59" s="48">
        <f t="shared" si="0"/>
        <v>100</v>
      </c>
    </row>
    <row r="60" spans="1:11" s="132" customFormat="1" ht="21" customHeight="1" x14ac:dyDescent="0.15">
      <c r="A60" s="129">
        <v>50004061</v>
      </c>
      <c r="B60" s="129">
        <v>1</v>
      </c>
      <c r="C60" s="129">
        <v>51</v>
      </c>
      <c r="D60" s="129">
        <v>100</v>
      </c>
      <c r="E60" s="129" t="s">
        <v>89</v>
      </c>
      <c r="F60" s="129" t="s">
        <v>89</v>
      </c>
      <c r="G60" s="129">
        <v>1</v>
      </c>
      <c r="H60" s="129" t="s">
        <v>89</v>
      </c>
      <c r="I60" s="129">
        <v>726</v>
      </c>
      <c r="J60" s="130">
        <f t="shared" si="0"/>
        <v>100</v>
      </c>
      <c r="K60" s="131"/>
    </row>
    <row r="61" spans="1:11" ht="21" customHeight="1" x14ac:dyDescent="0.15">
      <c r="A61" s="47">
        <v>50004063</v>
      </c>
      <c r="B61" s="47">
        <v>0</v>
      </c>
      <c r="C61" s="47">
        <v>49</v>
      </c>
      <c r="D61" s="47">
        <v>100</v>
      </c>
      <c r="E61" s="47" t="s">
        <v>89</v>
      </c>
      <c r="F61" s="47" t="s">
        <v>89</v>
      </c>
      <c r="G61" s="47">
        <v>1</v>
      </c>
      <c r="H61" s="47">
        <v>1</v>
      </c>
      <c r="I61" s="47" t="s">
        <v>89</v>
      </c>
      <c r="J61" s="48">
        <f t="shared" si="0"/>
        <v>100</v>
      </c>
    </row>
    <row r="62" spans="1:11" ht="21" customHeight="1" x14ac:dyDescent="0.15">
      <c r="A62" s="47">
        <v>50004064</v>
      </c>
      <c r="B62" s="47">
        <v>0</v>
      </c>
      <c r="C62" s="47">
        <v>25</v>
      </c>
      <c r="D62" s="47">
        <v>100</v>
      </c>
      <c r="E62" s="47" t="s">
        <v>89</v>
      </c>
      <c r="F62" s="47" t="s">
        <v>89</v>
      </c>
      <c r="G62" s="47" t="s">
        <v>89</v>
      </c>
      <c r="H62" s="47" t="s">
        <v>89</v>
      </c>
      <c r="I62" s="47" t="s">
        <v>89</v>
      </c>
      <c r="J62" s="48">
        <f t="shared" si="0"/>
        <v>100</v>
      </c>
    </row>
    <row r="63" spans="1:11" ht="21" customHeight="1" x14ac:dyDescent="0.15">
      <c r="A63" s="47">
        <v>50004065</v>
      </c>
      <c r="B63" s="47">
        <v>0</v>
      </c>
      <c r="C63" s="47">
        <v>26</v>
      </c>
      <c r="D63" s="47">
        <v>100</v>
      </c>
      <c r="E63" s="47" t="s">
        <v>89</v>
      </c>
      <c r="F63" s="47" t="s">
        <v>89</v>
      </c>
      <c r="G63" s="47" t="s">
        <v>89</v>
      </c>
      <c r="H63" s="47">
        <v>3</v>
      </c>
      <c r="I63" s="47" t="s">
        <v>89</v>
      </c>
      <c r="J63" s="48">
        <f t="shared" ref="J63:J100" si="2">D63</f>
        <v>100</v>
      </c>
    </row>
    <row r="64" spans="1:11" ht="21" customHeight="1" x14ac:dyDescent="0.15">
      <c r="A64" s="47">
        <v>50004066</v>
      </c>
      <c r="B64" s="47">
        <v>0</v>
      </c>
      <c r="C64" s="47">
        <v>40</v>
      </c>
      <c r="D64" s="47">
        <v>100</v>
      </c>
      <c r="E64" s="47" t="s">
        <v>89</v>
      </c>
      <c r="F64" s="47" t="s">
        <v>89</v>
      </c>
      <c r="G64" s="47">
        <v>1</v>
      </c>
      <c r="H64" s="47">
        <v>4</v>
      </c>
      <c r="I64" s="47" t="s">
        <v>89</v>
      </c>
      <c r="J64" s="48">
        <f t="shared" si="2"/>
        <v>100</v>
      </c>
    </row>
    <row r="65" spans="1:11" ht="21" customHeight="1" x14ac:dyDescent="0.15">
      <c r="A65" s="47">
        <v>50004067</v>
      </c>
      <c r="B65" s="47">
        <v>0</v>
      </c>
      <c r="C65" s="47">
        <v>41</v>
      </c>
      <c r="D65" s="47">
        <v>100</v>
      </c>
      <c r="E65" s="47" t="s">
        <v>89</v>
      </c>
      <c r="F65" s="47" t="s">
        <v>89</v>
      </c>
      <c r="G65" s="47">
        <v>1</v>
      </c>
      <c r="H65" s="47">
        <v>8</v>
      </c>
      <c r="I65" s="47" t="s">
        <v>89</v>
      </c>
      <c r="J65" s="48">
        <f t="shared" si="2"/>
        <v>100</v>
      </c>
    </row>
    <row r="66" spans="1:11" ht="21" customHeight="1" x14ac:dyDescent="0.15">
      <c r="A66" s="47">
        <v>50004068</v>
      </c>
      <c r="B66" s="47">
        <v>1</v>
      </c>
      <c r="C66" s="47">
        <v>50</v>
      </c>
      <c r="D66" s="47">
        <v>100</v>
      </c>
      <c r="E66" s="47" t="s">
        <v>89</v>
      </c>
      <c r="F66" s="47" t="s">
        <v>89</v>
      </c>
      <c r="G66" s="47">
        <v>1</v>
      </c>
      <c r="H66" s="47" t="s">
        <v>89</v>
      </c>
      <c r="I66" s="47" t="s">
        <v>89</v>
      </c>
      <c r="J66" s="48">
        <f t="shared" si="2"/>
        <v>100</v>
      </c>
    </row>
    <row r="67" spans="1:11" s="132" customFormat="1" ht="21" customHeight="1" x14ac:dyDescent="0.15">
      <c r="A67" s="129">
        <v>50004069</v>
      </c>
      <c r="B67" s="129">
        <v>1</v>
      </c>
      <c r="C67" s="129">
        <v>51</v>
      </c>
      <c r="D67" s="129">
        <v>100</v>
      </c>
      <c r="E67" s="129" t="s">
        <v>89</v>
      </c>
      <c r="F67" s="129" t="s">
        <v>89</v>
      </c>
      <c r="G67" s="129">
        <v>1</v>
      </c>
      <c r="H67" s="129" t="s">
        <v>89</v>
      </c>
      <c r="I67" s="129">
        <v>726</v>
      </c>
      <c r="J67" s="130">
        <f t="shared" si="2"/>
        <v>100</v>
      </c>
      <c r="K67" s="131"/>
    </row>
    <row r="68" spans="1:11" ht="21" customHeight="1" x14ac:dyDescent="0.15">
      <c r="A68" s="47">
        <v>50004071</v>
      </c>
      <c r="B68" s="47">
        <v>0</v>
      </c>
      <c r="C68" s="47">
        <v>25</v>
      </c>
      <c r="D68" s="47">
        <v>100</v>
      </c>
      <c r="E68" s="47" t="s">
        <v>89</v>
      </c>
      <c r="F68" s="47" t="s">
        <v>89</v>
      </c>
      <c r="G68" s="47" t="s">
        <v>89</v>
      </c>
      <c r="H68" s="47" t="s">
        <v>89</v>
      </c>
      <c r="I68" s="47" t="s">
        <v>89</v>
      </c>
      <c r="J68" s="48">
        <f t="shared" si="2"/>
        <v>100</v>
      </c>
    </row>
    <row r="69" spans="1:11" ht="21" customHeight="1" x14ac:dyDescent="0.15">
      <c r="A69" s="47">
        <v>50004072</v>
      </c>
      <c r="B69" s="47">
        <v>0</v>
      </c>
      <c r="C69" s="47">
        <v>26</v>
      </c>
      <c r="D69" s="47">
        <v>100</v>
      </c>
      <c r="E69" s="47" t="s">
        <v>89</v>
      </c>
      <c r="F69" s="47" t="s">
        <v>89</v>
      </c>
      <c r="G69" s="47" t="s">
        <v>443</v>
      </c>
      <c r="H69" s="47">
        <v>3</v>
      </c>
      <c r="I69" s="47" t="s">
        <v>89</v>
      </c>
      <c r="J69" s="48">
        <f t="shared" si="2"/>
        <v>100</v>
      </c>
    </row>
    <row r="70" spans="1:11" ht="21" customHeight="1" x14ac:dyDescent="0.15">
      <c r="A70" s="47">
        <v>50004073</v>
      </c>
      <c r="B70" s="47">
        <v>0</v>
      </c>
      <c r="C70" s="47">
        <v>35</v>
      </c>
      <c r="D70" s="47">
        <v>100</v>
      </c>
      <c r="E70" s="47">
        <v>75</v>
      </c>
      <c r="F70" s="47" t="s">
        <v>89</v>
      </c>
      <c r="G70" s="47">
        <v>1</v>
      </c>
      <c r="H70" s="47">
        <v>1</v>
      </c>
      <c r="I70" s="47" t="s">
        <v>89</v>
      </c>
      <c r="J70" s="48">
        <f t="shared" si="2"/>
        <v>100</v>
      </c>
    </row>
    <row r="71" spans="1:11" ht="21" customHeight="1" x14ac:dyDescent="0.15">
      <c r="A71" s="47">
        <v>50004074</v>
      </c>
      <c r="B71" s="47">
        <v>0</v>
      </c>
      <c r="C71" s="47">
        <v>34</v>
      </c>
      <c r="D71" s="47">
        <v>100</v>
      </c>
      <c r="E71" s="47">
        <v>75</v>
      </c>
      <c r="F71" s="47" t="s">
        <v>89</v>
      </c>
      <c r="G71" s="47">
        <v>1</v>
      </c>
      <c r="H71" s="47">
        <v>1</v>
      </c>
      <c r="I71" s="47" t="s">
        <v>89</v>
      </c>
      <c r="J71" s="48">
        <f t="shared" si="2"/>
        <v>100</v>
      </c>
    </row>
    <row r="72" spans="1:11" ht="21" customHeight="1" x14ac:dyDescent="0.15">
      <c r="A72" s="47">
        <v>50004075</v>
      </c>
      <c r="B72" s="47">
        <v>0</v>
      </c>
      <c r="C72" s="47">
        <v>33</v>
      </c>
      <c r="D72" s="47">
        <v>100</v>
      </c>
      <c r="E72" s="47">
        <v>50</v>
      </c>
      <c r="F72" s="47" t="s">
        <v>89</v>
      </c>
      <c r="G72" s="47">
        <v>1</v>
      </c>
      <c r="H72" s="47">
        <v>1</v>
      </c>
      <c r="I72" s="47" t="s">
        <v>89</v>
      </c>
      <c r="J72" s="48">
        <f t="shared" si="2"/>
        <v>100</v>
      </c>
    </row>
    <row r="73" spans="1:11" ht="21" customHeight="1" x14ac:dyDescent="0.15">
      <c r="A73" s="47">
        <v>50004076</v>
      </c>
      <c r="B73" s="47">
        <v>0</v>
      </c>
      <c r="C73" s="47">
        <v>32</v>
      </c>
      <c r="D73" s="47">
        <v>100</v>
      </c>
      <c r="E73" s="47">
        <v>50</v>
      </c>
      <c r="F73" s="47" t="s">
        <v>89</v>
      </c>
      <c r="G73" s="47">
        <v>1</v>
      </c>
      <c r="H73" s="47">
        <v>1</v>
      </c>
      <c r="I73" s="47" t="s">
        <v>89</v>
      </c>
      <c r="J73" s="48">
        <f t="shared" si="2"/>
        <v>100</v>
      </c>
    </row>
    <row r="74" spans="1:11" ht="21" customHeight="1" x14ac:dyDescent="0.15">
      <c r="A74" s="47">
        <v>50004077</v>
      </c>
      <c r="B74" s="47">
        <v>0</v>
      </c>
      <c r="C74" s="47">
        <v>31</v>
      </c>
      <c r="D74" s="47">
        <v>100</v>
      </c>
      <c r="E74" s="47">
        <v>25</v>
      </c>
      <c r="F74" s="47" t="s">
        <v>89</v>
      </c>
      <c r="G74" s="47">
        <v>1</v>
      </c>
      <c r="H74" s="47">
        <v>1</v>
      </c>
      <c r="I74" s="47" t="s">
        <v>89</v>
      </c>
      <c r="J74" s="48">
        <f t="shared" si="2"/>
        <v>100</v>
      </c>
    </row>
    <row r="75" spans="1:11" ht="21" customHeight="1" x14ac:dyDescent="0.15">
      <c r="A75" s="47">
        <v>50004078</v>
      </c>
      <c r="B75" s="47">
        <v>0</v>
      </c>
      <c r="C75" s="47">
        <v>30</v>
      </c>
      <c r="D75" s="47">
        <v>100</v>
      </c>
      <c r="E75" s="47">
        <v>25</v>
      </c>
      <c r="F75" s="47" t="s">
        <v>89</v>
      </c>
      <c r="G75" s="47" t="s">
        <v>454</v>
      </c>
      <c r="H75" s="47">
        <v>1</v>
      </c>
      <c r="I75" s="47" t="s">
        <v>89</v>
      </c>
      <c r="J75" s="48">
        <f t="shared" si="2"/>
        <v>100</v>
      </c>
    </row>
    <row r="76" spans="1:11" ht="21" customHeight="1" x14ac:dyDescent="0.15">
      <c r="A76" s="47">
        <v>50004079</v>
      </c>
      <c r="B76" s="47">
        <v>1</v>
      </c>
      <c r="C76" s="47">
        <v>50</v>
      </c>
      <c r="D76" s="47">
        <v>100</v>
      </c>
      <c r="E76" s="47" t="s">
        <v>89</v>
      </c>
      <c r="F76" s="47" t="s">
        <v>89</v>
      </c>
      <c r="G76" s="47">
        <v>1</v>
      </c>
      <c r="H76" s="47" t="s">
        <v>89</v>
      </c>
      <c r="I76" s="47" t="s">
        <v>89</v>
      </c>
      <c r="J76" s="48">
        <f t="shared" si="2"/>
        <v>100</v>
      </c>
    </row>
    <row r="77" spans="1:11" s="132" customFormat="1" ht="21" customHeight="1" x14ac:dyDescent="0.15">
      <c r="A77" s="129">
        <v>50004080</v>
      </c>
      <c r="B77" s="129">
        <v>1</v>
      </c>
      <c r="C77" s="129">
        <v>51</v>
      </c>
      <c r="D77" s="129">
        <v>100</v>
      </c>
      <c r="E77" s="129" t="s">
        <v>89</v>
      </c>
      <c r="F77" s="129" t="s">
        <v>89</v>
      </c>
      <c r="G77" s="129">
        <v>1</v>
      </c>
      <c r="H77" s="129" t="s">
        <v>89</v>
      </c>
      <c r="I77" s="129">
        <v>726</v>
      </c>
      <c r="J77" s="130">
        <f t="shared" si="2"/>
        <v>100</v>
      </c>
      <c r="K77" s="131"/>
    </row>
    <row r="78" spans="1:11" ht="21" customHeight="1" x14ac:dyDescent="0.15">
      <c r="A78" s="47">
        <v>50004082</v>
      </c>
      <c r="B78" s="47">
        <v>0</v>
      </c>
      <c r="C78" s="47">
        <v>1</v>
      </c>
      <c r="D78" s="47">
        <v>100</v>
      </c>
      <c r="E78" s="47" t="s">
        <v>89</v>
      </c>
      <c r="F78" s="47" t="s">
        <v>89</v>
      </c>
      <c r="G78" s="47">
        <v>1</v>
      </c>
      <c r="H78" s="47">
        <v>1</v>
      </c>
      <c r="I78" s="47" t="s">
        <v>89</v>
      </c>
      <c r="J78" s="48">
        <f t="shared" si="2"/>
        <v>100</v>
      </c>
    </row>
    <row r="79" spans="1:11" ht="21" customHeight="1" x14ac:dyDescent="0.15">
      <c r="A79" s="106">
        <v>50004083</v>
      </c>
      <c r="B79" s="106">
        <v>0</v>
      </c>
      <c r="C79" s="106">
        <v>2</v>
      </c>
      <c r="D79" s="106">
        <v>100</v>
      </c>
      <c r="E79" s="106" t="s">
        <v>89</v>
      </c>
      <c r="F79" s="106">
        <v>90</v>
      </c>
      <c r="G79" s="106" t="s">
        <v>89</v>
      </c>
      <c r="H79" s="106">
        <v>2</v>
      </c>
      <c r="I79" s="106" t="s">
        <v>89</v>
      </c>
      <c r="J79" s="48">
        <f t="shared" si="2"/>
        <v>100</v>
      </c>
    </row>
    <row r="80" spans="1:11" ht="21" customHeight="1" x14ac:dyDescent="0.15">
      <c r="A80" s="106">
        <v>50004084</v>
      </c>
      <c r="B80" s="106">
        <v>0</v>
      </c>
      <c r="C80" s="106">
        <v>2</v>
      </c>
      <c r="D80" s="106">
        <v>100</v>
      </c>
      <c r="E80" s="106">
        <v>90</v>
      </c>
      <c r="F80" s="106" t="s">
        <v>89</v>
      </c>
      <c r="G80" s="106" t="s">
        <v>89</v>
      </c>
      <c r="H80" s="106">
        <v>2</v>
      </c>
      <c r="I80" s="106" t="s">
        <v>89</v>
      </c>
      <c r="J80" s="48">
        <f t="shared" si="2"/>
        <v>100</v>
      </c>
    </row>
    <row r="81" spans="1:10" ht="21" customHeight="1" x14ac:dyDescent="0.15">
      <c r="A81" s="47">
        <v>50004085</v>
      </c>
      <c r="B81" s="47">
        <v>0</v>
      </c>
      <c r="C81" s="47">
        <v>3</v>
      </c>
      <c r="D81" s="47">
        <v>100</v>
      </c>
      <c r="E81" s="47" t="s">
        <v>89</v>
      </c>
      <c r="F81" s="47">
        <v>80</v>
      </c>
      <c r="G81" s="47">
        <v>1</v>
      </c>
      <c r="H81" s="47">
        <v>2</v>
      </c>
      <c r="I81" s="47" t="s">
        <v>89</v>
      </c>
      <c r="J81" s="48">
        <f t="shared" si="2"/>
        <v>100</v>
      </c>
    </row>
    <row r="82" spans="1:10" ht="21" customHeight="1" x14ac:dyDescent="0.15">
      <c r="A82" s="47">
        <v>50004086</v>
      </c>
      <c r="B82" s="47">
        <v>0</v>
      </c>
      <c r="C82" s="47">
        <v>3</v>
      </c>
      <c r="D82" s="47">
        <v>100</v>
      </c>
      <c r="E82" s="47">
        <v>80</v>
      </c>
      <c r="F82" s="47" t="s">
        <v>89</v>
      </c>
      <c r="G82" s="47">
        <v>1</v>
      </c>
      <c r="H82" s="47">
        <v>2</v>
      </c>
      <c r="I82" s="47" t="s">
        <v>89</v>
      </c>
      <c r="J82" s="48">
        <f t="shared" si="2"/>
        <v>100</v>
      </c>
    </row>
    <row r="83" spans="1:10" ht="21" customHeight="1" x14ac:dyDescent="0.15">
      <c r="A83" s="106">
        <v>50004087</v>
      </c>
      <c r="B83" s="106">
        <v>0</v>
      </c>
      <c r="C83" s="106">
        <v>4</v>
      </c>
      <c r="D83" s="106">
        <v>100</v>
      </c>
      <c r="E83" s="106" t="s">
        <v>89</v>
      </c>
      <c r="F83" s="106">
        <v>70</v>
      </c>
      <c r="G83" s="106" t="s">
        <v>89</v>
      </c>
      <c r="H83" s="106">
        <v>4</v>
      </c>
      <c r="I83" s="106" t="s">
        <v>89</v>
      </c>
      <c r="J83" s="48">
        <f t="shared" si="2"/>
        <v>100</v>
      </c>
    </row>
    <row r="84" spans="1:10" ht="21" customHeight="1" x14ac:dyDescent="0.15">
      <c r="A84" s="106">
        <v>50004088</v>
      </c>
      <c r="B84" s="106">
        <v>0</v>
      </c>
      <c r="C84" s="106">
        <v>4</v>
      </c>
      <c r="D84" s="106">
        <v>100</v>
      </c>
      <c r="E84" s="106">
        <v>70</v>
      </c>
      <c r="F84" s="106" t="s">
        <v>89</v>
      </c>
      <c r="G84" s="106" t="s">
        <v>89</v>
      </c>
      <c r="H84" s="106">
        <v>4</v>
      </c>
      <c r="I84" s="106" t="s">
        <v>89</v>
      </c>
      <c r="J84" s="48">
        <f t="shared" si="2"/>
        <v>100</v>
      </c>
    </row>
    <row r="85" spans="1:10" ht="21" customHeight="1" x14ac:dyDescent="0.15">
      <c r="A85" s="47">
        <v>50004089</v>
      </c>
      <c r="B85" s="47">
        <v>0</v>
      </c>
      <c r="C85" s="47">
        <v>5</v>
      </c>
      <c r="D85" s="47">
        <v>100</v>
      </c>
      <c r="E85" s="47" t="s">
        <v>89</v>
      </c>
      <c r="F85" s="47">
        <v>60</v>
      </c>
      <c r="G85" s="47">
        <v>1</v>
      </c>
      <c r="H85" s="47">
        <v>3</v>
      </c>
      <c r="I85" s="47" t="s">
        <v>89</v>
      </c>
      <c r="J85" s="48">
        <f t="shared" si="2"/>
        <v>100</v>
      </c>
    </row>
    <row r="86" spans="1:10" ht="21" customHeight="1" x14ac:dyDescent="0.15">
      <c r="A86" s="47">
        <v>50004090</v>
      </c>
      <c r="B86" s="47">
        <v>0</v>
      </c>
      <c r="C86" s="47">
        <v>5</v>
      </c>
      <c r="D86" s="47">
        <v>100</v>
      </c>
      <c r="E86" s="47">
        <v>60</v>
      </c>
      <c r="F86" s="47" t="s">
        <v>89</v>
      </c>
      <c r="G86" s="47">
        <v>1</v>
      </c>
      <c r="H86" s="47">
        <v>3</v>
      </c>
      <c r="I86" s="47" t="s">
        <v>89</v>
      </c>
      <c r="J86" s="48">
        <f t="shared" si="2"/>
        <v>100</v>
      </c>
    </row>
    <row r="87" spans="1:10" ht="21" customHeight="1" x14ac:dyDescent="0.15">
      <c r="A87" s="106">
        <v>50004091</v>
      </c>
      <c r="B87" s="106">
        <v>0</v>
      </c>
      <c r="C87" s="106">
        <v>6</v>
      </c>
      <c r="D87" s="106">
        <v>100</v>
      </c>
      <c r="E87" s="106" t="s">
        <v>89</v>
      </c>
      <c r="F87" s="106">
        <v>50</v>
      </c>
      <c r="G87" s="106" t="s">
        <v>89</v>
      </c>
      <c r="H87" s="106">
        <v>6</v>
      </c>
      <c r="I87" s="106" t="s">
        <v>89</v>
      </c>
      <c r="J87" s="48">
        <f t="shared" si="2"/>
        <v>100</v>
      </c>
    </row>
    <row r="88" spans="1:10" ht="21" customHeight="1" x14ac:dyDescent="0.15">
      <c r="A88" s="106">
        <v>50004092</v>
      </c>
      <c r="B88" s="106">
        <v>0</v>
      </c>
      <c r="C88" s="106">
        <v>6</v>
      </c>
      <c r="D88" s="106">
        <v>100</v>
      </c>
      <c r="E88" s="106">
        <v>50</v>
      </c>
      <c r="F88" s="106" t="s">
        <v>89</v>
      </c>
      <c r="G88" s="106" t="s">
        <v>89</v>
      </c>
      <c r="H88" s="106">
        <v>6</v>
      </c>
      <c r="I88" s="106" t="s">
        <v>89</v>
      </c>
      <c r="J88" s="48">
        <f t="shared" si="2"/>
        <v>100</v>
      </c>
    </row>
    <row r="89" spans="1:10" ht="21" customHeight="1" x14ac:dyDescent="0.15">
      <c r="A89" s="47">
        <v>50004093</v>
      </c>
      <c r="B89" s="47">
        <v>0</v>
      </c>
      <c r="C89" s="47">
        <v>7</v>
      </c>
      <c r="D89" s="47">
        <v>100</v>
      </c>
      <c r="E89" s="47" t="s">
        <v>89</v>
      </c>
      <c r="F89" s="47">
        <v>40</v>
      </c>
      <c r="G89" s="47">
        <v>1</v>
      </c>
      <c r="H89" s="47">
        <v>4</v>
      </c>
      <c r="I89" s="47" t="s">
        <v>89</v>
      </c>
      <c r="J89" s="48">
        <f t="shared" si="2"/>
        <v>100</v>
      </c>
    </row>
    <row r="90" spans="1:10" ht="21" customHeight="1" x14ac:dyDescent="0.15">
      <c r="A90" s="47">
        <v>50004094</v>
      </c>
      <c r="B90" s="47">
        <v>0</v>
      </c>
      <c r="C90" s="47">
        <v>7</v>
      </c>
      <c r="D90" s="47">
        <v>100</v>
      </c>
      <c r="E90" s="47">
        <v>40</v>
      </c>
      <c r="F90" s="47" t="s">
        <v>89</v>
      </c>
      <c r="G90" s="47">
        <v>1</v>
      </c>
      <c r="H90" s="47">
        <v>4</v>
      </c>
      <c r="I90" s="47" t="s">
        <v>89</v>
      </c>
      <c r="J90" s="48">
        <f t="shared" si="2"/>
        <v>100</v>
      </c>
    </row>
    <row r="91" spans="1:10" ht="21" customHeight="1" x14ac:dyDescent="0.15">
      <c r="A91" s="106">
        <v>50004095</v>
      </c>
      <c r="B91" s="106">
        <v>0</v>
      </c>
      <c r="C91" s="106">
        <v>8</v>
      </c>
      <c r="D91" s="106">
        <v>100</v>
      </c>
      <c r="E91" s="106" t="s">
        <v>89</v>
      </c>
      <c r="F91" s="106">
        <v>30</v>
      </c>
      <c r="G91" s="106" t="s">
        <v>89</v>
      </c>
      <c r="H91" s="106">
        <v>8</v>
      </c>
      <c r="I91" s="106" t="s">
        <v>89</v>
      </c>
      <c r="J91" s="48">
        <f t="shared" si="2"/>
        <v>100</v>
      </c>
    </row>
    <row r="92" spans="1:10" ht="21" customHeight="1" x14ac:dyDescent="0.15">
      <c r="A92" s="106">
        <v>50004096</v>
      </c>
      <c r="B92" s="106">
        <v>0</v>
      </c>
      <c r="C92" s="106">
        <v>8</v>
      </c>
      <c r="D92" s="106">
        <v>100</v>
      </c>
      <c r="E92" s="106">
        <v>30</v>
      </c>
      <c r="F92" s="106" t="s">
        <v>89</v>
      </c>
      <c r="G92" s="106" t="s">
        <v>89</v>
      </c>
      <c r="H92" s="106">
        <v>8</v>
      </c>
      <c r="I92" s="106" t="s">
        <v>89</v>
      </c>
      <c r="J92" s="48">
        <f t="shared" si="2"/>
        <v>100</v>
      </c>
    </row>
    <row r="93" spans="1:10" ht="21" customHeight="1" x14ac:dyDescent="0.15">
      <c r="A93" s="47">
        <v>50004097</v>
      </c>
      <c r="B93" s="47">
        <v>0</v>
      </c>
      <c r="C93" s="47">
        <v>9</v>
      </c>
      <c r="D93" s="47">
        <v>100</v>
      </c>
      <c r="E93" s="47" t="s">
        <v>89</v>
      </c>
      <c r="F93" s="47">
        <v>20</v>
      </c>
      <c r="G93" s="47">
        <v>1</v>
      </c>
      <c r="H93" s="47">
        <v>5</v>
      </c>
      <c r="I93" s="47" t="s">
        <v>89</v>
      </c>
      <c r="J93" s="48">
        <f t="shared" si="2"/>
        <v>100</v>
      </c>
    </row>
    <row r="94" spans="1:10" ht="21" customHeight="1" x14ac:dyDescent="0.15">
      <c r="A94" s="47">
        <v>50004098</v>
      </c>
      <c r="B94" s="47">
        <v>0</v>
      </c>
      <c r="C94" s="47">
        <v>9</v>
      </c>
      <c r="D94" s="47">
        <v>100</v>
      </c>
      <c r="E94" s="47">
        <v>20</v>
      </c>
      <c r="F94" s="47" t="s">
        <v>89</v>
      </c>
      <c r="G94" s="47">
        <v>1</v>
      </c>
      <c r="H94" s="47">
        <v>5</v>
      </c>
      <c r="I94" s="47" t="s">
        <v>89</v>
      </c>
      <c r="J94" s="48">
        <f t="shared" si="2"/>
        <v>100</v>
      </c>
    </row>
    <row r="95" spans="1:10" ht="21" customHeight="1" x14ac:dyDescent="0.15">
      <c r="A95" s="106">
        <v>50004099</v>
      </c>
      <c r="B95" s="106">
        <v>0</v>
      </c>
      <c r="C95" s="106">
        <v>10</v>
      </c>
      <c r="D95" s="106">
        <v>100</v>
      </c>
      <c r="E95" s="106" t="s">
        <v>89</v>
      </c>
      <c r="F95" s="106">
        <v>10</v>
      </c>
      <c r="G95" s="106" t="s">
        <v>89</v>
      </c>
      <c r="H95" s="106">
        <v>10</v>
      </c>
      <c r="I95" s="106" t="s">
        <v>89</v>
      </c>
      <c r="J95" s="48">
        <f t="shared" si="2"/>
        <v>100</v>
      </c>
    </row>
    <row r="96" spans="1:10" ht="21" customHeight="1" x14ac:dyDescent="0.15">
      <c r="A96" s="106">
        <v>50004100</v>
      </c>
      <c r="B96" s="106">
        <v>0</v>
      </c>
      <c r="C96" s="106">
        <v>10</v>
      </c>
      <c r="D96" s="106">
        <v>100</v>
      </c>
      <c r="E96" s="106">
        <v>10</v>
      </c>
      <c r="F96" s="106" t="s">
        <v>89</v>
      </c>
      <c r="G96" s="106" t="s">
        <v>89</v>
      </c>
      <c r="H96" s="106">
        <v>10</v>
      </c>
      <c r="I96" s="106" t="s">
        <v>89</v>
      </c>
      <c r="J96" s="48">
        <f t="shared" si="2"/>
        <v>100</v>
      </c>
    </row>
    <row r="97" spans="1:11" ht="21" customHeight="1" x14ac:dyDescent="0.15">
      <c r="A97" s="47">
        <v>50004101</v>
      </c>
      <c r="B97" s="47">
        <v>0</v>
      </c>
      <c r="C97" s="47">
        <v>11</v>
      </c>
      <c r="D97" s="47">
        <v>100</v>
      </c>
      <c r="E97" s="47" t="s">
        <v>89</v>
      </c>
      <c r="F97" s="47" t="s">
        <v>89</v>
      </c>
      <c r="G97" s="47" t="s">
        <v>89</v>
      </c>
      <c r="H97" s="47">
        <v>6</v>
      </c>
      <c r="I97" s="47" t="s">
        <v>89</v>
      </c>
      <c r="J97" s="48">
        <f t="shared" si="2"/>
        <v>100</v>
      </c>
    </row>
    <row r="98" spans="1:11" ht="21" customHeight="1" x14ac:dyDescent="0.15">
      <c r="A98" s="47">
        <v>50004102</v>
      </c>
      <c r="B98" s="47">
        <v>0</v>
      </c>
      <c r="C98" s="47">
        <v>1</v>
      </c>
      <c r="D98" s="47">
        <v>100</v>
      </c>
      <c r="E98" s="47" t="s">
        <v>89</v>
      </c>
      <c r="F98" s="47" t="s">
        <v>89</v>
      </c>
      <c r="G98" s="47">
        <v>0</v>
      </c>
      <c r="H98" s="47" t="s">
        <v>89</v>
      </c>
      <c r="I98" s="47">
        <v>0</v>
      </c>
      <c r="J98" s="48">
        <f t="shared" si="2"/>
        <v>100</v>
      </c>
    </row>
    <row r="99" spans="1:11" s="128" customFormat="1" ht="21" customHeight="1" x14ac:dyDescent="0.15">
      <c r="A99" s="115">
        <v>50004103</v>
      </c>
      <c r="B99" s="115">
        <v>0</v>
      </c>
      <c r="C99" s="115">
        <v>2</v>
      </c>
      <c r="D99" s="115">
        <v>100</v>
      </c>
      <c r="E99" s="115" t="s">
        <v>89</v>
      </c>
      <c r="F99" s="115" t="s">
        <v>89</v>
      </c>
      <c r="G99" s="115">
        <v>0</v>
      </c>
      <c r="H99" s="115" t="s">
        <v>89</v>
      </c>
      <c r="I99" s="115">
        <v>726</v>
      </c>
      <c r="J99" s="126">
        <f t="shared" si="2"/>
        <v>100</v>
      </c>
      <c r="K99" s="127"/>
    </row>
    <row r="100" spans="1:11" s="128" customFormat="1" ht="21" customHeight="1" x14ac:dyDescent="0.15">
      <c r="A100" s="115">
        <v>50004104</v>
      </c>
      <c r="B100" s="115">
        <v>0</v>
      </c>
      <c r="C100" s="115">
        <v>3</v>
      </c>
      <c r="D100" s="115">
        <v>100</v>
      </c>
      <c r="E100" s="115" t="s">
        <v>89</v>
      </c>
      <c r="F100" s="115" t="s">
        <v>89</v>
      </c>
      <c r="G100" s="115">
        <v>0</v>
      </c>
      <c r="H100" s="115" t="s">
        <v>89</v>
      </c>
      <c r="I100" s="115">
        <v>727</v>
      </c>
      <c r="J100" s="126">
        <f t="shared" si="2"/>
        <v>100</v>
      </c>
      <c r="K100" s="127"/>
    </row>
    <row r="101" spans="1:11" s="128" customFormat="1" ht="21" customHeight="1" x14ac:dyDescent="0.15">
      <c r="A101" s="115">
        <v>50004105</v>
      </c>
      <c r="B101" s="115">
        <v>0</v>
      </c>
      <c r="C101" s="115">
        <v>4</v>
      </c>
      <c r="D101" s="115">
        <v>100</v>
      </c>
      <c r="E101" s="115" t="s">
        <v>89</v>
      </c>
      <c r="F101" s="115" t="s">
        <v>89</v>
      </c>
      <c r="G101" s="115">
        <v>0</v>
      </c>
      <c r="H101" s="115" t="s">
        <v>89</v>
      </c>
      <c r="I101" s="115">
        <v>1273</v>
      </c>
      <c r="J101" s="126">
        <f t="shared" ref="J101" si="3">D101</f>
        <v>100</v>
      </c>
      <c r="K101" s="127"/>
    </row>
  </sheetData>
  <autoFilter ref="A1:G1"/>
  <phoneticPr fontId="5"/>
  <conditionalFormatting sqref="K102:K1048576 K1:K57 K59:K100">
    <cfRule type="duplicateValues" dxfId="2" priority="3"/>
  </conditionalFormatting>
  <conditionalFormatting sqref="K101">
    <cfRule type="duplicateValues" dxfId="1" priority="5"/>
  </conditionalFormatting>
  <conditionalFormatting sqref="K5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workbookViewId="0">
      <selection activeCell="G16" sqref="G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0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98">
        <v>50004</v>
      </c>
      <c r="B2" s="99">
        <v>1</v>
      </c>
      <c r="C2" s="99" t="s">
        <v>214</v>
      </c>
      <c r="D2" s="99" t="s">
        <v>211</v>
      </c>
      <c r="E2" s="80">
        <v>1</v>
      </c>
      <c r="F2" s="80" t="s">
        <v>168</v>
      </c>
      <c r="G2" s="80">
        <v>65000</v>
      </c>
      <c r="H2" s="80" t="s">
        <v>212</v>
      </c>
      <c r="I2" s="80">
        <v>1</v>
      </c>
      <c r="J2" s="80">
        <v>1</v>
      </c>
      <c r="K2" s="80">
        <v>0</v>
      </c>
      <c r="L2" s="80">
        <v>0</v>
      </c>
      <c r="M2" s="80">
        <v>0</v>
      </c>
      <c r="N2" s="80">
        <v>0</v>
      </c>
      <c r="O2" s="80">
        <v>1</v>
      </c>
      <c r="P2" s="80">
        <v>50</v>
      </c>
      <c r="Q2" s="80" t="s">
        <v>277</v>
      </c>
      <c r="R2" s="80" t="s">
        <v>278</v>
      </c>
    </row>
    <row r="3" spans="1:18" x14ac:dyDescent="0.15">
      <c r="A3" s="98">
        <v>50004</v>
      </c>
      <c r="B3" s="100">
        <v>1</v>
      </c>
      <c r="C3" s="100" t="s">
        <v>214</v>
      </c>
      <c r="D3" s="100" t="s">
        <v>211</v>
      </c>
      <c r="E3" s="80">
        <v>2</v>
      </c>
      <c r="F3" s="80" t="s">
        <v>213</v>
      </c>
      <c r="G3" s="80">
        <v>339</v>
      </c>
      <c r="H3" s="80">
        <v>1</v>
      </c>
      <c r="I3" s="80">
        <v>1</v>
      </c>
      <c r="J3" s="80">
        <v>1</v>
      </c>
      <c r="K3" s="80">
        <v>0</v>
      </c>
      <c r="L3" s="80">
        <v>0</v>
      </c>
      <c r="M3" s="80">
        <v>0</v>
      </c>
      <c r="N3" s="80">
        <v>0</v>
      </c>
      <c r="O3" s="80">
        <v>1</v>
      </c>
      <c r="P3" s="80">
        <v>250</v>
      </c>
      <c r="Q3" s="80" t="s">
        <v>277</v>
      </c>
      <c r="R3" s="80" t="s">
        <v>278</v>
      </c>
    </row>
    <row r="4" spans="1:18" x14ac:dyDescent="0.15">
      <c r="A4" s="98">
        <v>50004</v>
      </c>
      <c r="B4" s="100">
        <v>1</v>
      </c>
      <c r="C4" s="100" t="s">
        <v>214</v>
      </c>
      <c r="D4" s="100" t="s">
        <v>211</v>
      </c>
      <c r="E4" s="80">
        <v>3</v>
      </c>
      <c r="F4" s="80" t="s">
        <v>213</v>
      </c>
      <c r="G4" s="80">
        <v>351</v>
      </c>
      <c r="H4" s="80">
        <v>1</v>
      </c>
      <c r="I4" s="80">
        <v>1</v>
      </c>
      <c r="J4" s="80">
        <v>1</v>
      </c>
      <c r="K4" s="80">
        <v>0</v>
      </c>
      <c r="L4" s="80">
        <v>0</v>
      </c>
      <c r="M4" s="80">
        <v>0</v>
      </c>
      <c r="N4" s="80">
        <v>0</v>
      </c>
      <c r="O4" s="80">
        <v>1</v>
      </c>
      <c r="P4" s="80">
        <v>50</v>
      </c>
      <c r="Q4" s="80" t="s">
        <v>277</v>
      </c>
      <c r="R4" s="80" t="s">
        <v>278</v>
      </c>
    </row>
    <row r="5" spans="1:18" x14ac:dyDescent="0.15">
      <c r="A5" s="98">
        <v>50004</v>
      </c>
      <c r="B5" s="100">
        <v>1</v>
      </c>
      <c r="C5" s="100" t="s">
        <v>214</v>
      </c>
      <c r="D5" s="100" t="s">
        <v>211</v>
      </c>
      <c r="E5" s="80">
        <v>4</v>
      </c>
      <c r="F5" s="80" t="s">
        <v>213</v>
      </c>
      <c r="G5" s="80">
        <v>125</v>
      </c>
      <c r="H5" s="80">
        <v>1</v>
      </c>
      <c r="I5" s="80">
        <v>1</v>
      </c>
      <c r="J5" s="80">
        <v>1</v>
      </c>
      <c r="K5" s="80">
        <v>0</v>
      </c>
      <c r="L5" s="80">
        <v>0</v>
      </c>
      <c r="M5" s="80">
        <v>0</v>
      </c>
      <c r="N5" s="80">
        <v>0</v>
      </c>
      <c r="O5" s="80">
        <v>1</v>
      </c>
      <c r="P5" s="80">
        <v>30</v>
      </c>
      <c r="Q5" s="80" t="s">
        <v>277</v>
      </c>
      <c r="R5" s="80" t="s">
        <v>278</v>
      </c>
    </row>
    <row r="6" spans="1:18" x14ac:dyDescent="0.15">
      <c r="A6" s="98">
        <v>50004</v>
      </c>
      <c r="B6" s="100">
        <v>1</v>
      </c>
      <c r="C6" s="100" t="s">
        <v>214</v>
      </c>
      <c r="D6" s="100" t="s">
        <v>211</v>
      </c>
      <c r="E6" s="80">
        <v>5</v>
      </c>
      <c r="F6" s="80" t="s">
        <v>213</v>
      </c>
      <c r="G6" s="80">
        <v>607</v>
      </c>
      <c r="H6" s="80">
        <v>1</v>
      </c>
      <c r="I6" s="80">
        <v>1</v>
      </c>
      <c r="J6" s="80">
        <v>1</v>
      </c>
      <c r="K6" s="80">
        <v>0</v>
      </c>
      <c r="L6" s="80">
        <v>0</v>
      </c>
      <c r="M6" s="80">
        <v>0</v>
      </c>
      <c r="N6" s="80">
        <v>0</v>
      </c>
      <c r="O6" s="80">
        <v>1</v>
      </c>
      <c r="P6" s="80">
        <v>80</v>
      </c>
      <c r="Q6" s="80" t="s">
        <v>277</v>
      </c>
      <c r="R6" s="80" t="s">
        <v>278</v>
      </c>
    </row>
    <row r="7" spans="1:18" x14ac:dyDescent="0.15">
      <c r="A7" s="98">
        <v>50004</v>
      </c>
      <c r="B7" s="100">
        <v>1</v>
      </c>
      <c r="C7" s="100" t="s">
        <v>214</v>
      </c>
      <c r="D7" s="100" t="s">
        <v>211</v>
      </c>
      <c r="E7" s="80">
        <v>6</v>
      </c>
      <c r="F7" s="80" t="s">
        <v>213</v>
      </c>
      <c r="G7" s="80">
        <v>608</v>
      </c>
      <c r="H7" s="80">
        <v>1</v>
      </c>
      <c r="I7" s="80">
        <v>1</v>
      </c>
      <c r="J7" s="80">
        <v>1</v>
      </c>
      <c r="K7" s="80">
        <v>0</v>
      </c>
      <c r="L7" s="80">
        <v>0</v>
      </c>
      <c r="M7" s="80">
        <v>0</v>
      </c>
      <c r="N7" s="80">
        <v>0</v>
      </c>
      <c r="O7" s="80">
        <v>1</v>
      </c>
      <c r="P7" s="80">
        <v>80</v>
      </c>
      <c r="Q7" s="80" t="s">
        <v>277</v>
      </c>
      <c r="R7" s="80" t="s">
        <v>278</v>
      </c>
    </row>
    <row r="8" spans="1:18" x14ac:dyDescent="0.15">
      <c r="A8" s="98">
        <v>50004</v>
      </c>
      <c r="B8" s="100">
        <v>1</v>
      </c>
      <c r="C8" s="100" t="s">
        <v>214</v>
      </c>
      <c r="D8" s="100" t="s">
        <v>211</v>
      </c>
      <c r="E8" s="80">
        <v>7</v>
      </c>
      <c r="F8" s="80" t="s">
        <v>213</v>
      </c>
      <c r="G8" s="80">
        <v>609</v>
      </c>
      <c r="H8" s="80">
        <v>1</v>
      </c>
      <c r="I8" s="80">
        <v>1</v>
      </c>
      <c r="J8" s="80">
        <v>1</v>
      </c>
      <c r="K8" s="80">
        <v>0</v>
      </c>
      <c r="L8" s="80">
        <v>0</v>
      </c>
      <c r="M8" s="80">
        <v>0</v>
      </c>
      <c r="N8" s="80">
        <v>0</v>
      </c>
      <c r="O8" s="80">
        <v>1</v>
      </c>
      <c r="P8" s="80">
        <v>80</v>
      </c>
      <c r="Q8" s="80" t="s">
        <v>277</v>
      </c>
      <c r="R8" s="80" t="s">
        <v>278</v>
      </c>
    </row>
    <row r="9" spans="1:18" x14ac:dyDescent="0.15">
      <c r="A9" s="98">
        <v>50004</v>
      </c>
      <c r="B9" s="100">
        <v>1</v>
      </c>
      <c r="C9" s="100" t="s">
        <v>214</v>
      </c>
      <c r="D9" s="100" t="s">
        <v>211</v>
      </c>
      <c r="E9" s="80">
        <v>8</v>
      </c>
      <c r="F9" s="80" t="s">
        <v>213</v>
      </c>
      <c r="G9" s="80">
        <v>610</v>
      </c>
      <c r="H9" s="80">
        <v>1</v>
      </c>
      <c r="I9" s="80">
        <v>1</v>
      </c>
      <c r="J9" s="80">
        <v>1</v>
      </c>
      <c r="K9" s="80">
        <v>0</v>
      </c>
      <c r="L9" s="80">
        <v>0</v>
      </c>
      <c r="M9" s="80">
        <v>0</v>
      </c>
      <c r="N9" s="80">
        <v>0</v>
      </c>
      <c r="O9" s="80">
        <v>1</v>
      </c>
      <c r="P9" s="80">
        <v>20</v>
      </c>
      <c r="Q9" s="80" t="s">
        <v>277</v>
      </c>
      <c r="R9" s="80" t="s">
        <v>278</v>
      </c>
    </row>
    <row r="10" spans="1:18" x14ac:dyDescent="0.15">
      <c r="A10" s="98">
        <v>50004</v>
      </c>
      <c r="B10" s="100">
        <v>1</v>
      </c>
      <c r="C10" s="100" t="s">
        <v>214</v>
      </c>
      <c r="D10" s="100" t="s">
        <v>211</v>
      </c>
      <c r="E10" s="80">
        <v>9</v>
      </c>
      <c r="F10" s="80" t="s">
        <v>213</v>
      </c>
      <c r="G10" s="80">
        <v>611</v>
      </c>
      <c r="H10" s="80">
        <v>1</v>
      </c>
      <c r="I10" s="80">
        <v>1</v>
      </c>
      <c r="J10" s="80">
        <v>1</v>
      </c>
      <c r="K10" s="80">
        <v>0</v>
      </c>
      <c r="L10" s="80">
        <v>0</v>
      </c>
      <c r="M10" s="80">
        <v>0</v>
      </c>
      <c r="N10" s="80">
        <v>0</v>
      </c>
      <c r="O10" s="80">
        <v>1</v>
      </c>
      <c r="P10" s="80">
        <v>30</v>
      </c>
      <c r="Q10" s="80" t="s">
        <v>277</v>
      </c>
      <c r="R10" s="80" t="s">
        <v>278</v>
      </c>
    </row>
    <row r="11" spans="1:18" x14ac:dyDescent="0.15">
      <c r="A11" s="98">
        <v>50004</v>
      </c>
      <c r="B11" s="100">
        <v>1</v>
      </c>
      <c r="C11" s="100" t="s">
        <v>214</v>
      </c>
      <c r="D11" s="100" t="s">
        <v>211</v>
      </c>
      <c r="E11" s="80">
        <v>10</v>
      </c>
      <c r="F11" s="80" t="s">
        <v>213</v>
      </c>
      <c r="G11" s="80">
        <v>612</v>
      </c>
      <c r="H11" s="80">
        <v>1</v>
      </c>
      <c r="I11" s="80">
        <v>1</v>
      </c>
      <c r="J11" s="80">
        <v>1</v>
      </c>
      <c r="K11" s="80">
        <v>0</v>
      </c>
      <c r="L11" s="80">
        <v>0</v>
      </c>
      <c r="M11" s="80">
        <v>0</v>
      </c>
      <c r="N11" s="80">
        <v>0</v>
      </c>
      <c r="O11" s="80">
        <v>1</v>
      </c>
      <c r="P11" s="80">
        <v>30</v>
      </c>
      <c r="Q11" s="80" t="s">
        <v>277</v>
      </c>
      <c r="R11" s="80" t="s">
        <v>278</v>
      </c>
    </row>
    <row r="12" spans="1:18" x14ac:dyDescent="0.15">
      <c r="A12" s="98">
        <v>50004</v>
      </c>
      <c r="B12" s="100">
        <v>1</v>
      </c>
      <c r="C12" s="100" t="s">
        <v>214</v>
      </c>
      <c r="D12" s="100" t="s">
        <v>211</v>
      </c>
      <c r="E12" s="80">
        <v>11</v>
      </c>
      <c r="F12" s="80" t="s">
        <v>213</v>
      </c>
      <c r="G12" s="80">
        <v>613</v>
      </c>
      <c r="H12" s="80">
        <v>1</v>
      </c>
      <c r="I12" s="80">
        <v>1</v>
      </c>
      <c r="J12" s="80">
        <v>1</v>
      </c>
      <c r="K12" s="80">
        <v>0</v>
      </c>
      <c r="L12" s="80">
        <v>0</v>
      </c>
      <c r="M12" s="80">
        <v>0</v>
      </c>
      <c r="N12" s="80">
        <v>0</v>
      </c>
      <c r="O12" s="80">
        <v>1</v>
      </c>
      <c r="P12" s="80">
        <v>30</v>
      </c>
      <c r="Q12" s="80" t="s">
        <v>277</v>
      </c>
      <c r="R12" s="80" t="s">
        <v>278</v>
      </c>
    </row>
    <row r="13" spans="1:18" x14ac:dyDescent="0.15">
      <c r="A13" s="98">
        <v>50004</v>
      </c>
      <c r="B13" s="100">
        <v>1</v>
      </c>
      <c r="C13" s="100" t="s">
        <v>214</v>
      </c>
      <c r="D13" s="100" t="s">
        <v>211</v>
      </c>
      <c r="E13" s="80">
        <v>12</v>
      </c>
      <c r="F13" s="80" t="s">
        <v>213</v>
      </c>
      <c r="G13" s="80">
        <v>614</v>
      </c>
      <c r="H13" s="80">
        <v>1</v>
      </c>
      <c r="I13" s="80">
        <v>1</v>
      </c>
      <c r="J13" s="80">
        <v>1</v>
      </c>
      <c r="K13" s="80">
        <v>0</v>
      </c>
      <c r="L13" s="80">
        <v>0</v>
      </c>
      <c r="M13" s="80">
        <v>0</v>
      </c>
      <c r="N13" s="80">
        <v>0</v>
      </c>
      <c r="O13" s="80">
        <v>1</v>
      </c>
      <c r="P13" s="80">
        <v>10</v>
      </c>
      <c r="Q13" s="80" t="s">
        <v>277</v>
      </c>
      <c r="R13" s="80" t="s">
        <v>278</v>
      </c>
    </row>
    <row r="14" spans="1:18" x14ac:dyDescent="0.15">
      <c r="A14" s="98">
        <v>50004</v>
      </c>
      <c r="B14" s="100">
        <v>1</v>
      </c>
      <c r="C14" s="100" t="s">
        <v>214</v>
      </c>
      <c r="D14" s="100" t="s">
        <v>211</v>
      </c>
      <c r="E14" s="80">
        <v>13</v>
      </c>
      <c r="F14" s="80" t="s">
        <v>213</v>
      </c>
      <c r="G14" s="80">
        <v>837</v>
      </c>
      <c r="H14" s="80">
        <v>1</v>
      </c>
      <c r="I14" s="80">
        <v>1</v>
      </c>
      <c r="J14" s="80">
        <v>1</v>
      </c>
      <c r="K14" s="80">
        <v>0</v>
      </c>
      <c r="L14" s="80">
        <v>0</v>
      </c>
      <c r="M14" s="80">
        <v>0</v>
      </c>
      <c r="N14" s="80">
        <v>0</v>
      </c>
      <c r="O14" s="80">
        <v>1</v>
      </c>
      <c r="P14" s="80">
        <v>10</v>
      </c>
      <c r="Q14" s="80" t="s">
        <v>277</v>
      </c>
      <c r="R14" s="80" t="s">
        <v>278</v>
      </c>
    </row>
    <row r="15" spans="1:18" x14ac:dyDescent="0.15">
      <c r="A15" s="98">
        <v>50004</v>
      </c>
      <c r="B15" s="100">
        <v>1</v>
      </c>
      <c r="C15" s="100" t="s">
        <v>214</v>
      </c>
      <c r="D15" s="100" t="s">
        <v>211</v>
      </c>
      <c r="E15" s="80">
        <v>14</v>
      </c>
      <c r="F15" s="80" t="s">
        <v>213</v>
      </c>
      <c r="G15" s="80">
        <v>846</v>
      </c>
      <c r="H15" s="80">
        <v>1</v>
      </c>
      <c r="I15" s="80">
        <v>1</v>
      </c>
      <c r="J15" s="80">
        <v>1</v>
      </c>
      <c r="K15" s="80">
        <v>0</v>
      </c>
      <c r="L15" s="80">
        <v>0</v>
      </c>
      <c r="M15" s="80">
        <v>0</v>
      </c>
      <c r="N15" s="80">
        <v>0</v>
      </c>
      <c r="O15" s="80">
        <v>1</v>
      </c>
      <c r="P15" s="80">
        <v>250</v>
      </c>
      <c r="Q15" s="80" t="s">
        <v>277</v>
      </c>
      <c r="R15" s="80" t="s">
        <v>278</v>
      </c>
    </row>
  </sheetData>
  <phoneticPr fontId="5"/>
  <dataValidations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185</v>
      </c>
      <c r="B1" s="71" t="s">
        <v>186</v>
      </c>
      <c r="C1" s="76" t="s">
        <v>187</v>
      </c>
      <c r="D1" s="76" t="s">
        <v>33</v>
      </c>
      <c r="E1" s="71" t="s">
        <v>188</v>
      </c>
      <c r="F1" s="76" t="s">
        <v>189</v>
      </c>
      <c r="G1" s="76" t="s">
        <v>33</v>
      </c>
      <c r="H1" s="71" t="s">
        <v>190</v>
      </c>
      <c r="I1" s="90" t="s">
        <v>192</v>
      </c>
      <c r="J1" s="78" t="s">
        <v>126</v>
      </c>
      <c r="K1" s="77" t="s">
        <v>184</v>
      </c>
      <c r="L1" s="91" t="s">
        <v>183</v>
      </c>
      <c r="M1" s="79" t="s">
        <v>193</v>
      </c>
    </row>
    <row r="2" spans="1:13" x14ac:dyDescent="0.15">
      <c r="A2"/>
    </row>
    <row r="3" spans="1:13" x14ac:dyDescent="0.15">
      <c r="A3"/>
    </row>
    <row r="4" spans="1:13" x14ac:dyDescent="0.15">
      <c r="A4"/>
    </row>
    <row r="5" spans="1:13" x14ac:dyDescent="0.15">
      <c r="A5"/>
    </row>
    <row r="6" spans="1:13" x14ac:dyDescent="0.15">
      <c r="A6"/>
    </row>
    <row r="7" spans="1:13" x14ac:dyDescent="0.15">
      <c r="A7"/>
    </row>
    <row r="8" spans="1:13" x14ac:dyDescent="0.15">
      <c r="A8"/>
    </row>
    <row r="9" spans="1:13" x14ac:dyDescent="0.15">
      <c r="A9"/>
    </row>
    <row r="10" spans="1:13" x14ac:dyDescent="0.15">
      <c r="A10"/>
    </row>
    <row r="11" spans="1:13" x14ac:dyDescent="0.15">
      <c r="A11"/>
    </row>
    <row r="12" spans="1:13" x14ac:dyDescent="0.15">
      <c r="A12"/>
    </row>
    <row r="13" spans="1:13" x14ac:dyDescent="0.15">
      <c r="A13"/>
    </row>
    <row r="14" spans="1:13" x14ac:dyDescent="0.15">
      <c r="A14"/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7"/>
  <sheetViews>
    <sheetView showGridLines="0" workbookViewId="0">
      <pane ySplit="1" topLeftCell="A2" activePane="bottomLeft" state="frozen"/>
      <selection pane="bottomLeft" activeCell="B14" sqref="B14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185</v>
      </c>
      <c r="B1" s="71" t="s">
        <v>150</v>
      </c>
      <c r="C1" s="76" t="s">
        <v>187</v>
      </c>
      <c r="D1" s="76" t="s">
        <v>33</v>
      </c>
      <c r="E1" s="71" t="s">
        <v>188</v>
      </c>
      <c r="F1" s="76" t="s">
        <v>18</v>
      </c>
      <c r="G1" s="76" t="s">
        <v>33</v>
      </c>
      <c r="H1" s="71" t="s">
        <v>190</v>
      </c>
      <c r="I1" s="88" t="s">
        <v>191</v>
      </c>
      <c r="J1" s="90" t="s">
        <v>192</v>
      </c>
      <c r="K1" s="78" t="s">
        <v>126</v>
      </c>
      <c r="L1" s="77" t="s">
        <v>184</v>
      </c>
      <c r="M1" s="91" t="s">
        <v>183</v>
      </c>
      <c r="N1" s="79" t="s">
        <v>193</v>
      </c>
    </row>
    <row r="2" spans="1:14" ht="56" x14ac:dyDescent="0.15">
      <c r="A2" s="80" t="s">
        <v>194</v>
      </c>
      <c r="B2" s="81">
        <f>floors!$C$2</f>
        <v>50004</v>
      </c>
      <c r="C2" s="82" t="str">
        <f ca="1">VLOOKUP($B2,OFFSET([2]quests!$A$1,0,0,COUNTA([2]quests!$A:$A),MATCH(C$1,[2]quests!$1:$1,0)-MATCH($B$1,[2]quests!$1:$1,0)+1),MATCH(C$1,[2]quests!$1:$1,0)-MATCH($B$1,[2]quests!$1:$1,0)+1,FALSE)</f>
        <v>ルシファー襲来！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超降臨4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超降臨4</v>
      </c>
      <c r="H2" s="84">
        <v>0</v>
      </c>
      <c r="I2" s="89">
        <f t="shared" ref="I2:I17" si="0">ROW()-1</f>
        <v>1</v>
      </c>
      <c r="J2" s="85" t="str">
        <f t="shared" ref="J2:J13" si="1">B2&amp;TEXT(I2,"00")</f>
        <v>5000401</v>
      </c>
      <c r="K2" s="83" t="s">
        <v>195</v>
      </c>
      <c r="L2" s="86" t="s">
        <v>196</v>
      </c>
      <c r="M2" s="125" t="s">
        <v>469</v>
      </c>
      <c r="N2" s="57" t="s">
        <v>197</v>
      </c>
    </row>
    <row r="3" spans="1:14" ht="56" x14ac:dyDescent="0.15">
      <c r="A3" s="80" t="s">
        <v>194</v>
      </c>
      <c r="B3" s="81">
        <f>floors!$C$2</f>
        <v>50004</v>
      </c>
      <c r="C3" s="82" t="str">
        <f ca="1">VLOOKUP($B3,OFFSET([2]quests!$A$1,0,0,COUNTA([2]quests!$A:$A),MATCH(C$1,[2]quests!$1:$1,0)-MATCH($B$1,[2]quests!$1:$1,0)+1),MATCH(C$1,[2]quests!$1:$1,0)-MATCH($B$1,[2]quests!$1:$1,0)+1,FALSE)</f>
        <v>ルシファー襲来！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超降臨4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超降臨4</v>
      </c>
      <c r="H3" s="84">
        <v>2</v>
      </c>
      <c r="I3" s="89">
        <f t="shared" si="0"/>
        <v>2</v>
      </c>
      <c r="J3" s="85" t="str">
        <f t="shared" si="1"/>
        <v>5000402</v>
      </c>
      <c r="K3" s="83" t="s">
        <v>195</v>
      </c>
      <c r="L3" s="86" t="s">
        <v>196</v>
      </c>
      <c r="M3" s="125" t="s">
        <v>416</v>
      </c>
      <c r="N3" s="57" t="s">
        <v>197</v>
      </c>
    </row>
    <row r="4" spans="1:14" ht="56" x14ac:dyDescent="0.15">
      <c r="A4" s="80" t="s">
        <v>194</v>
      </c>
      <c r="B4" s="81">
        <f>floors!$C$2</f>
        <v>50004</v>
      </c>
      <c r="C4" s="82" t="str">
        <f ca="1">VLOOKUP($B4,OFFSET([2]quests!$A$1,0,0,COUNTA([2]quests!$A:$A),MATCH(C$1,[2]quests!$1:$1,0)-MATCH($B$1,[2]quests!$1:$1,0)+1),MATCH(C$1,[2]quests!$1:$1,0)-MATCH($B$1,[2]quests!$1:$1,0)+1,FALSE)</f>
        <v>ルシファー襲来！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超降臨4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超降臨4</v>
      </c>
      <c r="H4" s="84">
        <v>2</v>
      </c>
      <c r="I4" s="89">
        <f t="shared" si="0"/>
        <v>3</v>
      </c>
      <c r="J4" s="85" t="str">
        <f t="shared" si="1"/>
        <v>5000403</v>
      </c>
      <c r="K4" s="83" t="s">
        <v>195</v>
      </c>
      <c r="L4" s="86" t="s">
        <v>196</v>
      </c>
      <c r="M4" s="125" t="s">
        <v>417</v>
      </c>
      <c r="N4" s="57" t="s">
        <v>197</v>
      </c>
    </row>
    <row r="5" spans="1:14" ht="56" x14ac:dyDescent="0.15">
      <c r="A5" s="80" t="s">
        <v>194</v>
      </c>
      <c r="B5" s="81">
        <f>floors!$C$2</f>
        <v>50004</v>
      </c>
      <c r="C5" s="82" t="str">
        <f ca="1">VLOOKUP($B5,OFFSET([2]quests!$A$1,0,0,COUNTA([2]quests!$A:$A),MATCH(C$1,[2]quests!$1:$1,0)-MATCH($B$1,[2]quests!$1:$1,0)+1),MATCH(C$1,[2]quests!$1:$1,0)-MATCH($B$1,[2]quests!$1:$1,0)+1,FALSE)</f>
        <v>ルシファー襲来！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超降臨4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超降臨4</v>
      </c>
      <c r="H5" s="84">
        <v>2</v>
      </c>
      <c r="I5" s="89">
        <f t="shared" si="0"/>
        <v>4</v>
      </c>
      <c r="J5" s="85" t="str">
        <f t="shared" si="1"/>
        <v>5000404</v>
      </c>
      <c r="K5" s="83" t="s">
        <v>195</v>
      </c>
      <c r="L5" s="86" t="s">
        <v>196</v>
      </c>
      <c r="M5" s="125" t="s">
        <v>418</v>
      </c>
      <c r="N5" s="57" t="s">
        <v>197</v>
      </c>
    </row>
    <row r="6" spans="1:14" ht="56" x14ac:dyDescent="0.15">
      <c r="A6" s="80" t="s">
        <v>194</v>
      </c>
      <c r="B6" s="81">
        <f>floors!$C$2</f>
        <v>50004</v>
      </c>
      <c r="C6" s="82" t="str">
        <f ca="1">VLOOKUP($B6,OFFSET([2]quests!$A$1,0,0,COUNTA([2]quests!$A:$A),MATCH(C$1,[2]quests!$1:$1,0)-MATCH($B$1,[2]quests!$1:$1,0)+1),MATCH(C$1,[2]quests!$1:$1,0)-MATCH($B$1,[2]quests!$1:$1,0)+1,FALSE)</f>
        <v>ルシファー襲来！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超降臨4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超降臨4</v>
      </c>
      <c r="H6" s="84">
        <v>3</v>
      </c>
      <c r="I6" s="89">
        <f t="shared" si="0"/>
        <v>5</v>
      </c>
      <c r="J6" s="85" t="str">
        <f t="shared" si="1"/>
        <v>5000405</v>
      </c>
      <c r="K6" s="83" t="s">
        <v>195</v>
      </c>
      <c r="L6" s="86" t="s">
        <v>196</v>
      </c>
      <c r="M6" s="125" t="s">
        <v>419</v>
      </c>
      <c r="N6" s="57" t="s">
        <v>197</v>
      </c>
    </row>
    <row r="7" spans="1:14" ht="56" x14ac:dyDescent="0.15">
      <c r="A7" s="80" t="s">
        <v>194</v>
      </c>
      <c r="B7" s="81">
        <f>floors!$C$2</f>
        <v>50004</v>
      </c>
      <c r="C7" s="82" t="str">
        <f ca="1">VLOOKUP($B7,OFFSET([2]quests!$A$1,0,0,COUNTA([2]quests!$A:$A),MATCH(C$1,[2]quests!$1:$1,0)-MATCH($B$1,[2]quests!$1:$1,0)+1),MATCH(C$1,[2]quests!$1:$1,0)-MATCH($B$1,[2]quests!$1:$1,0)+1,FALSE)</f>
        <v>ルシファー襲来！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超降臨4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超降臨4</v>
      </c>
      <c r="H7" s="84">
        <v>3</v>
      </c>
      <c r="I7" s="89">
        <f t="shared" si="0"/>
        <v>6</v>
      </c>
      <c r="J7" s="85" t="str">
        <f t="shared" si="1"/>
        <v>5000406</v>
      </c>
      <c r="K7" s="83" t="s">
        <v>195</v>
      </c>
      <c r="L7" s="86" t="s">
        <v>196</v>
      </c>
      <c r="M7" s="125" t="s">
        <v>420</v>
      </c>
      <c r="N7" s="57" t="s">
        <v>197</v>
      </c>
    </row>
    <row r="8" spans="1:14" ht="56" x14ac:dyDescent="0.15">
      <c r="A8" s="80" t="s">
        <v>194</v>
      </c>
      <c r="B8" s="81">
        <f>floors!$C$2</f>
        <v>50004</v>
      </c>
      <c r="C8" s="82" t="str">
        <f ca="1">VLOOKUP($B8,OFFSET([2]quests!$A$1,0,0,COUNTA([2]quests!$A:$A),MATCH(C$1,[2]quests!$1:$1,0)-MATCH($B$1,[2]quests!$1:$1,0)+1),MATCH(C$1,[2]quests!$1:$1,0)-MATCH($B$1,[2]quests!$1:$1,0)+1,FALSE)</f>
        <v>ルシファー襲来！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超降臨4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超降臨4</v>
      </c>
      <c r="H8" s="84">
        <v>4</v>
      </c>
      <c r="I8" s="89">
        <f t="shared" si="0"/>
        <v>7</v>
      </c>
      <c r="J8" s="85" t="str">
        <f t="shared" si="1"/>
        <v>5000407</v>
      </c>
      <c r="K8" s="83" t="s">
        <v>195</v>
      </c>
      <c r="L8" s="86" t="s">
        <v>196</v>
      </c>
      <c r="M8" s="125" t="s">
        <v>429</v>
      </c>
      <c r="N8" s="57" t="s">
        <v>197</v>
      </c>
    </row>
    <row r="9" spans="1:14" ht="56" x14ac:dyDescent="0.15">
      <c r="A9" s="80" t="s">
        <v>194</v>
      </c>
      <c r="B9" s="81">
        <f>floors!$C$2</f>
        <v>50004</v>
      </c>
      <c r="C9" s="82" t="str">
        <f ca="1">VLOOKUP($B9,OFFSET([2]quests!$A$1,0,0,COUNTA([2]quests!$A:$A),MATCH(C$1,[2]quests!$1:$1,0)-MATCH($B$1,[2]quests!$1:$1,0)+1),MATCH(C$1,[2]quests!$1:$1,0)-MATCH($B$1,[2]quests!$1:$1,0)+1,FALSE)</f>
        <v>ルシファー襲来！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超降臨4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超降臨4</v>
      </c>
      <c r="H9" s="84">
        <v>4</v>
      </c>
      <c r="I9" s="89">
        <f t="shared" si="0"/>
        <v>8</v>
      </c>
      <c r="J9" s="85" t="str">
        <f t="shared" si="1"/>
        <v>5000408</v>
      </c>
      <c r="K9" s="83" t="s">
        <v>195</v>
      </c>
      <c r="L9" s="86" t="s">
        <v>196</v>
      </c>
      <c r="M9" s="125" t="s">
        <v>431</v>
      </c>
      <c r="N9" s="57" t="s">
        <v>197</v>
      </c>
    </row>
    <row r="10" spans="1:14" ht="56" x14ac:dyDescent="0.15">
      <c r="A10" s="80" t="s">
        <v>194</v>
      </c>
      <c r="B10" s="81">
        <f>floors!$C$2</f>
        <v>50004</v>
      </c>
      <c r="C10" s="82" t="str">
        <f ca="1">VLOOKUP($B10,OFFSET([2]quests!$A$1,0,0,COUNTA([2]quests!$A:$A),MATCH(C$1,[2]quests!$1:$1,0)-MATCH($B$1,[2]quests!$1:$1,0)+1),MATCH(C$1,[2]quests!$1:$1,0)-MATCH($B$1,[2]quests!$1:$1,0)+1,FALSE)</f>
        <v>ルシファー襲来！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超降臨4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超降臨4</v>
      </c>
      <c r="H10" s="84">
        <v>4</v>
      </c>
      <c r="I10" s="89">
        <f t="shared" si="0"/>
        <v>9</v>
      </c>
      <c r="J10" s="85" t="str">
        <f t="shared" si="1"/>
        <v>5000409</v>
      </c>
      <c r="K10" s="83" t="s">
        <v>195</v>
      </c>
      <c r="L10" s="86" t="s">
        <v>196</v>
      </c>
      <c r="M10" s="125" t="s">
        <v>432</v>
      </c>
      <c r="N10" s="57" t="s">
        <v>197</v>
      </c>
    </row>
    <row r="11" spans="1:14" ht="56" x14ac:dyDescent="0.15">
      <c r="A11" s="80" t="s">
        <v>194</v>
      </c>
      <c r="B11" s="81">
        <f>floors!$C$2</f>
        <v>50004</v>
      </c>
      <c r="C11" s="82" t="str">
        <f ca="1">VLOOKUP($B11,OFFSET([2]quests!$A$1,0,0,COUNTA([2]quests!$A:$A),MATCH(C$1,[2]quests!$1:$1,0)-MATCH($B$1,[2]quests!$1:$1,0)+1),MATCH(C$1,[2]quests!$1:$1,0)-MATCH($B$1,[2]quests!$1:$1,0)+1,FALSE)</f>
        <v>ルシファー襲来！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超降臨4</v>
      </c>
      <c r="E11" s="83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超降臨4</v>
      </c>
      <c r="H11" s="84">
        <v>5</v>
      </c>
      <c r="I11" s="89">
        <f t="shared" si="0"/>
        <v>10</v>
      </c>
      <c r="J11" s="85" t="str">
        <f t="shared" si="1"/>
        <v>5000410</v>
      </c>
      <c r="K11" s="83" t="s">
        <v>195</v>
      </c>
      <c r="L11" s="86" t="s">
        <v>196</v>
      </c>
      <c r="M11" s="125" t="s">
        <v>433</v>
      </c>
      <c r="N11" s="57" t="s">
        <v>197</v>
      </c>
    </row>
    <row r="12" spans="1:14" ht="56" x14ac:dyDescent="0.15">
      <c r="A12" s="80" t="s">
        <v>194</v>
      </c>
      <c r="B12" s="81">
        <f>floors!$C$2</f>
        <v>50004</v>
      </c>
      <c r="C12" s="82" t="str">
        <f ca="1">VLOOKUP($B12,OFFSET([2]quests!$A$1,0,0,COUNTA([2]quests!$A:$A),MATCH(C$1,[2]quests!$1:$1,0)-MATCH($B$1,[2]quests!$1:$1,0)+1),MATCH(C$1,[2]quests!$1:$1,0)-MATCH($B$1,[2]quests!$1:$1,0)+1,FALSE)</f>
        <v>ルシファー襲来！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超降臨4</v>
      </c>
      <c r="E12" s="83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超降臨4</v>
      </c>
      <c r="H12" s="84">
        <v>5</v>
      </c>
      <c r="I12" s="89">
        <f t="shared" si="0"/>
        <v>11</v>
      </c>
      <c r="J12" s="85" t="str">
        <f t="shared" si="1"/>
        <v>5000411</v>
      </c>
      <c r="K12" s="83" t="s">
        <v>195</v>
      </c>
      <c r="L12" s="86" t="s">
        <v>196</v>
      </c>
      <c r="M12" s="125" t="s">
        <v>435</v>
      </c>
      <c r="N12" s="57" t="s">
        <v>197</v>
      </c>
    </row>
    <row r="13" spans="1:14" ht="70" x14ac:dyDescent="0.15">
      <c r="A13" s="80" t="s">
        <v>194</v>
      </c>
      <c r="B13" s="81">
        <f>floors!$C$2</f>
        <v>50004</v>
      </c>
      <c r="C13" s="82" t="str">
        <f ca="1">VLOOKUP($B13,OFFSET([2]quests!$A$1,0,0,COUNTA([2]quests!$A:$A),MATCH(C$1,[2]quests!$1:$1,0)-MATCH($B$1,[2]quests!$1:$1,0)+1),MATCH(C$1,[2]quests!$1:$1,0)-MATCH($B$1,[2]quests!$1:$1,0)+1,FALSE)</f>
        <v>ルシファー襲来！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超降臨4</v>
      </c>
      <c r="E13" s="83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超降臨4</v>
      </c>
      <c r="H13" s="84">
        <v>5</v>
      </c>
      <c r="I13" s="89">
        <f t="shared" si="0"/>
        <v>12</v>
      </c>
      <c r="J13" s="85" t="str">
        <f t="shared" si="1"/>
        <v>5000412</v>
      </c>
      <c r="K13" s="83" t="s">
        <v>195</v>
      </c>
      <c r="L13" s="86" t="s">
        <v>196</v>
      </c>
      <c r="M13" s="125" t="s">
        <v>436</v>
      </c>
      <c r="N13" s="57" t="s">
        <v>197</v>
      </c>
    </row>
    <row r="14" spans="1:14" ht="42" x14ac:dyDescent="0.15">
      <c r="A14" s="80" t="s">
        <v>198</v>
      </c>
      <c r="B14" s="81">
        <f>floors!$C$2</f>
        <v>50004</v>
      </c>
      <c r="C14" s="82" t="str">
        <f ca="1">VLOOKUP($B14,OFFSET([2]quests!$A$1,0,0,COUNTA([2]quests!$A:$A),MATCH(C$1,[2]quests!$1:$1,0)-MATCH($B$1,[2]quests!$1:$1,0)+1),MATCH(C$1,[2]quests!$1:$1,0)-MATCH($B$1,[2]quests!$1:$1,0)+1,FALSE)</f>
        <v>ルシファー襲来！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超降臨4</v>
      </c>
      <c r="E14" s="83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超降臨4</v>
      </c>
      <c r="H14" s="84">
        <v>0</v>
      </c>
      <c r="I14" s="89">
        <f t="shared" si="0"/>
        <v>13</v>
      </c>
      <c r="J14" s="85" t="str">
        <f t="shared" ref="J14:J17" si="2">B14&amp;TEXT(I14,"00")</f>
        <v>5000413</v>
      </c>
      <c r="K14" s="83" t="s">
        <v>127</v>
      </c>
      <c r="L14" s="86" t="s">
        <v>474</v>
      </c>
      <c r="M14" s="125" t="s">
        <v>470</v>
      </c>
      <c r="N14" s="57" t="s">
        <v>197</v>
      </c>
    </row>
    <row r="15" spans="1:14" ht="70" x14ac:dyDescent="0.15">
      <c r="A15" s="80" t="s">
        <v>198</v>
      </c>
      <c r="B15" s="81">
        <f>floors!$C$2</f>
        <v>50004</v>
      </c>
      <c r="C15" s="82" t="str">
        <f ca="1">VLOOKUP($B15,OFFSET([2]quests!$A$1,0,0,COUNTA([2]quests!$A:$A),MATCH(C$1,[2]quests!$1:$1,0)-MATCH($B$1,[2]quests!$1:$1,0)+1),MATCH(C$1,[2]quests!$1:$1,0)-MATCH($B$1,[2]quests!$1:$1,0)+1,FALSE)</f>
        <v>ルシファー襲来！</v>
      </c>
      <c r="D15" s="82" t="str">
        <f ca="1">VLOOKUP($B15,OFFSET([2]quests!$A$1,0,0,COUNTA([2]quests!$A:$A),MATCH(D$1,[2]quests!$1:$1,0)-MATCH($B$1,[2]quests!$1:$1,0)+1),MATCH(D$1,[2]quests!$1:$1,0)-MATCH($B$1,[2]quests!$1:$1,0)+1,FALSE)</f>
        <v>超降臨4</v>
      </c>
      <c r="E15" s="83">
        <v>1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超降臨4</v>
      </c>
      <c r="H15" s="84">
        <v>0</v>
      </c>
      <c r="I15" s="89">
        <f t="shared" si="0"/>
        <v>14</v>
      </c>
      <c r="J15" s="85" t="str">
        <f t="shared" si="2"/>
        <v>5000414</v>
      </c>
      <c r="K15" s="83" t="s">
        <v>127</v>
      </c>
      <c r="L15" s="86" t="s">
        <v>475</v>
      </c>
      <c r="M15" s="125" t="s">
        <v>471</v>
      </c>
      <c r="N15" s="57" t="s">
        <v>197</v>
      </c>
    </row>
    <row r="16" spans="1:14" ht="56" x14ac:dyDescent="0.15">
      <c r="A16" s="80" t="s">
        <v>198</v>
      </c>
      <c r="B16" s="81">
        <f>floors!$C$2</f>
        <v>50004</v>
      </c>
      <c r="C16" s="82" t="str">
        <f ca="1">VLOOKUP($B16,OFFSET([2]quests!$A$1,0,0,COUNTA([2]quests!$A:$A),MATCH(C$1,[2]quests!$1:$1,0)-MATCH($B$1,[2]quests!$1:$1,0)+1),MATCH(C$1,[2]quests!$1:$1,0)-MATCH($B$1,[2]quests!$1:$1,0)+1,FALSE)</f>
        <v>ルシファー襲来！</v>
      </c>
      <c r="D16" s="82" t="str">
        <f ca="1">VLOOKUP($B16,OFFSET([2]quests!$A$1,0,0,COUNTA([2]quests!$A:$A),MATCH(D$1,[2]quests!$1:$1,0)-MATCH($B$1,[2]quests!$1:$1,0)+1),MATCH(D$1,[2]quests!$1:$1,0)-MATCH($B$1,[2]quests!$1:$1,0)+1,FALSE)</f>
        <v>超降臨4</v>
      </c>
      <c r="E16" s="83">
        <v>1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超降臨4</v>
      </c>
      <c r="H16" s="84">
        <v>0</v>
      </c>
      <c r="I16" s="89">
        <f t="shared" si="0"/>
        <v>15</v>
      </c>
      <c r="J16" s="85" t="str">
        <f t="shared" si="2"/>
        <v>5000415</v>
      </c>
      <c r="K16" s="83" t="s">
        <v>127</v>
      </c>
      <c r="L16" s="86" t="s">
        <v>476</v>
      </c>
      <c r="M16" s="125" t="s">
        <v>472</v>
      </c>
      <c r="N16" s="57" t="s">
        <v>197</v>
      </c>
    </row>
    <row r="17" spans="1:14" ht="56" x14ac:dyDescent="0.15">
      <c r="A17" s="80" t="s">
        <v>198</v>
      </c>
      <c r="B17" s="81">
        <f>floors!$C$2</f>
        <v>50004</v>
      </c>
      <c r="C17" s="82" t="str">
        <f ca="1">VLOOKUP($B17,OFFSET([2]quests!$A$1,0,0,COUNTA([2]quests!$A:$A),MATCH(C$1,[2]quests!$1:$1,0)-MATCH($B$1,[2]quests!$1:$1,0)+1),MATCH(C$1,[2]quests!$1:$1,0)-MATCH($B$1,[2]quests!$1:$1,0)+1,FALSE)</f>
        <v>ルシファー襲来！</v>
      </c>
      <c r="D17" s="82" t="str">
        <f ca="1">VLOOKUP($B17,OFFSET([2]quests!$A$1,0,0,COUNTA([2]quests!$A:$A),MATCH(D$1,[2]quests!$1:$1,0)-MATCH($B$1,[2]quests!$1:$1,0)+1),MATCH(D$1,[2]quests!$1:$1,0)-MATCH($B$1,[2]quests!$1:$1,0)+1,FALSE)</f>
        <v>超降臨4</v>
      </c>
      <c r="E17" s="83">
        <v>1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 xml:space="preserve">【超ウィザード級】ルシファー襲来 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超降臨4</v>
      </c>
      <c r="H17" s="84">
        <v>0</v>
      </c>
      <c r="I17" s="89">
        <f t="shared" si="0"/>
        <v>16</v>
      </c>
      <c r="J17" s="85" t="str">
        <f t="shared" si="2"/>
        <v>5000416</v>
      </c>
      <c r="K17" s="83" t="s">
        <v>127</v>
      </c>
      <c r="L17" s="86" t="s">
        <v>477</v>
      </c>
      <c r="M17" s="125" t="s">
        <v>473</v>
      </c>
      <c r="N17" s="57" t="s">
        <v>197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2017-05-08T07:21:29Z</dcterms:modified>
</cp:coreProperties>
</file>