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1010" sheetId="157" r:id="rId4"/>
    <sheet name="tables_53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tables_531010!$A$1:$V$354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<sst xmlns="http://schemas.openxmlformats.org/spreadsheetml/2006/main" count="406" uniqueCount="260">
  <si>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</si>
  <si>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</si>
  <si>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</si>
  <si>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</si>
  <si>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</si>
  <si>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</si>
  <si>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</si>
  <si>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</si>
  <si>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</si>
  <si>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</si>
  <si>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</si>
  <si>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</si>
  <si>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</si>
  <si>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</si>
  <si>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</si>
  <si>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</si>
  <si>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</si>
  <si>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</si>
  <si>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</si>
  <si>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</si>
  <si>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</si>
  <si>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</si>
  <si>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</si>
  <si>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</si>
  <si>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</si>
  <si>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</si>
  <si>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</si>
  <si>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</si>
  <si>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</si>
  <si>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</si>
  <si>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</si>
  <si>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</si>
  <si>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</si>
  <si>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</si>
  <si>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</si>
  <si>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</si>
  <si>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</si>
  <si>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</si>
  <si>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</si>
  <si>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</si>
  <si>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</si>
  <si>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</si>
  <si>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</si>
  <si>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</si>
  <si>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</si>
  <si>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</si>
  <si>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</si>
  <si>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</si>
  <si>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</si>
  <si>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</si>
  <si>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</si>
  <si>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</si>
  <si>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</si>
  <si>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</si>
  <si>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</si>
  <si>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</si>
  <si>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</si>
  <si>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</si>
  <si>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</si>
  <si>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</si>
  <si>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</si>
  <si>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</si>
  <si>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</si>
  <si>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</si>
  <si>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</si>
  <si>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</si>
  <si>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</si>
  <si>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</si>
  <si>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</si>
  <si>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</si>
  <si>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</si>
  <si>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</si>
  <si>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</si>
  <si>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</si>
  <si>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</si>
  <si>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</si>
  <si>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</si>
  <si>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</si>
  <si>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</si>
  <si>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</si>
  <si>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</si>
  <si>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</si>
  <si>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</si>
  <si>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</si>
  <si>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</si>
  <si>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</si>
  <si>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</si>
  <si>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</si>
  <si>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</si>
  <si>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</si>
  <si>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</si>
  <si>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</si>
  <si>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</si>
  <si>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</si>
  <si>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</si>
  <si>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</si>
  <si>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</si>
  <si>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</si>
  <si>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</si>
  <si>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</si>
  <si>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</si>
  <si>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</si>
  <si>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</si>
  <si>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</si>
  <si>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</si>
  <si>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</si>
  <si>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</si>
  <si>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</si>
  <si>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</si>
  <si>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</si>
  <si>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</si>
  <si>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</si>
  <si>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</si>
  <si>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</si>
  <si>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</si>
  <si>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</si>
  <si>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</si>
  <si>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</si>
  <si>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</si>
  <si>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</si>
  <si>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</si>
  <si>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</si>
  <si>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</si>
  <si>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</si>
  <si>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</si>
  <si>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</si>
  <si>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</si>
  <si>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</si>
  <si>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</si>
  <si>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</si>
  <si>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</si>
  <si>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</si>
  <si>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</si>
  <si>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</si>
  <si>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</si>
  <si>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</si>
  <si>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</si>
  <si>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</si>
  <si>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</si>
  <si>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</si>
  <si>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</si>
  <si>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</si>
  <si>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</si>
  <si>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</si>
  <si>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</si>
  <si>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</si>
  <si>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</si>
  <si>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</si>
  <si>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</si>
  <si>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</si>
  <si>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</si>
  <si>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</si>
  <si>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</si>
  <si>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</si>
  <si>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</si>
  <si>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</si>
  <si>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</si>
  <si>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</si>
  <si>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</si>
  <si>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</si>
  <si>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</si>
  <si>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</si>
  <si>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</si>
  <si>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</si>
  <si>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</si>
  <si>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</si>
  <si>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</si>
  <si>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</si>
  <si>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</si>
  <si>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</si>
  <si>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</si>
  <si>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</si>
  <si>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</si>
  <si>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</si>
  <si>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</si>
  <si>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</si>
  <si>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</si>
  <si>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</si>
  <si>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</si>
  <si>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</si>
  <si>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</si>
  <si>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</si>
  <si>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</si>
  <si>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</si>
  <si>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</si>
  <si>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</si>
  <si>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</si>
  <si>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</si>
  <si>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</si>
  <si>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</si>
  <si>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</si>
  <si>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</si>
  <si>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</si>
  <si>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</si>
  <si>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</si>
  <si>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</si>
  <si>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</si>
  <si>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</si>
  <si>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</si>
  <si>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</si>
  <si>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</si>
  <si>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</si>
  <si>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</si>
  <si>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</si>
  <si>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</si>
  <si>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</si>
  <si>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</si>
  <si>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</si>
  <si>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</si>
  <si>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</si>
  <si>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</si>
  <si>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</si>
  <si>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</si>
  <si>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</si>
  <si>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</si>
  <si>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</si>
  <si>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</si>
  <si>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</si>
  <si>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</si>
  <si>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</si>
  <si>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</si>
  <si>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</si>
  <si>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</si>
  <si>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</si>
  <si>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</si>
  <si>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</si>
  <si>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</si>
  <si>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</si>
  <si>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</si>
  <si>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</si>
  <si>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</si>
  <si>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</si>
  <si>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</si>
  <si>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</si>
  <si>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</si>
  <si>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</si>
  <si>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</si>
  <si>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</si>
  <si>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</si>
  <si>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</si>
  <si>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</si>
  <si>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</si>
  <si>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</si>
  <si>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</si>
  <si>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</si>
  <si>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</si>
  <si>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</si>
  <si>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</si>
  <si>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</si>
  <si>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</si>
  <si>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</si>
  <si>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</si>
  <si>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tables_531100</t>
    <phoneticPr fontId="21"/>
  </si>
  <si>
    <t>tables_531010</t>
    <phoneticPr fontId="21"/>
  </si>
  <si>
    <t>tables_settle_531100</t>
    <phoneticPr fontId="21"/>
  </si>
  <si>
    <t>1日1回無料スペシャルサマーガチャ特典</t>
    <phoneticPr fontId="21"/>
  </si>
  <si>
    <t>ja</t>
  </si>
  <si>
    <t>unit</t>
  </si>
  <si>
    <t>リトルハンプティ × 1</t>
    <phoneticPr fontId="21"/>
  </si>
  <si>
    <t>1日1回無料スペシャルサマーガチャ特典としてリトルハンプティ を1体プレゼント！</t>
    <rPh sb="4" eb="6">
      <t>ムリョウ</t>
    </rPh>
    <rPh sb="33" eb="34">
      <t>タイ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</si>
</sst>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7" t="s">
        <v>241</v>
      </c>
      <c r="B3" s="61" t="s">
        <v>110</v>
      </c>
      <c r="C3" s="50" t="str">
        <f t="shared" ref="C3:C7" si="1">RIGHT(F3,6)</f>
        <v>531010</v>
      </c>
      <c r="D3" s="19" t="s">
        <v>45</v>
      </c>
      <c r="E3" s="17" t="str">
        <f t="shared" ref="E3:E10" si="2">B3&amp;C3&amp;D3</f>
        <v>gacha_select_tables_531010.tmp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535</v>
      </c>
      <c r="D8" s="19" t="s">
        <v>46</v>
      </c>
      <c r="E8" s="17" t="str">
        <f t="shared" si="2"/>
        <v>gacha_bonus_tables_535.tmp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535</v>
      </c>
      <c r="D9" s="19" t="s">
        <v>46</v>
      </c>
      <c r="E9" s="17" t="str">
        <f t="shared" si="2"/>
        <v>gifts_tmp_535.tmp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535</v>
      </c>
      <c r="D10" s="19" t="s">
        <v>46</v>
      </c>
      <c r="E10" s="17" t="str">
        <f t="shared" si="2"/>
        <v>gifts_i18n_535.tmp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J10" sqref="J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2E-3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VLOOKUP(L3,tables_531010!B:C,2,FALSE)</f>
        <v>PremiumSSS6R3less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VLOOKUP(L4,tables_531010!B:C,2,FALSE)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VLOOKUP(L5,tables_531010!B:C,2,FALSE)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0.92999999999999994</v>
      </c>
      <c r="D6" t="s">
        <v>202</v>
      </c>
      <c r="E6" s="76">
        <f>(B10-H6)/(F6-I6)</f>
        <v>7.3404255319148935E-3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VLOOKUP(L6,tables_531010!B:C,2,FALSE)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7.0000000000000007E-2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VLOOKUP(L7,tables_531010!B:C,2,FALSE)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VLOOKUP(L8,tables_531010!B:C,2,FALSE)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VLOOKUP(L9,tables_531010!B:C,2,FALSE)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VLOOKUP(L10,tables_531010!B:C,2,FALSE)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VLOOKUP(L11,tables_531010!B:C,2,FALSE)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COUNTIF(tables_531010!C:C,input_531010!A17)-COUNTIF(Q:Q,A17)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0.15680851063829787</v>
      </c>
      <c r="C18" s="85">
        <f t="shared" si="2"/>
        <v>0</v>
      </c>
      <c r="D18" s="74">
        <f t="shared" si="3"/>
        <v>0.15680851063829787</v>
      </c>
      <c r="E18">
        <f>COUNTIF(tables_531010!C:C,input_531010!A18)-COUNTIF(Q:Q,A18)</f>
        <v>20</v>
      </c>
      <c r="F18" s="43">
        <f>IFERROR(B18/E18,0)</f>
        <v>7.8404255319148939E-3</v>
      </c>
      <c r="G18">
        <f t="shared" si="4"/>
        <v>9728400</v>
      </c>
      <c r="H18">
        <f t="shared" si="5"/>
        <v>486420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COUNTIF(tables_531010!C:C,input_531010!A19)-COUNTIF(Q:Q,A19)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E20*E6-B21</f>
        <v>0.38058027079303675</v>
      </c>
      <c r="C20" s="85">
        <f t="shared" si="2"/>
        <v>0</v>
      </c>
      <c r="D20" s="74">
        <f t="shared" si="3"/>
        <v>0.38058027079303675</v>
      </c>
      <c r="E20">
        <f>COUNTIF(tables_531010!C:C,input_531010!A20)-COUNTIF(Q:Q,A20)</f>
        <v>52</v>
      </c>
      <c r="F20" s="43">
        <f t="shared" si="8"/>
        <v>7.3188513614045525E-3</v>
      </c>
      <c r="G20">
        <f t="shared" si="4"/>
        <v>23611200</v>
      </c>
      <c r="H20">
        <f t="shared" si="5"/>
        <v>454061.53846000001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1.121856866537721E-3</v>
      </c>
      <c r="C21" s="85">
        <f t="shared" si="2"/>
        <v>0</v>
      </c>
      <c r="D21" s="74">
        <f t="shared" si="3"/>
        <v>1.121856866537721E-3</v>
      </c>
      <c r="E21">
        <f>COUNTIF(tables_531010!C:C,input_531010!A21)-COUNTIF(Q:Q,A21)</f>
        <v>52</v>
      </c>
      <c r="F21" s="43">
        <f t="shared" si="8"/>
        <v>2.1574170510340788E-5</v>
      </c>
      <c r="G21">
        <f t="shared" si="4"/>
        <v>69600.000000000204</v>
      </c>
      <c r="H21">
        <f t="shared" si="5"/>
        <v>1338.46154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0.11979574468085107</v>
      </c>
      <c r="C22" s="85">
        <f t="shared" si="2"/>
        <v>0</v>
      </c>
      <c r="D22" s="74">
        <f t="shared" si="3"/>
        <v>0.11979574468085107</v>
      </c>
      <c r="E22">
        <f>COUNTIF(tables_531010!C:C,input_531010!A22)-COUNTIF(Q:Q,A22)</f>
        <v>18</v>
      </c>
      <c r="F22" s="43">
        <f t="shared" si="8"/>
        <v>6.6553191489361705E-3</v>
      </c>
      <c r="G22">
        <f t="shared" si="4"/>
        <v>7432128</v>
      </c>
      <c r="H22">
        <f t="shared" si="5"/>
        <v>412896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1.2331914893617024E-2</v>
      </c>
      <c r="C23" s="85">
        <f t="shared" si="2"/>
        <v>0.2</v>
      </c>
      <c r="D23" s="74">
        <f t="shared" si="3"/>
        <v>-0.187668085106383</v>
      </c>
      <c r="E23">
        <f>COUNTIF(tables_531010!C:C,input_531010!A23)-COUNTIF(Q:Q,A23)</f>
        <v>24</v>
      </c>
      <c r="F23" s="43">
        <f t="shared" si="8"/>
        <v>5.1382978723404265E-4</v>
      </c>
      <c r="G23">
        <f t="shared" si="4"/>
        <v>765072.00000000012</v>
      </c>
      <c r="H23">
        <f t="shared" si="5"/>
        <v>31878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COUNTIF(tables_531010!C:C,input_531010!A24)-COUNTIF(Q:Q,A24)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2.7306382978723402E-2</v>
      </c>
      <c r="C25" s="85">
        <f t="shared" si="2"/>
        <v>0</v>
      </c>
      <c r="D25" s="74">
        <f t="shared" si="3"/>
        <v>2.7306382978723402E-2</v>
      </c>
      <c r="E25">
        <f>COUNTIF(tables_531010!C:C,input_531010!A25)-COUNTIF(Q:Q,A25)</f>
        <v>4</v>
      </c>
      <c r="F25" s="43">
        <f t="shared" si="8"/>
        <v>6.8265957446808504E-3</v>
      </c>
      <c r="G25">
        <f t="shared" si="4"/>
        <v>1694087.9999999998</v>
      </c>
      <c r="H25">
        <f t="shared" si="5"/>
        <v>423522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2.0553191489361702E-3</v>
      </c>
      <c r="C26" s="85">
        <f t="shared" si="2"/>
        <v>0</v>
      </c>
      <c r="D26" s="74">
        <f t="shared" si="3"/>
        <v>2.0553191489361702E-3</v>
      </c>
      <c r="E26">
        <f>COUNTIF(tables_531010!C:C,input_531010!A26)-COUNTIF(Q:Q,A26)</f>
        <v>4</v>
      </c>
      <c r="F26" s="43">
        <f t="shared" si="8"/>
        <v>5.1382978723404254E-4</v>
      </c>
      <c r="G26">
        <f t="shared" si="4"/>
        <v>127512</v>
      </c>
      <c r="H26">
        <f t="shared" si="5"/>
        <v>31878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3.5509090909090907E-2</v>
      </c>
      <c r="C27" s="85">
        <f t="shared" si="2"/>
        <v>0</v>
      </c>
      <c r="D27" s="74">
        <f t="shared" si="3"/>
        <v>3.5509090909090907E-2</v>
      </c>
      <c r="E27">
        <f>COUNTIF(tables_531010!C:C,input_531010!A27)-COUNTIF(Q:Q,A27)</f>
        <v>28</v>
      </c>
      <c r="F27" s="43">
        <f>IFERROR(B27/E27,0)</f>
        <v>1.268181818181818E-3</v>
      </c>
      <c r="G27">
        <f t="shared" si="4"/>
        <v>2202984</v>
      </c>
      <c r="H27">
        <f t="shared" si="5"/>
        <v>78678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2.6727272727272732E-3</v>
      </c>
      <c r="C28" s="85">
        <f t="shared" si="2"/>
        <v>0</v>
      </c>
      <c r="D28" s="74">
        <f t="shared" si="3"/>
        <v>2.6727272727272732E-3</v>
      </c>
      <c r="E28">
        <f>COUNTIF(tables_531010!C:C,input_531010!A28)-COUNTIF(Q:Q,A28)</f>
        <v>28</v>
      </c>
      <c r="F28" s="43">
        <f t="shared" si="8"/>
        <v>9.5454545454545475E-5</v>
      </c>
      <c r="G28">
        <f t="shared" si="4"/>
        <v>165816.00000000003</v>
      </c>
      <c r="H28">
        <f t="shared" si="5"/>
        <v>5922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COUNTIF(tables_531010!C:C,input_531010!A29)-COUNTIF(Q:Q,A29)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COUNTIF(tables_531010!C:C,input_531010!A30)-COUNTIF(Q:Q,A30)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COUNTIF(tables_531010!C:C,input_531010!A31)-COUNTIF(Q:Q,A31)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COUNTIF(tables_531010!C:C,input_531010!A32)-COUNTIF(Q:Q,A32)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0.01</v>
      </c>
      <c r="D33" s="74">
        <f t="shared" si="3"/>
        <v>-0.01</v>
      </c>
      <c r="E33">
        <f>COUNTIF(tables_531010!C:C,input_531010!A33)-COUNTIF(Q:Q,A33)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0.79000000000000026</v>
      </c>
      <c r="C34" s="41">
        <f>SUM(C19:C33)</f>
        <v>0.21000000000000002</v>
      </c>
      <c r="D34" s="42">
        <f t="shared" si="3"/>
        <v>0.58000000000000029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SUMIF(tables_531010!C:C,input_531010!A42,tables_531010!O:O)</f>
        <v>0</v>
      </c>
      <c r="C42" s="54">
        <f t="shared" ref="C42:C48" ca="1" si="16">B42/B$49</f>
        <v>0</v>
      </c>
      <c r="E42">
        <v>3</v>
      </c>
      <c r="F42">
        <f ca="1">SUMIF(tables_531010!J:J,input_531010!E42,tables_531010!O:O)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SUMIF(tables_531010!C:C,input_531010!A43,tables_531010!O:O)</f>
        <v>23611199.999920014</v>
      </c>
      <c r="C43" s="54">
        <f t="shared" ca="1" si="16"/>
        <v>0.90639395614212892</v>
      </c>
      <c r="E43">
        <v>4</v>
      </c>
      <c r="F43">
        <f ca="1">SUMIF(tables_531010!J:J,input_531010!E43,tables_531010!O:O)</f>
        <v>44668799.999920048</v>
      </c>
      <c r="G43">
        <f ca="1">F43/A38</f>
        <v>0.71999999999871123</v>
      </c>
    </row>
    <row r="44" spans="1:18" x14ac:dyDescent="0.15">
      <c r="A44" s="33" t="s">
        <v>106</v>
      </c>
      <c r="B44">
        <f ca="1">SUMIF(tables_531010!C:C,input_531010!A44,tables_531010!O:O)</f>
        <v>2202984</v>
      </c>
      <c r="C44" s="54">
        <f t="shared" ca="1" si="16"/>
        <v>8.4568822553897138E-2</v>
      </c>
      <c r="E44">
        <v>5</v>
      </c>
      <c r="F44">
        <f ca="1">SUMIF(tables_531010!J:J,input_531010!E44,tables_531010!O:O)</f>
        <v>16750800.000080001</v>
      </c>
      <c r="G44">
        <f ca="1">F44/A38</f>
        <v>0.27000000000128949</v>
      </c>
    </row>
    <row r="45" spans="1:18" x14ac:dyDescent="0.15">
      <c r="A45" s="33" t="s">
        <v>109</v>
      </c>
      <c r="B45">
        <f>SUMIF(tables_531010!C:C,input_531010!A45,tables_531010!O:O)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SUMIF(tables_531010!C:C,input_531010!A46,tables_531010!O:O)</f>
        <v>69600.00007999994</v>
      </c>
      <c r="C46" s="54">
        <f t="shared" ca="1" si="16"/>
        <v>2.6718260579816928E-3</v>
      </c>
      <c r="E46" t="s">
        <v>54</v>
      </c>
      <c r="F46" s="55"/>
    </row>
    <row r="47" spans="1:18" x14ac:dyDescent="0.15">
      <c r="A47" s="33" t="s">
        <v>107</v>
      </c>
      <c r="B47">
        <f ca="1">SUMIF(tables_531010!C:C,input_531010!A47,tables_531010!O:O)</f>
        <v>165816</v>
      </c>
      <c r="C47" s="54">
        <f t="shared" ca="1" si="16"/>
        <v>6.3653952459922572E-3</v>
      </c>
      <c r="E47" t="s">
        <v>204</v>
      </c>
      <c r="F47" s="55">
        <f ca="1">SUMIF(tables_531010!I:I,input_531010!E47,tables_531010!P:P)</f>
        <v>0.15989148936170217</v>
      </c>
    </row>
    <row r="48" spans="1:18" x14ac:dyDescent="0.15">
      <c r="A48" s="33" t="s">
        <v>108</v>
      </c>
      <c r="B48">
        <f>SUMIF(tables_531010!C:C,input_531010!A48,tables_531010!O:O)</f>
        <v>0</v>
      </c>
      <c r="C48" s="54">
        <f t="shared" ca="1" si="16"/>
        <v>0</v>
      </c>
      <c r="E48" t="s">
        <v>205</v>
      </c>
      <c r="F48" s="55">
        <f ca="1">SUMIF(tables_531010!I:I,input_531010!E48,tables_531010!P:P)</f>
        <v>0.14680851063829789</v>
      </c>
    </row>
    <row r="49" spans="1:7" x14ac:dyDescent="0.15">
      <c r="A49" s="39" t="s">
        <v>59</v>
      </c>
      <c r="B49">
        <f ca="1">SUM(B42:B48)</f>
        <v>26049600.000000015</v>
      </c>
      <c r="C49" s="55">
        <f ca="1">SUM(C42:C48)</f>
        <v>0.99999999999999989</v>
      </c>
      <c r="E49" t="s">
        <v>206</v>
      </c>
      <c r="F49" s="55">
        <f ca="1">SUMIF(tables_531010!I:I,input_531010!E49,tables_531010!P:P)</f>
        <v>0.59329999999999994</v>
      </c>
    </row>
    <row r="50" spans="1:7" x14ac:dyDescent="0.15">
      <c r="E50" t="s">
        <v>207</v>
      </c>
      <c r="F50" s="55">
        <f ca="1">SUMIF(tables_531010!I:I,input_531010!E50,tables_531010!P:P)</f>
        <v>8.0454545454545418E-2</v>
      </c>
      <c r="G50" s="55">
        <f ca="1">0.05-F50-F51</f>
        <v>-3.9999999999999959E-2</v>
      </c>
    </row>
    <row r="51" spans="1:7" x14ac:dyDescent="0.15">
      <c r="E51" t="s">
        <v>248</v>
      </c>
      <c r="F51" s="55">
        <f ca="1">SUMIF(tables_531010!I:I,input_531010!E51,tables_531010!P:P)</f>
        <v>9.5454545454545462E-3</v>
      </c>
      <c r="G51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O346" sqref="O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input_531010!A$2</f>
        <v>531010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IFERROR(VLOOKUP(B2,input_531010!L:R,7,FALSE),VLOOKUP(tables_531010!C2,input_531010!A:H,8,FALSE))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input_531010!A$2</f>
        <v>531010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IFERROR(VLOOKUP(B3,input_531010!L:R,7,FALSE),VLOOKUP(tables_531010!C3,input_531010!A:H,8,FALSE))</f>
        <v>486420</v>
      </c>
      <c r="P3" s="46">
        <f t="shared" ca="1" si="1"/>
        <v>7.8404255319148939E-3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input_531010!A$2</f>
        <v>531010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IFERROR(VLOOKUP(B4,input_531010!L:R,7,FALSE),VLOOKUP(tables_531010!C4,input_531010!A:H,8,FALSE))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input_531010!A$2</f>
        <v>531010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IFERROR(VLOOKUP(B5,input_531010!L:R,7,FALSE),VLOOKUP(tables_531010!C5,input_531010!A:H,8,FALSE))</f>
        <v>486420</v>
      </c>
      <c r="P5" s="46">
        <f t="shared" ca="1" si="1"/>
        <v>7.8404255319148939E-3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input_531010!A$2</f>
        <v>531010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IFERROR(VLOOKUP(B6,input_531010!L:R,7,FALSE),VLOOKUP(tables_531010!C6,input_531010!A:H,8,FALSE))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input_531010!A$2</f>
        <v>531010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IFERROR(VLOOKUP(B7,input_531010!L:R,7,FALSE),VLOOKUP(tables_531010!C7,input_531010!A:H,8,FALSE))</f>
        <v>486420</v>
      </c>
      <c r="P7" s="46">
        <f t="shared" ca="1" si="1"/>
        <v>7.8404255319148939E-3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input_531010!A$2</f>
        <v>531010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IFERROR(VLOOKUP(B8,input_531010!L:R,7,FALSE),VLOOKUP(tables_531010!C8,input_531010!A:H,8,FALSE))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input_531010!A$2</f>
        <v>531010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IFERROR(VLOOKUP(B9,input_531010!L:R,7,FALSE),VLOOKUP(tables_531010!C9,input_531010!A:H,8,FALSE))</f>
        <v>486420</v>
      </c>
      <c r="P9" s="46">
        <f t="shared" ca="1" si="1"/>
        <v>7.8404255319148939E-3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input_531010!A$2</f>
        <v>531010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IFERROR(VLOOKUP(B10,input_531010!L:R,7,FALSE),VLOOKUP(tables_531010!C10,input_531010!A:H,8,FALSE))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input_531010!A$2</f>
        <v>531010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IFERROR(VLOOKUP(B11,input_531010!L:R,7,FALSE),VLOOKUP(tables_531010!C11,input_531010!A:H,8,FALSE))</f>
        <v>486420</v>
      </c>
      <c r="P11" s="46">
        <f t="shared" ca="1" si="1"/>
        <v>7.8404255319148939E-3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input_531010!A$2</f>
        <v>531010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IFERROR(VLOOKUP(B12,input_531010!L:R,7,FALSE),VLOOKUP(tables_531010!C12,input_531010!A:H,8,FALSE))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input_531010!A$2</f>
        <v>531010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IFERROR(VLOOKUP(B13,input_531010!L:R,7,FALSE),VLOOKUP(tables_531010!C13,input_531010!A:H,8,FALSE))</f>
        <v>486420</v>
      </c>
      <c r="P13" s="46">
        <f t="shared" ca="1" si="1"/>
        <v>7.8404255319148939E-3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input_531010!A$2</f>
        <v>531010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IFERROR(VLOOKUP(B14,input_531010!L:R,7,FALSE),VLOOKUP(tables_531010!C14,input_531010!A:H,8,FALSE))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input_531010!A$2</f>
        <v>531010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IFERROR(VLOOKUP(B15,input_531010!L:R,7,FALSE),VLOOKUP(tables_531010!C15,input_531010!A:H,8,FALSE))</f>
        <v>486420</v>
      </c>
      <c r="P15" s="46">
        <f t="shared" ca="1" si="1"/>
        <v>7.8404255319148939E-3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input_531010!A$2</f>
        <v>531010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IFERROR(VLOOKUP(B16,input_531010!L:R,7,FALSE),VLOOKUP(tables_531010!C16,input_531010!A:H,8,FALSE))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input_531010!A$2</f>
        <v>531010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IFERROR(VLOOKUP(B17,input_531010!L:R,7,FALSE),VLOOKUP(tables_531010!C17,input_531010!A:H,8,FALSE))</f>
        <v>486420</v>
      </c>
      <c r="P17" s="46">
        <f t="shared" ca="1" si="1"/>
        <v>7.8404255319148939E-3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input_531010!A$2</f>
        <v>531010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IFERROR(VLOOKUP(B18,input_531010!L:R,7,FALSE),VLOOKUP(tables_531010!C18,input_531010!A:H,8,FALSE))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input_531010!A$2</f>
        <v>531010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IFERROR(VLOOKUP(B19,input_531010!L:R,7,FALSE),VLOOKUP(tables_531010!C19,input_531010!A:H,8,FALSE))</f>
        <v>486420</v>
      </c>
      <c r="P19" s="46">
        <f t="shared" ca="1" si="1"/>
        <v>7.8404255319148939E-3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input_531010!A$2</f>
        <v>531010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IFERROR(VLOOKUP(B20,input_531010!L:R,7,FALSE),VLOOKUP(tables_531010!C20,input_531010!A:H,8,FALSE))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input_531010!A$2</f>
        <v>531010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IFERROR(VLOOKUP(B21,input_531010!L:R,7,FALSE),VLOOKUP(tables_531010!C21,input_531010!A:H,8,FALSE))</f>
        <v>486420</v>
      </c>
      <c r="P21" s="46">
        <f t="shared" ca="1" si="1"/>
        <v>7.8404255319148939E-3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input_531010!A$2</f>
        <v>531010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IFERROR(VLOOKUP(B22,input_531010!L:R,7,FALSE),VLOOKUP(tables_531010!C22,input_531010!A:H,8,FALSE))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input_531010!A$2</f>
        <v>531010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IFERROR(VLOOKUP(B23,input_531010!L:R,7,FALSE),VLOOKUP(tables_531010!C23,input_531010!A:H,8,FALSE))</f>
        <v>486420</v>
      </c>
      <c r="P23" s="46">
        <f t="shared" ca="1" si="1"/>
        <v>7.8404255319148939E-3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input_531010!A$2</f>
        <v>531010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IFERROR(VLOOKUP(B24,input_531010!L:R,7,FALSE),VLOOKUP(tables_531010!C24,input_531010!A:H,8,FALSE))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input_531010!A$2</f>
        <v>531010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IFERROR(VLOOKUP(B25,input_531010!L:R,7,FALSE),VLOOKUP(tables_531010!C25,input_531010!A:H,8,FALSE))</f>
        <v>486420</v>
      </c>
      <c r="P25" s="46">
        <f t="shared" ca="1" si="1"/>
        <v>7.8404255319148939E-3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input_531010!A$2</f>
        <v>531010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IFERROR(VLOOKUP(B26,input_531010!L:R,7,FALSE),VLOOKUP(tables_531010!C26,input_531010!A:H,8,FALSE))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input_531010!A$2</f>
        <v>531010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IFERROR(VLOOKUP(B27,input_531010!L:R,7,FALSE),VLOOKUP(tables_531010!C27,input_531010!A:H,8,FALSE))</f>
        <v>486420</v>
      </c>
      <c r="P27" s="46">
        <f t="shared" ca="1" si="1"/>
        <v>7.8404255319148939E-3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input_531010!A$2</f>
        <v>531010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IFERROR(VLOOKUP(B28,input_531010!L:R,7,FALSE),VLOOKUP(tables_531010!C28,input_531010!A:H,8,FALSE))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input_531010!A$2</f>
        <v>531010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IFERROR(VLOOKUP(B29,input_531010!L:R,7,FALSE),VLOOKUP(tables_531010!C29,input_531010!A:H,8,FALSE))</f>
        <v>486420</v>
      </c>
      <c r="P29" s="46">
        <f t="shared" ca="1" si="1"/>
        <v>7.8404255319148939E-3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input_531010!A$2</f>
        <v>531010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IFERROR(VLOOKUP(B30,input_531010!L:R,7,FALSE),VLOOKUP(tables_531010!C30,input_531010!A:H,8,FALSE))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input_531010!A$2</f>
        <v>531010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IFERROR(VLOOKUP(B31,input_531010!L:R,7,FALSE),VLOOKUP(tables_531010!C31,input_531010!A:H,8,FALSE))</f>
        <v>486420</v>
      </c>
      <c r="P31" s="46">
        <f t="shared" ca="1" si="1"/>
        <v>7.8404255319148939E-3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input_531010!A$2</f>
        <v>531010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IFERROR(VLOOKUP(B32,input_531010!L:R,7,FALSE),VLOOKUP(tables_531010!C32,input_531010!A:H,8,FALSE))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input_531010!A$2</f>
        <v>531010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IFERROR(VLOOKUP(B33,input_531010!L:R,7,FALSE),VLOOKUP(tables_531010!C33,input_531010!A:H,8,FALSE))</f>
        <v>486420</v>
      </c>
      <c r="P33" s="46">
        <f t="shared" ca="1" si="1"/>
        <v>7.8404255319148939E-3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input_531010!A$2</f>
        <v>531010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IFERROR(VLOOKUP(B34,input_531010!L:R,7,FALSE),VLOOKUP(tables_531010!C34,input_531010!A:H,8,FALSE))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input_531010!A$2</f>
        <v>531010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IFERROR(VLOOKUP(B35,input_531010!L:R,7,FALSE),VLOOKUP(tables_531010!C35,input_531010!A:H,8,FALSE))</f>
        <v>486420</v>
      </c>
      <c r="P35" s="46">
        <f t="shared" ca="1" si="1"/>
        <v>7.8404255319148939E-3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input_531010!A$2</f>
        <v>531010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IFERROR(VLOOKUP(B36,input_531010!L:R,7,FALSE),VLOOKUP(tables_531010!C36,input_531010!A:H,8,FALSE))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input_531010!A$2</f>
        <v>531010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IFERROR(VLOOKUP(B37,input_531010!L:R,7,FALSE),VLOOKUP(tables_531010!C37,input_531010!A:H,8,FALSE))</f>
        <v>486420</v>
      </c>
      <c r="P37" s="46">
        <f t="shared" ca="1" si="1"/>
        <v>7.8404255319148939E-3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input_531010!A$2</f>
        <v>531010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IFERROR(VLOOKUP(B38,input_531010!L:R,7,FALSE),VLOOKUP(tables_531010!C38,input_531010!A:H,8,FALSE))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input_531010!A$2</f>
        <v>531010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IFERROR(VLOOKUP(B39,input_531010!L:R,7,FALSE),VLOOKUP(tables_531010!C39,input_531010!A:H,8,FALSE))</f>
        <v>486420</v>
      </c>
      <c r="P39" s="46">
        <f t="shared" ca="1" si="1"/>
        <v>7.8404255319148939E-3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input_531010!A$2</f>
        <v>531010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IFERROR(VLOOKUP(B40,input_531010!L:R,7,FALSE),VLOOKUP(tables_531010!C40,input_531010!A:H,8,FALSE))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input_531010!A$2</f>
        <v>531010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IFERROR(VLOOKUP(B41,input_531010!L:R,7,FALSE),VLOOKUP(tables_531010!C41,input_531010!A:H,8,FALSE))</f>
        <v>486420</v>
      </c>
      <c r="P41" s="46">
        <f t="shared" ca="1" si="1"/>
        <v>7.8404255319148939E-3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input_531010!A$2</f>
        <v>531010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IFERROR(VLOOKUP(B42,input_531010!L:R,7,FALSE),VLOOKUP(tables_531010!C42,input_531010!A:H,8,FALSE))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input_531010!A$2</f>
        <v>531010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IFERROR(VLOOKUP(B43,input_531010!L:R,7,FALSE),VLOOKUP(tables_531010!C43,input_531010!A:H,8,FALSE))</f>
        <v>423522</v>
      </c>
      <c r="P43" s="46">
        <f t="shared" ca="1" si="1"/>
        <v>6.8265957446808512E-3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input_531010!A$2</f>
        <v>531010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IFERROR(VLOOKUP(B44,input_531010!L:R,7,FALSE),VLOOKUP(tables_531010!C44,input_531010!A:H,8,FALSE))</f>
        <v>31878</v>
      </c>
      <c r="P44" s="46">
        <f t="shared" ca="1" si="1"/>
        <v>5.1382978723404254E-4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input_531010!A$2</f>
        <v>531010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IFERROR(VLOOKUP(B45,input_531010!L:R,7,FALSE),VLOOKUP(tables_531010!C45,input_531010!A:H,8,FALSE))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input_531010!A$2</f>
        <v>531010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IFERROR(VLOOKUP(B46,input_531010!L:R,7,FALSE),VLOOKUP(tables_531010!C46,input_531010!A:H,8,FALSE))</f>
        <v>423522</v>
      </c>
      <c r="P46" s="46">
        <f t="shared" ca="1" si="1"/>
        <v>6.8265957446808512E-3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input_531010!A$2</f>
        <v>531010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IFERROR(VLOOKUP(B47,input_531010!L:R,7,FALSE),VLOOKUP(tables_531010!C47,input_531010!A:H,8,FALSE))</f>
        <v>31878</v>
      </c>
      <c r="P47" s="46">
        <f t="shared" ca="1" si="1"/>
        <v>5.1382978723404254E-4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input_531010!A$2</f>
        <v>531010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IFERROR(VLOOKUP(B48,input_531010!L:R,7,FALSE),VLOOKUP(tables_531010!C48,input_531010!A:H,8,FALSE))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input_531010!A$2</f>
        <v>531010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IFERROR(VLOOKUP(B49,input_531010!L:R,7,FALSE),VLOOKUP(tables_531010!C49,input_531010!A:H,8,FALSE))</f>
        <v>423522</v>
      </c>
      <c r="P49" s="46">
        <f t="shared" ca="1" si="1"/>
        <v>6.8265957446808512E-3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input_531010!A$2</f>
        <v>531010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IFERROR(VLOOKUP(B50,input_531010!L:R,7,FALSE),VLOOKUP(tables_531010!C50,input_531010!A:H,8,FALSE))</f>
        <v>31878</v>
      </c>
      <c r="P50" s="46">
        <f t="shared" ca="1" si="1"/>
        <v>5.1382978723404254E-4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input_531010!A$2</f>
        <v>531010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IFERROR(VLOOKUP(B51,input_531010!L:R,7,FALSE),VLOOKUP(tables_531010!C51,input_531010!A:H,8,FALSE))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input_531010!A$2</f>
        <v>531010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IFERROR(VLOOKUP(B52,input_531010!L:R,7,FALSE),VLOOKUP(tables_531010!C52,input_531010!A:H,8,FALSE))</f>
        <v>454061.53846000001</v>
      </c>
      <c r="P52" s="46">
        <f t="shared" ca="1" si="1"/>
        <v>7.3188513613797555E-3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input_531010!A$2</f>
        <v>531010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IFERROR(VLOOKUP(B53,input_531010!L:R,7,FALSE),VLOOKUP(tables_531010!C53,input_531010!A:H,8,FALSE))</f>
        <v>1338.46154</v>
      </c>
      <c r="P53" s="46">
        <f t="shared" ca="1" si="1"/>
        <v>2.157417053513862E-5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input_531010!A$2</f>
        <v>531010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IFERROR(VLOOKUP(B54,input_531010!L:R,7,FALSE),VLOOKUP(tables_531010!C54,input_531010!A:H,8,FALSE))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input_531010!A$2</f>
        <v>531010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IFERROR(VLOOKUP(B55,input_531010!L:R,7,FALSE),VLOOKUP(tables_531010!C55,input_531010!A:H,8,FALSE))</f>
        <v>454061.53846000001</v>
      </c>
      <c r="P55" s="46">
        <f t="shared" ca="1" si="1"/>
        <v>7.3188513613797555E-3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input_531010!A$2</f>
        <v>531010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IFERROR(VLOOKUP(B56,input_531010!L:R,7,FALSE),VLOOKUP(tables_531010!C56,input_531010!A:H,8,FALSE))</f>
        <v>1338.46154</v>
      </c>
      <c r="P56" s="46">
        <f t="shared" ca="1" si="1"/>
        <v>2.157417053513862E-5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input_531010!A$2</f>
        <v>531010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IFERROR(VLOOKUP(B57,input_531010!L:R,7,FALSE),VLOOKUP(tables_531010!C57,input_531010!A:H,8,FALSE))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input_531010!A$2</f>
        <v>531010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IFERROR(VLOOKUP(B58,input_531010!L:R,7,FALSE),VLOOKUP(tables_531010!C58,input_531010!A:H,8,FALSE))</f>
        <v>454061.53846000001</v>
      </c>
      <c r="P58" s="46">
        <f t="shared" ca="1" si="1"/>
        <v>7.3188513613797555E-3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input_531010!A$2</f>
        <v>531010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IFERROR(VLOOKUP(B59,input_531010!L:R,7,FALSE),VLOOKUP(tables_531010!C59,input_531010!A:H,8,FALSE))</f>
        <v>1338.46154</v>
      </c>
      <c r="P59" s="46">
        <f t="shared" ca="1" si="1"/>
        <v>2.157417053513862E-5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input_531010!A$2</f>
        <v>531010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IFERROR(VLOOKUP(B60,input_531010!L:R,7,FALSE),VLOOKUP(tables_531010!C60,input_531010!A:H,8,FALSE))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input_531010!A$2</f>
        <v>531010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IFERROR(VLOOKUP(B61,input_531010!L:R,7,FALSE),VLOOKUP(tables_531010!C61,input_531010!A:H,8,FALSE))</f>
        <v>454061.53846000001</v>
      </c>
      <c r="P61" s="46">
        <f t="shared" ca="1" si="1"/>
        <v>7.3188513613797555E-3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input_531010!A$2</f>
        <v>531010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IFERROR(VLOOKUP(B62,input_531010!L:R,7,FALSE),VLOOKUP(tables_531010!C62,input_531010!A:H,8,FALSE))</f>
        <v>1338.46154</v>
      </c>
      <c r="P62" s="46">
        <f t="shared" ca="1" si="1"/>
        <v>2.157417053513862E-5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input_531010!A$2</f>
        <v>531010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IFERROR(VLOOKUP(B63,input_531010!L:R,7,FALSE),VLOOKUP(tables_531010!C63,input_531010!A:H,8,FALSE))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input_531010!A$2</f>
        <v>531010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IFERROR(VLOOKUP(B64,input_531010!L:R,7,FALSE),VLOOKUP(tables_531010!C64,input_531010!A:H,8,FALSE))</f>
        <v>454061.53846000001</v>
      </c>
      <c r="P64" s="46">
        <f t="shared" ca="1" si="1"/>
        <v>7.3188513613797555E-3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input_531010!A$2</f>
        <v>531010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IFERROR(VLOOKUP(B65,input_531010!L:R,7,FALSE),VLOOKUP(tables_531010!C65,input_531010!A:H,8,FALSE))</f>
        <v>1338.46154</v>
      </c>
      <c r="P65" s="46">
        <f t="shared" ca="1" si="1"/>
        <v>2.157417053513862E-5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input_531010!A$2</f>
        <v>531010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IFERROR(VLOOKUP(B66,input_531010!L:R,7,FALSE),VLOOKUP(tables_531010!C66,input_531010!A:H,8,FALSE))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input_531010!A$2</f>
        <v>531010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IFERROR(VLOOKUP(B67,input_531010!L:R,7,FALSE),VLOOKUP(tables_531010!C67,input_531010!A:H,8,FALSE))</f>
        <v>454061.53846000001</v>
      </c>
      <c r="P67" s="46">
        <f t="shared" ca="1" si="4"/>
        <v>7.3188513613797555E-3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input_531010!A$2</f>
        <v>531010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IFERROR(VLOOKUP(B68,input_531010!L:R,7,FALSE),VLOOKUP(tables_531010!C68,input_531010!A:H,8,FALSE))</f>
        <v>1338.46154</v>
      </c>
      <c r="P68" s="46">
        <f t="shared" ca="1" si="4"/>
        <v>2.157417053513862E-5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input_531010!A$2</f>
        <v>531010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IFERROR(VLOOKUP(B69,input_531010!L:R,7,FALSE),VLOOKUP(tables_531010!C69,input_531010!A:H,8,FALSE))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input_531010!A$2</f>
        <v>531010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IFERROR(VLOOKUP(B70,input_531010!L:R,7,FALSE),VLOOKUP(tables_531010!C70,input_531010!A:H,8,FALSE))</f>
        <v>454061.53846000001</v>
      </c>
      <c r="P70" s="46">
        <f t="shared" ca="1" si="4"/>
        <v>7.3188513613797555E-3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input_531010!A$2</f>
        <v>531010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IFERROR(VLOOKUP(B71,input_531010!L:R,7,FALSE),VLOOKUP(tables_531010!C71,input_531010!A:H,8,FALSE))</f>
        <v>1338.46154</v>
      </c>
      <c r="P71" s="46">
        <f t="shared" ca="1" si="4"/>
        <v>2.157417053513862E-5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input_531010!A$2</f>
        <v>531010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IFERROR(VLOOKUP(B72,input_531010!L:R,7,FALSE),VLOOKUP(tables_531010!C72,input_531010!A:H,8,FALSE))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input_531010!A$2</f>
        <v>531010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IFERROR(VLOOKUP(B73,input_531010!L:R,7,FALSE),VLOOKUP(tables_531010!C73,input_531010!A:H,8,FALSE))</f>
        <v>454061.53846000001</v>
      </c>
      <c r="P73" s="46">
        <f t="shared" ca="1" si="4"/>
        <v>7.3188513613797555E-3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input_531010!A$2</f>
        <v>531010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IFERROR(VLOOKUP(B74,input_531010!L:R,7,FALSE),VLOOKUP(tables_531010!C74,input_531010!A:H,8,FALSE))</f>
        <v>1338.46154</v>
      </c>
      <c r="P74" s="46">
        <f t="shared" ca="1" si="4"/>
        <v>2.157417053513862E-5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input_531010!A$2</f>
        <v>531010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IFERROR(VLOOKUP(B75,input_531010!L:R,7,FALSE),VLOOKUP(tables_531010!C75,input_531010!A:H,8,FALSE))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input_531010!A$2</f>
        <v>531010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IFERROR(VLOOKUP(B76,input_531010!L:R,7,FALSE),VLOOKUP(tables_531010!C76,input_531010!A:H,8,FALSE))</f>
        <v>454061.53846000001</v>
      </c>
      <c r="P76" s="46">
        <f t="shared" ca="1" si="4"/>
        <v>7.3188513613797555E-3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input_531010!A$2</f>
        <v>531010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IFERROR(VLOOKUP(B77,input_531010!L:R,7,FALSE),VLOOKUP(tables_531010!C77,input_531010!A:H,8,FALSE))</f>
        <v>1338.46154</v>
      </c>
      <c r="P77" s="46">
        <f t="shared" ca="1" si="4"/>
        <v>2.157417053513862E-5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input_531010!A$2</f>
        <v>531010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IFERROR(VLOOKUP(B78,input_531010!L:R,7,FALSE),VLOOKUP(tables_531010!C78,input_531010!A:H,8,FALSE))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input_531010!A$2</f>
        <v>531010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IFERROR(VLOOKUP(B79,input_531010!L:R,7,FALSE),VLOOKUP(tables_531010!C79,input_531010!A:H,8,FALSE))</f>
        <v>454061.53846000001</v>
      </c>
      <c r="P79" s="46">
        <f t="shared" ca="1" si="4"/>
        <v>7.3188513613797555E-3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input_531010!A$2</f>
        <v>531010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IFERROR(VLOOKUP(B80,input_531010!L:R,7,FALSE),VLOOKUP(tables_531010!C80,input_531010!A:H,8,FALSE))</f>
        <v>1338.46154</v>
      </c>
      <c r="P80" s="46">
        <f t="shared" ca="1" si="4"/>
        <v>2.157417053513862E-5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input_531010!A$2</f>
        <v>531010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IFERROR(VLOOKUP(B81,input_531010!L:R,7,FALSE),VLOOKUP(tables_531010!C81,input_531010!A:H,8,FALSE))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input_531010!A$2</f>
        <v>531010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IFERROR(VLOOKUP(B82,input_531010!L:R,7,FALSE),VLOOKUP(tables_531010!C82,input_531010!A:H,8,FALSE))</f>
        <v>454061.53846000001</v>
      </c>
      <c r="P82" s="46">
        <f t="shared" ca="1" si="4"/>
        <v>7.3188513613797555E-3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input_531010!A$2</f>
        <v>531010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IFERROR(VLOOKUP(B83,input_531010!L:R,7,FALSE),VLOOKUP(tables_531010!C83,input_531010!A:H,8,FALSE))</f>
        <v>1338.46154</v>
      </c>
      <c r="P83" s="46">
        <f t="shared" ca="1" si="4"/>
        <v>2.157417053513862E-5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input_531010!A$2</f>
        <v>531010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IFERROR(VLOOKUP(B84,input_531010!L:R,7,FALSE),VLOOKUP(tables_531010!C84,input_531010!A:H,8,FALSE))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input_531010!A$2</f>
        <v>531010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IFERROR(VLOOKUP(B85,input_531010!L:R,7,FALSE),VLOOKUP(tables_531010!C85,input_531010!A:H,8,FALSE))</f>
        <v>454061.53846000001</v>
      </c>
      <c r="P85" s="46">
        <f t="shared" ca="1" si="4"/>
        <v>7.3188513613797555E-3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input_531010!A$2</f>
        <v>531010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IFERROR(VLOOKUP(B86,input_531010!L:R,7,FALSE),VLOOKUP(tables_531010!C86,input_531010!A:H,8,FALSE))</f>
        <v>1338.46154</v>
      </c>
      <c r="P86" s="46">
        <f t="shared" ca="1" si="4"/>
        <v>2.157417053513862E-5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input_531010!A$2</f>
        <v>531010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IFERROR(VLOOKUP(B87,input_531010!L:R,7,FALSE),VLOOKUP(tables_531010!C87,input_531010!A:H,8,FALSE))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input_531010!A$2</f>
        <v>531010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IFERROR(VLOOKUP(B88,input_531010!L:R,7,FALSE),VLOOKUP(tables_531010!C88,input_531010!A:H,8,FALSE))</f>
        <v>454061.53846000001</v>
      </c>
      <c r="P88" s="46">
        <f t="shared" ca="1" si="4"/>
        <v>7.3188513613797555E-3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input_531010!A$2</f>
        <v>531010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IFERROR(VLOOKUP(B89,input_531010!L:R,7,FALSE),VLOOKUP(tables_531010!C89,input_531010!A:H,8,FALSE))</f>
        <v>1338.46154</v>
      </c>
      <c r="P89" s="46">
        <f t="shared" ca="1" si="4"/>
        <v>2.157417053513862E-5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input_531010!A$2</f>
        <v>531010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IFERROR(VLOOKUP(B90,input_531010!L:R,7,FALSE),VLOOKUP(tables_531010!C90,input_531010!A:H,8,FALSE))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input_531010!A$2</f>
        <v>531010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IFERROR(VLOOKUP(B91,input_531010!L:R,7,FALSE),VLOOKUP(tables_531010!C91,input_531010!A:H,8,FALSE))</f>
        <v>454061.53846000001</v>
      </c>
      <c r="P91" s="46">
        <f t="shared" ca="1" si="4"/>
        <v>7.3188513613797555E-3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input_531010!A$2</f>
        <v>531010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IFERROR(VLOOKUP(B92,input_531010!L:R,7,FALSE),VLOOKUP(tables_531010!C92,input_531010!A:H,8,FALSE))</f>
        <v>1338.46154</v>
      </c>
      <c r="P92" s="46">
        <f t="shared" ca="1" si="4"/>
        <v>2.157417053513862E-5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input_531010!A$2</f>
        <v>531010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IFERROR(VLOOKUP(B93,input_531010!L:R,7,FALSE),VLOOKUP(tables_531010!C93,input_531010!A:H,8,FALSE))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input_531010!A$2</f>
        <v>531010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IFERROR(VLOOKUP(B94,input_531010!L:R,7,FALSE),VLOOKUP(tables_531010!C94,input_531010!A:H,8,FALSE))</f>
        <v>454061.53846000001</v>
      </c>
      <c r="P94" s="46">
        <f t="shared" ca="1" si="4"/>
        <v>7.3188513613797555E-3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input_531010!A$2</f>
        <v>531010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IFERROR(VLOOKUP(B95,input_531010!L:R,7,FALSE),VLOOKUP(tables_531010!C95,input_531010!A:H,8,FALSE))</f>
        <v>1338.46154</v>
      </c>
      <c r="P95" s="46">
        <f t="shared" ca="1" si="4"/>
        <v>2.157417053513862E-5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input_531010!A$2</f>
        <v>531010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IFERROR(VLOOKUP(B96,input_531010!L:R,7,FALSE),VLOOKUP(tables_531010!C96,input_531010!A:H,8,FALSE))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input_531010!A$2</f>
        <v>531010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IFERROR(VLOOKUP(B97,input_531010!L:R,7,FALSE),VLOOKUP(tables_531010!C97,input_531010!A:H,8,FALSE))</f>
        <v>454061.53846000001</v>
      </c>
      <c r="P97" s="46">
        <f t="shared" ca="1" si="4"/>
        <v>7.3188513613797555E-3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input_531010!A$2</f>
        <v>531010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IFERROR(VLOOKUP(B98,input_531010!L:R,7,FALSE),VLOOKUP(tables_531010!C98,input_531010!A:H,8,FALSE))</f>
        <v>1338.46154</v>
      </c>
      <c r="P98" s="46">
        <f t="shared" ca="1" si="4"/>
        <v>2.157417053513862E-5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input_531010!A$2</f>
        <v>531010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IFERROR(VLOOKUP(B99,input_531010!L:R,7,FALSE),VLOOKUP(tables_531010!C99,input_531010!A:H,8,FALSE))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input_531010!A$2</f>
        <v>531010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IFERROR(VLOOKUP(B100,input_531010!L:R,7,FALSE),VLOOKUP(tables_531010!C100,input_531010!A:H,8,FALSE))</f>
        <v>454061.53846000001</v>
      </c>
      <c r="P100" s="46">
        <f t="shared" ca="1" si="4"/>
        <v>7.3188513613797555E-3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input_531010!A$2</f>
        <v>531010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IFERROR(VLOOKUP(B101,input_531010!L:R,7,FALSE),VLOOKUP(tables_531010!C101,input_531010!A:H,8,FALSE))</f>
        <v>1338.46154</v>
      </c>
      <c r="P101" s="46">
        <f t="shared" ca="1" si="4"/>
        <v>2.157417053513862E-5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input_531010!A$2</f>
        <v>531010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IFERROR(VLOOKUP(B102,input_531010!L:R,7,FALSE),VLOOKUP(tables_531010!C102,input_531010!A:H,8,FALSE))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input_531010!A$2</f>
        <v>531010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IFERROR(VLOOKUP(B103,input_531010!L:R,7,FALSE),VLOOKUP(tables_531010!C103,input_531010!A:H,8,FALSE))</f>
        <v>454061.53846000001</v>
      </c>
      <c r="P103" s="46">
        <f t="shared" ca="1" si="4"/>
        <v>7.3188513613797555E-3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input_531010!A$2</f>
        <v>531010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IFERROR(VLOOKUP(B104,input_531010!L:R,7,FALSE),VLOOKUP(tables_531010!C104,input_531010!A:H,8,FALSE))</f>
        <v>1338.46154</v>
      </c>
      <c r="P104" s="46">
        <f t="shared" ca="1" si="4"/>
        <v>2.157417053513862E-5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input_531010!A$2</f>
        <v>531010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IFERROR(VLOOKUP(B105,input_531010!L:R,7,FALSE),VLOOKUP(tables_531010!C105,input_531010!A:H,8,FALSE))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input_531010!A$2</f>
        <v>531010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IFERROR(VLOOKUP(B106,input_531010!L:R,7,FALSE),VLOOKUP(tables_531010!C106,input_531010!A:H,8,FALSE))</f>
        <v>454061.53846000001</v>
      </c>
      <c r="P106" s="46">
        <f t="shared" ca="1" si="4"/>
        <v>7.3188513613797555E-3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input_531010!A$2</f>
        <v>531010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IFERROR(VLOOKUP(B107,input_531010!L:R,7,FALSE),VLOOKUP(tables_531010!C107,input_531010!A:H,8,FALSE))</f>
        <v>1338.46154</v>
      </c>
      <c r="P107" s="46">
        <f t="shared" ca="1" si="4"/>
        <v>2.157417053513862E-5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input_531010!A$2</f>
        <v>531010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IFERROR(VLOOKUP(B108,input_531010!L:R,7,FALSE),VLOOKUP(tables_531010!C108,input_531010!A:H,8,FALSE))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input_531010!A$2</f>
        <v>531010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IFERROR(VLOOKUP(B109,input_531010!L:R,7,FALSE),VLOOKUP(tables_531010!C109,input_531010!A:H,8,FALSE))</f>
        <v>454061.53846000001</v>
      </c>
      <c r="P109" s="46">
        <f t="shared" ca="1" si="4"/>
        <v>7.3188513613797555E-3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input_531010!A$2</f>
        <v>531010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IFERROR(VLOOKUP(B110,input_531010!L:R,7,FALSE),VLOOKUP(tables_531010!C110,input_531010!A:H,8,FALSE))</f>
        <v>1338.46154</v>
      </c>
      <c r="P110" s="46">
        <f t="shared" ca="1" si="4"/>
        <v>2.157417053513862E-5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input_531010!A$2</f>
        <v>531010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IFERROR(VLOOKUP(B111,input_531010!L:R,7,FALSE),VLOOKUP(tables_531010!C111,input_531010!A:H,8,FALSE))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input_531010!A$2</f>
        <v>531010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IFERROR(VLOOKUP(B112,input_531010!L:R,7,FALSE),VLOOKUP(tables_531010!C112,input_531010!A:H,8,FALSE))</f>
        <v>423522</v>
      </c>
      <c r="P112" s="46">
        <f t="shared" ca="1" si="4"/>
        <v>6.8265957446808512E-3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input_531010!A$2</f>
        <v>531010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IFERROR(VLOOKUP(B113,input_531010!L:R,7,FALSE),VLOOKUP(tables_531010!C113,input_531010!A:H,8,FALSE))</f>
        <v>31878</v>
      </c>
      <c r="P113" s="46">
        <f t="shared" ca="1" si="4"/>
        <v>5.1382978723404254E-4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input_531010!A$2</f>
        <v>531010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IFERROR(VLOOKUP(B114,input_531010!L:R,7,FALSE),VLOOKUP(tables_531010!C114,input_531010!A:H,8,FALSE))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input_531010!A$2</f>
        <v>531010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IFERROR(VLOOKUP(B115,input_531010!L:R,7,FALSE),VLOOKUP(tables_531010!C115,input_531010!A:H,8,FALSE))</f>
        <v>454061.53846000001</v>
      </c>
      <c r="P115" s="46">
        <f t="shared" ca="1" si="4"/>
        <v>7.3188513613797555E-3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input_531010!A$2</f>
        <v>531010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IFERROR(VLOOKUP(B116,input_531010!L:R,7,FALSE),VLOOKUP(tables_531010!C116,input_531010!A:H,8,FALSE))</f>
        <v>1338.46154</v>
      </c>
      <c r="P116" s="46">
        <f t="shared" ca="1" si="4"/>
        <v>2.157417053513862E-5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input_531010!A$2</f>
        <v>531010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IFERROR(VLOOKUP(B117,input_531010!L:R,7,FALSE),VLOOKUP(tables_531010!C117,input_531010!A:H,8,FALSE))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input_531010!A$2</f>
        <v>531010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IFERROR(VLOOKUP(B118,input_531010!L:R,7,FALSE),VLOOKUP(tables_531010!C118,input_531010!A:H,8,FALSE))</f>
        <v>454061.53846000001</v>
      </c>
      <c r="P118" s="46">
        <f t="shared" ca="1" si="4"/>
        <v>7.3188513613797555E-3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input_531010!A$2</f>
        <v>531010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IFERROR(VLOOKUP(B119,input_531010!L:R,7,FALSE),VLOOKUP(tables_531010!C119,input_531010!A:H,8,FALSE))</f>
        <v>1338.46154</v>
      </c>
      <c r="P119" s="46">
        <f t="shared" ca="1" si="4"/>
        <v>2.157417053513862E-5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input_531010!A$2</f>
        <v>531010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IFERROR(VLOOKUP(B120,input_531010!L:R,7,FALSE),VLOOKUP(tables_531010!C120,input_531010!A:H,8,FALSE))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input_531010!A$2</f>
        <v>531010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IFERROR(VLOOKUP(B121,input_531010!L:R,7,FALSE),VLOOKUP(tables_531010!C121,input_531010!A:H,8,FALSE))</f>
        <v>454061.53846000001</v>
      </c>
      <c r="P121" s="46">
        <f t="shared" ca="1" si="4"/>
        <v>7.3188513613797555E-3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input_531010!A$2</f>
        <v>531010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IFERROR(VLOOKUP(B122,input_531010!L:R,7,FALSE),VLOOKUP(tables_531010!C122,input_531010!A:H,8,FALSE))</f>
        <v>1338.46154</v>
      </c>
      <c r="P122" s="46">
        <f t="shared" ca="1" si="4"/>
        <v>2.157417053513862E-5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input_531010!A$2</f>
        <v>531010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IFERROR(VLOOKUP(B123,input_531010!L:R,7,FALSE),VLOOKUP(tables_531010!C123,input_531010!A:H,8,FALSE))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input_531010!A$2</f>
        <v>531010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IFERROR(VLOOKUP(B124,input_531010!L:R,7,FALSE),VLOOKUP(tables_531010!C124,input_531010!A:H,8,FALSE))</f>
        <v>454061.53846000001</v>
      </c>
      <c r="P124" s="46">
        <f t="shared" ca="1" si="4"/>
        <v>7.3188513613797555E-3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input_531010!A$2</f>
        <v>531010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IFERROR(VLOOKUP(B125,input_531010!L:R,7,FALSE),VLOOKUP(tables_531010!C125,input_531010!A:H,8,FALSE))</f>
        <v>1338.46154</v>
      </c>
      <c r="P125" s="46">
        <f t="shared" ca="1" si="4"/>
        <v>2.157417053513862E-5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input_531010!A$2</f>
        <v>531010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IFERROR(VLOOKUP(B126,input_531010!L:R,7,FALSE),VLOOKUP(tables_531010!C126,input_531010!A:H,8,FALSE))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input_531010!A$2</f>
        <v>531010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IFERROR(VLOOKUP(B127,input_531010!L:R,7,FALSE),VLOOKUP(tables_531010!C127,input_531010!A:H,8,FALSE))</f>
        <v>454061.53846000001</v>
      </c>
      <c r="P127" s="46">
        <f t="shared" ca="1" si="4"/>
        <v>7.3188513613797555E-3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input_531010!A$2</f>
        <v>531010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IFERROR(VLOOKUP(B128,input_531010!L:R,7,FALSE),VLOOKUP(tables_531010!C128,input_531010!A:H,8,FALSE))</f>
        <v>1338.46154</v>
      </c>
      <c r="P128" s="46">
        <f t="shared" ca="1" si="4"/>
        <v>2.157417053513862E-5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input_531010!A$2</f>
        <v>531010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IFERROR(VLOOKUP(B129,input_531010!L:R,7,FALSE),VLOOKUP(tables_531010!C129,input_531010!A:H,8,FALSE))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input_531010!A$2</f>
        <v>531010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IFERROR(VLOOKUP(B130,input_531010!L:R,7,FALSE),VLOOKUP(tables_531010!C130,input_531010!A:H,8,FALSE))</f>
        <v>454061.53846000001</v>
      </c>
      <c r="P130" s="46">
        <f t="shared" ref="P130:P193" ca="1" si="7">O130/SUM(O:O)</f>
        <v>7.3188513613797555E-3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input_531010!A$2</f>
        <v>531010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IFERROR(VLOOKUP(B131,input_531010!L:R,7,FALSE),VLOOKUP(tables_531010!C131,input_531010!A:H,8,FALSE))</f>
        <v>1338.46154</v>
      </c>
      <c r="P131" s="46">
        <f t="shared" ca="1" si="7"/>
        <v>2.157417053513862E-5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input_531010!A$2</f>
        <v>531010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IFERROR(VLOOKUP(B132,input_531010!L:R,7,FALSE),VLOOKUP(tables_531010!C132,input_531010!A:H,8,FALSE))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input_531010!A$2</f>
        <v>531010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IFERROR(VLOOKUP(B133,input_531010!L:R,7,FALSE),VLOOKUP(tables_531010!C133,input_531010!A:H,8,FALSE))</f>
        <v>454061.53846000001</v>
      </c>
      <c r="P133" s="46">
        <f t="shared" ca="1" si="7"/>
        <v>7.3188513613797555E-3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input_531010!A$2</f>
        <v>531010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IFERROR(VLOOKUP(B134,input_531010!L:R,7,FALSE),VLOOKUP(tables_531010!C134,input_531010!A:H,8,FALSE))</f>
        <v>1338.46154</v>
      </c>
      <c r="P134" s="46">
        <f t="shared" ca="1" si="7"/>
        <v>2.157417053513862E-5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input_531010!A$2</f>
        <v>531010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IFERROR(VLOOKUP(B135,input_531010!L:R,7,FALSE),VLOOKUP(tables_531010!C135,input_531010!A:H,8,FALSE))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input_531010!A$2</f>
        <v>531010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IFERROR(VLOOKUP(B136,input_531010!L:R,7,FALSE),VLOOKUP(tables_531010!C136,input_531010!A:H,8,FALSE))</f>
        <v>454061.53846000001</v>
      </c>
      <c r="P136" s="46">
        <f t="shared" ca="1" si="7"/>
        <v>7.3188513613797555E-3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input_531010!A$2</f>
        <v>531010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IFERROR(VLOOKUP(B137,input_531010!L:R,7,FALSE),VLOOKUP(tables_531010!C137,input_531010!A:H,8,FALSE))</f>
        <v>1338.46154</v>
      </c>
      <c r="P137" s="46">
        <f t="shared" ca="1" si="7"/>
        <v>2.157417053513862E-5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input_531010!A$2</f>
        <v>531010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IFERROR(VLOOKUP(B138,input_531010!L:R,7,FALSE),VLOOKUP(tables_531010!C138,input_531010!A:H,8,FALSE))</f>
        <v>78678</v>
      </c>
      <c r="P138" s="46">
        <f t="shared" ca="1" si="7"/>
        <v>1.2681818181818183E-3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input_531010!A$2</f>
        <v>531010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IFERROR(VLOOKUP(B139,input_531010!L:R,7,FALSE),VLOOKUP(tables_531010!C139,input_531010!A:H,8,FALSE))</f>
        <v>5922</v>
      </c>
      <c r="P139" s="46">
        <f t="shared" ca="1" si="7"/>
        <v>9.5454545454545461E-5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input_531010!A$2</f>
        <v>531010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IFERROR(VLOOKUP(B140,input_531010!L:R,7,FALSE),VLOOKUP(tables_531010!C140,input_531010!A:H,8,FALSE))</f>
        <v>78678</v>
      </c>
      <c r="P140" s="46">
        <f t="shared" ca="1" si="7"/>
        <v>1.2681818181818183E-3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input_531010!A$2</f>
        <v>531010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IFERROR(VLOOKUP(B141,input_531010!L:R,7,FALSE),VLOOKUP(tables_531010!C141,input_531010!A:H,8,FALSE))</f>
        <v>5922</v>
      </c>
      <c r="P141" s="46">
        <f t="shared" ca="1" si="7"/>
        <v>9.5454545454545461E-5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input_531010!A$2</f>
        <v>531010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IFERROR(VLOOKUP(B142,input_531010!L:R,7,FALSE),VLOOKUP(tables_531010!C142,input_531010!A:H,8,FALSE))</f>
        <v>78678</v>
      </c>
      <c r="P142" s="46">
        <f t="shared" ca="1" si="7"/>
        <v>1.2681818181818183E-3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input_531010!A$2</f>
        <v>531010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IFERROR(VLOOKUP(B143,input_531010!L:R,7,FALSE),VLOOKUP(tables_531010!C143,input_531010!A:H,8,FALSE))</f>
        <v>5922</v>
      </c>
      <c r="P143" s="46">
        <f t="shared" ca="1" si="7"/>
        <v>9.5454545454545461E-5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input_531010!A$2</f>
        <v>531010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IFERROR(VLOOKUP(B144,input_531010!L:R,7,FALSE),VLOOKUP(tables_531010!C144,input_531010!A:H,8,FALSE))</f>
        <v>78678</v>
      </c>
      <c r="P144" s="46">
        <f t="shared" ca="1" si="7"/>
        <v>1.2681818181818183E-3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input_531010!A$2</f>
        <v>531010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IFERROR(VLOOKUP(B145,input_531010!L:R,7,FALSE),VLOOKUP(tables_531010!C145,input_531010!A:H,8,FALSE))</f>
        <v>5922</v>
      </c>
      <c r="P145" s="46">
        <f t="shared" ca="1" si="7"/>
        <v>9.5454545454545461E-5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input_531010!A$2</f>
        <v>531010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IFERROR(VLOOKUP(B146,input_531010!L:R,7,FALSE),VLOOKUP(tables_531010!C146,input_531010!A:H,8,FALSE))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input_531010!A$2</f>
        <v>531010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IFERROR(VLOOKUP(B147,input_531010!L:R,7,FALSE),VLOOKUP(tables_531010!C147,input_531010!A:H,8,FALSE))</f>
        <v>454061.53846000001</v>
      </c>
      <c r="P147" s="46">
        <f t="shared" ca="1" si="7"/>
        <v>7.3188513613797555E-3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input_531010!A$2</f>
        <v>531010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IFERROR(VLOOKUP(B148,input_531010!L:R,7,FALSE),VLOOKUP(tables_531010!C148,input_531010!A:H,8,FALSE))</f>
        <v>1338.46154</v>
      </c>
      <c r="P148" s="46">
        <f t="shared" ca="1" si="7"/>
        <v>2.157417053513862E-5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input_531010!A$2</f>
        <v>531010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IFERROR(VLOOKUP(B149,input_531010!L:R,7,FALSE),VLOOKUP(tables_531010!C149,input_531010!A:H,8,FALSE))</f>
        <v>78678</v>
      </c>
      <c r="P149" s="46">
        <f t="shared" ca="1" si="7"/>
        <v>1.2681818181818183E-3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input_531010!A$2</f>
        <v>531010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IFERROR(VLOOKUP(B150,input_531010!L:R,7,FALSE),VLOOKUP(tables_531010!C150,input_531010!A:H,8,FALSE))</f>
        <v>5922</v>
      </c>
      <c r="P150" s="46">
        <f t="shared" ca="1" si="7"/>
        <v>9.5454545454545461E-5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input_531010!A$2</f>
        <v>531010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IFERROR(VLOOKUP(B151,input_531010!L:R,7,FALSE),VLOOKUP(tables_531010!C151,input_531010!A:H,8,FALSE))</f>
        <v>78678</v>
      </c>
      <c r="P151" s="46">
        <f t="shared" ca="1" si="7"/>
        <v>1.2681818181818183E-3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input_531010!A$2</f>
        <v>531010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IFERROR(VLOOKUP(B152,input_531010!L:R,7,FALSE),VLOOKUP(tables_531010!C152,input_531010!A:H,8,FALSE))</f>
        <v>5922</v>
      </c>
      <c r="P152" s="46">
        <f t="shared" ca="1" si="7"/>
        <v>9.5454545454545461E-5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input_531010!A$2</f>
        <v>531010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IFERROR(VLOOKUP(B153,input_531010!L:R,7,FALSE),VLOOKUP(tables_531010!C153,input_531010!A:H,8,FALSE))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input_531010!A$2</f>
        <v>531010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IFERROR(VLOOKUP(B154,input_531010!L:R,7,FALSE),VLOOKUP(tables_531010!C154,input_531010!A:H,8,FALSE))</f>
        <v>454061.53846000001</v>
      </c>
      <c r="P154" s="46">
        <f t="shared" ca="1" si="7"/>
        <v>7.3188513613797555E-3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input_531010!A$2</f>
        <v>531010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IFERROR(VLOOKUP(B155,input_531010!L:R,7,FALSE),VLOOKUP(tables_531010!C155,input_531010!A:H,8,FALSE))</f>
        <v>1338.46154</v>
      </c>
      <c r="P155" s="46">
        <f t="shared" ca="1" si="7"/>
        <v>2.157417053513862E-5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input_531010!A$2</f>
        <v>531010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IFERROR(VLOOKUP(B156,input_531010!L:R,7,FALSE),VLOOKUP(tables_531010!C156,input_531010!A:H,8,FALSE))</f>
        <v>78678</v>
      </c>
      <c r="P156" s="46">
        <f t="shared" ca="1" si="7"/>
        <v>1.2681818181818183E-3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input_531010!A$2</f>
        <v>531010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IFERROR(VLOOKUP(B157,input_531010!L:R,7,FALSE),VLOOKUP(tables_531010!C157,input_531010!A:H,8,FALSE))</f>
        <v>5922</v>
      </c>
      <c r="P157" s="46">
        <f t="shared" ca="1" si="7"/>
        <v>9.5454545454545461E-5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input_531010!A$2</f>
        <v>531010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IFERROR(VLOOKUP(B158,input_531010!L:R,7,FALSE),VLOOKUP(tables_531010!C158,input_531010!A:H,8,FALSE))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input_531010!A$2</f>
        <v>531010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IFERROR(VLOOKUP(B159,input_531010!L:R,7,FALSE),VLOOKUP(tables_531010!C159,input_531010!A:H,8,FALSE))</f>
        <v>454061.53846000001</v>
      </c>
      <c r="P159" s="46">
        <f t="shared" ca="1" si="7"/>
        <v>7.3188513613797555E-3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input_531010!A$2</f>
        <v>531010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IFERROR(VLOOKUP(B160,input_531010!L:R,7,FALSE),VLOOKUP(tables_531010!C160,input_531010!A:H,8,FALSE))</f>
        <v>1338.46154</v>
      </c>
      <c r="P160" s="46">
        <f t="shared" ca="1" si="7"/>
        <v>2.157417053513862E-5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input_531010!A$2</f>
        <v>531010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IFERROR(VLOOKUP(B161,input_531010!L:R,7,FALSE),VLOOKUP(tables_531010!C161,input_531010!A:H,8,FALSE))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input_531010!A$2</f>
        <v>531010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IFERROR(VLOOKUP(B162,input_531010!L:R,7,FALSE),VLOOKUP(tables_531010!C162,input_531010!A:H,8,FALSE))</f>
        <v>454061.53846000001</v>
      </c>
      <c r="P162" s="46">
        <f t="shared" ca="1" si="7"/>
        <v>7.3188513613797555E-3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input_531010!A$2</f>
        <v>531010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IFERROR(VLOOKUP(B163,input_531010!L:R,7,FALSE),VLOOKUP(tables_531010!C163,input_531010!A:H,8,FALSE))</f>
        <v>1338.46154</v>
      </c>
      <c r="P163" s="46">
        <f t="shared" ca="1" si="7"/>
        <v>2.157417053513862E-5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input_531010!A$2</f>
        <v>531010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IFERROR(VLOOKUP(B164,input_531010!L:R,7,FALSE),VLOOKUP(tables_531010!C164,input_531010!A:H,8,FALSE))</f>
        <v>78678</v>
      </c>
      <c r="P164" s="46">
        <f t="shared" ca="1" si="7"/>
        <v>1.2681818181818183E-3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input_531010!A$2</f>
        <v>531010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IFERROR(VLOOKUP(B165,input_531010!L:R,7,FALSE),VLOOKUP(tables_531010!C165,input_531010!A:H,8,FALSE))</f>
        <v>5922</v>
      </c>
      <c r="P165" s="46">
        <f t="shared" ca="1" si="7"/>
        <v>9.5454545454545461E-5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input_531010!A$2</f>
        <v>531010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IFERROR(VLOOKUP(B166,input_531010!L:R,7,FALSE),VLOOKUP(tables_531010!C166,input_531010!A:H,8,FALSE))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input_531010!A$2</f>
        <v>531010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IFERROR(VLOOKUP(B167,input_531010!L:R,7,FALSE),VLOOKUP(tables_531010!C167,input_531010!A:H,8,FALSE))</f>
        <v>454061.53846000001</v>
      </c>
      <c r="P167" s="46">
        <f t="shared" ca="1" si="7"/>
        <v>7.3188513613797555E-3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input_531010!A$2</f>
        <v>531010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IFERROR(VLOOKUP(B168,input_531010!L:R,7,FALSE),VLOOKUP(tables_531010!C168,input_531010!A:H,8,FALSE))</f>
        <v>1338.46154</v>
      </c>
      <c r="P168" s="46">
        <f t="shared" ca="1" si="7"/>
        <v>2.157417053513862E-5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input_531010!A$2</f>
        <v>531010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IFERROR(VLOOKUP(B169,input_531010!L:R,7,FALSE),VLOOKUP(tables_531010!C169,input_531010!A:H,8,FALSE))</f>
        <v>78678</v>
      </c>
      <c r="P169" s="46">
        <f t="shared" ca="1" si="7"/>
        <v>1.2681818181818183E-3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input_531010!A$2</f>
        <v>531010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IFERROR(VLOOKUP(B170,input_531010!L:R,7,FALSE),VLOOKUP(tables_531010!C170,input_531010!A:H,8,FALSE))</f>
        <v>5922</v>
      </c>
      <c r="P170" s="46">
        <f t="shared" ca="1" si="7"/>
        <v>9.5454545454545461E-5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input_531010!A$2</f>
        <v>531010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IFERROR(VLOOKUP(B171,input_531010!L:R,7,FALSE),VLOOKUP(tables_531010!C171,input_531010!A:H,8,FALSE))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input_531010!A$2</f>
        <v>531010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IFERROR(VLOOKUP(B172,input_531010!L:R,7,FALSE),VLOOKUP(tables_531010!C172,input_531010!A:H,8,FALSE))</f>
        <v>454061.53846000001</v>
      </c>
      <c r="P172" s="46">
        <f t="shared" ca="1" si="7"/>
        <v>7.3188513613797555E-3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input_531010!A$2</f>
        <v>531010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IFERROR(VLOOKUP(B173,input_531010!L:R,7,FALSE),VLOOKUP(tables_531010!C173,input_531010!A:H,8,FALSE))</f>
        <v>1338.46154</v>
      </c>
      <c r="P173" s="46">
        <f t="shared" ca="1" si="7"/>
        <v>2.157417053513862E-5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input_531010!A$2</f>
        <v>531010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IFERROR(VLOOKUP(B174,input_531010!L:R,7,FALSE),VLOOKUP(tables_531010!C174,input_531010!A:H,8,FALSE))</f>
        <v>78678</v>
      </c>
      <c r="P174" s="46">
        <f t="shared" ca="1" si="7"/>
        <v>1.2681818181818183E-3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input_531010!A$2</f>
        <v>531010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IFERROR(VLOOKUP(B175,input_531010!L:R,7,FALSE),VLOOKUP(tables_531010!C175,input_531010!A:H,8,FALSE))</f>
        <v>5922</v>
      </c>
      <c r="P175" s="46">
        <f t="shared" ca="1" si="7"/>
        <v>9.5454545454545461E-5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input_531010!A$2</f>
        <v>531010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IFERROR(VLOOKUP(B176,input_531010!L:R,7,FALSE),VLOOKUP(tables_531010!C176,input_531010!A:H,8,FALSE))</f>
        <v>78678</v>
      </c>
      <c r="P176" s="46">
        <f t="shared" ca="1" si="7"/>
        <v>1.2681818181818183E-3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input_531010!A$2</f>
        <v>531010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IFERROR(VLOOKUP(B177,input_531010!L:R,7,FALSE),VLOOKUP(tables_531010!C177,input_531010!A:H,8,FALSE))</f>
        <v>5922</v>
      </c>
      <c r="P177" s="46">
        <f t="shared" ca="1" si="7"/>
        <v>9.5454545454545461E-5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input_531010!A$2</f>
        <v>531010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IFERROR(VLOOKUP(B178,input_531010!L:R,7,FALSE),VLOOKUP(tables_531010!C178,input_531010!A:H,8,FALSE))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input_531010!A$2</f>
        <v>531010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IFERROR(VLOOKUP(B179,input_531010!L:R,7,FALSE),VLOOKUP(tables_531010!C179,input_531010!A:H,8,FALSE))</f>
        <v>454061.53846000001</v>
      </c>
      <c r="P179" s="46">
        <f t="shared" ca="1" si="7"/>
        <v>7.3188513613797555E-3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input_531010!A$2</f>
        <v>531010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IFERROR(VLOOKUP(B180,input_531010!L:R,7,FALSE),VLOOKUP(tables_531010!C180,input_531010!A:H,8,FALSE))</f>
        <v>1338.46154</v>
      </c>
      <c r="P180" s="46">
        <f t="shared" ca="1" si="7"/>
        <v>2.157417053513862E-5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input_531010!A$2</f>
        <v>531010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IFERROR(VLOOKUP(B181,input_531010!L:R,7,FALSE),VLOOKUP(tables_531010!C181,input_531010!A:H,8,FALSE))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input_531010!A$2</f>
        <v>531010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IFERROR(VLOOKUP(B182,input_531010!L:R,7,FALSE),VLOOKUP(tables_531010!C182,input_531010!A:H,8,FALSE))</f>
        <v>454061.53846000001</v>
      </c>
      <c r="P182" s="46">
        <f t="shared" ca="1" si="7"/>
        <v>7.3188513613797555E-3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input_531010!A$2</f>
        <v>531010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IFERROR(VLOOKUP(B183,input_531010!L:R,7,FALSE),VLOOKUP(tables_531010!C183,input_531010!A:H,8,FALSE))</f>
        <v>1338.46154</v>
      </c>
      <c r="P183" s="46">
        <f t="shared" ca="1" si="7"/>
        <v>2.157417053513862E-5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input_531010!A$2</f>
        <v>531010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IFERROR(VLOOKUP(B184,input_531010!L:R,7,FALSE),VLOOKUP(tables_531010!C184,input_531010!A:H,8,FALSE))</f>
        <v>78678</v>
      </c>
      <c r="P184" s="46">
        <f t="shared" ca="1" si="7"/>
        <v>1.2681818181818183E-3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input_531010!A$2</f>
        <v>531010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IFERROR(VLOOKUP(B185,input_531010!L:R,7,FALSE),VLOOKUP(tables_531010!C185,input_531010!A:H,8,FALSE))</f>
        <v>5922</v>
      </c>
      <c r="P185" s="46">
        <f t="shared" ca="1" si="7"/>
        <v>9.5454545454545461E-5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input_531010!A$2</f>
        <v>531010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IFERROR(VLOOKUP(B186,input_531010!L:R,7,FALSE),VLOOKUP(tables_531010!C186,input_531010!A:H,8,FALSE))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input_531010!A$2</f>
        <v>531010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IFERROR(VLOOKUP(B187,input_531010!L:R,7,FALSE),VLOOKUP(tables_531010!C187,input_531010!A:H,8,FALSE))</f>
        <v>454061.53846000001</v>
      </c>
      <c r="P187" s="46">
        <f t="shared" ca="1" si="7"/>
        <v>7.3188513613797555E-3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input_531010!A$2</f>
        <v>531010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IFERROR(VLOOKUP(B188,input_531010!L:R,7,FALSE),VLOOKUP(tables_531010!C188,input_531010!A:H,8,FALSE))</f>
        <v>1338.46154</v>
      </c>
      <c r="P188" s="46">
        <f t="shared" ca="1" si="7"/>
        <v>2.157417053513862E-5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input_531010!A$2</f>
        <v>531010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IFERROR(VLOOKUP(B189,input_531010!L:R,7,FALSE),VLOOKUP(tables_531010!C189,input_531010!A:H,8,FALSE))</f>
        <v>78678</v>
      </c>
      <c r="P189" s="46">
        <f t="shared" ca="1" si="7"/>
        <v>1.2681818181818183E-3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input_531010!A$2</f>
        <v>531010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IFERROR(VLOOKUP(B190,input_531010!L:R,7,FALSE),VLOOKUP(tables_531010!C190,input_531010!A:H,8,FALSE))</f>
        <v>5922</v>
      </c>
      <c r="P190" s="46">
        <f t="shared" ca="1" si="7"/>
        <v>9.5454545454545461E-5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input_531010!A$2</f>
        <v>531010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IFERROR(VLOOKUP(B191,input_531010!L:R,7,FALSE),VLOOKUP(tables_531010!C191,input_531010!A:H,8,FALSE))</f>
        <v>78678</v>
      </c>
      <c r="P191" s="46">
        <f t="shared" ca="1" si="7"/>
        <v>1.2681818181818183E-3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input_531010!A$2</f>
        <v>531010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IFERROR(VLOOKUP(B192,input_531010!L:R,7,FALSE),VLOOKUP(tables_531010!C192,input_531010!A:H,8,FALSE))</f>
        <v>5922</v>
      </c>
      <c r="P192" s="46">
        <f t="shared" ca="1" si="7"/>
        <v>9.5454545454545461E-5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input_531010!A$2</f>
        <v>531010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IFERROR(VLOOKUP(B193,input_531010!L:R,7,FALSE),VLOOKUP(tables_531010!C193,input_531010!A:H,8,FALSE))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input_531010!A$2</f>
        <v>531010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IFERROR(VLOOKUP(B194,input_531010!L:R,7,FALSE),VLOOKUP(tables_531010!C194,input_531010!A:H,8,FALSE))</f>
        <v>454061.53846000001</v>
      </c>
      <c r="P194" s="46">
        <f t="shared" ref="P194:P257" ca="1" si="10">O194/SUM(O:O)</f>
        <v>7.3188513613797555E-3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input_531010!A$2</f>
        <v>531010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IFERROR(VLOOKUP(B195,input_531010!L:R,7,FALSE),VLOOKUP(tables_531010!C195,input_531010!A:H,8,FALSE))</f>
        <v>1338.46154</v>
      </c>
      <c r="P195" s="46">
        <f t="shared" ca="1" si="10"/>
        <v>2.157417053513862E-5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input_531010!A$2</f>
        <v>531010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IFERROR(VLOOKUP(B196,input_531010!L:R,7,FALSE),VLOOKUP(tables_531010!C196,input_531010!A:H,8,FALSE))</f>
        <v>78678</v>
      </c>
      <c r="P196" s="46">
        <f t="shared" ca="1" si="10"/>
        <v>1.2681818181818183E-3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input_531010!A$2</f>
        <v>531010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IFERROR(VLOOKUP(B197,input_531010!L:R,7,FALSE),VLOOKUP(tables_531010!C197,input_531010!A:H,8,FALSE))</f>
        <v>5922</v>
      </c>
      <c r="P197" s="46">
        <f t="shared" ca="1" si="10"/>
        <v>9.5454545454545461E-5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input_531010!A$2</f>
        <v>531010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IFERROR(VLOOKUP(B198,input_531010!L:R,7,FALSE),VLOOKUP(tables_531010!C198,input_531010!A:H,8,FALSE))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input_531010!A$2</f>
        <v>531010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IFERROR(VLOOKUP(B199,input_531010!L:R,7,FALSE),VLOOKUP(tables_531010!C199,input_531010!A:H,8,FALSE))</f>
        <v>454061.53846000001</v>
      </c>
      <c r="P199" s="46">
        <f t="shared" ca="1" si="10"/>
        <v>7.3188513613797555E-3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input_531010!A$2</f>
        <v>531010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IFERROR(VLOOKUP(B200,input_531010!L:R,7,FALSE),VLOOKUP(tables_531010!C200,input_531010!A:H,8,FALSE))</f>
        <v>1338.46154</v>
      </c>
      <c r="P200" s="46">
        <f t="shared" ca="1" si="10"/>
        <v>2.157417053513862E-5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input_531010!A$2</f>
        <v>531010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IFERROR(VLOOKUP(B201,input_531010!L:R,7,FALSE),VLOOKUP(tables_531010!C201,input_531010!A:H,8,FALSE))</f>
        <v>78678</v>
      </c>
      <c r="P201" s="46">
        <f t="shared" ca="1" si="10"/>
        <v>1.2681818181818183E-3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input_531010!A$2</f>
        <v>531010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IFERROR(VLOOKUP(B202,input_531010!L:R,7,FALSE),VLOOKUP(tables_531010!C202,input_531010!A:H,8,FALSE))</f>
        <v>5922</v>
      </c>
      <c r="P202" s="46">
        <f t="shared" ca="1" si="10"/>
        <v>9.5454545454545461E-5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input_531010!A$2</f>
        <v>531010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IFERROR(VLOOKUP(B203,input_531010!L:R,7,FALSE),VLOOKUP(tables_531010!C203,input_531010!A:H,8,FALSE))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input_531010!A$2</f>
        <v>531010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IFERROR(VLOOKUP(B204,input_531010!L:R,7,FALSE),VLOOKUP(tables_531010!C204,input_531010!A:H,8,FALSE))</f>
        <v>454061.53846000001</v>
      </c>
      <c r="P204" s="46">
        <f t="shared" ca="1" si="10"/>
        <v>7.3188513613797555E-3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input_531010!A$2</f>
        <v>531010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IFERROR(VLOOKUP(B205,input_531010!L:R,7,FALSE),VLOOKUP(tables_531010!C205,input_531010!A:H,8,FALSE))</f>
        <v>1338.46154</v>
      </c>
      <c r="P205" s="46">
        <f t="shared" ca="1" si="10"/>
        <v>2.157417053513862E-5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input_531010!A$2</f>
        <v>531010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IFERROR(VLOOKUP(B206,input_531010!L:R,7,FALSE),VLOOKUP(tables_531010!C206,input_531010!A:H,8,FALSE))</f>
        <v>78678</v>
      </c>
      <c r="P206" s="46">
        <f t="shared" ca="1" si="10"/>
        <v>1.2681818181818183E-3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input_531010!A$2</f>
        <v>531010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IFERROR(VLOOKUP(B207,input_531010!L:R,7,FALSE),VLOOKUP(tables_531010!C207,input_531010!A:H,8,FALSE))</f>
        <v>5922</v>
      </c>
      <c r="P207" s="46">
        <f t="shared" ca="1" si="10"/>
        <v>9.5454545454545461E-5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input_531010!A$2</f>
        <v>531010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IFERROR(VLOOKUP(B208,input_531010!L:R,7,FALSE),VLOOKUP(tables_531010!C208,input_531010!A:H,8,FALSE))</f>
        <v>78678</v>
      </c>
      <c r="P208" s="46">
        <f t="shared" ca="1" si="10"/>
        <v>1.2681818181818183E-3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input_531010!A$2</f>
        <v>531010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IFERROR(VLOOKUP(B209,input_531010!L:R,7,FALSE),VLOOKUP(tables_531010!C209,input_531010!A:H,8,FALSE))</f>
        <v>5922</v>
      </c>
      <c r="P209" s="46">
        <f t="shared" ca="1" si="10"/>
        <v>9.5454545454545461E-5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input_531010!A$2</f>
        <v>531010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IFERROR(VLOOKUP(B210,input_531010!L:R,7,FALSE),VLOOKUP(tables_531010!C210,input_531010!A:H,8,FALSE))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input_531010!A$2</f>
        <v>531010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IFERROR(VLOOKUP(B211,input_531010!L:R,7,FALSE),VLOOKUP(tables_531010!C211,input_531010!A:H,8,FALSE))</f>
        <v>454061.53846000001</v>
      </c>
      <c r="P211" s="46">
        <f t="shared" ca="1" si="10"/>
        <v>7.3188513613797555E-3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input_531010!A$2</f>
        <v>531010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IFERROR(VLOOKUP(B212,input_531010!L:R,7,FALSE),VLOOKUP(tables_531010!C212,input_531010!A:H,8,FALSE))</f>
        <v>1338.46154</v>
      </c>
      <c r="P212" s="46">
        <f t="shared" ca="1" si="10"/>
        <v>2.157417053513862E-5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input_531010!A$2</f>
        <v>531010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IFERROR(VLOOKUP(B213,input_531010!L:R,7,FALSE),VLOOKUP(tables_531010!C213,input_531010!A:H,8,FALSE))</f>
        <v>78678</v>
      </c>
      <c r="P213" s="46">
        <f t="shared" ca="1" si="10"/>
        <v>1.2681818181818183E-3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input_531010!A$2</f>
        <v>531010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IFERROR(VLOOKUP(B214,input_531010!L:R,7,FALSE),VLOOKUP(tables_531010!C214,input_531010!A:H,8,FALSE))</f>
        <v>5922</v>
      </c>
      <c r="P214" s="46">
        <f t="shared" ca="1" si="10"/>
        <v>9.5454545454545461E-5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input_531010!A$2</f>
        <v>531010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IFERROR(VLOOKUP(B215,input_531010!L:R,7,FALSE),VLOOKUP(tables_531010!C215,input_531010!A:H,8,FALSE))</f>
        <v>31878</v>
      </c>
      <c r="P215" s="46">
        <f t="shared" ca="1" si="10"/>
        <v>5.1382978723404254E-4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input_531010!A$2</f>
        <v>531010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IFERROR(VLOOKUP(B216,input_531010!L:R,7,FALSE),VLOOKUP(tables_531010!C216,input_531010!A:H,8,FALSE))</f>
        <v>31878</v>
      </c>
      <c r="P216" s="46">
        <f t="shared" ca="1" si="10"/>
        <v>5.1382978723404254E-4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input_531010!A$2</f>
        <v>531010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IFERROR(VLOOKUP(B217,input_531010!L:R,7,FALSE),VLOOKUP(tables_531010!C217,input_531010!A:H,8,FALSE))</f>
        <v>31878</v>
      </c>
      <c r="P217" s="46">
        <f t="shared" ca="1" si="10"/>
        <v>5.1382978723404254E-4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input_531010!A$2</f>
        <v>531010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IFERROR(VLOOKUP(B218,input_531010!L:R,7,FALSE),VLOOKUP(tables_531010!C218,input_531010!A:H,8,FALSE))</f>
        <v>31878</v>
      </c>
      <c r="P218" s="46">
        <f t="shared" ca="1" si="10"/>
        <v>5.1382978723404254E-4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input_531010!A$2</f>
        <v>531010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IFERROR(VLOOKUP(B219,input_531010!L:R,7,FALSE),VLOOKUP(tables_531010!C219,input_531010!A:H,8,FALSE))</f>
        <v>31878</v>
      </c>
      <c r="P219" s="46">
        <f t="shared" ca="1" si="10"/>
        <v>5.1382978723404254E-4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input_531010!A$2</f>
        <v>531010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IFERROR(VLOOKUP(B220,input_531010!L:R,7,FALSE),VLOOKUP(tables_531010!C220,input_531010!A:H,8,FALSE))</f>
        <v>31878</v>
      </c>
      <c r="P220" s="46">
        <f t="shared" ca="1" si="10"/>
        <v>5.1382978723404254E-4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input_531010!A$2</f>
        <v>531010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IFERROR(VLOOKUP(B221,input_531010!L:R,7,FALSE),VLOOKUP(tables_531010!C221,input_531010!A:H,8,FALSE))</f>
        <v>78678</v>
      </c>
      <c r="P221" s="46">
        <f t="shared" ca="1" si="10"/>
        <v>1.2681818181818183E-3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input_531010!A$2</f>
        <v>531010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IFERROR(VLOOKUP(B222,input_531010!L:R,7,FALSE),VLOOKUP(tables_531010!C222,input_531010!A:H,8,FALSE))</f>
        <v>5922</v>
      </c>
      <c r="P222" s="46">
        <f t="shared" ca="1" si="10"/>
        <v>9.5454545454545461E-5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input_531010!A$2</f>
        <v>531010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IFERROR(VLOOKUP(B223,input_531010!L:R,7,FALSE),VLOOKUP(tables_531010!C223,input_531010!A:H,8,FALSE))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input_531010!A$2</f>
        <v>531010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IFERROR(VLOOKUP(B224,input_531010!L:R,7,FALSE),VLOOKUP(tables_531010!C224,input_531010!A:H,8,FALSE))</f>
        <v>454061.53846000001</v>
      </c>
      <c r="P224" s="46">
        <f t="shared" ca="1" si="10"/>
        <v>7.3188513613797555E-3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input_531010!A$2</f>
        <v>531010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IFERROR(VLOOKUP(B225,input_531010!L:R,7,FALSE),VLOOKUP(tables_531010!C225,input_531010!A:H,8,FALSE))</f>
        <v>1338.46154</v>
      </c>
      <c r="P225" s="46">
        <f t="shared" ca="1" si="10"/>
        <v>2.157417053513862E-5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input_531010!A$2</f>
        <v>531010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IFERROR(VLOOKUP(B226,input_531010!L:R,7,FALSE),VLOOKUP(tables_531010!C226,input_531010!A:H,8,FALSE))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input_531010!A$2</f>
        <v>531010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IFERROR(VLOOKUP(B227,input_531010!L:R,7,FALSE),VLOOKUP(tables_531010!C227,input_531010!A:H,8,FALSE))</f>
        <v>454061.53846000001</v>
      </c>
      <c r="P227" s="46">
        <f t="shared" ca="1" si="10"/>
        <v>7.3188513613797555E-3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input_531010!A$2</f>
        <v>531010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IFERROR(VLOOKUP(B228,input_531010!L:R,7,FALSE),VLOOKUP(tables_531010!C228,input_531010!A:H,8,FALSE))</f>
        <v>1338.46154</v>
      </c>
      <c r="P228" s="46">
        <f t="shared" ca="1" si="10"/>
        <v>2.157417053513862E-5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input_531010!A$2</f>
        <v>531010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IFERROR(VLOOKUP(B229,input_531010!L:R,7,FALSE),VLOOKUP(tables_531010!C229,input_531010!A:H,8,FALSE))</f>
        <v>78678</v>
      </c>
      <c r="P229" s="46">
        <f t="shared" ca="1" si="10"/>
        <v>1.2681818181818183E-3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input_531010!A$2</f>
        <v>531010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IFERROR(VLOOKUP(B230,input_531010!L:R,7,FALSE),VLOOKUP(tables_531010!C230,input_531010!A:H,8,FALSE))</f>
        <v>5922</v>
      </c>
      <c r="P230" s="46">
        <f t="shared" ca="1" si="10"/>
        <v>9.5454545454545461E-5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input_531010!A$2</f>
        <v>531010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IFERROR(VLOOKUP(B231,input_531010!L:R,7,FALSE),VLOOKUP(tables_531010!C231,input_531010!A:H,8,FALSE))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input_531010!A$2</f>
        <v>531010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IFERROR(VLOOKUP(B232,input_531010!L:R,7,FALSE),VLOOKUP(tables_531010!C232,input_531010!A:H,8,FALSE))</f>
        <v>454061.53846000001</v>
      </c>
      <c r="P232" s="46">
        <f t="shared" ca="1" si="10"/>
        <v>7.3188513613797555E-3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input_531010!A$2</f>
        <v>531010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IFERROR(VLOOKUP(B233,input_531010!L:R,7,FALSE),VLOOKUP(tables_531010!C233,input_531010!A:H,8,FALSE))</f>
        <v>1338.46154</v>
      </c>
      <c r="P233" s="46">
        <f t="shared" ca="1" si="10"/>
        <v>2.157417053513862E-5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input_531010!A$2</f>
        <v>531010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IFERROR(VLOOKUP(B234,input_531010!L:R,7,FALSE),VLOOKUP(tables_531010!C234,input_531010!A:H,8,FALSE))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input_531010!A$2</f>
        <v>531010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IFERROR(VLOOKUP(B235,input_531010!L:R,7,FALSE),VLOOKUP(tables_531010!C235,input_531010!A:H,8,FALSE))</f>
        <v>454061.53846000001</v>
      </c>
      <c r="P235" s="46">
        <f t="shared" ca="1" si="10"/>
        <v>7.3188513613797555E-3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input_531010!A$2</f>
        <v>531010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IFERROR(VLOOKUP(B236,input_531010!L:R,7,FALSE),VLOOKUP(tables_531010!C236,input_531010!A:H,8,FALSE))</f>
        <v>1338.46154</v>
      </c>
      <c r="P236" s="46">
        <f t="shared" ca="1" si="10"/>
        <v>2.157417053513862E-5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input_531010!A$2</f>
        <v>531010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IFERROR(VLOOKUP(B237,input_531010!L:R,7,FALSE),VLOOKUP(tables_531010!C237,input_531010!A:H,8,FALSE))</f>
        <v>78678</v>
      </c>
      <c r="P237" s="46">
        <f t="shared" ca="1" si="10"/>
        <v>1.2681818181818183E-3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input_531010!A$2</f>
        <v>531010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IFERROR(VLOOKUP(B238,input_531010!L:R,7,FALSE),VLOOKUP(tables_531010!C238,input_531010!A:H,8,FALSE))</f>
        <v>5922</v>
      </c>
      <c r="P238" s="46">
        <f t="shared" ca="1" si="10"/>
        <v>9.5454545454545461E-5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input_531010!A$2</f>
        <v>531010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IFERROR(VLOOKUP(B239,input_531010!L:R,7,FALSE),VLOOKUP(tables_531010!C239,input_531010!A:H,8,FALSE))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input_531010!A$2</f>
        <v>531010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IFERROR(VLOOKUP(B240,input_531010!L:R,7,FALSE),VLOOKUP(tables_531010!C240,input_531010!A:H,8,FALSE))</f>
        <v>454061.53846000001</v>
      </c>
      <c r="P240" s="46">
        <f t="shared" ca="1" si="10"/>
        <v>7.3188513613797555E-3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input_531010!A$2</f>
        <v>531010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IFERROR(VLOOKUP(B241,input_531010!L:R,7,FALSE),VLOOKUP(tables_531010!C241,input_531010!A:H,8,FALSE))</f>
        <v>1338.46154</v>
      </c>
      <c r="P241" s="46">
        <f t="shared" ca="1" si="10"/>
        <v>2.157417053513862E-5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input_531010!A$2</f>
        <v>531010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IFERROR(VLOOKUP(B242,input_531010!L:R,7,FALSE),VLOOKUP(tables_531010!C242,input_531010!A:H,8,FALSE))</f>
        <v>78678</v>
      </c>
      <c r="P242" s="46">
        <f t="shared" ca="1" si="10"/>
        <v>1.2681818181818183E-3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input_531010!A$2</f>
        <v>531010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IFERROR(VLOOKUP(B243,input_531010!L:R,7,FALSE),VLOOKUP(tables_531010!C243,input_531010!A:H,8,FALSE))</f>
        <v>5922</v>
      </c>
      <c r="P243" s="46">
        <f t="shared" ca="1" si="10"/>
        <v>9.5454545454545461E-5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input_531010!A$2</f>
        <v>531010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IFERROR(VLOOKUP(B244,input_531010!L:R,7,FALSE),VLOOKUP(tables_531010!C244,input_531010!A:H,8,FALSE))</f>
        <v>78678</v>
      </c>
      <c r="P244" s="46">
        <f t="shared" ca="1" si="10"/>
        <v>1.2681818181818183E-3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input_531010!A$2</f>
        <v>531010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IFERROR(VLOOKUP(B245,input_531010!L:R,7,FALSE),VLOOKUP(tables_531010!C245,input_531010!A:H,8,FALSE))</f>
        <v>5922</v>
      </c>
      <c r="P245" s="46">
        <f t="shared" ca="1" si="10"/>
        <v>9.5454545454545461E-5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input_531010!A$2</f>
        <v>531010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IFERROR(VLOOKUP(B246,input_531010!L:R,7,FALSE),VLOOKUP(tables_531010!C246,input_531010!A:H,8,FALSE))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input_531010!A$2</f>
        <v>531010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IFERROR(VLOOKUP(B247,input_531010!L:R,7,FALSE),VLOOKUP(tables_531010!C247,input_531010!A:H,8,FALSE))</f>
        <v>454061.53846000001</v>
      </c>
      <c r="P247" s="46">
        <f t="shared" ca="1" si="10"/>
        <v>7.3188513613797555E-3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input_531010!A$2</f>
        <v>531010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IFERROR(VLOOKUP(B248,input_531010!L:R,7,FALSE),VLOOKUP(tables_531010!C248,input_531010!A:H,8,FALSE))</f>
        <v>1338.46154</v>
      </c>
      <c r="P248" s="46">
        <f t="shared" ca="1" si="10"/>
        <v>2.157417053513862E-5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input_531010!A$2</f>
        <v>531010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IFERROR(VLOOKUP(B249,input_531010!L:R,7,FALSE),VLOOKUP(tables_531010!C249,input_531010!A:H,8,FALSE))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input_531010!A$2</f>
        <v>531010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IFERROR(VLOOKUP(B250,input_531010!L:R,7,FALSE),VLOOKUP(tables_531010!C250,input_531010!A:H,8,FALSE))</f>
        <v>454061.53846000001</v>
      </c>
      <c r="P250" s="46">
        <f t="shared" ca="1" si="10"/>
        <v>7.3188513613797555E-3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input_531010!A$2</f>
        <v>531010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IFERROR(VLOOKUP(B251,input_531010!L:R,7,FALSE),VLOOKUP(tables_531010!C251,input_531010!A:H,8,FALSE))</f>
        <v>1338.46154</v>
      </c>
      <c r="P251" s="46">
        <f t="shared" ca="1" si="10"/>
        <v>2.157417053513862E-5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input_531010!A$2</f>
        <v>531010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IFERROR(VLOOKUP(B252,input_531010!L:R,7,FALSE),VLOOKUP(tables_531010!C252,input_531010!A:H,8,FALSE))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input_531010!A$2</f>
        <v>531010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IFERROR(VLOOKUP(B253,input_531010!L:R,7,FALSE),VLOOKUP(tables_531010!C253,input_531010!A:H,8,FALSE))</f>
        <v>454061.53846000001</v>
      </c>
      <c r="P253" s="46">
        <f t="shared" ca="1" si="10"/>
        <v>7.3188513613797555E-3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input_531010!A$2</f>
        <v>531010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IFERROR(VLOOKUP(B254,input_531010!L:R,7,FALSE),VLOOKUP(tables_531010!C254,input_531010!A:H,8,FALSE))</f>
        <v>1338.46154</v>
      </c>
      <c r="P254" s="46">
        <f t="shared" ca="1" si="10"/>
        <v>2.157417053513862E-5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input_531010!A$2</f>
        <v>531010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IFERROR(VLOOKUP(B255,input_531010!L:R,7,FALSE),VLOOKUP(tables_531010!C255,input_531010!A:H,8,FALSE))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input_531010!A$2</f>
        <v>531010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IFERROR(VLOOKUP(B256,input_531010!L:R,7,FALSE),VLOOKUP(tables_531010!C256,input_531010!A:H,8,FALSE))</f>
        <v>454061.53846000001</v>
      </c>
      <c r="P256" s="46">
        <f t="shared" ca="1" si="10"/>
        <v>7.3188513613797555E-3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input_531010!A$2</f>
        <v>531010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IFERROR(VLOOKUP(B257,input_531010!L:R,7,FALSE),VLOOKUP(tables_531010!C257,input_531010!A:H,8,FALSE))</f>
        <v>1338.46154</v>
      </c>
      <c r="P257" s="46">
        <f t="shared" ca="1" si="10"/>
        <v>2.157417053513862E-5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input_531010!A$2</f>
        <v>531010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IFERROR(VLOOKUP(B258,input_531010!L:R,7,FALSE),VLOOKUP(tables_531010!C258,input_531010!A:H,8,FALSE))</f>
        <v>78678</v>
      </c>
      <c r="P258" s="46">
        <f t="shared" ref="P258:P321" ca="1" si="13">O258/SUM(O:O)</f>
        <v>1.2681818181818183E-3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input_531010!A$2</f>
        <v>531010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IFERROR(VLOOKUP(B259,input_531010!L:R,7,FALSE),VLOOKUP(tables_531010!C259,input_531010!A:H,8,FALSE))</f>
        <v>5922</v>
      </c>
      <c r="P259" s="46">
        <f t="shared" ca="1" si="13"/>
        <v>9.5454545454545461E-5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input_531010!A$2</f>
        <v>531010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IFERROR(VLOOKUP(B260,input_531010!L:R,7,FALSE),VLOOKUP(tables_531010!C260,input_531010!A:H,8,FALSE))</f>
        <v>78678</v>
      </c>
      <c r="P260" s="46">
        <f t="shared" ca="1" si="13"/>
        <v>1.2681818181818183E-3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input_531010!A$2</f>
        <v>531010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IFERROR(VLOOKUP(B261,input_531010!L:R,7,FALSE),VLOOKUP(tables_531010!C261,input_531010!A:H,8,FALSE))</f>
        <v>5922</v>
      </c>
      <c r="P261" s="46">
        <f t="shared" ca="1" si="13"/>
        <v>9.5454545454545461E-5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input_531010!A$2</f>
        <v>531010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IFERROR(VLOOKUP(B262,input_531010!L:R,7,FALSE),VLOOKUP(tables_531010!C262,input_531010!A:H,8,FALSE))</f>
        <v>412896</v>
      </c>
      <c r="P262" s="46">
        <f t="shared" ca="1" si="13"/>
        <v>6.6553191489361705E-3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input_531010!A$2</f>
        <v>531010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IFERROR(VLOOKUP(B263,input_531010!L:R,7,FALSE),VLOOKUP(tables_531010!C263,input_531010!A:H,8,FALSE))</f>
        <v>31878</v>
      </c>
      <c r="P263" s="46">
        <f t="shared" ca="1" si="13"/>
        <v>5.1382978723404254E-4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input_531010!A$2</f>
        <v>531010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IFERROR(VLOOKUP(B264,input_531010!L:R,7,FALSE),VLOOKUP(tables_531010!C264,input_531010!A:H,8,FALSE))</f>
        <v>412896</v>
      </c>
      <c r="P264" s="46">
        <f t="shared" ca="1" si="13"/>
        <v>6.6553191489361705E-3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input_531010!A$2</f>
        <v>531010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IFERROR(VLOOKUP(B265,input_531010!L:R,7,FALSE),VLOOKUP(tables_531010!C265,input_531010!A:H,8,FALSE))</f>
        <v>31878</v>
      </c>
      <c r="P265" s="46">
        <f t="shared" ca="1" si="13"/>
        <v>5.1382978723404254E-4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input_531010!A$2</f>
        <v>531010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IFERROR(VLOOKUP(B266,input_531010!L:R,7,FALSE),VLOOKUP(tables_531010!C266,input_531010!A:H,8,FALSE))</f>
        <v>84600</v>
      </c>
      <c r="P266" s="46">
        <f t="shared" ca="1" si="13"/>
        <v>1.3636363636363637E-3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input_531010!A$2</f>
        <v>531010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IFERROR(VLOOKUP(B267,input_531010!L:R,7,FALSE),VLOOKUP(tables_531010!C267,input_531010!A:H,8,FALSE))</f>
        <v>84600</v>
      </c>
      <c r="P267" s="46">
        <f t="shared" ca="1" si="13"/>
        <v>1.3636363636363637E-3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input_531010!A$2</f>
        <v>531010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IFERROR(VLOOKUP(B268,input_531010!L:R,7,FALSE),VLOOKUP(tables_531010!C268,input_531010!A:H,8,FALSE))</f>
        <v>84600</v>
      </c>
      <c r="P268" s="46">
        <f t="shared" ca="1" si="13"/>
        <v>1.3636363636363637E-3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input_531010!A$2</f>
        <v>531010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IFERROR(VLOOKUP(B269,input_531010!L:R,7,FALSE),VLOOKUP(tables_531010!C269,input_531010!A:H,8,FALSE))</f>
        <v>84600</v>
      </c>
      <c r="P269" s="46">
        <f t="shared" ca="1" si="13"/>
        <v>1.3636363636363637E-3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input_531010!A$2</f>
        <v>531010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IFERROR(VLOOKUP(B270,input_531010!L:R,7,FALSE),VLOOKUP(tables_531010!C270,input_531010!A:H,8,FALSE))</f>
        <v>412896</v>
      </c>
      <c r="P270" s="46">
        <f t="shared" ca="1" si="13"/>
        <v>6.6553191489361705E-3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input_531010!A$2</f>
        <v>531010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IFERROR(VLOOKUP(B271,input_531010!L:R,7,FALSE),VLOOKUP(tables_531010!C271,input_531010!A:H,8,FALSE))</f>
        <v>31878</v>
      </c>
      <c r="P271" s="46">
        <f t="shared" ca="1" si="13"/>
        <v>5.1382978723404254E-4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input_531010!A$2</f>
        <v>531010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IFERROR(VLOOKUP(B272,input_531010!L:R,7,FALSE),VLOOKUP(tables_531010!C272,input_531010!A:H,8,FALSE))</f>
        <v>412896</v>
      </c>
      <c r="P272" s="46">
        <f t="shared" ca="1" si="13"/>
        <v>6.6553191489361705E-3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input_531010!A$2</f>
        <v>531010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IFERROR(VLOOKUP(B273,input_531010!L:R,7,FALSE),VLOOKUP(tables_531010!C273,input_531010!A:H,8,FALSE))</f>
        <v>31878</v>
      </c>
      <c r="P273" s="46">
        <f t="shared" ca="1" si="13"/>
        <v>5.1382978723404254E-4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input_531010!A$2</f>
        <v>531010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IFERROR(VLOOKUP(B274,input_531010!L:R,7,FALSE),VLOOKUP(tables_531010!C274,input_531010!A:H,8,FALSE))</f>
        <v>78678</v>
      </c>
      <c r="P274" s="46">
        <f t="shared" ca="1" si="13"/>
        <v>1.2681818181818183E-3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input_531010!A$2</f>
        <v>531010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IFERROR(VLOOKUP(B275,input_531010!L:R,7,FALSE),VLOOKUP(tables_531010!C275,input_531010!A:H,8,FALSE))</f>
        <v>5922</v>
      </c>
      <c r="P275" s="46">
        <f t="shared" ca="1" si="13"/>
        <v>9.5454545454545461E-5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input_531010!A$2</f>
        <v>531010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IFERROR(VLOOKUP(B276,input_531010!L:R,7,FALSE),VLOOKUP(tables_531010!C276,input_531010!A:H,8,FALSE))</f>
        <v>78678</v>
      </c>
      <c r="P276" s="46">
        <f t="shared" ca="1" si="13"/>
        <v>1.2681818181818183E-3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input_531010!A$2</f>
        <v>531010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IFERROR(VLOOKUP(B277,input_531010!L:R,7,FALSE),VLOOKUP(tables_531010!C277,input_531010!A:H,8,FALSE))</f>
        <v>5922</v>
      </c>
      <c r="P277" s="46">
        <f t="shared" ca="1" si="13"/>
        <v>9.5454545454545461E-5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input_531010!A$2</f>
        <v>531010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IFERROR(VLOOKUP(B278,input_531010!L:R,7,FALSE),VLOOKUP(tables_531010!C278,input_531010!A:H,8,FALSE))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input_531010!A$2</f>
        <v>531010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IFERROR(VLOOKUP(B279,input_531010!L:R,7,FALSE),VLOOKUP(tables_531010!C279,input_531010!A:H,8,FALSE))</f>
        <v>454061.53846000001</v>
      </c>
      <c r="P279" s="46">
        <f t="shared" ca="1" si="13"/>
        <v>7.3188513613797555E-3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input_531010!A$2</f>
        <v>531010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IFERROR(VLOOKUP(B280,input_531010!L:R,7,FALSE),VLOOKUP(tables_531010!C280,input_531010!A:H,8,FALSE))</f>
        <v>1338.46154</v>
      </c>
      <c r="P280" s="46">
        <f t="shared" ca="1" si="13"/>
        <v>2.157417053513862E-5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input_531010!A$2</f>
        <v>531010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IFERROR(VLOOKUP(B281,input_531010!L:R,7,FALSE),VLOOKUP(tables_531010!C281,input_531010!A:H,8,FALSE))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input_531010!A$2</f>
        <v>531010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IFERROR(VLOOKUP(B282,input_531010!L:R,7,FALSE),VLOOKUP(tables_531010!C282,input_531010!A:H,8,FALSE))</f>
        <v>454061.53846000001</v>
      </c>
      <c r="P282" s="46">
        <f t="shared" ca="1" si="13"/>
        <v>7.3188513613797555E-3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input_531010!A$2</f>
        <v>531010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IFERROR(VLOOKUP(B283,input_531010!L:R,7,FALSE),VLOOKUP(tables_531010!C283,input_531010!A:H,8,FALSE))</f>
        <v>1338.46154</v>
      </c>
      <c r="P283" s="46">
        <f t="shared" ca="1" si="13"/>
        <v>2.157417053513862E-5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input_531010!A$2</f>
        <v>531010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IFERROR(VLOOKUP(B284,input_531010!L:R,7,FALSE),VLOOKUP(tables_531010!C284,input_531010!A:H,8,FALSE))</f>
        <v>84600</v>
      </c>
      <c r="P284" s="46">
        <f t="shared" ca="1" si="13"/>
        <v>1.3636363636363637E-3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input_531010!A$2</f>
        <v>531010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IFERROR(VLOOKUP(B285,input_531010!L:R,7,FALSE),VLOOKUP(tables_531010!C285,input_531010!A:H,8,FALSE))</f>
        <v>84600</v>
      </c>
      <c r="P285" s="46">
        <f t="shared" ca="1" si="13"/>
        <v>1.3636363636363637E-3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input_531010!A$2</f>
        <v>531010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IFERROR(VLOOKUP(B286,input_531010!L:R,7,FALSE),VLOOKUP(tables_531010!C286,input_531010!A:H,8,FALSE))</f>
        <v>412896</v>
      </c>
      <c r="P286" s="46">
        <f t="shared" ca="1" si="13"/>
        <v>6.6553191489361705E-3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input_531010!A$2</f>
        <v>531010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IFERROR(VLOOKUP(B287,input_531010!L:R,7,FALSE),VLOOKUP(tables_531010!C287,input_531010!A:H,8,FALSE))</f>
        <v>31878</v>
      </c>
      <c r="P287" s="46">
        <f t="shared" ca="1" si="13"/>
        <v>5.1382978723404254E-4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input_531010!A$2</f>
        <v>531010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IFERROR(VLOOKUP(B288,input_531010!L:R,7,FALSE),VLOOKUP(tables_531010!C288,input_531010!A:H,8,FALSE))</f>
        <v>412896</v>
      </c>
      <c r="P288" s="46">
        <f t="shared" ca="1" si="13"/>
        <v>6.6553191489361705E-3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input_531010!A$2</f>
        <v>531010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IFERROR(VLOOKUP(B289,input_531010!L:R,7,FALSE),VLOOKUP(tables_531010!C289,input_531010!A:H,8,FALSE))</f>
        <v>31878</v>
      </c>
      <c r="P289" s="46">
        <f t="shared" ca="1" si="13"/>
        <v>5.1382978723404254E-4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input_531010!A$2</f>
        <v>531010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IFERROR(VLOOKUP(B290,input_531010!L:R,7,FALSE),VLOOKUP(tables_531010!C290,input_531010!A:H,8,FALSE))</f>
        <v>412896</v>
      </c>
      <c r="P290" s="46">
        <f t="shared" ca="1" si="13"/>
        <v>6.6553191489361705E-3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input_531010!A$2</f>
        <v>531010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IFERROR(VLOOKUP(B291,input_531010!L:R,7,FALSE),VLOOKUP(tables_531010!C291,input_531010!A:H,8,FALSE))</f>
        <v>31878</v>
      </c>
      <c r="P291" s="46">
        <f t="shared" ca="1" si="13"/>
        <v>5.1382978723404254E-4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input_531010!A$2</f>
        <v>531010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IFERROR(VLOOKUP(B292,input_531010!L:R,7,FALSE),VLOOKUP(tables_531010!C292,input_531010!A:H,8,FALSE))</f>
        <v>412896</v>
      </c>
      <c r="P292" s="46">
        <f t="shared" ca="1" si="13"/>
        <v>6.6553191489361705E-3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input_531010!A$2</f>
        <v>531010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IFERROR(VLOOKUP(B293,input_531010!L:R,7,FALSE),VLOOKUP(tables_531010!C293,input_531010!A:H,8,FALSE))</f>
        <v>31878</v>
      </c>
      <c r="P293" s="46">
        <f t="shared" ca="1" si="13"/>
        <v>5.1382978723404254E-4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input_531010!A$2</f>
        <v>531010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IFERROR(VLOOKUP(B294,input_531010!L:R,7,FALSE),VLOOKUP(tables_531010!C294,input_531010!A:H,8,FALSE))</f>
        <v>84600</v>
      </c>
      <c r="P294" s="46">
        <f t="shared" ca="1" si="13"/>
        <v>1.3636363636363637E-3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input_531010!A$2</f>
        <v>531010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IFERROR(VLOOKUP(B295,input_531010!L:R,7,FALSE),VLOOKUP(tables_531010!C295,input_531010!A:H,8,FALSE))</f>
        <v>84600</v>
      </c>
      <c r="P295" s="46">
        <f t="shared" ca="1" si="13"/>
        <v>1.3636363636363637E-3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input_531010!A$2</f>
        <v>531010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IFERROR(VLOOKUP(B296,input_531010!L:R,7,FALSE),VLOOKUP(tables_531010!C296,input_531010!A:H,8,FALSE))</f>
        <v>84600</v>
      </c>
      <c r="P296" s="46">
        <f t="shared" ca="1" si="13"/>
        <v>1.3636363636363637E-3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input_531010!A$2</f>
        <v>531010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IFERROR(VLOOKUP(B297,input_531010!L:R,7,FALSE),VLOOKUP(tables_531010!C297,input_531010!A:H,8,FALSE))</f>
        <v>412896</v>
      </c>
      <c r="P297" s="46">
        <f t="shared" ca="1" si="13"/>
        <v>6.6553191489361705E-3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input_531010!A$2</f>
        <v>531010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IFERROR(VLOOKUP(B298,input_531010!L:R,7,FALSE),VLOOKUP(tables_531010!C298,input_531010!A:H,8,FALSE))</f>
        <v>31878</v>
      </c>
      <c r="P298" s="46">
        <f t="shared" ca="1" si="13"/>
        <v>5.1382978723404254E-4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input_531010!A$2</f>
        <v>531010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IFERROR(VLOOKUP(B299,input_531010!L:R,7,FALSE),VLOOKUP(tables_531010!C299,input_531010!A:H,8,FALSE))</f>
        <v>84600</v>
      </c>
      <c r="P299" s="46">
        <f t="shared" ca="1" si="13"/>
        <v>1.3636363636363637E-3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input_531010!A$2</f>
        <v>531010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IFERROR(VLOOKUP(B300,input_531010!L:R,7,FALSE),VLOOKUP(tables_531010!C300,input_531010!A:H,8,FALSE))</f>
        <v>84600</v>
      </c>
      <c r="P300" s="46">
        <f t="shared" ca="1" si="13"/>
        <v>1.3636363636363637E-3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input_531010!A$2</f>
        <v>531010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IFERROR(VLOOKUP(B301,input_531010!L:R,7,FALSE),VLOOKUP(tables_531010!C301,input_531010!A:H,8,FALSE))</f>
        <v>84600</v>
      </c>
      <c r="P301" s="46">
        <f t="shared" ca="1" si="13"/>
        <v>1.3636363636363637E-3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input_531010!A$2</f>
        <v>531010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IFERROR(VLOOKUP(B302,input_531010!L:R,7,FALSE),VLOOKUP(tables_531010!C302,input_531010!A:H,8,FALSE))</f>
        <v>84600</v>
      </c>
      <c r="P302" s="46">
        <f t="shared" ca="1" si="13"/>
        <v>1.3636363636363637E-3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input_531010!A$2</f>
        <v>531010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IFERROR(VLOOKUP(B303,input_531010!L:R,7,FALSE),VLOOKUP(tables_531010!C303,input_531010!A:H,8,FALSE))</f>
        <v>412896</v>
      </c>
      <c r="P303" s="46">
        <f t="shared" ca="1" si="13"/>
        <v>6.6553191489361705E-3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input_531010!A$2</f>
        <v>531010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IFERROR(VLOOKUP(B304,input_531010!L:R,7,FALSE),VLOOKUP(tables_531010!C304,input_531010!A:H,8,FALSE))</f>
        <v>31878</v>
      </c>
      <c r="P304" s="46">
        <f t="shared" ca="1" si="13"/>
        <v>5.1382978723404254E-4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input_531010!A$2</f>
        <v>531010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IFERROR(VLOOKUP(B305,input_531010!L:R,7,FALSE),VLOOKUP(tables_531010!C305,input_531010!A:H,8,FALSE))</f>
        <v>84600</v>
      </c>
      <c r="P305" s="46">
        <f t="shared" ca="1" si="13"/>
        <v>1.3636363636363637E-3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input_531010!A$2</f>
        <v>531010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IFERROR(VLOOKUP(B306,input_531010!L:R,7,FALSE),VLOOKUP(tables_531010!C306,input_531010!A:H,8,FALSE))</f>
        <v>412896</v>
      </c>
      <c r="P306" s="46">
        <f t="shared" ca="1" si="13"/>
        <v>6.6553191489361705E-3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input_531010!A$2</f>
        <v>531010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IFERROR(VLOOKUP(B307,input_531010!L:R,7,FALSE),VLOOKUP(tables_531010!C307,input_531010!A:H,8,FALSE))</f>
        <v>31878</v>
      </c>
      <c r="P307" s="46">
        <f t="shared" ca="1" si="13"/>
        <v>5.1382978723404254E-4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input_531010!A$2</f>
        <v>531010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IFERROR(VLOOKUP(B308,input_531010!L:R,7,FALSE),VLOOKUP(tables_531010!C308,input_531010!A:H,8,FALSE))</f>
        <v>84600</v>
      </c>
      <c r="P308" s="46">
        <f t="shared" ca="1" si="13"/>
        <v>1.3636363636363637E-3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input_531010!A$2</f>
        <v>531010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IFERROR(VLOOKUP(B309,input_531010!L:R,7,FALSE),VLOOKUP(tables_531010!C309,input_531010!A:H,8,FALSE))</f>
        <v>84600</v>
      </c>
      <c r="P309" s="46">
        <f t="shared" ca="1" si="13"/>
        <v>1.3636363636363637E-3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input_531010!A$2</f>
        <v>531010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IFERROR(VLOOKUP(B310,input_531010!L:R,7,FALSE),VLOOKUP(tables_531010!C310,input_531010!A:H,8,FALSE))</f>
        <v>84600</v>
      </c>
      <c r="P310" s="46">
        <f t="shared" ca="1" si="13"/>
        <v>1.3636363636363637E-3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input_531010!A$2</f>
        <v>531010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IFERROR(VLOOKUP(B311,input_531010!L:R,7,FALSE),VLOOKUP(tables_531010!C311,input_531010!A:H,8,FALSE))</f>
        <v>412896</v>
      </c>
      <c r="P311" s="46">
        <f t="shared" ca="1" si="13"/>
        <v>6.6553191489361705E-3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input_531010!A$2</f>
        <v>531010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IFERROR(VLOOKUP(B312,input_531010!L:R,7,FALSE),VLOOKUP(tables_531010!C312,input_531010!A:H,8,FALSE))</f>
        <v>31878</v>
      </c>
      <c r="P312" s="46">
        <f t="shared" ca="1" si="13"/>
        <v>5.1382978723404254E-4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input_531010!A$2</f>
        <v>531010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IFERROR(VLOOKUP(B313,input_531010!L:R,7,FALSE),VLOOKUP(tables_531010!C313,input_531010!A:H,8,FALSE))</f>
        <v>84600</v>
      </c>
      <c r="P313" s="46">
        <f t="shared" ca="1" si="13"/>
        <v>1.3636363636363637E-3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input_531010!A$2</f>
        <v>531010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IFERROR(VLOOKUP(B314,input_531010!L:R,7,FALSE),VLOOKUP(tables_531010!C314,input_531010!A:H,8,FALSE))</f>
        <v>84600</v>
      </c>
      <c r="P314" s="46">
        <f t="shared" ca="1" si="13"/>
        <v>1.3636363636363637E-3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input_531010!A$2</f>
        <v>531010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IFERROR(VLOOKUP(B315,input_531010!L:R,7,FALSE),VLOOKUP(tables_531010!C315,input_531010!A:H,8,FALSE))</f>
        <v>84600</v>
      </c>
      <c r="P315" s="46">
        <f t="shared" ca="1" si="13"/>
        <v>1.3636363636363637E-3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input_531010!A$2</f>
        <v>531010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IFERROR(VLOOKUP(B316,input_531010!L:R,7,FALSE),VLOOKUP(tables_531010!C316,input_531010!A:H,8,FALSE))</f>
        <v>84600</v>
      </c>
      <c r="P316" s="46">
        <f t="shared" ca="1" si="13"/>
        <v>1.3636363636363637E-3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input_531010!A$2</f>
        <v>531010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IFERROR(VLOOKUP(B317,input_531010!L:R,7,FALSE),VLOOKUP(tables_531010!C317,input_531010!A:H,8,FALSE))</f>
        <v>84600</v>
      </c>
      <c r="P317" s="46">
        <f t="shared" ca="1" si="13"/>
        <v>1.3636363636363637E-3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input_531010!A$2</f>
        <v>531010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IFERROR(VLOOKUP(B318,input_531010!L:R,7,FALSE),VLOOKUP(tables_531010!C318,input_531010!A:H,8,FALSE))</f>
        <v>412896</v>
      </c>
      <c r="P318" s="46">
        <f t="shared" ca="1" si="13"/>
        <v>6.6553191489361705E-3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input_531010!A$2</f>
        <v>531010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IFERROR(VLOOKUP(B319,input_531010!L:R,7,FALSE),VLOOKUP(tables_531010!C319,input_531010!A:H,8,FALSE))</f>
        <v>31878</v>
      </c>
      <c r="P319" s="46">
        <f t="shared" ca="1" si="13"/>
        <v>5.1382978723404254E-4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input_531010!A$2</f>
        <v>531010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IFERROR(VLOOKUP(B320,input_531010!L:R,7,FALSE),VLOOKUP(tables_531010!C320,input_531010!A:H,8,FALSE))</f>
        <v>84600</v>
      </c>
      <c r="P320" s="46">
        <f t="shared" ca="1" si="13"/>
        <v>1.3636363636363637E-3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input_531010!A$2</f>
        <v>531010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IFERROR(VLOOKUP(B321,input_531010!L:R,7,FALSE),VLOOKUP(tables_531010!C321,input_531010!A:H,8,FALSE))</f>
        <v>84600</v>
      </c>
      <c r="P321" s="46">
        <f t="shared" ca="1" si="13"/>
        <v>1.3636363636363637E-3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input_531010!A$2</f>
        <v>531010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IFERROR(VLOOKUP(B322,input_531010!L:R,7,FALSE),VLOOKUP(tables_531010!C322,input_531010!A:H,8,FALSE))</f>
        <v>84600</v>
      </c>
      <c r="P322" s="46">
        <f t="shared" ref="P322:P346" ca="1" si="23">O322/SUM(O:O)</f>
        <v>1.3636363636363637E-3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input_531010!A$2</f>
        <v>531010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IFERROR(VLOOKUP(B323,input_531010!L:R,7,FALSE),VLOOKUP(tables_531010!C323,input_531010!A:H,8,FALSE))</f>
        <v>84600</v>
      </c>
      <c r="P323" s="46">
        <f t="shared" ca="1" si="23"/>
        <v>1.3636363636363637E-3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input_531010!A$2</f>
        <v>531010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IFERROR(VLOOKUP(B324,input_531010!L:R,7,FALSE),VLOOKUP(tables_531010!C324,input_531010!A:H,8,FALSE))</f>
        <v>412896</v>
      </c>
      <c r="P324" s="46">
        <f t="shared" ca="1" si="23"/>
        <v>6.6553191489361705E-3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input_531010!A$2</f>
        <v>531010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IFERROR(VLOOKUP(B325,input_531010!L:R,7,FALSE),VLOOKUP(tables_531010!C325,input_531010!A:H,8,FALSE))</f>
        <v>31878</v>
      </c>
      <c r="P325" s="46">
        <f t="shared" ca="1" si="23"/>
        <v>5.1382978723404254E-4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input_531010!A$2</f>
        <v>531010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IFERROR(VLOOKUP(B326,input_531010!L:R,7,FALSE),VLOOKUP(tables_531010!C326,input_531010!A:H,8,FALSE))</f>
        <v>412896</v>
      </c>
      <c r="P326" s="46">
        <f t="shared" ca="1" si="23"/>
        <v>6.6553191489361705E-3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input_531010!A$2</f>
        <v>531010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IFERROR(VLOOKUP(B327,input_531010!L:R,7,FALSE),VLOOKUP(tables_531010!C327,input_531010!A:H,8,FALSE))</f>
        <v>31878</v>
      </c>
      <c r="P327" s="46">
        <f t="shared" ca="1" si="23"/>
        <v>5.1382978723404254E-4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input_531010!A$2</f>
        <v>531010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IFERROR(VLOOKUP(B328,input_531010!L:R,7,FALSE),VLOOKUP(tables_531010!C328,input_531010!A:H,8,FALSE))</f>
        <v>84600</v>
      </c>
      <c r="P328" s="46">
        <f t="shared" ca="1" si="23"/>
        <v>1.3636363636363637E-3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input_531010!A$2</f>
        <v>531010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IFERROR(VLOOKUP(B329,input_531010!L:R,7,FALSE),VLOOKUP(tables_531010!C329,input_531010!A:H,8,FALSE))</f>
        <v>84600</v>
      </c>
      <c r="P329" s="46">
        <f t="shared" ca="1" si="23"/>
        <v>1.3636363636363637E-3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input_531010!A$2</f>
        <v>531010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IFERROR(VLOOKUP(B330,input_531010!L:R,7,FALSE),VLOOKUP(tables_531010!C330,input_531010!A:H,8,FALSE))</f>
        <v>84600</v>
      </c>
      <c r="P330" s="46">
        <f t="shared" ca="1" si="23"/>
        <v>1.3636363636363637E-3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input_531010!A$2</f>
        <v>531010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IFERROR(VLOOKUP(B331,input_531010!L:R,7,FALSE),VLOOKUP(tables_531010!C331,input_531010!A:H,8,FALSE))</f>
        <v>84600</v>
      </c>
      <c r="P331" s="46">
        <f t="shared" ca="1" si="23"/>
        <v>1.3636363636363637E-3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input_531010!A$2</f>
        <v>531010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IFERROR(VLOOKUP(B332,input_531010!L:R,7,FALSE),VLOOKUP(tables_531010!C332,input_531010!A:H,8,FALSE))</f>
        <v>84600</v>
      </c>
      <c r="P332" s="46">
        <f t="shared" ca="1" si="23"/>
        <v>1.3636363636363637E-3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input_531010!A$2</f>
        <v>531010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IFERROR(VLOOKUP(B333,input_531010!L:R,7,FALSE),VLOOKUP(tables_531010!C333,input_531010!A:H,8,FALSE))</f>
        <v>84600</v>
      </c>
      <c r="P333" s="46">
        <f t="shared" ca="1" si="23"/>
        <v>1.3636363636363637E-3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input_531010!A$2</f>
        <v>531010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IFERROR(VLOOKUP(B334,input_531010!L:R,7,FALSE),VLOOKUP(tables_531010!C334,input_531010!A:H,8,FALSE))</f>
        <v>412896</v>
      </c>
      <c r="P334" s="46">
        <f t="shared" ca="1" si="23"/>
        <v>6.6553191489361705E-3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input_531010!A$2</f>
        <v>531010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IFERROR(VLOOKUP(B335,input_531010!L:R,7,FALSE),VLOOKUP(tables_531010!C335,input_531010!A:H,8,FALSE))</f>
        <v>31878</v>
      </c>
      <c r="P335" s="46">
        <f t="shared" ca="1" si="23"/>
        <v>5.1382978723404254E-4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input_531010!A$2</f>
        <v>531010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IFERROR(VLOOKUP(B336,input_531010!L:R,7,FALSE),VLOOKUP(tables_531010!C336,input_531010!A:H,8,FALSE))</f>
        <v>412896</v>
      </c>
      <c r="P336" s="46">
        <f t="shared" ca="1" si="23"/>
        <v>6.6553191489361705E-3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input_531010!A$2</f>
        <v>531010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IFERROR(VLOOKUP(B337,input_531010!L:R,7,FALSE),VLOOKUP(tables_531010!C337,input_531010!A:H,8,FALSE))</f>
        <v>31878</v>
      </c>
      <c r="P337" s="46">
        <f t="shared" ca="1" si="23"/>
        <v>5.1382978723404254E-4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input_531010!A$2</f>
        <v>531010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IFERROR(VLOOKUP(B338,input_531010!L:R,7,FALSE),VLOOKUP(tables_531010!C338,input_531010!A:H,8,FALSE))</f>
        <v>84600</v>
      </c>
      <c r="P338" s="46">
        <f t="shared" ca="1" si="23"/>
        <v>1.3636363636363637E-3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input_531010!A$2</f>
        <v>531010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IFERROR(VLOOKUP(B339,input_531010!L:R,7,FALSE),VLOOKUP(tables_531010!C339,input_531010!A:H,8,FALSE))</f>
        <v>84600</v>
      </c>
      <c r="P339" s="46">
        <f t="shared" ca="1" si="23"/>
        <v>1.3636363636363637E-3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input_531010!A$2</f>
        <v>531010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IFERROR(VLOOKUP(B340,input_531010!L:R,7,FALSE),VLOOKUP(tables_531010!C340,input_531010!A:H,8,FALSE))</f>
        <v>84600</v>
      </c>
      <c r="P340" s="46">
        <f t="shared" ca="1" si="23"/>
        <v>1.3636363636363637E-3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input_531010!A$2</f>
        <v>531010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IFERROR(VLOOKUP(B341,input_531010!L:R,7,FALSE),VLOOKUP(tables_531010!C341,input_531010!A:H,8,FALSE))</f>
        <v>84600</v>
      </c>
      <c r="P341" s="46">
        <f t="shared" ca="1" si="23"/>
        <v>1.3636363636363637E-3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input_531010!A$2</f>
        <v>531010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IFERROR(VLOOKUP(B342,input_531010!L:R,7,FALSE),VLOOKUP(tables_531010!C342,input_531010!A:H,8,FALSE))</f>
        <v>84600</v>
      </c>
      <c r="P342" s="46">
        <f t="shared" ca="1" si="23"/>
        <v>1.3636363636363637E-3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input_531010!A$2</f>
        <v>531010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IFERROR(VLOOKUP(B343,input_531010!L:R,7,FALSE),VLOOKUP(tables_531010!C343,input_531010!A:H,8,FALSE))</f>
        <v>412896</v>
      </c>
      <c r="P343" s="46">
        <f t="shared" ca="1" si="23"/>
        <v>6.6553191489361705E-3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input_531010!A$2</f>
        <v>531010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IFERROR(VLOOKUP(B344,input_531010!L:R,7,FALSE),VLOOKUP(tables_531010!C344,input_531010!A:H,8,FALSE))</f>
        <v>31878</v>
      </c>
      <c r="P344" s="46">
        <f t="shared" ca="1" si="23"/>
        <v>5.1382978723404254E-4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input_531010!A$2</f>
        <v>531010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IFERROR(VLOOKUP(B345,input_531010!L:R,7,FALSE),VLOOKUP(tables_531010!C345,input_531010!A:H,8,FALSE))</f>
        <v>84600</v>
      </c>
      <c r="P345" s="46">
        <f t="shared" ca="1" si="23"/>
        <v>1.3636363636363637E-3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input_531010!A$2</f>
        <v>531010</v>
      </c>
      <c r="B346" s="1">
        <v>1424</v>
      </c>
      <c r="C346" s="7" t="str">
        <f t="shared" ref="C346" si="34">D346&amp;J346&amp;E346&amp;F346&amp;G346</f>
        <v>PremiumSSS6R3less</v>
      </c>
      <c r="D346" s="95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IFERROR(VLOOKUP(B346,input_531010!L:R,7,FALSE),VLOOKUP(tables_531010!C346,input_531010!A:H,8,FALSE))</f>
        <v>124080</v>
      </c>
      <c r="P346" s="46">
        <f t="shared" ca="1" si="23"/>
        <v>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input_531010!A$2</f>
        <v>531010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IFERROR(VLOOKUP(B347,input_531010!L:R,7,FALSE),VLOOKUP(tables_531010!C347,input_531010!A:H,8,FALSE))</f>
        <v>124080</v>
      </c>
      <c r="P347" s="46">
        <f t="shared" ref="P347:P350" ca="1" si="38">O347/SUM(O:O)</f>
        <v>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input_531010!A$2</f>
        <v>531010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IFERROR(VLOOKUP(B348,input_531010!L:R,7,FALSE),VLOOKUP(tables_531010!C348,input_531010!A:H,8,FALSE))</f>
        <v>124080</v>
      </c>
      <c r="P348" s="46">
        <f t="shared" ca="1" si="38"/>
        <v>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input_531010!A$2</f>
        <v>531010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IFERROR(VLOOKUP(B349,input_531010!L:R,7,FALSE),VLOOKUP(tables_531010!C349,input_531010!A:H,8,FALSE))</f>
        <v>3102000</v>
      </c>
      <c r="P349" s="46">
        <f t="shared" ca="1" si="38"/>
        <v>0.05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input_531010!A$2</f>
        <v>531010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IFERROR(VLOOKUP(B350,input_531010!L:R,7,FALSE),VLOOKUP(tables_531010!C350,input_531010!A:H,8,FALSE))</f>
        <v>3102000</v>
      </c>
      <c r="P350" s="46">
        <f t="shared" ca="1" si="38"/>
        <v>0.05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input_531010!A$2</f>
        <v>531010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IFERROR(VLOOKUP(B351,input_531010!L:R,7,FALSE),VLOOKUP(tables_531010!C351,input_531010!A:H,8,FALSE))</f>
        <v>124080</v>
      </c>
      <c r="P351" s="46">
        <f t="shared" ref="P351" ca="1" si="41">O351/SUM(O:O)</f>
        <v>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input_531010!A$2</f>
        <v>531010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academia</v>
      </c>
      <c r="N352" s="7" t="str">
        <f>VLOOKUP(B352,[1]characters!$A:$G,7,FALSE)</f>
        <v>男性</v>
      </c>
      <c r="O352" s="45">
        <f>IFERROR(VLOOKUP(B352,input_531010!L:R,7,FALSE),VLOOKUP(tables_531010!C352,input_531010!A:H,8,FALSE))</f>
        <v>124080</v>
      </c>
      <c r="P352" s="46">
        <f t="shared" ref="P352:P354" ca="1" si="44">O352/SUM(O:O)</f>
        <v>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input_531010!A$2</f>
        <v>531010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IFERROR(VLOOKUP(B353,input_531010!L:R,7,FALSE),VLOOKUP(tables_531010!C353,input_531010!A:H,8,FALSE))</f>
        <v>3102000</v>
      </c>
      <c r="P353" s="46">
        <f t="shared" ca="1" si="44"/>
        <v>0.05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input_531010!A$2</f>
        <v>531010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IFERROR(VLOOKUP(B354,input_531010!L:R,7,FALSE),VLOOKUP(tables_531010!C354,input_531010!A:H,8,FALSE))</f>
        <v>3102000</v>
      </c>
      <c r="P354" s="46">
        <f t="shared" ca="1" si="44"/>
        <v>0.05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Q3" sqref="Q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535105</v>
      </c>
      <c r="B2" s="97">
        <v>5351051</v>
      </c>
      <c r="C2" s="2" t="s">
        <v>257</v>
      </c>
      <c r="D2" s="2">
        <v>837</v>
      </c>
      <c r="E2" s="79">
        <v>1</v>
      </c>
      <c r="F2" s="2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79" t="s">
        <v>256</v>
      </c>
      <c r="O2" s="2" t="s">
        <v>258</v>
      </c>
      <c r="P2" s="79" t="s">
        <v>255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input_531010</vt:lpstr>
      <vt:lpstr>tables_531010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2017-02-20T06:19:56Z</dcterms:modified>
</cp:coreProperties>
</file>