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o_takigawa/BULL_data/master_excel/"/>
    </mc:Choice>
  </mc:AlternateContent>
  <bookViews>
    <workbookView xWindow="1540" yWindow="460" windowWidth="25120" windowHeight="155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1" l="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29" i="11"/>
  <c r="J28" i="11"/>
  <c r="J27" i="11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M40" i="10"/>
  <c r="T40" i="10"/>
  <c r="W40" i="10"/>
  <c r="V40" i="10"/>
  <c r="X40" i="10"/>
  <c r="U40" i="10"/>
  <c r="Y40" i="10"/>
  <c r="M17" i="10"/>
  <c r="N17" i="10"/>
  <c r="Q17" i="10"/>
  <c r="P17" i="10"/>
  <c r="R17" i="10"/>
  <c r="O17" i="10"/>
  <c r="S17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M16" i="10"/>
  <c r="N16" i="10"/>
  <c r="Q16" i="10"/>
  <c r="P16" i="10"/>
  <c r="R16" i="10"/>
  <c r="O16" i="10"/>
  <c r="S16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M22" i="10"/>
  <c r="N22" i="10"/>
  <c r="Q22" i="10"/>
  <c r="P22" i="10"/>
  <c r="R22" i="10"/>
  <c r="O22" i="10"/>
  <c r="S22" i="10"/>
  <c r="M15" i="10"/>
  <c r="N15" i="10"/>
  <c r="Q15" i="10"/>
  <c r="P15" i="10"/>
  <c r="R15" i="10"/>
  <c r="O15" i="10"/>
  <c r="S15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G12" i="10"/>
  <c r="J12" i="10"/>
  <c r="I12" i="10"/>
  <c r="K12" i="10"/>
  <c r="H12" i="10"/>
  <c r="L12" i="10"/>
  <c r="M12" i="10"/>
  <c r="M19" i="10"/>
  <c r="N19" i="10"/>
  <c r="Q19" i="10"/>
  <c r="P19" i="10"/>
  <c r="R19" i="10"/>
  <c r="O19" i="10"/>
  <c r="S19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J13" i="10"/>
  <c r="I13" i="10"/>
  <c r="K13" i="10"/>
  <c r="H13" i="10"/>
  <c r="L13" i="10"/>
  <c r="M13" i="10"/>
  <c r="M20" i="10"/>
  <c r="N20" i="10"/>
  <c r="Q20" i="10"/>
  <c r="P20" i="10"/>
  <c r="R20" i="10"/>
  <c r="O20" i="10"/>
  <c r="S20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J14" i="10"/>
  <c r="I14" i="10"/>
  <c r="K14" i="10"/>
  <c r="H14" i="10"/>
  <c r="L14" i="10"/>
  <c r="M14" i="10"/>
  <c r="M21" i="10"/>
  <c r="N21" i="10"/>
  <c r="Q21" i="10"/>
  <c r="P21" i="10"/>
  <c r="R21" i="10"/>
  <c r="O21" i="10"/>
  <c r="S21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J15" i="10"/>
  <c r="I15" i="10"/>
  <c r="K15" i="10"/>
  <c r="H15" i="10"/>
  <c r="L15" i="10"/>
  <c r="T15" i="10"/>
  <c r="U15" i="10"/>
  <c r="V15" i="10"/>
  <c r="W15" i="10"/>
  <c r="X15" i="10"/>
  <c r="Y15" i="10"/>
  <c r="G16" i="10"/>
  <c r="J16" i="10"/>
  <c r="I16" i="10"/>
  <c r="K16" i="10"/>
  <c r="H16" i="10"/>
  <c r="L16" i="10"/>
  <c r="T16" i="10"/>
  <c r="U16" i="10"/>
  <c r="V16" i="10"/>
  <c r="W16" i="10"/>
  <c r="X16" i="10"/>
  <c r="Y16" i="10"/>
  <c r="G17" i="10"/>
  <c r="J17" i="10"/>
  <c r="I17" i="10"/>
  <c r="K17" i="10"/>
  <c r="H17" i="10"/>
  <c r="L17" i="10"/>
  <c r="T17" i="10"/>
  <c r="U17" i="10"/>
  <c r="V17" i="10"/>
  <c r="W17" i="10"/>
  <c r="X17" i="10"/>
  <c r="Y17" i="10"/>
  <c r="G18" i="10"/>
  <c r="J18" i="10"/>
  <c r="I18" i="10"/>
  <c r="K18" i="10"/>
  <c r="H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J19" i="10"/>
  <c r="I19" i="10"/>
  <c r="K19" i="10"/>
  <c r="H19" i="10"/>
  <c r="L19" i="10"/>
  <c r="T19" i="10"/>
  <c r="U19" i="10"/>
  <c r="V19" i="10"/>
  <c r="W19" i="10"/>
  <c r="X19" i="10"/>
  <c r="Y19" i="10"/>
  <c r="G20" i="10"/>
  <c r="J20" i="10"/>
  <c r="I20" i="10"/>
  <c r="K20" i="10"/>
  <c r="H20" i="10"/>
  <c r="L20" i="10"/>
  <c r="T20" i="10"/>
  <c r="U20" i="10"/>
  <c r="V20" i="10"/>
  <c r="W20" i="10"/>
  <c r="X20" i="10"/>
  <c r="Y20" i="10"/>
  <c r="G21" i="10"/>
  <c r="J21" i="10"/>
  <c r="I21" i="10"/>
  <c r="K21" i="10"/>
  <c r="H21" i="10"/>
  <c r="L21" i="10"/>
  <c r="T21" i="10"/>
  <c r="U21" i="10"/>
  <c r="V21" i="10"/>
  <c r="W21" i="10"/>
  <c r="X21" i="10"/>
  <c r="Y21" i="10"/>
  <c r="G22" i="10"/>
  <c r="J22" i="10"/>
  <c r="I22" i="10"/>
  <c r="K22" i="10"/>
  <c r="H22" i="10"/>
  <c r="L22" i="10"/>
  <c r="T22" i="10"/>
  <c r="U22" i="10"/>
  <c r="V22" i="10"/>
  <c r="W22" i="10"/>
  <c r="X22" i="10"/>
  <c r="Y22" i="10"/>
  <c r="D32" i="9"/>
  <c r="E32" i="9"/>
  <c r="D33" i="9"/>
  <c r="E33" i="9"/>
  <c r="D34" i="9"/>
  <c r="E34" i="9"/>
  <c r="D35" i="9"/>
  <c r="E35" i="9"/>
  <c r="D36" i="9"/>
  <c r="E36" i="9"/>
  <c r="D37" i="9"/>
  <c r="E37" i="9"/>
  <c r="D38" i="9"/>
  <c r="E38" i="9"/>
  <c r="D39" i="9"/>
  <c r="E39" i="9"/>
  <c r="D40" i="9"/>
  <c r="E40" i="9"/>
  <c r="D41" i="9"/>
  <c r="E41" i="9"/>
  <c r="D42" i="9"/>
  <c r="E42" i="9"/>
  <c r="G32" i="9"/>
  <c r="H32" i="9"/>
  <c r="I32" i="9"/>
  <c r="J32" i="9"/>
  <c r="K32" i="9"/>
  <c r="L32" i="9"/>
  <c r="M32" i="9"/>
  <c r="N32" i="9"/>
  <c r="J32" i="11"/>
  <c r="O32" i="9"/>
  <c r="G33" i="9"/>
  <c r="H33" i="9"/>
  <c r="I33" i="9"/>
  <c r="J33" i="9"/>
  <c r="K33" i="9"/>
  <c r="L33" i="9"/>
  <c r="M33" i="9"/>
  <c r="N33" i="9"/>
  <c r="J33" i="11"/>
  <c r="O33" i="9"/>
  <c r="G34" i="9"/>
  <c r="H34" i="9"/>
  <c r="I34" i="9"/>
  <c r="J34" i="9"/>
  <c r="K34" i="9"/>
  <c r="L34" i="9"/>
  <c r="M34" i="9"/>
  <c r="N34" i="9"/>
  <c r="J34" i="11"/>
  <c r="O34" i="9"/>
  <c r="G35" i="9"/>
  <c r="H35" i="9"/>
  <c r="I35" i="9"/>
  <c r="J35" i="9"/>
  <c r="K35" i="9"/>
  <c r="L35" i="9"/>
  <c r="M35" i="9"/>
  <c r="N35" i="9"/>
  <c r="J35" i="11"/>
  <c r="O35" i="9"/>
  <c r="G36" i="9"/>
  <c r="H36" i="9"/>
  <c r="I36" i="9"/>
  <c r="J36" i="9"/>
  <c r="K36" i="9"/>
  <c r="L36" i="9"/>
  <c r="M36" i="9"/>
  <c r="N36" i="9"/>
  <c r="J36" i="11"/>
  <c r="O36" i="9"/>
  <c r="G37" i="9"/>
  <c r="H37" i="9"/>
  <c r="I37" i="9"/>
  <c r="J37" i="9"/>
  <c r="K37" i="9"/>
  <c r="L37" i="9"/>
  <c r="M37" i="9"/>
  <c r="N37" i="9"/>
  <c r="J37" i="11"/>
  <c r="O37" i="9"/>
  <c r="G38" i="9"/>
  <c r="H38" i="9"/>
  <c r="I38" i="9"/>
  <c r="J38" i="9"/>
  <c r="K38" i="9"/>
  <c r="L38" i="9"/>
  <c r="M38" i="9"/>
  <c r="N38" i="9"/>
  <c r="J38" i="11"/>
  <c r="O38" i="9"/>
  <c r="G39" i="9"/>
  <c r="H39" i="9"/>
  <c r="I39" i="9"/>
  <c r="J39" i="9"/>
  <c r="K39" i="9"/>
  <c r="L39" i="9"/>
  <c r="M39" i="9"/>
  <c r="N39" i="9"/>
  <c r="J39" i="11"/>
  <c r="O39" i="9"/>
  <c r="G40" i="9"/>
  <c r="H40" i="9"/>
  <c r="I40" i="9"/>
  <c r="J40" i="9"/>
  <c r="K40" i="9"/>
  <c r="L40" i="9"/>
  <c r="M40" i="9"/>
  <c r="N40" i="9"/>
  <c r="J40" i="11"/>
  <c r="O40" i="9"/>
  <c r="G41" i="9"/>
  <c r="H41" i="9"/>
  <c r="I41" i="9"/>
  <c r="J41" i="9"/>
  <c r="K41" i="9"/>
  <c r="L41" i="9"/>
  <c r="M41" i="9"/>
  <c r="N41" i="9"/>
  <c r="J41" i="11"/>
  <c r="O41" i="9"/>
  <c r="G42" i="9"/>
  <c r="H42" i="9"/>
  <c r="I42" i="9"/>
  <c r="J42" i="9"/>
  <c r="K42" i="9"/>
  <c r="L42" i="9"/>
  <c r="M42" i="9"/>
  <c r="N42" i="9"/>
  <c r="J42" i="11"/>
  <c r="O42" i="9"/>
  <c r="A42" i="9"/>
  <c r="A41" i="9"/>
  <c r="A40" i="9"/>
  <c r="A39" i="9"/>
  <c r="A38" i="9"/>
  <c r="A37" i="9"/>
  <c r="A36" i="9"/>
  <c r="A35" i="9"/>
  <c r="A34" i="9"/>
  <c r="A33" i="9"/>
  <c r="A32" i="9"/>
  <c r="J8" i="11"/>
  <c r="O6" i="9"/>
  <c r="N6" i="9"/>
  <c r="M6" i="9"/>
  <c r="L6" i="9"/>
  <c r="K6" i="9"/>
  <c r="J6" i="9"/>
  <c r="I6" i="9"/>
  <c r="H6" i="9"/>
  <c r="G6" i="9"/>
  <c r="E6" i="9"/>
  <c r="D6" i="9"/>
  <c r="A6" i="9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L14" i="19"/>
  <c r="K14" i="19"/>
  <c r="B14" i="19"/>
  <c r="G14" i="19"/>
  <c r="F14" i="19"/>
  <c r="L13" i="19"/>
  <c r="K13" i="19"/>
  <c r="B13" i="19"/>
  <c r="G13" i="19"/>
  <c r="F13" i="19"/>
  <c r="L12" i="19"/>
  <c r="K12" i="19"/>
  <c r="B12" i="19"/>
  <c r="G12" i="19"/>
  <c r="F12" i="19"/>
  <c r="L11" i="19"/>
  <c r="K11" i="19"/>
  <c r="B11" i="19"/>
  <c r="G11" i="19"/>
  <c r="F11" i="19"/>
  <c r="L10" i="19"/>
  <c r="K10" i="19"/>
  <c r="B10" i="19"/>
  <c r="G10" i="19"/>
  <c r="F10" i="19"/>
  <c r="L9" i="19"/>
  <c r="K9" i="19"/>
  <c r="B9" i="19"/>
  <c r="G9" i="19"/>
  <c r="F9" i="19"/>
  <c r="L8" i="19"/>
  <c r="K8" i="19"/>
  <c r="B8" i="19"/>
  <c r="G8" i="19"/>
  <c r="F8" i="19"/>
  <c r="L7" i="19"/>
  <c r="K7" i="19"/>
  <c r="B7" i="19"/>
  <c r="G7" i="19"/>
  <c r="F7" i="19"/>
  <c r="L6" i="19"/>
  <c r="K6" i="19"/>
  <c r="B6" i="19"/>
  <c r="G6" i="19"/>
  <c r="F6" i="19"/>
  <c r="L5" i="19"/>
  <c r="K5" i="19"/>
  <c r="B5" i="19"/>
  <c r="G5" i="19"/>
  <c r="F5" i="19"/>
  <c r="L4" i="19"/>
  <c r="K4" i="19"/>
  <c r="B4" i="19"/>
  <c r="G4" i="19"/>
  <c r="F4" i="19"/>
  <c r="L3" i="19"/>
  <c r="K3" i="19"/>
  <c r="B3" i="19"/>
  <c r="G3" i="19"/>
  <c r="F3" i="19"/>
  <c r="L2" i="19"/>
  <c r="K2" i="19"/>
  <c r="B2" i="19"/>
  <c r="G2" i="19"/>
  <c r="F2" i="19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E2" i="9"/>
  <c r="V2" i="1"/>
  <c r="E7" i="9"/>
  <c r="V4" i="1"/>
  <c r="E9" i="9"/>
  <c r="V5" i="1"/>
  <c r="E13" i="9"/>
  <c r="E22" i="9"/>
  <c r="V6" i="1"/>
  <c r="E18" i="9"/>
  <c r="V7" i="1"/>
  <c r="G2" i="9"/>
  <c r="H2" i="9"/>
  <c r="I2" i="9"/>
  <c r="J2" i="9"/>
  <c r="K2" i="9"/>
  <c r="L2" i="9"/>
  <c r="M2" i="9"/>
  <c r="N2" i="9"/>
  <c r="J2" i="11"/>
  <c r="O2" i="9"/>
  <c r="G3" i="9"/>
  <c r="H3" i="9"/>
  <c r="I3" i="9"/>
  <c r="J3" i="9"/>
  <c r="K3" i="9"/>
  <c r="L3" i="9"/>
  <c r="M3" i="9"/>
  <c r="N3" i="9"/>
  <c r="J3" i="11"/>
  <c r="O3" i="9"/>
  <c r="G4" i="9"/>
  <c r="H4" i="9"/>
  <c r="I4" i="9"/>
  <c r="J4" i="9"/>
  <c r="K4" i="9"/>
  <c r="L4" i="9"/>
  <c r="M4" i="9"/>
  <c r="N4" i="9"/>
  <c r="J4" i="11"/>
  <c r="O4" i="9"/>
  <c r="G5" i="9"/>
  <c r="H5" i="9"/>
  <c r="I5" i="9"/>
  <c r="J5" i="9"/>
  <c r="K5" i="9"/>
  <c r="L5" i="9"/>
  <c r="M5" i="9"/>
  <c r="N5" i="9"/>
  <c r="J5" i="11"/>
  <c r="O5" i="9"/>
  <c r="G7" i="9"/>
  <c r="H7" i="9"/>
  <c r="I7" i="9"/>
  <c r="J7" i="9"/>
  <c r="K7" i="9"/>
  <c r="L7" i="9"/>
  <c r="M7" i="9"/>
  <c r="N7" i="9"/>
  <c r="J6" i="11"/>
  <c r="O7" i="9"/>
  <c r="G8" i="9"/>
  <c r="H8" i="9"/>
  <c r="I8" i="9"/>
  <c r="J8" i="9"/>
  <c r="K8" i="9"/>
  <c r="L8" i="9"/>
  <c r="M8" i="9"/>
  <c r="N8" i="9"/>
  <c r="J7" i="11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J9" i="11"/>
  <c r="O10" i="9"/>
  <c r="G11" i="9"/>
  <c r="H11" i="9"/>
  <c r="I11" i="9"/>
  <c r="J11" i="9"/>
  <c r="K11" i="9"/>
  <c r="L11" i="9"/>
  <c r="M11" i="9"/>
  <c r="N11" i="9"/>
  <c r="J10" i="11"/>
  <c r="O11" i="9"/>
  <c r="G12" i="9"/>
  <c r="H12" i="9"/>
  <c r="I12" i="9"/>
  <c r="J12" i="9"/>
  <c r="K12" i="9"/>
  <c r="L12" i="9"/>
  <c r="M12" i="9"/>
  <c r="N12" i="9"/>
  <c r="J11" i="11"/>
  <c r="O12" i="9"/>
  <c r="G13" i="9"/>
  <c r="H13" i="9"/>
  <c r="I13" i="9"/>
  <c r="J13" i="9"/>
  <c r="K13" i="9"/>
  <c r="L13" i="9"/>
  <c r="M13" i="9"/>
  <c r="N13" i="9"/>
  <c r="J12" i="11"/>
  <c r="O13" i="9"/>
  <c r="G14" i="9"/>
  <c r="H14" i="9"/>
  <c r="I14" i="9"/>
  <c r="J14" i="9"/>
  <c r="K14" i="9"/>
  <c r="L14" i="9"/>
  <c r="M14" i="9"/>
  <c r="N14" i="9"/>
  <c r="J13" i="11"/>
  <c r="O14" i="9"/>
  <c r="G15" i="9"/>
  <c r="H15" i="9"/>
  <c r="I15" i="9"/>
  <c r="J15" i="9"/>
  <c r="K15" i="9"/>
  <c r="L15" i="9"/>
  <c r="M15" i="9"/>
  <c r="N15" i="9"/>
  <c r="J14" i="11"/>
  <c r="O15" i="9"/>
  <c r="G16" i="9"/>
  <c r="H16" i="9"/>
  <c r="I16" i="9"/>
  <c r="J16" i="9"/>
  <c r="K16" i="9"/>
  <c r="L16" i="9"/>
  <c r="M16" i="9"/>
  <c r="N16" i="9"/>
  <c r="J15" i="11"/>
  <c r="O16" i="9"/>
  <c r="G17" i="9"/>
  <c r="H17" i="9"/>
  <c r="I17" i="9"/>
  <c r="J17" i="9"/>
  <c r="K17" i="9"/>
  <c r="L17" i="9"/>
  <c r="M17" i="9"/>
  <c r="N17" i="9"/>
  <c r="J16" i="11"/>
  <c r="O17" i="9"/>
  <c r="G18" i="9"/>
  <c r="H18" i="9"/>
  <c r="I18" i="9"/>
  <c r="J18" i="9"/>
  <c r="K18" i="9"/>
  <c r="L18" i="9"/>
  <c r="M18" i="9"/>
  <c r="N18" i="9"/>
  <c r="J17" i="11"/>
  <c r="O18" i="9"/>
  <c r="G19" i="9"/>
  <c r="H19" i="9"/>
  <c r="I19" i="9"/>
  <c r="J19" i="9"/>
  <c r="K19" i="9"/>
  <c r="L19" i="9"/>
  <c r="M19" i="9"/>
  <c r="N19" i="9"/>
  <c r="J18" i="11"/>
  <c r="O19" i="9"/>
  <c r="G20" i="9"/>
  <c r="H20" i="9"/>
  <c r="I20" i="9"/>
  <c r="J20" i="9"/>
  <c r="K20" i="9"/>
  <c r="L20" i="9"/>
  <c r="M20" i="9"/>
  <c r="N20" i="9"/>
  <c r="J19" i="11"/>
  <c r="O20" i="9"/>
  <c r="G21" i="9"/>
  <c r="H21" i="9"/>
  <c r="I21" i="9"/>
  <c r="J21" i="9"/>
  <c r="K21" i="9"/>
  <c r="L21" i="9"/>
  <c r="M21" i="9"/>
  <c r="N21" i="9"/>
  <c r="J20" i="11"/>
  <c r="O21" i="9"/>
  <c r="G22" i="9"/>
  <c r="H22" i="9"/>
  <c r="I22" i="9"/>
  <c r="J22" i="9"/>
  <c r="K22" i="9"/>
  <c r="L22" i="9"/>
  <c r="M22" i="9"/>
  <c r="N22" i="9"/>
  <c r="J21" i="11"/>
  <c r="O22" i="9"/>
  <c r="G23" i="9"/>
  <c r="H23" i="9"/>
  <c r="I23" i="9"/>
  <c r="J23" i="9"/>
  <c r="K23" i="9"/>
  <c r="L23" i="9"/>
  <c r="M23" i="9"/>
  <c r="N23" i="9"/>
  <c r="J22" i="11"/>
  <c r="O23" i="9"/>
  <c r="G24" i="9"/>
  <c r="H24" i="9"/>
  <c r="I24" i="9"/>
  <c r="J24" i="9"/>
  <c r="K24" i="9"/>
  <c r="L24" i="9"/>
  <c r="M24" i="9"/>
  <c r="N24" i="9"/>
  <c r="J23" i="11"/>
  <c r="O24" i="9"/>
  <c r="G25" i="9"/>
  <c r="H25" i="9"/>
  <c r="I25" i="9"/>
  <c r="J25" i="9"/>
  <c r="K25" i="9"/>
  <c r="L25" i="9"/>
  <c r="M25" i="9"/>
  <c r="N25" i="9"/>
  <c r="J24" i="11"/>
  <c r="O25" i="9"/>
  <c r="G26" i="9"/>
  <c r="H26" i="9"/>
  <c r="I26" i="9"/>
  <c r="J26" i="9"/>
  <c r="K26" i="9"/>
  <c r="L26" i="9"/>
  <c r="M26" i="9"/>
  <c r="N26" i="9"/>
  <c r="J25" i="11"/>
  <c r="O26" i="9"/>
  <c r="G27" i="9"/>
  <c r="H27" i="9"/>
  <c r="I27" i="9"/>
  <c r="J27" i="9"/>
  <c r="K27" i="9"/>
  <c r="L27" i="9"/>
  <c r="M27" i="9"/>
  <c r="N27" i="9"/>
  <c r="J26" i="11"/>
  <c r="O27" i="9"/>
  <c r="G31" i="9"/>
  <c r="H31" i="9"/>
  <c r="I31" i="9"/>
  <c r="J31" i="9"/>
  <c r="K31" i="9"/>
  <c r="L31" i="9"/>
  <c r="M31" i="9"/>
  <c r="N31" i="9"/>
  <c r="J30" i="11"/>
  <c r="O31" i="9"/>
  <c r="J31" i="11"/>
  <c r="A3" i="9"/>
  <c r="D3" i="9"/>
  <c r="E3" i="9"/>
  <c r="A4" i="9"/>
  <c r="D4" i="9"/>
  <c r="E4" i="9"/>
  <c r="A5" i="9"/>
  <c r="D5" i="9"/>
  <c r="E5" i="9"/>
  <c r="A7" i="9"/>
  <c r="D7" i="9"/>
  <c r="A8" i="9"/>
  <c r="D8" i="9"/>
  <c r="E8" i="9"/>
  <c r="A9" i="9"/>
  <c r="D9" i="9"/>
  <c r="A10" i="9"/>
  <c r="D10" i="9"/>
  <c r="E10" i="9"/>
  <c r="A11" i="9"/>
  <c r="D11" i="9"/>
  <c r="E11" i="9"/>
  <c r="A12" i="9"/>
  <c r="D12" i="9"/>
  <c r="E12" i="9"/>
  <c r="A13" i="9"/>
  <c r="D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A19" i="9"/>
  <c r="D19" i="9"/>
  <c r="E19" i="9"/>
  <c r="A20" i="9"/>
  <c r="D20" i="9"/>
  <c r="E20" i="9"/>
  <c r="A21" i="9"/>
  <c r="D21" i="9"/>
  <c r="E21" i="9"/>
  <c r="A22" i="9"/>
  <c r="D22" i="9"/>
  <c r="A23" i="9"/>
  <c r="D23" i="9"/>
  <c r="E23" i="9"/>
  <c r="A24" i="9"/>
  <c r="D24" i="9"/>
  <c r="E24" i="9"/>
  <c r="A25" i="9"/>
  <c r="D25" i="9"/>
  <c r="E25" i="9"/>
  <c r="A26" i="9"/>
  <c r="D26" i="9"/>
  <c r="E26" i="9"/>
  <c r="A27" i="9"/>
  <c r="D27" i="9"/>
  <c r="E27" i="9"/>
  <c r="A31" i="9"/>
  <c r="D31" i="9"/>
  <c r="E31" i="9"/>
  <c r="G3" i="10"/>
  <c r="H3" i="10"/>
  <c r="I3" i="10"/>
  <c r="J3" i="10"/>
  <c r="K3" i="10"/>
  <c r="L3" i="10"/>
  <c r="M3" i="10"/>
  <c r="M24" i="10"/>
  <c r="M3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25" i="10"/>
  <c r="M3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26" i="10"/>
  <c r="M3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27" i="10"/>
  <c r="M37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28" i="10"/>
  <c r="M41" i="10"/>
  <c r="N41" i="10"/>
  <c r="Q41" i="10"/>
  <c r="P41" i="10"/>
  <c r="R41" i="10"/>
  <c r="O41" i="10"/>
  <c r="S41" i="10"/>
  <c r="N28" i="10"/>
  <c r="Q28" i="10"/>
  <c r="P28" i="10"/>
  <c r="R28" i="10"/>
  <c r="O28" i="10"/>
  <c r="S28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29" i="10"/>
  <c r="N29" i="10"/>
  <c r="Q29" i="10"/>
  <c r="P29" i="10"/>
  <c r="R29" i="10"/>
  <c r="O29" i="10"/>
  <c r="S29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30" i="10"/>
  <c r="N30" i="10"/>
  <c r="Q30" i="10"/>
  <c r="P30" i="10"/>
  <c r="R30" i="10"/>
  <c r="O30" i="10"/>
  <c r="S30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31" i="10"/>
  <c r="N31" i="10"/>
  <c r="Q31" i="10"/>
  <c r="P31" i="10"/>
  <c r="R31" i="10"/>
  <c r="O31" i="10"/>
  <c r="S31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32" i="10"/>
  <c r="N32" i="10"/>
  <c r="Q32" i="10"/>
  <c r="P32" i="10"/>
  <c r="R32" i="10"/>
  <c r="O32" i="10"/>
  <c r="S32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23" i="10"/>
  <c r="H23" i="10"/>
  <c r="I23" i="10"/>
  <c r="J23" i="10"/>
  <c r="K23" i="10"/>
  <c r="L23" i="10"/>
  <c r="M23" i="10"/>
  <c r="M33" i="10"/>
  <c r="N33" i="10"/>
  <c r="Q33" i="10"/>
  <c r="P33" i="10"/>
  <c r="R33" i="10"/>
  <c r="O33" i="10"/>
  <c r="S3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4" i="1"/>
  <c r="D4" i="1"/>
  <c r="E4" i="1"/>
  <c r="F4" i="1"/>
  <c r="H4" i="1"/>
  <c r="I4" i="1"/>
  <c r="J4" i="1"/>
  <c r="M4" i="1"/>
  <c r="N4" i="1"/>
  <c r="O4" i="1"/>
  <c r="P4" i="1"/>
  <c r="Q4" i="1"/>
  <c r="AB4" i="1"/>
  <c r="AC4" i="1"/>
  <c r="AD4" i="1"/>
  <c r="AE4" i="1"/>
  <c r="AG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C3" i="19"/>
  <c r="D3" i="19"/>
  <c r="C4" i="19"/>
  <c r="D4" i="19"/>
  <c r="C5" i="19"/>
  <c r="D5" i="19"/>
  <c r="C6" i="19"/>
  <c r="D6" i="19"/>
  <c r="C7" i="19"/>
  <c r="D7" i="19"/>
  <c r="C8" i="19"/>
  <c r="D8" i="19"/>
  <c r="C9" i="19"/>
  <c r="D9" i="19"/>
  <c r="C10" i="19"/>
  <c r="D10" i="19"/>
  <c r="C11" i="19"/>
  <c r="D11" i="19"/>
  <c r="C12" i="19"/>
  <c r="D12" i="19"/>
  <c r="C13" i="19"/>
  <c r="D13" i="19"/>
  <c r="C14" i="19"/>
  <c r="D14" i="19"/>
  <c r="C12" i="16"/>
  <c r="B2" i="21"/>
  <c r="I2" i="21"/>
  <c r="J2" i="21"/>
  <c r="G2" i="21"/>
  <c r="F2" i="21"/>
  <c r="D2" i="21"/>
  <c r="C2" i="21"/>
  <c r="E12" i="16"/>
  <c r="C10" i="16"/>
  <c r="C11" i="16"/>
  <c r="E11" i="16"/>
  <c r="D2" i="19"/>
  <c r="C2" i="19"/>
  <c r="E10" i="16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<sst xmlns="http://schemas.openxmlformats.org/spreadsheetml/2006/main" count="874" uniqueCount="384">
  <si>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</si>
  <si>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</si>
  <si>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</si>
  <si>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</si>
  <si>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</si>
  <si>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</si>
  <si>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</si>
  <si>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</si>
  <si>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</si>
  <si>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</si>
  <si>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</si>
  <si>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</si>
  <si>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</si>
  <si>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</si>
  <si>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</si>
  <si>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</si>
  <si>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</si>
  <si>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</si>
  <si>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</si>
  <si>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</si>
  <si>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</si>
  <si>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</si>
  <si>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</si>
  <si>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</si>
  <si>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</si>
  <si>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</si>
  <si>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</si>
  <si>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</si>
  <si>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</si>
  <si>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</si>
  <si>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</si>
  <si>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</si>
  <si>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</si>
  <si>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</si>
  <si>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</si>
  <si>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</si>
  <si>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</si>
  <si>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</si>
  <si>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</si>
  <si>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</si>
  <si>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</si>
  <si>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</si>
  <si>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</si>
  <si>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</si>
  <si>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</si>
  <si>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</si>
  <si>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</si>
  <si>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</si>
  <si>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</si>
  <si>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</si>
  <si>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</si>
  <si>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</si>
  <si>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</si>
  <si>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</si>
  <si>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</si>
  <si>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</si>
  <si>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</si>
  <si>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</si>
  <si>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</si>
  <si>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</si>
  <si>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</si>
  <si>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</si>
  <si>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</si>
  <si>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</si>
  <si>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</si>
  <si>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</si>
  <si>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</si>
  <si>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</si>
  <si>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</si>
  <si>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</si>
  <si>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</si>
  <si>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</si>
  <si>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</si>
  <si>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</si>
  <si>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</si>
  <si>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</si>
  <si>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</si>
  <si>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</si>
  <si>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</si>
  <si>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</si>
  <si>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</si>
  <si>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</si>
  <si>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</si>
  <si>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</si>
  <si>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</si>
  <si>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</si>
  <si>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</si>
  <si>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</si>
  <si>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</si>
  <si>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</si>
  <si>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</si>
  <si>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</si>
  <si>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</si>
  <si>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</si>
  <si>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</si>
  <si>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</si>
  <si>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</si>
  <si>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</si>
  <si>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</si>
  <si>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</si>
  <si>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</si>
  <si>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</si>
  <si>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</si>
  <si>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</si>
  <si>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</si>
  <si>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</si>
  <si>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</si>
  <si>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</si>
  <si>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</si>
  <si>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</si>
  <si>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</si>
  <si>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</si>
  <si>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</si>
  <si>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</si>
  <si>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</si>
  <si>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</si>
  <si>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</si>
  <si>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</si>
  <si>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</si>
  <si>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</si>
  <si>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</si>
  <si>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</si>
  <si>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</si>
  <si>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</si>
  <si>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</si>
  <si>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</si>
  <si>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</si>
  <si>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</si>
  <si>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</si>
  <si>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</si>
  <si>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</si>
  <si>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</si>
  <si>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</si>
  <si>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</si>
  <si>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</si>
  <si>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</si>
  <si>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</si>
  <si>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</si>
  <si>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</si>
  <si>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</si>
  <si>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</si>
  <si>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</si>
  <si>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</si>
  <si>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</si>
  <si>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</si>
  <si>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</si>
  <si>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</si>
  <si>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</si>
  <si>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</si>
  <si>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</si>
  <si>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</si>
  <si>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</si>
  <si>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</si>
  <si>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</si>
  <si>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</si>
  <si>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</si>
  <si>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</si>
  <si>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</si>
  <si>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</si>
  <si>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</si>
  <si>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</si>
  <si>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</si>
  <si>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</si>
  <si>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</si>
  <si>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</si>
  <si>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</si>
  <si>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</si>
  <si>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</si>
  <si>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</si>
  <si>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</si>
  <si>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</si>
  <si>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</si>
  <si>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</si>
  <si>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</si>
  <si>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</si>
  <si>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</si>
  <si>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</si>
  <si>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</si>
  <si>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</si>
  <si>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</si>
  <si>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</si>
  <si>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</si>
  <si>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</si>
  <si>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</si>
  <si>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</si>
  <si>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</si>
  <si>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</si>
  <si>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</si>
  <si>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</si>
  <si>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</si>
  <si>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</si>
  <si>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</si>
  <si>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</si>
  <si>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</si>
  <si>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</si>
  <si>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</si>
  <si>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</si>
  <si>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</si>
  <si>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</si>
  <si>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</si>
  <si>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</si>
  <si>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</si>
  <si>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</si>
  <si>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</si>
  <si>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</si>
  <si>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</si>
  <si>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</si>
  <si>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</si>
  <si>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</si>
  <si>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</si>
  <si>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</si>
  <si>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ブレット</t>
  </si>
  <si>
    <t>ブレット</t>
    <phoneticPr fontId="5"/>
  </si>
  <si>
    <t>逃走</t>
    <rPh sb="0" eb="2">
      <t>トウソウ</t>
    </rPh>
    <phoneticPr fontId="5"/>
  </si>
  <si>
    <t>ファイアフォックス</t>
  </si>
  <si>
    <t>ファイアフォックス</t>
    <phoneticPr fontId="5"/>
  </si>
  <si>
    <t>ファイアフォックス</t>
    <phoneticPr fontId="5"/>
  </si>
  <si>
    <t>ファータ</t>
  </si>
  <si>
    <t>ファータ</t>
    <phoneticPr fontId="5"/>
  </si>
  <si>
    <t>ファータ</t>
    <phoneticPr fontId="5"/>
  </si>
  <si>
    <t>ラファエル</t>
  </si>
  <si>
    <t>ラファエル</t>
    <phoneticPr fontId="5"/>
  </si>
  <si>
    <t>フレイ1</t>
  </si>
  <si>
    <t>フレイ2</t>
  </si>
  <si>
    <t>フレイ3</t>
  </si>
  <si>
    <t>null</t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</si>
  <si>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</si>
  <si>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</si>
  <si>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</si>
  <si>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</si>
  <si>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</si>
  <si>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久保</t>
    <rPh sb="0" eb="2">
      <t>クボ</t>
    </rPh>
    <phoneticPr fontId="5"/>
  </si>
  <si>
    <t>ブレット</t>
    <phoneticPr fontId="5"/>
  </si>
  <si>
    <t>状態異常無効＆次のターンに赤パネル吸収
＆1ターン赤パネルが出現しない</t>
    <rPh sb="0" eb="6">
      <t>カイマクジョウタイイジョウムコウ</t>
    </rPh>
    <rPh sb="7" eb="8">
      <t>ツギ</t>
    </rPh>
    <rPh sb="13" eb="14">
      <t>アカ</t>
    </rPh>
    <rPh sb="17" eb="19">
      <t>キュウシュウ</t>
    </rPh>
    <rPh sb="25" eb="26">
      <t>アカ</t>
    </rPh>
    <rPh sb="30" eb="32">
      <t>シュツゲン</t>
    </rPh>
    <phoneticPr fontId="5"/>
  </si>
  <si>
    <t>[effect:spread, val:0.3],[effect:freq_turn, target:myself, turn:-1, val:1, animation:enemy_freq_turn]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</si>
  <si>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</si>
  <si>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</si>
  <si>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</si>
  <si>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</si>
  <si>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</si>
  <si>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</si>
  <si>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</si>
  <si>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</si>
  <si>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</si>
  <si>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</si>
  <si>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</si>
  <si>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</si>
  <si>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</si>
  <si>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</si>
  <si>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</si>
  <si>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old</t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</si>
  <si>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t>
    <phoneticPr fontId="5"/>
  </si>
  <si>
    <t>ファータ</t>
    <phoneticPr fontId="5"/>
  </si>
  <si>
    <t>[effect:break_enchance_enemy, val:0.05, lowest_val:0.05, count :10, status:attack, turn:-1, block:block_red, target:myself, calc:mul, animation:enemy_enhance_attack],[effect:fix_speed, target:myself, turn:2]</t>
    <phoneticPr fontId="5"/>
  </si>
  <si>
    <t>ja</t>
    <phoneticPr fontId="5"/>
  </si>
  <si>
    <t>[effect:freq_turn, target:myself, turn:-1, val:1, animation:enemy_freq_turn]</t>
    <phoneticPr fontId="5"/>
  </si>
  <si>
    <t>ja</t>
    <phoneticPr fontId="5"/>
  </si>
  <si>
    <t>ja</t>
    <phoneticPr fontId="5"/>
  </si>
  <si>
    <t>全体攻撃</t>
    <rPh sb="0" eb="4">
      <t>ゼンタイコウゲキ</t>
    </rPh>
    <phoneticPr fontId="5"/>
  </si>
  <si>
    <t>null</t>
    <phoneticPr fontId="5"/>
  </si>
  <si>
    <t>null</t>
    <phoneticPr fontId="5"/>
  </si>
  <si>
    <t>null</t>
    <phoneticPr fontId="5"/>
  </si>
  <si>
    <t>[effect:drop_block, block_type:jammer, color:block_all, val:0, rate:0.04, turn:-1, animation:jammer_influence04]</t>
    <phoneticPr fontId="5"/>
  </si>
  <si>
    <t>お邪魔パネルが中確率で出現！</t>
    <rPh sb="7" eb="8">
      <t>チュウ</t>
    </rPh>
    <phoneticPr fontId="5"/>
  </si>
  <si>
    <t>転びながら突っ込んできた！</t>
    <rPh sb="0" eb="1">
      <t>コロ</t>
    </rPh>
    <rPh sb="5" eb="6">
      <t>ツ</t>
    </rPh>
    <rPh sb="7" eb="8">
      <t>コ</t>
    </rPh>
    <phoneticPr fontId="5"/>
  </si>
  <si>
    <t>ラファエル</t>
    <phoneticPr fontId="5"/>
  </si>
  <si>
    <t>[effect:dis_heart, turn:3, animation:enemy_dis_heart]</t>
    <phoneticPr fontId="5"/>
  </si>
  <si>
    <t>[effect:rush, count:2, val:0.65]</t>
    <phoneticPr fontId="5"/>
  </si>
  <si>
    <t>[effect:spread, val:0.24]</t>
    <phoneticPr fontId="5"/>
  </si>
  <si>
    <t>フレイ</t>
    <phoneticPr fontId="5"/>
  </si>
  <si>
    <t>ビュグヴィルとベイラ</t>
    <phoneticPr fontId="5"/>
  </si>
  <si>
    <t>ビュグヴィルとベイラ</t>
    <phoneticPr fontId="5"/>
  </si>
  <si>
    <t>フン！卑しいやつらめ！</t>
    <rPh sb="3" eb="4">
      <t>イヤ</t>
    </rPh>
    <phoneticPr fontId="5"/>
  </si>
  <si>
    <t>で、俺に勝てるとでも？</t>
    <rPh sb="2" eb="3">
      <t>オレ</t>
    </rPh>
    <rPh sb="4" eb="5">
      <t>カ</t>
    </rPh>
    <phoneticPr fontId="5"/>
  </si>
  <si>
    <t>調子に乗るなよ？</t>
    <rPh sb="0" eb="2">
      <t>チョウシ</t>
    </rPh>
    <rPh sb="3" eb="4">
      <t>ノ</t>
    </rPh>
    <phoneticPr fontId="5"/>
  </si>
  <si>
    <t>俺の管理は絶対だ！</t>
    <rPh sb="0" eb="1">
      <t>オレ</t>
    </rPh>
    <rPh sb="2" eb="4">
      <t>カンリ</t>
    </rPh>
    <rPh sb="5" eb="7">
      <t>ゼッタイ</t>
    </rPh>
    <phoneticPr fontId="5"/>
  </si>
  <si>
    <t>調子に乗るなと言ったろ？</t>
    <rPh sb="0" eb="2">
      <t>チョウシ</t>
    </rPh>
    <rPh sb="3" eb="4">
      <t>ノ</t>
    </rPh>
    <rPh sb="7" eb="8">
      <t>イ</t>
    </rPh>
    <phoneticPr fontId="5"/>
  </si>
  <si>
    <t>[effect:rush, count:2, val:0.3]</t>
    <phoneticPr fontId="5"/>
  </si>
  <si>
    <t xml:space="preserve">[effect:rush, count:2, val:0.35],[effect:dis_panel, target:block_red, turn:1, animation:enemy_dis_red]    </t>
    <phoneticPr fontId="5"/>
  </si>
  <si>
    <t>[effect:rush, count:2, val:0.4]</t>
    <phoneticPr fontId="5"/>
  </si>
  <si>
    <t xml:space="preserve">[effect:rush, count:2, val:0.45],[effect:enhance_enemy, target:myself, turn:3, status:defense, val:1500, calc:add, animation:enemy_enhance_defense]    </t>
    <phoneticPr fontId="5"/>
  </si>
  <si>
    <t>俺は正義なんだぜ？</t>
    <rPh sb="0" eb="1">
      <t>オレ</t>
    </rPh>
    <rPh sb="2" eb="4">
      <t>セイギ</t>
    </rPh>
    <phoneticPr fontId="5"/>
  </si>
  <si>
    <t>俺が世界に秩序を作る！</t>
    <rPh sb="0" eb="1">
      <t>オレ</t>
    </rPh>
    <rPh sb="2" eb="4">
      <t>セカイ</t>
    </rPh>
    <rPh sb="5" eb="7">
      <t>チツジョ</t>
    </rPh>
    <rPh sb="8" eb="9">
      <t>ツク</t>
    </rPh>
    <phoneticPr fontId="5"/>
  </si>
  <si>
    <t>これで終わりだ！</t>
    <rPh sb="3" eb="4">
      <t>オ</t>
    </rPh>
    <phoneticPr fontId="5"/>
  </si>
  <si>
    <t>アンチヒール</t>
    <phoneticPr fontId="5"/>
  </si>
  <si>
    <t>アンチリカバリ</t>
    <phoneticPr fontId="5"/>
  </si>
  <si>
    <t>ノイズストーム</t>
    <phoneticPr fontId="5"/>
  </si>
  <si>
    <t>リミッタープログラム</t>
    <phoneticPr fontId="5"/>
  </si>
  <si>
    <t>２連続攻撃</t>
    <rPh sb="1" eb="5">
      <t>ニレンゾクコウゲキ</t>
    </rPh>
    <phoneticPr fontId="5"/>
  </si>
  <si>
    <t>3ターンハートパネル無効</t>
    <rPh sb="10" eb="12">
      <t>ムコウ</t>
    </rPh>
    <phoneticPr fontId="5"/>
  </si>
  <si>
    <t>赤パネルを吸収して攻撃力UP</t>
    <rPh sb="0" eb="1">
      <t>アカ</t>
    </rPh>
    <rPh sb="5" eb="7">
      <t>キュウシュウ</t>
    </rPh>
    <rPh sb="9" eb="12">
      <t>コウゲキリョク</t>
    </rPh>
    <phoneticPr fontId="5"/>
  </si>
  <si>
    <t>2ターン緑パネル無効</t>
    <rPh sb="4" eb="5">
      <t>ミドリ</t>
    </rPh>
    <rPh sb="8" eb="10">
      <t>ムコウ</t>
    </rPh>
    <phoneticPr fontId="5"/>
  </si>
  <si>
    <t>攻撃頻度UP</t>
    <rPh sb="0" eb="4">
      <t>コウゲキヒンド</t>
    </rPh>
    <phoneticPr fontId="5"/>
  </si>
  <si>
    <t>時限式ダメージパネル出現＆状態異常無効</t>
    <rPh sb="0" eb="3">
      <t>カイマクジゲンシキ</t>
    </rPh>
    <rPh sb="10" eb="12">
      <t>シュツゲン</t>
    </rPh>
    <rPh sb="13" eb="19">
      <t>ジョウタイイジョウムコウ</t>
    </rPh>
    <phoneticPr fontId="5"/>
  </si>
  <si>
    <t>赤パネルを時限式ダメージパネルに変換</t>
    <rPh sb="0" eb="1">
      <t>アカ</t>
    </rPh>
    <rPh sb="5" eb="7">
      <t>jigeンン</t>
    </rPh>
    <rPh sb="7" eb="8">
      <t>シキ</t>
    </rPh>
    <rPh sb="16" eb="18">
      <t>ヘンカン</t>
    </rPh>
    <phoneticPr fontId="5"/>
  </si>
  <si>
    <t xml:space="preserve">[effect:break_heal_ratio, val:0.04, lowest_val:5000, count:-1, block:jammer, target:enemy_one, animation:enemy_heal]    </t>
    <phoneticPr fontId="5"/>
  </si>
  <si>
    <t>[effect:rush, count:4, val:0.25],[effect:force_change_block, new_block:jammer, target:block_all, ignore:jammer, ignore02:crash, count:4, val:0, animation:change_block]</t>
    <phoneticPr fontId="5"/>
  </si>
  <si>
    <t>[effect:rush, count:2, val:0.5],[effect:force_change_block, new_block:jammer, target:block_all, ignore:jammer, ignore02:crash, count:2, val:0, animation:change_block]</t>
    <phoneticPr fontId="5"/>
  </si>
  <si>
    <t>[effect:virus, turn:3, rate:1, val:0.17, animation:enemy_virus],[effect:rush, count:5, val:0.25]</t>
    <phoneticPr fontId="5"/>
  </si>
  <si>
    <t>[effect:spread, val:0.28]</t>
    <phoneticPr fontId="5"/>
  </si>
  <si>
    <t xml:space="preserve">[effect:rush, count:1, val:0.8],[effect:dis_panel, target:block_green, turn:2, animation:enemy_dis_green]    </t>
    <phoneticPr fontId="5"/>
  </si>
  <si>
    <t>これでも持って帰れよ！</t>
    <rPh sb="4" eb="7">
      <t>モッテケ</t>
    </rPh>
    <rPh sb="7" eb="8">
      <t>カエ</t>
    </rPh>
    <phoneticPr fontId="5"/>
  </si>
  <si>
    <t>ja</t>
    <phoneticPr fontId="5"/>
  </si>
  <si>
    <t>秩序無き世界は間違いだ！</t>
    <rPh sb="0" eb="2">
      <t>チツジョ</t>
    </rPh>
    <rPh sb="2" eb="3">
      <t>ナ</t>
    </rPh>
    <rPh sb="4" eb="6">
      <t>セカイ</t>
    </rPh>
    <rPh sb="7" eb="9">
      <t>マチガ</t>
    </rPh>
    <phoneticPr fontId="5"/>
  </si>
  <si>
    <t>そろそろ諦めろよ！</t>
    <rPh sb="4" eb="5">
      <t>アキラ</t>
    </rPh>
    <phoneticPr fontId="5"/>
  </si>
  <si>
    <t>まだわからないのか！？</t>
    <phoneticPr fontId="5"/>
  </si>
  <si>
    <t>イエローバインド</t>
    <phoneticPr fontId="5"/>
  </si>
  <si>
    <t>侵入者ですかー？</t>
    <rPh sb="0" eb="3">
      <t>シンニュウシャ</t>
    </rPh>
    <phoneticPr fontId="5"/>
  </si>
  <si>
    <t>ダブルタスク</t>
    <phoneticPr fontId="5"/>
  </si>
  <si>
    <t>システムダウン</t>
    <phoneticPr fontId="5"/>
  </si>
  <si>
    <t>ベイラに知らせなきゃ！</t>
    <rPh sb="4" eb="5">
      <t>シ</t>
    </rPh>
    <phoneticPr fontId="5"/>
  </si>
  <si>
    <t>お引き取りくださーい！</t>
    <rPh sb="1" eb="2">
      <t>ヒ</t>
    </rPh>
    <rPh sb="3" eb="4">
      <t>ト</t>
    </rPh>
    <phoneticPr fontId="5"/>
  </si>
  <si>
    <t>ターン経過で強くなる攻撃
＆3ターン防御力UP</t>
    <rPh sb="3" eb="5">
      <t>スウケイカ</t>
    </rPh>
    <rPh sb="6" eb="7">
      <t>ツヨ</t>
    </rPh>
    <rPh sb="10" eb="12">
      <t>コウゲキ</t>
    </rPh>
    <rPh sb="18" eb="21">
      <t>ボウギョリョク</t>
    </rPh>
    <phoneticPr fontId="5"/>
  </si>
  <si>
    <t>ターン経過で強くなる攻撃</t>
    <rPh sb="3" eb="5">
      <t>スウケイカ</t>
    </rPh>
    <rPh sb="6" eb="7">
      <t>ツヨ</t>
    </rPh>
    <rPh sb="10" eb="12">
      <t>コウゲキ</t>
    </rPh>
    <phoneticPr fontId="5"/>
  </si>
  <si>
    <t>null</t>
    <phoneticPr fontId="5"/>
  </si>
  <si>
    <t>link</t>
    <phoneticPr fontId="5"/>
  </si>
  <si>
    <t>unit</t>
    <phoneticPr fontId="5"/>
  </si>
  <si>
    <t>ビュグヴィルとベイラ</t>
    <phoneticPr fontId="5"/>
  </si>
  <si>
    <t>ビュグビルとベイラ</t>
    <phoneticPr fontId="5"/>
  </si>
  <si>
    <t>[effect:change_block, new_block:time_bomb, target:block_red, count:0, val:0.1, min_time_count:1, max_time_count:3, animation:change_block]</t>
    <phoneticPr fontId="5"/>
  </si>
  <si>
    <t>[effect:change_block, new_block:time_bomb, target:block_all, count:12, val:0.15, min_time_count:1, max_time_count:3, animation:change_block]</t>
    <phoneticPr fontId="5"/>
  </si>
  <si>
    <t>[effect:rush, count:1, val:1.4],[effect:suicide, val:0.1, dead_type:suicide, target:myself]</t>
    <phoneticPr fontId="5"/>
  </si>
  <si>
    <t>[effect:rush, count:1, val:1.45],[effect:suicide, val:0.1, dead_type:suicide, target:myself]</t>
    <phoneticPr fontId="5"/>
  </si>
  <si>
    <t>[effect:rush, count:3, val:0.15],[effect:rush, count:3, val:0.25]</t>
    <phoneticPr fontId="5"/>
  </si>
  <si>
    <t>[effect:spread, val:0.28]</t>
    <phoneticPr fontId="5"/>
  </si>
  <si>
    <t>4回連続攻撃＆お邪魔パネル出現</t>
    <rPh sb="1" eb="2">
      <t>カイ</t>
    </rPh>
    <rPh sb="2" eb="4">
      <t>レンゾク</t>
    </rPh>
    <rPh sb="4" eb="6">
      <t>コウゲキ</t>
    </rPh>
    <rPh sb="8" eb="10">
      <t>ジャマ</t>
    </rPh>
    <rPh sb="13" eb="15">
      <t>シュツゲン</t>
    </rPh>
    <phoneticPr fontId="5"/>
  </si>
  <si>
    <t>お邪魔パネルを吸収して回復</t>
    <rPh sb="1" eb="3">
      <t>ジャマ</t>
    </rPh>
    <rPh sb="7" eb="9">
      <t>キュウシュウ</t>
    </rPh>
    <rPh sb="11" eb="13">
      <t>カイフク</t>
    </rPh>
    <phoneticPr fontId="5"/>
  </si>
  <si>
    <t>3ターン強力なウィルス＆5連続攻撃</t>
    <rPh sb="4" eb="7">
      <t>kyouryokuンa</t>
    </rPh>
    <rPh sb="13" eb="17">
      <t>レンゾクコウゲキ</t>
    </rPh>
    <phoneticPr fontId="5"/>
  </si>
  <si>
    <t>2回連続攻撃＆お邪魔パネル2個出現</t>
    <rPh sb="1" eb="2">
      <t>カイ</t>
    </rPh>
    <rPh sb="2" eb="4">
      <t>レンゾク</t>
    </rPh>
    <rPh sb="4" eb="6">
      <t>コウゲキ</t>
    </rPh>
    <rPh sb="8" eb="10">
      <t>ジャマ</t>
    </rPh>
    <rPh sb="14" eb="15">
      <t>コ</t>
    </rPh>
    <rPh sb="15" eb="17">
      <t>シュツゲン</t>
    </rPh>
    <phoneticPr fontId="5"/>
  </si>
  <si>
    <t>3ターンウィルス＆回復力DOWN</t>
    <rPh sb="9" eb="12">
      <t>カイフクリョク</t>
    </rPh>
    <phoneticPr fontId="5"/>
  </si>
  <si>
    <t>[effect:degrade_unit, target:unit_all, turn:10, status:attack, val:0.5, calc:mul]</t>
    <phoneticPr fontId="5"/>
  </si>
  <si>
    <t>ターン経過で強くなる攻撃
＆回復力DOWN</t>
    <rPh sb="3" eb="5">
      <t>ケイカ</t>
    </rPh>
    <rPh sb="14" eb="17">
      <t>カイフクリョク</t>
    </rPh>
    <phoneticPr fontId="5"/>
  </si>
  <si>
    <t>[effect:rush, count:2, val:0.55]</t>
    <phoneticPr fontId="5"/>
  </si>
  <si>
    <t>[effect:rush, count:2, val:0.58]</t>
    <phoneticPr fontId="5"/>
  </si>
  <si>
    <t>[effect:rush, count:2, val:0.6]</t>
    <phoneticPr fontId="5"/>
  </si>
  <si>
    <t>つ、強い！</t>
    <rPh sb="2" eb="3">
      <t>ツヨ</t>
    </rPh>
    <phoneticPr fontId="5"/>
  </si>
  <si>
    <t>[effect:damage_anti_color, target:unit_all, color:yellow, val1:1.2, val2:0.2],[effect:heal, target:enemy_all, val:0.2, animation:enemy_heal]</t>
    <phoneticPr fontId="5"/>
  </si>
  <si>
    <t>[effect:degrade_unit, target:unit_all, turn:-1, status:heal, val:0.35, calc:mul, animation:degrade_unit_all_heal]</t>
    <phoneticPr fontId="5"/>
  </si>
  <si>
    <t>[effect:virus, turn:3, rate:1, val:0.1, animation:enemy_virus],[effect:degrade_unit, target:unit_all, turn:-1, status:heal, val:0.38, animation:degrade_unit_all_heal],[effect:rush, count:1, val:1.0]</t>
    <phoneticPr fontId="5"/>
  </si>
  <si>
    <t>[effect:rush, count:2, val:0.6],[effect:degrade_unit, target:unit_all, turn:-1, status:heal, val:0.4, calc:mul, animation:degrade_unit_all_heal]</t>
    <phoneticPr fontId="5"/>
  </si>
  <si>
    <t>[effect:rush, count:2, val:0.52],[effect:degrade_unit, target:unit_all, turn:-1, status:heal, val:0.5,  calc:mul, animation:degrade_unit_all_heal]</t>
    <phoneticPr fontId="5"/>
  </si>
  <si>
    <t>[effect:rush, count:2, val:0.5],[effect:degrade_unit, target:unit_all, turn:-1, status:heal, val:0.6, calc:mul, animation:degrade_unit_all_heal]</t>
    <phoneticPr fontId="5"/>
  </si>
  <si>
    <t>ほう…ベイラを倒したのか。</t>
    <rPh sb="7" eb="8">
      <t>タオ</t>
    </rPh>
    <phoneticPr fontId="5"/>
  </si>
  <si>
    <t>わ、うわわわわ！</t>
    <phoneticPr fontId="5"/>
  </si>
  <si>
    <t>わわっ！足がもつれて…！</t>
    <rPh sb="4" eb="5">
      <t>アシ</t>
    </rPh>
    <phoneticPr fontId="5"/>
  </si>
  <si>
    <t>俺の邪魔をするな！</t>
    <rPh sb="0" eb="1">
      <t>オレ</t>
    </rPh>
    <rPh sb="2" eb="4">
      <t>ジャマ</t>
    </rPh>
    <phoneticPr fontId="5"/>
  </si>
  <si>
    <t>フレイ様のためにっ！！</t>
    <rPh sb="3" eb="4">
      <t>サマ</t>
    </rPh>
    <phoneticPr fontId="5"/>
  </si>
  <si>
    <t>「いくぞ、ベイラ！」</t>
    <phoneticPr fontId="5"/>
  </si>
  <si>
    <t>「ベイラ！畳み掛けるぞ！」</t>
    <rPh sb="5" eb="6">
      <t>タタ</t>
    </rPh>
    <rPh sb="7" eb="8">
      <t>カ</t>
    </rPh>
    <phoneticPr fontId="5"/>
  </si>
  <si>
    <t>この先は侵入禁止です！</t>
    <rPh sb="2" eb="3">
      <t>サキ</t>
    </rPh>
    <rPh sb="4" eb="6">
      <t>siンンンyuu</t>
    </rPh>
    <rPh sb="6" eb="8">
      <t>シンニュウキンシ</t>
    </rPh>
    <phoneticPr fontId="5"/>
  </si>
  <si>
    <t>先に行ったらダメー！</t>
    <rPh sb="0" eb="1">
      <t>サキ</t>
    </rPh>
    <rPh sb="2" eb="3">
      <t>イ</t>
    </rPh>
    <phoneticPr fontId="5"/>
  </si>
  <si>
    <t>今度こそ排除します！</t>
    <rPh sb="0" eb="2">
      <t>コンド</t>
    </rPh>
    <rPh sb="4" eb="6">
      <t>ハイジョ</t>
    </rPh>
    <phoneticPr fontId="5"/>
  </si>
  <si>
    <t>自己修復します！</t>
    <rPh sb="0" eb="4">
      <t>ジコシュウフク</t>
    </rPh>
    <phoneticPr fontId="5"/>
  </si>
  <si>
    <t>ダブルメルト</t>
    <phoneticPr fontId="5"/>
  </si>
  <si>
    <t>ツインメルト</t>
    <phoneticPr fontId="5"/>
  </si>
  <si>
    <t>君は不要な存在だ。</t>
    <rPh sb="0" eb="1">
      <t>キミ</t>
    </rPh>
    <rPh sb="2" eb="4">
      <t>フヨウ</t>
    </rPh>
    <rPh sb="5" eb="7">
      <t>ソンザイ</t>
    </rPh>
    <phoneticPr fontId="5"/>
  </si>
  <si>
    <t>君は間違っている！</t>
    <rPh sb="0" eb="1">
      <t>キミ</t>
    </rPh>
    <rPh sb="2" eb="4">
      <t>マチガ</t>
    </rPh>
    <phoneticPr fontId="5"/>
  </si>
  <si>
    <t>君も弱いヤツは嫌いだろ？</t>
    <rPh sb="0" eb="1">
      <t>キミ</t>
    </rPh>
    <rPh sb="2" eb="3">
      <t>ヨワ</t>
    </rPh>
    <rPh sb="7" eb="8">
      <t>キラ</t>
    </rPh>
    <phoneticPr fontId="5"/>
  </si>
  <si>
    <t>[effect:charge, status:attack, val:0.7,animation:enemy_enhance_attack]</t>
    <phoneticPr fontId="5"/>
  </si>
  <si>
    <t>[effect:fix_speed, target:myself, turn:1],[effect:fix_speed, target:enemy_red, turn:2]</t>
    <phoneticPr fontId="5"/>
  </si>
  <si>
    <t xml:space="preserve">[effect:suicide, val:1, dead_type:escape, target:myself]    </t>
    <phoneticPr fontId="5"/>
  </si>
  <si>
    <t xml:space="preserve">[effect:suicide, val:1, dead_type:escape, target:myself]    </t>
    <phoneticPr fontId="5"/>
  </si>
  <si>
    <t xml:space="preserve">[effect:suicide, val:1, dead_type:escape, target:myself]    </t>
    <phoneticPr fontId="5"/>
  </si>
  <si>
    <t>警戒されている！</t>
    <rPh sb="0" eb="2">
      <t>ケイカイ</t>
    </rPh>
    <phoneticPr fontId="5"/>
  </si>
  <si>
    <t>次のターンに強力な攻撃！</t>
    <rPh sb="0" eb="1">
      <t>ツギ</t>
    </rPh>
    <rPh sb="6" eb="8">
      <t>キョウリョク</t>
    </rPh>
    <rPh sb="9" eb="11">
      <t>コウゲキ</t>
    </rPh>
    <phoneticPr fontId="5"/>
  </si>
  <si>
    <t>ターン経過で強くなる攻撃
＆1ターン赤パネル無効</t>
    <rPh sb="3" eb="5">
      <t>スウケイカ</t>
    </rPh>
    <rPh sb="6" eb="7">
      <t>ツヨ</t>
    </rPh>
    <rPh sb="10" eb="12">
      <t>コウゲキ</t>
    </rPh>
    <rPh sb="18" eb="19">
      <t>アカ</t>
    </rPh>
    <rPh sb="22" eb="24">
      <t>ムコウ</t>
    </rPh>
    <phoneticPr fontId="5"/>
  </si>
  <si>
    <t>2連続攻撃＆回復力DOWN</t>
    <rPh sb="1" eb="5">
      <t>レンゾクコウゲキ</t>
    </rPh>
    <rPh sb="6" eb="9">
      <t>カイフクリョク</t>
    </rPh>
    <phoneticPr fontId="5"/>
  </si>
  <si>
    <t>状態異常無効＆4ターンハートパネル無効</t>
    <rPh sb="0" eb="6">
      <t>カイマクジョウタイイジョウムコウ</t>
    </rPh>
    <rPh sb="17" eb="19">
      <t>ムコウ</t>
    </rPh>
    <phoneticPr fontId="5"/>
  </si>
  <si>
    <t>10ターン攻撃力DOWN</t>
    <rPh sb="5" eb="8">
      <t>コウゲキリョク</t>
    </rPh>
    <phoneticPr fontId="5"/>
  </si>
  <si>
    <t>解除するまで回復力DOWN</t>
    <rPh sb="0" eb="2">
      <t>カイジョ</t>
    </rPh>
    <rPh sb="6" eb="9">
      <t>カイフクリョク</t>
    </rPh>
    <phoneticPr fontId="5"/>
  </si>
  <si>
    <t>黄属性は3ターンスキルが使えない</t>
    <rPh sb="0" eb="1">
      <t>キイロ</t>
    </rPh>
    <rPh sb="1" eb="3">
      <t>ゾクセイ</t>
    </rPh>
    <rPh sb="12" eb="13">
      <t>ツカ</t>
    </rPh>
    <phoneticPr fontId="5"/>
  </si>
  <si>
    <t>回復＆黄属性に大ダメージ</t>
    <rPh sb="0" eb="2">
      <t>カイフク</t>
    </rPh>
    <rPh sb="3" eb="4">
      <t>キイロ</t>
    </rPh>
    <rPh sb="4" eb="6">
      <t>ゾクセイ</t>
    </rPh>
    <rPh sb="7" eb="8">
      <t>ダイ</t>
    </rPh>
    <phoneticPr fontId="5"/>
  </si>
  <si>
    <t>failure</t>
    <phoneticPr fontId="5"/>
  </si>
  <si>
    <t>ファイアフォックスは連続攻撃を行います
威力が高いので注意しましょう</t>
    <phoneticPr fontId="5"/>
  </si>
  <si>
    <t>ラファエルは通常攻撃と全体攻撃を
交互に行います
計画的に回復しましょう</t>
    <phoneticPr fontId="5"/>
  </si>
  <si>
    <t>ラファエルはHPが減ると攻撃力DOWNや
ハートパネル無効攻撃を行います
打ち消せるスキルを準備しておきましょう</t>
    <phoneticPr fontId="5"/>
  </si>
  <si>
    <t>ベイラのお邪魔パネルは厄介ですが
フィーバーやスキルで対策しましょう</t>
    <phoneticPr fontId="5"/>
  </si>
  <si>
    <t>フレイは回復力DOWN攻撃を
頻繁に行います
スキルのタイミングに気をつけましょう</t>
    <phoneticPr fontId="5"/>
  </si>
  <si>
    <t>フレイは1ゲージ目のHPが少なくなると
赤パネルを時限式ダメージパネルに
変換します
スキルやフィーバーを準備しておきましょう</t>
    <phoneticPr fontId="5"/>
  </si>
  <si>
    <t>これが私達の力です！</t>
    <phoneticPr fontId="5"/>
  </si>
  <si>
    <t>俺の管理の何が悪い？</t>
    <rPh sb="0" eb="2">
      <t>オr</t>
    </rPh>
    <rPh sb="2" eb="4">
      <t>カンr</t>
    </rPh>
    <rPh sb="5" eb="7">
      <t>ナン</t>
    </rPh>
    <rPh sb="7" eb="9">
      <t>ワr</t>
    </rPh>
    <phoneticPr fontId="5"/>
  </si>
  <si>
    <t>邪魔する奴は要らない！</t>
    <rPh sb="0" eb="4">
      <t>ジャm</t>
    </rPh>
    <rPh sb="4" eb="5">
      <t>ヤt</t>
    </rPh>
    <rPh sb="6" eb="7">
      <t>イ</t>
    </rPh>
    <phoneticPr fontId="5"/>
  </si>
  <si>
    <t>[effect:tolerance, target:enemy_all, turn:-1, tolerance_effect:virus, count:-1],[effect:tolerance, target:enemy_all, turn:-1, tolerance_effect:hungup, count:-1],[effect:tolerance, target:enemy_all, turn:-1, tolerance_effect:sleep, count:-1, animation:enemy_tolerance],[effect:dis_heart, turn:4, animation:enemy_dis_heart]</t>
    <phoneticPr fontId="5"/>
  </si>
  <si>
    <t xml:space="preserve">[effect:hungup, target:unit_yellow, turn:3, rate:1, animation:hungup01]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</si>
</sst>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0"/>
      <color rgb="FFFF0000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82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11" fillId="31" borderId="7" xfId="0" applyFont="1" applyFill="1" applyBorder="1" applyAlignment="1">
      <alignment vertical="center"/>
    </xf>
    <xf numFmtId="0" fontId="11" fillId="31" borderId="10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51" fillId="32" borderId="7" xfId="0" applyFont="1" applyFill="1" applyBorder="1" applyAlignment="1">
      <alignment vertical="center"/>
    </xf>
    <xf numFmtId="0" fontId="51" fillId="0" borderId="7" xfId="0" applyFont="1" applyFill="1" applyBorder="1" applyAlignment="1">
      <alignment vertical="center"/>
    </xf>
    <xf numFmtId="0" fontId="27" fillId="33" borderId="7" xfId="0" applyFont="1" applyFill="1" applyBorder="1"/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4" fillId="7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5" xfId="0" applyFont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3" borderId="28" xfId="0" applyFont="1" applyFill="1" applyBorder="1" applyAlignment="1">
      <alignment horizontal="left" vertical="center"/>
    </xf>
    <xf numFmtId="0" fontId="16" fillId="3" borderId="28" xfId="0" applyFont="1" applyFill="1" applyBorder="1" applyAlignment="1">
      <alignment vertical="center"/>
    </xf>
    <xf numFmtId="0" fontId="16" fillId="0" borderId="28" xfId="0" applyFont="1" applyFill="1" applyBorder="1" applyAlignment="1">
      <alignment horizontal="left" vertical="center"/>
    </xf>
    <xf numFmtId="0" fontId="16" fillId="0" borderId="29" xfId="0" applyFont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38" fontId="16" fillId="0" borderId="7" xfId="628" applyFont="1" applyFill="1" applyBorder="1" applyAlignment="1">
      <alignment wrapText="1"/>
    </xf>
  </cellXfs>
  <cellStyles count="82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30001</v>
          </cell>
        </row>
        <row r="110">
          <cell r="A110">
            <v>30002</v>
          </cell>
        </row>
        <row r="111">
          <cell r="A111">
            <v>30003</v>
          </cell>
        </row>
        <row r="112">
          <cell r="A112">
            <v>30004</v>
          </cell>
        </row>
        <row r="113">
          <cell r="A113">
            <v>30005</v>
          </cell>
        </row>
        <row r="114">
          <cell r="A114">
            <v>30006</v>
          </cell>
        </row>
        <row r="115">
          <cell r="A115">
            <v>30007</v>
          </cell>
        </row>
        <row r="116">
          <cell r="A116">
            <v>30008</v>
          </cell>
        </row>
        <row r="117">
          <cell r="A117">
            <v>30009</v>
          </cell>
        </row>
        <row r="118">
          <cell r="A118">
            <v>30010</v>
          </cell>
        </row>
        <row r="119">
          <cell r="A119">
            <v>30011</v>
          </cell>
        </row>
        <row r="120">
          <cell r="A120">
            <v>30012</v>
          </cell>
        </row>
        <row r="121">
          <cell r="A121">
            <v>30013</v>
          </cell>
        </row>
        <row r="122">
          <cell r="A122">
            <v>30014</v>
          </cell>
        </row>
        <row r="123">
          <cell r="A123">
            <v>30015</v>
          </cell>
        </row>
        <row r="124">
          <cell r="A124">
            <v>30016</v>
          </cell>
        </row>
        <row r="125">
          <cell r="A125">
            <v>30017</v>
          </cell>
        </row>
        <row r="126">
          <cell r="A126">
            <v>30018</v>
          </cell>
        </row>
        <row r="127">
          <cell r="A127">
            <v>30019</v>
          </cell>
        </row>
        <row r="128">
          <cell r="A128">
            <v>30020</v>
          </cell>
        </row>
        <row r="129">
          <cell r="A129">
            <v>30021</v>
          </cell>
        </row>
        <row r="130">
          <cell r="A130">
            <v>30022</v>
          </cell>
        </row>
        <row r="131">
          <cell r="A131">
            <v>30023</v>
          </cell>
        </row>
        <row r="132">
          <cell r="A132">
            <v>30024</v>
          </cell>
        </row>
        <row r="133">
          <cell r="A133">
            <v>30025</v>
          </cell>
        </row>
        <row r="134">
          <cell r="A134">
            <v>30026</v>
          </cell>
        </row>
        <row r="135">
          <cell r="A135">
            <v>30027</v>
          </cell>
        </row>
        <row r="136">
          <cell r="A136">
            <v>30028</v>
          </cell>
        </row>
        <row r="137">
          <cell r="A137">
            <v>30029</v>
          </cell>
        </row>
        <row r="138">
          <cell r="A138">
            <v>30030</v>
          </cell>
        </row>
        <row r="139">
          <cell r="A139">
            <v>30031</v>
          </cell>
        </row>
        <row r="140">
          <cell r="A140">
            <v>30032</v>
          </cell>
        </row>
        <row r="141">
          <cell r="A141">
            <v>30033</v>
          </cell>
        </row>
        <row r="142">
          <cell r="A142">
            <v>30034</v>
          </cell>
        </row>
        <row r="143">
          <cell r="A143">
            <v>39001</v>
          </cell>
        </row>
        <row r="144">
          <cell r="A144">
            <v>39002</v>
          </cell>
        </row>
        <row r="145">
          <cell r="A145">
            <v>39003</v>
          </cell>
        </row>
        <row r="146">
          <cell r="A146">
            <v>40001</v>
          </cell>
        </row>
        <row r="147">
          <cell r="A147">
            <v>40002</v>
          </cell>
        </row>
        <row r="148">
          <cell r="A148">
            <v>40003</v>
          </cell>
        </row>
        <row r="149">
          <cell r="A149">
            <v>40004</v>
          </cell>
        </row>
        <row r="150">
          <cell r="A150">
            <v>40005</v>
          </cell>
        </row>
        <row r="151">
          <cell r="A151">
            <v>40006</v>
          </cell>
        </row>
        <row r="152">
          <cell r="A152">
            <v>40007</v>
          </cell>
        </row>
        <row r="153">
          <cell r="A153">
            <v>40008</v>
          </cell>
        </row>
        <row r="154">
          <cell r="A154">
            <v>40009</v>
          </cell>
        </row>
        <row r="155">
          <cell r="A155">
            <v>40010</v>
          </cell>
        </row>
        <row r="156">
          <cell r="A156">
            <v>40011</v>
          </cell>
        </row>
        <row r="157">
          <cell r="A157">
            <v>40012</v>
          </cell>
        </row>
        <row r="158">
          <cell r="A158">
            <v>40013</v>
          </cell>
        </row>
        <row r="159">
          <cell r="A159">
            <v>40014</v>
          </cell>
        </row>
        <row r="160">
          <cell r="A160">
            <v>40015</v>
          </cell>
        </row>
        <row r="161">
          <cell r="A161">
            <v>40016</v>
          </cell>
        </row>
        <row r="162">
          <cell r="A162">
            <v>40017</v>
          </cell>
        </row>
        <row r="163">
          <cell r="A163">
            <v>41001</v>
          </cell>
        </row>
        <row r="164">
          <cell r="A164">
            <v>41002</v>
          </cell>
        </row>
        <row r="165">
          <cell r="A165">
            <v>41003</v>
          </cell>
        </row>
        <row r="166">
          <cell r="A166">
            <v>41004</v>
          </cell>
        </row>
        <row r="167">
          <cell r="A167">
            <v>49001</v>
          </cell>
        </row>
        <row r="168">
          <cell r="A168">
            <v>49002</v>
          </cell>
        </row>
        <row r="169">
          <cell r="A169">
            <v>49003</v>
          </cell>
        </row>
        <row r="170">
          <cell r="A170">
            <v>50001</v>
          </cell>
        </row>
        <row r="171">
          <cell r="A171">
            <v>50002</v>
          </cell>
        </row>
        <row r="172">
          <cell r="A172">
            <v>50003</v>
          </cell>
        </row>
        <row r="173">
          <cell r="A173">
            <v>60001</v>
          </cell>
        </row>
        <row r="174">
          <cell r="A174">
            <v>60002</v>
          </cell>
        </row>
        <row r="175">
          <cell r="A175">
            <v>60003</v>
          </cell>
        </row>
        <row r="176">
          <cell r="A176">
            <v>60004</v>
          </cell>
        </row>
        <row r="177">
          <cell r="A177">
            <v>60005</v>
          </cell>
        </row>
        <row r="178">
          <cell r="A178">
            <v>60006</v>
          </cell>
        </row>
        <row r="179">
          <cell r="A179">
            <v>60007</v>
          </cell>
        </row>
        <row r="180">
          <cell r="A180">
            <v>60010</v>
          </cell>
        </row>
        <row r="181">
          <cell r="A181">
            <v>65535</v>
          </cell>
        </row>
        <row r="182">
          <cell r="A182">
            <v>60021</v>
          </cell>
        </row>
        <row r="183">
          <cell r="A183">
            <v>60022</v>
          </cell>
        </row>
        <row r="184">
          <cell r="A184">
            <v>60023</v>
          </cell>
        </row>
        <row r="185">
          <cell r="A185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1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1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【初級】ゴールドカジノ（ハートなし）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>【中級】ゴールドカジノ （ハートなし）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>【上級】ゴールドカジノ （ハートなし）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【マルチ専用】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multionly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【マルチ専用】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multionly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【マルチ専用】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multionly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【マルチ専用】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multionly</v>
          </cell>
        </row>
        <row r="227">
          <cell r="A227" t="str">
            <v>11101_10</v>
          </cell>
          <cell r="B227">
            <v>1</v>
          </cell>
          <cell r="C227">
            <v>11101</v>
          </cell>
          <cell r="D227" t="str">
            <v>【マルチ専用】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multionly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【マルチ専用】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multionly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【マルチ専用】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multionly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【マルチ専用】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multionly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【マルチ専用】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multionly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【マルチ専用】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multionly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【マルチ専用】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multionly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【マルチ専用】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multionly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【マルチ専用】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multionly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【マルチ専用】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multionly</v>
          </cell>
        </row>
        <row r="237">
          <cell r="A237" t="str">
            <v>11103_10</v>
          </cell>
          <cell r="B237">
            <v>1</v>
          </cell>
          <cell r="C237">
            <v>11103</v>
          </cell>
          <cell r="D237" t="str">
            <v>【マルチ専用】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multionly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【マルチ専用】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multionly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【マルチ専用】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multionly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【マルチ専用】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multionly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【マルチ専用】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multionly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【マルチ専用】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multionly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【マルチ専用】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multionly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【マルチ専用】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multionly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【マルチ専用】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multionly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【マルチ専用】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multionly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>【上級】ゴールドカジノ （ハートなし）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【上級】果実達の大宴会_x000D_（ハートなし）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【超級】果実達の大宴会_x000D_（ハートなし）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【初級】メタルダックを捕獲せよ！_x000D_（ハートなし）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 （ハートなし）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11210_1</v>
          </cell>
          <cell r="B260">
            <v>0</v>
          </cell>
          <cell r="C260">
            <v>11210</v>
          </cell>
          <cell r="D260" t="str">
            <v>100万DL記念★育成ブースト！</v>
          </cell>
          <cell r="E260" t="str">
            <v>ゲリラ【超級】</v>
          </cell>
          <cell r="F260">
            <v>1</v>
          </cell>
          <cell r="G260" t="str">
            <v>ja</v>
          </cell>
          <cell r="H260" t="str">
            <v>【超級】雷のジェントルを追え！</v>
          </cell>
          <cell r="I260" t="str">
            <v>超級ゲリラ</v>
          </cell>
          <cell r="J260">
            <v>347</v>
          </cell>
          <cell r="K260">
            <v>40</v>
          </cell>
          <cell r="L260">
            <v>500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12</v>
          </cell>
          <cell r="AD260">
            <v>6</v>
          </cell>
          <cell r="AE260" t="str">
            <v>singleonly</v>
          </cell>
        </row>
        <row r="261">
          <cell r="A261" t="str">
            <v>11210_2</v>
          </cell>
          <cell r="B261">
            <v>0</v>
          </cell>
          <cell r="C261">
            <v>11210</v>
          </cell>
          <cell r="D261" t="str">
            <v>100万DL記念★育成ブースト！</v>
          </cell>
          <cell r="E261" t="str">
            <v>ゲリラ【超級】</v>
          </cell>
          <cell r="F261">
            <v>2</v>
          </cell>
          <cell r="G261" t="str">
            <v>ja</v>
          </cell>
          <cell r="H261" t="str">
            <v>【超級】水のジェントルを追え！</v>
          </cell>
          <cell r="I261" t="str">
            <v>超級ゲリラ</v>
          </cell>
          <cell r="J261">
            <v>343</v>
          </cell>
          <cell r="K261">
            <v>40</v>
          </cell>
          <cell r="L261">
            <v>500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5</v>
          </cell>
          <cell r="AD261">
            <v>6</v>
          </cell>
          <cell r="AE261" t="str">
            <v>singleonly</v>
          </cell>
        </row>
        <row r="262">
          <cell r="A262" t="str">
            <v>11210_3</v>
          </cell>
          <cell r="B262">
            <v>0</v>
          </cell>
          <cell r="C262">
            <v>11210</v>
          </cell>
          <cell r="D262" t="str">
            <v>100万DL記念★育成ブースト！</v>
          </cell>
          <cell r="E262" t="str">
            <v>ゲリラ【超級】</v>
          </cell>
          <cell r="F262">
            <v>3</v>
          </cell>
          <cell r="G262" t="str">
            <v>ja</v>
          </cell>
          <cell r="H262" t="str">
            <v>【超級】森のジェントルを追え！</v>
          </cell>
          <cell r="I262" t="str">
            <v>超級ゲリラ</v>
          </cell>
          <cell r="J262">
            <v>339</v>
          </cell>
          <cell r="K262">
            <v>40</v>
          </cell>
          <cell r="L262">
            <v>500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7</v>
          </cell>
          <cell r="AD262">
            <v>6</v>
          </cell>
          <cell r="AE262" t="str">
            <v>singleonly</v>
          </cell>
        </row>
        <row r="263">
          <cell r="A263" t="str">
            <v>11210_4</v>
          </cell>
          <cell r="B263">
            <v>0</v>
          </cell>
          <cell r="C263">
            <v>11210</v>
          </cell>
          <cell r="D263" t="str">
            <v>100万DL記念★育成ブースト！</v>
          </cell>
          <cell r="E263" t="str">
            <v>ゲリラ【超級】</v>
          </cell>
          <cell r="F263">
            <v>4</v>
          </cell>
          <cell r="G263" t="str">
            <v>ja</v>
          </cell>
          <cell r="H263" t="str">
            <v>【超級】炎のジェントルを追え！</v>
          </cell>
          <cell r="I263" t="str">
            <v>超級ゲリラ</v>
          </cell>
          <cell r="J263">
            <v>335</v>
          </cell>
          <cell r="K263">
            <v>40</v>
          </cell>
          <cell r="L263">
            <v>500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</v>
          </cell>
          <cell r="AD263">
            <v>6</v>
          </cell>
          <cell r="AE263" t="str">
            <v>singleonly</v>
          </cell>
        </row>
        <row r="264">
          <cell r="A264" t="str">
            <v>11211_1</v>
          </cell>
          <cell r="B264">
            <v>0</v>
          </cell>
          <cell r="C264">
            <v>11211</v>
          </cell>
          <cell r="D264" t="str">
            <v>※欠番</v>
          </cell>
          <cell r="E264" t="str">
            <v>【超級】ゲリラ※欠番</v>
          </cell>
          <cell r="F264">
            <v>1</v>
          </cell>
          <cell r="G264" t="str">
            <v>ja</v>
          </cell>
          <cell r="H264" t="str">
            <v>【超級】雷のジェントルを追え！</v>
          </cell>
          <cell r="I264" t="str">
            <v>超級ゲリラ ※一時利用</v>
          </cell>
          <cell r="J264">
            <v>347</v>
          </cell>
          <cell r="K264">
            <v>40</v>
          </cell>
          <cell r="L264">
            <v>500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12</v>
          </cell>
          <cell r="AD264">
            <v>6</v>
          </cell>
          <cell r="AE264" t="str">
            <v>singleonly</v>
          </cell>
        </row>
        <row r="265">
          <cell r="A265" t="str">
            <v>11211_2</v>
          </cell>
          <cell r="B265">
            <v>0</v>
          </cell>
          <cell r="C265">
            <v>11211</v>
          </cell>
          <cell r="D265" t="str">
            <v>※欠番</v>
          </cell>
          <cell r="E265" t="str">
            <v>【超級】ゲリラ※欠番</v>
          </cell>
          <cell r="F265">
            <v>2</v>
          </cell>
          <cell r="G265" t="str">
            <v>ja</v>
          </cell>
          <cell r="H265" t="str">
            <v>【超級】水のジェントルを追え！</v>
          </cell>
          <cell r="I265" t="str">
            <v>超級ゲリラ ※一時利用</v>
          </cell>
          <cell r="J265">
            <v>343</v>
          </cell>
          <cell r="K265">
            <v>40</v>
          </cell>
          <cell r="L265">
            <v>500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5</v>
          </cell>
          <cell r="AD265">
            <v>6</v>
          </cell>
          <cell r="AE265" t="str">
            <v>singleonly</v>
          </cell>
        </row>
        <row r="266">
          <cell r="A266" t="str">
            <v>11211_3</v>
          </cell>
          <cell r="B266">
            <v>0</v>
          </cell>
          <cell r="C266">
            <v>11211</v>
          </cell>
          <cell r="D266" t="str">
            <v>※欠番</v>
          </cell>
          <cell r="E266" t="str">
            <v>【超級】ゲリラ※欠番</v>
          </cell>
          <cell r="F266">
            <v>3</v>
          </cell>
          <cell r="G266" t="str">
            <v>ja</v>
          </cell>
          <cell r="H266" t="str">
            <v>【超級】森のジェントルを追え！</v>
          </cell>
          <cell r="I266" t="str">
            <v>超級ゲリラ ※一時利用</v>
          </cell>
          <cell r="J266">
            <v>339</v>
          </cell>
          <cell r="K266">
            <v>40</v>
          </cell>
          <cell r="L266">
            <v>500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1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7</v>
          </cell>
          <cell r="AD266">
            <v>6</v>
          </cell>
          <cell r="AE266" t="str">
            <v>singleonly</v>
          </cell>
        </row>
        <row r="267">
          <cell r="A267" t="str">
            <v>11211_4</v>
          </cell>
          <cell r="B267">
            <v>0</v>
          </cell>
          <cell r="C267">
            <v>11211</v>
          </cell>
          <cell r="D267" t="str">
            <v>※欠番</v>
          </cell>
          <cell r="E267" t="str">
            <v>【超級】ゲリラ※欠番</v>
          </cell>
          <cell r="F267">
            <v>4</v>
          </cell>
          <cell r="G267" t="str">
            <v>ja</v>
          </cell>
          <cell r="H267" t="str">
            <v>【超級】炎のジェントルを追え！</v>
          </cell>
          <cell r="I267" t="str">
            <v>超級ゲリラ ※一時利用</v>
          </cell>
          <cell r="J267">
            <v>335</v>
          </cell>
          <cell r="K267">
            <v>40</v>
          </cell>
          <cell r="L267">
            <v>500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10</v>
          </cell>
          <cell r="AD267">
            <v>6</v>
          </cell>
          <cell r="AE267" t="str">
            <v>singleonly</v>
          </cell>
        </row>
        <row r="268">
          <cell r="A268" t="str">
            <v>11212_1</v>
          </cell>
          <cell r="B268">
            <v>0</v>
          </cell>
          <cell r="C268">
            <v>11212</v>
          </cell>
          <cell r="D268" t="str">
            <v>100万DL記念★特別クエスト</v>
          </cell>
          <cell r="E268" t="str">
            <v>100万DL記念★特別クエスト</v>
          </cell>
          <cell r="F268">
            <v>1</v>
          </cell>
          <cell r="G268" t="str">
            <v>ja</v>
          </cell>
          <cell r="H268" t="str">
            <v>ミリオンダックより愛をこめて</v>
          </cell>
          <cell r="I268" t="str">
            <v>100万DL記念限定クエスト</v>
          </cell>
          <cell r="J268">
            <v>97</v>
          </cell>
          <cell r="K268">
            <v>1</v>
          </cell>
          <cell r="L268">
            <v>100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11213_1</v>
          </cell>
          <cell r="B269">
            <v>0</v>
          </cell>
          <cell r="C269">
            <v>11213</v>
          </cell>
          <cell r="D269" t="str">
            <v>クエスト名</v>
          </cell>
          <cell r="E269" t="str">
            <v>【超級】カジノ</v>
          </cell>
          <cell r="F269">
            <v>1</v>
          </cell>
          <cell r="G269" t="str">
            <v>ja</v>
          </cell>
          <cell r="H269" t="str">
            <v xml:space="preserve">【超級】ゴールドカジノ </v>
          </cell>
          <cell r="I269" t="str">
            <v>超級カジノ</v>
          </cell>
          <cell r="J269">
            <v>119</v>
          </cell>
          <cell r="K269">
            <v>30</v>
          </cell>
          <cell r="L269">
            <v>777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105</v>
          </cell>
          <cell r="AD269">
            <v>6</v>
          </cell>
          <cell r="AE269" t="str">
            <v>everyone</v>
          </cell>
        </row>
        <row r="270">
          <cell r="A270" t="str">
            <v>11214_1</v>
          </cell>
          <cell r="B270">
            <v>0</v>
          </cell>
          <cell r="C270">
            <v>11214</v>
          </cell>
          <cell r="D270" t="str">
            <v>プロメテウスの恋</v>
          </cell>
          <cell r="E270" t="str">
            <v>2015年クリスマスクエスト</v>
          </cell>
          <cell r="F270">
            <v>1</v>
          </cell>
          <cell r="G270" t="str">
            <v>ja</v>
          </cell>
          <cell r="H270" t="str">
            <v>【ストーリー前編】勢いまかせ</v>
          </cell>
          <cell r="I270" t="str">
            <v>2015年クリスマスクエスト</v>
          </cell>
          <cell r="J270">
            <v>202</v>
          </cell>
          <cell r="K270">
            <v>1</v>
          </cell>
          <cell r="L270">
            <v>1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character</v>
          </cell>
          <cell r="T270" t="str">
            <v>520,521,522,523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11214_2</v>
          </cell>
          <cell r="B271">
            <v>0</v>
          </cell>
          <cell r="C271">
            <v>11214</v>
          </cell>
          <cell r="D271" t="str">
            <v>プロメテウスの恋</v>
          </cell>
          <cell r="E271" t="str">
            <v>2015年クリスマスクエスト</v>
          </cell>
          <cell r="F271">
            <v>2</v>
          </cell>
          <cell r="G271" t="str">
            <v>ja</v>
          </cell>
          <cell r="H271" t="str">
            <v>【ストーリー中編】恋の奥義</v>
          </cell>
          <cell r="I271" t="str">
            <v>2015年クリスマスクエスト</v>
          </cell>
          <cell r="J271">
            <v>202</v>
          </cell>
          <cell r="K271">
            <v>1</v>
          </cell>
          <cell r="L271">
            <v>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>
            <v>11214</v>
          </cell>
          <cell r="V271">
            <v>1</v>
          </cell>
          <cell r="W271" t="str">
            <v>【ストーリー前編】勢いまかせ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anytime</v>
          </cell>
          <cell r="AC271">
            <v>105</v>
          </cell>
          <cell r="AD271">
            <v>6</v>
          </cell>
          <cell r="AE271" t="str">
            <v>singleonly</v>
          </cell>
        </row>
        <row r="272">
          <cell r="A272" t="str">
            <v>11214_3</v>
          </cell>
          <cell r="B272">
            <v>0</v>
          </cell>
          <cell r="C272">
            <v>11214</v>
          </cell>
          <cell r="D272" t="str">
            <v>プロメテウスの恋</v>
          </cell>
          <cell r="E272" t="str">
            <v>2015年クリスマスクエスト</v>
          </cell>
          <cell r="F272">
            <v>3</v>
          </cell>
          <cell r="G272" t="str">
            <v>ja</v>
          </cell>
          <cell r="H272" t="str">
            <v>【ストーリー後編】フィーバーの力</v>
          </cell>
          <cell r="I272" t="str">
            <v>2015年クリスマスクエスト</v>
          </cell>
          <cell r="J272">
            <v>202</v>
          </cell>
          <cell r="K272">
            <v>1</v>
          </cell>
          <cell r="L272">
            <v>2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character</v>
          </cell>
          <cell r="T272" t="str">
            <v>520,521,522,523</v>
          </cell>
          <cell r="U272">
            <v>11214</v>
          </cell>
          <cell r="V272">
            <v>1</v>
          </cell>
          <cell r="W272" t="str">
            <v>【ストーリー前編】勢いまかせ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singleonly</v>
          </cell>
        </row>
        <row r="273">
          <cell r="A273" t="str">
            <v>11215_1</v>
          </cell>
          <cell r="B273">
            <v>0</v>
          </cell>
          <cell r="C273">
            <v>11215</v>
          </cell>
          <cell r="D273" t="str">
            <v>【マルチ】サンタダックを捕獲せよ！</v>
          </cell>
          <cell r="E273" t="str">
            <v>2015年クリスマスゲリラクエスト</v>
          </cell>
          <cell r="F273">
            <v>1</v>
          </cell>
          <cell r="G273" t="str">
            <v>ja</v>
          </cell>
          <cell r="H273" t="str">
            <v>【上級】サンタダックを捕獲せよ！</v>
          </cell>
          <cell r="I273" t="str">
            <v>2015年クリスマスゲリラクエスト</v>
          </cell>
          <cell r="J273">
            <v>520</v>
          </cell>
          <cell r="K273">
            <v>10</v>
          </cell>
          <cell r="L273">
            <v>350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none</v>
          </cell>
          <cell r="T273">
            <v>0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105</v>
          </cell>
          <cell r="AD273">
            <v>6</v>
          </cell>
          <cell r="AE273" t="str">
            <v>multionly</v>
          </cell>
        </row>
        <row r="274">
          <cell r="A274" t="str">
            <v>11216_1</v>
          </cell>
          <cell r="B274">
            <v>0</v>
          </cell>
          <cell r="C274">
            <v>11216</v>
          </cell>
          <cell r="D274" t="str">
            <v>年越し★特別クエスト</v>
          </cell>
          <cell r="E274" t="str">
            <v>2015年年越しクエスト</v>
          </cell>
          <cell r="F274">
            <v>1</v>
          </cell>
          <cell r="G274" t="str">
            <v>ja</v>
          </cell>
          <cell r="H274" t="str">
            <v>【上級】年を越える宴（ハートなし）</v>
          </cell>
          <cell r="I274" t="str">
            <v>2015年年忘れクエスト</v>
          </cell>
          <cell r="J274">
            <v>377</v>
          </cell>
          <cell r="K274">
            <v>10</v>
          </cell>
          <cell r="L274">
            <v>350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901</v>
          </cell>
          <cell r="AD274">
            <v>6</v>
          </cell>
          <cell r="AE274" t="str">
            <v>multionly</v>
          </cell>
        </row>
        <row r="275">
          <cell r="A275" t="str">
            <v>11217_1</v>
          </cell>
          <cell r="B275">
            <v>0</v>
          </cell>
          <cell r="C275">
            <v>11217</v>
          </cell>
          <cell r="D275" t="str">
            <v>年明け★特別クエスト</v>
          </cell>
          <cell r="E275" t="str">
            <v>2016年あけおめクエスト</v>
          </cell>
          <cell r="F275">
            <v>1</v>
          </cell>
          <cell r="G275" t="str">
            <v>ja</v>
          </cell>
          <cell r="H275" t="str">
            <v>あけおめダックのお年玉</v>
          </cell>
          <cell r="I275" t="str">
            <v>2016年あけおめクエスト</v>
          </cell>
          <cell r="J275">
            <v>524</v>
          </cell>
          <cell r="K275">
            <v>1</v>
          </cell>
          <cell r="L275">
            <v>2016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polygon</v>
          </cell>
          <cell r="T275">
            <v>1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once</v>
          </cell>
          <cell r="AC275">
            <v>2</v>
          </cell>
          <cell r="AD275">
            <v>6</v>
          </cell>
          <cell r="AE275" t="str">
            <v>singleonly</v>
          </cell>
        </row>
        <row r="276">
          <cell r="A276" t="str">
            <v>11218_1</v>
          </cell>
          <cell r="B276">
            <v>3</v>
          </cell>
          <cell r="C276">
            <v>11218</v>
          </cell>
          <cell r="D276" t="str">
            <v>バレンタイン★特別クエスト</v>
          </cell>
          <cell r="E276" t="str">
            <v>2016年バレンタインクエスト</v>
          </cell>
          <cell r="F276">
            <v>1</v>
          </cell>
          <cell r="G276" t="str">
            <v>ja</v>
          </cell>
          <cell r="H276" t="str">
            <v>【ストーリー】バレンタイン狂想曲</v>
          </cell>
          <cell r="I276" t="str">
            <v>ストーリー</v>
          </cell>
          <cell r="J276">
            <v>572</v>
          </cell>
          <cell r="K276">
            <v>1</v>
          </cell>
          <cell r="L276">
            <v>214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polygon</v>
          </cell>
          <cell r="T276">
            <v>1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once</v>
          </cell>
          <cell r="AC276">
            <v>1</v>
          </cell>
          <cell r="AD276">
            <v>6</v>
          </cell>
          <cell r="AE276" t="str">
            <v>singleonly</v>
          </cell>
        </row>
        <row r="277">
          <cell r="A277" t="str">
            <v>11219_1</v>
          </cell>
          <cell r="B277">
            <v>3</v>
          </cell>
          <cell r="C277">
            <v>11219</v>
          </cell>
          <cell r="D277" t="str">
            <v>200万DL記念★特別クエスト</v>
          </cell>
          <cell r="E277" t="str">
            <v>200万DL記念★特別クエスト</v>
          </cell>
          <cell r="F277">
            <v>1</v>
          </cell>
          <cell r="G277" t="str">
            <v>ja</v>
          </cell>
          <cell r="H277" t="str">
            <v>ミリオンダックより愛を込めて 2</v>
          </cell>
          <cell r="I277" t="str">
            <v>200万DL記念限定クエスト</v>
          </cell>
          <cell r="J277">
            <v>97</v>
          </cell>
          <cell r="K277">
            <v>1</v>
          </cell>
          <cell r="L277">
            <v>200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1</v>
          </cell>
          <cell r="R277">
            <v>3</v>
          </cell>
          <cell r="S277" t="str">
            <v>polygon</v>
          </cell>
          <cell r="T277">
            <v>1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1</v>
          </cell>
          <cell r="AD277">
            <v>6</v>
          </cell>
          <cell r="AE277" t="str">
            <v>singleonly</v>
          </cell>
        </row>
        <row r="278">
          <cell r="A278" t="str">
            <v>11220_1</v>
          </cell>
          <cell r="B278">
            <v>3</v>
          </cell>
          <cell r="C278">
            <v>11220</v>
          </cell>
          <cell r="D278" t="str">
            <v>ホワイトデー★特別クエスト</v>
          </cell>
          <cell r="E278" t="str">
            <v>2016年ホワイトデークエスト</v>
          </cell>
          <cell r="F278">
            <v>1</v>
          </cell>
          <cell r="G278" t="str">
            <v>ja</v>
          </cell>
          <cell r="H278" t="str">
            <v>【ストーリー】ホワイトデー独騒曲</v>
          </cell>
          <cell r="I278" t="str">
            <v>2016年ホワイトデークエスト</v>
          </cell>
          <cell r="J278">
            <v>350</v>
          </cell>
          <cell r="K278">
            <v>1</v>
          </cell>
          <cell r="L278">
            <v>314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1</v>
          </cell>
          <cell r="R278">
            <v>3</v>
          </cell>
          <cell r="S278" t="str">
            <v>polygon</v>
          </cell>
          <cell r="T278">
            <v>1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once</v>
          </cell>
          <cell r="AC278">
            <v>1</v>
          </cell>
          <cell r="AD278">
            <v>6</v>
          </cell>
          <cell r="AE278" t="str">
            <v>singleonly</v>
          </cell>
        </row>
        <row r="279">
          <cell r="A279" t="str">
            <v>11221_1</v>
          </cell>
          <cell r="B279">
            <v>3</v>
          </cell>
          <cell r="C279">
            <v>11221</v>
          </cell>
          <cell r="D279" t="str">
            <v>新生活★応援クエスト</v>
          </cell>
          <cell r="E279" t="str">
            <v>2016年卒業クエスト</v>
          </cell>
          <cell r="F279">
            <v>1</v>
          </cell>
          <cell r="G279" t="str">
            <v>ja</v>
          </cell>
          <cell r="H279" t="str">
            <v>【ストーリー】桜舞い散る樹の下で</v>
          </cell>
          <cell r="I279" t="str">
            <v>2016年卒業クエスト</v>
          </cell>
          <cell r="J279">
            <v>794</v>
          </cell>
          <cell r="K279">
            <v>1</v>
          </cell>
          <cell r="L279">
            <v>331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polygon</v>
          </cell>
          <cell r="T279">
            <v>1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once</v>
          </cell>
          <cell r="AC279">
            <v>926</v>
          </cell>
          <cell r="AD279">
            <v>6</v>
          </cell>
          <cell r="AE279" t="str">
            <v>singleonly</v>
          </cell>
        </row>
        <row r="280">
          <cell r="A280" t="str">
            <v>11224_1</v>
          </cell>
          <cell r="B280">
            <v>1</v>
          </cell>
          <cell r="C280">
            <v>11224</v>
          </cell>
          <cell r="D280" t="str">
            <v>記念★特別クエスト</v>
          </cell>
          <cell r="E280" t="str">
            <v>記念★特別クエスト</v>
          </cell>
          <cell r="F280">
            <v>1</v>
          </cell>
          <cell r="G280" t="str">
            <v>ja</v>
          </cell>
          <cell r="H280" t="str">
            <v>【超ウサード級】Usagi-chan襲来！</v>
          </cell>
          <cell r="I280" t="str">
            <v>記念クエスト</v>
          </cell>
          <cell r="J280">
            <v>976</v>
          </cell>
          <cell r="K280">
            <v>1</v>
          </cell>
          <cell r="L280">
            <v>514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0</v>
          </cell>
          <cell r="R280">
            <v>3</v>
          </cell>
          <cell r="S280" t="str">
            <v>polygon</v>
          </cell>
          <cell r="T280">
            <v>10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1</v>
          </cell>
          <cell r="AD280">
            <v>6</v>
          </cell>
          <cell r="AE280" t="str">
            <v>singleonly</v>
          </cell>
        </row>
        <row r="281">
          <cell r="A281" t="str">
            <v>12001_1</v>
          </cell>
          <cell r="B281">
            <v>3</v>
          </cell>
          <cell r="C281">
            <v>12001</v>
          </cell>
          <cell r="D281" t="str">
            <v>【緊急！！】 アヒル捕獲作戦</v>
          </cell>
          <cell r="E281" t="str">
            <v>ゲリラクエスト</v>
          </cell>
          <cell r="F281">
            <v>1</v>
          </cell>
          <cell r="G281" t="str">
            <v>ja</v>
          </cell>
          <cell r="H281" t="str">
            <v>【初級】メタルダックを捕獲せよ！ _x000D_（ハートなし）</v>
          </cell>
          <cell r="I281" t="str">
            <v>経験値ゲリラ</v>
          </cell>
          <cell r="J281">
            <v>334</v>
          </cell>
          <cell r="K281">
            <v>8</v>
          </cell>
          <cell r="L281">
            <v>140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0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201</v>
          </cell>
          <cell r="AD281">
            <v>6</v>
          </cell>
          <cell r="AE281" t="str">
            <v>everyone</v>
          </cell>
        </row>
        <row r="282">
          <cell r="A282" t="str">
            <v>12001_2</v>
          </cell>
          <cell r="B282">
            <v>3</v>
          </cell>
          <cell r="C282">
            <v>12001</v>
          </cell>
          <cell r="D282" t="str">
            <v>【緊急！！】 アヒル捕獲作戦</v>
          </cell>
          <cell r="E282" t="str">
            <v>ゲリラクエスト</v>
          </cell>
          <cell r="F282">
            <v>2</v>
          </cell>
          <cell r="G282" t="str">
            <v>ja</v>
          </cell>
          <cell r="H282" t="str">
            <v>【上級】メタルダックを捕獲せよ！ _x000D_（ハートなし）</v>
          </cell>
          <cell r="I282" t="str">
            <v>経験値ゲリラ</v>
          </cell>
          <cell r="J282">
            <v>334</v>
          </cell>
          <cell r="K282">
            <v>20</v>
          </cell>
          <cell r="L282">
            <v>350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0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201</v>
          </cell>
          <cell r="AD282">
            <v>6</v>
          </cell>
          <cell r="AE282" t="str">
            <v>everyone</v>
          </cell>
        </row>
        <row r="283">
          <cell r="A283" t="str">
            <v>12001_3</v>
          </cell>
          <cell r="B283">
            <v>0</v>
          </cell>
          <cell r="C283">
            <v>12001</v>
          </cell>
          <cell r="D283" t="str">
            <v>【緊急！！】 アヒル捕獲作戦</v>
          </cell>
          <cell r="E283" t="str">
            <v>ゲリラクエスト</v>
          </cell>
          <cell r="F283">
            <v>3</v>
          </cell>
          <cell r="G283" t="str">
            <v>ja</v>
          </cell>
          <cell r="H283" t="str">
            <v>★100DL記念 マルチ専用★_x000D_【上級】メタルダックを捕獲せよ！</v>
          </cell>
          <cell r="I283" t="str">
            <v>経験値ゲリラ</v>
          </cell>
          <cell r="J283">
            <v>334</v>
          </cell>
          <cell r="K283">
            <v>10</v>
          </cell>
          <cell r="L283">
            <v>350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201</v>
          </cell>
          <cell r="AD283">
            <v>6</v>
          </cell>
          <cell r="AE283" t="str">
            <v>multionly</v>
          </cell>
        </row>
        <row r="284">
          <cell r="A284" t="str">
            <v>12002_3</v>
          </cell>
          <cell r="B284">
            <v>0</v>
          </cell>
          <cell r="C284">
            <v>12002</v>
          </cell>
          <cell r="D284" t="str">
            <v>【マルチ専用1/2】 アヒル捕獲作戦</v>
          </cell>
          <cell r="E284" t="str">
            <v>ゲリラクエスト</v>
          </cell>
          <cell r="F284">
            <v>3</v>
          </cell>
          <cell r="G284" t="str">
            <v>ja</v>
          </cell>
          <cell r="H284" t="str">
            <v xml:space="preserve">【初級】メタルダックを捕獲せよ！ </v>
          </cell>
          <cell r="I284" t="str">
            <v>経験値ゲリラ</v>
          </cell>
          <cell r="J284">
            <v>334</v>
          </cell>
          <cell r="K284">
            <v>8</v>
          </cell>
          <cell r="L284">
            <v>140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none</v>
          </cell>
          <cell r="T284">
            <v>0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201</v>
          </cell>
          <cell r="AD284">
            <v>6</v>
          </cell>
          <cell r="AE284" t="str">
            <v>everyone</v>
          </cell>
        </row>
        <row r="285">
          <cell r="A285" t="str">
            <v>12002_2</v>
          </cell>
          <cell r="B285">
            <v>0</v>
          </cell>
          <cell r="C285">
            <v>12002</v>
          </cell>
          <cell r="D285" t="str">
            <v>【マルチ専用1/2】 アヒル捕獲作戦</v>
          </cell>
          <cell r="E285" t="str">
            <v>ゲリラクエスト</v>
          </cell>
          <cell r="F285">
            <v>2</v>
          </cell>
          <cell r="G285" t="str">
            <v>ja</v>
          </cell>
          <cell r="H285" t="str">
            <v xml:space="preserve">【上級】メタルダックを捕獲せよ！ </v>
          </cell>
          <cell r="I285" t="str">
            <v>経験値ゲリラ</v>
          </cell>
          <cell r="J285">
            <v>334</v>
          </cell>
          <cell r="K285">
            <v>20</v>
          </cell>
          <cell r="L285">
            <v>350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none</v>
          </cell>
          <cell r="T285">
            <v>0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201</v>
          </cell>
          <cell r="AD285">
            <v>6</v>
          </cell>
          <cell r="AE285" t="str">
            <v>everyone</v>
          </cell>
        </row>
        <row r="286">
          <cell r="A286" t="str">
            <v>12002_1</v>
          </cell>
          <cell r="B286">
            <v>3</v>
          </cell>
          <cell r="C286">
            <v>12002</v>
          </cell>
          <cell r="D286" t="str">
            <v>【マルチ専用1/2】 アヒル捕獲作戦</v>
          </cell>
          <cell r="E286" t="str">
            <v>ゲリラクエスト</v>
          </cell>
          <cell r="F286">
            <v>1</v>
          </cell>
          <cell r="G286" t="str">
            <v>ja</v>
          </cell>
          <cell r="H286" t="str">
            <v>【上級】メタルダックを捕獲せよ！_x000D_（ハートなし）</v>
          </cell>
          <cell r="I286" t="str">
            <v>経験値ゲリラ</v>
          </cell>
          <cell r="J286">
            <v>334</v>
          </cell>
          <cell r="K286">
            <v>10</v>
          </cell>
          <cell r="L286">
            <v>350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0</v>
          </cell>
          <cell r="R286">
            <v>3</v>
          </cell>
          <cell r="S286" t="str">
            <v>none</v>
          </cell>
          <cell r="T286">
            <v>0</v>
          </cell>
          <cell r="U286" t="str">
            <v>NULL</v>
          </cell>
          <cell r="V286" t="str">
            <v>NULL</v>
          </cell>
          <cell r="W286" t="str">
            <v/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201</v>
          </cell>
          <cell r="AD286">
            <v>6</v>
          </cell>
          <cell r="AE286" t="str">
            <v>multionly</v>
          </cell>
        </row>
        <row r="287">
          <cell r="A287" t="str">
            <v>12003_1</v>
          </cell>
          <cell r="B287">
            <v>3</v>
          </cell>
          <cell r="C287">
            <v>12003</v>
          </cell>
          <cell r="D287" t="str">
            <v>【超緊急！！】メタルジェントルを追え</v>
          </cell>
          <cell r="E287" t="str">
            <v>ゲリラ【超級】</v>
          </cell>
          <cell r="F287">
            <v>1</v>
          </cell>
          <cell r="G287" t="str">
            <v>ja</v>
          </cell>
          <cell r="H287" t="str">
            <v>【超級】雷のジェントルを追え！</v>
          </cell>
          <cell r="I287" t="str">
            <v>超級ゲリラ</v>
          </cell>
          <cell r="J287">
            <v>347</v>
          </cell>
          <cell r="K287">
            <v>40</v>
          </cell>
          <cell r="L287">
            <v>500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none</v>
          </cell>
          <cell r="T287">
            <v>0</v>
          </cell>
          <cell r="U287" t="str">
            <v>NULL</v>
          </cell>
          <cell r="V287" t="str">
            <v>NULL</v>
          </cell>
          <cell r="W287" t="str">
            <v/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12</v>
          </cell>
          <cell r="AD287">
            <v>6</v>
          </cell>
          <cell r="AE287" t="str">
            <v>singleonly</v>
          </cell>
        </row>
        <row r="288">
          <cell r="A288" t="str">
            <v>12003_2</v>
          </cell>
          <cell r="B288">
            <v>3</v>
          </cell>
          <cell r="C288">
            <v>12003</v>
          </cell>
          <cell r="D288" t="str">
            <v>【超緊急！！】メタルジェントルを追え</v>
          </cell>
          <cell r="E288" t="str">
            <v>ゲリラ【超級】</v>
          </cell>
          <cell r="F288">
            <v>2</v>
          </cell>
          <cell r="G288" t="str">
            <v>ja</v>
          </cell>
          <cell r="H288" t="str">
            <v>【超級】水のジェントルを追え！</v>
          </cell>
          <cell r="I288" t="str">
            <v>超級ゲリラ</v>
          </cell>
          <cell r="J288">
            <v>343</v>
          </cell>
          <cell r="K288">
            <v>40</v>
          </cell>
          <cell r="L288">
            <v>500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none</v>
          </cell>
          <cell r="T288">
            <v>0</v>
          </cell>
          <cell r="U288" t="str">
            <v>NULL</v>
          </cell>
          <cell r="V288" t="str">
            <v>NULL</v>
          </cell>
          <cell r="W288" t="str">
            <v/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5</v>
          </cell>
          <cell r="AD288">
            <v>6</v>
          </cell>
          <cell r="AE288" t="str">
            <v>singleonly</v>
          </cell>
        </row>
        <row r="289">
          <cell r="A289" t="str">
            <v>12003_3</v>
          </cell>
          <cell r="B289">
            <v>3</v>
          </cell>
          <cell r="C289">
            <v>12003</v>
          </cell>
          <cell r="D289" t="str">
            <v>【超緊急！！】メタルジェントルを追え</v>
          </cell>
          <cell r="E289" t="str">
            <v>ゲリラ【超級】</v>
          </cell>
          <cell r="F289">
            <v>3</v>
          </cell>
          <cell r="G289" t="str">
            <v>ja</v>
          </cell>
          <cell r="H289" t="str">
            <v>【超級】森のジェントルを追え！</v>
          </cell>
          <cell r="I289" t="str">
            <v>超級ゲリラ</v>
          </cell>
          <cell r="J289">
            <v>339</v>
          </cell>
          <cell r="K289">
            <v>40</v>
          </cell>
          <cell r="L289">
            <v>500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none</v>
          </cell>
          <cell r="T289">
            <v>0</v>
          </cell>
          <cell r="U289" t="str">
            <v>NULL</v>
          </cell>
          <cell r="V289" t="str">
            <v>NULL</v>
          </cell>
          <cell r="W289" t="str">
            <v/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7</v>
          </cell>
          <cell r="AD289">
            <v>6</v>
          </cell>
          <cell r="AE289" t="str">
            <v>singleonly</v>
          </cell>
        </row>
        <row r="290">
          <cell r="A290" t="str">
            <v>12003_4</v>
          </cell>
          <cell r="B290">
            <v>3</v>
          </cell>
          <cell r="C290">
            <v>12003</v>
          </cell>
          <cell r="D290" t="str">
            <v>【超緊急！！】メタルジェントルを追え</v>
          </cell>
          <cell r="E290" t="str">
            <v>ゲリラ【超級】</v>
          </cell>
          <cell r="F290">
            <v>4</v>
          </cell>
          <cell r="G290" t="str">
            <v>ja</v>
          </cell>
          <cell r="H290" t="str">
            <v>【超級】炎のジェントルを追え！</v>
          </cell>
          <cell r="I290" t="str">
            <v>超級ゲリラ</v>
          </cell>
          <cell r="J290">
            <v>335</v>
          </cell>
          <cell r="K290">
            <v>40</v>
          </cell>
          <cell r="L290">
            <v>500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none</v>
          </cell>
          <cell r="T290">
            <v>0</v>
          </cell>
          <cell r="U290" t="str">
            <v>NULL</v>
          </cell>
          <cell r="V290" t="str">
            <v>NULL</v>
          </cell>
          <cell r="W290" t="str">
            <v/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10</v>
          </cell>
          <cell r="AD290">
            <v>6</v>
          </cell>
          <cell r="AE290" t="str">
            <v>singleonly</v>
          </cell>
        </row>
        <row r="291">
          <cell r="A291" t="str">
            <v>12004_1</v>
          </cell>
          <cell r="B291">
            <v>3</v>
          </cell>
          <cell r="C291">
            <v>12004</v>
          </cell>
          <cell r="D291" t="str">
            <v>メタルフロッグをもとめて</v>
          </cell>
          <cell r="E291" t="str">
            <v>イベントクエスト</v>
          </cell>
          <cell r="F291">
            <v>1</v>
          </cell>
          <cell r="G291" t="str">
            <v>ja</v>
          </cell>
          <cell r="H291" t="str">
            <v>【上級】メタルフロッグをもとめて</v>
          </cell>
          <cell r="I291" t="str">
            <v>経験値イベント</v>
          </cell>
          <cell r="J291">
            <v>351</v>
          </cell>
          <cell r="K291">
            <v>20</v>
          </cell>
          <cell r="L291">
            <v>100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none</v>
          </cell>
          <cell r="T291">
            <v>0</v>
          </cell>
          <cell r="U291" t="str">
            <v>NULL</v>
          </cell>
          <cell r="V291" t="str">
            <v>NULL</v>
          </cell>
          <cell r="W291" t="str">
            <v/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23</v>
          </cell>
          <cell r="AD291">
            <v>6</v>
          </cell>
          <cell r="AE291" t="str">
            <v>everyone</v>
          </cell>
        </row>
        <row r="292">
          <cell r="A292" t="str">
            <v>13001_1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1</v>
          </cell>
          <cell r="G292" t="str">
            <v>ja</v>
          </cell>
          <cell r="H292" t="str">
            <v>チャレンジタワー 1F</v>
          </cell>
          <cell r="I292" t="str">
            <v>試練の塔</v>
          </cell>
          <cell r="J292">
            <v>345</v>
          </cell>
          <cell r="K292">
            <v>3</v>
          </cell>
          <cell r="L292">
            <v>120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345,345</v>
          </cell>
          <cell r="U292" t="str">
            <v>NULL</v>
          </cell>
          <cell r="V292" t="str">
            <v>NULL</v>
          </cell>
          <cell r="W292" t="str">
            <v/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13001_2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2</v>
          </cell>
          <cell r="G293" t="str">
            <v>ja</v>
          </cell>
          <cell r="H293" t="str">
            <v>チャレンジタワー 2F</v>
          </cell>
          <cell r="I293" t="str">
            <v>試練の塔</v>
          </cell>
          <cell r="J293">
            <v>333</v>
          </cell>
          <cell r="K293">
            <v>4</v>
          </cell>
          <cell r="L293">
            <v>176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333,333</v>
          </cell>
          <cell r="U293">
            <v>13001</v>
          </cell>
          <cell r="V293">
            <v>1</v>
          </cell>
          <cell r="W293" t="str">
            <v>チャレンジタワー 1F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13001_3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3</v>
          </cell>
          <cell r="G294" t="str">
            <v>ja</v>
          </cell>
          <cell r="H294" t="str">
            <v>チャレンジタワー 3F</v>
          </cell>
          <cell r="I294" t="str">
            <v>試練の塔</v>
          </cell>
          <cell r="J294">
            <v>337</v>
          </cell>
          <cell r="K294">
            <v>5</v>
          </cell>
          <cell r="L294">
            <v>242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337,337</v>
          </cell>
          <cell r="U294">
            <v>13001</v>
          </cell>
          <cell r="V294">
            <v>2</v>
          </cell>
          <cell r="W294" t="str">
            <v>チャレンジタワー 2F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13001_4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4</v>
          </cell>
          <cell r="G295" t="str">
            <v>ja</v>
          </cell>
          <cell r="H295" t="str">
            <v>チャレンジタワー 4F</v>
          </cell>
          <cell r="I295" t="str">
            <v>試練の塔</v>
          </cell>
          <cell r="J295">
            <v>341</v>
          </cell>
          <cell r="K295">
            <v>7</v>
          </cell>
          <cell r="L295">
            <v>508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341,341</v>
          </cell>
          <cell r="U295">
            <v>13001</v>
          </cell>
          <cell r="V295">
            <v>3</v>
          </cell>
          <cell r="W295" t="str">
            <v>チャレンジタワー 3F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13001_5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5</v>
          </cell>
          <cell r="G296" t="str">
            <v>ja</v>
          </cell>
          <cell r="H296" t="str">
            <v>チャレンジタワー 5F</v>
          </cell>
          <cell r="I296" t="str">
            <v>試練の塔</v>
          </cell>
          <cell r="J296">
            <v>333</v>
          </cell>
          <cell r="K296">
            <v>7</v>
          </cell>
          <cell r="L296">
            <v>280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333,337,341,345</v>
          </cell>
          <cell r="U296">
            <v>13001</v>
          </cell>
          <cell r="V296">
            <v>4</v>
          </cell>
          <cell r="W296" t="str">
            <v>チャレンジタワー 4F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13001_6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6</v>
          </cell>
          <cell r="G297" t="str">
            <v>ja</v>
          </cell>
          <cell r="H297" t="str">
            <v>チャレンジタワー 6F</v>
          </cell>
          <cell r="I297" t="str">
            <v>試練の塔</v>
          </cell>
          <cell r="J297">
            <v>346</v>
          </cell>
          <cell r="K297">
            <v>8</v>
          </cell>
          <cell r="L297">
            <v>474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346,345</v>
          </cell>
          <cell r="U297">
            <v>13001</v>
          </cell>
          <cell r="V297">
            <v>5</v>
          </cell>
          <cell r="W297" t="str">
            <v>チャレンジタワー 5F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13001_7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7</v>
          </cell>
          <cell r="G298" t="str">
            <v>ja</v>
          </cell>
          <cell r="H298" t="str">
            <v>チャレンジタワー 7F</v>
          </cell>
          <cell r="I298" t="str">
            <v>試練の塔</v>
          </cell>
          <cell r="J298">
            <v>342</v>
          </cell>
          <cell r="K298">
            <v>8</v>
          </cell>
          <cell r="L298">
            <v>486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342,341</v>
          </cell>
          <cell r="U298">
            <v>13001</v>
          </cell>
          <cell r="V298">
            <v>6</v>
          </cell>
          <cell r="W298" t="str">
            <v>チャレンジタワー 6F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13001_8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8</v>
          </cell>
          <cell r="G299" t="str">
            <v>ja</v>
          </cell>
          <cell r="H299" t="str">
            <v>チャレンジタワー 8F</v>
          </cell>
          <cell r="I299" t="str">
            <v>試練の塔</v>
          </cell>
          <cell r="J299">
            <v>334</v>
          </cell>
          <cell r="K299">
            <v>10</v>
          </cell>
          <cell r="L299">
            <v>1006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334,333</v>
          </cell>
          <cell r="U299">
            <v>13001</v>
          </cell>
          <cell r="V299">
            <v>7</v>
          </cell>
          <cell r="W299" t="str">
            <v>チャレンジタワー 7F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13001_9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9</v>
          </cell>
          <cell r="G300" t="str">
            <v>ja</v>
          </cell>
          <cell r="H300" t="str">
            <v>チャレンジタワー 9F</v>
          </cell>
          <cell r="I300" t="str">
            <v>試練の塔</v>
          </cell>
          <cell r="J300">
            <v>338</v>
          </cell>
          <cell r="K300">
            <v>10</v>
          </cell>
          <cell r="L300">
            <v>702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337,337,338</v>
          </cell>
          <cell r="U300">
            <v>13001</v>
          </cell>
          <cell r="V300">
            <v>8</v>
          </cell>
          <cell r="W300" t="str">
            <v>チャレンジタワー 8F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13001_10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10</v>
          </cell>
          <cell r="G301" t="str">
            <v>ja</v>
          </cell>
          <cell r="H301" t="str">
            <v>チャレンジタワー 10F</v>
          </cell>
          <cell r="I301" t="str">
            <v>試練の塔</v>
          </cell>
          <cell r="J301">
            <v>346</v>
          </cell>
          <cell r="K301">
            <v>11</v>
          </cell>
          <cell r="L301">
            <v>788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346,333,337,341</v>
          </cell>
          <cell r="U301">
            <v>13001</v>
          </cell>
          <cell r="V301">
            <v>9</v>
          </cell>
          <cell r="W301" t="str">
            <v>チャレンジタワー 9F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13001_11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11</v>
          </cell>
          <cell r="G302" t="str">
            <v>ja</v>
          </cell>
          <cell r="H302" t="str">
            <v>チャレンジタワー 11F</v>
          </cell>
          <cell r="I302" t="str">
            <v>試練の塔</v>
          </cell>
          <cell r="J302">
            <v>346</v>
          </cell>
          <cell r="K302">
            <v>12</v>
          </cell>
          <cell r="L302">
            <v>936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346,346</v>
          </cell>
          <cell r="U302">
            <v>13001</v>
          </cell>
          <cell r="V302">
            <v>10</v>
          </cell>
          <cell r="W302" t="str">
            <v>チャレンジタワー 10F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13001_12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12</v>
          </cell>
          <cell r="G303" t="str">
            <v>ja</v>
          </cell>
          <cell r="H303" t="str">
            <v>チャレンジタワー 12F</v>
          </cell>
          <cell r="I303" t="str">
            <v>試練の塔</v>
          </cell>
          <cell r="J303">
            <v>342</v>
          </cell>
          <cell r="K303">
            <v>13</v>
          </cell>
          <cell r="L303">
            <v>1601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342,342</v>
          </cell>
          <cell r="U303">
            <v>13001</v>
          </cell>
          <cell r="V303">
            <v>11</v>
          </cell>
          <cell r="W303" t="str">
            <v>チャレンジタワー 11F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13001_13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13</v>
          </cell>
          <cell r="G304" t="str">
            <v>ja</v>
          </cell>
          <cell r="H304" t="str">
            <v>チャレンジタワー 13F</v>
          </cell>
          <cell r="I304" t="str">
            <v>試練の塔</v>
          </cell>
          <cell r="J304">
            <v>338</v>
          </cell>
          <cell r="K304">
            <v>14</v>
          </cell>
          <cell r="L304">
            <v>945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338,338</v>
          </cell>
          <cell r="U304">
            <v>13001</v>
          </cell>
          <cell r="V304">
            <v>12</v>
          </cell>
          <cell r="W304" t="str">
            <v>チャレンジタワー 12F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13001_14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14</v>
          </cell>
          <cell r="G305" t="str">
            <v>ja</v>
          </cell>
          <cell r="H305" t="str">
            <v>チャレンジタワー 14F</v>
          </cell>
          <cell r="I305" t="str">
            <v>試練の塔</v>
          </cell>
          <cell r="J305">
            <v>334</v>
          </cell>
          <cell r="K305">
            <v>14</v>
          </cell>
          <cell r="L305">
            <v>1188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334,334</v>
          </cell>
          <cell r="U305">
            <v>13001</v>
          </cell>
          <cell r="V305">
            <v>13</v>
          </cell>
          <cell r="W305" t="str">
            <v>チャレンジタワー 13F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13001_15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15</v>
          </cell>
          <cell r="G306" t="str">
            <v>ja</v>
          </cell>
          <cell r="H306" t="str">
            <v>チャレンジタワー 15F</v>
          </cell>
          <cell r="I306" t="str">
            <v>試練の塔</v>
          </cell>
          <cell r="J306">
            <v>316</v>
          </cell>
          <cell r="K306">
            <v>14</v>
          </cell>
          <cell r="L306">
            <v>1008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316</v>
          </cell>
          <cell r="U306">
            <v>13001</v>
          </cell>
          <cell r="V306">
            <v>14</v>
          </cell>
          <cell r="W306" t="str">
            <v>チャレンジタワー 14F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13001_16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16</v>
          </cell>
          <cell r="G307" t="str">
            <v>ja</v>
          </cell>
          <cell r="H307" t="str">
            <v>チャレンジタワー 16F</v>
          </cell>
          <cell r="I307" t="str">
            <v>試練の塔</v>
          </cell>
          <cell r="J307">
            <v>338</v>
          </cell>
          <cell r="K307">
            <v>16</v>
          </cell>
          <cell r="L307">
            <v>2573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338,338,337</v>
          </cell>
          <cell r="U307">
            <v>13001</v>
          </cell>
          <cell r="V307">
            <v>15</v>
          </cell>
          <cell r="W307" t="str">
            <v>チャレンジタワー 15F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13001_17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17</v>
          </cell>
          <cell r="G308" t="str">
            <v>ja</v>
          </cell>
          <cell r="H308" t="str">
            <v>チャレンジタワー 17F</v>
          </cell>
          <cell r="I308" t="str">
            <v>試練の塔</v>
          </cell>
          <cell r="J308">
            <v>346</v>
          </cell>
          <cell r="K308">
            <v>16</v>
          </cell>
          <cell r="L308">
            <v>1568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346,346,345</v>
          </cell>
          <cell r="U308">
            <v>13001</v>
          </cell>
          <cell r="V308">
            <v>16</v>
          </cell>
          <cell r="W308" t="str">
            <v>チャレンジタワー 16F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13001_18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18</v>
          </cell>
          <cell r="G309" t="str">
            <v>ja</v>
          </cell>
          <cell r="H309" t="str">
            <v>チャレンジタワー 18F</v>
          </cell>
          <cell r="I309" t="str">
            <v>試練の塔</v>
          </cell>
          <cell r="J309">
            <v>334</v>
          </cell>
          <cell r="K309">
            <v>17</v>
          </cell>
          <cell r="L309">
            <v>1821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334,334,333</v>
          </cell>
          <cell r="U309">
            <v>13001</v>
          </cell>
          <cell r="V309">
            <v>17</v>
          </cell>
          <cell r="W309" t="str">
            <v>チャレンジタワー 17F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13001_19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19</v>
          </cell>
          <cell r="G310" t="str">
            <v>ja</v>
          </cell>
          <cell r="H310" t="str">
            <v>チャレンジタワー 19F</v>
          </cell>
          <cell r="I310" t="str">
            <v>試練の塔</v>
          </cell>
          <cell r="J310">
            <v>342</v>
          </cell>
          <cell r="K310">
            <v>18</v>
          </cell>
          <cell r="L310">
            <v>2108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342,342,341</v>
          </cell>
          <cell r="U310">
            <v>13001</v>
          </cell>
          <cell r="V310">
            <v>18</v>
          </cell>
          <cell r="W310" t="str">
            <v>チャレンジタワー 18F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13001_20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20</v>
          </cell>
          <cell r="G311" t="str">
            <v>ja</v>
          </cell>
          <cell r="H311" t="str">
            <v>チャレンジタワー 20F</v>
          </cell>
          <cell r="I311" t="str">
            <v>試練の塔</v>
          </cell>
          <cell r="J311">
            <v>318</v>
          </cell>
          <cell r="K311">
            <v>18</v>
          </cell>
          <cell r="L311">
            <v>1620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318</v>
          </cell>
          <cell r="U311">
            <v>13001</v>
          </cell>
          <cell r="V311">
            <v>19</v>
          </cell>
          <cell r="W311" t="str">
            <v>チャレンジタワー 19F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13001_21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21</v>
          </cell>
          <cell r="G312" t="str">
            <v>ja</v>
          </cell>
          <cell r="H312" t="str">
            <v>チャレンジタワー 21F</v>
          </cell>
          <cell r="I312" t="str">
            <v>試練の塔</v>
          </cell>
          <cell r="J312" t="str">
            <v>335</v>
          </cell>
          <cell r="K312">
            <v>18</v>
          </cell>
          <cell r="L312">
            <v>1620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334,335,335</v>
          </cell>
          <cell r="U312">
            <v>13001</v>
          </cell>
          <cell r="V312">
            <v>20</v>
          </cell>
          <cell r="W312" t="str">
            <v>チャレンジタワー 20F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13001_22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22</v>
          </cell>
          <cell r="G313" t="str">
            <v>ja</v>
          </cell>
          <cell r="H313" t="str">
            <v>チャレンジタワー 22F</v>
          </cell>
          <cell r="I313" t="str">
            <v>試練の塔</v>
          </cell>
          <cell r="J313" t="str">
            <v>339</v>
          </cell>
          <cell r="K313">
            <v>18</v>
          </cell>
          <cell r="L313">
            <v>1620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338,339,339</v>
          </cell>
          <cell r="U313">
            <v>13001</v>
          </cell>
          <cell r="V313">
            <v>21</v>
          </cell>
          <cell r="W313" t="str">
            <v>チャレンジタワー 21F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13001_23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23</v>
          </cell>
          <cell r="G314" t="str">
            <v>ja</v>
          </cell>
          <cell r="H314" t="str">
            <v>チャレンジタワー 23F</v>
          </cell>
          <cell r="I314" t="str">
            <v>試練の塔</v>
          </cell>
          <cell r="J314" t="str">
            <v>347</v>
          </cell>
          <cell r="K314">
            <v>20</v>
          </cell>
          <cell r="L314">
            <v>1821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346,347,347</v>
          </cell>
          <cell r="U314">
            <v>13001</v>
          </cell>
          <cell r="V314">
            <v>22</v>
          </cell>
          <cell r="W314" t="str">
            <v>チャレンジタワー 22F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13001_24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24</v>
          </cell>
          <cell r="G315" t="str">
            <v>ja</v>
          </cell>
          <cell r="H315" t="str">
            <v>チャレンジタワー 24F</v>
          </cell>
          <cell r="I315" t="str">
            <v>試練の塔</v>
          </cell>
          <cell r="J315" t="str">
            <v>343</v>
          </cell>
          <cell r="K315">
            <v>20</v>
          </cell>
          <cell r="L315">
            <v>2871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342,343,343</v>
          </cell>
          <cell r="U315">
            <v>13001</v>
          </cell>
          <cell r="V315">
            <v>23</v>
          </cell>
          <cell r="W315" t="str">
            <v>チャレンジタワー 23F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13001_25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25</v>
          </cell>
          <cell r="G316" t="str">
            <v>ja</v>
          </cell>
          <cell r="H316" t="str">
            <v>チャレンジタワー 25F</v>
          </cell>
          <cell r="I316" t="str">
            <v>試練の塔</v>
          </cell>
          <cell r="J316" t="str">
            <v>368</v>
          </cell>
          <cell r="K316">
            <v>22</v>
          </cell>
          <cell r="L316">
            <v>3740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368</v>
          </cell>
          <cell r="U316">
            <v>13001</v>
          </cell>
          <cell r="V316">
            <v>24</v>
          </cell>
          <cell r="W316" t="str">
            <v>チャレンジタワー 24F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14001_1</v>
          </cell>
          <cell r="B317">
            <v>3</v>
          </cell>
          <cell r="C317">
            <v>14001</v>
          </cell>
          <cell r="D317" t="str">
            <v>【ロック】経験値/ソロ</v>
          </cell>
          <cell r="E317" t="str">
            <v>【ロック】経験値/ソロ</v>
          </cell>
          <cell r="F317">
            <v>1</v>
          </cell>
          <cell r="G317" t="str">
            <v>ja</v>
          </cell>
          <cell r="H317" t="str">
            <v>【超級】雷ファミリー（ハートなし）</v>
          </cell>
          <cell r="I317" t="str">
            <v>【ロッククエスト】経験値</v>
          </cell>
          <cell r="J317">
            <v>347</v>
          </cell>
          <cell r="K317">
            <v>1</v>
          </cell>
          <cell r="L317">
            <v>500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12</v>
          </cell>
          <cell r="AD317">
            <v>6</v>
          </cell>
          <cell r="AE317" t="str">
            <v>singleonly</v>
          </cell>
        </row>
        <row r="318">
          <cell r="A318" t="str">
            <v>14001_2</v>
          </cell>
          <cell r="B318">
            <v>3</v>
          </cell>
          <cell r="C318">
            <v>14001</v>
          </cell>
          <cell r="D318" t="str">
            <v>【ロック】経験値/ソロ</v>
          </cell>
          <cell r="E318" t="str">
            <v>【ロック】経験値/ソロ</v>
          </cell>
          <cell r="F318">
            <v>2</v>
          </cell>
          <cell r="G318" t="str">
            <v>ja</v>
          </cell>
          <cell r="H318" t="str">
            <v>【超級】水ファミリー（ハートなし）</v>
          </cell>
          <cell r="I318" t="str">
            <v>【ロッククエスト】経験値</v>
          </cell>
          <cell r="J318">
            <v>343</v>
          </cell>
          <cell r="K318">
            <v>1</v>
          </cell>
          <cell r="L318">
            <v>500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5</v>
          </cell>
          <cell r="AD318">
            <v>6</v>
          </cell>
          <cell r="AE318" t="str">
            <v>singleonly</v>
          </cell>
        </row>
        <row r="319">
          <cell r="A319" t="str">
            <v>14001_3</v>
          </cell>
          <cell r="B319">
            <v>3</v>
          </cell>
          <cell r="C319">
            <v>14001</v>
          </cell>
          <cell r="D319" t="str">
            <v>【ロック】経験値/ソロ</v>
          </cell>
          <cell r="E319" t="str">
            <v>【ロック】経験値/ソロ</v>
          </cell>
          <cell r="F319">
            <v>3</v>
          </cell>
          <cell r="G319" t="str">
            <v>ja</v>
          </cell>
          <cell r="H319" t="str">
            <v>【超級】森ファミリー（ハートなし）</v>
          </cell>
          <cell r="I319" t="str">
            <v>【ロッククエスト】経験値</v>
          </cell>
          <cell r="J319">
            <v>339</v>
          </cell>
          <cell r="K319">
            <v>1</v>
          </cell>
          <cell r="L319">
            <v>500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14001_4</v>
          </cell>
          <cell r="B320">
            <v>3</v>
          </cell>
          <cell r="C320">
            <v>14001</v>
          </cell>
          <cell r="D320" t="str">
            <v>【ロック】経験値/ソロ</v>
          </cell>
          <cell r="E320" t="str">
            <v>【ロック】経験値/ソロ</v>
          </cell>
          <cell r="F320">
            <v>4</v>
          </cell>
          <cell r="G320" t="str">
            <v>ja</v>
          </cell>
          <cell r="H320" t="str">
            <v>【超級】炎ファミリー（ハートなし）</v>
          </cell>
          <cell r="I320" t="str">
            <v>【ロッククエスト】経験値</v>
          </cell>
          <cell r="J320">
            <v>335</v>
          </cell>
          <cell r="K320">
            <v>1</v>
          </cell>
          <cell r="L320">
            <v>500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14001_5</v>
          </cell>
          <cell r="B321">
            <v>1</v>
          </cell>
          <cell r="C321">
            <v>14001</v>
          </cell>
          <cell r="D321" t="str">
            <v>【ロック】経験値/ソロ</v>
          </cell>
          <cell r="E321" t="str">
            <v>【ロック】経験値/ソロ</v>
          </cell>
          <cell r="F321">
            <v>5</v>
          </cell>
          <cell r="G321" t="str">
            <v>ja</v>
          </cell>
          <cell r="H321" t="str">
            <v>【上級】メタルダックを捕獲せよ！ _x000D_（ハートなし）</v>
          </cell>
          <cell r="I321" t="str">
            <v>【ロッククエスト】経験値</v>
          </cell>
          <cell r="J321">
            <v>334</v>
          </cell>
          <cell r="K321">
            <v>1</v>
          </cell>
          <cell r="L321">
            <v>350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201</v>
          </cell>
          <cell r="AD321">
            <v>6</v>
          </cell>
          <cell r="AE321" t="str">
            <v>singleonly</v>
          </cell>
        </row>
        <row r="322">
          <cell r="A322" t="str">
            <v>14002_1</v>
          </cell>
          <cell r="B322">
            <v>3</v>
          </cell>
          <cell r="C322">
            <v>14002</v>
          </cell>
          <cell r="D322" t="str">
            <v>【ロック】ビット/ソロ</v>
          </cell>
          <cell r="E322" t="str">
            <v>【ロック】ビット/ソロ</v>
          </cell>
          <cell r="F322">
            <v>1</v>
          </cell>
          <cell r="G322" t="str">
            <v>ja</v>
          </cell>
          <cell r="H322" t="str">
            <v>【超級】ハイローラー（ハートなし）</v>
          </cell>
          <cell r="I322" t="str">
            <v>【ロッククエスト】ビット</v>
          </cell>
          <cell r="J322">
            <v>119</v>
          </cell>
          <cell r="K322">
            <v>1</v>
          </cell>
          <cell r="L322">
            <v>777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105</v>
          </cell>
          <cell r="AD322">
            <v>6</v>
          </cell>
          <cell r="AE322" t="str">
            <v>singleonly</v>
          </cell>
        </row>
        <row r="323">
          <cell r="A323" t="str">
            <v>14002_2</v>
          </cell>
          <cell r="B323">
            <v>1</v>
          </cell>
          <cell r="C323">
            <v>14002</v>
          </cell>
          <cell r="D323" t="str">
            <v>【ロック】ビット/ソロ</v>
          </cell>
          <cell r="E323" t="str">
            <v>【ロック】ビット/ソロ</v>
          </cell>
          <cell r="F323">
            <v>2</v>
          </cell>
          <cell r="G323" t="str">
            <v>ja</v>
          </cell>
          <cell r="H323" t="str">
            <v>【上級】ゴールドカジノ （ハートなし）</v>
          </cell>
          <cell r="I323" t="str">
            <v>【ロッククエスト】ビット</v>
          </cell>
          <cell r="J323">
            <v>119</v>
          </cell>
          <cell r="K323">
            <v>1</v>
          </cell>
          <cell r="L323">
            <v>350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105</v>
          </cell>
          <cell r="AD323">
            <v>6</v>
          </cell>
          <cell r="AE323" t="str">
            <v>singleonly</v>
          </cell>
        </row>
        <row r="324">
          <cell r="A324" t="str">
            <v>14003_1</v>
          </cell>
          <cell r="B324">
            <v>3</v>
          </cell>
          <cell r="C324">
            <v>14003</v>
          </cell>
          <cell r="D324" t="str">
            <v>【ロック】限界突破/ソロ</v>
          </cell>
          <cell r="E324" t="str">
            <v>【ロック】限界突破/ソロ</v>
          </cell>
          <cell r="F324">
            <v>1</v>
          </cell>
          <cell r="G324" t="str">
            <v>ja</v>
          </cell>
          <cell r="H324" t="str">
            <v>【超級】果実の楽園（ハートなし）</v>
          </cell>
          <cell r="I324" t="str">
            <v>【ロッククエスト】限界突破</v>
          </cell>
          <cell r="J324">
            <v>125</v>
          </cell>
          <cell r="K324">
            <v>1</v>
          </cell>
          <cell r="L324">
            <v>860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7</v>
          </cell>
          <cell r="AD324">
            <v>6</v>
          </cell>
          <cell r="AE324" t="str">
            <v>singleonly</v>
          </cell>
        </row>
        <row r="325">
          <cell r="A325" t="str">
            <v>14003_2</v>
          </cell>
          <cell r="B325">
            <v>1</v>
          </cell>
          <cell r="C325">
            <v>14003</v>
          </cell>
          <cell r="D325" t="str">
            <v>【ロック】限界突破/ソロ</v>
          </cell>
          <cell r="E325" t="str">
            <v>【ロック】限界突破/ソロ</v>
          </cell>
          <cell r="F325">
            <v>2</v>
          </cell>
          <cell r="G325" t="str">
            <v>ja</v>
          </cell>
          <cell r="H325" t="str">
            <v>【超絶級】攻めの極意（ハートなし）</v>
          </cell>
          <cell r="I325" t="str">
            <v>【ロッククエスト】限界突破</v>
          </cell>
          <cell r="J325">
            <v>611</v>
          </cell>
          <cell r="K325">
            <v>1</v>
          </cell>
          <cell r="L325">
            <v>999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10</v>
          </cell>
          <cell r="AD325">
            <v>6</v>
          </cell>
          <cell r="AE325" t="str">
            <v>singleonly</v>
          </cell>
        </row>
        <row r="326">
          <cell r="A326" t="str">
            <v>14003_3</v>
          </cell>
          <cell r="B326">
            <v>1</v>
          </cell>
          <cell r="C326">
            <v>14003</v>
          </cell>
          <cell r="D326" t="str">
            <v>【ロック】限界突破/ソロ</v>
          </cell>
          <cell r="E326" t="str">
            <v>【ロック】限界突破/ソロ</v>
          </cell>
          <cell r="F326">
            <v>3</v>
          </cell>
          <cell r="G326" t="str">
            <v>ja</v>
          </cell>
          <cell r="H326" t="str">
            <v>【超絶級】癒しの極意（ハートなし）</v>
          </cell>
          <cell r="I326" t="str">
            <v>【ロッククエスト】限界突破</v>
          </cell>
          <cell r="J326">
            <v>613</v>
          </cell>
          <cell r="K326">
            <v>1</v>
          </cell>
          <cell r="L326">
            <v>999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5</v>
          </cell>
          <cell r="AD326">
            <v>6</v>
          </cell>
          <cell r="AE326" t="str">
            <v>singleonly</v>
          </cell>
        </row>
        <row r="327">
          <cell r="A327" t="str">
            <v>14003_4</v>
          </cell>
          <cell r="B327">
            <v>1</v>
          </cell>
          <cell r="C327">
            <v>14003</v>
          </cell>
          <cell r="D327" t="str">
            <v>【ロック】限界突破/ソロ</v>
          </cell>
          <cell r="E327" t="str">
            <v>【ロック】限界突破/ソロ</v>
          </cell>
          <cell r="F327">
            <v>4</v>
          </cell>
          <cell r="G327" t="str">
            <v>ja</v>
          </cell>
          <cell r="H327" t="str">
            <v>【超絶級】体力の極意（ハートなし）</v>
          </cell>
          <cell r="I327" t="str">
            <v>【ロッククエスト】限界突破</v>
          </cell>
          <cell r="J327">
            <v>612</v>
          </cell>
          <cell r="K327">
            <v>1</v>
          </cell>
          <cell r="L327">
            <v>999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7</v>
          </cell>
          <cell r="AD327">
            <v>6</v>
          </cell>
          <cell r="AE327" t="str">
            <v>singleonly</v>
          </cell>
        </row>
        <row r="328">
          <cell r="A328" t="str">
            <v>14004_1</v>
          </cell>
          <cell r="B328">
            <v>1</v>
          </cell>
          <cell r="C328">
            <v>14004</v>
          </cell>
          <cell r="D328" t="str">
            <v>【ロック】経験値/LINEマルチ</v>
          </cell>
          <cell r="E328" t="str">
            <v>【ロック】経験値/LINEマルチ</v>
          </cell>
          <cell r="F328">
            <v>1</v>
          </cell>
          <cell r="G328" t="str">
            <v>ja</v>
          </cell>
          <cell r="H328" t="str">
            <v>【超級】雷ファミリー（ハートなし）</v>
          </cell>
          <cell r="I328" t="str">
            <v>【ロッククエスト】経験値</v>
          </cell>
          <cell r="J328">
            <v>347</v>
          </cell>
          <cell r="K328">
            <v>1</v>
          </cell>
          <cell r="L328">
            <v>500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12</v>
          </cell>
          <cell r="AD328">
            <v>6</v>
          </cell>
          <cell r="AE328" t="str">
            <v>lineonly</v>
          </cell>
        </row>
        <row r="329">
          <cell r="A329" t="str">
            <v>14004_2</v>
          </cell>
          <cell r="B329">
            <v>1</v>
          </cell>
          <cell r="C329">
            <v>14004</v>
          </cell>
          <cell r="D329" t="str">
            <v>【ロック】経験値/LINEマルチ</v>
          </cell>
          <cell r="E329" t="str">
            <v>【ロック】経験値/LINEマルチ</v>
          </cell>
          <cell r="F329">
            <v>2</v>
          </cell>
          <cell r="G329" t="str">
            <v>ja</v>
          </cell>
          <cell r="H329" t="str">
            <v>【超級】水ファミリー（ハートなし）</v>
          </cell>
          <cell r="I329" t="str">
            <v>【ロッククエスト】経験値</v>
          </cell>
          <cell r="J329">
            <v>343</v>
          </cell>
          <cell r="K329">
            <v>1</v>
          </cell>
          <cell r="L329">
            <v>500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0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5</v>
          </cell>
          <cell r="AD329">
            <v>6</v>
          </cell>
          <cell r="AE329" t="str">
            <v>lineonly</v>
          </cell>
        </row>
        <row r="330">
          <cell r="A330" t="str">
            <v>14004_3</v>
          </cell>
          <cell r="B330">
            <v>1</v>
          </cell>
          <cell r="C330">
            <v>14004</v>
          </cell>
          <cell r="D330" t="str">
            <v>【ロック】経験値/LINEマルチ</v>
          </cell>
          <cell r="E330" t="str">
            <v>【ロック】経験値/LINEマルチ</v>
          </cell>
          <cell r="F330">
            <v>3</v>
          </cell>
          <cell r="G330" t="str">
            <v>ja</v>
          </cell>
          <cell r="H330" t="str">
            <v>【超級】森ファミリー（ハートなし）</v>
          </cell>
          <cell r="I330" t="str">
            <v>【ロッククエスト】経験値</v>
          </cell>
          <cell r="J330">
            <v>339</v>
          </cell>
          <cell r="K330">
            <v>1</v>
          </cell>
          <cell r="L330">
            <v>500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0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lineonly</v>
          </cell>
        </row>
        <row r="331">
          <cell r="A331" t="str">
            <v>14004_4</v>
          </cell>
          <cell r="B331">
            <v>1</v>
          </cell>
          <cell r="C331">
            <v>14004</v>
          </cell>
          <cell r="D331" t="str">
            <v>【ロック】経験値/LINEマルチ</v>
          </cell>
          <cell r="E331" t="str">
            <v>【ロック】経験値/LINEマルチ</v>
          </cell>
          <cell r="F331">
            <v>4</v>
          </cell>
          <cell r="G331" t="str">
            <v>ja</v>
          </cell>
          <cell r="H331" t="str">
            <v>【超級】炎ファミリー（ハートなし）</v>
          </cell>
          <cell r="I331" t="str">
            <v>【ロッククエスト】経験値</v>
          </cell>
          <cell r="J331">
            <v>335</v>
          </cell>
          <cell r="K331">
            <v>1</v>
          </cell>
          <cell r="L331">
            <v>500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0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10</v>
          </cell>
          <cell r="AD331">
            <v>6</v>
          </cell>
          <cell r="AE331" t="str">
            <v>lineonly</v>
          </cell>
        </row>
        <row r="332">
          <cell r="A332" t="str">
            <v>14005_1</v>
          </cell>
          <cell r="B332">
            <v>1</v>
          </cell>
          <cell r="C332">
            <v>14005</v>
          </cell>
          <cell r="D332" t="str">
            <v>【ロック】ビット/LINEマルチ</v>
          </cell>
          <cell r="E332" t="str">
            <v>【ロック】ビット/LINEマルチ</v>
          </cell>
          <cell r="F332">
            <v>1</v>
          </cell>
          <cell r="G332" t="str">
            <v>ja</v>
          </cell>
          <cell r="H332" t="str">
            <v>【超級】ハイローラー（ハートなし）</v>
          </cell>
          <cell r="I332" t="str">
            <v>【ロッククエスト】ビット</v>
          </cell>
          <cell r="J332">
            <v>119</v>
          </cell>
          <cell r="K332">
            <v>1</v>
          </cell>
          <cell r="L332">
            <v>777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0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105</v>
          </cell>
          <cell r="AD332">
            <v>6</v>
          </cell>
          <cell r="AE332" t="str">
            <v>lineonly</v>
          </cell>
        </row>
        <row r="333">
          <cell r="A333" t="str">
            <v>14006_1</v>
          </cell>
          <cell r="B333">
            <v>1</v>
          </cell>
          <cell r="C333">
            <v>14006</v>
          </cell>
          <cell r="D333" t="str">
            <v>【ロック】限界突破/LINEマルチ</v>
          </cell>
          <cell r="E333" t="str">
            <v>【ロック】限界突破/LINEマルチ</v>
          </cell>
          <cell r="F333">
            <v>1</v>
          </cell>
          <cell r="G333" t="str">
            <v>ja</v>
          </cell>
          <cell r="H333" t="str">
            <v>【超級】果実の楽園（ハートなし）</v>
          </cell>
          <cell r="I333" t="str">
            <v>【ロッククエスト】限界突破</v>
          </cell>
          <cell r="J333">
            <v>125</v>
          </cell>
          <cell r="K333">
            <v>1</v>
          </cell>
          <cell r="L333">
            <v>860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0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7</v>
          </cell>
          <cell r="AD333">
            <v>6</v>
          </cell>
          <cell r="AE333" t="str">
            <v>lineonly</v>
          </cell>
        </row>
        <row r="334">
          <cell r="A334" t="str">
            <v>15027_1</v>
          </cell>
          <cell r="B334">
            <v>3</v>
          </cell>
          <cell r="C334">
            <v>15027</v>
          </cell>
          <cell r="D334" t="str">
            <v>27. 雷雨の登山道</v>
          </cell>
          <cell r="E334" t="str">
            <v>黄青DL6</v>
          </cell>
          <cell r="F334">
            <v>1</v>
          </cell>
          <cell r="G334" t="str">
            <v>ja</v>
          </cell>
          <cell r="H334" t="str">
            <v>27-1. 登山道入口</v>
          </cell>
          <cell r="J334" t="str">
            <v>NULL</v>
          </cell>
          <cell r="K334">
            <v>18</v>
          </cell>
          <cell r="L334">
            <v>2080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26</v>
          </cell>
          <cell r="V334">
            <v>6</v>
          </cell>
          <cell r="W334" t="str">
            <v>26-6．【1回のみ】ボーナスステージ</v>
          </cell>
          <cell r="X334">
            <v>0</v>
          </cell>
          <cell r="Y334">
            <v>1</v>
          </cell>
          <cell r="Z334">
            <v>0</v>
          </cell>
          <cell r="AA334">
            <v>1</v>
          </cell>
          <cell r="AB334" t="str">
            <v>anytime</v>
          </cell>
          <cell r="AC334">
            <v>27</v>
          </cell>
          <cell r="AD334">
            <v>6</v>
          </cell>
          <cell r="AE334" t="str">
            <v>everyone</v>
          </cell>
        </row>
        <row r="335">
          <cell r="A335" t="str">
            <v>15027_2</v>
          </cell>
          <cell r="B335">
            <v>3</v>
          </cell>
          <cell r="C335">
            <v>15027</v>
          </cell>
          <cell r="D335" t="str">
            <v>27. 雷雨の登山道</v>
          </cell>
          <cell r="E335" t="str">
            <v>黄青DL6</v>
          </cell>
          <cell r="F335">
            <v>2</v>
          </cell>
          <cell r="G335" t="str">
            <v>ja</v>
          </cell>
          <cell r="H335" t="str">
            <v>27-2. 霊峰の守護者</v>
          </cell>
          <cell r="J335" t="str">
            <v>NULL</v>
          </cell>
          <cell r="K335">
            <v>19</v>
          </cell>
          <cell r="L335">
            <v>2300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15027</v>
          </cell>
          <cell r="V335">
            <v>1</v>
          </cell>
          <cell r="W335" t="str">
            <v>27-1. 登山道入口</v>
          </cell>
          <cell r="X335">
            <v>0</v>
          </cell>
          <cell r="Y335">
            <v>1</v>
          </cell>
          <cell r="Z335">
            <v>0</v>
          </cell>
          <cell r="AA335">
            <v>1</v>
          </cell>
          <cell r="AB335" t="str">
            <v>anytime</v>
          </cell>
          <cell r="AC335">
            <v>27</v>
          </cell>
          <cell r="AD335">
            <v>6</v>
          </cell>
          <cell r="AE335" t="str">
            <v>everyone</v>
          </cell>
        </row>
        <row r="336">
          <cell r="A336" t="str">
            <v>15027_3</v>
          </cell>
          <cell r="B336">
            <v>3</v>
          </cell>
          <cell r="C336">
            <v>15027</v>
          </cell>
          <cell r="D336" t="str">
            <v>27. 雷雨の登山道</v>
          </cell>
          <cell r="E336" t="str">
            <v>黄青DL6</v>
          </cell>
          <cell r="F336">
            <v>3</v>
          </cell>
          <cell r="G336" t="str">
            <v>ja</v>
          </cell>
          <cell r="H336" t="str">
            <v>27-3. 山岳の王者</v>
          </cell>
          <cell r="J336" t="str">
            <v>NULL</v>
          </cell>
          <cell r="K336">
            <v>22</v>
          </cell>
          <cell r="L336">
            <v>2920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15027</v>
          </cell>
          <cell r="V336">
            <v>2</v>
          </cell>
          <cell r="W336" t="str">
            <v>27-2. 霊峰の守護者</v>
          </cell>
          <cell r="X336">
            <v>0</v>
          </cell>
          <cell r="Y336">
            <v>1</v>
          </cell>
          <cell r="Z336">
            <v>0</v>
          </cell>
          <cell r="AA336">
            <v>1</v>
          </cell>
          <cell r="AB336" t="str">
            <v>anytime</v>
          </cell>
          <cell r="AC336">
            <v>27</v>
          </cell>
          <cell r="AD336">
            <v>6</v>
          </cell>
          <cell r="AE336" t="str">
            <v>everyone</v>
          </cell>
        </row>
        <row r="337">
          <cell r="A337" t="str">
            <v>15027_4</v>
          </cell>
          <cell r="B337">
            <v>3</v>
          </cell>
          <cell r="C337">
            <v>15027</v>
          </cell>
          <cell r="D337" t="str">
            <v>27. 雷雨の登山道</v>
          </cell>
          <cell r="E337" t="str">
            <v>黄青DL6</v>
          </cell>
          <cell r="F337">
            <v>4</v>
          </cell>
          <cell r="G337" t="str">
            <v>ja</v>
          </cell>
          <cell r="H337" t="str">
            <v>27-4. 【1回のみ】ボーナスステージ</v>
          </cell>
          <cell r="I337" t="str">
            <v>ボーナス</v>
          </cell>
          <cell r="J337">
            <v>343</v>
          </cell>
          <cell r="K337">
            <v>1</v>
          </cell>
          <cell r="L337">
            <v>1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15027</v>
          </cell>
          <cell r="V337">
            <v>3</v>
          </cell>
          <cell r="W337" t="str">
            <v>27-3. 山岳の王者</v>
          </cell>
          <cell r="X337">
            <v>0</v>
          </cell>
          <cell r="Y337">
            <v>1</v>
          </cell>
          <cell r="Z337">
            <v>0</v>
          </cell>
          <cell r="AA337">
            <v>1</v>
          </cell>
          <cell r="AB337" t="str">
            <v>once</v>
          </cell>
          <cell r="AC337">
            <v>27</v>
          </cell>
          <cell r="AD337">
            <v>6</v>
          </cell>
          <cell r="AE337" t="str">
            <v>singleonly</v>
          </cell>
        </row>
        <row r="338">
          <cell r="A338" t="str">
            <v>15028_1</v>
          </cell>
          <cell r="B338">
            <v>3</v>
          </cell>
          <cell r="C338">
            <v>15028</v>
          </cell>
          <cell r="D338" t="str">
            <v>28. 暴風と灼熱の罪浄</v>
          </cell>
          <cell r="E338" t="str">
            <v>赤緑DL6</v>
          </cell>
          <cell r="F338">
            <v>1</v>
          </cell>
          <cell r="G338" t="str">
            <v>ja</v>
          </cell>
          <cell r="H338" t="str">
            <v>28-1. 轟翼のかまど</v>
          </cell>
          <cell r="J338" t="str">
            <v>NULL</v>
          </cell>
          <cell r="K338">
            <v>18</v>
          </cell>
          <cell r="L338">
            <v>2150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15027</v>
          </cell>
          <cell r="V338">
            <v>4</v>
          </cell>
          <cell r="W338" t="str">
            <v>27-4. 【1回のみ】ボーナスステージ</v>
          </cell>
          <cell r="X338">
            <v>1</v>
          </cell>
          <cell r="Y338">
            <v>0</v>
          </cell>
          <cell r="Z338">
            <v>1</v>
          </cell>
          <cell r="AA338">
            <v>0</v>
          </cell>
          <cell r="AB338" t="str">
            <v>anytime</v>
          </cell>
          <cell r="AC338">
            <v>28</v>
          </cell>
          <cell r="AD338">
            <v>6</v>
          </cell>
          <cell r="AE338" t="str">
            <v>everyone</v>
          </cell>
        </row>
        <row r="339">
          <cell r="A339" t="str">
            <v>15028_2</v>
          </cell>
          <cell r="B339">
            <v>3</v>
          </cell>
          <cell r="C339">
            <v>15028</v>
          </cell>
          <cell r="D339" t="str">
            <v>28. 暴風と灼熱の罪浄</v>
          </cell>
          <cell r="E339" t="str">
            <v>赤緑DL6</v>
          </cell>
          <cell r="F339">
            <v>2</v>
          </cell>
          <cell r="G339" t="str">
            <v>ja</v>
          </cell>
          <cell r="H339" t="str">
            <v>28-2. 空の寝殿</v>
          </cell>
          <cell r="J339" t="str">
            <v>NULL</v>
          </cell>
          <cell r="K339">
            <v>19</v>
          </cell>
          <cell r="L339">
            <v>2500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15028</v>
          </cell>
          <cell r="V339">
            <v>1</v>
          </cell>
          <cell r="W339" t="str">
            <v>28-1. 轟翼のかまど</v>
          </cell>
          <cell r="X339">
            <v>1</v>
          </cell>
          <cell r="Y339">
            <v>0</v>
          </cell>
          <cell r="Z339">
            <v>1</v>
          </cell>
          <cell r="AA339">
            <v>0</v>
          </cell>
          <cell r="AB339" t="str">
            <v>anytime</v>
          </cell>
          <cell r="AC339">
            <v>28</v>
          </cell>
          <cell r="AD339">
            <v>6</v>
          </cell>
          <cell r="AE339" t="str">
            <v>everyone</v>
          </cell>
        </row>
        <row r="340">
          <cell r="A340" t="str">
            <v>15028_3</v>
          </cell>
          <cell r="B340">
            <v>3</v>
          </cell>
          <cell r="C340">
            <v>15028</v>
          </cell>
          <cell r="D340" t="str">
            <v>28. 暴風と灼熱の罪浄</v>
          </cell>
          <cell r="E340" t="str">
            <v>赤緑DL6</v>
          </cell>
          <cell r="F340">
            <v>3</v>
          </cell>
          <cell r="G340" t="str">
            <v>ja</v>
          </cell>
          <cell r="H340" t="str">
            <v>28-3. 縛風の洞窟</v>
          </cell>
          <cell r="J340" t="str">
            <v>NULL</v>
          </cell>
          <cell r="K340">
            <v>22</v>
          </cell>
          <cell r="L340">
            <v>3100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15028</v>
          </cell>
          <cell r="V340">
            <v>2</v>
          </cell>
          <cell r="W340" t="str">
            <v>28-2. 空の寝殿</v>
          </cell>
          <cell r="X340">
            <v>1</v>
          </cell>
          <cell r="Y340">
            <v>0</v>
          </cell>
          <cell r="Z340">
            <v>1</v>
          </cell>
          <cell r="AA340">
            <v>0</v>
          </cell>
          <cell r="AB340" t="str">
            <v>anytime</v>
          </cell>
          <cell r="AC340">
            <v>28</v>
          </cell>
          <cell r="AD340">
            <v>6</v>
          </cell>
          <cell r="AE340" t="str">
            <v>everyone</v>
          </cell>
        </row>
        <row r="341">
          <cell r="A341" t="str">
            <v>15028_4</v>
          </cell>
          <cell r="B341">
            <v>3</v>
          </cell>
          <cell r="C341">
            <v>15028</v>
          </cell>
          <cell r="D341" t="str">
            <v>28. 暴風と灼熱の罪浄</v>
          </cell>
          <cell r="E341" t="str">
            <v>赤緑DL6</v>
          </cell>
          <cell r="F341">
            <v>4</v>
          </cell>
          <cell r="G341" t="str">
            <v>ja</v>
          </cell>
          <cell r="H341" t="str">
            <v>28-4. 【1回のみ】ボーナスステージ</v>
          </cell>
          <cell r="I341" t="str">
            <v>ボーナス</v>
          </cell>
          <cell r="J341">
            <v>339</v>
          </cell>
          <cell r="K341">
            <v>1</v>
          </cell>
          <cell r="L341">
            <v>1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15028</v>
          </cell>
          <cell r="V341">
            <v>3</v>
          </cell>
          <cell r="W341" t="str">
            <v>28-3. 縛風の洞窟</v>
          </cell>
          <cell r="X341">
            <v>1</v>
          </cell>
          <cell r="Y341">
            <v>0</v>
          </cell>
          <cell r="Z341">
            <v>1</v>
          </cell>
          <cell r="AA341">
            <v>0</v>
          </cell>
          <cell r="AB341" t="str">
            <v>once</v>
          </cell>
          <cell r="AC341">
            <v>28</v>
          </cell>
          <cell r="AD341">
            <v>6</v>
          </cell>
          <cell r="AE341" t="str">
            <v>singleonly</v>
          </cell>
        </row>
        <row r="342">
          <cell r="A342" t="str">
            <v>15029_1</v>
          </cell>
          <cell r="B342">
            <v>3</v>
          </cell>
          <cell r="C342">
            <v>15029</v>
          </cell>
          <cell r="D342" t="str">
            <v>29. 雪の望郷</v>
          </cell>
          <cell r="E342" t="str">
            <v>緑黄DL6</v>
          </cell>
          <cell r="F342">
            <v>1</v>
          </cell>
          <cell r="G342" t="str">
            <v>ja</v>
          </cell>
          <cell r="H342" t="str">
            <v>29-1. 雪の中のケモノたち</v>
          </cell>
          <cell r="J342" t="str">
            <v>NULL</v>
          </cell>
          <cell r="K342">
            <v>18</v>
          </cell>
          <cell r="L342">
            <v>2340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15028</v>
          </cell>
          <cell r="V342">
            <v>4</v>
          </cell>
          <cell r="W342" t="str">
            <v>28-4. 【1回のみ】ボーナスステージ</v>
          </cell>
          <cell r="X342">
            <v>0</v>
          </cell>
          <cell r="Y342">
            <v>0</v>
          </cell>
          <cell r="Z342">
            <v>1</v>
          </cell>
          <cell r="AA342">
            <v>1</v>
          </cell>
          <cell r="AB342" t="str">
            <v>anytime</v>
          </cell>
          <cell r="AC342">
            <v>29</v>
          </cell>
          <cell r="AD342">
            <v>6</v>
          </cell>
          <cell r="AE342" t="str">
            <v>everyone</v>
          </cell>
        </row>
        <row r="343">
          <cell r="A343" t="str">
            <v>15029_2</v>
          </cell>
          <cell r="B343">
            <v>3</v>
          </cell>
          <cell r="C343">
            <v>15029</v>
          </cell>
          <cell r="D343" t="str">
            <v>29. 雪の望郷</v>
          </cell>
          <cell r="E343" t="str">
            <v>緑黄DL6</v>
          </cell>
          <cell r="F343">
            <v>2</v>
          </cell>
          <cell r="G343" t="str">
            <v>ja</v>
          </cell>
          <cell r="H343" t="str">
            <v>29-2. ねこみみマフラー</v>
          </cell>
          <cell r="J343" t="str">
            <v>NULL</v>
          </cell>
          <cell r="K343">
            <v>19</v>
          </cell>
          <cell r="L343">
            <v>2670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15029</v>
          </cell>
          <cell r="V343">
            <v>1</v>
          </cell>
          <cell r="W343" t="str">
            <v>29-1. 雪の中のケモノたち</v>
          </cell>
          <cell r="X343">
            <v>0</v>
          </cell>
          <cell r="Y343">
            <v>0</v>
          </cell>
          <cell r="Z343">
            <v>1</v>
          </cell>
          <cell r="AA343">
            <v>1</v>
          </cell>
          <cell r="AB343" t="str">
            <v>anytime</v>
          </cell>
          <cell r="AC343">
            <v>29</v>
          </cell>
          <cell r="AD343">
            <v>6</v>
          </cell>
          <cell r="AE343" t="str">
            <v>everyone</v>
          </cell>
        </row>
        <row r="344">
          <cell r="A344" t="str">
            <v>15029_3</v>
          </cell>
          <cell r="B344">
            <v>3</v>
          </cell>
          <cell r="C344">
            <v>15029</v>
          </cell>
          <cell r="D344" t="str">
            <v>29. 雪の望郷</v>
          </cell>
          <cell r="E344" t="str">
            <v>緑黄DL6</v>
          </cell>
          <cell r="F344">
            <v>3</v>
          </cell>
          <cell r="G344" t="str">
            <v>ja</v>
          </cell>
          <cell r="H344" t="str">
            <v>29-3. 仕立屋と兄妹</v>
          </cell>
          <cell r="J344" t="str">
            <v>NULL</v>
          </cell>
          <cell r="K344">
            <v>22</v>
          </cell>
          <cell r="L344">
            <v>3320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15029</v>
          </cell>
          <cell r="V344">
            <v>2</v>
          </cell>
          <cell r="W344" t="str">
            <v>29-2. ねこみみマフラー</v>
          </cell>
          <cell r="X344">
            <v>0</v>
          </cell>
          <cell r="Y344">
            <v>0</v>
          </cell>
          <cell r="Z344">
            <v>1</v>
          </cell>
          <cell r="AA344">
            <v>1</v>
          </cell>
          <cell r="AB344" t="str">
            <v>anytime</v>
          </cell>
          <cell r="AC344">
            <v>29</v>
          </cell>
          <cell r="AD344">
            <v>6</v>
          </cell>
          <cell r="AE344" t="str">
            <v>everyone</v>
          </cell>
        </row>
        <row r="345">
          <cell r="A345" t="str">
            <v>15029_4</v>
          </cell>
          <cell r="B345">
            <v>3</v>
          </cell>
          <cell r="C345">
            <v>15029</v>
          </cell>
          <cell r="D345" t="str">
            <v>29. 雪の望郷</v>
          </cell>
          <cell r="E345" t="str">
            <v>緑黄DL6</v>
          </cell>
          <cell r="F345">
            <v>4</v>
          </cell>
          <cell r="G345" t="str">
            <v>ja</v>
          </cell>
          <cell r="H345" t="str">
            <v>29-4. 【1回のみ】ボーナスステージ</v>
          </cell>
          <cell r="I345" t="str">
            <v>ボーナス</v>
          </cell>
          <cell r="J345">
            <v>347</v>
          </cell>
          <cell r="K345">
            <v>1</v>
          </cell>
          <cell r="L345">
            <v>1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15029</v>
          </cell>
          <cell r="V345">
            <v>3</v>
          </cell>
          <cell r="W345" t="str">
            <v>29-3. 仕立屋と兄妹</v>
          </cell>
          <cell r="X345">
            <v>0</v>
          </cell>
          <cell r="Y345">
            <v>0</v>
          </cell>
          <cell r="Z345">
            <v>1</v>
          </cell>
          <cell r="AA345">
            <v>1</v>
          </cell>
          <cell r="AB345" t="str">
            <v>once</v>
          </cell>
          <cell r="AC345">
            <v>29</v>
          </cell>
          <cell r="AD345">
            <v>6</v>
          </cell>
          <cell r="AE345" t="str">
            <v>singleonly</v>
          </cell>
        </row>
        <row r="346">
          <cell r="A346" t="str">
            <v>15030_1</v>
          </cell>
          <cell r="B346">
            <v>3</v>
          </cell>
          <cell r="C346">
            <v>15030</v>
          </cell>
          <cell r="D346" t="str">
            <v>30. 月夜のオールドシティ</v>
          </cell>
          <cell r="E346" t="str">
            <v>赤青DL6</v>
          </cell>
          <cell r="F346">
            <v>1</v>
          </cell>
          <cell r="G346" t="str">
            <v>ja</v>
          </cell>
          <cell r="H346" t="str">
            <v>30-1. 月夜に煌めく刃</v>
          </cell>
          <cell r="J346" t="str">
            <v>NULL</v>
          </cell>
          <cell r="K346">
            <v>18</v>
          </cell>
          <cell r="L346">
            <v>2480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15029</v>
          </cell>
          <cell r="V346">
            <v>4</v>
          </cell>
          <cell r="W346" t="str">
            <v>29-4. 【1回のみ】ボーナスステージ</v>
          </cell>
          <cell r="X346">
            <v>1</v>
          </cell>
          <cell r="Y346">
            <v>1</v>
          </cell>
          <cell r="Z346">
            <v>0</v>
          </cell>
          <cell r="AA346">
            <v>0</v>
          </cell>
          <cell r="AB346" t="str">
            <v>anytime</v>
          </cell>
          <cell r="AC346">
            <v>30</v>
          </cell>
          <cell r="AD346">
            <v>6</v>
          </cell>
          <cell r="AE346" t="str">
            <v>everyone</v>
          </cell>
        </row>
        <row r="347">
          <cell r="A347" t="str">
            <v>15030_2</v>
          </cell>
          <cell r="B347">
            <v>3</v>
          </cell>
          <cell r="C347">
            <v>15030</v>
          </cell>
          <cell r="D347" t="str">
            <v>30. 月夜のオールドシティ</v>
          </cell>
          <cell r="E347" t="str">
            <v>赤青DL6</v>
          </cell>
          <cell r="F347">
            <v>2</v>
          </cell>
          <cell r="G347" t="str">
            <v>ja</v>
          </cell>
          <cell r="H347" t="str">
            <v>30-2. 深夜のお茶会</v>
          </cell>
          <cell r="J347" t="str">
            <v>NULL</v>
          </cell>
          <cell r="K347">
            <v>19</v>
          </cell>
          <cell r="L347">
            <v>2800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15030</v>
          </cell>
          <cell r="V347">
            <v>1</v>
          </cell>
          <cell r="W347" t="str">
            <v>30-1. 月夜に煌めく刃</v>
          </cell>
          <cell r="X347">
            <v>1</v>
          </cell>
          <cell r="Y347">
            <v>1</v>
          </cell>
          <cell r="Z347">
            <v>0</v>
          </cell>
          <cell r="AA347">
            <v>0</v>
          </cell>
          <cell r="AB347" t="str">
            <v>anytime</v>
          </cell>
          <cell r="AC347">
            <v>30</v>
          </cell>
          <cell r="AD347">
            <v>6</v>
          </cell>
          <cell r="AE347" t="str">
            <v>everyone</v>
          </cell>
        </row>
        <row r="348">
          <cell r="A348" t="str">
            <v>15030_3</v>
          </cell>
          <cell r="B348">
            <v>3</v>
          </cell>
          <cell r="C348">
            <v>15030</v>
          </cell>
          <cell r="D348" t="str">
            <v>30. 月夜のオールドシティ</v>
          </cell>
          <cell r="E348" t="str">
            <v>赤青DL6</v>
          </cell>
          <cell r="F348">
            <v>3</v>
          </cell>
          <cell r="G348" t="str">
            <v>ja</v>
          </cell>
          <cell r="H348" t="str">
            <v>30-3. 月影の襲撃者</v>
          </cell>
          <cell r="J348" t="str">
            <v>NULL</v>
          </cell>
          <cell r="K348">
            <v>22</v>
          </cell>
          <cell r="L348">
            <v>3540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15030</v>
          </cell>
          <cell r="V348">
            <v>2</v>
          </cell>
          <cell r="W348" t="str">
            <v>30-2. 深夜のお茶会</v>
          </cell>
          <cell r="X348">
            <v>1</v>
          </cell>
          <cell r="Y348">
            <v>1</v>
          </cell>
          <cell r="Z348">
            <v>0</v>
          </cell>
          <cell r="AA348">
            <v>0</v>
          </cell>
          <cell r="AB348" t="str">
            <v>anytime</v>
          </cell>
          <cell r="AC348">
            <v>30</v>
          </cell>
          <cell r="AD348">
            <v>6</v>
          </cell>
          <cell r="AE348" t="str">
            <v>everyone</v>
          </cell>
        </row>
        <row r="349">
          <cell r="A349" t="str">
            <v>15030_4</v>
          </cell>
          <cell r="B349">
            <v>3</v>
          </cell>
          <cell r="C349">
            <v>15030</v>
          </cell>
          <cell r="D349" t="str">
            <v>30. 月夜のオールドシティ</v>
          </cell>
          <cell r="E349" t="str">
            <v>赤青DL6</v>
          </cell>
          <cell r="F349">
            <v>4</v>
          </cell>
          <cell r="G349" t="str">
            <v>ja</v>
          </cell>
          <cell r="H349" t="str">
            <v>30-4. 【1回のみ】ボーナスステージ</v>
          </cell>
          <cell r="I349" t="str">
            <v>ボーナス</v>
          </cell>
          <cell r="J349">
            <v>335</v>
          </cell>
          <cell r="K349">
            <v>1</v>
          </cell>
          <cell r="L349">
            <v>1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>
            <v>15030</v>
          </cell>
          <cell r="V349">
            <v>3</v>
          </cell>
          <cell r="W349" t="str">
            <v>30-3. 月影の襲撃者</v>
          </cell>
          <cell r="X349">
            <v>1</v>
          </cell>
          <cell r="Y349">
            <v>1</v>
          </cell>
          <cell r="Z349">
            <v>0</v>
          </cell>
          <cell r="AA349">
            <v>0</v>
          </cell>
          <cell r="AB349" t="str">
            <v>once</v>
          </cell>
          <cell r="AC349">
            <v>30</v>
          </cell>
          <cell r="AD349">
            <v>6</v>
          </cell>
          <cell r="AE349" t="str">
            <v>singleonly</v>
          </cell>
        </row>
        <row r="350">
          <cell r="A350" t="str">
            <v>15031_1</v>
          </cell>
          <cell r="B350">
            <v>3</v>
          </cell>
          <cell r="C350">
            <v>15031</v>
          </cell>
          <cell r="D350" t="str">
            <v>31. 桜花乱城</v>
          </cell>
          <cell r="E350" t="str">
            <v>混色DL6</v>
          </cell>
          <cell r="F350">
            <v>1</v>
          </cell>
          <cell r="G350" t="str">
            <v>ja</v>
          </cell>
          <cell r="H350" t="str">
            <v>31-1. 忍び寄る影</v>
          </cell>
          <cell r="J350" t="str">
            <v>NULL</v>
          </cell>
          <cell r="K350">
            <v>19</v>
          </cell>
          <cell r="L350">
            <v>2800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>
            <v>15030</v>
          </cell>
          <cell r="V350">
            <v>4</v>
          </cell>
          <cell r="W350" t="str">
            <v>30-4. 【1回のみ】ボーナスステージ</v>
          </cell>
          <cell r="X350">
            <v>1</v>
          </cell>
          <cell r="Y350">
            <v>1</v>
          </cell>
          <cell r="Z350">
            <v>1</v>
          </cell>
          <cell r="AA350">
            <v>1</v>
          </cell>
          <cell r="AB350" t="str">
            <v>anytime</v>
          </cell>
          <cell r="AC350">
            <v>31</v>
          </cell>
          <cell r="AD350">
            <v>6</v>
          </cell>
          <cell r="AE350" t="str">
            <v>everyone</v>
          </cell>
        </row>
        <row r="351">
          <cell r="A351" t="str">
            <v>15031_2</v>
          </cell>
          <cell r="B351">
            <v>3</v>
          </cell>
          <cell r="C351">
            <v>15031</v>
          </cell>
          <cell r="D351" t="str">
            <v>31. 桜花乱城</v>
          </cell>
          <cell r="E351" t="str">
            <v>混色DL6</v>
          </cell>
          <cell r="F351">
            <v>2</v>
          </cell>
          <cell r="G351" t="str">
            <v>ja</v>
          </cell>
          <cell r="H351" t="str">
            <v>31-2. 赤鉄の将</v>
          </cell>
          <cell r="J351" t="str">
            <v>NULL</v>
          </cell>
          <cell r="K351">
            <v>21</v>
          </cell>
          <cell r="L351">
            <v>3200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>
            <v>15031</v>
          </cell>
          <cell r="V351">
            <v>1</v>
          </cell>
          <cell r="W351" t="str">
            <v>31-1. 忍び寄る影</v>
          </cell>
          <cell r="X351">
            <v>1</v>
          </cell>
          <cell r="Y351">
            <v>1</v>
          </cell>
          <cell r="Z351">
            <v>1</v>
          </cell>
          <cell r="AA351">
            <v>1</v>
          </cell>
          <cell r="AB351" t="str">
            <v>anytime</v>
          </cell>
          <cell r="AC351">
            <v>31</v>
          </cell>
          <cell r="AD351">
            <v>6</v>
          </cell>
          <cell r="AE351" t="str">
            <v>everyone</v>
          </cell>
        </row>
        <row r="352">
          <cell r="A352" t="str">
            <v>15031_3</v>
          </cell>
          <cell r="B352">
            <v>3</v>
          </cell>
          <cell r="C352">
            <v>15031</v>
          </cell>
          <cell r="D352" t="str">
            <v>31. 桜花乱城</v>
          </cell>
          <cell r="E352" t="str">
            <v>混色DL6</v>
          </cell>
          <cell r="F352">
            <v>3</v>
          </cell>
          <cell r="G352" t="str">
            <v>ja</v>
          </cell>
          <cell r="H352" t="str">
            <v>31-3. 神域の試練</v>
          </cell>
          <cell r="J352" t="str">
            <v>NULL</v>
          </cell>
          <cell r="K352">
            <v>24</v>
          </cell>
          <cell r="L352">
            <v>4680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>
            <v>15031</v>
          </cell>
          <cell r="V352">
            <v>2</v>
          </cell>
          <cell r="W352" t="str">
            <v>31-2. 赤鉄の将</v>
          </cell>
          <cell r="X352">
            <v>1</v>
          </cell>
          <cell r="Y352">
            <v>1</v>
          </cell>
          <cell r="Z352">
            <v>1</v>
          </cell>
          <cell r="AA352">
            <v>1</v>
          </cell>
          <cell r="AB352" t="str">
            <v>anytime</v>
          </cell>
          <cell r="AC352">
            <v>31</v>
          </cell>
          <cell r="AD352">
            <v>6</v>
          </cell>
          <cell r="AE352" t="str">
            <v>everyone</v>
          </cell>
        </row>
        <row r="353">
          <cell r="A353" t="str">
            <v>15031_4</v>
          </cell>
          <cell r="B353">
            <v>3</v>
          </cell>
          <cell r="C353">
            <v>15031</v>
          </cell>
          <cell r="D353" t="str">
            <v>31. 桜花乱城</v>
          </cell>
          <cell r="E353" t="str">
            <v>混色DL6</v>
          </cell>
          <cell r="F353">
            <v>4</v>
          </cell>
          <cell r="G353" t="str">
            <v>ja</v>
          </cell>
          <cell r="H353" t="str">
            <v>31-4. 【1回のみ】ボーナスステージ</v>
          </cell>
          <cell r="I353" t="str">
            <v>ボーナス</v>
          </cell>
          <cell r="J353">
            <v>610</v>
          </cell>
          <cell r="K353">
            <v>1</v>
          </cell>
          <cell r="L353">
            <v>1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>
            <v>15031</v>
          </cell>
          <cell r="V353">
            <v>3</v>
          </cell>
          <cell r="W353" t="str">
            <v>31-3. 神域の試練</v>
          </cell>
          <cell r="X353">
            <v>1</v>
          </cell>
          <cell r="Y353">
            <v>1</v>
          </cell>
          <cell r="Z353">
            <v>1</v>
          </cell>
          <cell r="AA353">
            <v>1</v>
          </cell>
          <cell r="AB353" t="str">
            <v>once</v>
          </cell>
          <cell r="AC353">
            <v>31</v>
          </cell>
          <cell r="AD353">
            <v>6</v>
          </cell>
          <cell r="AE353" t="str">
            <v>singleonly</v>
          </cell>
        </row>
        <row r="354">
          <cell r="A354" t="str">
            <v>20001_1</v>
          </cell>
          <cell r="B354">
            <v>3</v>
          </cell>
          <cell r="C354">
            <v>20001</v>
          </cell>
          <cell r="D354" t="str">
            <v>紅き執行者</v>
          </cell>
          <cell r="E354" t="str">
            <v>ドロップイベント1-1</v>
          </cell>
          <cell r="F354">
            <v>1</v>
          </cell>
          <cell r="G354" t="str">
            <v>ja</v>
          </cell>
          <cell r="H354" t="str">
            <v xml:space="preserve">【初級】紅き執行者 </v>
          </cell>
          <cell r="I354" t="str">
            <v>初級</v>
          </cell>
          <cell r="J354">
            <v>262</v>
          </cell>
          <cell r="K354">
            <v>8</v>
          </cell>
          <cell r="L354">
            <v>384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14</v>
          </cell>
          <cell r="AD354">
            <v>6</v>
          </cell>
          <cell r="AE354" t="str">
            <v>everyone</v>
          </cell>
        </row>
        <row r="355">
          <cell r="A355" t="str">
            <v>20001_2</v>
          </cell>
          <cell r="B355">
            <v>3</v>
          </cell>
          <cell r="C355">
            <v>20001</v>
          </cell>
          <cell r="D355" t="str">
            <v>紅き執行者</v>
          </cell>
          <cell r="E355" t="str">
            <v>ドロップイベント1-1</v>
          </cell>
          <cell r="F355">
            <v>2</v>
          </cell>
          <cell r="G355" t="str">
            <v>ja</v>
          </cell>
          <cell r="H355" t="str">
            <v>【中級】紅き執行者</v>
          </cell>
          <cell r="I355" t="str">
            <v>中級</v>
          </cell>
          <cell r="J355">
            <v>262</v>
          </cell>
          <cell r="K355">
            <v>15</v>
          </cell>
          <cell r="L355">
            <v>1200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14</v>
          </cell>
          <cell r="AD355">
            <v>6</v>
          </cell>
          <cell r="AE355" t="str">
            <v>everyone</v>
          </cell>
        </row>
        <row r="356">
          <cell r="A356" t="str">
            <v>20001_3</v>
          </cell>
          <cell r="B356">
            <v>3</v>
          </cell>
          <cell r="C356">
            <v>20001</v>
          </cell>
          <cell r="D356" t="str">
            <v>紅き執行者</v>
          </cell>
          <cell r="E356" t="str">
            <v>ドロップイベント1-1</v>
          </cell>
          <cell r="F356">
            <v>3</v>
          </cell>
          <cell r="G356" t="str">
            <v>ja</v>
          </cell>
          <cell r="H356" t="str">
            <v xml:space="preserve">【上級】紅き執行者 </v>
          </cell>
          <cell r="I356" t="str">
            <v>上級</v>
          </cell>
          <cell r="J356">
            <v>263</v>
          </cell>
          <cell r="K356">
            <v>20</v>
          </cell>
          <cell r="L356">
            <v>2000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polygon</v>
          </cell>
          <cell r="T356">
            <v>1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14</v>
          </cell>
          <cell r="AD356">
            <v>6</v>
          </cell>
          <cell r="AE356" t="str">
            <v>everyone</v>
          </cell>
        </row>
        <row r="357">
          <cell r="A357" t="str">
            <v>20002_1</v>
          </cell>
          <cell r="B357">
            <v>3</v>
          </cell>
          <cell r="C357">
            <v>20002</v>
          </cell>
          <cell r="D357" t="str">
            <v>孤高の一角獣</v>
          </cell>
          <cell r="E357" t="str">
            <v>ドロップイベント1-2</v>
          </cell>
          <cell r="F357">
            <v>1</v>
          </cell>
          <cell r="G357" t="str">
            <v>ja</v>
          </cell>
          <cell r="H357" t="str">
            <v>【初級】孤高の一角獣(ハートなし)</v>
          </cell>
          <cell r="I357" t="str">
            <v>初級</v>
          </cell>
          <cell r="J357">
            <v>264</v>
          </cell>
          <cell r="K357">
            <v>8</v>
          </cell>
          <cell r="L357">
            <v>384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0</v>
          </cell>
          <cell r="R357">
            <v>3</v>
          </cell>
          <cell r="S357" t="str">
            <v>none</v>
          </cell>
          <cell r="T357">
            <v>0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19</v>
          </cell>
          <cell r="AD357">
            <v>6</v>
          </cell>
          <cell r="AE357" t="str">
            <v>everyone</v>
          </cell>
        </row>
        <row r="358">
          <cell r="A358" t="str">
            <v>20002_2</v>
          </cell>
          <cell r="B358">
            <v>3</v>
          </cell>
          <cell r="C358">
            <v>20002</v>
          </cell>
          <cell r="D358" t="str">
            <v>孤高の一角獣</v>
          </cell>
          <cell r="E358" t="str">
            <v>ドロップイベント1-2</v>
          </cell>
          <cell r="F358">
            <v>2</v>
          </cell>
          <cell r="G358" t="str">
            <v>ja</v>
          </cell>
          <cell r="H358" t="str">
            <v>【中級】孤高の一角獣(ハートなし)</v>
          </cell>
          <cell r="I358" t="str">
            <v>中級</v>
          </cell>
          <cell r="J358">
            <v>264</v>
          </cell>
          <cell r="K358">
            <v>15</v>
          </cell>
          <cell r="L358">
            <v>1200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19</v>
          </cell>
          <cell r="AD358">
            <v>6</v>
          </cell>
          <cell r="AE358" t="str">
            <v>everyone</v>
          </cell>
        </row>
        <row r="359">
          <cell r="A359" t="str">
            <v>20002_3</v>
          </cell>
          <cell r="B359">
            <v>3</v>
          </cell>
          <cell r="C359">
            <v>20002</v>
          </cell>
          <cell r="D359" t="str">
            <v>孤高の一角獣</v>
          </cell>
          <cell r="E359" t="str">
            <v>ドロップイベント1-2</v>
          </cell>
          <cell r="F359">
            <v>3</v>
          </cell>
          <cell r="G359" t="str">
            <v>ja</v>
          </cell>
          <cell r="H359" t="str">
            <v>【上級】孤高の一角獣(ハートなし)</v>
          </cell>
          <cell r="I359" t="str">
            <v>上級</v>
          </cell>
          <cell r="J359">
            <v>265</v>
          </cell>
          <cell r="K359">
            <v>20</v>
          </cell>
          <cell r="L359">
            <v>2000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polygon</v>
          </cell>
          <cell r="T359">
            <v>1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19</v>
          </cell>
          <cell r="AD359">
            <v>6</v>
          </cell>
          <cell r="AE359" t="str">
            <v>everyone</v>
          </cell>
        </row>
        <row r="360">
          <cell r="A360" t="str">
            <v>20003_1</v>
          </cell>
          <cell r="B360">
            <v>3</v>
          </cell>
          <cell r="C360">
            <v>20003</v>
          </cell>
          <cell r="D360" t="str">
            <v>忍び寄る短剣</v>
          </cell>
          <cell r="E360" t="str">
            <v>ドロップイベント1-3</v>
          </cell>
          <cell r="F360">
            <v>1</v>
          </cell>
          <cell r="G360" t="str">
            <v>ja</v>
          </cell>
          <cell r="H360" t="str">
            <v xml:space="preserve">【初級】忍び寄る短剣 </v>
          </cell>
          <cell r="I360" t="str">
            <v>初級</v>
          </cell>
          <cell r="J360">
            <v>266</v>
          </cell>
          <cell r="K360">
            <v>8</v>
          </cell>
          <cell r="L360">
            <v>384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11</v>
          </cell>
          <cell r="AD360">
            <v>6</v>
          </cell>
          <cell r="AE360" t="str">
            <v>everyone</v>
          </cell>
        </row>
        <row r="361">
          <cell r="A361" t="str">
            <v>20003_2</v>
          </cell>
          <cell r="B361">
            <v>3</v>
          </cell>
          <cell r="C361">
            <v>20003</v>
          </cell>
          <cell r="D361" t="str">
            <v>忍び寄る短剣</v>
          </cell>
          <cell r="E361" t="str">
            <v>ドロップイベント1-3</v>
          </cell>
          <cell r="F361">
            <v>2</v>
          </cell>
          <cell r="G361" t="str">
            <v>ja</v>
          </cell>
          <cell r="H361" t="str">
            <v xml:space="preserve">【中級】忍び寄る短剣 </v>
          </cell>
          <cell r="I361" t="str">
            <v>中級</v>
          </cell>
          <cell r="J361">
            <v>266</v>
          </cell>
          <cell r="K361">
            <v>15</v>
          </cell>
          <cell r="L361">
            <v>1200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11</v>
          </cell>
          <cell r="AD361">
            <v>6</v>
          </cell>
          <cell r="AE361" t="str">
            <v>everyone</v>
          </cell>
        </row>
        <row r="362">
          <cell r="A362" t="str">
            <v>20003_3</v>
          </cell>
          <cell r="B362">
            <v>3</v>
          </cell>
          <cell r="C362">
            <v>20003</v>
          </cell>
          <cell r="D362" t="str">
            <v>忍び寄る短剣</v>
          </cell>
          <cell r="E362" t="str">
            <v>ドロップイベント1-3</v>
          </cell>
          <cell r="F362">
            <v>3</v>
          </cell>
          <cell r="G362" t="str">
            <v>ja</v>
          </cell>
          <cell r="H362" t="str">
            <v xml:space="preserve">【上級】忍び寄る短剣 </v>
          </cell>
          <cell r="I362" t="str">
            <v>上級</v>
          </cell>
          <cell r="J362">
            <v>267</v>
          </cell>
          <cell r="K362">
            <v>20</v>
          </cell>
          <cell r="L362">
            <v>2000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polygon</v>
          </cell>
          <cell r="T362">
            <v>1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11</v>
          </cell>
          <cell r="AD362">
            <v>6</v>
          </cell>
          <cell r="AE362" t="str">
            <v>everyone</v>
          </cell>
        </row>
        <row r="363">
          <cell r="A363" t="str">
            <v>20004_1</v>
          </cell>
          <cell r="B363">
            <v>3</v>
          </cell>
          <cell r="C363">
            <v>20004</v>
          </cell>
          <cell r="D363" t="str">
            <v>雷雲からの刺客</v>
          </cell>
          <cell r="E363" t="str">
            <v>ドロップイベント1-4</v>
          </cell>
          <cell r="F363">
            <v>1</v>
          </cell>
          <cell r="G363" t="str">
            <v>ja</v>
          </cell>
          <cell r="H363" t="str">
            <v>【初級】雷雲からの刺客(ハートなし)</v>
          </cell>
          <cell r="I363" t="str">
            <v>初級</v>
          </cell>
          <cell r="J363">
            <v>268</v>
          </cell>
          <cell r="K363">
            <v>8</v>
          </cell>
          <cell r="L363">
            <v>384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0</v>
          </cell>
          <cell r="R363">
            <v>3</v>
          </cell>
          <cell r="S363" t="str">
            <v>none</v>
          </cell>
          <cell r="T363">
            <v>0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4</v>
          </cell>
          <cell r="AD363">
            <v>6</v>
          </cell>
          <cell r="AE363" t="str">
            <v>everyone</v>
          </cell>
        </row>
        <row r="364">
          <cell r="A364" t="str">
            <v>20004_2</v>
          </cell>
          <cell r="B364">
            <v>3</v>
          </cell>
          <cell r="C364">
            <v>20004</v>
          </cell>
          <cell r="D364" t="str">
            <v>雷雲からの刺客</v>
          </cell>
          <cell r="E364" t="str">
            <v>ドロップイベント1-4</v>
          </cell>
          <cell r="F364">
            <v>2</v>
          </cell>
          <cell r="G364" t="str">
            <v>ja</v>
          </cell>
          <cell r="H364" t="str">
            <v>【中級】雷雲からの刺客(ハートなし)</v>
          </cell>
          <cell r="I364" t="str">
            <v>中級</v>
          </cell>
          <cell r="J364">
            <v>268</v>
          </cell>
          <cell r="K364">
            <v>15</v>
          </cell>
          <cell r="L364">
            <v>1200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0</v>
          </cell>
          <cell r="R364">
            <v>3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4</v>
          </cell>
          <cell r="AD364">
            <v>6</v>
          </cell>
          <cell r="AE364" t="str">
            <v>everyone</v>
          </cell>
        </row>
        <row r="365">
          <cell r="A365" t="str">
            <v>20004_3</v>
          </cell>
          <cell r="B365">
            <v>3</v>
          </cell>
          <cell r="C365">
            <v>20004</v>
          </cell>
          <cell r="D365" t="str">
            <v>雷雲からの刺客</v>
          </cell>
          <cell r="E365" t="str">
            <v>ドロップイベント1-4</v>
          </cell>
          <cell r="F365">
            <v>3</v>
          </cell>
          <cell r="G365" t="str">
            <v>ja</v>
          </cell>
          <cell r="H365" t="str">
            <v>【上級】雷雲からの刺客(ハートなし)</v>
          </cell>
          <cell r="I365" t="str">
            <v>上級</v>
          </cell>
          <cell r="J365">
            <v>269</v>
          </cell>
          <cell r="K365">
            <v>20</v>
          </cell>
          <cell r="L365">
            <v>2000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0</v>
          </cell>
          <cell r="R365">
            <v>3</v>
          </cell>
          <cell r="S365" t="str">
            <v>polygon</v>
          </cell>
          <cell r="T365">
            <v>1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4</v>
          </cell>
          <cell r="AD365">
            <v>6</v>
          </cell>
          <cell r="AE365" t="str">
            <v>everyone</v>
          </cell>
        </row>
        <row r="366">
          <cell r="A366" t="str">
            <v>20005_1</v>
          </cell>
          <cell r="B366">
            <v>3</v>
          </cell>
          <cell r="C366">
            <v>20005</v>
          </cell>
          <cell r="D366" t="str">
            <v>ザ・キャノン</v>
          </cell>
          <cell r="E366" t="str">
            <v>ドロップイベント2-2</v>
          </cell>
          <cell r="F366">
            <v>1</v>
          </cell>
          <cell r="G366" t="str">
            <v>ja</v>
          </cell>
          <cell r="H366" t="str">
            <v>【初級】ザ・キャノン(4タップ）</v>
          </cell>
          <cell r="I366" t="str">
            <v>初級</v>
          </cell>
          <cell r="J366">
            <v>286</v>
          </cell>
          <cell r="K366">
            <v>8</v>
          </cell>
          <cell r="L366">
            <v>384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4</v>
          </cell>
          <cell r="S366" t="str">
            <v>none</v>
          </cell>
          <cell r="T366">
            <v>0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14</v>
          </cell>
          <cell r="AD366">
            <v>6</v>
          </cell>
          <cell r="AE366" t="str">
            <v>everyone</v>
          </cell>
        </row>
        <row r="367">
          <cell r="A367" t="str">
            <v>20005_2</v>
          </cell>
          <cell r="B367">
            <v>3</v>
          </cell>
          <cell r="C367">
            <v>20005</v>
          </cell>
          <cell r="D367" t="str">
            <v>ザ・キャノン</v>
          </cell>
          <cell r="E367" t="str">
            <v>ドロップイベント2-2</v>
          </cell>
          <cell r="F367">
            <v>2</v>
          </cell>
          <cell r="G367" t="str">
            <v>ja</v>
          </cell>
          <cell r="H367" t="str">
            <v>【中級】ザ・キャノン(4タップ)</v>
          </cell>
          <cell r="I367" t="str">
            <v>中級</v>
          </cell>
          <cell r="J367">
            <v>286</v>
          </cell>
          <cell r="K367">
            <v>15</v>
          </cell>
          <cell r="L367">
            <v>1200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14</v>
          </cell>
          <cell r="AD367">
            <v>6</v>
          </cell>
          <cell r="AE367" t="str">
            <v>everyone</v>
          </cell>
        </row>
        <row r="368">
          <cell r="A368" t="str">
            <v>20005_3</v>
          </cell>
          <cell r="B368">
            <v>3</v>
          </cell>
          <cell r="C368">
            <v>20005</v>
          </cell>
          <cell r="D368" t="str">
            <v>ザ・キャノン</v>
          </cell>
          <cell r="E368" t="str">
            <v>ドロップイベント2-2</v>
          </cell>
          <cell r="F368">
            <v>3</v>
          </cell>
          <cell r="G368" t="str">
            <v>ja</v>
          </cell>
          <cell r="H368" t="str">
            <v>【上級】ザ・キャノン(4タップ)</v>
          </cell>
          <cell r="I368" t="str">
            <v>上級</v>
          </cell>
          <cell r="J368">
            <v>287</v>
          </cell>
          <cell r="K368">
            <v>20</v>
          </cell>
          <cell r="L368">
            <v>2000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polygon</v>
          </cell>
          <cell r="T368">
            <v>1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14</v>
          </cell>
          <cell r="AD368">
            <v>6</v>
          </cell>
          <cell r="AE368" t="str">
            <v>everyone</v>
          </cell>
        </row>
        <row r="369">
          <cell r="A369" t="str">
            <v>20006_1</v>
          </cell>
          <cell r="B369">
            <v>3</v>
          </cell>
          <cell r="C369">
            <v>20006</v>
          </cell>
          <cell r="D369" t="str">
            <v>スチール・プレデター</v>
          </cell>
          <cell r="E369" t="str">
            <v>ドロップイベント2-3</v>
          </cell>
          <cell r="F369">
            <v>1</v>
          </cell>
          <cell r="G369" t="str">
            <v>ja</v>
          </cell>
          <cell r="H369" t="str">
            <v>【初級】スチール・プレデター</v>
          </cell>
          <cell r="I369" t="str">
            <v>初級</v>
          </cell>
          <cell r="J369">
            <v>280</v>
          </cell>
          <cell r="K369">
            <v>8</v>
          </cell>
          <cell r="L369">
            <v>384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2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19</v>
          </cell>
          <cell r="AD369">
            <v>6</v>
          </cell>
          <cell r="AE369" t="str">
            <v>everyone</v>
          </cell>
        </row>
        <row r="370">
          <cell r="A370" t="str">
            <v>20006_2</v>
          </cell>
          <cell r="B370">
            <v>3</v>
          </cell>
          <cell r="C370">
            <v>20006</v>
          </cell>
          <cell r="D370" t="str">
            <v>スチール・プレデター</v>
          </cell>
          <cell r="E370" t="str">
            <v>ドロップイベント2-3</v>
          </cell>
          <cell r="F370">
            <v>2</v>
          </cell>
          <cell r="G370" t="str">
            <v>ja</v>
          </cell>
          <cell r="H370" t="str">
            <v>【中級】スチール・プレデター</v>
          </cell>
          <cell r="I370" t="str">
            <v>中級</v>
          </cell>
          <cell r="J370">
            <v>280</v>
          </cell>
          <cell r="K370">
            <v>15</v>
          </cell>
          <cell r="L370">
            <v>1200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2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19</v>
          </cell>
          <cell r="AD370">
            <v>6</v>
          </cell>
          <cell r="AE370" t="str">
            <v>everyone</v>
          </cell>
        </row>
        <row r="371">
          <cell r="A371" t="str">
            <v>20006_3</v>
          </cell>
          <cell r="B371">
            <v>3</v>
          </cell>
          <cell r="C371">
            <v>20006</v>
          </cell>
          <cell r="D371" t="str">
            <v>スチール・プレデター</v>
          </cell>
          <cell r="E371" t="str">
            <v>ドロップイベント2-3</v>
          </cell>
          <cell r="F371">
            <v>3</v>
          </cell>
          <cell r="G371" t="str">
            <v>ja</v>
          </cell>
          <cell r="H371" t="str">
            <v>【上級】スチール・プレデター</v>
          </cell>
          <cell r="I371" t="str">
            <v>上級</v>
          </cell>
          <cell r="J371">
            <v>281</v>
          </cell>
          <cell r="K371">
            <v>20</v>
          </cell>
          <cell r="L371">
            <v>2000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2</v>
          </cell>
          <cell r="S371" t="str">
            <v>polygon</v>
          </cell>
          <cell r="T371">
            <v>1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19</v>
          </cell>
          <cell r="AD371">
            <v>6</v>
          </cell>
          <cell r="AE371" t="str">
            <v>everyone</v>
          </cell>
        </row>
        <row r="372">
          <cell r="A372" t="str">
            <v>20007_1</v>
          </cell>
          <cell r="B372">
            <v>3</v>
          </cell>
          <cell r="C372">
            <v>20007</v>
          </cell>
          <cell r="D372" t="str">
            <v>女王陛下の処刑龍</v>
          </cell>
          <cell r="E372" t="str">
            <v>ドロップイベント2-1</v>
          </cell>
          <cell r="F372">
            <v>1</v>
          </cell>
          <cell r="G372" t="str">
            <v>ja</v>
          </cell>
          <cell r="H372" t="str">
            <v>【初級】女王陛下の処刑龍(4タップ)</v>
          </cell>
          <cell r="I372" t="str">
            <v>初級</v>
          </cell>
          <cell r="J372">
            <v>282</v>
          </cell>
          <cell r="K372">
            <v>8</v>
          </cell>
          <cell r="L372">
            <v>384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4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17</v>
          </cell>
          <cell r="AD372">
            <v>6</v>
          </cell>
          <cell r="AE372" t="str">
            <v>everyone</v>
          </cell>
        </row>
        <row r="373">
          <cell r="A373" t="str">
            <v>20007_2</v>
          </cell>
          <cell r="B373">
            <v>3</v>
          </cell>
          <cell r="C373">
            <v>20007</v>
          </cell>
          <cell r="D373" t="str">
            <v>女王陛下の処刑龍</v>
          </cell>
          <cell r="E373" t="str">
            <v>ドロップイベント2-1</v>
          </cell>
          <cell r="F373">
            <v>2</v>
          </cell>
          <cell r="G373" t="str">
            <v>ja</v>
          </cell>
          <cell r="H373" t="str">
            <v>【中級】女王陛下の処刑龍(4タップ)</v>
          </cell>
          <cell r="I373" t="str">
            <v>中級</v>
          </cell>
          <cell r="J373">
            <v>282</v>
          </cell>
          <cell r="K373">
            <v>15</v>
          </cell>
          <cell r="L373">
            <v>1200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4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17</v>
          </cell>
          <cell r="AD373">
            <v>6</v>
          </cell>
          <cell r="AE373" t="str">
            <v>everyone</v>
          </cell>
        </row>
        <row r="374">
          <cell r="A374" t="str">
            <v>20007_3</v>
          </cell>
          <cell r="B374">
            <v>3</v>
          </cell>
          <cell r="C374">
            <v>20007</v>
          </cell>
          <cell r="D374" t="str">
            <v>女王陛下の処刑龍</v>
          </cell>
          <cell r="E374" t="str">
            <v>ドロップイベント2-1</v>
          </cell>
          <cell r="F374">
            <v>3</v>
          </cell>
          <cell r="G374" t="str">
            <v>ja</v>
          </cell>
          <cell r="H374" t="str">
            <v>【上級】女王陛下の処刑龍(4タップ)</v>
          </cell>
          <cell r="I374" t="str">
            <v>上級</v>
          </cell>
          <cell r="J374">
            <v>283</v>
          </cell>
          <cell r="K374">
            <v>20</v>
          </cell>
          <cell r="L374">
            <v>2000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4</v>
          </cell>
          <cell r="S374" t="str">
            <v>polygon</v>
          </cell>
          <cell r="T374">
            <v>1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17</v>
          </cell>
          <cell r="AD374">
            <v>6</v>
          </cell>
          <cell r="AE374" t="str">
            <v>everyone</v>
          </cell>
        </row>
        <row r="375">
          <cell r="A375" t="str">
            <v>20008_1</v>
          </cell>
          <cell r="B375">
            <v>3</v>
          </cell>
          <cell r="C375">
            <v>20008</v>
          </cell>
          <cell r="D375" t="str">
            <v>天翔ける金轟機龍</v>
          </cell>
          <cell r="E375" t="str">
            <v>ドロップイベント2-4</v>
          </cell>
          <cell r="F375">
            <v>1</v>
          </cell>
          <cell r="G375" t="str">
            <v>ja</v>
          </cell>
          <cell r="H375" t="str">
            <v>【初級】天翔ける金轟機龍</v>
          </cell>
          <cell r="I375" t="str">
            <v>初級</v>
          </cell>
          <cell r="J375">
            <v>284</v>
          </cell>
          <cell r="K375">
            <v>8</v>
          </cell>
          <cell r="L375">
            <v>384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8</v>
          </cell>
          <cell r="AD375">
            <v>6</v>
          </cell>
          <cell r="AE375" t="str">
            <v>everyone</v>
          </cell>
        </row>
        <row r="376">
          <cell r="A376" t="str">
            <v>20008_2</v>
          </cell>
          <cell r="B376">
            <v>3</v>
          </cell>
          <cell r="C376">
            <v>20008</v>
          </cell>
          <cell r="D376" t="str">
            <v>天翔ける金轟機龍</v>
          </cell>
          <cell r="E376" t="str">
            <v>ドロップイベント2-4</v>
          </cell>
          <cell r="F376">
            <v>2</v>
          </cell>
          <cell r="G376" t="str">
            <v>ja</v>
          </cell>
          <cell r="H376" t="str">
            <v>【中級】天翔ける金轟機龍</v>
          </cell>
          <cell r="I376" t="str">
            <v>中級</v>
          </cell>
          <cell r="J376">
            <v>284</v>
          </cell>
          <cell r="K376">
            <v>15</v>
          </cell>
          <cell r="L376">
            <v>1200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8</v>
          </cell>
          <cell r="AD376">
            <v>6</v>
          </cell>
          <cell r="AE376" t="str">
            <v>everyone</v>
          </cell>
        </row>
        <row r="377">
          <cell r="A377" t="str">
            <v>20008_3</v>
          </cell>
          <cell r="B377">
            <v>3</v>
          </cell>
          <cell r="C377">
            <v>20008</v>
          </cell>
          <cell r="D377" t="str">
            <v>天翔ける金轟機龍</v>
          </cell>
          <cell r="E377" t="str">
            <v>ドロップイベント2-4</v>
          </cell>
          <cell r="F377">
            <v>3</v>
          </cell>
          <cell r="G377" t="str">
            <v>ja</v>
          </cell>
          <cell r="H377" t="str">
            <v>【上級】天翔ける金轟機龍</v>
          </cell>
          <cell r="I377" t="str">
            <v>上級</v>
          </cell>
          <cell r="J377">
            <v>285</v>
          </cell>
          <cell r="K377">
            <v>20</v>
          </cell>
          <cell r="L377">
            <v>2000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1</v>
          </cell>
          <cell r="R377">
            <v>3</v>
          </cell>
          <cell r="S377" t="str">
            <v>polygon</v>
          </cell>
          <cell r="T377">
            <v>1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8</v>
          </cell>
          <cell r="AD377">
            <v>6</v>
          </cell>
          <cell r="AE377" t="str">
            <v>everyone</v>
          </cell>
        </row>
        <row r="378">
          <cell r="A378" t="str">
            <v>20009_1</v>
          </cell>
          <cell r="B378">
            <v>0</v>
          </cell>
          <cell r="C378">
            <v>20009</v>
          </cell>
          <cell r="D378" t="str">
            <v>迫り来る窒息</v>
          </cell>
          <cell r="E378" t="str">
            <v>ドロップイベント3</v>
          </cell>
          <cell r="F378">
            <v>1</v>
          </cell>
          <cell r="G378" t="str">
            <v>ja</v>
          </cell>
          <cell r="H378" t="str">
            <v>【初級】迫り来る窒息</v>
          </cell>
          <cell r="I378" t="str">
            <v>初級</v>
          </cell>
          <cell r="J378" t="str">
            <v>NULL</v>
          </cell>
          <cell r="K378">
            <v>8</v>
          </cell>
          <cell r="L378">
            <v>384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1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25</v>
          </cell>
          <cell r="AD378">
            <v>5</v>
          </cell>
          <cell r="AE378" t="str">
            <v>everyone</v>
          </cell>
        </row>
        <row r="379">
          <cell r="A379" t="str">
            <v>20009_2</v>
          </cell>
          <cell r="B379">
            <v>3</v>
          </cell>
          <cell r="C379">
            <v>20009</v>
          </cell>
          <cell r="D379" t="str">
            <v>迫り来る窒息</v>
          </cell>
          <cell r="E379" t="str">
            <v>ドロップイベント3</v>
          </cell>
          <cell r="F379">
            <v>2</v>
          </cell>
          <cell r="G379" t="str">
            <v>ja</v>
          </cell>
          <cell r="H379" t="str">
            <v>【中級】迫り来る窒息</v>
          </cell>
          <cell r="I379" t="str">
            <v>中級</v>
          </cell>
          <cell r="J379">
            <v>302</v>
          </cell>
          <cell r="K379">
            <v>15</v>
          </cell>
          <cell r="L379">
            <v>1200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25</v>
          </cell>
          <cell r="AD379">
            <v>5</v>
          </cell>
          <cell r="AE379" t="str">
            <v>everyone</v>
          </cell>
        </row>
        <row r="380">
          <cell r="A380" t="str">
            <v>20009_3</v>
          </cell>
          <cell r="B380">
            <v>3</v>
          </cell>
          <cell r="C380">
            <v>20009</v>
          </cell>
          <cell r="D380" t="str">
            <v>迫り来る窒息</v>
          </cell>
          <cell r="E380" t="str">
            <v>ドロップイベント3</v>
          </cell>
          <cell r="F380">
            <v>3</v>
          </cell>
          <cell r="G380" t="str">
            <v>ja</v>
          </cell>
          <cell r="H380" t="str">
            <v>【上級】迫り来る窒息</v>
          </cell>
          <cell r="I380" t="str">
            <v>上級</v>
          </cell>
          <cell r="J380">
            <v>303</v>
          </cell>
          <cell r="K380">
            <v>20</v>
          </cell>
          <cell r="L380">
            <v>2000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polygon</v>
          </cell>
          <cell r="T380">
            <v>1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25</v>
          </cell>
          <cell r="AD380">
            <v>5</v>
          </cell>
          <cell r="AE380" t="str">
            <v>everyone</v>
          </cell>
        </row>
        <row r="381">
          <cell r="A381" t="str">
            <v>20010_1</v>
          </cell>
          <cell r="B381">
            <v>3</v>
          </cell>
          <cell r="C381">
            <v>20010</v>
          </cell>
          <cell r="D381" t="str">
            <v>悪夢の一目惚れ</v>
          </cell>
          <cell r="E381" t="str">
            <v>ドロップイベント3</v>
          </cell>
          <cell r="F381">
            <v>1</v>
          </cell>
          <cell r="G381" t="str">
            <v>ja</v>
          </cell>
          <cell r="H381" t="str">
            <v>【初級】悪夢の一目惚れ</v>
          </cell>
          <cell r="I381" t="str">
            <v>初級</v>
          </cell>
          <cell r="J381">
            <v>304</v>
          </cell>
          <cell r="K381">
            <v>8</v>
          </cell>
          <cell r="L381">
            <v>384</v>
          </cell>
          <cell r="M381">
            <v>1</v>
          </cell>
          <cell r="N381">
            <v>1</v>
          </cell>
          <cell r="O381">
            <v>0</v>
          </cell>
          <cell r="P381">
            <v>1</v>
          </cell>
          <cell r="Q381">
            <v>1</v>
          </cell>
          <cell r="R381">
            <v>3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2601</v>
          </cell>
          <cell r="AD381">
            <v>6</v>
          </cell>
          <cell r="AE381" t="str">
            <v>everyone</v>
          </cell>
        </row>
        <row r="382">
          <cell r="A382" t="str">
            <v>20010_2</v>
          </cell>
          <cell r="B382">
            <v>3</v>
          </cell>
          <cell r="C382">
            <v>20010</v>
          </cell>
          <cell r="D382" t="str">
            <v>悪夢の一目惚れ</v>
          </cell>
          <cell r="E382" t="str">
            <v>ドロップイベント3</v>
          </cell>
          <cell r="F382">
            <v>2</v>
          </cell>
          <cell r="G382" t="str">
            <v>ja</v>
          </cell>
          <cell r="H382" t="str">
            <v>【中級】悪夢の一目惚れ</v>
          </cell>
          <cell r="I382" t="str">
            <v>中級</v>
          </cell>
          <cell r="J382">
            <v>304</v>
          </cell>
          <cell r="K382">
            <v>15</v>
          </cell>
          <cell r="L382">
            <v>1200</v>
          </cell>
          <cell r="M382">
            <v>1</v>
          </cell>
          <cell r="N382">
            <v>1</v>
          </cell>
          <cell r="O382">
            <v>0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2601</v>
          </cell>
          <cell r="AD382">
            <v>6</v>
          </cell>
          <cell r="AE382" t="str">
            <v>everyone</v>
          </cell>
        </row>
        <row r="383">
          <cell r="A383" t="str">
            <v>20010_3</v>
          </cell>
          <cell r="B383">
            <v>3</v>
          </cell>
          <cell r="C383">
            <v>20010</v>
          </cell>
          <cell r="D383" t="str">
            <v>悪夢の一目惚れ</v>
          </cell>
          <cell r="E383" t="str">
            <v>ドロップイベント3</v>
          </cell>
          <cell r="F383">
            <v>3</v>
          </cell>
          <cell r="G383" t="str">
            <v>ja</v>
          </cell>
          <cell r="H383" t="str">
            <v>【上級】悪夢の一目惚れ</v>
          </cell>
          <cell r="I383" t="str">
            <v>上級</v>
          </cell>
          <cell r="J383">
            <v>305</v>
          </cell>
          <cell r="K383">
            <v>20</v>
          </cell>
          <cell r="L383">
            <v>2000</v>
          </cell>
          <cell r="M383">
            <v>1</v>
          </cell>
          <cell r="N383">
            <v>1</v>
          </cell>
          <cell r="O383">
            <v>0</v>
          </cell>
          <cell r="P383">
            <v>1</v>
          </cell>
          <cell r="Q383">
            <v>1</v>
          </cell>
          <cell r="R383">
            <v>3</v>
          </cell>
          <cell r="S383" t="str">
            <v>polygon</v>
          </cell>
          <cell r="T383">
            <v>1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2601</v>
          </cell>
          <cell r="AD383">
            <v>6</v>
          </cell>
          <cell r="AE383" t="str">
            <v>everyone</v>
          </cell>
        </row>
        <row r="384">
          <cell r="A384" t="str">
            <v>20011_1</v>
          </cell>
          <cell r="B384">
            <v>3</v>
          </cell>
          <cell r="C384">
            <v>20011</v>
          </cell>
          <cell r="D384" t="str">
            <v>すべてが灰になる</v>
          </cell>
          <cell r="E384" t="str">
            <v>ドロップイベント3</v>
          </cell>
          <cell r="F384">
            <v>1</v>
          </cell>
          <cell r="G384" t="str">
            <v>ja</v>
          </cell>
          <cell r="H384" t="str">
            <v>【初級】すべてが灰になる</v>
          </cell>
          <cell r="I384" t="str">
            <v>初級</v>
          </cell>
          <cell r="J384">
            <v>298</v>
          </cell>
          <cell r="K384">
            <v>8</v>
          </cell>
          <cell r="L384">
            <v>384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10</v>
          </cell>
          <cell r="AD384">
            <v>5</v>
          </cell>
          <cell r="AE384" t="str">
            <v>everyone</v>
          </cell>
        </row>
        <row r="385">
          <cell r="A385" t="str">
            <v>20011_2</v>
          </cell>
          <cell r="B385">
            <v>3</v>
          </cell>
          <cell r="C385">
            <v>20011</v>
          </cell>
          <cell r="D385" t="str">
            <v>すべてが灰になる</v>
          </cell>
          <cell r="E385" t="str">
            <v>ドロップイベント3</v>
          </cell>
          <cell r="F385">
            <v>2</v>
          </cell>
          <cell r="G385" t="str">
            <v>ja</v>
          </cell>
          <cell r="H385" t="str">
            <v>【中級】すべてが灰になる</v>
          </cell>
          <cell r="I385" t="str">
            <v>中級</v>
          </cell>
          <cell r="J385">
            <v>298</v>
          </cell>
          <cell r="K385">
            <v>15</v>
          </cell>
          <cell r="L385">
            <v>1200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5</v>
          </cell>
          <cell r="AE385" t="str">
            <v>everyone</v>
          </cell>
        </row>
        <row r="386">
          <cell r="A386" t="str">
            <v>20011_3</v>
          </cell>
          <cell r="B386">
            <v>3</v>
          </cell>
          <cell r="C386">
            <v>20011</v>
          </cell>
          <cell r="D386" t="str">
            <v>すべてが灰になる</v>
          </cell>
          <cell r="E386" t="str">
            <v>ドロップイベント3</v>
          </cell>
          <cell r="F386">
            <v>3</v>
          </cell>
          <cell r="G386" t="str">
            <v>ja</v>
          </cell>
          <cell r="H386" t="str">
            <v>【上級】すべてが灰になる</v>
          </cell>
          <cell r="I386" t="str">
            <v>上級</v>
          </cell>
          <cell r="J386">
            <v>299</v>
          </cell>
          <cell r="K386">
            <v>20</v>
          </cell>
          <cell r="L386">
            <v>2000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polygon</v>
          </cell>
          <cell r="T386">
            <v>1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5</v>
          </cell>
          <cell r="AE386" t="str">
            <v>everyone</v>
          </cell>
        </row>
        <row r="387">
          <cell r="A387" t="str">
            <v>20012_1</v>
          </cell>
          <cell r="B387">
            <v>3</v>
          </cell>
          <cell r="C387">
            <v>20012</v>
          </cell>
          <cell r="D387" t="str">
            <v>罪と劇薬</v>
          </cell>
          <cell r="E387" t="str">
            <v>ドロップイベント3</v>
          </cell>
          <cell r="F387">
            <v>1</v>
          </cell>
          <cell r="G387" t="str">
            <v>ja</v>
          </cell>
          <cell r="H387" t="str">
            <v>【初級】罪と劇薬</v>
          </cell>
          <cell r="I387" t="str">
            <v>初級</v>
          </cell>
          <cell r="J387">
            <v>300</v>
          </cell>
          <cell r="K387">
            <v>8</v>
          </cell>
          <cell r="L387">
            <v>384</v>
          </cell>
          <cell r="M387">
            <v>0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19</v>
          </cell>
          <cell r="AD387">
            <v>6</v>
          </cell>
          <cell r="AE387" t="str">
            <v>everyone</v>
          </cell>
        </row>
        <row r="388">
          <cell r="A388" t="str">
            <v>20012_2</v>
          </cell>
          <cell r="B388">
            <v>3</v>
          </cell>
          <cell r="C388">
            <v>20012</v>
          </cell>
          <cell r="D388" t="str">
            <v>罪と劇薬</v>
          </cell>
          <cell r="E388" t="str">
            <v>ドロップイベント3</v>
          </cell>
          <cell r="F388">
            <v>2</v>
          </cell>
          <cell r="G388" t="str">
            <v>ja</v>
          </cell>
          <cell r="H388" t="str">
            <v>【中級】罪と劇薬</v>
          </cell>
          <cell r="I388" t="str">
            <v>中級</v>
          </cell>
          <cell r="J388">
            <v>300</v>
          </cell>
          <cell r="K388">
            <v>15</v>
          </cell>
          <cell r="L388">
            <v>1200</v>
          </cell>
          <cell r="M388">
            <v>0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19</v>
          </cell>
          <cell r="AD388">
            <v>6</v>
          </cell>
          <cell r="AE388" t="str">
            <v>everyone</v>
          </cell>
        </row>
        <row r="389">
          <cell r="A389" t="str">
            <v>20012_3</v>
          </cell>
          <cell r="B389">
            <v>3</v>
          </cell>
          <cell r="C389">
            <v>20012</v>
          </cell>
          <cell r="D389" t="str">
            <v>罪と劇薬</v>
          </cell>
          <cell r="E389" t="str">
            <v>ドロップイベント3</v>
          </cell>
          <cell r="F389">
            <v>3</v>
          </cell>
          <cell r="G389" t="str">
            <v>ja</v>
          </cell>
          <cell r="H389" t="str">
            <v>【上級】罪と劇薬</v>
          </cell>
          <cell r="I389" t="str">
            <v>上級</v>
          </cell>
          <cell r="J389">
            <v>301</v>
          </cell>
          <cell r="K389">
            <v>20</v>
          </cell>
          <cell r="L389">
            <v>2000</v>
          </cell>
          <cell r="M389">
            <v>0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polygon</v>
          </cell>
          <cell r="T389">
            <v>1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19</v>
          </cell>
          <cell r="AD389">
            <v>6</v>
          </cell>
          <cell r="AE389" t="str">
            <v>everyone</v>
          </cell>
        </row>
        <row r="390">
          <cell r="A390" t="str">
            <v>20013_1</v>
          </cell>
          <cell r="B390">
            <v>3</v>
          </cell>
          <cell r="C390">
            <v>20013</v>
          </cell>
          <cell r="D390" t="str">
            <v>天の時、地の利、人の和</v>
          </cell>
          <cell r="E390" t="str">
            <v>ドロップイベント4</v>
          </cell>
          <cell r="F390">
            <v>1</v>
          </cell>
          <cell r="G390" t="str">
            <v>ja</v>
          </cell>
          <cell r="H390" t="str">
            <v>【初級】天の時、地の利、人の和</v>
          </cell>
          <cell r="I390" t="str">
            <v>初級</v>
          </cell>
          <cell r="J390">
            <v>720</v>
          </cell>
          <cell r="K390">
            <v>8</v>
          </cell>
          <cell r="L390">
            <v>384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10</v>
          </cell>
          <cell r="AD390">
            <v>6</v>
          </cell>
          <cell r="AE390" t="str">
            <v>everyone</v>
          </cell>
        </row>
        <row r="391">
          <cell r="A391" t="str">
            <v>20013_2</v>
          </cell>
          <cell r="B391">
            <v>3</v>
          </cell>
          <cell r="C391">
            <v>20013</v>
          </cell>
          <cell r="D391" t="str">
            <v>天の時、地の利、人の和</v>
          </cell>
          <cell r="E391" t="str">
            <v>ドロップイベント4</v>
          </cell>
          <cell r="F391">
            <v>2</v>
          </cell>
          <cell r="G391" t="str">
            <v>ja</v>
          </cell>
          <cell r="H391" t="str">
            <v>【中級】天の時、地の利、人の和</v>
          </cell>
          <cell r="I391" t="str">
            <v>中級</v>
          </cell>
          <cell r="J391">
            <v>720</v>
          </cell>
          <cell r="K391">
            <v>15</v>
          </cell>
          <cell r="L391">
            <v>1200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10</v>
          </cell>
          <cell r="AD391">
            <v>6</v>
          </cell>
          <cell r="AE391" t="str">
            <v>everyone</v>
          </cell>
        </row>
        <row r="392">
          <cell r="A392" t="str">
            <v>20013_3</v>
          </cell>
          <cell r="B392">
            <v>3</v>
          </cell>
          <cell r="C392">
            <v>20013</v>
          </cell>
          <cell r="D392" t="str">
            <v>天の時、地の利、人の和</v>
          </cell>
          <cell r="E392" t="str">
            <v>ドロップイベント4</v>
          </cell>
          <cell r="F392">
            <v>3</v>
          </cell>
          <cell r="G392" t="str">
            <v>ja</v>
          </cell>
          <cell r="H392" t="str">
            <v>【上級】天の時、地の利、人の和</v>
          </cell>
          <cell r="I392" t="str">
            <v>上級</v>
          </cell>
          <cell r="J392">
            <v>721</v>
          </cell>
          <cell r="K392">
            <v>20</v>
          </cell>
          <cell r="L392">
            <v>2000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polygon</v>
          </cell>
          <cell r="T392">
            <v>1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10</v>
          </cell>
          <cell r="AD392">
            <v>6</v>
          </cell>
          <cell r="AE392" t="str">
            <v>everyone</v>
          </cell>
        </row>
        <row r="393">
          <cell r="A393" t="str">
            <v>20014_1</v>
          </cell>
          <cell r="B393">
            <v>3</v>
          </cell>
          <cell r="C393">
            <v>20014</v>
          </cell>
          <cell r="D393" t="str">
            <v>魅了する歌声</v>
          </cell>
          <cell r="E393" t="str">
            <v>天使と悪魔編1</v>
          </cell>
          <cell r="F393">
            <v>1</v>
          </cell>
          <cell r="G393" t="str">
            <v>ja</v>
          </cell>
          <cell r="H393" t="str">
            <v>【初級】魅了する歌声</v>
          </cell>
          <cell r="I393" t="str">
            <v>初級</v>
          </cell>
          <cell r="J393">
            <v>842</v>
          </cell>
          <cell r="K393">
            <v>8</v>
          </cell>
          <cell r="L393">
            <v>384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17</v>
          </cell>
          <cell r="AD393">
            <v>4</v>
          </cell>
          <cell r="AE393" t="str">
            <v>everyone</v>
          </cell>
        </row>
        <row r="394">
          <cell r="A394" t="str">
            <v>20014_2</v>
          </cell>
          <cell r="B394">
            <v>3</v>
          </cell>
          <cell r="C394">
            <v>20014</v>
          </cell>
          <cell r="D394" t="str">
            <v>魅了する歌声</v>
          </cell>
          <cell r="E394" t="str">
            <v>天使と悪魔編1</v>
          </cell>
          <cell r="F394">
            <v>2</v>
          </cell>
          <cell r="G394" t="str">
            <v>ja</v>
          </cell>
          <cell r="H394" t="str">
            <v>【中級】魅了する歌声</v>
          </cell>
          <cell r="I394" t="str">
            <v>中級</v>
          </cell>
          <cell r="J394">
            <v>842</v>
          </cell>
          <cell r="K394">
            <v>15</v>
          </cell>
          <cell r="L394">
            <v>1200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17</v>
          </cell>
          <cell r="AD394">
            <v>4</v>
          </cell>
          <cell r="AE394" t="str">
            <v>everyone</v>
          </cell>
        </row>
        <row r="395">
          <cell r="A395" t="str">
            <v>20014_3</v>
          </cell>
          <cell r="B395">
            <v>3</v>
          </cell>
          <cell r="C395">
            <v>20014</v>
          </cell>
          <cell r="D395" t="str">
            <v>魅了する歌声</v>
          </cell>
          <cell r="E395" t="str">
            <v>天使と悪魔編1</v>
          </cell>
          <cell r="F395">
            <v>3</v>
          </cell>
          <cell r="G395" t="str">
            <v>ja</v>
          </cell>
          <cell r="H395" t="str">
            <v>【上級】魅了する歌声</v>
          </cell>
          <cell r="I395" t="str">
            <v>上級</v>
          </cell>
          <cell r="J395">
            <v>843</v>
          </cell>
          <cell r="K395">
            <v>20</v>
          </cell>
          <cell r="L395">
            <v>2000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polygon</v>
          </cell>
          <cell r="T395">
            <v>1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17</v>
          </cell>
          <cell r="AD395">
            <v>4</v>
          </cell>
          <cell r="AE395" t="str">
            <v>everyone</v>
          </cell>
        </row>
        <row r="396">
          <cell r="A396" t="str">
            <v>30001_1</v>
          </cell>
          <cell r="B396">
            <v>3</v>
          </cell>
          <cell r="C396">
            <v>30001</v>
          </cell>
          <cell r="D396" t="str">
            <v>ハンター・オブ・ハンター</v>
          </cell>
          <cell r="E396" t="str">
            <v>ドロップイベント1-1（マルチ専用）</v>
          </cell>
          <cell r="F396">
            <v>1</v>
          </cell>
          <cell r="G396" t="str">
            <v>ja</v>
          </cell>
          <cell r="H396" t="str">
            <v xml:space="preserve">【中級】ハンター・オブ・ハンター </v>
          </cell>
          <cell r="I396" t="str">
            <v>中級</v>
          </cell>
          <cell r="J396">
            <v>270</v>
          </cell>
          <cell r="K396">
            <v>15</v>
          </cell>
          <cell r="L396">
            <v>1200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7</v>
          </cell>
          <cell r="AD396">
            <v>6</v>
          </cell>
          <cell r="AE396" t="str">
            <v>everyone</v>
          </cell>
        </row>
        <row r="397">
          <cell r="A397" t="str">
            <v>30001_2</v>
          </cell>
          <cell r="B397">
            <v>3</v>
          </cell>
          <cell r="C397">
            <v>30001</v>
          </cell>
          <cell r="D397" t="str">
            <v>ハンター・オブ・ハンター</v>
          </cell>
          <cell r="E397" t="str">
            <v>ドロップイベント1-1（マルチ専用）</v>
          </cell>
          <cell r="F397">
            <v>2</v>
          </cell>
          <cell r="G397" t="str">
            <v>ja</v>
          </cell>
          <cell r="H397" t="str">
            <v xml:space="preserve">【上級】ハンター・オブ・ハンター </v>
          </cell>
          <cell r="I397" t="str">
            <v>上級</v>
          </cell>
          <cell r="J397">
            <v>270</v>
          </cell>
          <cell r="K397">
            <v>20</v>
          </cell>
          <cell r="L397">
            <v>2000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7</v>
          </cell>
          <cell r="AD397">
            <v>6</v>
          </cell>
          <cell r="AE397" t="str">
            <v>everyone</v>
          </cell>
        </row>
        <row r="398">
          <cell r="A398" t="str">
            <v>30001_3</v>
          </cell>
          <cell r="B398">
            <v>3</v>
          </cell>
          <cell r="C398">
            <v>30001</v>
          </cell>
          <cell r="D398" t="str">
            <v>ハンター・オブ・ハンター</v>
          </cell>
          <cell r="E398" t="str">
            <v>ドロップイベント1-1（マルチ専用）</v>
          </cell>
          <cell r="F398">
            <v>3</v>
          </cell>
          <cell r="G398" t="str">
            <v>ja</v>
          </cell>
          <cell r="H398" t="str">
            <v xml:space="preserve">【超級】ハンター・オブ・ハンター </v>
          </cell>
          <cell r="I398" t="str">
            <v>超級</v>
          </cell>
          <cell r="J398">
            <v>271</v>
          </cell>
          <cell r="K398">
            <v>30</v>
          </cell>
          <cell r="L398">
            <v>3300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polygon</v>
          </cell>
          <cell r="T398">
            <v>1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7</v>
          </cell>
          <cell r="AD398">
            <v>6</v>
          </cell>
          <cell r="AE398" t="str">
            <v>everyone</v>
          </cell>
        </row>
        <row r="399">
          <cell r="A399" t="str">
            <v>30002_1</v>
          </cell>
          <cell r="B399">
            <v>3</v>
          </cell>
          <cell r="C399">
            <v>30002</v>
          </cell>
          <cell r="D399" t="str">
            <v>トリックスター</v>
          </cell>
          <cell r="E399" t="str">
            <v>ドロップイベント1-2（マルチ専用）</v>
          </cell>
          <cell r="F399">
            <v>1</v>
          </cell>
          <cell r="G399" t="str">
            <v>ja</v>
          </cell>
          <cell r="H399" t="str">
            <v xml:space="preserve">【中級】トリックスター </v>
          </cell>
          <cell r="I399" t="str">
            <v>中級</v>
          </cell>
          <cell r="J399">
            <v>272</v>
          </cell>
          <cell r="K399">
            <v>15</v>
          </cell>
          <cell r="L399">
            <v>1200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17</v>
          </cell>
          <cell r="AD399">
            <v>6</v>
          </cell>
          <cell r="AE399" t="str">
            <v>everyone</v>
          </cell>
        </row>
        <row r="400">
          <cell r="A400" t="str">
            <v>30002_2</v>
          </cell>
          <cell r="B400">
            <v>3</v>
          </cell>
          <cell r="C400">
            <v>30002</v>
          </cell>
          <cell r="D400" t="str">
            <v>トリックスター</v>
          </cell>
          <cell r="E400" t="str">
            <v>ドロップイベント1-2（マルチ専用）</v>
          </cell>
          <cell r="F400">
            <v>2</v>
          </cell>
          <cell r="G400" t="str">
            <v>ja</v>
          </cell>
          <cell r="H400" t="str">
            <v xml:space="preserve">【上級】トリックスター </v>
          </cell>
          <cell r="I400" t="str">
            <v>上級</v>
          </cell>
          <cell r="J400">
            <v>272</v>
          </cell>
          <cell r="K400">
            <v>20</v>
          </cell>
          <cell r="L400">
            <v>2000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17</v>
          </cell>
          <cell r="AD400">
            <v>6</v>
          </cell>
          <cell r="AE400" t="str">
            <v>everyone</v>
          </cell>
        </row>
        <row r="401">
          <cell r="A401" t="str">
            <v>30002_3</v>
          </cell>
          <cell r="B401">
            <v>3</v>
          </cell>
          <cell r="C401">
            <v>30002</v>
          </cell>
          <cell r="D401" t="str">
            <v>トリックスター</v>
          </cell>
          <cell r="E401" t="str">
            <v>ドロップイベント1-2（マルチ専用）</v>
          </cell>
          <cell r="F401">
            <v>3</v>
          </cell>
          <cell r="G401" t="str">
            <v>ja</v>
          </cell>
          <cell r="H401" t="str">
            <v xml:space="preserve">【超級】トリックスター </v>
          </cell>
          <cell r="I401" t="str">
            <v>超級</v>
          </cell>
          <cell r="J401">
            <v>273</v>
          </cell>
          <cell r="K401">
            <v>30</v>
          </cell>
          <cell r="L401">
            <v>3300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polygon</v>
          </cell>
          <cell r="T401">
            <v>1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17</v>
          </cell>
          <cell r="AD401">
            <v>6</v>
          </cell>
          <cell r="AE401" t="str">
            <v>everyone</v>
          </cell>
        </row>
        <row r="402">
          <cell r="A402" t="str">
            <v>30003_1</v>
          </cell>
          <cell r="B402">
            <v>3</v>
          </cell>
          <cell r="C402">
            <v>30003</v>
          </cell>
          <cell r="D402" t="str">
            <v>打ち下ろされる砕棒</v>
          </cell>
          <cell r="E402" t="str">
            <v>ドロップイベント1-3（マルチ専用）</v>
          </cell>
          <cell r="F402">
            <v>1</v>
          </cell>
          <cell r="G402" t="str">
            <v>ja</v>
          </cell>
          <cell r="H402" t="str">
            <v xml:space="preserve">【中級】打ち下ろされる砕棒 </v>
          </cell>
          <cell r="I402" t="str">
            <v>中級</v>
          </cell>
          <cell r="J402">
            <v>274</v>
          </cell>
          <cell r="K402">
            <v>15</v>
          </cell>
          <cell r="L402">
            <v>1200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20</v>
          </cell>
          <cell r="AD402">
            <v>6</v>
          </cell>
          <cell r="AE402" t="str">
            <v>everyone</v>
          </cell>
        </row>
        <row r="403">
          <cell r="A403" t="str">
            <v>30003_2</v>
          </cell>
          <cell r="B403">
            <v>3</v>
          </cell>
          <cell r="C403">
            <v>30003</v>
          </cell>
          <cell r="D403" t="str">
            <v>打ち下ろされる砕棒</v>
          </cell>
          <cell r="E403" t="str">
            <v>ドロップイベント1-3（マルチ専用）</v>
          </cell>
          <cell r="F403">
            <v>2</v>
          </cell>
          <cell r="G403" t="str">
            <v>ja</v>
          </cell>
          <cell r="H403" t="str">
            <v>【上級】打ち下ろされる砕棒</v>
          </cell>
          <cell r="I403" t="str">
            <v>上級</v>
          </cell>
          <cell r="J403">
            <v>274</v>
          </cell>
          <cell r="K403">
            <v>20</v>
          </cell>
          <cell r="L403">
            <v>2000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20</v>
          </cell>
          <cell r="AD403">
            <v>6</v>
          </cell>
          <cell r="AE403" t="str">
            <v>everyone</v>
          </cell>
        </row>
        <row r="404">
          <cell r="A404" t="str">
            <v>30003_3</v>
          </cell>
          <cell r="B404">
            <v>3</v>
          </cell>
          <cell r="C404">
            <v>30003</v>
          </cell>
          <cell r="D404" t="str">
            <v>打ち下ろされる砕棒</v>
          </cell>
          <cell r="E404" t="str">
            <v>ドロップイベント1-3（マルチ専用）</v>
          </cell>
          <cell r="F404">
            <v>3</v>
          </cell>
          <cell r="G404" t="str">
            <v>ja</v>
          </cell>
          <cell r="H404" t="str">
            <v xml:space="preserve">【超級】打ち下ろされる砕棒 </v>
          </cell>
          <cell r="I404" t="str">
            <v>超級</v>
          </cell>
          <cell r="J404">
            <v>275</v>
          </cell>
          <cell r="K404">
            <v>30</v>
          </cell>
          <cell r="L404">
            <v>3300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polygon</v>
          </cell>
          <cell r="T404">
            <v>1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20</v>
          </cell>
          <cell r="AD404">
            <v>6</v>
          </cell>
          <cell r="AE404" t="str">
            <v>everyone</v>
          </cell>
        </row>
        <row r="405">
          <cell r="A405" t="str">
            <v>30004_1</v>
          </cell>
          <cell r="B405">
            <v>3</v>
          </cell>
          <cell r="C405">
            <v>30004</v>
          </cell>
          <cell r="D405" t="str">
            <v>危険な仲裁者</v>
          </cell>
          <cell r="E405" t="str">
            <v>ドロップイベント1-4（マルチ専用）</v>
          </cell>
          <cell r="F405">
            <v>1</v>
          </cell>
          <cell r="G405" t="str">
            <v>ja</v>
          </cell>
          <cell r="H405" t="str">
            <v xml:space="preserve">【中級】危険な仲裁者 </v>
          </cell>
          <cell r="I405" t="str">
            <v>中級</v>
          </cell>
          <cell r="J405">
            <v>276</v>
          </cell>
          <cell r="K405">
            <v>15</v>
          </cell>
          <cell r="L405">
            <v>1200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14</v>
          </cell>
          <cell r="AD405">
            <v>6</v>
          </cell>
          <cell r="AE405" t="str">
            <v>everyone</v>
          </cell>
        </row>
        <row r="406">
          <cell r="A406" t="str">
            <v>30004_2</v>
          </cell>
          <cell r="B406">
            <v>3</v>
          </cell>
          <cell r="C406">
            <v>30004</v>
          </cell>
          <cell r="D406" t="str">
            <v>危険な仲裁者</v>
          </cell>
          <cell r="E406" t="str">
            <v>ドロップイベント1-4（マルチ専用）</v>
          </cell>
          <cell r="F406">
            <v>2</v>
          </cell>
          <cell r="G406" t="str">
            <v>ja</v>
          </cell>
          <cell r="H406" t="str">
            <v xml:space="preserve">【上級】危険な仲裁者 </v>
          </cell>
          <cell r="I406" t="str">
            <v>上級</v>
          </cell>
          <cell r="J406">
            <v>276</v>
          </cell>
          <cell r="K406">
            <v>20</v>
          </cell>
          <cell r="L406">
            <v>2000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14</v>
          </cell>
          <cell r="AD406">
            <v>6</v>
          </cell>
          <cell r="AE406" t="str">
            <v>everyone</v>
          </cell>
        </row>
        <row r="407">
          <cell r="A407" t="str">
            <v>30004_3</v>
          </cell>
          <cell r="B407">
            <v>3</v>
          </cell>
          <cell r="C407">
            <v>30004</v>
          </cell>
          <cell r="D407" t="str">
            <v>危険な仲裁者</v>
          </cell>
          <cell r="E407" t="str">
            <v>ドロップイベント1-4（マルチ専用）</v>
          </cell>
          <cell r="F407">
            <v>3</v>
          </cell>
          <cell r="G407" t="str">
            <v>ja</v>
          </cell>
          <cell r="H407" t="str">
            <v xml:space="preserve">【超級】危険な仲裁者 </v>
          </cell>
          <cell r="I407" t="str">
            <v>超級</v>
          </cell>
          <cell r="J407">
            <v>277</v>
          </cell>
          <cell r="K407">
            <v>30</v>
          </cell>
          <cell r="L407">
            <v>3300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polygon</v>
          </cell>
          <cell r="T407">
            <v>1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14</v>
          </cell>
          <cell r="AD407">
            <v>6</v>
          </cell>
          <cell r="AE407" t="str">
            <v>everyone</v>
          </cell>
        </row>
        <row r="408">
          <cell r="A408" t="str">
            <v>30005_1</v>
          </cell>
          <cell r="B408">
            <v>3</v>
          </cell>
          <cell r="C408">
            <v>30005</v>
          </cell>
          <cell r="D408" t="str">
            <v>ニンゲンにしてあげる☆</v>
          </cell>
          <cell r="E408" t="str">
            <v>ドロップイベント2-1（マルチ専用）</v>
          </cell>
          <cell r="F408">
            <v>1</v>
          </cell>
          <cell r="G408" t="str">
            <v>ja</v>
          </cell>
          <cell r="H408" t="str">
            <v xml:space="preserve">【中級】ニンゲンにしてあげる </v>
          </cell>
          <cell r="I408" t="str">
            <v>中級</v>
          </cell>
          <cell r="J408">
            <v>290</v>
          </cell>
          <cell r="K408">
            <v>15</v>
          </cell>
          <cell r="L408">
            <v>1200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11</v>
          </cell>
          <cell r="AD408">
            <v>6</v>
          </cell>
          <cell r="AE408" t="str">
            <v>everyone</v>
          </cell>
        </row>
        <row r="409">
          <cell r="A409" t="str">
            <v>30005_2</v>
          </cell>
          <cell r="B409">
            <v>3</v>
          </cell>
          <cell r="C409">
            <v>30005</v>
          </cell>
          <cell r="D409" t="str">
            <v>ニンゲンにしてあげる☆</v>
          </cell>
          <cell r="E409" t="str">
            <v>ドロップイベント2-1（マルチ専用）</v>
          </cell>
          <cell r="F409">
            <v>2</v>
          </cell>
          <cell r="G409" t="str">
            <v>ja</v>
          </cell>
          <cell r="H409" t="str">
            <v xml:space="preserve">【上級】ニンゲンにしてあげる </v>
          </cell>
          <cell r="I409" t="str">
            <v>上級</v>
          </cell>
          <cell r="J409">
            <v>290</v>
          </cell>
          <cell r="K409">
            <v>20</v>
          </cell>
          <cell r="L409">
            <v>2000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11</v>
          </cell>
          <cell r="AD409">
            <v>6</v>
          </cell>
          <cell r="AE409" t="str">
            <v>everyone</v>
          </cell>
        </row>
        <row r="410">
          <cell r="A410" t="str">
            <v>30005_3</v>
          </cell>
          <cell r="B410">
            <v>3</v>
          </cell>
          <cell r="C410">
            <v>30005</v>
          </cell>
          <cell r="D410" t="str">
            <v>ニンゲンにしてあげる☆</v>
          </cell>
          <cell r="E410" t="str">
            <v>ドロップイベント2-1（マルチ専用）</v>
          </cell>
          <cell r="F410">
            <v>3</v>
          </cell>
          <cell r="G410" t="str">
            <v>ja</v>
          </cell>
          <cell r="H410" t="str">
            <v>【超級】ニンゲンにしてあげる</v>
          </cell>
          <cell r="I410" t="str">
            <v>超級</v>
          </cell>
          <cell r="J410">
            <v>291</v>
          </cell>
          <cell r="K410">
            <v>30</v>
          </cell>
          <cell r="L410">
            <v>3300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polygon</v>
          </cell>
          <cell r="T410">
            <v>1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11</v>
          </cell>
          <cell r="AD410">
            <v>6</v>
          </cell>
          <cell r="AE410" t="str">
            <v>everyone</v>
          </cell>
        </row>
        <row r="411">
          <cell r="A411" t="str">
            <v>30006_1</v>
          </cell>
          <cell r="B411">
            <v>3</v>
          </cell>
          <cell r="C411">
            <v>30006</v>
          </cell>
          <cell r="D411" t="str">
            <v>それはお前を食べるためさ</v>
          </cell>
          <cell r="E411" t="str">
            <v>ドロップイベント2-3（マルチ専用）</v>
          </cell>
          <cell r="F411">
            <v>1</v>
          </cell>
          <cell r="G411" t="str">
            <v>ja</v>
          </cell>
          <cell r="H411" t="str">
            <v>【中級】それはお前を食べるためさ</v>
          </cell>
          <cell r="I411" t="str">
            <v>中級</v>
          </cell>
          <cell r="J411">
            <v>294</v>
          </cell>
          <cell r="K411">
            <v>15</v>
          </cell>
          <cell r="L411">
            <v>1200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7</v>
          </cell>
          <cell r="AD411">
            <v>6</v>
          </cell>
          <cell r="AE411" t="str">
            <v>everyone</v>
          </cell>
        </row>
        <row r="412">
          <cell r="A412" t="str">
            <v>30006_2</v>
          </cell>
          <cell r="B412">
            <v>3</v>
          </cell>
          <cell r="C412">
            <v>30006</v>
          </cell>
          <cell r="D412" t="str">
            <v>それはお前を食べるためさ</v>
          </cell>
          <cell r="E412" t="str">
            <v>ドロップイベント2-3（マルチ専用）</v>
          </cell>
          <cell r="F412">
            <v>2</v>
          </cell>
          <cell r="G412" t="str">
            <v>ja</v>
          </cell>
          <cell r="H412" t="str">
            <v>【上級】それはお前を食べるためさ</v>
          </cell>
          <cell r="I412" t="str">
            <v>上級</v>
          </cell>
          <cell r="J412">
            <v>294</v>
          </cell>
          <cell r="K412">
            <v>20</v>
          </cell>
          <cell r="L412">
            <v>2000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7</v>
          </cell>
          <cell r="AD412">
            <v>6</v>
          </cell>
          <cell r="AE412" t="str">
            <v>everyone</v>
          </cell>
        </row>
        <row r="413">
          <cell r="A413" t="str">
            <v>30006_3</v>
          </cell>
          <cell r="B413">
            <v>3</v>
          </cell>
          <cell r="C413">
            <v>30006</v>
          </cell>
          <cell r="D413" t="str">
            <v>それはお前を食べるためさ</v>
          </cell>
          <cell r="E413" t="str">
            <v>ドロップイベント2-3（マルチ専用）</v>
          </cell>
          <cell r="F413">
            <v>3</v>
          </cell>
          <cell r="G413" t="str">
            <v>ja</v>
          </cell>
          <cell r="H413" t="str">
            <v>【超級】それはお前を食べるためさ</v>
          </cell>
          <cell r="I413" t="str">
            <v>超級</v>
          </cell>
          <cell r="J413">
            <v>295</v>
          </cell>
          <cell r="K413">
            <v>30</v>
          </cell>
          <cell r="L413">
            <v>3300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polygon</v>
          </cell>
          <cell r="T413">
            <v>1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7</v>
          </cell>
          <cell r="AD413">
            <v>6</v>
          </cell>
          <cell r="AE413" t="str">
            <v>everyone</v>
          </cell>
        </row>
        <row r="414">
          <cell r="A414" t="str">
            <v>30007_1</v>
          </cell>
          <cell r="B414">
            <v>3</v>
          </cell>
          <cell r="C414">
            <v>30007</v>
          </cell>
          <cell r="D414" t="str">
            <v>ガラスの靴は私のもの</v>
          </cell>
          <cell r="E414" t="str">
            <v>ドロップイベント2-2（マルチ専用）</v>
          </cell>
          <cell r="F414">
            <v>1</v>
          </cell>
          <cell r="G414" t="str">
            <v>ja</v>
          </cell>
          <cell r="H414" t="str">
            <v xml:space="preserve">【中級】ガラスの靴は私のもの </v>
          </cell>
          <cell r="I414" t="str">
            <v>中級</v>
          </cell>
          <cell r="J414">
            <v>292</v>
          </cell>
          <cell r="K414">
            <v>15</v>
          </cell>
          <cell r="L414">
            <v>1200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9</v>
          </cell>
          <cell r="AD414">
            <v>6</v>
          </cell>
          <cell r="AE414" t="str">
            <v>everyone</v>
          </cell>
        </row>
        <row r="415">
          <cell r="A415" t="str">
            <v>30007_2</v>
          </cell>
          <cell r="B415">
            <v>3</v>
          </cell>
          <cell r="C415">
            <v>30007</v>
          </cell>
          <cell r="D415" t="str">
            <v>ガラスの靴は私のもの</v>
          </cell>
          <cell r="E415" t="str">
            <v>ドロップイベント2-2（マルチ専用）</v>
          </cell>
          <cell r="F415">
            <v>2</v>
          </cell>
          <cell r="G415" t="str">
            <v>ja</v>
          </cell>
          <cell r="H415" t="str">
            <v>【上級】ガラスの靴は私のもの</v>
          </cell>
          <cell r="I415" t="str">
            <v>上級</v>
          </cell>
          <cell r="J415">
            <v>292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</v>
          </cell>
          <cell r="AD415">
            <v>6</v>
          </cell>
          <cell r="AE415" t="str">
            <v>everyone</v>
          </cell>
        </row>
        <row r="416">
          <cell r="A416" t="str">
            <v>30007_3</v>
          </cell>
          <cell r="B416">
            <v>3</v>
          </cell>
          <cell r="C416">
            <v>30007</v>
          </cell>
          <cell r="D416" t="str">
            <v>ガラスの靴は私のもの</v>
          </cell>
          <cell r="E416" t="str">
            <v>ドロップイベント2-2（マルチ専用）</v>
          </cell>
          <cell r="F416">
            <v>3</v>
          </cell>
          <cell r="G416" t="str">
            <v>ja</v>
          </cell>
          <cell r="H416" t="str">
            <v xml:space="preserve">【超級】ガラスの靴は私のもの </v>
          </cell>
          <cell r="I416" t="str">
            <v>超級</v>
          </cell>
          <cell r="J416">
            <v>293</v>
          </cell>
          <cell r="K416">
            <v>30</v>
          </cell>
          <cell r="L416">
            <v>3300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polygon</v>
          </cell>
          <cell r="T416">
            <v>1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</v>
          </cell>
          <cell r="AD416">
            <v>6</v>
          </cell>
          <cell r="AE416" t="str">
            <v>everyone</v>
          </cell>
        </row>
        <row r="417">
          <cell r="A417" t="str">
            <v>30008_1</v>
          </cell>
          <cell r="B417">
            <v>3</v>
          </cell>
          <cell r="C417">
            <v>30008</v>
          </cell>
          <cell r="D417" t="str">
            <v>わたしの嫁を返してもらおう</v>
          </cell>
          <cell r="E417" t="str">
            <v>ドロップイベント2-4（マルチ専用）</v>
          </cell>
          <cell r="F417">
            <v>1</v>
          </cell>
          <cell r="G417" t="str">
            <v>ja</v>
          </cell>
          <cell r="H417" t="str">
            <v>【中級】わたしの嫁を返してもらおう</v>
          </cell>
          <cell r="I417" t="str">
            <v>中級</v>
          </cell>
          <cell r="J417">
            <v>288</v>
          </cell>
          <cell r="K417">
            <v>15</v>
          </cell>
          <cell r="L417">
            <v>1200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22</v>
          </cell>
          <cell r="AD417">
            <v>6</v>
          </cell>
          <cell r="AE417" t="str">
            <v>everyone</v>
          </cell>
        </row>
        <row r="418">
          <cell r="A418" t="str">
            <v>30008_2</v>
          </cell>
          <cell r="B418">
            <v>3</v>
          </cell>
          <cell r="C418">
            <v>30008</v>
          </cell>
          <cell r="D418" t="str">
            <v>わたしの嫁を返してもらおう</v>
          </cell>
          <cell r="E418" t="str">
            <v>ドロップイベント2-4（マルチ専用）</v>
          </cell>
          <cell r="F418">
            <v>2</v>
          </cell>
          <cell r="G418" t="str">
            <v>ja</v>
          </cell>
          <cell r="H418" t="str">
            <v>【上級】わたしの嫁を返してもらおう</v>
          </cell>
          <cell r="I418" t="str">
            <v>上級</v>
          </cell>
          <cell r="J418">
            <v>288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22</v>
          </cell>
          <cell r="AD418">
            <v>6</v>
          </cell>
          <cell r="AE418" t="str">
            <v>everyone</v>
          </cell>
        </row>
        <row r="419">
          <cell r="A419" t="str">
            <v>30008_3</v>
          </cell>
          <cell r="B419">
            <v>3</v>
          </cell>
          <cell r="C419">
            <v>30008</v>
          </cell>
          <cell r="D419" t="str">
            <v>わたしの嫁を返してもらおう</v>
          </cell>
          <cell r="E419" t="str">
            <v>ドロップイベント2-4（マルチ専用）</v>
          </cell>
          <cell r="F419">
            <v>3</v>
          </cell>
          <cell r="G419" t="str">
            <v>ja</v>
          </cell>
          <cell r="H419" t="str">
            <v>【超級】わたしの嫁を返してもらおう</v>
          </cell>
          <cell r="I419" t="str">
            <v>超級</v>
          </cell>
          <cell r="J419">
            <v>289</v>
          </cell>
          <cell r="K419">
            <v>30</v>
          </cell>
          <cell r="L419">
            <v>3300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polygon</v>
          </cell>
          <cell r="T419">
            <v>1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22</v>
          </cell>
          <cell r="AD419">
            <v>6</v>
          </cell>
          <cell r="AE419" t="str">
            <v>everyone</v>
          </cell>
        </row>
        <row r="420">
          <cell r="A420" t="str">
            <v>30009_3</v>
          </cell>
          <cell r="B420">
            <v>0</v>
          </cell>
          <cell r="C420">
            <v>30009</v>
          </cell>
          <cell r="D420" t="str">
            <v>復活の捕食者</v>
          </cell>
          <cell r="E420" t="str">
            <v>ドロップイベント3（マルチ専用）</v>
          </cell>
          <cell r="F420">
            <v>3</v>
          </cell>
          <cell r="G420" t="str">
            <v>ja</v>
          </cell>
          <cell r="H420" t="str">
            <v>【上級】復活の捕食者</v>
          </cell>
          <cell r="I420" t="str">
            <v>上級</v>
          </cell>
          <cell r="J420">
            <v>312</v>
          </cell>
          <cell r="K420">
            <v>20</v>
          </cell>
          <cell r="L420">
            <v>2000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2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8</v>
          </cell>
          <cell r="AD420">
            <v>6</v>
          </cell>
          <cell r="AE420" t="str">
            <v>everyone</v>
          </cell>
        </row>
        <row r="421">
          <cell r="A421" t="str">
            <v>30009_1</v>
          </cell>
          <cell r="B421">
            <v>3</v>
          </cell>
          <cell r="C421">
            <v>30009</v>
          </cell>
          <cell r="D421" t="str">
            <v>復活の捕食者</v>
          </cell>
          <cell r="E421" t="str">
            <v>ドロップイベント3（マルチ専用）</v>
          </cell>
          <cell r="F421">
            <v>1</v>
          </cell>
          <cell r="G421" t="str">
            <v>ja</v>
          </cell>
          <cell r="H421" t="str">
            <v>【超級】復活の捕食者</v>
          </cell>
          <cell r="I421" t="str">
            <v>超級</v>
          </cell>
          <cell r="J421">
            <v>312</v>
          </cell>
          <cell r="K421">
            <v>30</v>
          </cell>
          <cell r="L421">
            <v>3300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2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8</v>
          </cell>
          <cell r="AD421">
            <v>6</v>
          </cell>
          <cell r="AE421" t="str">
            <v>everyone</v>
          </cell>
        </row>
        <row r="422">
          <cell r="A422" t="str">
            <v>30009_2</v>
          </cell>
          <cell r="B422">
            <v>3</v>
          </cell>
          <cell r="C422">
            <v>30009</v>
          </cell>
          <cell r="D422" t="str">
            <v>復活の捕食者</v>
          </cell>
          <cell r="E422" t="str">
            <v>ドロップイベント3（マルチ専用）</v>
          </cell>
          <cell r="F422">
            <v>2</v>
          </cell>
          <cell r="G422" t="str">
            <v>ja</v>
          </cell>
          <cell r="H422" t="str">
            <v>【超絶級】復活の捕食者</v>
          </cell>
          <cell r="I422" t="str">
            <v>超絶級</v>
          </cell>
          <cell r="J422">
            <v>312</v>
          </cell>
          <cell r="K422">
            <v>35</v>
          </cell>
          <cell r="L422">
            <v>4200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2</v>
          </cell>
          <cell r="S422" t="str">
            <v>polygon</v>
          </cell>
          <cell r="T422">
            <v>1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8</v>
          </cell>
          <cell r="AD422">
            <v>6</v>
          </cell>
          <cell r="AE422" t="str">
            <v>everyone</v>
          </cell>
        </row>
        <row r="423">
          <cell r="A423" t="str">
            <v>30010_1</v>
          </cell>
          <cell r="B423">
            <v>3</v>
          </cell>
          <cell r="C423">
            <v>30010</v>
          </cell>
          <cell r="D423" t="str">
            <v>最大最凶</v>
          </cell>
          <cell r="E423" t="str">
            <v>ドロップイベント3（マルチ専用）</v>
          </cell>
          <cell r="F423">
            <v>1</v>
          </cell>
          <cell r="G423" t="str">
            <v>ja</v>
          </cell>
          <cell r="H423" t="str">
            <v>【上級】最大最凶</v>
          </cell>
          <cell r="I423" t="str">
            <v>上級</v>
          </cell>
          <cell r="J423">
            <v>306</v>
          </cell>
          <cell r="K423">
            <v>20</v>
          </cell>
          <cell r="L423">
            <v>2000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</v>
          </cell>
          <cell r="AD423">
            <v>7</v>
          </cell>
          <cell r="AE423" t="str">
            <v>everyone</v>
          </cell>
        </row>
        <row r="424">
          <cell r="A424" t="str">
            <v>30010_2</v>
          </cell>
          <cell r="B424">
            <v>3</v>
          </cell>
          <cell r="C424">
            <v>30010</v>
          </cell>
          <cell r="D424" t="str">
            <v>最大最凶</v>
          </cell>
          <cell r="E424" t="str">
            <v>ドロップイベント3（マルチ専用）</v>
          </cell>
          <cell r="F424">
            <v>2</v>
          </cell>
          <cell r="G424" t="str">
            <v>ja</v>
          </cell>
          <cell r="H424" t="str">
            <v>【超級】最大最凶</v>
          </cell>
          <cell r="I424" t="str">
            <v>超級</v>
          </cell>
          <cell r="J424">
            <v>306</v>
          </cell>
          <cell r="K424">
            <v>30</v>
          </cell>
          <cell r="L424">
            <v>3300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</v>
          </cell>
          <cell r="AD424">
            <v>7</v>
          </cell>
          <cell r="AE424" t="str">
            <v>everyone</v>
          </cell>
        </row>
        <row r="425">
          <cell r="A425" t="str">
            <v>30010_3</v>
          </cell>
          <cell r="B425">
            <v>3</v>
          </cell>
          <cell r="C425">
            <v>30010</v>
          </cell>
          <cell r="D425" t="str">
            <v>最大最凶</v>
          </cell>
          <cell r="E425" t="str">
            <v>ドロップイベント3（マルチ専用）</v>
          </cell>
          <cell r="F425">
            <v>3</v>
          </cell>
          <cell r="G425" t="str">
            <v>ja</v>
          </cell>
          <cell r="H425" t="str">
            <v>【超絶級】最大最凶</v>
          </cell>
          <cell r="I425" t="str">
            <v>超絶級</v>
          </cell>
          <cell r="J425">
            <v>306</v>
          </cell>
          <cell r="K425">
            <v>35</v>
          </cell>
          <cell r="L425">
            <v>4200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polygon</v>
          </cell>
          <cell r="T425">
            <v>1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</v>
          </cell>
          <cell r="AD425">
            <v>7</v>
          </cell>
          <cell r="AE425" t="str">
            <v>everyone</v>
          </cell>
        </row>
        <row r="426">
          <cell r="A426" t="str">
            <v>30011_1</v>
          </cell>
          <cell r="B426">
            <v>3</v>
          </cell>
          <cell r="C426">
            <v>30011</v>
          </cell>
          <cell r="D426" t="str">
            <v>気怠い巨読者</v>
          </cell>
          <cell r="E426" t="str">
            <v>ドロップイベント3（マルチ専用）</v>
          </cell>
          <cell r="F426">
            <v>1</v>
          </cell>
          <cell r="G426" t="str">
            <v>ja</v>
          </cell>
          <cell r="H426" t="str">
            <v>【上級】気怠い巨読者</v>
          </cell>
          <cell r="I426" t="str">
            <v>上級</v>
          </cell>
          <cell r="J426">
            <v>308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2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19</v>
          </cell>
          <cell r="AD426">
            <v>6</v>
          </cell>
          <cell r="AE426" t="str">
            <v>everyone</v>
          </cell>
        </row>
        <row r="427">
          <cell r="A427" t="str">
            <v>30011_2</v>
          </cell>
          <cell r="B427">
            <v>3</v>
          </cell>
          <cell r="C427">
            <v>30011</v>
          </cell>
          <cell r="D427" t="str">
            <v>気怠い巨読者</v>
          </cell>
          <cell r="E427" t="str">
            <v>ドロップイベント3（マルチ専用）</v>
          </cell>
          <cell r="F427">
            <v>2</v>
          </cell>
          <cell r="G427" t="str">
            <v>ja</v>
          </cell>
          <cell r="H427" t="str">
            <v>【超級】気怠い巨読者</v>
          </cell>
          <cell r="I427" t="str">
            <v>超級</v>
          </cell>
          <cell r="J427">
            <v>308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2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19</v>
          </cell>
          <cell r="AD427">
            <v>6</v>
          </cell>
          <cell r="AE427" t="str">
            <v>everyone</v>
          </cell>
        </row>
        <row r="428">
          <cell r="A428" t="str">
            <v>30011_3</v>
          </cell>
          <cell r="B428">
            <v>3</v>
          </cell>
          <cell r="C428">
            <v>30011</v>
          </cell>
          <cell r="D428" t="str">
            <v>気怠い巨読者</v>
          </cell>
          <cell r="E428" t="str">
            <v>ドロップイベント3（マルチ専用）</v>
          </cell>
          <cell r="F428">
            <v>3</v>
          </cell>
          <cell r="G428" t="str">
            <v>ja</v>
          </cell>
          <cell r="H428" t="str">
            <v>【超絶級】気怠い巨読者</v>
          </cell>
          <cell r="I428" t="str">
            <v>超絶級</v>
          </cell>
          <cell r="J428">
            <v>309</v>
          </cell>
          <cell r="K428">
            <v>35</v>
          </cell>
          <cell r="L428">
            <v>4200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2</v>
          </cell>
          <cell r="S428" t="str">
            <v>polygon</v>
          </cell>
          <cell r="T428">
            <v>1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19</v>
          </cell>
          <cell r="AD428">
            <v>6</v>
          </cell>
          <cell r="AE428" t="str">
            <v>everyone</v>
          </cell>
        </row>
        <row r="429">
          <cell r="A429" t="str">
            <v>30012_1</v>
          </cell>
          <cell r="B429">
            <v>3</v>
          </cell>
          <cell r="C429">
            <v>30012</v>
          </cell>
          <cell r="D429" t="str">
            <v>底なしの胃袋</v>
          </cell>
          <cell r="E429" t="str">
            <v>ドロップイベント3（マルチ専用）</v>
          </cell>
          <cell r="F429">
            <v>1</v>
          </cell>
          <cell r="G429" t="str">
            <v>ja</v>
          </cell>
          <cell r="H429" t="str">
            <v>【上級】底なしの胃袋</v>
          </cell>
          <cell r="I429" t="str">
            <v>上級</v>
          </cell>
          <cell r="J429">
            <v>310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0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5</v>
          </cell>
          <cell r="AD429">
            <v>6</v>
          </cell>
          <cell r="AE429" t="str">
            <v>everyone</v>
          </cell>
        </row>
        <row r="430">
          <cell r="A430" t="str">
            <v>30012_2</v>
          </cell>
          <cell r="B430">
            <v>3</v>
          </cell>
          <cell r="C430">
            <v>30012</v>
          </cell>
          <cell r="D430" t="str">
            <v>底なしの胃袋</v>
          </cell>
          <cell r="E430" t="str">
            <v>ドロップイベント3（マルチ専用）</v>
          </cell>
          <cell r="F430">
            <v>2</v>
          </cell>
          <cell r="G430" t="str">
            <v>ja</v>
          </cell>
          <cell r="H430" t="str">
            <v>【超級】底なしの胃袋</v>
          </cell>
          <cell r="I430" t="str">
            <v>超級</v>
          </cell>
          <cell r="J430">
            <v>310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5</v>
          </cell>
          <cell r="AD430">
            <v>6</v>
          </cell>
          <cell r="AE430" t="str">
            <v>everyone</v>
          </cell>
        </row>
        <row r="431">
          <cell r="A431" t="str">
            <v>30012_3</v>
          </cell>
          <cell r="B431">
            <v>3</v>
          </cell>
          <cell r="C431">
            <v>30012</v>
          </cell>
          <cell r="D431" t="str">
            <v>底なしの胃袋</v>
          </cell>
          <cell r="E431" t="str">
            <v>ドロップイベント3（マルチ専用）</v>
          </cell>
          <cell r="F431">
            <v>3</v>
          </cell>
          <cell r="G431" t="str">
            <v>ja</v>
          </cell>
          <cell r="H431" t="str">
            <v>【超絶級】底なしの胃袋</v>
          </cell>
          <cell r="I431" t="str">
            <v>超絶級</v>
          </cell>
          <cell r="J431">
            <v>310</v>
          </cell>
          <cell r="K431">
            <v>35</v>
          </cell>
          <cell r="L431">
            <v>4200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polygon</v>
          </cell>
          <cell r="T431">
            <v>1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everyone</v>
          </cell>
        </row>
        <row r="432">
          <cell r="A432" t="str">
            <v>30013_1</v>
          </cell>
          <cell r="B432">
            <v>3</v>
          </cell>
          <cell r="C432">
            <v>30013</v>
          </cell>
          <cell r="D432" t="str">
            <v>決戦・竜宮城</v>
          </cell>
          <cell r="E432" t="str">
            <v>ドロップイベント4（マルチ専用）</v>
          </cell>
          <cell r="F432">
            <v>1</v>
          </cell>
          <cell r="G432" t="str">
            <v>ja</v>
          </cell>
          <cell r="H432" t="str">
            <v>【超級】決戦・竜宮城</v>
          </cell>
          <cell r="I432" t="str">
            <v>超級</v>
          </cell>
          <cell r="J432">
            <v>418</v>
          </cell>
          <cell r="K432">
            <v>30</v>
          </cell>
          <cell r="L432">
            <v>3300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17</v>
          </cell>
          <cell r="AD432">
            <v>6</v>
          </cell>
          <cell r="AE432" t="str">
            <v>everyone</v>
          </cell>
        </row>
        <row r="433">
          <cell r="A433" t="str">
            <v>30013_2</v>
          </cell>
          <cell r="B433">
            <v>3</v>
          </cell>
          <cell r="C433">
            <v>30013</v>
          </cell>
          <cell r="D433" t="str">
            <v>決戦・竜宮城</v>
          </cell>
          <cell r="E433" t="str">
            <v>ドロップイベント4（マルチ専用）</v>
          </cell>
          <cell r="F433">
            <v>2</v>
          </cell>
          <cell r="G433" t="str">
            <v>ja</v>
          </cell>
          <cell r="H433" t="str">
            <v>【超絶級】決戦・竜宮城</v>
          </cell>
          <cell r="I433" t="str">
            <v>超絶級</v>
          </cell>
          <cell r="J433">
            <v>419</v>
          </cell>
          <cell r="K433">
            <v>35</v>
          </cell>
          <cell r="L433">
            <v>4200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17</v>
          </cell>
          <cell r="AD433">
            <v>6</v>
          </cell>
          <cell r="AE433" t="str">
            <v>everyone</v>
          </cell>
        </row>
        <row r="434">
          <cell r="A434" t="str">
            <v>30014_1</v>
          </cell>
          <cell r="B434">
            <v>3</v>
          </cell>
          <cell r="C434">
            <v>30014</v>
          </cell>
          <cell r="D434" t="str">
            <v>親指を突き立てろ！</v>
          </cell>
          <cell r="E434" t="str">
            <v>ドロップイベント4（マルチ専用）</v>
          </cell>
          <cell r="F434">
            <v>1</v>
          </cell>
          <cell r="G434" t="str">
            <v>ja</v>
          </cell>
          <cell r="H434" t="str">
            <v>【超級】親指を突き立てろ！</v>
          </cell>
          <cell r="I434" t="str">
            <v>超級</v>
          </cell>
          <cell r="J434">
            <v>420</v>
          </cell>
          <cell r="K434">
            <v>30</v>
          </cell>
          <cell r="L434">
            <v>3300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23</v>
          </cell>
          <cell r="AD434">
            <v>5</v>
          </cell>
          <cell r="AE434" t="str">
            <v>everyone</v>
          </cell>
        </row>
        <row r="435">
          <cell r="A435" t="str">
            <v>30014_2</v>
          </cell>
          <cell r="B435">
            <v>3</v>
          </cell>
          <cell r="C435">
            <v>30014</v>
          </cell>
          <cell r="D435" t="str">
            <v>親指を突き立てろ！</v>
          </cell>
          <cell r="E435" t="str">
            <v>ドロップイベント4（マルチ専用）</v>
          </cell>
          <cell r="F435">
            <v>2</v>
          </cell>
          <cell r="G435" t="str">
            <v>ja</v>
          </cell>
          <cell r="H435" t="str">
            <v>【超絶級】親指を突き立てろ！</v>
          </cell>
          <cell r="I435" t="str">
            <v>超絶級</v>
          </cell>
          <cell r="J435">
            <v>421</v>
          </cell>
          <cell r="K435">
            <v>35</v>
          </cell>
          <cell r="L435">
            <v>4200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polygon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23</v>
          </cell>
          <cell r="AD435">
            <v>5</v>
          </cell>
          <cell r="AE435" t="str">
            <v>everyone</v>
          </cell>
        </row>
        <row r="436">
          <cell r="A436" t="str">
            <v>30015_1</v>
          </cell>
          <cell r="B436">
            <v>3</v>
          </cell>
          <cell r="C436">
            <v>30015</v>
          </cell>
          <cell r="D436" t="str">
            <v>兄妹の大冒険</v>
          </cell>
          <cell r="E436" t="str">
            <v>ドロップイベント4（マルチ専用）</v>
          </cell>
          <cell r="F436">
            <v>1</v>
          </cell>
          <cell r="G436" t="str">
            <v>ja</v>
          </cell>
          <cell r="H436" t="str">
            <v>【超級】兄妹の大冒険</v>
          </cell>
          <cell r="I436" t="str">
            <v>超級</v>
          </cell>
          <cell r="J436">
            <v>422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16</v>
          </cell>
          <cell r="AD436">
            <v>6</v>
          </cell>
          <cell r="AE436" t="str">
            <v>everyone</v>
          </cell>
        </row>
        <row r="437">
          <cell r="A437" t="str">
            <v>30015_2</v>
          </cell>
          <cell r="B437">
            <v>3</v>
          </cell>
          <cell r="C437">
            <v>30015</v>
          </cell>
          <cell r="D437" t="str">
            <v>兄妹の大冒険</v>
          </cell>
          <cell r="E437" t="str">
            <v>ドロップイベント4（マルチ専用）</v>
          </cell>
          <cell r="F437">
            <v>2</v>
          </cell>
          <cell r="G437" t="str">
            <v>ja</v>
          </cell>
          <cell r="H437" t="str">
            <v>【超絶級】兄妹の大冒険</v>
          </cell>
          <cell r="I437" t="str">
            <v>超絶級</v>
          </cell>
          <cell r="J437">
            <v>423</v>
          </cell>
          <cell r="K437">
            <v>35</v>
          </cell>
          <cell r="L437">
            <v>4200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polygon</v>
          </cell>
          <cell r="T437">
            <v>1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16</v>
          </cell>
          <cell r="AD437">
            <v>6</v>
          </cell>
          <cell r="AE437" t="str">
            <v>everyone</v>
          </cell>
        </row>
        <row r="438">
          <cell r="A438" t="str">
            <v>30016_1</v>
          </cell>
          <cell r="B438">
            <v>3</v>
          </cell>
          <cell r="C438">
            <v>30016</v>
          </cell>
          <cell r="D438" t="str">
            <v>私がワニの天敵よ？</v>
          </cell>
          <cell r="E438" t="str">
            <v>ドロップイベント4（マルチ専用）</v>
          </cell>
          <cell r="F438">
            <v>1</v>
          </cell>
          <cell r="G438" t="str">
            <v>ja</v>
          </cell>
          <cell r="H438" t="str">
            <v>【超級】私がワニの天敵よ？</v>
          </cell>
          <cell r="I438" t="str">
            <v>超級</v>
          </cell>
          <cell r="J438">
            <v>424</v>
          </cell>
          <cell r="K438">
            <v>30</v>
          </cell>
          <cell r="L438">
            <v>3300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4</v>
          </cell>
          <cell r="AD438">
            <v>6</v>
          </cell>
          <cell r="AE438" t="str">
            <v>everyone</v>
          </cell>
        </row>
        <row r="439">
          <cell r="A439" t="str">
            <v>30016_2</v>
          </cell>
          <cell r="B439">
            <v>3</v>
          </cell>
          <cell r="C439">
            <v>30016</v>
          </cell>
          <cell r="D439" t="str">
            <v>私がワニの天敵よ？</v>
          </cell>
          <cell r="E439" t="str">
            <v>ドロップイベント4（マルチ専用）</v>
          </cell>
          <cell r="F439">
            <v>2</v>
          </cell>
          <cell r="G439" t="str">
            <v>ja</v>
          </cell>
          <cell r="H439" t="str">
            <v>【超絶級】私がワニの天敵よ？</v>
          </cell>
          <cell r="I439" t="str">
            <v>超絶級</v>
          </cell>
          <cell r="J439">
            <v>425</v>
          </cell>
          <cell r="K439">
            <v>35</v>
          </cell>
          <cell r="L439">
            <v>4200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4</v>
          </cell>
          <cell r="AD439">
            <v>6</v>
          </cell>
          <cell r="AE439" t="str">
            <v>everyone</v>
          </cell>
        </row>
        <row r="440">
          <cell r="A440" t="str">
            <v>30017_1</v>
          </cell>
          <cell r="B440">
            <v>3</v>
          </cell>
          <cell r="C440">
            <v>30017</v>
          </cell>
          <cell r="D440" t="str">
            <v>狩人の挽歌</v>
          </cell>
          <cell r="E440" t="str">
            <v>ドロップイベント5（マルチ専用）</v>
          </cell>
          <cell r="F440">
            <v>1</v>
          </cell>
          <cell r="G440" t="str">
            <v>ja</v>
          </cell>
          <cell r="H440" t="str">
            <v>【超級】狩人の挽歌</v>
          </cell>
          <cell r="I440" t="str">
            <v>超級</v>
          </cell>
          <cell r="J440">
            <v>452</v>
          </cell>
          <cell r="K440">
            <v>30</v>
          </cell>
          <cell r="L440">
            <v>3300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20</v>
          </cell>
          <cell r="AD440">
            <v>6</v>
          </cell>
          <cell r="AE440" t="str">
            <v>multionly</v>
          </cell>
        </row>
        <row r="441">
          <cell r="A441" t="str">
            <v>30017_2</v>
          </cell>
          <cell r="B441">
            <v>3</v>
          </cell>
          <cell r="C441">
            <v>30017</v>
          </cell>
          <cell r="D441" t="str">
            <v>狩人の挽歌</v>
          </cell>
          <cell r="E441" t="str">
            <v>ドロップイベント5（マルチ専用）</v>
          </cell>
          <cell r="F441">
            <v>2</v>
          </cell>
          <cell r="G441" t="str">
            <v>ja</v>
          </cell>
          <cell r="H441" t="str">
            <v>【超絶級】狩人の挽歌</v>
          </cell>
          <cell r="I441" t="str">
            <v>超絶級</v>
          </cell>
          <cell r="J441">
            <v>453</v>
          </cell>
          <cell r="K441">
            <v>35</v>
          </cell>
          <cell r="L441">
            <v>4200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polygon</v>
          </cell>
          <cell r="T441">
            <v>1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20</v>
          </cell>
          <cell r="AD441">
            <v>6</v>
          </cell>
          <cell r="AE441" t="str">
            <v>multionly</v>
          </cell>
        </row>
        <row r="442">
          <cell r="A442" t="str">
            <v>30018_1</v>
          </cell>
          <cell r="B442">
            <v>3</v>
          </cell>
          <cell r="C442">
            <v>30018</v>
          </cell>
          <cell r="D442" t="str">
            <v>バックストリートファイト</v>
          </cell>
          <cell r="E442" t="str">
            <v>ドロップイベント5（マルチ専用）</v>
          </cell>
          <cell r="F442">
            <v>1</v>
          </cell>
          <cell r="G442" t="str">
            <v>ja</v>
          </cell>
          <cell r="H442" t="str">
            <v>【超級】バックストリートファイト</v>
          </cell>
          <cell r="I442" t="str">
            <v>超級</v>
          </cell>
          <cell r="J442">
            <v>454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0</v>
          </cell>
          <cell r="R442">
            <v>3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14</v>
          </cell>
          <cell r="AD442">
            <v>6</v>
          </cell>
          <cell r="AE442" t="str">
            <v>everyone</v>
          </cell>
        </row>
        <row r="443">
          <cell r="A443" t="str">
            <v>30018_2</v>
          </cell>
          <cell r="B443">
            <v>3</v>
          </cell>
          <cell r="C443">
            <v>30018</v>
          </cell>
          <cell r="D443" t="str">
            <v>バックストリートファイト</v>
          </cell>
          <cell r="E443" t="str">
            <v>ドロップイベント5（マルチ専用）</v>
          </cell>
          <cell r="F443">
            <v>2</v>
          </cell>
          <cell r="G443" t="str">
            <v>ja</v>
          </cell>
          <cell r="H443" t="str">
            <v>【超絶級】バックストリートファイト</v>
          </cell>
          <cell r="I443" t="str">
            <v>超絶級</v>
          </cell>
          <cell r="J443">
            <v>455</v>
          </cell>
          <cell r="K443">
            <v>35</v>
          </cell>
          <cell r="L443">
            <v>4200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0</v>
          </cell>
          <cell r="R443">
            <v>3</v>
          </cell>
          <cell r="S443" t="str">
            <v>polygon</v>
          </cell>
          <cell r="T443">
            <v>1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14</v>
          </cell>
          <cell r="AD443">
            <v>6</v>
          </cell>
          <cell r="AE443" t="str">
            <v>everyone</v>
          </cell>
        </row>
        <row r="444">
          <cell r="A444" t="str">
            <v>30019_1</v>
          </cell>
          <cell r="B444">
            <v>3</v>
          </cell>
          <cell r="C444">
            <v>30019</v>
          </cell>
          <cell r="D444" t="str">
            <v>狙撃は終わらない</v>
          </cell>
          <cell r="E444" t="str">
            <v>ドロップイベント5（マルチ専用）</v>
          </cell>
          <cell r="F444">
            <v>1</v>
          </cell>
          <cell r="G444" t="str">
            <v>ja</v>
          </cell>
          <cell r="H444" t="str">
            <v>【超級】狙撃は終わらない</v>
          </cell>
          <cell r="I444" t="str">
            <v>超級</v>
          </cell>
          <cell r="J444">
            <v>456</v>
          </cell>
          <cell r="K444">
            <v>30</v>
          </cell>
          <cell r="L444">
            <v>3300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24</v>
          </cell>
          <cell r="AD444">
            <v>6</v>
          </cell>
          <cell r="AE444" t="str">
            <v>multionly</v>
          </cell>
        </row>
        <row r="445">
          <cell r="A445" t="str">
            <v>30019_2</v>
          </cell>
          <cell r="B445">
            <v>3</v>
          </cell>
          <cell r="C445">
            <v>30019</v>
          </cell>
          <cell r="D445" t="str">
            <v>狙撃は終わらない</v>
          </cell>
          <cell r="E445" t="str">
            <v>ドロップイベント5（マルチ専用）</v>
          </cell>
          <cell r="F445">
            <v>2</v>
          </cell>
          <cell r="G445" t="str">
            <v>ja</v>
          </cell>
          <cell r="H445" t="str">
            <v>【超絶級】狙撃は終わらない</v>
          </cell>
          <cell r="I445" t="str">
            <v>超絶級</v>
          </cell>
          <cell r="J445">
            <v>457</v>
          </cell>
          <cell r="K445">
            <v>35</v>
          </cell>
          <cell r="L445">
            <v>4200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24</v>
          </cell>
          <cell r="AD445">
            <v>6</v>
          </cell>
          <cell r="AE445" t="str">
            <v>multionly</v>
          </cell>
        </row>
        <row r="446">
          <cell r="A446" t="str">
            <v>30020_1</v>
          </cell>
          <cell r="B446">
            <v>3</v>
          </cell>
          <cell r="C446">
            <v>30020</v>
          </cell>
          <cell r="D446" t="str">
            <v>若造よ、身の程を知れ</v>
          </cell>
          <cell r="E446" t="str">
            <v>ドロップイベント5（マルチ専用）</v>
          </cell>
          <cell r="F446">
            <v>1</v>
          </cell>
          <cell r="G446" t="str">
            <v>ja</v>
          </cell>
          <cell r="H446" t="str">
            <v>【超級】若造よ、身の程を知れ</v>
          </cell>
          <cell r="I446" t="str">
            <v>超級</v>
          </cell>
          <cell r="J446">
            <v>458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13</v>
          </cell>
          <cell r="AD446">
            <v>6</v>
          </cell>
          <cell r="AE446" t="str">
            <v>everyone</v>
          </cell>
        </row>
        <row r="447">
          <cell r="A447" t="str">
            <v>30020_2</v>
          </cell>
          <cell r="B447">
            <v>3</v>
          </cell>
          <cell r="C447">
            <v>30020</v>
          </cell>
          <cell r="D447" t="str">
            <v>若造よ、身の程を知れ</v>
          </cell>
          <cell r="E447" t="str">
            <v>ドロップイベント5（マルチ専用）</v>
          </cell>
          <cell r="F447">
            <v>2</v>
          </cell>
          <cell r="G447" t="str">
            <v>ja</v>
          </cell>
          <cell r="H447" t="str">
            <v>【超絶級】若造よ、身の程を知れ</v>
          </cell>
          <cell r="I447" t="str">
            <v>超絶級</v>
          </cell>
          <cell r="J447">
            <v>459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13</v>
          </cell>
          <cell r="AD447">
            <v>6</v>
          </cell>
          <cell r="AE447" t="str">
            <v>everyone</v>
          </cell>
        </row>
        <row r="448">
          <cell r="A448" t="str">
            <v>30021_1</v>
          </cell>
          <cell r="B448">
            <v>3</v>
          </cell>
          <cell r="C448">
            <v>30021</v>
          </cell>
          <cell r="D448" t="str">
            <v>野獣死すべしっ！</v>
          </cell>
          <cell r="E448" t="str">
            <v>ドロップイベント6（マルチ専用）</v>
          </cell>
          <cell r="F448">
            <v>1</v>
          </cell>
          <cell r="G448" t="str">
            <v>ja</v>
          </cell>
          <cell r="H448" t="str">
            <v>【中級】野獣死すべしっ！</v>
          </cell>
          <cell r="I448" t="str">
            <v>中級</v>
          </cell>
          <cell r="J448">
            <v>502</v>
          </cell>
          <cell r="K448">
            <v>15</v>
          </cell>
          <cell r="L448">
            <v>1200</v>
          </cell>
          <cell r="M448">
            <v>1</v>
          </cell>
          <cell r="N448">
            <v>1</v>
          </cell>
          <cell r="O448">
            <v>0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14</v>
          </cell>
          <cell r="AD448">
            <v>6</v>
          </cell>
          <cell r="AE448" t="str">
            <v>everyone</v>
          </cell>
        </row>
        <row r="449">
          <cell r="A449" t="str">
            <v>30021_2</v>
          </cell>
          <cell r="B449">
            <v>3</v>
          </cell>
          <cell r="C449">
            <v>30021</v>
          </cell>
          <cell r="D449" t="str">
            <v>野獣死すべしっ！</v>
          </cell>
          <cell r="E449" t="str">
            <v>ドロップイベント6（マルチ専用）</v>
          </cell>
          <cell r="F449">
            <v>2</v>
          </cell>
          <cell r="G449" t="str">
            <v>ja</v>
          </cell>
          <cell r="H449" t="str">
            <v>【上級】野獣死すべしっ！</v>
          </cell>
          <cell r="I449" t="str">
            <v>上級</v>
          </cell>
          <cell r="J449">
            <v>502</v>
          </cell>
          <cell r="K449">
            <v>20</v>
          </cell>
          <cell r="L449">
            <v>2000</v>
          </cell>
          <cell r="M449">
            <v>1</v>
          </cell>
          <cell r="N449">
            <v>1</v>
          </cell>
          <cell r="O449">
            <v>0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14</v>
          </cell>
          <cell r="AD449">
            <v>6</v>
          </cell>
          <cell r="AE449" t="str">
            <v>everyone</v>
          </cell>
        </row>
        <row r="450">
          <cell r="A450" t="str">
            <v>30021_3</v>
          </cell>
          <cell r="B450">
            <v>3</v>
          </cell>
          <cell r="C450">
            <v>30021</v>
          </cell>
          <cell r="D450" t="str">
            <v>野獣死すべしっ！</v>
          </cell>
          <cell r="E450" t="str">
            <v>ドロップイベント6（マルチ専用）</v>
          </cell>
          <cell r="F450">
            <v>3</v>
          </cell>
          <cell r="G450" t="str">
            <v>ja</v>
          </cell>
          <cell r="H450" t="str">
            <v>【超級】野獣死すべしっ！</v>
          </cell>
          <cell r="I450" t="str">
            <v>超級</v>
          </cell>
          <cell r="J450">
            <v>503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0</v>
          </cell>
          <cell r="P450">
            <v>1</v>
          </cell>
          <cell r="Q450">
            <v>1</v>
          </cell>
          <cell r="R450">
            <v>3</v>
          </cell>
          <cell r="S450" t="str">
            <v>polygon</v>
          </cell>
          <cell r="T450">
            <v>1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14</v>
          </cell>
          <cell r="AD450">
            <v>6</v>
          </cell>
          <cell r="AE450" t="str">
            <v>everyone</v>
          </cell>
        </row>
        <row r="451">
          <cell r="A451" t="str">
            <v>30022_1</v>
          </cell>
          <cell r="B451">
            <v>3</v>
          </cell>
          <cell r="C451">
            <v>30022</v>
          </cell>
          <cell r="D451" t="str">
            <v>凶鼠ネコを咬む</v>
          </cell>
          <cell r="E451" t="str">
            <v>ドロップイベント6（マルチ専用）</v>
          </cell>
          <cell r="F451">
            <v>1</v>
          </cell>
          <cell r="G451" t="str">
            <v>ja</v>
          </cell>
          <cell r="H451" t="str">
            <v>【超級】凶鼠ネコを咬む</v>
          </cell>
          <cell r="I451" t="str">
            <v>超級</v>
          </cell>
          <cell r="J451">
            <v>504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none</v>
          </cell>
          <cell r="T451">
            <v>0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6</v>
          </cell>
          <cell r="AD451">
            <v>6</v>
          </cell>
          <cell r="AE451" t="str">
            <v>everyone</v>
          </cell>
        </row>
        <row r="452">
          <cell r="A452" t="str">
            <v>30022_2</v>
          </cell>
          <cell r="B452">
            <v>3</v>
          </cell>
          <cell r="C452">
            <v>30022</v>
          </cell>
          <cell r="D452" t="str">
            <v>凶鼠ネコを咬む</v>
          </cell>
          <cell r="E452" t="str">
            <v>ドロップイベント6（マルチ専用）</v>
          </cell>
          <cell r="F452">
            <v>2</v>
          </cell>
          <cell r="G452" t="str">
            <v>ja</v>
          </cell>
          <cell r="H452" t="str">
            <v>【超絶級】凶鼠ネコを咬む</v>
          </cell>
          <cell r="I452" t="str">
            <v>超絶級</v>
          </cell>
          <cell r="J452">
            <v>505</v>
          </cell>
          <cell r="K452">
            <v>35</v>
          </cell>
          <cell r="L452">
            <v>4200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polygon</v>
          </cell>
          <cell r="T452">
            <v>1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6</v>
          </cell>
          <cell r="AD452">
            <v>6</v>
          </cell>
          <cell r="AE452" t="str">
            <v>everyone</v>
          </cell>
        </row>
        <row r="453">
          <cell r="A453" t="str">
            <v>30023_1</v>
          </cell>
          <cell r="B453">
            <v>3</v>
          </cell>
          <cell r="C453">
            <v>30023</v>
          </cell>
          <cell r="D453" t="str">
            <v>隔離からのエスケイプ</v>
          </cell>
          <cell r="E453" t="str">
            <v>ドロップイベント6（マルチ専用）</v>
          </cell>
          <cell r="F453">
            <v>1</v>
          </cell>
          <cell r="G453" t="str">
            <v>ja</v>
          </cell>
          <cell r="H453" t="str">
            <v>【中級】隔離からのエスケイプ</v>
          </cell>
          <cell r="I453" t="str">
            <v>中級</v>
          </cell>
          <cell r="J453">
            <v>506</v>
          </cell>
          <cell r="K453">
            <v>15</v>
          </cell>
          <cell r="L453">
            <v>1200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25</v>
          </cell>
          <cell r="AD453">
            <v>6</v>
          </cell>
          <cell r="AE453" t="str">
            <v>everyone</v>
          </cell>
        </row>
        <row r="454">
          <cell r="A454" t="str">
            <v>30023_2</v>
          </cell>
          <cell r="B454">
            <v>3</v>
          </cell>
          <cell r="C454">
            <v>30023</v>
          </cell>
          <cell r="D454" t="str">
            <v>隔離からのエスケイプ</v>
          </cell>
          <cell r="E454" t="str">
            <v>ドロップイベント6（マルチ専用）</v>
          </cell>
          <cell r="F454">
            <v>2</v>
          </cell>
          <cell r="G454" t="str">
            <v>ja</v>
          </cell>
          <cell r="H454" t="str">
            <v>【上級】隔離からのエスケイプ</v>
          </cell>
          <cell r="I454" t="str">
            <v>上級</v>
          </cell>
          <cell r="J454">
            <v>506</v>
          </cell>
          <cell r="K454">
            <v>20</v>
          </cell>
          <cell r="L454">
            <v>2000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25</v>
          </cell>
          <cell r="AD454">
            <v>6</v>
          </cell>
          <cell r="AE454" t="str">
            <v>everyone</v>
          </cell>
        </row>
        <row r="455">
          <cell r="A455" t="str">
            <v>30023_3</v>
          </cell>
          <cell r="B455">
            <v>3</v>
          </cell>
          <cell r="C455">
            <v>30023</v>
          </cell>
          <cell r="D455" t="str">
            <v>隔離からのエスケイプ</v>
          </cell>
          <cell r="E455" t="str">
            <v>ドロップイベント6（マルチ専用）</v>
          </cell>
          <cell r="F455">
            <v>3</v>
          </cell>
          <cell r="G455" t="str">
            <v>ja</v>
          </cell>
          <cell r="H455" t="str">
            <v>【超級】隔離からのエスケイプ</v>
          </cell>
          <cell r="I455" t="str">
            <v>超級</v>
          </cell>
          <cell r="J455">
            <v>507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polygon</v>
          </cell>
          <cell r="T455">
            <v>1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25</v>
          </cell>
          <cell r="AD455">
            <v>6</v>
          </cell>
          <cell r="AE455" t="str">
            <v>everyone</v>
          </cell>
        </row>
        <row r="456">
          <cell r="A456" t="str">
            <v>30024_1</v>
          </cell>
          <cell r="B456">
            <v>3</v>
          </cell>
          <cell r="C456">
            <v>30024</v>
          </cell>
          <cell r="D456" t="str">
            <v>雷鎚の選定</v>
          </cell>
          <cell r="E456" t="str">
            <v>ドロップイベント7（マルチ専用）</v>
          </cell>
          <cell r="F456">
            <v>1</v>
          </cell>
          <cell r="G456" t="str">
            <v>ja</v>
          </cell>
          <cell r="H456" t="str">
            <v>【中級】雷鎚の選定</v>
          </cell>
          <cell r="I456" t="str">
            <v>中級</v>
          </cell>
          <cell r="J456">
            <v>583</v>
          </cell>
          <cell r="K456">
            <v>15</v>
          </cell>
          <cell r="L456">
            <v>1200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20</v>
          </cell>
          <cell r="AD456">
            <v>6</v>
          </cell>
          <cell r="AE456" t="str">
            <v>multionly</v>
          </cell>
        </row>
        <row r="457">
          <cell r="A457" t="str">
            <v>30024_2</v>
          </cell>
          <cell r="B457">
            <v>3</v>
          </cell>
          <cell r="C457">
            <v>30024</v>
          </cell>
          <cell r="D457" t="str">
            <v>雷鎚の選定</v>
          </cell>
          <cell r="E457" t="str">
            <v>ドロップイベント7（マルチ専用）</v>
          </cell>
          <cell r="F457">
            <v>2</v>
          </cell>
          <cell r="G457" t="str">
            <v>ja</v>
          </cell>
          <cell r="H457" t="str">
            <v>【上級】雷鎚の選定</v>
          </cell>
          <cell r="I457" t="str">
            <v>上級</v>
          </cell>
          <cell r="J457">
            <v>583</v>
          </cell>
          <cell r="K457">
            <v>20</v>
          </cell>
          <cell r="L457">
            <v>2000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20</v>
          </cell>
          <cell r="AD457">
            <v>6</v>
          </cell>
          <cell r="AE457" t="str">
            <v>multionly</v>
          </cell>
        </row>
        <row r="458">
          <cell r="A458" t="str">
            <v>30024_3</v>
          </cell>
          <cell r="B458">
            <v>3</v>
          </cell>
          <cell r="C458">
            <v>30024</v>
          </cell>
          <cell r="D458" t="str">
            <v>雷鎚の選定</v>
          </cell>
          <cell r="E458" t="str">
            <v>ドロップイベント7（マルチ専用）</v>
          </cell>
          <cell r="F458">
            <v>3</v>
          </cell>
          <cell r="G458" t="str">
            <v>ja</v>
          </cell>
          <cell r="H458" t="str">
            <v>【超級】雷鎚の選定</v>
          </cell>
          <cell r="I458" t="str">
            <v>超級</v>
          </cell>
          <cell r="J458">
            <v>584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polygon</v>
          </cell>
          <cell r="T458">
            <v>1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20</v>
          </cell>
          <cell r="AD458">
            <v>6</v>
          </cell>
          <cell r="AE458" t="str">
            <v>multionly</v>
          </cell>
        </row>
        <row r="459">
          <cell r="A459" t="str">
            <v>30025_1</v>
          </cell>
          <cell r="B459">
            <v>3</v>
          </cell>
          <cell r="C459">
            <v>30025</v>
          </cell>
          <cell r="D459" t="str">
            <v>真実の探求者</v>
          </cell>
          <cell r="E459" t="str">
            <v>ドロップイベント7（マルチ専用）</v>
          </cell>
          <cell r="F459">
            <v>1</v>
          </cell>
          <cell r="G459" t="str">
            <v>ja</v>
          </cell>
          <cell r="H459" t="str">
            <v>【中級】真実の探求者</v>
          </cell>
          <cell r="I459" t="str">
            <v>中級</v>
          </cell>
          <cell r="J459">
            <v>579</v>
          </cell>
          <cell r="K459">
            <v>15</v>
          </cell>
          <cell r="L459">
            <v>1200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none</v>
          </cell>
          <cell r="T459">
            <v>0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7</v>
          </cell>
          <cell r="AD459">
            <v>6</v>
          </cell>
          <cell r="AE459" t="str">
            <v>everyone</v>
          </cell>
        </row>
        <row r="460">
          <cell r="A460" t="str">
            <v>30025_2</v>
          </cell>
          <cell r="B460">
            <v>3</v>
          </cell>
          <cell r="C460">
            <v>30025</v>
          </cell>
          <cell r="D460" t="str">
            <v>真実の探求者</v>
          </cell>
          <cell r="E460" t="str">
            <v>ドロップイベント7（マルチ専用）</v>
          </cell>
          <cell r="F460">
            <v>2</v>
          </cell>
          <cell r="G460" t="str">
            <v>ja</v>
          </cell>
          <cell r="H460" t="str">
            <v>【上級】真実の探求者</v>
          </cell>
          <cell r="I460" t="str">
            <v>上級</v>
          </cell>
          <cell r="J460">
            <v>579</v>
          </cell>
          <cell r="K460">
            <v>20</v>
          </cell>
          <cell r="L460">
            <v>2000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7</v>
          </cell>
          <cell r="AD460">
            <v>6</v>
          </cell>
          <cell r="AE460" t="str">
            <v>everyone</v>
          </cell>
        </row>
        <row r="461">
          <cell r="A461" t="str">
            <v>30025_3</v>
          </cell>
          <cell r="B461">
            <v>3</v>
          </cell>
          <cell r="C461">
            <v>30025</v>
          </cell>
          <cell r="D461" t="str">
            <v>真実の探求者</v>
          </cell>
          <cell r="E461" t="str">
            <v>ドロップイベント7（マルチ専用）</v>
          </cell>
          <cell r="F461">
            <v>3</v>
          </cell>
          <cell r="G461" t="str">
            <v>ja</v>
          </cell>
          <cell r="H461" t="str">
            <v>【超級】真実の探求者</v>
          </cell>
          <cell r="I461" t="str">
            <v>超級</v>
          </cell>
          <cell r="J461">
            <v>580</v>
          </cell>
          <cell r="K461">
            <v>30</v>
          </cell>
          <cell r="L461">
            <v>3300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7</v>
          </cell>
          <cell r="AD461">
            <v>6</v>
          </cell>
          <cell r="AE461" t="str">
            <v>everyone</v>
          </cell>
        </row>
        <row r="462">
          <cell r="A462" t="str">
            <v>30026_1</v>
          </cell>
          <cell r="B462">
            <v>3</v>
          </cell>
          <cell r="C462">
            <v>30026</v>
          </cell>
          <cell r="D462" t="str">
            <v>道を阻む妖精夫婦</v>
          </cell>
          <cell r="E462" t="str">
            <v>ドロップイベント7（マルチ専用）</v>
          </cell>
          <cell r="F462">
            <v>1</v>
          </cell>
          <cell r="G462" t="str">
            <v>ja</v>
          </cell>
          <cell r="H462" t="str">
            <v>【中級】道を阻む妖精夫婦</v>
          </cell>
          <cell r="I462" t="str">
            <v>中級</v>
          </cell>
          <cell r="J462">
            <v>577</v>
          </cell>
          <cell r="K462">
            <v>15</v>
          </cell>
          <cell r="L462">
            <v>1200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21</v>
          </cell>
          <cell r="AD462">
            <v>6</v>
          </cell>
          <cell r="AE462" t="str">
            <v>everyone</v>
          </cell>
        </row>
        <row r="463">
          <cell r="A463" t="str">
            <v>30026_2</v>
          </cell>
          <cell r="B463">
            <v>3</v>
          </cell>
          <cell r="C463">
            <v>30026</v>
          </cell>
          <cell r="D463" t="str">
            <v>道を阻む妖精夫婦</v>
          </cell>
          <cell r="E463" t="str">
            <v>ドロップイベント7（マルチ専用）</v>
          </cell>
          <cell r="F463">
            <v>2</v>
          </cell>
          <cell r="G463" t="str">
            <v>ja</v>
          </cell>
          <cell r="H463" t="str">
            <v>【上級】道を阻む妖精夫婦</v>
          </cell>
          <cell r="I463" t="str">
            <v>上級</v>
          </cell>
          <cell r="J463">
            <v>577</v>
          </cell>
          <cell r="K463">
            <v>20</v>
          </cell>
          <cell r="L463">
            <v>2000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21</v>
          </cell>
          <cell r="AD463">
            <v>6</v>
          </cell>
          <cell r="AE463" t="str">
            <v>everyone</v>
          </cell>
        </row>
        <row r="464">
          <cell r="A464" t="str">
            <v>30026_3</v>
          </cell>
          <cell r="B464">
            <v>3</v>
          </cell>
          <cell r="C464">
            <v>30026</v>
          </cell>
          <cell r="D464" t="str">
            <v>道を阻む妖精夫婦</v>
          </cell>
          <cell r="E464" t="str">
            <v>ドロップイベント7（マルチ専用）</v>
          </cell>
          <cell r="F464">
            <v>3</v>
          </cell>
          <cell r="G464" t="str">
            <v>ja</v>
          </cell>
          <cell r="H464" t="str">
            <v>【超級】道を阻む妖精夫婦</v>
          </cell>
          <cell r="I464" t="str">
            <v>超級</v>
          </cell>
          <cell r="J464">
            <v>578</v>
          </cell>
          <cell r="K464">
            <v>30</v>
          </cell>
          <cell r="L464">
            <v>3300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polygon</v>
          </cell>
          <cell r="T464">
            <v>1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21</v>
          </cell>
          <cell r="AD464">
            <v>6</v>
          </cell>
          <cell r="AE464" t="str">
            <v>everyone</v>
          </cell>
        </row>
        <row r="465">
          <cell r="A465" t="str">
            <v>30027_1</v>
          </cell>
          <cell r="B465">
            <v>3</v>
          </cell>
          <cell r="C465">
            <v>30027</v>
          </cell>
          <cell r="D465" t="str">
            <v>凍りつくまで愛してあげる</v>
          </cell>
          <cell r="E465" t="str">
            <v>ドロップイベント7（マルチ専用）</v>
          </cell>
          <cell r="F465">
            <v>1</v>
          </cell>
          <cell r="G465" t="str">
            <v>ja</v>
          </cell>
          <cell r="H465" t="str">
            <v>【中級】凍りつくまで愛してあげる</v>
          </cell>
          <cell r="I465" t="str">
            <v>中級</v>
          </cell>
          <cell r="J465">
            <v>646</v>
          </cell>
          <cell r="K465">
            <v>15</v>
          </cell>
          <cell r="L465">
            <v>1200</v>
          </cell>
          <cell r="M465">
            <v>0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none</v>
          </cell>
          <cell r="T465">
            <v>0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9</v>
          </cell>
          <cell r="AD465">
            <v>6</v>
          </cell>
          <cell r="AE465" t="str">
            <v>everyone</v>
          </cell>
        </row>
        <row r="466">
          <cell r="A466" t="str">
            <v>30027_2</v>
          </cell>
          <cell r="B466">
            <v>3</v>
          </cell>
          <cell r="C466">
            <v>30027</v>
          </cell>
          <cell r="D466" t="str">
            <v>凍りつくまで愛してあげる</v>
          </cell>
          <cell r="E466" t="str">
            <v>ドロップイベント7（マルチ専用）</v>
          </cell>
          <cell r="F466">
            <v>2</v>
          </cell>
          <cell r="G466" t="str">
            <v>ja</v>
          </cell>
          <cell r="H466" t="str">
            <v>【上級】凍りつくまで愛してあげる</v>
          </cell>
          <cell r="I466" t="str">
            <v>上級</v>
          </cell>
          <cell r="J466">
            <v>646</v>
          </cell>
          <cell r="K466">
            <v>20</v>
          </cell>
          <cell r="L466">
            <v>2000</v>
          </cell>
          <cell r="M466">
            <v>0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9</v>
          </cell>
          <cell r="AD466">
            <v>6</v>
          </cell>
          <cell r="AE466" t="str">
            <v>everyone</v>
          </cell>
        </row>
        <row r="467">
          <cell r="A467" t="str">
            <v>30027_3</v>
          </cell>
          <cell r="B467">
            <v>3</v>
          </cell>
          <cell r="C467">
            <v>30027</v>
          </cell>
          <cell r="D467" t="str">
            <v>凍りつくまで愛してあげる</v>
          </cell>
          <cell r="E467" t="str">
            <v>ドロップイベント7（マルチ専用）</v>
          </cell>
          <cell r="F467">
            <v>3</v>
          </cell>
          <cell r="G467" t="str">
            <v>ja</v>
          </cell>
          <cell r="H467" t="str">
            <v>【超級】凍りつくまで愛してあげる</v>
          </cell>
          <cell r="I467" t="str">
            <v>超級</v>
          </cell>
          <cell r="J467">
            <v>647</v>
          </cell>
          <cell r="K467">
            <v>30</v>
          </cell>
          <cell r="L467">
            <v>3300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9</v>
          </cell>
          <cell r="AD467">
            <v>6</v>
          </cell>
          <cell r="AE467" t="str">
            <v>everyone</v>
          </cell>
        </row>
        <row r="468">
          <cell r="A468" t="str">
            <v>30028_1</v>
          </cell>
          <cell r="B468">
            <v>3</v>
          </cell>
          <cell r="C468">
            <v>30028</v>
          </cell>
          <cell r="D468" t="str">
            <v>最悪の刺客</v>
          </cell>
          <cell r="E468" t="str">
            <v>ドロップイベント8（マルチ専用）</v>
          </cell>
          <cell r="F468">
            <v>1</v>
          </cell>
          <cell r="G468" t="str">
            <v>ja</v>
          </cell>
          <cell r="H468" t="str">
            <v>【中級】最悪の刺客</v>
          </cell>
          <cell r="I468" t="str">
            <v>中級</v>
          </cell>
          <cell r="J468">
            <v>650</v>
          </cell>
          <cell r="K468">
            <v>15</v>
          </cell>
          <cell r="L468">
            <v>1200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2601</v>
          </cell>
          <cell r="AD468">
            <v>6</v>
          </cell>
          <cell r="AE468" t="str">
            <v>everyone</v>
          </cell>
        </row>
        <row r="469">
          <cell r="A469" t="str">
            <v>30028_2</v>
          </cell>
          <cell r="B469">
            <v>3</v>
          </cell>
          <cell r="C469">
            <v>30028</v>
          </cell>
          <cell r="D469" t="str">
            <v>最悪の刺客</v>
          </cell>
          <cell r="E469" t="str">
            <v>ドロップイベント8（マルチ専用）</v>
          </cell>
          <cell r="F469">
            <v>2</v>
          </cell>
          <cell r="G469" t="str">
            <v>ja</v>
          </cell>
          <cell r="H469" t="str">
            <v>【上級】最悪の刺客</v>
          </cell>
          <cell r="I469" t="str">
            <v>上級</v>
          </cell>
          <cell r="J469">
            <v>650</v>
          </cell>
          <cell r="K469">
            <v>20</v>
          </cell>
          <cell r="L469">
            <v>2000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2601</v>
          </cell>
          <cell r="AD469">
            <v>6</v>
          </cell>
          <cell r="AE469" t="str">
            <v>everyone</v>
          </cell>
        </row>
        <row r="470">
          <cell r="A470" t="str">
            <v>30028_3</v>
          </cell>
          <cell r="B470">
            <v>3</v>
          </cell>
          <cell r="C470">
            <v>30028</v>
          </cell>
          <cell r="D470" t="str">
            <v>最悪の刺客</v>
          </cell>
          <cell r="E470" t="str">
            <v>ドロップイベント8（マルチ専用）</v>
          </cell>
          <cell r="F470">
            <v>3</v>
          </cell>
          <cell r="G470" t="str">
            <v>ja</v>
          </cell>
          <cell r="H470" t="str">
            <v>【超級】最悪の刺客</v>
          </cell>
          <cell r="I470" t="str">
            <v>超級</v>
          </cell>
          <cell r="J470">
            <v>651</v>
          </cell>
          <cell r="K470">
            <v>30</v>
          </cell>
          <cell r="L470">
            <v>3300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polygon</v>
          </cell>
          <cell r="T470">
            <v>1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2601</v>
          </cell>
          <cell r="AD470">
            <v>6</v>
          </cell>
          <cell r="AE470" t="str">
            <v>everyone</v>
          </cell>
        </row>
        <row r="471">
          <cell r="A471" t="str">
            <v>30029_1</v>
          </cell>
          <cell r="B471">
            <v>3</v>
          </cell>
          <cell r="C471">
            <v>30029</v>
          </cell>
          <cell r="D471" t="str">
            <v>全ては主のために</v>
          </cell>
          <cell r="E471" t="str">
            <v>ドロップイベント8（マルチ専用）</v>
          </cell>
          <cell r="F471">
            <v>1</v>
          </cell>
          <cell r="G471" t="str">
            <v>ja</v>
          </cell>
          <cell r="H471" t="str">
            <v>【中級】全ては主のために</v>
          </cell>
          <cell r="I471" t="str">
            <v>中級</v>
          </cell>
          <cell r="J471">
            <v>648</v>
          </cell>
          <cell r="K471">
            <v>15</v>
          </cell>
          <cell r="L471">
            <v>1200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none</v>
          </cell>
          <cell r="T471">
            <v>0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5</v>
          </cell>
          <cell r="AD471">
            <v>6</v>
          </cell>
          <cell r="AE471" t="str">
            <v>everyone</v>
          </cell>
        </row>
        <row r="472">
          <cell r="A472" t="str">
            <v>30029_2</v>
          </cell>
          <cell r="B472">
            <v>3</v>
          </cell>
          <cell r="C472">
            <v>30029</v>
          </cell>
          <cell r="D472" t="str">
            <v>全ては主のために</v>
          </cell>
          <cell r="E472" t="str">
            <v>ドロップイベント8（マルチ専用）</v>
          </cell>
          <cell r="F472">
            <v>2</v>
          </cell>
          <cell r="G472" t="str">
            <v>ja</v>
          </cell>
          <cell r="H472" t="str">
            <v>【上級】全ては主のために</v>
          </cell>
          <cell r="I472" t="str">
            <v>上級</v>
          </cell>
          <cell r="J472">
            <v>648</v>
          </cell>
          <cell r="K472">
            <v>20</v>
          </cell>
          <cell r="L472">
            <v>2000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5</v>
          </cell>
          <cell r="AD472">
            <v>6</v>
          </cell>
          <cell r="AE472" t="str">
            <v>everyone</v>
          </cell>
        </row>
        <row r="473">
          <cell r="A473" t="str">
            <v>30029_3</v>
          </cell>
          <cell r="B473">
            <v>3</v>
          </cell>
          <cell r="C473">
            <v>30029</v>
          </cell>
          <cell r="D473" t="str">
            <v>全ては主のために</v>
          </cell>
          <cell r="E473" t="str">
            <v>ドロップイベント8（マルチ専用）</v>
          </cell>
          <cell r="F473">
            <v>3</v>
          </cell>
          <cell r="G473" t="str">
            <v>ja</v>
          </cell>
          <cell r="H473" t="str">
            <v>【超級】全ては主のために</v>
          </cell>
          <cell r="I473" t="str">
            <v>超級</v>
          </cell>
          <cell r="J473">
            <v>648</v>
          </cell>
          <cell r="K473">
            <v>30</v>
          </cell>
          <cell r="L473">
            <v>3300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5</v>
          </cell>
          <cell r="AD473">
            <v>6</v>
          </cell>
          <cell r="AE473" t="str">
            <v>everyone</v>
          </cell>
        </row>
        <row r="474">
          <cell r="A474" t="str">
            <v>30030_1</v>
          </cell>
          <cell r="B474">
            <v>3</v>
          </cell>
          <cell r="C474">
            <v>30030</v>
          </cell>
          <cell r="D474" t="str">
            <v>ここは誰の箱庭じゃ？</v>
          </cell>
          <cell r="E474" t="str">
            <v>ドロップイベント9（マルチ専用）</v>
          </cell>
          <cell r="F474">
            <v>1</v>
          </cell>
          <cell r="G474" t="str">
            <v>ja</v>
          </cell>
          <cell r="H474" t="str">
            <v>【中級】ここは誰の箱庭じゃ？</v>
          </cell>
          <cell r="I474" t="str">
            <v>中級</v>
          </cell>
          <cell r="J474">
            <v>652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8</v>
          </cell>
          <cell r="AD474">
            <v>6</v>
          </cell>
          <cell r="AE474" t="str">
            <v>everyone</v>
          </cell>
        </row>
        <row r="475">
          <cell r="A475" t="str">
            <v>30030_2</v>
          </cell>
          <cell r="B475">
            <v>3</v>
          </cell>
          <cell r="C475">
            <v>30030</v>
          </cell>
          <cell r="D475" t="str">
            <v>ここは誰の箱庭じゃ？</v>
          </cell>
          <cell r="E475" t="str">
            <v>ドロップイベント9（マルチ専用）</v>
          </cell>
          <cell r="F475">
            <v>2</v>
          </cell>
          <cell r="G475" t="str">
            <v>ja</v>
          </cell>
          <cell r="H475" t="str">
            <v>【上級】ここは誰の箱庭じゃ？</v>
          </cell>
          <cell r="I475" t="str">
            <v>上級</v>
          </cell>
          <cell r="J475">
            <v>653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8</v>
          </cell>
          <cell r="AD475">
            <v>6</v>
          </cell>
          <cell r="AE475" t="str">
            <v>everyone</v>
          </cell>
        </row>
        <row r="476">
          <cell r="A476" t="str">
            <v>30030_3</v>
          </cell>
          <cell r="B476">
            <v>3</v>
          </cell>
          <cell r="C476">
            <v>30030</v>
          </cell>
          <cell r="D476" t="str">
            <v>ここは誰の箱庭じゃ？</v>
          </cell>
          <cell r="E476" t="str">
            <v>ドロップイベント9（マルチ専用）</v>
          </cell>
          <cell r="F476">
            <v>3</v>
          </cell>
          <cell r="G476" t="str">
            <v>ja</v>
          </cell>
          <cell r="H476" t="str">
            <v>【超級】ここは誰の箱庭じゃ？</v>
          </cell>
          <cell r="I476" t="str">
            <v>超級</v>
          </cell>
          <cell r="J476">
            <v>653</v>
          </cell>
          <cell r="K476">
            <v>30</v>
          </cell>
          <cell r="L476">
            <v>3300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8</v>
          </cell>
          <cell r="AD476">
            <v>6</v>
          </cell>
          <cell r="AE476" t="str">
            <v>everyone</v>
          </cell>
        </row>
        <row r="477">
          <cell r="A477" t="str">
            <v>30031_1</v>
          </cell>
          <cell r="B477">
            <v>3</v>
          </cell>
          <cell r="C477">
            <v>30031</v>
          </cell>
          <cell r="D477" t="str">
            <v>力への羨望</v>
          </cell>
          <cell r="E477" t="str">
            <v>ドロップイベント10（マルチ専用）</v>
          </cell>
          <cell r="F477">
            <v>1</v>
          </cell>
          <cell r="G477" t="str">
            <v>ja</v>
          </cell>
          <cell r="H477" t="str">
            <v>【中級】力への羨望</v>
          </cell>
          <cell r="I477" t="str">
            <v>中級</v>
          </cell>
          <cell r="J477">
            <v>764</v>
          </cell>
          <cell r="K477">
            <v>15</v>
          </cell>
          <cell r="L477">
            <v>1200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20</v>
          </cell>
          <cell r="AD477">
            <v>6</v>
          </cell>
          <cell r="AE477" t="str">
            <v>everyone</v>
          </cell>
        </row>
        <row r="478">
          <cell r="A478" t="str">
            <v>30031_2</v>
          </cell>
          <cell r="B478">
            <v>3</v>
          </cell>
          <cell r="C478">
            <v>30031</v>
          </cell>
          <cell r="D478" t="str">
            <v>力への羨望</v>
          </cell>
          <cell r="E478" t="str">
            <v>ドロップイベント10（マルチ専用）</v>
          </cell>
          <cell r="F478">
            <v>2</v>
          </cell>
          <cell r="G478" t="str">
            <v>ja</v>
          </cell>
          <cell r="H478" t="str">
            <v>【上級】力への羨望</v>
          </cell>
          <cell r="I478" t="str">
            <v>上級</v>
          </cell>
          <cell r="J478">
            <v>764</v>
          </cell>
          <cell r="K478">
            <v>20</v>
          </cell>
          <cell r="L478">
            <v>2000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20</v>
          </cell>
          <cell r="AD478">
            <v>6</v>
          </cell>
          <cell r="AE478" t="str">
            <v>everyone</v>
          </cell>
        </row>
        <row r="479">
          <cell r="A479" t="str">
            <v>30031_3</v>
          </cell>
          <cell r="B479">
            <v>3</v>
          </cell>
          <cell r="C479">
            <v>30031</v>
          </cell>
          <cell r="D479" t="str">
            <v>力への羨望</v>
          </cell>
          <cell r="E479" t="str">
            <v>ドロップイベント10（マルチ専用）</v>
          </cell>
          <cell r="F479">
            <v>3</v>
          </cell>
          <cell r="G479" t="str">
            <v>ja</v>
          </cell>
          <cell r="H479" t="str">
            <v>【超級】力への羨望</v>
          </cell>
          <cell r="I479" t="str">
            <v>超級</v>
          </cell>
          <cell r="J479">
            <v>765</v>
          </cell>
          <cell r="K479">
            <v>30</v>
          </cell>
          <cell r="L479">
            <v>3300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polygon</v>
          </cell>
          <cell r="T479">
            <v>1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20</v>
          </cell>
          <cell r="AD479">
            <v>6</v>
          </cell>
          <cell r="AE479" t="str">
            <v>everyone</v>
          </cell>
        </row>
        <row r="480">
          <cell r="A480" t="str">
            <v>30032_1</v>
          </cell>
          <cell r="B480">
            <v>3</v>
          </cell>
          <cell r="C480">
            <v>30032</v>
          </cell>
          <cell r="D480" t="str">
            <v>赤き竜の制裁</v>
          </cell>
          <cell r="E480" t="str">
            <v>円卓2（マルチ専用）</v>
          </cell>
          <cell r="F480">
            <v>1</v>
          </cell>
          <cell r="G480" t="str">
            <v>ja</v>
          </cell>
          <cell r="H480" t="str">
            <v>【中級】赤き竜の制裁</v>
          </cell>
          <cell r="I480" t="str">
            <v>中級</v>
          </cell>
          <cell r="J480">
            <v>767</v>
          </cell>
          <cell r="K480">
            <v>15</v>
          </cell>
          <cell r="L480">
            <v>1200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14</v>
          </cell>
          <cell r="AD480">
            <v>6</v>
          </cell>
          <cell r="AE480" t="str">
            <v>everyone</v>
          </cell>
        </row>
        <row r="481">
          <cell r="A481" t="str">
            <v>30032_2</v>
          </cell>
          <cell r="B481">
            <v>3</v>
          </cell>
          <cell r="C481">
            <v>30032</v>
          </cell>
          <cell r="D481" t="str">
            <v>赤き竜の制裁</v>
          </cell>
          <cell r="E481" t="str">
            <v>円卓2（マルチ専用）</v>
          </cell>
          <cell r="F481">
            <v>2</v>
          </cell>
          <cell r="G481" t="str">
            <v>ja</v>
          </cell>
          <cell r="H481" t="str">
            <v>【上級】赤き竜の制裁</v>
          </cell>
          <cell r="I481" t="str">
            <v>上級</v>
          </cell>
          <cell r="J481">
            <v>767</v>
          </cell>
          <cell r="K481">
            <v>20</v>
          </cell>
          <cell r="L481">
            <v>2000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14</v>
          </cell>
          <cell r="AD481">
            <v>6</v>
          </cell>
          <cell r="AE481" t="str">
            <v>everyone</v>
          </cell>
        </row>
        <row r="482">
          <cell r="A482" t="str">
            <v>30032_3</v>
          </cell>
          <cell r="B482">
            <v>3</v>
          </cell>
          <cell r="C482">
            <v>30032</v>
          </cell>
          <cell r="D482" t="str">
            <v>赤き竜の制裁</v>
          </cell>
          <cell r="E482" t="str">
            <v>円卓2（マルチ専用）</v>
          </cell>
          <cell r="F482">
            <v>3</v>
          </cell>
          <cell r="G482" t="str">
            <v>ja</v>
          </cell>
          <cell r="H482" t="str">
            <v>【超級】赤き竜の制裁</v>
          </cell>
          <cell r="I482" t="str">
            <v>超級</v>
          </cell>
          <cell r="J482">
            <v>767</v>
          </cell>
          <cell r="K482">
            <v>30</v>
          </cell>
          <cell r="L482">
            <v>3300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polygon</v>
          </cell>
          <cell r="T482">
            <v>1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14</v>
          </cell>
          <cell r="AD482">
            <v>6</v>
          </cell>
          <cell r="AE482" t="str">
            <v>everyone</v>
          </cell>
        </row>
        <row r="483">
          <cell r="A483" t="str">
            <v>30033_1</v>
          </cell>
          <cell r="B483">
            <v>3</v>
          </cell>
          <cell r="C483">
            <v>30033</v>
          </cell>
          <cell r="D483" t="str">
            <v>御館様の懐刀</v>
          </cell>
          <cell r="E483" t="str">
            <v>戦国１</v>
          </cell>
          <cell r="F483">
            <v>1</v>
          </cell>
          <cell r="G483" t="str">
            <v>ja</v>
          </cell>
          <cell r="H483" t="str">
            <v>【中級】御館様の懐刀</v>
          </cell>
          <cell r="I483" t="str">
            <v>中級</v>
          </cell>
          <cell r="J483">
            <v>722</v>
          </cell>
          <cell r="K483">
            <v>15</v>
          </cell>
          <cell r="L483">
            <v>1200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</v>
          </cell>
          <cell r="AD483">
            <v>6</v>
          </cell>
          <cell r="AE483" t="str">
            <v>everyone</v>
          </cell>
        </row>
        <row r="484">
          <cell r="A484" t="str">
            <v>30033_2</v>
          </cell>
          <cell r="B484">
            <v>3</v>
          </cell>
          <cell r="C484">
            <v>30033</v>
          </cell>
          <cell r="D484" t="str">
            <v>御館様の懐刀</v>
          </cell>
          <cell r="E484" t="str">
            <v>戦国１</v>
          </cell>
          <cell r="F484">
            <v>2</v>
          </cell>
          <cell r="G484" t="str">
            <v>ja</v>
          </cell>
          <cell r="H484" t="str">
            <v>【上級】御館様の懐刀</v>
          </cell>
          <cell r="I484" t="str">
            <v>上級</v>
          </cell>
          <cell r="J484">
            <v>722</v>
          </cell>
          <cell r="K484">
            <v>20</v>
          </cell>
          <cell r="L484">
            <v>2000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</v>
          </cell>
          <cell r="AD484">
            <v>6</v>
          </cell>
          <cell r="AE484" t="str">
            <v>everyone</v>
          </cell>
        </row>
        <row r="485">
          <cell r="A485" t="str">
            <v>30033_3</v>
          </cell>
          <cell r="B485">
            <v>3</v>
          </cell>
          <cell r="C485">
            <v>30033</v>
          </cell>
          <cell r="D485" t="str">
            <v>御館様の懐刀</v>
          </cell>
          <cell r="E485" t="str">
            <v>戦国１</v>
          </cell>
          <cell r="F485">
            <v>3</v>
          </cell>
          <cell r="G485" t="str">
            <v>ja</v>
          </cell>
          <cell r="H485" t="str">
            <v>【超級】御館様の懐刀</v>
          </cell>
          <cell r="I485" t="str">
            <v>超級</v>
          </cell>
          <cell r="J485">
            <v>723</v>
          </cell>
          <cell r="K485">
            <v>30</v>
          </cell>
          <cell r="L485">
            <v>3300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polygon</v>
          </cell>
          <cell r="T485">
            <v>1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</v>
          </cell>
          <cell r="AD485">
            <v>6</v>
          </cell>
          <cell r="AE485" t="str">
            <v>everyone</v>
          </cell>
        </row>
        <row r="486">
          <cell r="A486" t="str">
            <v>30034_1</v>
          </cell>
          <cell r="B486">
            <v>3</v>
          </cell>
          <cell r="C486">
            <v>30034</v>
          </cell>
          <cell r="D486" t="str">
            <v>誇高の焔翼</v>
          </cell>
          <cell r="E486" t="str">
            <v>天使と悪魔</v>
          </cell>
          <cell r="F486">
            <v>1</v>
          </cell>
          <cell r="G486" t="str">
            <v>ja</v>
          </cell>
          <cell r="H486" t="str">
            <v>【中級】誇高の焔翼</v>
          </cell>
          <cell r="I486" t="str">
            <v>中級</v>
          </cell>
          <cell r="J486">
            <v>840</v>
          </cell>
          <cell r="K486">
            <v>15</v>
          </cell>
          <cell r="L486">
            <v>1200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10</v>
          </cell>
          <cell r="AD486">
            <v>6</v>
          </cell>
          <cell r="AE486" t="str">
            <v>everyone</v>
          </cell>
        </row>
        <row r="487">
          <cell r="A487" t="str">
            <v>30034_2</v>
          </cell>
          <cell r="B487">
            <v>3</v>
          </cell>
          <cell r="C487">
            <v>30034</v>
          </cell>
          <cell r="D487" t="str">
            <v>誇高の焔翼</v>
          </cell>
          <cell r="E487" t="str">
            <v>天使と悪魔</v>
          </cell>
          <cell r="F487">
            <v>2</v>
          </cell>
          <cell r="G487" t="str">
            <v>ja</v>
          </cell>
          <cell r="H487" t="str">
            <v>【上級】誇高の焔翼</v>
          </cell>
          <cell r="I487" t="str">
            <v>上級</v>
          </cell>
          <cell r="J487">
            <v>840</v>
          </cell>
          <cell r="K487">
            <v>20</v>
          </cell>
          <cell r="L487">
            <v>2000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10</v>
          </cell>
          <cell r="AD487">
            <v>6</v>
          </cell>
          <cell r="AE487" t="str">
            <v>everyone</v>
          </cell>
        </row>
        <row r="488">
          <cell r="A488" t="str">
            <v>30034_3</v>
          </cell>
          <cell r="B488">
            <v>3</v>
          </cell>
          <cell r="C488">
            <v>30034</v>
          </cell>
          <cell r="D488" t="str">
            <v>誇高の焔翼</v>
          </cell>
          <cell r="E488" t="str">
            <v>天使と悪魔</v>
          </cell>
          <cell r="F488">
            <v>3</v>
          </cell>
          <cell r="G488" t="str">
            <v>ja</v>
          </cell>
          <cell r="H488" t="str">
            <v>【超級】誇高の焔翼</v>
          </cell>
          <cell r="I488" t="str">
            <v>超級</v>
          </cell>
          <cell r="J488">
            <v>841</v>
          </cell>
          <cell r="K488">
            <v>30</v>
          </cell>
          <cell r="L488">
            <v>3300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polygon</v>
          </cell>
          <cell r="T488">
            <v>1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10</v>
          </cell>
          <cell r="AD488">
            <v>6</v>
          </cell>
          <cell r="AE488" t="str">
            <v>everyone</v>
          </cell>
        </row>
        <row r="489">
          <cell r="A489" t="str">
            <v>39001_1</v>
          </cell>
          <cell r="B489">
            <v>3</v>
          </cell>
          <cell r="C489">
            <v>39001</v>
          </cell>
          <cell r="D489" t="str">
            <v>雪の歌姫</v>
          </cell>
          <cell r="E489" t="str">
            <v>コラボクエスト</v>
          </cell>
          <cell r="F489">
            <v>1</v>
          </cell>
          <cell r="G489" t="str">
            <v>ja</v>
          </cell>
          <cell r="H489" t="str">
            <v>【初級】雪の歌姫</v>
          </cell>
          <cell r="I489" t="str">
            <v>初級</v>
          </cell>
          <cell r="J489">
            <v>525</v>
          </cell>
          <cell r="K489">
            <v>8</v>
          </cell>
          <cell r="L489">
            <v>384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909</v>
          </cell>
          <cell r="AD489">
            <v>6</v>
          </cell>
          <cell r="AE489" t="str">
            <v>everyone</v>
          </cell>
        </row>
        <row r="490">
          <cell r="A490" t="str">
            <v>39001_2</v>
          </cell>
          <cell r="B490">
            <v>3</v>
          </cell>
          <cell r="C490">
            <v>39001</v>
          </cell>
          <cell r="D490" t="str">
            <v>雪の歌姫</v>
          </cell>
          <cell r="E490" t="str">
            <v>コラボクエスト</v>
          </cell>
          <cell r="F490">
            <v>2</v>
          </cell>
          <cell r="G490" t="str">
            <v>ja</v>
          </cell>
          <cell r="H490" t="str">
            <v>【中級】雪の歌姫</v>
          </cell>
          <cell r="I490" t="str">
            <v>中級</v>
          </cell>
          <cell r="J490">
            <v>525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909</v>
          </cell>
          <cell r="AD490">
            <v>6</v>
          </cell>
          <cell r="AE490" t="str">
            <v>everyone</v>
          </cell>
        </row>
        <row r="491">
          <cell r="A491" t="str">
            <v>39001_3</v>
          </cell>
          <cell r="B491">
            <v>3</v>
          </cell>
          <cell r="C491">
            <v>39001</v>
          </cell>
          <cell r="D491" t="str">
            <v>雪の歌姫</v>
          </cell>
          <cell r="E491" t="str">
            <v>コラボクエスト</v>
          </cell>
          <cell r="F491">
            <v>3</v>
          </cell>
          <cell r="G491" t="str">
            <v>ja</v>
          </cell>
          <cell r="H491" t="str">
            <v>【上級】雪の歌姫</v>
          </cell>
          <cell r="I491" t="str">
            <v>上級</v>
          </cell>
          <cell r="J491">
            <v>525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909</v>
          </cell>
          <cell r="AD491">
            <v>6</v>
          </cell>
          <cell r="AE491" t="str">
            <v>everyone</v>
          </cell>
        </row>
        <row r="492">
          <cell r="A492" t="str">
            <v>39001_4</v>
          </cell>
          <cell r="B492">
            <v>3</v>
          </cell>
          <cell r="C492">
            <v>39001</v>
          </cell>
          <cell r="D492" t="str">
            <v>雪の歌姫</v>
          </cell>
          <cell r="E492" t="str">
            <v>コラボクエスト</v>
          </cell>
          <cell r="F492">
            <v>4</v>
          </cell>
          <cell r="G492" t="str">
            <v>ja</v>
          </cell>
          <cell r="H492" t="str">
            <v>【超級】雪の歌姫</v>
          </cell>
          <cell r="I492" t="str">
            <v>超級</v>
          </cell>
          <cell r="J492">
            <v>526</v>
          </cell>
          <cell r="K492">
            <v>30</v>
          </cell>
          <cell r="L492">
            <v>3300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909</v>
          </cell>
          <cell r="AD492">
            <v>6</v>
          </cell>
          <cell r="AE492" t="str">
            <v>everyone</v>
          </cell>
        </row>
        <row r="493">
          <cell r="A493" t="str">
            <v>39001_5</v>
          </cell>
          <cell r="B493">
            <v>3</v>
          </cell>
          <cell r="C493">
            <v>39001</v>
          </cell>
          <cell r="D493" t="str">
            <v>雪の歌姫</v>
          </cell>
          <cell r="E493" t="str">
            <v>コラボクエスト</v>
          </cell>
          <cell r="F493">
            <v>5</v>
          </cell>
          <cell r="G493" t="str">
            <v>ja</v>
          </cell>
          <cell r="H493" t="str">
            <v>【超絶級】雪の歌姫</v>
          </cell>
          <cell r="I493" t="str">
            <v>超絶級</v>
          </cell>
          <cell r="J493">
            <v>526</v>
          </cell>
          <cell r="K493">
            <v>35</v>
          </cell>
          <cell r="L493">
            <v>4200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polygon</v>
          </cell>
          <cell r="T493">
            <v>1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909</v>
          </cell>
          <cell r="AD493">
            <v>6</v>
          </cell>
          <cell r="AE493" t="str">
            <v>everyone</v>
          </cell>
        </row>
        <row r="494">
          <cell r="A494" t="str">
            <v>39002_1</v>
          </cell>
          <cell r="B494">
            <v>3</v>
          </cell>
          <cell r="C494">
            <v>39002</v>
          </cell>
          <cell r="D494" t="str">
            <v>黄巾賊の暴走を止めろ！</v>
          </cell>
          <cell r="E494" t="str">
            <v>コラボクエスト</v>
          </cell>
          <cell r="F494">
            <v>1</v>
          </cell>
          <cell r="G494" t="str">
            <v>ja</v>
          </cell>
          <cell r="H494" t="str">
            <v>【初級】黄巾賊の暴走を止めろ</v>
          </cell>
          <cell r="I494" t="str">
            <v>初級</v>
          </cell>
          <cell r="J494">
            <v>694</v>
          </cell>
          <cell r="K494">
            <v>8</v>
          </cell>
          <cell r="L494">
            <v>384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12</v>
          </cell>
          <cell r="AD494">
            <v>6</v>
          </cell>
          <cell r="AE494" t="str">
            <v>everyone</v>
          </cell>
        </row>
        <row r="495">
          <cell r="A495" t="str">
            <v>39002_2</v>
          </cell>
          <cell r="B495">
            <v>3</v>
          </cell>
          <cell r="C495">
            <v>39002</v>
          </cell>
          <cell r="D495" t="str">
            <v>黄巾賊の暴走を止めろ！</v>
          </cell>
          <cell r="E495" t="str">
            <v>コラボクエスト</v>
          </cell>
          <cell r="F495">
            <v>2</v>
          </cell>
          <cell r="G495" t="str">
            <v>ja</v>
          </cell>
          <cell r="H495" t="str">
            <v>【中級】黄巾賊の暴走を止めろ</v>
          </cell>
          <cell r="I495" t="str">
            <v>中級</v>
          </cell>
          <cell r="J495">
            <v>694</v>
          </cell>
          <cell r="K495">
            <v>15</v>
          </cell>
          <cell r="L495">
            <v>1200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12</v>
          </cell>
          <cell r="AD495">
            <v>6</v>
          </cell>
          <cell r="AE495" t="str">
            <v>everyone</v>
          </cell>
        </row>
        <row r="496">
          <cell r="A496" t="str">
            <v>39002_3</v>
          </cell>
          <cell r="B496">
            <v>3</v>
          </cell>
          <cell r="C496">
            <v>39002</v>
          </cell>
          <cell r="D496" t="str">
            <v>黄巾賊の暴走を止めろ！</v>
          </cell>
          <cell r="E496" t="str">
            <v>コラボクエスト</v>
          </cell>
          <cell r="F496">
            <v>3</v>
          </cell>
          <cell r="G496" t="str">
            <v>ja</v>
          </cell>
          <cell r="H496" t="str">
            <v>【上級】黄巾賊の暴走を止めろ</v>
          </cell>
          <cell r="I496" t="str">
            <v>上級</v>
          </cell>
          <cell r="J496">
            <v>694</v>
          </cell>
          <cell r="K496">
            <v>20</v>
          </cell>
          <cell r="L496">
            <v>2000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12</v>
          </cell>
          <cell r="AD496">
            <v>6</v>
          </cell>
          <cell r="AE496" t="str">
            <v>everyone</v>
          </cell>
        </row>
        <row r="497">
          <cell r="A497" t="str">
            <v>39002_4</v>
          </cell>
          <cell r="B497">
            <v>3</v>
          </cell>
          <cell r="C497">
            <v>39002</v>
          </cell>
          <cell r="D497" t="str">
            <v>黄巾賊の暴走を止めろ！</v>
          </cell>
          <cell r="E497" t="str">
            <v>コラボクエスト</v>
          </cell>
          <cell r="F497">
            <v>4</v>
          </cell>
          <cell r="G497" t="str">
            <v>ja</v>
          </cell>
          <cell r="H497" t="str">
            <v>【超級】黄巾賊の暴走を止めろ</v>
          </cell>
          <cell r="I497" t="str">
            <v>超級</v>
          </cell>
          <cell r="J497">
            <v>694</v>
          </cell>
          <cell r="K497">
            <v>30</v>
          </cell>
          <cell r="L497">
            <v>3300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polygon</v>
          </cell>
          <cell r="T497">
            <v>1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12</v>
          </cell>
          <cell r="AD497">
            <v>6</v>
          </cell>
          <cell r="AE497" t="str">
            <v>everyone</v>
          </cell>
        </row>
        <row r="498">
          <cell r="A498" t="str">
            <v>39003_1</v>
          </cell>
          <cell r="B498">
            <v>3</v>
          </cell>
          <cell r="C498">
            <v>39003</v>
          </cell>
          <cell r="D498" t="str">
            <v>ブルースクウェアを追え！</v>
          </cell>
          <cell r="E498" t="str">
            <v>コラボクエスト</v>
          </cell>
          <cell r="F498">
            <v>1</v>
          </cell>
          <cell r="G498" t="str">
            <v>ja</v>
          </cell>
          <cell r="H498" t="str">
            <v>【初級】ブルースクウェアを追え！</v>
          </cell>
          <cell r="I498" t="str">
            <v>初級</v>
          </cell>
          <cell r="J498">
            <v>691</v>
          </cell>
          <cell r="K498">
            <v>8</v>
          </cell>
          <cell r="L498">
            <v>384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14</v>
          </cell>
          <cell r="AD498">
            <v>6</v>
          </cell>
          <cell r="AE498" t="str">
            <v>everyone</v>
          </cell>
        </row>
        <row r="499">
          <cell r="A499" t="str">
            <v>39003_2</v>
          </cell>
          <cell r="B499">
            <v>3</v>
          </cell>
          <cell r="C499">
            <v>39003</v>
          </cell>
          <cell r="D499" t="str">
            <v>ブルースクウェアを追え！</v>
          </cell>
          <cell r="E499" t="str">
            <v>コラボクエスト</v>
          </cell>
          <cell r="F499">
            <v>2</v>
          </cell>
          <cell r="G499" t="str">
            <v>ja</v>
          </cell>
          <cell r="H499" t="str">
            <v>【中級】ブルースクウェアを追え！</v>
          </cell>
          <cell r="I499" t="str">
            <v>中級</v>
          </cell>
          <cell r="J499">
            <v>691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14</v>
          </cell>
          <cell r="AD499">
            <v>6</v>
          </cell>
          <cell r="AE499" t="str">
            <v>everyone</v>
          </cell>
        </row>
        <row r="500">
          <cell r="A500" t="str">
            <v>39003_3</v>
          </cell>
          <cell r="B500">
            <v>3</v>
          </cell>
          <cell r="C500">
            <v>39003</v>
          </cell>
          <cell r="D500" t="str">
            <v>ブルースクウェアを追え！</v>
          </cell>
          <cell r="E500" t="str">
            <v>コラボクエスト</v>
          </cell>
          <cell r="F500">
            <v>3</v>
          </cell>
          <cell r="G500" t="str">
            <v>ja</v>
          </cell>
          <cell r="H500" t="str">
            <v>【上級】ブルースクウェアを追え！</v>
          </cell>
          <cell r="I500" t="str">
            <v>上級</v>
          </cell>
          <cell r="J500">
            <v>691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14</v>
          </cell>
          <cell r="AD500">
            <v>6</v>
          </cell>
          <cell r="AE500" t="str">
            <v>everyone</v>
          </cell>
        </row>
        <row r="501">
          <cell r="A501" t="str">
            <v>39003_4</v>
          </cell>
          <cell r="B501">
            <v>3</v>
          </cell>
          <cell r="C501">
            <v>39003</v>
          </cell>
          <cell r="D501" t="str">
            <v>ブルースクウェアを追え！</v>
          </cell>
          <cell r="E501" t="str">
            <v>コラボクエスト</v>
          </cell>
          <cell r="F501">
            <v>4</v>
          </cell>
          <cell r="G501" t="str">
            <v>ja</v>
          </cell>
          <cell r="H501" t="str">
            <v>【超級】ブルースクウェアを追え！</v>
          </cell>
          <cell r="I501" t="str">
            <v>超級</v>
          </cell>
          <cell r="J501">
            <v>691</v>
          </cell>
          <cell r="K501">
            <v>30</v>
          </cell>
          <cell r="L501">
            <v>3300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polygon</v>
          </cell>
          <cell r="T501">
            <v>1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14</v>
          </cell>
          <cell r="AD501">
            <v>6</v>
          </cell>
          <cell r="AE501" t="str">
            <v>everyone</v>
          </cell>
        </row>
        <row r="502">
          <cell r="A502" t="str">
            <v>40001_1</v>
          </cell>
          <cell r="B502">
            <v>0</v>
          </cell>
          <cell r="C502">
            <v>40001</v>
          </cell>
          <cell r="D502" t="str">
            <v>アマテラス襲来！</v>
          </cell>
          <cell r="E502" t="str">
            <v>降臨1</v>
          </cell>
          <cell r="F502">
            <v>1</v>
          </cell>
          <cell r="G502" t="str">
            <v>ja</v>
          </cell>
          <cell r="H502" t="str">
            <v xml:space="preserve">【ウィザード級】アマテラス襲来 </v>
          </cell>
          <cell r="I502" t="str">
            <v>地獄級</v>
          </cell>
          <cell r="J502">
            <v>278</v>
          </cell>
          <cell r="K502">
            <v>35</v>
          </cell>
          <cell r="L502">
            <v>4200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901</v>
          </cell>
          <cell r="AD502">
            <v>6</v>
          </cell>
          <cell r="AE502" t="str">
            <v>everyone</v>
          </cell>
        </row>
        <row r="503">
          <cell r="A503" t="str">
            <v>40002_1</v>
          </cell>
          <cell r="B503">
            <v>0</v>
          </cell>
          <cell r="C503">
            <v>40002</v>
          </cell>
          <cell r="D503" t="str">
            <v>アザゼル襲来！</v>
          </cell>
          <cell r="E503" t="str">
            <v>降臨2</v>
          </cell>
          <cell r="F503">
            <v>1</v>
          </cell>
          <cell r="G503" t="str">
            <v>ja</v>
          </cell>
          <cell r="H503" t="str">
            <v xml:space="preserve">【超級】アザゼル襲来 </v>
          </cell>
          <cell r="I503" t="str">
            <v>超級</v>
          </cell>
          <cell r="J503">
            <v>296</v>
          </cell>
          <cell r="K503">
            <v>25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902</v>
          </cell>
          <cell r="AD503">
            <v>6</v>
          </cell>
          <cell r="AE503" t="str">
            <v>everyone</v>
          </cell>
        </row>
        <row r="504">
          <cell r="A504" t="str">
            <v>40002_2</v>
          </cell>
          <cell r="B504">
            <v>0</v>
          </cell>
          <cell r="C504">
            <v>40002</v>
          </cell>
          <cell r="D504" t="str">
            <v>アザゼル襲来！</v>
          </cell>
          <cell r="E504" t="str">
            <v>降臨2</v>
          </cell>
          <cell r="F504">
            <v>2</v>
          </cell>
          <cell r="G504" t="str">
            <v>ja</v>
          </cell>
          <cell r="H504" t="str">
            <v>【超絶級】アザゼル襲来</v>
          </cell>
          <cell r="I504" t="str">
            <v>超絶級</v>
          </cell>
          <cell r="J504">
            <v>297</v>
          </cell>
          <cell r="K504">
            <v>30</v>
          </cell>
          <cell r="L504">
            <v>3300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902</v>
          </cell>
          <cell r="AD504">
            <v>6</v>
          </cell>
          <cell r="AE504" t="str">
            <v>everyone</v>
          </cell>
        </row>
        <row r="505">
          <cell r="A505" t="str">
            <v>40002_3</v>
          </cell>
          <cell r="B505">
            <v>0</v>
          </cell>
          <cell r="C505">
            <v>40002</v>
          </cell>
          <cell r="D505" t="str">
            <v>アザゼル襲来！</v>
          </cell>
          <cell r="E505" t="str">
            <v>降臨2</v>
          </cell>
          <cell r="F505">
            <v>3</v>
          </cell>
          <cell r="G505" t="str">
            <v>ja</v>
          </cell>
          <cell r="H505" t="str">
            <v xml:space="preserve">【ウィザード級】アザゼル襲来 </v>
          </cell>
          <cell r="I505" t="str">
            <v>地獄級</v>
          </cell>
          <cell r="J505">
            <v>297</v>
          </cell>
          <cell r="K505">
            <v>35</v>
          </cell>
          <cell r="L505">
            <v>4200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character</v>
          </cell>
          <cell r="T505">
            <v>296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902</v>
          </cell>
          <cell r="AD505">
            <v>6</v>
          </cell>
          <cell r="AE505" t="str">
            <v>everyone</v>
          </cell>
        </row>
        <row r="506">
          <cell r="A506" t="str">
            <v>40003_1</v>
          </cell>
          <cell r="B506">
            <v>3</v>
          </cell>
          <cell r="C506">
            <v>40003</v>
          </cell>
          <cell r="D506" t="str">
            <v>ジャンヌ襲来！</v>
          </cell>
          <cell r="E506" t="str">
            <v>降臨3</v>
          </cell>
          <cell r="F506">
            <v>1</v>
          </cell>
          <cell r="G506" t="str">
            <v>ja</v>
          </cell>
          <cell r="H506" t="str">
            <v xml:space="preserve">【ウィザード級】ジャンヌ襲来 </v>
          </cell>
          <cell r="I506" t="str">
            <v>地獄級</v>
          </cell>
          <cell r="J506">
            <v>315</v>
          </cell>
          <cell r="K506">
            <v>35</v>
          </cell>
          <cell r="L506">
            <v>4200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character</v>
          </cell>
          <cell r="T506">
            <v>314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903</v>
          </cell>
          <cell r="AD506">
            <v>6</v>
          </cell>
          <cell r="AE506" t="str">
            <v>everyone</v>
          </cell>
        </row>
        <row r="507">
          <cell r="A507" t="str">
            <v>40004_1</v>
          </cell>
          <cell r="B507">
            <v>3</v>
          </cell>
          <cell r="C507">
            <v>40004</v>
          </cell>
          <cell r="D507" t="str">
            <v>宮本武蔵襲来！</v>
          </cell>
          <cell r="E507" t="str">
            <v>降臨4</v>
          </cell>
          <cell r="F507">
            <v>1</v>
          </cell>
          <cell r="G507" t="str">
            <v>ja</v>
          </cell>
          <cell r="H507" t="str">
            <v xml:space="preserve">【ウィザード級】宮本武蔵襲来 </v>
          </cell>
          <cell r="I507" t="str">
            <v>地獄級</v>
          </cell>
          <cell r="J507">
            <v>427</v>
          </cell>
          <cell r="K507">
            <v>35</v>
          </cell>
          <cell r="L507">
            <v>4200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character</v>
          </cell>
          <cell r="T507">
            <v>426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904</v>
          </cell>
          <cell r="AD507">
            <v>6</v>
          </cell>
          <cell r="AE507" t="str">
            <v>everyone</v>
          </cell>
        </row>
        <row r="508">
          <cell r="A508" t="str">
            <v>40005_1</v>
          </cell>
          <cell r="B508">
            <v>3</v>
          </cell>
          <cell r="C508">
            <v>40005</v>
          </cell>
          <cell r="D508" t="str">
            <v>オズ襲来！</v>
          </cell>
          <cell r="E508" t="str">
            <v>降臨5</v>
          </cell>
          <cell r="F508">
            <v>1</v>
          </cell>
          <cell r="G508" t="str">
            <v>ja</v>
          </cell>
          <cell r="H508" t="str">
            <v xml:space="preserve">【ウィザード級】オズ襲来 </v>
          </cell>
          <cell r="I508" t="str">
            <v>地獄級</v>
          </cell>
          <cell r="J508">
            <v>461</v>
          </cell>
          <cell r="K508">
            <v>35</v>
          </cell>
          <cell r="L508">
            <v>4200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character</v>
          </cell>
          <cell r="T508">
            <v>460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906</v>
          </cell>
          <cell r="AD508">
            <v>6</v>
          </cell>
          <cell r="AE508" t="str">
            <v>everyone</v>
          </cell>
        </row>
        <row r="509">
          <cell r="A509" t="str">
            <v>40006_1</v>
          </cell>
          <cell r="B509">
            <v>3</v>
          </cell>
          <cell r="C509">
            <v>40006</v>
          </cell>
          <cell r="D509" t="str">
            <v>アーサー襲来！</v>
          </cell>
          <cell r="E509" t="str">
            <v>降臨6</v>
          </cell>
          <cell r="F509">
            <v>1</v>
          </cell>
          <cell r="G509" t="str">
            <v>ja</v>
          </cell>
          <cell r="H509" t="str">
            <v xml:space="preserve">【ウィザード級】アーサー襲来 </v>
          </cell>
          <cell r="I509" t="str">
            <v>地獄級</v>
          </cell>
          <cell r="J509">
            <v>473</v>
          </cell>
          <cell r="K509">
            <v>35</v>
          </cell>
          <cell r="L509">
            <v>4200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character</v>
          </cell>
          <cell r="T509">
            <v>472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907</v>
          </cell>
          <cell r="AD509">
            <v>6</v>
          </cell>
          <cell r="AE509" t="str">
            <v>everyone</v>
          </cell>
        </row>
        <row r="510">
          <cell r="A510" t="str">
            <v>40007_1</v>
          </cell>
          <cell r="B510">
            <v>3</v>
          </cell>
          <cell r="C510">
            <v>40007</v>
          </cell>
          <cell r="D510" t="str">
            <v>グリム襲来！</v>
          </cell>
          <cell r="E510" t="str">
            <v>降臨7</v>
          </cell>
          <cell r="F510">
            <v>1</v>
          </cell>
          <cell r="G510" t="str">
            <v>ja</v>
          </cell>
          <cell r="H510" t="str">
            <v xml:space="preserve">【ウィザード級】グリム襲来 </v>
          </cell>
          <cell r="I510" t="str">
            <v>地獄級</v>
          </cell>
          <cell r="J510">
            <v>491</v>
          </cell>
          <cell r="K510">
            <v>35</v>
          </cell>
          <cell r="L510">
            <v>4200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character</v>
          </cell>
          <cell r="T510">
            <v>490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908</v>
          </cell>
          <cell r="AD510">
            <v>6</v>
          </cell>
          <cell r="AE510" t="str">
            <v>everyone</v>
          </cell>
        </row>
        <row r="511">
          <cell r="A511" t="str">
            <v>40008_1</v>
          </cell>
          <cell r="B511">
            <v>3</v>
          </cell>
          <cell r="C511">
            <v>40008</v>
          </cell>
          <cell r="D511" t="str">
            <v>Gスター襲来！</v>
          </cell>
          <cell r="E511" t="str">
            <v>降臨8</v>
          </cell>
          <cell r="F511">
            <v>1</v>
          </cell>
          <cell r="G511" t="str">
            <v>ja</v>
          </cell>
          <cell r="H511" t="str">
            <v xml:space="preserve">【ウィザード級】Gスター襲来 </v>
          </cell>
          <cell r="I511" t="str">
            <v>地獄級</v>
          </cell>
          <cell r="J511">
            <v>509</v>
          </cell>
          <cell r="K511">
            <v>35</v>
          </cell>
          <cell r="L511">
            <v>4200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character</v>
          </cell>
          <cell r="T511">
            <v>508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2601</v>
          </cell>
          <cell r="AD511">
            <v>6</v>
          </cell>
          <cell r="AE511" t="str">
            <v>everyone</v>
          </cell>
        </row>
        <row r="512">
          <cell r="A512" t="str">
            <v>40009_1</v>
          </cell>
          <cell r="B512">
            <v>3</v>
          </cell>
          <cell r="C512">
            <v>40009</v>
          </cell>
          <cell r="D512" t="str">
            <v>フギンとムニン襲来！</v>
          </cell>
          <cell r="E512" t="str">
            <v>降臨9</v>
          </cell>
          <cell r="F512">
            <v>1</v>
          </cell>
          <cell r="G512" t="str">
            <v>ja</v>
          </cell>
          <cell r="H512" t="str">
            <v xml:space="preserve">【ウィザード級】フギンとムニン襲来 </v>
          </cell>
          <cell r="I512" t="str">
            <v>地獄級</v>
          </cell>
          <cell r="J512">
            <v>582</v>
          </cell>
          <cell r="K512">
            <v>35</v>
          </cell>
          <cell r="L512">
            <v>4200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character</v>
          </cell>
          <cell r="T512">
            <v>581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25</v>
          </cell>
          <cell r="AD512">
            <v>6</v>
          </cell>
          <cell r="AE512" t="str">
            <v>everyone</v>
          </cell>
        </row>
        <row r="513">
          <cell r="A513" t="str">
            <v>40010_1</v>
          </cell>
          <cell r="B513">
            <v>3</v>
          </cell>
          <cell r="C513">
            <v>40010</v>
          </cell>
          <cell r="D513" t="str">
            <v>フレイ襲来！</v>
          </cell>
          <cell r="E513" t="str">
            <v>降臨10</v>
          </cell>
          <cell r="F513">
            <v>1</v>
          </cell>
          <cell r="G513" t="str">
            <v>ja</v>
          </cell>
          <cell r="H513" t="str">
            <v xml:space="preserve">【ウィザード級】フレイ襲来 </v>
          </cell>
          <cell r="I513" t="str">
            <v>地獄級</v>
          </cell>
          <cell r="J513">
            <v>575</v>
          </cell>
          <cell r="K513">
            <v>35</v>
          </cell>
          <cell r="L513">
            <v>4200</v>
          </cell>
          <cell r="M513">
            <v>1</v>
          </cell>
          <cell r="N513">
            <v>1</v>
          </cell>
          <cell r="O513">
            <v>1</v>
          </cell>
          <cell r="P513">
            <v>0</v>
          </cell>
          <cell r="Q513">
            <v>1</v>
          </cell>
          <cell r="R513">
            <v>3</v>
          </cell>
          <cell r="S513" t="str">
            <v>character</v>
          </cell>
          <cell r="T513">
            <v>575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912</v>
          </cell>
          <cell r="AD513">
            <v>6</v>
          </cell>
          <cell r="AE513" t="str">
            <v>everyone</v>
          </cell>
        </row>
        <row r="514">
          <cell r="A514" t="str">
            <v>40011_1</v>
          </cell>
          <cell r="B514">
            <v>3</v>
          </cell>
          <cell r="C514">
            <v>40011</v>
          </cell>
          <cell r="D514" t="str">
            <v>ヨミ襲来！</v>
          </cell>
          <cell r="E514" t="str">
            <v>降臨11</v>
          </cell>
          <cell r="F514">
            <v>1</v>
          </cell>
          <cell r="G514" t="str">
            <v>ja</v>
          </cell>
          <cell r="H514" t="str">
            <v xml:space="preserve">【ウィザード級】ヨミ襲来 </v>
          </cell>
          <cell r="I514" t="str">
            <v>地獄級</v>
          </cell>
          <cell r="J514">
            <v>655</v>
          </cell>
          <cell r="K514">
            <v>35</v>
          </cell>
          <cell r="L514">
            <v>4200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character</v>
          </cell>
          <cell r="T514">
            <v>654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913</v>
          </cell>
          <cell r="AD514">
            <v>6</v>
          </cell>
          <cell r="AE514" t="str">
            <v>everyone</v>
          </cell>
        </row>
        <row r="515">
          <cell r="A515" t="str">
            <v>40012_1</v>
          </cell>
          <cell r="B515">
            <v>3</v>
          </cell>
          <cell r="C515">
            <v>40012</v>
          </cell>
          <cell r="D515" t="str">
            <v>ショウキ襲来！</v>
          </cell>
          <cell r="E515" t="str">
            <v>降臨12</v>
          </cell>
          <cell r="F515">
            <v>1</v>
          </cell>
          <cell r="G515" t="str">
            <v>ja</v>
          </cell>
          <cell r="H515" t="str">
            <v xml:space="preserve">【ウィザード級】ショウキ襲来 </v>
          </cell>
          <cell r="I515" t="str">
            <v>地獄級</v>
          </cell>
          <cell r="J515">
            <v>645</v>
          </cell>
          <cell r="K515">
            <v>35</v>
          </cell>
          <cell r="L515">
            <v>4200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character</v>
          </cell>
          <cell r="T515">
            <v>644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915</v>
          </cell>
          <cell r="AD515">
            <v>6</v>
          </cell>
          <cell r="AE515" t="str">
            <v>everyone</v>
          </cell>
        </row>
        <row r="516">
          <cell r="A516" t="str">
            <v>40013_1</v>
          </cell>
          <cell r="B516">
            <v>3</v>
          </cell>
          <cell r="C516">
            <v>40013</v>
          </cell>
          <cell r="D516" t="str">
            <v>カーマ襲来！</v>
          </cell>
          <cell r="E516" t="str">
            <v>降臨13</v>
          </cell>
          <cell r="F516">
            <v>1</v>
          </cell>
          <cell r="G516" t="str">
            <v>ja</v>
          </cell>
          <cell r="H516" t="str">
            <v xml:space="preserve">【ウィザード級】カーマ襲来 </v>
          </cell>
          <cell r="I516" t="str">
            <v>地獄級</v>
          </cell>
          <cell r="J516">
            <v>643</v>
          </cell>
          <cell r="K516">
            <v>35</v>
          </cell>
          <cell r="L516">
            <v>4200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0</v>
          </cell>
          <cell r="R516">
            <v>3</v>
          </cell>
          <cell r="S516" t="str">
            <v>character</v>
          </cell>
          <cell r="T516">
            <v>642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916</v>
          </cell>
          <cell r="AD516">
            <v>6</v>
          </cell>
          <cell r="AE516" t="str">
            <v>everyone</v>
          </cell>
        </row>
        <row r="517">
          <cell r="A517" t="str">
            <v>40014_1</v>
          </cell>
          <cell r="B517">
            <v>3</v>
          </cell>
          <cell r="C517">
            <v>40014</v>
          </cell>
          <cell r="D517" t="str">
            <v>シヴァ襲来！</v>
          </cell>
          <cell r="E517" t="str">
            <v>降臨14</v>
          </cell>
          <cell r="F517">
            <v>1</v>
          </cell>
          <cell r="G517" t="str">
            <v>ja</v>
          </cell>
          <cell r="H517" t="str">
            <v xml:space="preserve">【ウィザード級】シヴァ襲来 </v>
          </cell>
          <cell r="I517" t="str">
            <v>地獄級</v>
          </cell>
          <cell r="J517">
            <v>657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character</v>
          </cell>
          <cell r="T517">
            <v>656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916</v>
          </cell>
          <cell r="AD517">
            <v>6</v>
          </cell>
          <cell r="AE517" t="str">
            <v>everyone</v>
          </cell>
        </row>
        <row r="518">
          <cell r="A518" t="str">
            <v>40015_1</v>
          </cell>
          <cell r="B518">
            <v>3</v>
          </cell>
          <cell r="C518">
            <v>40015</v>
          </cell>
          <cell r="D518" t="str">
            <v>ガレス襲来！</v>
          </cell>
          <cell r="E518" t="str">
            <v>降臨15</v>
          </cell>
          <cell r="F518">
            <v>1</v>
          </cell>
          <cell r="G518" t="str">
            <v>ja</v>
          </cell>
          <cell r="H518" t="str">
            <v xml:space="preserve">【ウィザード級】ガレス襲来 </v>
          </cell>
          <cell r="I518" t="str">
            <v>地獄級</v>
          </cell>
          <cell r="J518">
            <v>769</v>
          </cell>
          <cell r="K518">
            <v>35</v>
          </cell>
          <cell r="L518">
            <v>4200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character</v>
          </cell>
          <cell r="T518">
            <v>768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907</v>
          </cell>
          <cell r="AD518">
            <v>6</v>
          </cell>
          <cell r="AE518" t="str">
            <v>everyone</v>
          </cell>
        </row>
        <row r="519">
          <cell r="A519" t="str">
            <v>40016_1</v>
          </cell>
          <cell r="B519">
            <v>3</v>
          </cell>
          <cell r="C519">
            <v>40016</v>
          </cell>
          <cell r="D519" t="str">
            <v>武田信玄襲来！</v>
          </cell>
          <cell r="E519" t="str">
            <v>降臨16</v>
          </cell>
          <cell r="F519">
            <v>1</v>
          </cell>
          <cell r="G519" t="str">
            <v>ja</v>
          </cell>
          <cell r="H519" t="str">
            <v xml:space="preserve">【ウィザード級】武田信玄襲来 </v>
          </cell>
          <cell r="I519" t="str">
            <v>地獄級</v>
          </cell>
          <cell r="J519">
            <v>725</v>
          </cell>
          <cell r="K519">
            <v>40</v>
          </cell>
          <cell r="L519">
            <v>4500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polygon</v>
          </cell>
          <cell r="T519">
            <v>1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919</v>
          </cell>
          <cell r="AD519">
            <v>6</v>
          </cell>
          <cell r="AE519" t="str">
            <v>everyone</v>
          </cell>
        </row>
        <row r="520">
          <cell r="A520" t="str">
            <v>40016_2</v>
          </cell>
          <cell r="B520">
            <v>3</v>
          </cell>
          <cell r="C520">
            <v>40016</v>
          </cell>
          <cell r="D520" t="str">
            <v>武田信玄襲来！</v>
          </cell>
          <cell r="E520" t="str">
            <v>降臨16</v>
          </cell>
          <cell r="F520">
            <v>2</v>
          </cell>
          <cell r="G520" t="str">
            <v>ja</v>
          </cell>
          <cell r="H520" t="str">
            <v xml:space="preserve">【ノーコンテニュー】武田信玄襲来 </v>
          </cell>
          <cell r="I520" t="str">
            <v>地獄級</v>
          </cell>
          <cell r="J520">
            <v>725</v>
          </cell>
          <cell r="K520">
            <v>40</v>
          </cell>
          <cell r="L520">
            <v>4500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919</v>
          </cell>
          <cell r="AD520">
            <v>6</v>
          </cell>
          <cell r="AE520" t="str">
            <v>everyone</v>
          </cell>
        </row>
        <row r="521">
          <cell r="A521" t="str">
            <v>40017_1</v>
          </cell>
          <cell r="B521">
            <v>1</v>
          </cell>
          <cell r="C521">
            <v>40017</v>
          </cell>
          <cell r="D521" t="str">
            <v>ベルゼブブ襲来！</v>
          </cell>
          <cell r="E521" t="str">
            <v>降臨17</v>
          </cell>
          <cell r="F521">
            <v>1</v>
          </cell>
          <cell r="G521" t="str">
            <v>ja</v>
          </cell>
          <cell r="H521" t="str">
            <v xml:space="preserve">【超絶級】ベルゼブブ襲来 </v>
          </cell>
          <cell r="I521" t="str">
            <v>地獄級</v>
          </cell>
          <cell r="J521">
            <v>1</v>
          </cell>
          <cell r="K521">
            <v>35</v>
          </cell>
          <cell r="L521">
            <v>4200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919</v>
          </cell>
          <cell r="AD521">
            <v>6</v>
          </cell>
          <cell r="AE521" t="str">
            <v>everyone</v>
          </cell>
        </row>
        <row r="522">
          <cell r="A522" t="str">
            <v>40017_2</v>
          </cell>
          <cell r="B522">
            <v>1</v>
          </cell>
          <cell r="C522">
            <v>40017</v>
          </cell>
          <cell r="D522" t="str">
            <v>ベルゼブブ襲来！</v>
          </cell>
          <cell r="E522" t="str">
            <v>降臨17</v>
          </cell>
          <cell r="F522">
            <v>2</v>
          </cell>
          <cell r="G522" t="str">
            <v>ja</v>
          </cell>
          <cell r="H522" t="str">
            <v>【ウィザード級】ベルゼブブ襲来</v>
          </cell>
          <cell r="I522" t="str">
            <v>地獄級</v>
          </cell>
          <cell r="J522">
            <v>1</v>
          </cell>
          <cell r="K522">
            <v>35</v>
          </cell>
          <cell r="L522">
            <v>4200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polygon</v>
          </cell>
          <cell r="T522">
            <v>1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919</v>
          </cell>
          <cell r="AD522">
            <v>6</v>
          </cell>
          <cell r="AE522" t="str">
            <v>everyone</v>
          </cell>
        </row>
        <row r="523">
          <cell r="A523" t="str">
            <v>40017_3</v>
          </cell>
          <cell r="B523">
            <v>1</v>
          </cell>
          <cell r="C523">
            <v>40017</v>
          </cell>
          <cell r="D523" t="str">
            <v>ベルゼブブ襲来！</v>
          </cell>
          <cell r="E523" t="str">
            <v>降臨17</v>
          </cell>
          <cell r="F523">
            <v>3</v>
          </cell>
          <cell r="G523" t="str">
            <v>ja</v>
          </cell>
          <cell r="H523" t="str">
            <v>【ノーコンテニュー】ベルゼブブ襲来</v>
          </cell>
          <cell r="I523" t="str">
            <v>地獄級</v>
          </cell>
          <cell r="J523">
            <v>1</v>
          </cell>
          <cell r="K523">
            <v>35</v>
          </cell>
          <cell r="L523">
            <v>4200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919</v>
          </cell>
          <cell r="AD523">
            <v>6</v>
          </cell>
          <cell r="AE523" t="str">
            <v>everyone</v>
          </cell>
        </row>
        <row r="524">
          <cell r="A524" t="str">
            <v>41001_1</v>
          </cell>
          <cell r="B524">
            <v>3</v>
          </cell>
          <cell r="C524">
            <v>41001</v>
          </cell>
          <cell r="D524" t="str">
            <v>アマテラス襲来！</v>
          </cell>
          <cell r="E524" t="str">
            <v>降臨1</v>
          </cell>
          <cell r="F524">
            <v>1</v>
          </cell>
          <cell r="G524" t="str">
            <v>ja</v>
          </cell>
          <cell r="H524" t="str">
            <v>【超絶級】アマテラス襲来</v>
          </cell>
          <cell r="I524" t="str">
            <v>超絶級</v>
          </cell>
          <cell r="J524">
            <v>279</v>
          </cell>
          <cell r="K524">
            <v>35</v>
          </cell>
          <cell r="L524">
            <v>4200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901</v>
          </cell>
          <cell r="AD524">
            <v>6</v>
          </cell>
          <cell r="AE524" t="str">
            <v>everyone</v>
          </cell>
        </row>
        <row r="525">
          <cell r="A525" t="str">
            <v>41001_2</v>
          </cell>
          <cell r="B525">
            <v>3</v>
          </cell>
          <cell r="C525">
            <v>41001</v>
          </cell>
          <cell r="D525" t="str">
            <v>アマテラス襲来！</v>
          </cell>
          <cell r="E525" t="str">
            <v>降臨1</v>
          </cell>
          <cell r="F525">
            <v>2</v>
          </cell>
          <cell r="G525" t="str">
            <v>ja</v>
          </cell>
          <cell r="H525" t="str">
            <v>【ウィザード級】アマテラス襲来</v>
          </cell>
          <cell r="I525" t="str">
            <v>地獄級</v>
          </cell>
          <cell r="J525">
            <v>810</v>
          </cell>
          <cell r="K525">
            <v>40</v>
          </cell>
          <cell r="L525">
            <v>4500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polygon</v>
          </cell>
          <cell r="T525">
            <v>1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901</v>
          </cell>
          <cell r="AD525">
            <v>6</v>
          </cell>
          <cell r="AE525" t="str">
            <v>everyone</v>
          </cell>
        </row>
        <row r="526">
          <cell r="A526" t="str">
            <v>41001_3</v>
          </cell>
          <cell r="B526">
            <v>3</v>
          </cell>
          <cell r="C526">
            <v>41001</v>
          </cell>
          <cell r="D526" t="str">
            <v>アマテラス襲来！</v>
          </cell>
          <cell r="E526" t="str">
            <v>降臨1</v>
          </cell>
          <cell r="F526">
            <v>3</v>
          </cell>
          <cell r="G526" t="str">
            <v>ja</v>
          </cell>
          <cell r="H526" t="str">
            <v>【ノーコンテニュー】アマテラス襲来</v>
          </cell>
          <cell r="I526" t="str">
            <v>地獄級</v>
          </cell>
          <cell r="J526">
            <v>810</v>
          </cell>
          <cell r="K526">
            <v>40</v>
          </cell>
          <cell r="L526">
            <v>4500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polygon</v>
          </cell>
          <cell r="T526">
            <v>1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901</v>
          </cell>
          <cell r="AD526">
            <v>6</v>
          </cell>
          <cell r="AE526" t="str">
            <v>everyone</v>
          </cell>
        </row>
        <row r="527">
          <cell r="A527" t="str">
            <v>41002_1</v>
          </cell>
          <cell r="B527">
            <v>3</v>
          </cell>
          <cell r="C527">
            <v>41002</v>
          </cell>
          <cell r="D527" t="str">
            <v>アザゼル襲来！</v>
          </cell>
          <cell r="E527" t="str">
            <v>降臨1</v>
          </cell>
          <cell r="F527">
            <v>1</v>
          </cell>
          <cell r="G527" t="str">
            <v>ja</v>
          </cell>
          <cell r="H527" t="str">
            <v>【超絶級】アザゼル襲来</v>
          </cell>
          <cell r="I527" t="str">
            <v>超絶級</v>
          </cell>
          <cell r="J527">
            <v>297</v>
          </cell>
          <cell r="K527">
            <v>35</v>
          </cell>
          <cell r="L527">
            <v>4200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902</v>
          </cell>
          <cell r="AD527">
            <v>6</v>
          </cell>
          <cell r="AE527" t="str">
            <v>everyone</v>
          </cell>
        </row>
        <row r="528">
          <cell r="A528" t="str">
            <v>41002_2</v>
          </cell>
          <cell r="B528">
            <v>3</v>
          </cell>
          <cell r="C528">
            <v>41002</v>
          </cell>
          <cell r="D528" t="str">
            <v>アザゼル襲来！</v>
          </cell>
          <cell r="E528" t="str">
            <v>降臨1</v>
          </cell>
          <cell r="F528">
            <v>2</v>
          </cell>
          <cell r="G528" t="str">
            <v>ja</v>
          </cell>
          <cell r="H528" t="str">
            <v>【ウィザード級】アザゼル襲来</v>
          </cell>
          <cell r="I528" t="str">
            <v>地獄級</v>
          </cell>
          <cell r="J528">
            <v>812</v>
          </cell>
          <cell r="K528">
            <v>40</v>
          </cell>
          <cell r="L528">
            <v>4500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polygon</v>
          </cell>
          <cell r="T528">
            <v>1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902</v>
          </cell>
          <cell r="AD528">
            <v>6</v>
          </cell>
          <cell r="AE528" t="str">
            <v>everyone</v>
          </cell>
        </row>
        <row r="529">
          <cell r="A529" t="str">
            <v>41002_3</v>
          </cell>
          <cell r="B529">
            <v>3</v>
          </cell>
          <cell r="C529">
            <v>41002</v>
          </cell>
          <cell r="D529" t="str">
            <v>アザゼル襲来！</v>
          </cell>
          <cell r="E529" t="str">
            <v>降臨1</v>
          </cell>
          <cell r="F529">
            <v>3</v>
          </cell>
          <cell r="G529" t="str">
            <v>ja</v>
          </cell>
          <cell r="H529" t="str">
            <v>【ノーコンテニュー】アザゼル襲来</v>
          </cell>
          <cell r="I529" t="str">
            <v>地獄級</v>
          </cell>
          <cell r="J529">
            <v>812</v>
          </cell>
          <cell r="K529">
            <v>40</v>
          </cell>
          <cell r="L529">
            <v>4500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polygon</v>
          </cell>
          <cell r="T529">
            <v>1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902</v>
          </cell>
          <cell r="AD529">
            <v>6</v>
          </cell>
          <cell r="AE529" t="str">
            <v>everyone</v>
          </cell>
        </row>
        <row r="530">
          <cell r="A530" t="str">
            <v>41003_1</v>
          </cell>
          <cell r="B530">
            <v>1</v>
          </cell>
          <cell r="C530">
            <v>41003</v>
          </cell>
          <cell r="D530" t="str">
            <v>ジャンヌ襲来！</v>
          </cell>
          <cell r="E530" t="str">
            <v>降臨1</v>
          </cell>
          <cell r="F530">
            <v>1</v>
          </cell>
          <cell r="G530" t="str">
            <v>ja</v>
          </cell>
          <cell r="H530" t="str">
            <v>【超絶級】ジャンヌ襲来</v>
          </cell>
          <cell r="I530" t="str">
            <v>超絶級</v>
          </cell>
          <cell r="J530">
            <v>1</v>
          </cell>
          <cell r="K530">
            <v>35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polygon</v>
          </cell>
          <cell r="T530">
            <v>1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902</v>
          </cell>
          <cell r="AD530">
            <v>6</v>
          </cell>
          <cell r="AE530" t="str">
            <v>everyone</v>
          </cell>
        </row>
        <row r="531">
          <cell r="A531" t="str">
            <v>41003_2</v>
          </cell>
          <cell r="B531">
            <v>1</v>
          </cell>
          <cell r="C531">
            <v>41003</v>
          </cell>
          <cell r="D531" t="str">
            <v>ジャンヌ襲来！</v>
          </cell>
          <cell r="E531" t="str">
            <v>降臨1</v>
          </cell>
          <cell r="F531">
            <v>2</v>
          </cell>
          <cell r="G531" t="str">
            <v>ja</v>
          </cell>
          <cell r="H531" t="str">
            <v>【ウィザード級】ジャンヌ襲来</v>
          </cell>
          <cell r="I531" t="str">
            <v>地獄級</v>
          </cell>
          <cell r="J531">
            <v>1</v>
          </cell>
          <cell r="K531">
            <v>40</v>
          </cell>
          <cell r="L531">
            <v>4500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902</v>
          </cell>
          <cell r="AD531">
            <v>6</v>
          </cell>
          <cell r="AE531" t="str">
            <v>everyone</v>
          </cell>
        </row>
        <row r="532">
          <cell r="A532" t="str">
            <v>41003_3</v>
          </cell>
          <cell r="B532">
            <v>1</v>
          </cell>
          <cell r="C532">
            <v>41003</v>
          </cell>
          <cell r="D532" t="str">
            <v>ジャンヌ襲来！</v>
          </cell>
          <cell r="E532" t="str">
            <v>降臨1</v>
          </cell>
          <cell r="F532">
            <v>3</v>
          </cell>
          <cell r="G532" t="str">
            <v>ja</v>
          </cell>
          <cell r="H532" t="str">
            <v>【ノーコンテニュー】ジャンヌ襲来</v>
          </cell>
          <cell r="I532" t="str">
            <v>地獄級</v>
          </cell>
          <cell r="J532">
            <v>1</v>
          </cell>
          <cell r="K532">
            <v>40</v>
          </cell>
          <cell r="L532">
            <v>4500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polygon</v>
          </cell>
          <cell r="T532">
            <v>1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902</v>
          </cell>
          <cell r="AD532">
            <v>6</v>
          </cell>
          <cell r="AE532" t="str">
            <v>everyone</v>
          </cell>
        </row>
        <row r="533">
          <cell r="A533" t="str">
            <v>41004_1</v>
          </cell>
          <cell r="B533">
            <v>1</v>
          </cell>
          <cell r="C533">
            <v>41004</v>
          </cell>
          <cell r="D533" t="str">
            <v>武蔵襲来！</v>
          </cell>
          <cell r="E533" t="str">
            <v>降臨1</v>
          </cell>
          <cell r="F533">
            <v>1</v>
          </cell>
          <cell r="G533" t="str">
            <v>ja</v>
          </cell>
          <cell r="H533" t="str">
            <v>【超絶級】武蔵襲来</v>
          </cell>
          <cell r="I533" t="str">
            <v>超絶級</v>
          </cell>
          <cell r="J533">
            <v>1</v>
          </cell>
          <cell r="K533">
            <v>35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polygon</v>
          </cell>
          <cell r="T533">
            <v>1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902</v>
          </cell>
          <cell r="AD533">
            <v>6</v>
          </cell>
          <cell r="AE533" t="str">
            <v>everyone</v>
          </cell>
        </row>
        <row r="534">
          <cell r="A534" t="str">
            <v>41004_2</v>
          </cell>
          <cell r="B534">
            <v>1</v>
          </cell>
          <cell r="C534">
            <v>41004</v>
          </cell>
          <cell r="D534" t="str">
            <v>武蔵襲来！</v>
          </cell>
          <cell r="E534" t="str">
            <v>降臨1</v>
          </cell>
          <cell r="F534">
            <v>2</v>
          </cell>
          <cell r="G534" t="str">
            <v>ja</v>
          </cell>
          <cell r="H534" t="str">
            <v>【ウィザード級】武蔵襲来</v>
          </cell>
          <cell r="I534" t="str">
            <v>地獄級</v>
          </cell>
          <cell r="J534">
            <v>1</v>
          </cell>
          <cell r="K534">
            <v>40</v>
          </cell>
          <cell r="L534">
            <v>4500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polygon</v>
          </cell>
          <cell r="T534">
            <v>1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902</v>
          </cell>
          <cell r="AD534">
            <v>6</v>
          </cell>
          <cell r="AE534" t="str">
            <v>everyone</v>
          </cell>
        </row>
        <row r="535">
          <cell r="A535" t="str">
            <v>41004_3</v>
          </cell>
          <cell r="B535">
            <v>1</v>
          </cell>
          <cell r="C535">
            <v>41004</v>
          </cell>
          <cell r="D535" t="str">
            <v>武蔵襲来！</v>
          </cell>
          <cell r="E535" t="str">
            <v>降臨1</v>
          </cell>
          <cell r="F535">
            <v>3</v>
          </cell>
          <cell r="G535" t="str">
            <v>ja</v>
          </cell>
          <cell r="H535" t="str">
            <v>【ノーコンテニュー】武蔵襲来</v>
          </cell>
          <cell r="I535" t="str">
            <v>地獄級</v>
          </cell>
          <cell r="J535">
            <v>1</v>
          </cell>
          <cell r="K535">
            <v>40</v>
          </cell>
          <cell r="L535">
            <v>4500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polygon</v>
          </cell>
          <cell r="T535">
            <v>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902</v>
          </cell>
          <cell r="AD535">
            <v>6</v>
          </cell>
          <cell r="AE535" t="str">
            <v>everyone</v>
          </cell>
        </row>
        <row r="536">
          <cell r="A536" t="str">
            <v>49001_1</v>
          </cell>
          <cell r="B536">
            <v>3</v>
          </cell>
          <cell r="C536">
            <v>49001</v>
          </cell>
          <cell r="D536" t="str">
            <v>熱唱！初音ミクV3</v>
          </cell>
          <cell r="E536" t="str">
            <v>コラボ降臨1</v>
          </cell>
          <cell r="F536">
            <v>1</v>
          </cell>
          <cell r="G536" t="str">
            <v>ja</v>
          </cell>
          <cell r="H536" t="str">
            <v>【ウィザード級】熱唱！初音ミクV3</v>
          </cell>
          <cell r="I536" t="str">
            <v>地獄級</v>
          </cell>
          <cell r="J536">
            <v>528</v>
          </cell>
          <cell r="K536">
            <v>40</v>
          </cell>
          <cell r="L536">
            <v>4200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polygon</v>
          </cell>
          <cell r="T536">
            <v>1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910</v>
          </cell>
          <cell r="AD536">
            <v>6</v>
          </cell>
          <cell r="AE536" t="str">
            <v>everyone</v>
          </cell>
        </row>
        <row r="537">
          <cell r="A537" t="str">
            <v>49002_1</v>
          </cell>
          <cell r="B537">
            <v>3</v>
          </cell>
          <cell r="C537">
            <v>49002</v>
          </cell>
          <cell r="D537" t="str">
            <v>園原杏里襲来！</v>
          </cell>
          <cell r="E537" t="str">
            <v>コラボ降臨2</v>
          </cell>
          <cell r="F537">
            <v>1</v>
          </cell>
          <cell r="G537" t="str">
            <v>ja</v>
          </cell>
          <cell r="H537" t="str">
            <v>【ウィザード級】園原杏里襲来</v>
          </cell>
          <cell r="I537" t="str">
            <v>地獄級</v>
          </cell>
          <cell r="J537">
            <v>699</v>
          </cell>
          <cell r="K537">
            <v>40</v>
          </cell>
          <cell r="L537">
            <v>4500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polygon</v>
          </cell>
          <cell r="T537">
            <v>1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917</v>
          </cell>
          <cell r="AD537">
            <v>6</v>
          </cell>
          <cell r="AE537" t="str">
            <v>everyone</v>
          </cell>
        </row>
        <row r="538">
          <cell r="A538" t="str">
            <v>49002_2</v>
          </cell>
          <cell r="B538">
            <v>3</v>
          </cell>
          <cell r="C538">
            <v>49002</v>
          </cell>
          <cell r="D538" t="str">
            <v>園原杏里襲来！</v>
          </cell>
          <cell r="E538" t="str">
            <v>コラボ降臨2</v>
          </cell>
          <cell r="F538">
            <v>2</v>
          </cell>
          <cell r="G538" t="str">
            <v>ja</v>
          </cell>
          <cell r="H538" t="str">
            <v>【ノーコンテニュー】園原杏里襲来</v>
          </cell>
          <cell r="I538" t="str">
            <v>地獄級</v>
          </cell>
          <cell r="J538">
            <v>699</v>
          </cell>
          <cell r="K538">
            <v>40</v>
          </cell>
          <cell r="L538">
            <v>4500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polygon</v>
          </cell>
          <cell r="T538">
            <v>1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917</v>
          </cell>
          <cell r="AD538">
            <v>6</v>
          </cell>
          <cell r="AE538" t="str">
            <v>everyone</v>
          </cell>
        </row>
        <row r="539">
          <cell r="A539" t="str">
            <v>49003_1</v>
          </cell>
          <cell r="B539">
            <v>3</v>
          </cell>
          <cell r="C539">
            <v>49003</v>
          </cell>
          <cell r="D539" t="str">
            <v>折原臨也襲来！</v>
          </cell>
          <cell r="E539" t="str">
            <v>コラボ降臨3</v>
          </cell>
          <cell r="F539">
            <v>1</v>
          </cell>
          <cell r="G539" t="str">
            <v>ja</v>
          </cell>
          <cell r="H539" t="str">
            <v>【ウィザード級】折原臨也襲来</v>
          </cell>
          <cell r="I539" t="str">
            <v>地獄級</v>
          </cell>
          <cell r="J539">
            <v>701</v>
          </cell>
          <cell r="K539">
            <v>40</v>
          </cell>
          <cell r="L539">
            <v>4500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polygon</v>
          </cell>
          <cell r="T539">
            <v>1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918</v>
          </cell>
          <cell r="AD539">
            <v>6</v>
          </cell>
          <cell r="AE539" t="str">
            <v>everyone</v>
          </cell>
        </row>
        <row r="540">
          <cell r="A540" t="str">
            <v>49003_2</v>
          </cell>
          <cell r="B540">
            <v>3</v>
          </cell>
          <cell r="C540">
            <v>49003</v>
          </cell>
          <cell r="D540" t="str">
            <v>折原臨也襲来！</v>
          </cell>
          <cell r="E540" t="str">
            <v>コラボ降臨3</v>
          </cell>
          <cell r="F540">
            <v>2</v>
          </cell>
          <cell r="G540" t="str">
            <v>ja</v>
          </cell>
          <cell r="H540" t="str">
            <v>【ノーコンテニュー】折原臨也襲来</v>
          </cell>
          <cell r="I540" t="str">
            <v>地獄級</v>
          </cell>
          <cell r="J540">
            <v>701</v>
          </cell>
          <cell r="K540">
            <v>40</v>
          </cell>
          <cell r="L540">
            <v>4500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918</v>
          </cell>
          <cell r="AD540">
            <v>6</v>
          </cell>
          <cell r="AE540" t="str">
            <v>everyone</v>
          </cell>
        </row>
        <row r="541">
          <cell r="A541" t="str">
            <v>50001_1</v>
          </cell>
          <cell r="B541">
            <v>3</v>
          </cell>
          <cell r="C541">
            <v>50001</v>
          </cell>
          <cell r="D541" t="str">
            <v>麒麟襲来！</v>
          </cell>
          <cell r="E541" t="str">
            <v>超降臨1</v>
          </cell>
          <cell r="F541">
            <v>1</v>
          </cell>
          <cell r="G541" t="str">
            <v>ja</v>
          </cell>
          <cell r="H541" t="str">
            <v xml:space="preserve">【超ウィザード級】麒麟襲来 </v>
          </cell>
          <cell r="I541" t="str">
            <v>超地獄級</v>
          </cell>
          <cell r="J541">
            <v>329</v>
          </cell>
          <cell r="K541">
            <v>40</v>
          </cell>
          <cell r="L541">
            <v>5200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character</v>
          </cell>
          <cell r="T541">
            <v>432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905</v>
          </cell>
          <cell r="AD541">
            <v>6</v>
          </cell>
          <cell r="AE541" t="str">
            <v>everyone</v>
          </cell>
        </row>
        <row r="542">
          <cell r="A542" t="str">
            <v>50002_1</v>
          </cell>
          <cell r="B542">
            <v>3</v>
          </cell>
          <cell r="C542">
            <v>50002</v>
          </cell>
          <cell r="D542" t="str">
            <v>オーディン襲来！</v>
          </cell>
          <cell r="E542" t="str">
            <v>超降臨2</v>
          </cell>
          <cell r="F542">
            <v>1</v>
          </cell>
          <cell r="G542" t="str">
            <v>ja</v>
          </cell>
          <cell r="H542" t="str">
            <v xml:space="preserve">【超ウィザード級】オーディン襲来 </v>
          </cell>
          <cell r="I542" t="str">
            <v>超地獄級</v>
          </cell>
          <cell r="J542">
            <v>331</v>
          </cell>
          <cell r="K542">
            <v>40</v>
          </cell>
          <cell r="L542">
            <v>5200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character</v>
          </cell>
          <cell r="T542">
            <v>573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911</v>
          </cell>
          <cell r="AD542">
            <v>6</v>
          </cell>
          <cell r="AE542" t="str">
            <v>everyone</v>
          </cell>
        </row>
        <row r="543">
          <cell r="A543" t="str">
            <v>50003_1</v>
          </cell>
          <cell r="B543">
            <v>3</v>
          </cell>
          <cell r="C543">
            <v>50003</v>
          </cell>
          <cell r="D543" t="str">
            <v>織田信長襲来！</v>
          </cell>
          <cell r="E543" t="str">
            <v>超降臨3</v>
          </cell>
          <cell r="F543">
            <v>1</v>
          </cell>
          <cell r="G543" t="str">
            <v>ja</v>
          </cell>
          <cell r="H543" t="str">
            <v xml:space="preserve">【超ウィザード級】織田信長襲来 </v>
          </cell>
          <cell r="I543" t="str">
            <v>超地獄級</v>
          </cell>
          <cell r="J543">
            <v>567</v>
          </cell>
          <cell r="K543">
            <v>40</v>
          </cell>
          <cell r="L543">
            <v>5200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character</v>
          </cell>
          <cell r="T543">
            <v>726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920</v>
          </cell>
          <cell r="AD543">
            <v>6</v>
          </cell>
          <cell r="AE543" t="str">
            <v>everyone</v>
          </cell>
        </row>
        <row r="544">
          <cell r="A544" t="str">
            <v>60001_1</v>
          </cell>
          <cell r="B544">
            <v>1</v>
          </cell>
          <cell r="C544">
            <v>60001</v>
          </cell>
          <cell r="D544" t="str">
            <v>ヘンペルチャレンジ</v>
          </cell>
          <cell r="E544" t="str">
            <v>ランキング1</v>
          </cell>
          <cell r="F544">
            <v>1</v>
          </cell>
          <cell r="G544" t="str">
            <v>ja</v>
          </cell>
          <cell r="H544" t="str">
            <v>[ウィザード] 第一回</v>
          </cell>
          <cell r="I544" t="str">
            <v>ランキング</v>
          </cell>
          <cell r="J544">
            <v>488</v>
          </cell>
          <cell r="K544">
            <v>5</v>
          </cell>
          <cell r="L544">
            <v>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911</v>
          </cell>
          <cell r="AD544">
            <v>6</v>
          </cell>
          <cell r="AE544" t="str">
            <v>singleonly</v>
          </cell>
        </row>
        <row r="545">
          <cell r="A545" t="str">
            <v>60002_1</v>
          </cell>
          <cell r="B545">
            <v>1</v>
          </cell>
          <cell r="C545">
            <v>60002</v>
          </cell>
          <cell r="D545" t="str">
            <v>ヘンペルチャレンジ</v>
          </cell>
          <cell r="E545" t="str">
            <v>ランキング1</v>
          </cell>
          <cell r="F545">
            <v>1</v>
          </cell>
          <cell r="G545" t="str">
            <v>ja</v>
          </cell>
          <cell r="H545" t="str">
            <v>[超級] 第2回　※Wizと難易度は同じ</v>
          </cell>
          <cell r="I545" t="str">
            <v>ランキング</v>
          </cell>
          <cell r="J545">
            <v>488</v>
          </cell>
          <cell r="K545">
            <v>5</v>
          </cell>
          <cell r="L545">
            <v>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911</v>
          </cell>
          <cell r="AD545">
            <v>6</v>
          </cell>
          <cell r="AE545" t="str">
            <v>singleonly</v>
          </cell>
        </row>
        <row r="546">
          <cell r="A546" t="str">
            <v>60002_2</v>
          </cell>
          <cell r="B546">
            <v>1</v>
          </cell>
          <cell r="C546">
            <v>60002</v>
          </cell>
          <cell r="D546" t="str">
            <v>ヘンペルチャレンジ</v>
          </cell>
          <cell r="E546" t="str">
            <v>ランキング1</v>
          </cell>
          <cell r="F546">
            <v>2</v>
          </cell>
          <cell r="G546" t="str">
            <v>ja</v>
          </cell>
          <cell r="H546" t="str">
            <v>[ウィザード] 第2回　※Wizと難易度は同じ</v>
          </cell>
          <cell r="I546" t="str">
            <v>ランキング</v>
          </cell>
          <cell r="J546">
            <v>488</v>
          </cell>
          <cell r="K546">
            <v>5</v>
          </cell>
          <cell r="L546">
            <v>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911</v>
          </cell>
          <cell r="AD546">
            <v>6</v>
          </cell>
          <cell r="AE546" t="str">
            <v>singleonly</v>
          </cell>
        </row>
        <row r="547">
          <cell r="A547" t="str">
            <v>60003_1</v>
          </cell>
          <cell r="B547">
            <v>1</v>
          </cell>
          <cell r="C547">
            <v>60003</v>
          </cell>
          <cell r="D547" t="str">
            <v>ヘンペルチャレンジ</v>
          </cell>
          <cell r="E547" t="str">
            <v>ランキング1</v>
          </cell>
          <cell r="F547">
            <v>1</v>
          </cell>
          <cell r="G547" t="str">
            <v>ja</v>
          </cell>
          <cell r="H547" t="str">
            <v>[中級] 第3回　</v>
          </cell>
          <cell r="I547" t="str">
            <v>ランキング</v>
          </cell>
          <cell r="J547">
            <v>488</v>
          </cell>
          <cell r="K547">
            <v>5</v>
          </cell>
          <cell r="L547">
            <v>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911</v>
          </cell>
          <cell r="AD547">
            <v>6</v>
          </cell>
          <cell r="AE547" t="str">
            <v>singleonly</v>
          </cell>
        </row>
        <row r="548">
          <cell r="A548" t="str">
            <v>60003_2</v>
          </cell>
          <cell r="B548">
            <v>1</v>
          </cell>
          <cell r="C548">
            <v>60003</v>
          </cell>
          <cell r="D548" t="str">
            <v>ヘンペルチャレンジ</v>
          </cell>
          <cell r="E548" t="str">
            <v>ランキング1</v>
          </cell>
          <cell r="F548">
            <v>2</v>
          </cell>
          <cell r="G548" t="str">
            <v>ja</v>
          </cell>
          <cell r="H548" t="str">
            <v>[超級] 第3回　</v>
          </cell>
          <cell r="I548" t="str">
            <v>ランキング</v>
          </cell>
          <cell r="J548">
            <v>488</v>
          </cell>
          <cell r="K548">
            <v>5</v>
          </cell>
          <cell r="L548">
            <v>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none</v>
          </cell>
          <cell r="T548">
            <v>0</v>
          </cell>
          <cell r="U548">
            <v>60003</v>
          </cell>
          <cell r="V548">
            <v>1</v>
          </cell>
          <cell r="W548" t="str">
            <v>[中級] 第3回　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911</v>
          </cell>
          <cell r="AD548">
            <v>6</v>
          </cell>
          <cell r="AE548" t="str">
            <v>singleonly</v>
          </cell>
        </row>
        <row r="549">
          <cell r="A549" t="str">
            <v>60003_3</v>
          </cell>
          <cell r="B549">
            <v>1</v>
          </cell>
          <cell r="C549">
            <v>60003</v>
          </cell>
          <cell r="D549" t="str">
            <v>ヘンペルチャレンジ</v>
          </cell>
          <cell r="E549" t="str">
            <v>ランキング1</v>
          </cell>
          <cell r="F549">
            <v>3</v>
          </cell>
          <cell r="G549" t="str">
            <v>ja</v>
          </cell>
          <cell r="H549" t="str">
            <v>[ウィザード] 第3回　</v>
          </cell>
          <cell r="I549" t="str">
            <v>ランキング</v>
          </cell>
          <cell r="J549">
            <v>488</v>
          </cell>
          <cell r="K549">
            <v>5</v>
          </cell>
          <cell r="L549">
            <v>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none</v>
          </cell>
          <cell r="T549">
            <v>0</v>
          </cell>
          <cell r="U549">
            <v>60003</v>
          </cell>
          <cell r="V549">
            <v>2</v>
          </cell>
          <cell r="W549" t="str">
            <v>[超級] 第3回　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911</v>
          </cell>
          <cell r="AD549">
            <v>6</v>
          </cell>
          <cell r="AE549" t="str">
            <v>singleonly</v>
          </cell>
        </row>
        <row r="550">
          <cell r="A550" t="str">
            <v>60004_1</v>
          </cell>
          <cell r="B550">
            <v>1</v>
          </cell>
          <cell r="C550">
            <v>60004</v>
          </cell>
          <cell r="D550" t="str">
            <v>ヘンペルチャレンジ</v>
          </cell>
          <cell r="E550" t="str">
            <v>ランキング1</v>
          </cell>
          <cell r="F550">
            <v>1</v>
          </cell>
          <cell r="G550" t="str">
            <v>ja</v>
          </cell>
          <cell r="H550" t="str">
            <v>[ウィザード] 第4回　</v>
          </cell>
          <cell r="I550" t="str">
            <v>ランキング</v>
          </cell>
          <cell r="J550">
            <v>488</v>
          </cell>
          <cell r="K550">
            <v>5</v>
          </cell>
          <cell r="L550">
            <v>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911</v>
          </cell>
          <cell r="AD550">
            <v>6</v>
          </cell>
          <cell r="AE550" t="str">
            <v>singleonly</v>
          </cell>
        </row>
        <row r="551">
          <cell r="A551" t="str">
            <v>60005_1</v>
          </cell>
          <cell r="B551">
            <v>1</v>
          </cell>
          <cell r="C551">
            <v>60005</v>
          </cell>
          <cell r="D551" t="str">
            <v>オイラーチャレンジ</v>
          </cell>
          <cell r="E551" t="str">
            <v>ランキング1</v>
          </cell>
          <cell r="F551">
            <v>1</v>
          </cell>
          <cell r="G551" t="str">
            <v>ja</v>
          </cell>
          <cell r="H551" t="str">
            <v>[ウィザード] 第5回　</v>
          </cell>
          <cell r="I551" t="str">
            <v>ランキング</v>
          </cell>
          <cell r="J551">
            <v>379</v>
          </cell>
          <cell r="K551">
            <v>5</v>
          </cell>
          <cell r="L551">
            <v>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923</v>
          </cell>
          <cell r="AD551">
            <v>6</v>
          </cell>
          <cell r="AE551" t="str">
            <v>singleonly</v>
          </cell>
        </row>
        <row r="552">
          <cell r="A552" t="str">
            <v>60006_1</v>
          </cell>
          <cell r="B552">
            <v>0</v>
          </cell>
          <cell r="C552">
            <v>60006</v>
          </cell>
          <cell r="D552" t="str">
            <v>オイラーチャレンジ</v>
          </cell>
          <cell r="E552" t="str">
            <v>ランキング1（本番実装用）</v>
          </cell>
          <cell r="F552">
            <v>1</v>
          </cell>
          <cell r="G552" t="str">
            <v>ja</v>
          </cell>
          <cell r="H552" t="str">
            <v>【中級】オイラーチャレンジ</v>
          </cell>
          <cell r="I552" t="str">
            <v>中級</v>
          </cell>
          <cell r="J552">
            <v>378</v>
          </cell>
          <cell r="K552">
            <v>15</v>
          </cell>
          <cell r="L552">
            <v>1200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none</v>
          </cell>
          <cell r="T552">
            <v>0</v>
          </cell>
          <cell r="U552">
            <v>60006</v>
          </cell>
          <cell r="V552">
            <v>1</v>
          </cell>
          <cell r="W552" t="str">
            <v>【中級】オイラーチャレンジ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923</v>
          </cell>
          <cell r="AD552">
            <v>6</v>
          </cell>
          <cell r="AE552" t="str">
            <v>singleonly</v>
          </cell>
        </row>
        <row r="553">
          <cell r="A553" t="str">
            <v>60006_2</v>
          </cell>
          <cell r="B553">
            <v>0</v>
          </cell>
          <cell r="C553">
            <v>60006</v>
          </cell>
          <cell r="D553" t="str">
            <v>オイラーチャレンジ</v>
          </cell>
          <cell r="E553" t="str">
            <v>ランキング1（本番実装用）</v>
          </cell>
          <cell r="F553">
            <v>2</v>
          </cell>
          <cell r="G553" t="str">
            <v>ja</v>
          </cell>
          <cell r="H553" t="str">
            <v>【超級】オイラーチャレンジ</v>
          </cell>
          <cell r="I553" t="str">
            <v>超級</v>
          </cell>
          <cell r="J553">
            <v>378</v>
          </cell>
          <cell r="K553">
            <v>30</v>
          </cell>
          <cell r="L553">
            <v>3300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>
            <v>60006</v>
          </cell>
          <cell r="V553">
            <v>2</v>
          </cell>
          <cell r="W553" t="str">
            <v>【超級】オイラーチャレンジ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923</v>
          </cell>
          <cell r="AD553">
            <v>6</v>
          </cell>
          <cell r="AE553" t="str">
            <v>singleonly</v>
          </cell>
        </row>
        <row r="554">
          <cell r="A554" t="str">
            <v>60006_3</v>
          </cell>
          <cell r="B554">
            <v>3</v>
          </cell>
          <cell r="C554">
            <v>60006</v>
          </cell>
          <cell r="D554" t="str">
            <v>オイラーチャレンジ</v>
          </cell>
          <cell r="E554" t="str">
            <v>ランキング1（本番実装用）</v>
          </cell>
          <cell r="F554">
            <v>3</v>
          </cell>
          <cell r="G554" t="str">
            <v>ja</v>
          </cell>
          <cell r="H554" t="str">
            <v>【ウィザード級】オイラーチャレンジ</v>
          </cell>
          <cell r="I554" t="str">
            <v>ウィザード級</v>
          </cell>
          <cell r="J554">
            <v>379</v>
          </cell>
          <cell r="K554">
            <v>35</v>
          </cell>
          <cell r="L554">
            <v>4200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>
            <v>60006</v>
          </cell>
          <cell r="V554">
            <v>3</v>
          </cell>
          <cell r="W554" t="str">
            <v>【ウィザード級】オイラーチャレンジ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923</v>
          </cell>
          <cell r="AD554">
            <v>6</v>
          </cell>
          <cell r="AE554" t="str">
            <v>singleonly</v>
          </cell>
        </row>
        <row r="555">
          <cell r="A555" t="str">
            <v>60007_1</v>
          </cell>
          <cell r="B555">
            <v>0</v>
          </cell>
          <cell r="C555">
            <v>60007</v>
          </cell>
          <cell r="D555" t="str">
            <v>オイラーチャレンジ</v>
          </cell>
          <cell r="E555" t="str">
            <v>ランキング1（改修版）</v>
          </cell>
          <cell r="F555">
            <v>1</v>
          </cell>
          <cell r="G555" t="str">
            <v>ja</v>
          </cell>
          <cell r="H555" t="str">
            <v>【中級】オイラーチャレンジ</v>
          </cell>
          <cell r="I555" t="str">
            <v>中級</v>
          </cell>
          <cell r="J555">
            <v>378</v>
          </cell>
          <cell r="K555">
            <v>15</v>
          </cell>
          <cell r="L555">
            <v>1200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none</v>
          </cell>
          <cell r="T555">
            <v>0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923</v>
          </cell>
          <cell r="AD555">
            <v>6</v>
          </cell>
          <cell r="AE555" t="str">
            <v>singleonly</v>
          </cell>
        </row>
        <row r="556">
          <cell r="A556" t="str">
            <v>60007_2</v>
          </cell>
          <cell r="B556">
            <v>0</v>
          </cell>
          <cell r="C556">
            <v>60007</v>
          </cell>
          <cell r="D556" t="str">
            <v>オイラーチャレンジ</v>
          </cell>
          <cell r="E556" t="str">
            <v>ランキング1（改修版）</v>
          </cell>
          <cell r="F556">
            <v>2</v>
          </cell>
          <cell r="G556" t="str">
            <v>ja</v>
          </cell>
          <cell r="H556" t="str">
            <v>【超級】オイラーチャレンジ</v>
          </cell>
          <cell r="I556" t="str">
            <v>超級</v>
          </cell>
          <cell r="J556">
            <v>378</v>
          </cell>
          <cell r="K556">
            <v>30</v>
          </cell>
          <cell r="L556">
            <v>3300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none</v>
          </cell>
          <cell r="T556">
            <v>0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923</v>
          </cell>
          <cell r="AD556">
            <v>6</v>
          </cell>
          <cell r="AE556" t="str">
            <v>singleonly</v>
          </cell>
        </row>
        <row r="557">
          <cell r="A557" t="str">
            <v>60007_3</v>
          </cell>
          <cell r="B557">
            <v>3</v>
          </cell>
          <cell r="C557">
            <v>60007</v>
          </cell>
          <cell r="D557" t="str">
            <v>オイラーチャレンジ</v>
          </cell>
          <cell r="E557" t="str">
            <v>ランキング1（改修版）</v>
          </cell>
          <cell r="F557">
            <v>3</v>
          </cell>
          <cell r="G557" t="str">
            <v>ja</v>
          </cell>
          <cell r="H557" t="str">
            <v>【ウィザード級】オイラーチャレンジ</v>
          </cell>
          <cell r="I557" t="str">
            <v>ウィザード級</v>
          </cell>
          <cell r="J557">
            <v>379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none</v>
          </cell>
          <cell r="T557">
            <v>0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923</v>
          </cell>
          <cell r="AD557">
            <v>6</v>
          </cell>
          <cell r="AE557" t="str">
            <v>singleonly</v>
          </cell>
        </row>
        <row r="558">
          <cell r="A558" t="str">
            <v>60010_1</v>
          </cell>
          <cell r="B558">
            <v>1</v>
          </cell>
          <cell r="C558">
            <v>60010</v>
          </cell>
          <cell r="D558" t="str">
            <v>ハップルチャレンジ</v>
          </cell>
          <cell r="E558" t="str">
            <v>ランキング2（ハップル）</v>
          </cell>
          <cell r="F558">
            <v>1</v>
          </cell>
          <cell r="G558" t="str">
            <v>ja</v>
          </cell>
          <cell r="H558" t="str">
            <v>【中級】ハップルチャレンジ</v>
          </cell>
          <cell r="I558" t="str">
            <v>中級</v>
          </cell>
          <cell r="J558">
            <v>489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none</v>
          </cell>
          <cell r="T558">
            <v>0</v>
          </cell>
          <cell r="U558">
            <v>60010</v>
          </cell>
          <cell r="V558">
            <v>1</v>
          </cell>
          <cell r="W558" t="str">
            <v>【中級】ハップルチャレンジ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923</v>
          </cell>
          <cell r="AD558">
            <v>6</v>
          </cell>
          <cell r="AE558" t="str">
            <v>singleonly</v>
          </cell>
        </row>
        <row r="559">
          <cell r="A559" t="str">
            <v>60010_2</v>
          </cell>
          <cell r="B559">
            <v>1</v>
          </cell>
          <cell r="C559">
            <v>60010</v>
          </cell>
          <cell r="D559" t="str">
            <v>ハップルチャレンジ</v>
          </cell>
          <cell r="E559" t="str">
            <v>ランキング2（ハップル）</v>
          </cell>
          <cell r="F559">
            <v>2</v>
          </cell>
          <cell r="G559" t="str">
            <v>ja</v>
          </cell>
          <cell r="H559" t="str">
            <v>【超級】ハップルチャレンジ</v>
          </cell>
          <cell r="I559" t="str">
            <v>超級</v>
          </cell>
          <cell r="J559">
            <v>489</v>
          </cell>
          <cell r="K559">
            <v>35</v>
          </cell>
          <cell r="L559">
            <v>4200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none</v>
          </cell>
          <cell r="T559">
            <v>0</v>
          </cell>
          <cell r="U559">
            <v>60010</v>
          </cell>
          <cell r="V559">
            <v>2</v>
          </cell>
          <cell r="W559" t="str">
            <v>【超級】ハップルチャレンジ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923</v>
          </cell>
          <cell r="AD559">
            <v>6</v>
          </cell>
          <cell r="AE559" t="str">
            <v>singleonly</v>
          </cell>
        </row>
        <row r="560">
          <cell r="A560" t="str">
            <v>60010_3</v>
          </cell>
          <cell r="B560">
            <v>1</v>
          </cell>
          <cell r="C560">
            <v>60010</v>
          </cell>
          <cell r="D560" t="str">
            <v>ハップルチャレンジ</v>
          </cell>
          <cell r="E560" t="str">
            <v>ランキング2（ハップル）</v>
          </cell>
          <cell r="F560">
            <v>3</v>
          </cell>
          <cell r="G560" t="str">
            <v>ja</v>
          </cell>
          <cell r="H560" t="str">
            <v>【ウィザード級】ハップルチャレンジ</v>
          </cell>
          <cell r="I560" t="str">
            <v>ウィザード級</v>
          </cell>
          <cell r="J560">
            <v>1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none</v>
          </cell>
          <cell r="T560">
            <v>0</v>
          </cell>
          <cell r="U560">
            <v>60010</v>
          </cell>
          <cell r="V560">
            <v>3</v>
          </cell>
          <cell r="W560" t="str">
            <v>【ウィザード級】ハップルチャレンジ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923</v>
          </cell>
          <cell r="AD560">
            <v>6</v>
          </cell>
          <cell r="AE560" t="str">
            <v>singleonly</v>
          </cell>
        </row>
        <row r="561">
          <cell r="A561" t="str">
            <v>65535_1</v>
          </cell>
          <cell r="B561">
            <v>1</v>
          </cell>
          <cell r="C561">
            <v>65535</v>
          </cell>
          <cell r="D561" t="str">
            <v>検証クエスト</v>
          </cell>
          <cell r="E561" t="str">
            <v>検証</v>
          </cell>
          <cell r="F561">
            <v>1</v>
          </cell>
          <cell r="G561" t="str">
            <v>ja</v>
          </cell>
          <cell r="H561" t="str">
            <v>テンプレート</v>
          </cell>
          <cell r="I561" t="str">
            <v>検証</v>
          </cell>
          <cell r="J561" t="str">
            <v>NULL</v>
          </cell>
          <cell r="K561">
            <v>1</v>
          </cell>
          <cell r="L561">
            <v>1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none</v>
          </cell>
          <cell r="T561">
            <v>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903</v>
          </cell>
          <cell r="AD561">
            <v>6</v>
          </cell>
          <cell r="AE561" t="str">
            <v>everyone</v>
          </cell>
        </row>
        <row r="562">
          <cell r="A562" t="str">
            <v>65535_2</v>
          </cell>
          <cell r="B562">
            <v>1</v>
          </cell>
          <cell r="C562">
            <v>65535</v>
          </cell>
          <cell r="D562" t="str">
            <v>検証クエスト</v>
          </cell>
          <cell r="E562" t="str">
            <v>検証</v>
          </cell>
          <cell r="F562">
            <v>2</v>
          </cell>
          <cell r="G562" t="str">
            <v>ja</v>
          </cell>
          <cell r="H562" t="str">
            <v>ランクアップクエスト</v>
          </cell>
          <cell r="I562" t="str">
            <v>検証</v>
          </cell>
          <cell r="J562" t="str">
            <v>NULL</v>
          </cell>
          <cell r="K562">
            <v>1</v>
          </cell>
          <cell r="L562">
            <v>65535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none</v>
          </cell>
          <cell r="T562">
            <v>0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903</v>
          </cell>
          <cell r="AD562">
            <v>6</v>
          </cell>
          <cell r="AE562" t="str">
            <v>everyone</v>
          </cell>
        </row>
        <row r="563">
          <cell r="A563" t="str">
            <v>65535_3</v>
          </cell>
          <cell r="B563">
            <v>1</v>
          </cell>
          <cell r="C563">
            <v>65535</v>
          </cell>
          <cell r="D563" t="str">
            <v>検証クエスト</v>
          </cell>
          <cell r="E563" t="str">
            <v>検証</v>
          </cell>
          <cell r="F563">
            <v>3</v>
          </cell>
          <cell r="G563" t="str">
            <v>ja</v>
          </cell>
          <cell r="H563" t="str">
            <v>サンドボックス</v>
          </cell>
          <cell r="I563" t="str">
            <v>検証</v>
          </cell>
          <cell r="J563" t="str">
            <v>NULL</v>
          </cell>
          <cell r="K563">
            <v>1</v>
          </cell>
          <cell r="L563">
            <v>1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none</v>
          </cell>
          <cell r="T563">
            <v>0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105</v>
          </cell>
          <cell r="AD563">
            <v>6</v>
          </cell>
          <cell r="AE563" t="str">
            <v>everyone</v>
          </cell>
        </row>
        <row r="564">
          <cell r="A564" t="str">
            <v>60021_3</v>
          </cell>
          <cell r="B564">
            <v>1</v>
          </cell>
          <cell r="C564">
            <v>60021</v>
          </cell>
          <cell r="D564" t="str">
            <v>【月曜限定】 黄の素材verハンプ検証</v>
          </cell>
          <cell r="E564" t="str">
            <v>検証</v>
          </cell>
          <cell r="F564">
            <v>3</v>
          </cell>
          <cell r="G564" t="str">
            <v>ja</v>
          </cell>
          <cell r="H564" t="str">
            <v>【上級】ハンプティ検証</v>
          </cell>
          <cell r="I564" t="str">
            <v>上級</v>
          </cell>
          <cell r="J564">
            <v>84</v>
          </cell>
          <cell r="K564">
            <v>20</v>
          </cell>
          <cell r="L564">
            <v>860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none</v>
          </cell>
          <cell r="T564">
            <v>0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101</v>
          </cell>
          <cell r="AD564">
            <v>6</v>
          </cell>
          <cell r="AE564" t="str">
            <v>everyone</v>
          </cell>
        </row>
        <row r="565">
          <cell r="A565" t="str">
            <v>60022_3</v>
          </cell>
          <cell r="B565">
            <v>1</v>
          </cell>
          <cell r="C565">
            <v>60022</v>
          </cell>
          <cell r="D565" t="str">
            <v>【火曜限定】 赤の素材verハンプ検証</v>
          </cell>
          <cell r="E565" t="str">
            <v>検証</v>
          </cell>
          <cell r="F565">
            <v>3</v>
          </cell>
          <cell r="G565" t="str">
            <v>ja</v>
          </cell>
          <cell r="H565" t="str">
            <v>【上級】ハンプティ検証</v>
          </cell>
          <cell r="I565" t="str">
            <v>上級</v>
          </cell>
          <cell r="J565">
            <v>84</v>
          </cell>
          <cell r="K565">
            <v>20</v>
          </cell>
          <cell r="L565">
            <v>860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none</v>
          </cell>
          <cell r="T565">
            <v>0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101</v>
          </cell>
          <cell r="AD565">
            <v>6</v>
          </cell>
          <cell r="AE565" t="str">
            <v>everyone</v>
          </cell>
        </row>
        <row r="566">
          <cell r="A566" t="str">
            <v>60023_3</v>
          </cell>
          <cell r="B566">
            <v>1</v>
          </cell>
          <cell r="C566">
            <v>60023</v>
          </cell>
          <cell r="D566" t="str">
            <v>【水曜限定】 青の素材verハンプ検証</v>
          </cell>
          <cell r="E566" t="str">
            <v>検証</v>
          </cell>
          <cell r="F566">
            <v>3</v>
          </cell>
          <cell r="G566" t="str">
            <v>ja</v>
          </cell>
          <cell r="H566" t="str">
            <v>【上級】ハンプティ検証</v>
          </cell>
          <cell r="I566" t="str">
            <v>上級</v>
          </cell>
          <cell r="J566">
            <v>84</v>
          </cell>
          <cell r="K566">
            <v>20</v>
          </cell>
          <cell r="L566">
            <v>860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none</v>
          </cell>
          <cell r="T566">
            <v>0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101</v>
          </cell>
          <cell r="AD566">
            <v>6</v>
          </cell>
          <cell r="AE566" t="str">
            <v>everyone</v>
          </cell>
        </row>
        <row r="567">
          <cell r="A567" t="str">
            <v>60024_3</v>
          </cell>
          <cell r="B567">
            <v>1</v>
          </cell>
          <cell r="C567">
            <v>60024</v>
          </cell>
          <cell r="D567" t="str">
            <v>【木曜限定】 緑の素材verハンプ検証</v>
          </cell>
          <cell r="E567" t="str">
            <v>検証</v>
          </cell>
          <cell r="F567">
            <v>3</v>
          </cell>
          <cell r="G567" t="str">
            <v>ja</v>
          </cell>
          <cell r="H567" t="str">
            <v>【上級】ハンプティ検証</v>
          </cell>
          <cell r="I567" t="str">
            <v>上級</v>
          </cell>
          <cell r="J567">
            <v>84</v>
          </cell>
          <cell r="K567">
            <v>20</v>
          </cell>
          <cell r="L567">
            <v>860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none</v>
          </cell>
          <cell r="T567">
            <v>0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101</v>
          </cell>
          <cell r="AD567">
            <v>6</v>
          </cell>
          <cell r="AE567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  <row r="979">
          <cell r="A979">
            <v>8001</v>
          </cell>
        </row>
        <row r="980">
          <cell r="A980">
            <v>8002</v>
          </cell>
        </row>
        <row r="981">
          <cell r="A981">
            <v>8003</v>
          </cell>
        </row>
        <row r="982">
          <cell r="A982">
            <v>8004</v>
          </cell>
        </row>
        <row r="983">
          <cell r="A983">
            <v>8005</v>
          </cell>
        </row>
        <row r="984">
          <cell r="A984">
            <v>8006</v>
          </cell>
        </row>
        <row r="985">
          <cell r="A985">
            <v>8007</v>
          </cell>
        </row>
        <row r="986">
          <cell r="A986">
            <v>8008</v>
          </cell>
        </row>
        <row r="987">
          <cell r="A987">
            <v>8009</v>
          </cell>
        </row>
        <row r="988">
          <cell r="A988">
            <v>8010</v>
          </cell>
        </row>
        <row r="989">
          <cell r="A989">
            <v>8011</v>
          </cell>
        </row>
        <row r="990">
          <cell r="A990">
            <v>8012</v>
          </cell>
        </row>
        <row r="991">
          <cell r="A991">
            <v>8013</v>
          </cell>
        </row>
        <row r="992">
          <cell r="A992">
            <v>8014</v>
          </cell>
        </row>
        <row r="993">
          <cell r="A993">
            <v>8015</v>
          </cell>
        </row>
        <row r="994">
          <cell r="A994">
            <v>8016</v>
          </cell>
        </row>
        <row r="995">
          <cell r="A995">
            <v>8017</v>
          </cell>
        </row>
        <row r="996">
          <cell r="A996">
            <v>8018</v>
          </cell>
        </row>
        <row r="997">
          <cell r="A997">
            <v>8019</v>
          </cell>
        </row>
        <row r="998">
          <cell r="A998">
            <v>8020</v>
          </cell>
        </row>
        <row r="999">
          <cell r="A999">
            <v>8021</v>
          </cell>
        </row>
        <row r="1000">
          <cell r="A1000">
            <v>8022</v>
          </cell>
        </row>
        <row r="1001">
          <cell r="A1001">
            <v>8023</v>
          </cell>
        </row>
        <row r="1002">
          <cell r="A1002">
            <v>8024</v>
          </cell>
        </row>
        <row r="1003">
          <cell r="A1003">
            <v>8025</v>
          </cell>
        </row>
        <row r="1004">
          <cell r="A1004">
            <v>8026</v>
          </cell>
        </row>
        <row r="1005">
          <cell r="A1005">
            <v>8027</v>
          </cell>
        </row>
        <row r="1006">
          <cell r="A1006">
            <v>8028</v>
          </cell>
        </row>
        <row r="1007">
          <cell r="A1007">
            <v>8029</v>
          </cell>
        </row>
        <row r="1008">
          <cell r="A1008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22" sqref="C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250</v>
      </c>
      <c r="B2" s="56" t="s">
        <v>105</v>
      </c>
      <c r="C2" s="61">
        <v>40010</v>
      </c>
      <c r="D2" s="56" t="s">
        <v>106</v>
      </c>
      <c r="E2" s="55" t="str">
        <f>B2&amp;C2&amp;D2</f>
        <v>floors_40010.tmp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250</v>
      </c>
      <c r="B3" s="56" t="s">
        <v>108</v>
      </c>
      <c r="C3" s="61">
        <f>C$2</f>
        <v>40010</v>
      </c>
      <c r="D3" s="56" t="s">
        <v>106</v>
      </c>
      <c r="E3" s="55" t="str">
        <f>B3&amp;C3&amp;D3</f>
        <v>enemy_habitats_40010.tmp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177</v>
      </c>
    </row>
    <row r="4" spans="1:30" x14ac:dyDescent="0.15">
      <c r="A4" s="60" t="s">
        <v>250</v>
      </c>
      <c r="B4" s="56" t="s">
        <v>110</v>
      </c>
      <c r="C4" s="61">
        <f t="shared" ref="C4:C12" si="0">C$2</f>
        <v>40010</v>
      </c>
      <c r="D4" s="56" t="s">
        <v>106</v>
      </c>
      <c r="E4" s="55" t="str">
        <f>B4&amp;C4&amp;D4</f>
        <v>enemy_habitat_S_40010.tmp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250</v>
      </c>
      <c r="B5" s="56" t="s">
        <v>112</v>
      </c>
      <c r="C5" s="61">
        <f t="shared" si="0"/>
        <v>40010</v>
      </c>
      <c r="D5" s="56" t="s">
        <v>106</v>
      </c>
      <c r="E5" s="55" t="str">
        <f>B5&amp;C5&amp;D5</f>
        <v>enemy_skill_sets_40010.tmp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250</v>
      </c>
      <c r="B6" s="56" t="s">
        <v>114</v>
      </c>
      <c r="C6" s="61">
        <f t="shared" si="0"/>
        <v>40010</v>
      </c>
      <c r="D6" s="56" t="s">
        <v>115</v>
      </c>
      <c r="E6" s="55" t="str">
        <f t="shared" ref="E6:E10" si="1">B6&amp;C6&amp;D6</f>
        <v>enemy_skills_tmp_40010.tmp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250</v>
      </c>
      <c r="B7" s="56" t="s">
        <v>116</v>
      </c>
      <c r="C7" s="61">
        <f t="shared" si="0"/>
        <v>40010</v>
      </c>
      <c r="D7" s="56" t="s">
        <v>106</v>
      </c>
      <c r="E7" s="55" t="str">
        <f>B7&amp;C7&amp;D7</f>
        <v>enemy_skills_i18n_40010.tmp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250</v>
      </c>
      <c r="B8" s="56" t="s">
        <v>118</v>
      </c>
      <c r="C8" s="61">
        <f t="shared" si="0"/>
        <v>40010</v>
      </c>
      <c r="D8" s="56" t="s">
        <v>119</v>
      </c>
      <c r="E8" s="55" t="str">
        <f t="shared" si="1"/>
        <v>enemy_skill_triggers_40010.tmp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250</v>
      </c>
      <c r="B9" s="66" t="s">
        <v>176</v>
      </c>
      <c r="C9" s="61">
        <f t="shared" si="0"/>
        <v>40010</v>
      </c>
      <c r="D9" s="66" t="s">
        <v>170</v>
      </c>
      <c r="E9" s="67" t="str">
        <f t="shared" si="1"/>
        <v>stage_bug_bonuses_40010.tmp</v>
      </c>
      <c r="F9" s="66" t="s">
        <v>171</v>
      </c>
      <c r="G9" s="63" t="s">
        <v>149</v>
      </c>
      <c r="H9" s="63" t="s">
        <v>172</v>
      </c>
      <c r="I9" s="63" t="s">
        <v>173</v>
      </c>
      <c r="J9" s="65" t="s">
        <v>174</v>
      </c>
      <c r="K9" s="63" t="s">
        <v>175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</row>
    <row r="10" spans="1:30" s="74" customFormat="1" x14ac:dyDescent="0.15">
      <c r="A10" s="60" t="s">
        <v>250</v>
      </c>
      <c r="B10" s="66" t="s">
        <v>200</v>
      </c>
      <c r="C10" s="61">
        <f>C$2</f>
        <v>40010</v>
      </c>
      <c r="D10" s="66" t="s">
        <v>179</v>
      </c>
      <c r="E10" s="67" t="str">
        <f t="shared" si="1"/>
        <v>stage_hints_data_c_40010.tmp</v>
      </c>
      <c r="F10" s="66" t="s">
        <v>208</v>
      </c>
      <c r="G10" s="71" t="s">
        <v>180</v>
      </c>
      <c r="H10" s="71" t="s">
        <v>172</v>
      </c>
      <c r="I10" s="72" t="s">
        <v>181</v>
      </c>
      <c r="J10" s="65" t="s">
        <v>182</v>
      </c>
      <c r="K10" s="73" t="s">
        <v>183</v>
      </c>
    </row>
    <row r="11" spans="1:30" s="74" customFormat="1" x14ac:dyDescent="0.15">
      <c r="A11" s="60" t="s">
        <v>250</v>
      </c>
      <c r="B11" s="66" t="s">
        <v>201</v>
      </c>
      <c r="C11" s="61">
        <f t="shared" si="0"/>
        <v>40010</v>
      </c>
      <c r="D11" s="66" t="s">
        <v>170</v>
      </c>
      <c r="E11" s="67" t="str">
        <f t="shared" ref="E11:E12" si="2">B11&amp;C11&amp;D11</f>
        <v>stage_hints_data_f_40010.tmp</v>
      </c>
      <c r="F11" s="66" t="s">
        <v>209</v>
      </c>
      <c r="G11" s="71" t="s">
        <v>180</v>
      </c>
      <c r="H11" s="71" t="s">
        <v>172</v>
      </c>
      <c r="I11" s="72" t="s">
        <v>181</v>
      </c>
      <c r="J11" s="65" t="s">
        <v>182</v>
      </c>
      <c r="K11" s="73" t="s">
        <v>183</v>
      </c>
    </row>
    <row r="12" spans="1:30" s="74" customFormat="1" x14ac:dyDescent="0.15">
      <c r="A12" s="60" t="s">
        <v>250</v>
      </c>
      <c r="B12" s="66" t="s">
        <v>202</v>
      </c>
      <c r="C12" s="61">
        <f t="shared" si="0"/>
        <v>40010</v>
      </c>
      <c r="D12" s="66" t="s">
        <v>170</v>
      </c>
      <c r="E12" s="67" t="str">
        <f t="shared" si="2"/>
        <v>stage_hints_i18n_40010.tmp</v>
      </c>
      <c r="F12" s="66" t="s">
        <v>210</v>
      </c>
      <c r="G12" s="72" t="s">
        <v>203</v>
      </c>
      <c r="H12" s="94" t="s">
        <v>204</v>
      </c>
      <c r="I12" s="71" t="s">
        <v>205</v>
      </c>
      <c r="J12" s="95" t="s">
        <v>206</v>
      </c>
      <c r="K12" s="73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I24" sqref="I2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40010_1-1</v>
      </c>
      <c r="B2" s="16" t="str">
        <f>IF(COUNTIF(enemy_habitats!$H:$H,A2),"OK","NG")</f>
        <v>OK</v>
      </c>
      <c r="C2" s="7">
        <v>40010</v>
      </c>
      <c r="D2" s="11" t="str">
        <f ca="1">VLOOKUP($C2,OFFSET([2]quests!$A$1,0,0,COUNTA([2]quests!$A:$A),MATCH(D$1,[2]quests!$1:$1,0)-MATCH($C$1,[2]quests!$1:$1,0)+1),MATCH(D$1,[2]quests!$1:$1,0)-MATCH($C$1,[2]quests!$1:$1,0)+1,FALSE)</f>
        <v>フレイ襲来！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降臨10</v>
      </c>
      <c r="F2" s="21">
        <v>1</v>
      </c>
      <c r="G2" s="23" t="str">
        <f>C2&amp;"_"&amp;F2</f>
        <v>40010_1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【ウィザード級】フレイ襲来 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40010_1-2</v>
      </c>
      <c r="B3" s="16" t="str">
        <f>IF(COUNTIF(enemy_habitats!$H:$H,A3),"OK","NG")</f>
        <v>OK</v>
      </c>
      <c r="C3" s="7">
        <v>40010</v>
      </c>
      <c r="D3" s="11" t="str">
        <f ca="1">VLOOKUP($C3,OFFSET([2]quests!$A$1,0,0,COUNTA([2]quests!$A:$A),MATCH(D$1,[2]quests!$1:$1,0)-MATCH($C$1,[2]quests!$1:$1,0)+1),MATCH(D$1,[2]quests!$1:$1,0)-MATCH($C$1,[2]quests!$1:$1,0)+1,FALSE)</f>
        <v>フレイ襲来！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降臨10</v>
      </c>
      <c r="F3" s="21">
        <v>1</v>
      </c>
      <c r="G3" s="23" t="str">
        <f t="shared" ref="G3:G5" si="1">C3&amp;"_"&amp;F3</f>
        <v>40010_1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【ウィザード級】フレイ襲来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40010_1-3</v>
      </c>
      <c r="B4" s="16" t="str">
        <f>IF(COUNTIF(enemy_habitats!$H:$H,A4),"OK","NG")</f>
        <v>OK</v>
      </c>
      <c r="C4" s="7">
        <v>40010</v>
      </c>
      <c r="D4" s="11" t="str">
        <f ca="1">VLOOKUP($C4,OFFSET([2]quests!$A$1,0,0,COUNTA([2]quests!$A:$A),MATCH(D$1,[2]quests!$1:$1,0)-MATCH($C$1,[2]quests!$1:$1,0)+1),MATCH(D$1,[2]quests!$1:$1,0)-MATCH($C$1,[2]quests!$1:$1,0)+1,FALSE)</f>
        <v>フレイ襲来！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降臨10</v>
      </c>
      <c r="F4" s="21">
        <v>1</v>
      </c>
      <c r="G4" s="23" t="str">
        <f t="shared" si="1"/>
        <v>40010_1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【ウィザード級】フレイ襲来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40010_1-4</v>
      </c>
      <c r="B5" s="16" t="str">
        <f>IF(COUNTIF(enemy_habitats!$H:$H,A5),"OK","NG")</f>
        <v>OK</v>
      </c>
      <c r="C5" s="7">
        <v>40010</v>
      </c>
      <c r="D5" s="11" t="str">
        <f ca="1">VLOOKUP($C5,OFFSET([2]quests!$A$1,0,0,COUNTA([2]quests!$A:$A),MATCH(D$1,[2]quests!$1:$1,0)-MATCH($C$1,[2]quests!$1:$1,0)+1),MATCH(D$1,[2]quests!$1:$1,0)-MATCH($C$1,[2]quests!$1:$1,0)+1,FALSE)</f>
        <v>フレイ襲来！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降臨10</v>
      </c>
      <c r="F5" s="21">
        <v>1</v>
      </c>
      <c r="G5" s="23" t="str">
        <f t="shared" si="1"/>
        <v>40010_1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【ウィザード級】フレイ襲来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M38" sqref="M3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178</v>
      </c>
    </row>
    <row r="2" spans="1:40" ht="21" customHeight="1" x14ac:dyDescent="0.15">
      <c r="A2" s="16" t="str">
        <f t="shared" ref="A2:A7" si="0">B2&amp;"_"&amp;C2&amp;"-"&amp;G2&amp;"/"&amp;L2&amp;"&lt;lv"&amp;R2&amp;"&gt;s"&amp;AA2</f>
        <v>40010_1-1/9&lt;lv80&gt;s2</v>
      </c>
      <c r="B2" s="22">
        <v>40010</v>
      </c>
      <c r="C2" s="21">
        <v>1</v>
      </c>
      <c r="D2" s="2" t="str">
        <f t="shared" ref="D2:D7" si="1">B2&amp;"_"&amp;C2</f>
        <v>40010_1</v>
      </c>
      <c r="E2" s="4" t="str">
        <f ca="1">VLOOKUP($B2,OFFSET([2]quests!$A$1,0,0,COUNTA([2]quests!$A:$A),MATCH(E$1,[2]quests!$1:$1,0)-MATCH($B$1,[2]quests!$1:$1,0)+1),MATCH(E$1,[2]quests!$1:$1,0)-MATCH($B$1,[2]quests!$1:$1,0)+1,FALSE)</f>
        <v>フレイ襲来！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2" s="21">
        <v>1</v>
      </c>
      <c r="H2" s="15" t="str">
        <f t="shared" ref="H2:H7" si="2">B2&amp;"_"&amp;C2&amp;"-"&amp;G2</f>
        <v>40010_1-1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2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黄属性は3ターンスキルが使えない</v>
      </c>
      <c r="W2" s="4">
        <v>40010001</v>
      </c>
      <c r="X2" s="6">
        <v>1</v>
      </c>
      <c r="Y2" s="6">
        <v>100</v>
      </c>
      <c r="Z2" s="6">
        <v>0</v>
      </c>
      <c r="AA2" s="17">
        <v>2</v>
      </c>
      <c r="AB2" s="24">
        <f t="shared" ref="AB2:AB7" si="3">L2</f>
        <v>9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ブレット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Drop1W</v>
      </c>
      <c r="AF2" s="7">
        <v>1</v>
      </c>
      <c r="AG2" s="24">
        <f t="shared" ref="AG2:AG7" ca="1" si="4">AD2</f>
        <v>1</v>
      </c>
      <c r="AH2" s="8">
        <v>15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 t="shared" si="0"/>
        <v>40010_1-1/65&lt;lv80&gt;s2</v>
      </c>
      <c r="B3" s="22">
        <v>40010</v>
      </c>
      <c r="C3" s="21">
        <v>1</v>
      </c>
      <c r="D3" s="2" t="str">
        <f t="shared" si="1"/>
        <v>40010_1</v>
      </c>
      <c r="E3" s="4" t="str">
        <f ca="1">VLOOKUP($B3,OFFSET([2]quests!$A$1,0,0,COUNTA([2]quests!$A:$A),MATCH(E$1,[2]quests!$1:$1,0)-MATCH($B$1,[2]quests!$1:$1,0)+1),MATCH(E$1,[2]quests!$1:$1,0)-MATCH($B$1,[2]quests!$1:$1,0)+1,FALSE)</f>
        <v>フレイ襲来！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3" s="21">
        <v>1</v>
      </c>
      <c r="H3" s="15" t="str">
        <f t="shared" si="2"/>
        <v>40010_1-1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65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ファイアフォックス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2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２連続攻撃</v>
      </c>
      <c r="W3" s="4">
        <v>40010002</v>
      </c>
      <c r="X3" s="6">
        <v>1</v>
      </c>
      <c r="Y3" s="6">
        <v>100</v>
      </c>
      <c r="Z3" s="6">
        <v>0</v>
      </c>
      <c r="AA3" s="17">
        <v>2</v>
      </c>
      <c r="AB3" s="24">
        <f t="shared" si="3"/>
        <v>65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ファイアフォックス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t="shared" ca="1" si="4"/>
        <v>2</v>
      </c>
      <c r="AH3" s="8">
        <v>15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 t="shared" si="0"/>
        <v>40010_1-1/477&lt;lv80&gt;s1</v>
      </c>
      <c r="B4" s="22">
        <v>40010</v>
      </c>
      <c r="C4" s="21">
        <v>1</v>
      </c>
      <c r="D4" s="2" t="str">
        <f t="shared" si="1"/>
        <v>40010_1</v>
      </c>
      <c r="E4" s="4" t="str">
        <f ca="1">VLOOKUP($B4,OFFSET([2]quests!$A$1,0,0,COUNTA([2]quests!$A:$A),MATCH(E$1,[2]quests!$1:$1,0)-MATCH($B$1,[2]quests!$1:$1,0)+1),MATCH(E$1,[2]quests!$1:$1,0)-MATCH($B$1,[2]quests!$1:$1,0)+1,FALSE)</f>
        <v>フレイ襲来！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4" s="21">
        <v>1</v>
      </c>
      <c r="H4" s="15" t="str">
        <f t="shared" si="2"/>
        <v>40010_1-1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477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愛羽妖精 ファータ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1</v>
      </c>
      <c r="T4" s="25">
        <v>0.7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警戒されている！</v>
      </c>
      <c r="W4" s="4">
        <v>40010003</v>
      </c>
      <c r="X4" s="6">
        <v>1</v>
      </c>
      <c r="Y4" s="6">
        <v>101</v>
      </c>
      <c r="Z4" s="6">
        <v>1</v>
      </c>
      <c r="AA4" s="17">
        <v>1</v>
      </c>
      <c r="AB4" s="24">
        <f t="shared" si="3"/>
        <v>477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愛羽妖精 ファータ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ca="1" si="4"/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si="0"/>
        <v>40010_1-2/246&lt;lv80&gt;s1</v>
      </c>
      <c r="B5" s="22">
        <v>40010</v>
      </c>
      <c r="C5" s="21">
        <v>1</v>
      </c>
      <c r="D5" s="2" t="str">
        <f t="shared" si="1"/>
        <v>40010_1</v>
      </c>
      <c r="E5" s="4" t="str">
        <f ca="1">VLOOKUP($B5,OFFSET([2]quests!$A$1,0,0,COUNTA([2]quests!$A:$A),MATCH(E$1,[2]quests!$1:$1,0)-MATCH($B$1,[2]quests!$1:$1,0)+1),MATCH(E$1,[2]quests!$1:$1,0)-MATCH($B$1,[2]quests!$1:$1,0)+1,FALSE)</f>
        <v>フレイ襲来！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5" s="21">
        <v>2</v>
      </c>
      <c r="H5" s="15" t="str">
        <f t="shared" si="2"/>
        <v>40010_1-2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246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真癒の天使 ラファエル・メディカ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2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解除するまで回復力DOWN</v>
      </c>
      <c r="W5" s="4">
        <v>40010004</v>
      </c>
      <c r="X5" s="6">
        <v>1</v>
      </c>
      <c r="Y5" s="6">
        <v>100</v>
      </c>
      <c r="Z5" s="6">
        <v>1</v>
      </c>
      <c r="AA5" s="17">
        <v>1</v>
      </c>
      <c r="AB5" s="24">
        <f t="shared" si="3"/>
        <v>246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真癒の天使 ラファエル・メディカ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5" s="7">
        <v>1</v>
      </c>
      <c r="AG5" s="24">
        <f t="shared" ca="1" si="4"/>
        <v>5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si="0"/>
        <v>40010_1-3/577&lt;lv80&gt;s2</v>
      </c>
      <c r="B6" s="22">
        <v>40010</v>
      </c>
      <c r="C6" s="21">
        <v>1</v>
      </c>
      <c r="D6" s="2" t="str">
        <f t="shared" si="1"/>
        <v>40010_1</v>
      </c>
      <c r="E6" s="4" t="str">
        <f ca="1">VLOOKUP($B6,OFFSET([2]quests!$A$1,0,0,COUNTA([2]quests!$A:$A),MATCH(E$1,[2]quests!$1:$1,0)-MATCH($B$1,[2]quests!$1:$1,0)+1),MATCH(E$1,[2]quests!$1:$1,0)-MATCH($B$1,[2]quests!$1:$1,0)+1,FALSE)</f>
        <v>フレイ襲来！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6" s="21">
        <v>3</v>
      </c>
      <c r="H6" s="15" t="str">
        <f t="shared" si="2"/>
        <v>40010_1-3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1</v>
      </c>
      <c r="L6" s="20">
        <v>577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ビュグヴィルとベイラ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v>2</v>
      </c>
      <c r="T6" s="25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お邪魔パネルが中確率で出現！</v>
      </c>
      <c r="W6" s="4">
        <v>40010008</v>
      </c>
      <c r="X6" s="6">
        <v>1</v>
      </c>
      <c r="Y6" s="6">
        <v>100</v>
      </c>
      <c r="Z6" s="6">
        <v>1</v>
      </c>
      <c r="AA6" s="17">
        <v>2</v>
      </c>
      <c r="AB6" s="24">
        <f t="shared" si="3"/>
        <v>577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ビュグヴィルとベイラ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Drop2N</v>
      </c>
      <c r="AF6" s="7">
        <v>1</v>
      </c>
      <c r="AG6" s="24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si="0"/>
        <v>40010_1-4/575&lt;lv80&gt;s2</v>
      </c>
      <c r="B7" s="22">
        <v>40010</v>
      </c>
      <c r="C7" s="21">
        <v>1</v>
      </c>
      <c r="D7" s="2" t="str">
        <f t="shared" si="1"/>
        <v>40010_1</v>
      </c>
      <c r="E7" s="4" t="str">
        <f ca="1">VLOOKUP($B7,OFFSET([2]quests!$A$1,0,0,COUNTA([2]quests!$A:$A),MATCH(E$1,[2]quests!$1:$1,0)-MATCH($B$1,[2]quests!$1:$1,0)+1),MATCH(E$1,[2]quests!$1:$1,0)-MATCH($B$1,[2]quests!$1:$1,0)+1,FALSE)</f>
        <v>フレイ襲来！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7" s="21">
        <v>4</v>
      </c>
      <c r="H7" s="15" t="str">
        <f t="shared" si="2"/>
        <v>40010_1-4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575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フレイ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3</v>
      </c>
      <c r="T7" s="25">
        <v>0.9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状態異常無効＆次のターンに赤パネル吸収_x000D_＆1ターン赤パネルが出現しない</v>
      </c>
      <c r="W7" s="4">
        <v>40010005</v>
      </c>
      <c r="X7" s="6">
        <v>1</v>
      </c>
      <c r="Y7" s="6">
        <v>101</v>
      </c>
      <c r="Z7" s="6">
        <v>1</v>
      </c>
      <c r="AA7" s="17">
        <v>2</v>
      </c>
      <c r="AB7" s="24">
        <f t="shared" si="3"/>
        <v>575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フレイ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7">
        <v>1</v>
      </c>
      <c r="AG7" s="24">
        <f t="shared" ca="1" si="4"/>
        <v>4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19" sqref="P19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29" t="s">
        <v>127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40010_1-3/578&lt;lv80&gt;sq1st2</v>
      </c>
      <c r="B2" s="22">
        <v>40010</v>
      </c>
      <c r="C2" s="21">
        <v>1</v>
      </c>
      <c r="D2" s="2" t="str">
        <f>B2&amp;"_"&amp;C2</f>
        <v>40010_1</v>
      </c>
      <c r="E2" s="4" t="str">
        <f ca="1">VLOOKUP($B2,OFFSET([2]quests!$A$1,0,0,COUNTA([2]quests!$A:$A),MATCH(E$1,[2]quests!$1:$1,0)-MATCH($B$1,[2]quests!$1:$1,0)+1),MATCH(E$1,[2]quests!$1:$1,0)-MATCH($B$1,[2]quests!$1:$1,0)+1,FALSE)</f>
        <v>フレイ襲来！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2" s="21">
        <v>3</v>
      </c>
      <c r="H2" s="15" t="str">
        <f>B2&amp;"_"&amp;C2&amp;"-"&amp;G2</f>
        <v>40010_1-3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578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穣神従事 ビュグヴィルとベイラ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2</v>
      </c>
      <c r="U2" s="25">
        <v>0.8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40010009</v>
      </c>
      <c r="Y2" s="69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40010_1-4/576&lt;lv80&gt;sq2st2</v>
      </c>
      <c r="B3" s="22">
        <v>40010</v>
      </c>
      <c r="C3" s="21">
        <v>1</v>
      </c>
      <c r="D3" s="2" t="str">
        <f>B3&amp;"_"&amp;C3</f>
        <v>40010_1</v>
      </c>
      <c r="E3" s="4" t="str">
        <f ca="1">VLOOKUP($B3,OFFSET([2]quests!$A$1,0,0,COUNTA([2]quests!$A:$A),MATCH(E$1,[2]quests!$1:$1,0)-MATCH($B$1,[2]quests!$1:$1,0)+1),MATCH(E$1,[2]quests!$1:$1,0)-MATCH($B$1,[2]quests!$1:$1,0)+1,FALSE)</f>
        <v>フレイ襲来！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3" s="21">
        <v>4</v>
      </c>
      <c r="H3" s="15" t="str">
        <f>B3&amp;"_"&amp;C3&amp;"-"&amp;G3</f>
        <v>40010_1-4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576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統勝の豊穣王神 フレイ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3</v>
      </c>
      <c r="U3" s="25">
        <v>0.8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40010006</v>
      </c>
      <c r="Y3" s="69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40010_1-4/576&lt;lv80&gt;sq2st3</v>
      </c>
      <c r="B4" s="22">
        <v>40010</v>
      </c>
      <c r="C4" s="21">
        <v>1</v>
      </c>
      <c r="D4" s="2" t="str">
        <f>B4&amp;"_"&amp;C4</f>
        <v>40010_1</v>
      </c>
      <c r="E4" s="4" t="str">
        <f ca="1">VLOOKUP($B4,OFFSET([2]quests!$A$1,0,0,COUNTA([2]quests!$A:$A),MATCH(E$1,[2]quests!$1:$1,0)-MATCH($B$1,[2]quests!$1:$1,0)+1),MATCH(E$1,[2]quests!$1:$1,0)-MATCH($B$1,[2]quests!$1:$1,0)+1,FALSE)</f>
        <v>フレイ襲来！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【ウィザード級】フレイ襲来 </v>
      </c>
      <c r="G4" s="21">
        <v>4</v>
      </c>
      <c r="H4" s="15" t="str">
        <f>B4&amp;"_"&amp;C4&amp;"-"&amp;G4</f>
        <v>40010_1-4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576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統勝の豊穣王神 フレイ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3</v>
      </c>
      <c r="U4" s="25">
        <v>0.8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40010007</v>
      </c>
      <c r="Y4" s="69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A8" sqref="A8:XFD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thickBot="1" x14ac:dyDescent="0.2">
      <c r="A1" s="39" t="s">
        <v>60</v>
      </c>
      <c r="B1" s="103" t="s">
        <v>61</v>
      </c>
      <c r="C1" s="103" t="s">
        <v>62</v>
      </c>
      <c r="D1" s="104" t="s">
        <v>63</v>
      </c>
      <c r="E1" s="104" t="s">
        <v>64</v>
      </c>
      <c r="F1" s="5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3" t="s">
        <v>71</v>
      </c>
      <c r="L1" s="43" t="s">
        <v>72</v>
      </c>
      <c r="M1" s="43" t="s">
        <v>73</v>
      </c>
      <c r="N1" s="43" t="s">
        <v>74</v>
      </c>
      <c r="O1" s="43" t="s">
        <v>75</v>
      </c>
      <c r="P1" s="104" t="s">
        <v>76</v>
      </c>
      <c r="Q1" s="104" t="s">
        <v>77</v>
      </c>
      <c r="R1" s="104" t="s">
        <v>78</v>
      </c>
    </row>
    <row r="2" spans="1:18" s="114" customFormat="1" ht="21" customHeight="1" x14ac:dyDescent="0.15">
      <c r="A2" s="109" t="str">
        <f t="shared" ref="A2" si="0">B2&amp;"_"&amp;C2</f>
        <v>40010001_40010001</v>
      </c>
      <c r="B2" s="110">
        <v>40010001</v>
      </c>
      <c r="C2" s="110">
        <v>40010001</v>
      </c>
      <c r="D2" s="111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イエローバインド</v>
      </c>
      <c r="E2" s="111" t="str">
        <f ca="1">VLOOKUP($C2,OFFSET(enemy_skills!$A$1,0,0,COUNTA(enemy_skills!$A:$A),MATCH(E$1,enemy_skills!$1:$1,0)-MATCH("enemy_skill_id",enemy_skills!$1:$1,0)+1),MATCH(E$1,enemy_skills!$1:$1,0)-MATCH("enemy_skill_id",enemy_skills!$1:$1,0)+1,FALSE)</f>
        <v>黄属性は3ターンスキルが使えない</v>
      </c>
      <c r="F2" s="110">
        <v>40010001</v>
      </c>
      <c r="G2" s="11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12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11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11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1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1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11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1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1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110" t="s">
        <v>231</v>
      </c>
      <c r="Q2" s="51">
        <v>42418</v>
      </c>
      <c r="R2" s="113" t="s">
        <v>232</v>
      </c>
    </row>
    <row r="3" spans="1:18" s="116" customFormat="1" ht="21" customHeight="1" x14ac:dyDescent="0.15">
      <c r="A3" s="115" t="str">
        <f t="shared" ref="A3:A31" si="1">B3&amp;"_"&amp;C3</f>
        <v>40010001_40010002</v>
      </c>
      <c r="B3" s="46">
        <v>40010001</v>
      </c>
      <c r="C3" s="46">
        <v>40010002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つ、強い！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逃走</v>
      </c>
      <c r="F3" s="46">
        <v>40010002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 t="s">
        <v>231</v>
      </c>
      <c r="Q3" s="51">
        <v>42418</v>
      </c>
      <c r="R3" s="49" t="s">
        <v>211</v>
      </c>
    </row>
    <row r="4" spans="1:18" s="116" customFormat="1" ht="21" customHeight="1" x14ac:dyDescent="0.15">
      <c r="A4" s="115" t="str">
        <f t="shared" si="1"/>
        <v>40010002_40010003</v>
      </c>
      <c r="B4" s="46">
        <v>40010002</v>
      </c>
      <c r="C4" s="46">
        <v>40010003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ダブルタスク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２連続攻撃</v>
      </c>
      <c r="F4" s="46">
        <v>40010003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 t="s">
        <v>231</v>
      </c>
      <c r="Q4" s="51">
        <v>42418</v>
      </c>
      <c r="R4" s="49" t="s">
        <v>214</v>
      </c>
    </row>
    <row r="5" spans="1:18" s="116" customFormat="1" ht="21" customHeight="1" x14ac:dyDescent="0.15">
      <c r="A5" s="115" t="str">
        <f t="shared" si="1"/>
        <v>40010002_40010004</v>
      </c>
      <c r="B5" s="46">
        <v>40010002</v>
      </c>
      <c r="C5" s="46">
        <v>40010004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システムダウン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逃走</v>
      </c>
      <c r="F5" s="46">
        <v>40010004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 t="s">
        <v>231</v>
      </c>
      <c r="Q5" s="51">
        <v>42418</v>
      </c>
      <c r="R5" s="49" t="s">
        <v>214</v>
      </c>
    </row>
    <row r="6" spans="1:18" s="116" customFormat="1" ht="21" customHeight="1" x14ac:dyDescent="0.15">
      <c r="A6" s="115" t="str">
        <f t="shared" ref="A6" si="2">B6&amp;"_"&amp;C6</f>
        <v>40010003_40010028</v>
      </c>
      <c r="B6" s="46">
        <v>40010003</v>
      </c>
      <c r="C6" s="46">
        <v>40010028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侵入者ですかー？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警戒されている！</v>
      </c>
      <c r="F6" s="46">
        <v>40010007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 t="s">
        <v>231</v>
      </c>
      <c r="Q6" s="51">
        <v>42418</v>
      </c>
      <c r="R6" s="49" t="s">
        <v>217</v>
      </c>
    </row>
    <row r="7" spans="1:18" s="116" customFormat="1" ht="21" customHeight="1" x14ac:dyDescent="0.15">
      <c r="A7" s="115" t="str">
        <f t="shared" si="1"/>
        <v>40010003_40010005</v>
      </c>
      <c r="B7" s="46">
        <v>40010003</v>
      </c>
      <c r="C7" s="46">
        <v>40010005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お引き取りくださーい！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回復＆黄属性に大ダメージ</v>
      </c>
      <c r="F7" s="46">
        <v>40010005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 t="s">
        <v>231</v>
      </c>
      <c r="Q7" s="51">
        <v>42418</v>
      </c>
      <c r="R7" s="49" t="s">
        <v>217</v>
      </c>
    </row>
    <row r="8" spans="1:18" s="122" customFormat="1" ht="21" customHeight="1" thickBot="1" x14ac:dyDescent="0.2">
      <c r="A8" s="117" t="str">
        <f t="shared" si="1"/>
        <v>40010003_40010006</v>
      </c>
      <c r="B8" s="118">
        <v>40010003</v>
      </c>
      <c r="C8" s="118">
        <v>40010006</v>
      </c>
      <c r="D8" s="119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ベイラに知らせなきゃ！</v>
      </c>
      <c r="E8" s="119" t="str">
        <f ca="1">VLOOKUP($C8,OFFSET(enemy_skills!$A$1,0,0,COUNTA(enemy_skills!$A:$A),MATCH(E$1,enemy_skills!$1:$1,0)-MATCH("enemy_skill_id",enemy_skills!$1:$1,0)+1),MATCH(E$1,enemy_skills!$1:$1,0)-MATCH("enemy_skill_id",enemy_skills!$1:$1,0)+1,FALSE)</f>
        <v>逃走</v>
      </c>
      <c r="F8" s="118">
        <v>40010006</v>
      </c>
      <c r="G8" s="120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20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" s="120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20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20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20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120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8" s="120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20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18" t="s">
        <v>231</v>
      </c>
      <c r="Q8" s="51">
        <v>42418</v>
      </c>
      <c r="R8" s="121" t="s">
        <v>217</v>
      </c>
    </row>
    <row r="9" spans="1:18" ht="21" customHeight="1" x14ac:dyDescent="0.15">
      <c r="A9" s="39" t="str">
        <f t="shared" si="1"/>
        <v>40010004_40010007</v>
      </c>
      <c r="B9" s="105">
        <v>40010004</v>
      </c>
      <c r="C9" s="105">
        <v>40010007</v>
      </c>
      <c r="D9" s="10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アンチヒール</v>
      </c>
      <c r="E9" s="106" t="str">
        <f ca="1">VLOOKUP($C9,OFFSET(enemy_skills!$A$1,0,0,COUNTA(enemy_skills!$A:$A),MATCH(E$1,enemy_skills!$1:$1,0)-MATCH("enemy_skill_id",enemy_skills!$1:$1,0)+1),MATCH(E$1,enemy_skills!$1:$1,0)-MATCH("enemy_skill_id",enemy_skills!$1:$1,0)+1,FALSE)</f>
        <v>解除するまで回復力DOWN</v>
      </c>
      <c r="F9" s="105">
        <v>40010007</v>
      </c>
      <c r="G9" s="10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10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10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0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0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0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0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0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0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05" t="s">
        <v>231</v>
      </c>
      <c r="Q9" s="51">
        <v>42418</v>
      </c>
      <c r="R9" s="108" t="s">
        <v>220</v>
      </c>
    </row>
    <row r="10" spans="1:18" ht="21" customHeight="1" x14ac:dyDescent="0.15">
      <c r="A10" s="39" t="str">
        <f t="shared" si="1"/>
        <v>40010004_40010008</v>
      </c>
      <c r="B10" s="46">
        <v>40010004</v>
      </c>
      <c r="C10" s="46">
        <v>40010008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アンチリカバリ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3ターンハートパネル無効</v>
      </c>
      <c r="F10" s="46">
        <v>40010008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 t="s">
        <v>231</v>
      </c>
      <c r="Q10" s="51">
        <v>42418</v>
      </c>
      <c r="R10" s="49" t="s">
        <v>220</v>
      </c>
    </row>
    <row r="11" spans="1:18" ht="21" customHeight="1" x14ac:dyDescent="0.15">
      <c r="A11" s="39" t="str">
        <f t="shared" si="1"/>
        <v>40010004_40010009</v>
      </c>
      <c r="B11" s="46">
        <v>40010004</v>
      </c>
      <c r="C11" s="46">
        <v>40010009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ノイズストーム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1" s="46">
        <v>40010009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 t="s">
        <v>231</v>
      </c>
      <c r="Q11" s="51">
        <v>42418</v>
      </c>
      <c r="R11" s="49" t="s">
        <v>220</v>
      </c>
    </row>
    <row r="12" spans="1:18" ht="21" customHeight="1" thickBot="1" x14ac:dyDescent="0.2">
      <c r="A12" s="39" t="str">
        <f t="shared" si="1"/>
        <v>40010004_40010010</v>
      </c>
      <c r="B12" s="123">
        <v>40010004</v>
      </c>
      <c r="C12" s="123">
        <v>40010010</v>
      </c>
      <c r="D12" s="12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リミッタープログラム</v>
      </c>
      <c r="E12" s="12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10ターン攻撃力DOWN</v>
      </c>
      <c r="F12" s="123">
        <v>40010010</v>
      </c>
      <c r="G12" s="12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12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" s="12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25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2" s="12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2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2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2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2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23" t="s">
        <v>231</v>
      </c>
      <c r="Q12" s="51">
        <v>42418</v>
      </c>
      <c r="R12" s="126" t="s">
        <v>220</v>
      </c>
    </row>
    <row r="13" spans="1:18" s="114" customFormat="1" ht="21" customHeight="1" x14ac:dyDescent="0.15">
      <c r="A13" s="109" t="str">
        <f t="shared" si="1"/>
        <v>40010005_40010011</v>
      </c>
      <c r="B13" s="110">
        <v>40010005</v>
      </c>
      <c r="C13" s="110">
        <v>40010011</v>
      </c>
      <c r="D13" s="11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ほう…ベイラを倒したのか。</v>
      </c>
      <c r="E13" s="11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状態異常無効＆次のターンに赤パネル吸収_x000D_＆1ターン赤パネルが出現しない</v>
      </c>
      <c r="F13" s="110">
        <v>40010011</v>
      </c>
      <c r="G13" s="112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112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112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12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112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12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12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12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12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0" t="s">
        <v>231</v>
      </c>
      <c r="Q13" s="51">
        <v>42418</v>
      </c>
      <c r="R13" s="113" t="s">
        <v>222</v>
      </c>
    </row>
    <row r="14" spans="1:18" s="116" customFormat="1" ht="21" customHeight="1" x14ac:dyDescent="0.15">
      <c r="A14" s="115" t="str">
        <f t="shared" si="1"/>
        <v>40010005_40010012</v>
      </c>
      <c r="B14" s="46">
        <v>40010005</v>
      </c>
      <c r="C14" s="46">
        <v>40010012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で、俺に勝てるとでも？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赤パネルを吸収して攻撃力UP</v>
      </c>
      <c r="F14" s="46">
        <v>40010012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 t="s">
        <v>231</v>
      </c>
      <c r="Q14" s="51">
        <v>42418</v>
      </c>
      <c r="R14" s="49" t="s">
        <v>222</v>
      </c>
    </row>
    <row r="15" spans="1:18" s="116" customFormat="1" ht="21" customHeight="1" x14ac:dyDescent="0.15">
      <c r="A15" s="115" t="str">
        <f t="shared" si="1"/>
        <v>40010005_40010013</v>
      </c>
      <c r="B15" s="46">
        <v>40010005</v>
      </c>
      <c r="C15" s="46">
        <v>40010013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フン！卑しいやつらめ！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2ターン緑パネル無効</v>
      </c>
      <c r="F15" s="46">
        <v>40010013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6" t="s">
        <v>231</v>
      </c>
      <c r="Q15" s="51">
        <v>42418</v>
      </c>
      <c r="R15" s="49" t="s">
        <v>222</v>
      </c>
    </row>
    <row r="16" spans="1:18" s="116" customFormat="1" ht="21" customHeight="1" x14ac:dyDescent="0.15">
      <c r="A16" s="115" t="str">
        <f t="shared" si="1"/>
        <v>40010005_40010014</v>
      </c>
      <c r="B16" s="46">
        <v>40010005</v>
      </c>
      <c r="C16" s="46">
        <v>40010014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君は不要な存在だ。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2連続攻撃＆回復力DOWN</v>
      </c>
      <c r="F16" s="46">
        <v>40010014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 t="s">
        <v>231</v>
      </c>
      <c r="Q16" s="51">
        <v>42418</v>
      </c>
      <c r="R16" s="49" t="s">
        <v>222</v>
      </c>
    </row>
    <row r="17" spans="1:18" s="122" customFormat="1" ht="21" customHeight="1" thickBot="1" x14ac:dyDescent="0.2">
      <c r="A17" s="117" t="str">
        <f t="shared" si="1"/>
        <v>40010005_40010015</v>
      </c>
      <c r="B17" s="118">
        <v>40010005</v>
      </c>
      <c r="C17" s="118">
        <v>40010015</v>
      </c>
      <c r="D17" s="119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これでも持って帰れよ！</v>
      </c>
      <c r="E17" s="119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赤パネルを時限式ダメージパネルに変換</v>
      </c>
      <c r="F17" s="118">
        <v>40010015</v>
      </c>
      <c r="G17" s="120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120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7" s="120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120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120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120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120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120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120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18" t="s">
        <v>231</v>
      </c>
      <c r="Q17" s="51">
        <v>42418</v>
      </c>
      <c r="R17" s="121" t="s">
        <v>222</v>
      </c>
    </row>
    <row r="18" spans="1:18" ht="21" customHeight="1" x14ac:dyDescent="0.15">
      <c r="A18" s="39" t="str">
        <f t="shared" si="1"/>
        <v>40010006_40010016</v>
      </c>
      <c r="B18" s="105">
        <v>40010006</v>
      </c>
      <c r="C18" s="105">
        <v>40010016</v>
      </c>
      <c r="D18" s="10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調子に乗るなよ？</v>
      </c>
      <c r="E18" s="10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状態異常無効＆4ターンハートパネル無効</v>
      </c>
      <c r="F18" s="105">
        <v>40010016</v>
      </c>
      <c r="G18" s="10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10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10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0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10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0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0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0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0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05" t="s">
        <v>231</v>
      </c>
      <c r="Q18" s="51">
        <v>42418</v>
      </c>
      <c r="R18" s="108" t="s">
        <v>223</v>
      </c>
    </row>
    <row r="19" spans="1:18" ht="21" customHeight="1" x14ac:dyDescent="0.15">
      <c r="A19" s="39" t="str">
        <f t="shared" si="1"/>
        <v>40010006_40010017</v>
      </c>
      <c r="B19" s="46">
        <v>40010006</v>
      </c>
      <c r="C19" s="46">
        <v>40010017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俺の管理は絶対だ！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6">
        <v>40010017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 t="s">
        <v>231</v>
      </c>
      <c r="Q19" s="51">
        <v>42418</v>
      </c>
      <c r="R19" s="49" t="s">
        <v>223</v>
      </c>
    </row>
    <row r="20" spans="1:18" ht="21" customHeight="1" x14ac:dyDescent="0.15">
      <c r="A20" s="39" t="str">
        <f t="shared" si="1"/>
        <v>40010006_40010018</v>
      </c>
      <c r="B20" s="46">
        <v>40010006</v>
      </c>
      <c r="C20" s="46">
        <v>40010018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君は間違っている！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2連続攻撃＆回復力DOWN</v>
      </c>
      <c r="F20" s="46">
        <v>40010018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 t="s">
        <v>231</v>
      </c>
      <c r="Q20" s="51">
        <v>42418</v>
      </c>
      <c r="R20" s="49" t="s">
        <v>223</v>
      </c>
    </row>
    <row r="21" spans="1:18" ht="21" customHeight="1" thickBot="1" x14ac:dyDescent="0.2">
      <c r="A21" s="39" t="str">
        <f t="shared" si="1"/>
        <v>40010006_40010019</v>
      </c>
      <c r="B21" s="123">
        <v>40010006</v>
      </c>
      <c r="C21" s="123">
        <v>40010019</v>
      </c>
      <c r="D21" s="12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調子に乗るなと言ったろ？</v>
      </c>
      <c r="E21" s="12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21" s="123">
        <v>40010019</v>
      </c>
      <c r="G21" s="12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12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1" s="12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125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1" s="12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12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125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12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12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23" t="s">
        <v>231</v>
      </c>
      <c r="Q21" s="51">
        <v>42418</v>
      </c>
      <c r="R21" s="126" t="s">
        <v>223</v>
      </c>
    </row>
    <row r="22" spans="1:18" s="114" customFormat="1" ht="21" customHeight="1" x14ac:dyDescent="0.15">
      <c r="A22" s="109" t="str">
        <f t="shared" si="1"/>
        <v>40010007_40010020</v>
      </c>
      <c r="B22" s="110">
        <v>40010007</v>
      </c>
      <c r="C22" s="110">
        <v>40010020</v>
      </c>
      <c r="D22" s="111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俺の邪魔をするな！</v>
      </c>
      <c r="E22" s="111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時限式ダメージパネル出現＆状態異常無効</v>
      </c>
      <c r="F22" s="110">
        <v>40010020</v>
      </c>
      <c r="G22" s="112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112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112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12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12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12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112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12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112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10" t="s">
        <v>231</v>
      </c>
      <c r="Q22" s="51">
        <v>42418</v>
      </c>
      <c r="R22" s="113" t="s">
        <v>224</v>
      </c>
    </row>
    <row r="23" spans="1:18" s="116" customFormat="1" ht="21" customHeight="1" x14ac:dyDescent="0.15">
      <c r="A23" s="115" t="str">
        <f t="shared" si="1"/>
        <v>40010007_40010021</v>
      </c>
      <c r="B23" s="46">
        <v>40010007</v>
      </c>
      <c r="C23" s="46">
        <v>40010021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俺は正義なんだぜ？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3" s="46">
        <v>40010021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 t="s">
        <v>231</v>
      </c>
      <c r="Q23" s="51">
        <v>42418</v>
      </c>
      <c r="R23" s="49" t="s">
        <v>224</v>
      </c>
    </row>
    <row r="24" spans="1:18" s="116" customFormat="1" ht="21" customHeight="1" x14ac:dyDescent="0.15">
      <c r="A24" s="115" t="str">
        <f t="shared" si="1"/>
        <v>40010007_40010022</v>
      </c>
      <c r="B24" s="46">
        <v>40010007</v>
      </c>
      <c r="C24" s="46">
        <v>40010022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俺の管理の何が悪い？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ターン経過で強くなる攻撃_x000D_＆1ターン赤パネル無効</v>
      </c>
      <c r="F24" s="46">
        <v>40010022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 t="s">
        <v>231</v>
      </c>
      <c r="Q24" s="51">
        <v>42418</v>
      </c>
      <c r="R24" s="49" t="s">
        <v>224</v>
      </c>
    </row>
    <row r="25" spans="1:18" s="116" customFormat="1" ht="21" customHeight="1" x14ac:dyDescent="0.15">
      <c r="A25" s="115" t="str">
        <f t="shared" si="1"/>
        <v>40010007_40010023</v>
      </c>
      <c r="B25" s="46">
        <v>40010007</v>
      </c>
      <c r="C25" s="46">
        <v>40010023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君も弱いヤツは嫌いだろ？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5" s="46">
        <v>40010023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 t="s">
        <v>231</v>
      </c>
      <c r="Q25" s="51">
        <v>42418</v>
      </c>
      <c r="R25" s="49" t="s">
        <v>224</v>
      </c>
    </row>
    <row r="26" spans="1:18" s="116" customFormat="1" ht="21" customHeight="1" x14ac:dyDescent="0.15">
      <c r="A26" s="115" t="str">
        <f t="shared" si="1"/>
        <v>40010007_40010024</v>
      </c>
      <c r="B26" s="46">
        <v>40010007</v>
      </c>
      <c r="C26" s="46">
        <v>40010024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秩序無き世界は間違いだ！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ターン経過で強くなる攻撃_x000D_＆3ターン防御力UP</v>
      </c>
      <c r="F26" s="46">
        <v>40010024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 t="s">
        <v>231</v>
      </c>
      <c r="Q26" s="51">
        <v>42418</v>
      </c>
      <c r="R26" s="49" t="s">
        <v>224</v>
      </c>
    </row>
    <row r="27" spans="1:18" s="116" customFormat="1" ht="21" customHeight="1" x14ac:dyDescent="0.15">
      <c r="A27" s="115" t="str">
        <f t="shared" si="1"/>
        <v>40010007_40010025</v>
      </c>
      <c r="B27" s="46">
        <v>40010007</v>
      </c>
      <c r="C27" s="46">
        <v>40010025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邪魔する奴は要らない！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ターン経過で強くなる攻撃_x000D_＆回復力DOWN</v>
      </c>
      <c r="F27" s="46">
        <v>40010025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 t="s">
        <v>231</v>
      </c>
      <c r="Q27" s="51">
        <v>42418</v>
      </c>
      <c r="R27" s="49" t="s">
        <v>224</v>
      </c>
    </row>
    <row r="28" spans="1:18" s="116" customFormat="1" ht="21" customHeight="1" x14ac:dyDescent="0.15">
      <c r="A28" s="115" t="str">
        <f t="shared" ref="A28:A30" si="3">B28&amp;"_"&amp;C28</f>
        <v>40010007_40010041</v>
      </c>
      <c r="B28" s="46">
        <v>40010007</v>
      </c>
      <c r="C28" s="101">
        <v>40010041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まだわからないのか！？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8" s="101">
        <v>40010041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 t="s">
        <v>231</v>
      </c>
      <c r="Q28" s="51">
        <v>42418</v>
      </c>
      <c r="R28" s="49" t="s">
        <v>224</v>
      </c>
    </row>
    <row r="29" spans="1:18" s="116" customFormat="1" ht="21" customHeight="1" x14ac:dyDescent="0.15">
      <c r="A29" s="115" t="str">
        <f t="shared" si="3"/>
        <v>40010007_40010042</v>
      </c>
      <c r="B29" s="46">
        <v>40010007</v>
      </c>
      <c r="C29" s="101">
        <v>40010042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そろそろ諦めろよ！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29" s="101">
        <v>40010042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 t="s">
        <v>231</v>
      </c>
      <c r="Q29" s="51">
        <v>42418</v>
      </c>
      <c r="R29" s="49" t="s">
        <v>224</v>
      </c>
    </row>
    <row r="30" spans="1:18" s="116" customFormat="1" ht="21" customHeight="1" x14ac:dyDescent="0.15">
      <c r="A30" s="115" t="str">
        <f t="shared" si="3"/>
        <v>40010007_40010043</v>
      </c>
      <c r="B30" s="46">
        <v>40010007</v>
      </c>
      <c r="C30" s="101">
        <v>40010043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俺が世界に秩序を作る！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30" s="101">
        <v>40010043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 t="s">
        <v>231</v>
      </c>
      <c r="Q30" s="51">
        <v>42418</v>
      </c>
      <c r="R30" s="49" t="s">
        <v>224</v>
      </c>
    </row>
    <row r="31" spans="1:18" s="122" customFormat="1" ht="21" customHeight="1" thickBot="1" x14ac:dyDescent="0.2">
      <c r="A31" s="117" t="str">
        <f t="shared" si="1"/>
        <v>40010007_40010026</v>
      </c>
      <c r="B31" s="118">
        <v>40010007</v>
      </c>
      <c r="C31" s="118">
        <v>40010026</v>
      </c>
      <c r="D31" s="119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これで終わりだ！</v>
      </c>
      <c r="E31" s="119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次のターンに強力な攻撃！</v>
      </c>
      <c r="F31" s="118">
        <v>40010026</v>
      </c>
      <c r="G31" s="120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120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1" s="120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20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120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20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20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120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20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18" t="s">
        <v>231</v>
      </c>
      <c r="Q31" s="51">
        <v>42418</v>
      </c>
      <c r="R31" s="121" t="s">
        <v>224</v>
      </c>
    </row>
    <row r="32" spans="1:18" ht="21" customHeight="1" thickBot="1" x14ac:dyDescent="0.2">
      <c r="A32" s="39" t="str">
        <f t="shared" ref="A32:A42" si="4">B32&amp;"_"&amp;C32</f>
        <v>40010008_40010030</v>
      </c>
      <c r="B32" s="105">
        <v>40010008</v>
      </c>
      <c r="C32" s="105">
        <v>40010030</v>
      </c>
      <c r="D32" s="10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今度こそ排除します！</v>
      </c>
      <c r="E32" s="10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お邪魔パネルが中確率で出現！</v>
      </c>
      <c r="F32" s="105">
        <v>40010028</v>
      </c>
      <c r="G32" s="10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10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10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10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10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10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10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10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10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18" t="s">
        <v>231</v>
      </c>
      <c r="Q32" s="51">
        <v>42418</v>
      </c>
      <c r="R32" s="105" t="s">
        <v>318</v>
      </c>
    </row>
    <row r="33" spans="1:18" ht="21" customHeight="1" thickBot="1" x14ac:dyDescent="0.2">
      <c r="A33" s="39" t="str">
        <f t="shared" si="4"/>
        <v>40010008_40010031</v>
      </c>
      <c r="B33" s="46">
        <v>40010008</v>
      </c>
      <c r="C33" s="46">
        <v>40010031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わ、うわわわわ！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転びながら突っ込んできた！</v>
      </c>
      <c r="F33" s="46">
        <v>40010029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3" s="118" t="s">
        <v>231</v>
      </c>
      <c r="Q33" s="51">
        <v>42418</v>
      </c>
      <c r="R33" s="105" t="s">
        <v>318</v>
      </c>
    </row>
    <row r="34" spans="1:18" ht="21" customHeight="1" thickBot="1" x14ac:dyDescent="0.2">
      <c r="A34" s="39" t="str">
        <f t="shared" si="4"/>
        <v>40010008_40010032</v>
      </c>
      <c r="B34" s="46">
        <v>40010008</v>
      </c>
      <c r="C34" s="46">
        <v>40010032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ツインメルト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2回連続攻撃＆お邪魔パネル2個出現</v>
      </c>
      <c r="F34" s="46">
        <v>40010030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4" s="118" t="s">
        <v>231</v>
      </c>
      <c r="Q34" s="51">
        <v>42418</v>
      </c>
      <c r="R34" s="105" t="s">
        <v>318</v>
      </c>
    </row>
    <row r="35" spans="1:18" ht="21" customHeight="1" thickBot="1" x14ac:dyDescent="0.2">
      <c r="A35" s="39" t="str">
        <f t="shared" si="4"/>
        <v>40010008_40010033</v>
      </c>
      <c r="B35" s="46">
        <v>40010008</v>
      </c>
      <c r="C35" s="46">
        <v>40010033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この先は侵入禁止です！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3ターンウィルス＆回復力DOWN</v>
      </c>
      <c r="F35" s="46">
        <v>40010031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18" t="s">
        <v>231</v>
      </c>
      <c r="Q35" s="51">
        <v>42418</v>
      </c>
      <c r="R35" s="105" t="s">
        <v>318</v>
      </c>
    </row>
    <row r="36" spans="1:18" ht="21" customHeight="1" thickBot="1" x14ac:dyDescent="0.2">
      <c r="A36" s="39" t="str">
        <f t="shared" si="4"/>
        <v>40010008_40010034</v>
      </c>
      <c r="B36" s="46">
        <v>40010008</v>
      </c>
      <c r="C36" s="46">
        <v>40010034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先に行ったらダメー！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3ターン強力なウィルス＆5連続攻撃</v>
      </c>
      <c r="F36" s="46">
        <v>40010032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18" t="s">
        <v>231</v>
      </c>
      <c r="Q36" s="51">
        <v>42418</v>
      </c>
      <c r="R36" s="105" t="s">
        <v>318</v>
      </c>
    </row>
    <row r="37" spans="1:18" ht="21" customHeight="1" thickBot="1" x14ac:dyDescent="0.2">
      <c r="A37" s="39" t="str">
        <f t="shared" si="4"/>
        <v>40010009_40010035</v>
      </c>
      <c r="B37" s="46">
        <v>40010009</v>
      </c>
      <c r="C37" s="46">
        <v>40010035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「ベイラ！畳み掛けるぞ！」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攻撃頻度UP</v>
      </c>
      <c r="F37" s="46">
        <v>40010033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18" t="s">
        <v>231</v>
      </c>
      <c r="Q37" s="51">
        <v>42418</v>
      </c>
      <c r="R37" s="105" t="s">
        <v>318</v>
      </c>
    </row>
    <row r="38" spans="1:18" ht="21" customHeight="1" thickBot="1" x14ac:dyDescent="0.2">
      <c r="A38" s="39" t="str">
        <f t="shared" si="4"/>
        <v>40010009_40010036</v>
      </c>
      <c r="B38" s="46">
        <v>40010009</v>
      </c>
      <c r="C38" s="46">
        <v>40010036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わわっ！足がもつれて…！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転びながら突っ込んできた！</v>
      </c>
      <c r="F38" s="46">
        <v>40010034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38" s="118" t="s">
        <v>231</v>
      </c>
      <c r="Q38" s="51">
        <v>42418</v>
      </c>
      <c r="R38" s="105" t="s">
        <v>318</v>
      </c>
    </row>
    <row r="39" spans="1:18" ht="21" customHeight="1" thickBot="1" x14ac:dyDescent="0.2">
      <c r="A39" s="39" t="str">
        <f t="shared" si="4"/>
        <v>40010009_40010037</v>
      </c>
      <c r="B39" s="46">
        <v>40010009</v>
      </c>
      <c r="C39" s="46">
        <v>40010037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「いくぞ、ベイラ！」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これが私達の力です！</v>
      </c>
      <c r="F39" s="46">
        <v>40010035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9" s="118" t="s">
        <v>231</v>
      </c>
      <c r="Q39" s="51">
        <v>42418</v>
      </c>
      <c r="R39" s="105" t="s">
        <v>318</v>
      </c>
    </row>
    <row r="40" spans="1:18" ht="21" customHeight="1" thickBot="1" x14ac:dyDescent="0.2">
      <c r="A40" s="39" t="str">
        <f t="shared" si="4"/>
        <v>40010009_40010038</v>
      </c>
      <c r="B40" s="46">
        <v>40010009</v>
      </c>
      <c r="C40" s="46">
        <v>40010038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ダブルメルト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4回連続攻撃＆お邪魔パネル出現</v>
      </c>
      <c r="F40" s="46">
        <v>40010036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18" t="s">
        <v>231</v>
      </c>
      <c r="Q40" s="51">
        <v>42418</v>
      </c>
      <c r="R40" s="105" t="s">
        <v>318</v>
      </c>
    </row>
    <row r="41" spans="1:18" ht="21" customHeight="1" thickBot="1" x14ac:dyDescent="0.2">
      <c r="A41" s="39" t="str">
        <f t="shared" si="4"/>
        <v>40010009_40010039</v>
      </c>
      <c r="B41" s="46">
        <v>40010009</v>
      </c>
      <c r="C41" s="46">
        <v>40010039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自己修復します！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41" s="46">
        <v>40010037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18" t="s">
        <v>231</v>
      </c>
      <c r="Q41" s="51">
        <v>42418</v>
      </c>
      <c r="R41" s="105" t="s">
        <v>318</v>
      </c>
    </row>
    <row r="42" spans="1:18" ht="21" customHeight="1" thickBot="1" x14ac:dyDescent="0.2">
      <c r="A42" s="39" t="str">
        <f t="shared" si="4"/>
        <v>40010009_40010040</v>
      </c>
      <c r="B42" s="46">
        <v>40010009</v>
      </c>
      <c r="C42" s="46">
        <v>40010040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フレイ様のためにっ！！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2" s="46">
        <v>40010038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118" t="s">
        <v>231</v>
      </c>
      <c r="Q42" s="51">
        <v>42418</v>
      </c>
      <c r="R42" s="105" t="s">
        <v>318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2"/>
  <sheetViews>
    <sheetView showGridLines="0" tabSelected="1" zoomScale="125" zoomScaleNormal="125" zoomScalePageLayoutView="125" workbookViewId="0">
      <pane ySplit="1" topLeftCell="A2" activePane="bottomLeft" state="frozenSplit"/>
      <selection pane="bottomLeft" activeCell="B2" sqref="B2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6">
        <v>40010001</v>
      </c>
      <c r="B2" s="46" t="s">
        <v>383</v>
      </c>
      <c r="C2" s="49">
        <v>3</v>
      </c>
      <c r="D2" s="49" t="s">
        <v>126</v>
      </c>
      <c r="E2" s="50" t="s">
        <v>306</v>
      </c>
      <c r="F2" s="50" t="s">
        <v>370</v>
      </c>
      <c r="G2" s="62" t="str">
        <f>IFERROR(LEFT(B2,FIND("],",B2)),B2)</f>
        <v xml:space="preserve">[effect:hungup, target:unit_yellow, turn:3, rate:1, animation:hungup01]    </v>
      </c>
      <c r="H2" s="62">
        <f>FIND("effect:",G2)+7</f>
        <v>9</v>
      </c>
      <c r="I2" s="62">
        <f>IFERROR(FIND(",",G2),LEN(G2))</f>
        <v>15</v>
      </c>
      <c r="J2" s="62">
        <f>FIND("target:",G2)+7</f>
        <v>24</v>
      </c>
      <c r="K2" s="62">
        <f>FIND(",",G2,I2+1)</f>
        <v>35</v>
      </c>
      <c r="L2" s="62" t="str">
        <f>IFERROR(VLOOKUP(MID(G2,J2,K2-J2),[6]skilldef!$C:$D,2,FALSE),"-") &amp; " / " &amp; IFERROR(VLOOKUP(MID(G2,H2,I2-H2),[6]skilldef!$A:$B,2,FALSE),"-")</f>
        <v>黄の味方に / ハングアップ</v>
      </c>
      <c r="M2" s="62" t="str">
        <f>IFERROR(RIGHT(B2,LEN(B2)-FIND("],",B2)-1),"none")</f>
        <v>none</v>
      </c>
      <c r="N2" s="47" t="str">
        <f t="shared" ref="N2:N11" si="0">IFERROR(LEFT(M2,FIND("],",M2)+S23),M2)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>
        <v>42418</v>
      </c>
      <c r="AB2" s="50" t="s">
        <v>212</v>
      </c>
    </row>
    <row r="3" spans="1:28" ht="21" customHeight="1" x14ac:dyDescent="0.15">
      <c r="A3" s="46">
        <v>40010002</v>
      </c>
      <c r="B3" s="46" t="s">
        <v>360</v>
      </c>
      <c r="C3" s="49">
        <v>3</v>
      </c>
      <c r="D3" s="49" t="s">
        <v>126</v>
      </c>
      <c r="E3" s="50" t="s">
        <v>335</v>
      </c>
      <c r="F3" s="50" t="s">
        <v>213</v>
      </c>
      <c r="G3" s="62" t="str">
        <f t="shared" ref="G3:G41" si="1">IFERROR(LEFT(B3,FIND("],",B3)),B3)</f>
        <v xml:space="preserve">[effect:suicide, val:1, dead_type:escape, target:myself]    </v>
      </c>
      <c r="H3" s="62">
        <f t="shared" ref="H3:H41" si="2">FIND("effect:",G3)+7</f>
        <v>9</v>
      </c>
      <c r="I3" s="62">
        <f t="shared" ref="I3:I41" si="3">IFERROR(FIND(",",G3),LEN(G3))</f>
        <v>16</v>
      </c>
      <c r="J3" s="62">
        <f t="shared" ref="J3:J41" si="4">FIND("target:",G3)+7</f>
        <v>50</v>
      </c>
      <c r="K3" s="62">
        <f t="shared" ref="K3:K41" si="5">FIND(",",G3,I3+1)</f>
        <v>23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41" si="6">IFERROR(RIGHT(B3,LEN(B3)-FIND("],",B3)-1),"none")</f>
        <v>none</v>
      </c>
      <c r="N3" s="47" t="str">
        <f t="shared" si="0"/>
        <v>none</v>
      </c>
      <c r="O3" s="62" t="e">
        <f t="shared" ref="O3:O41" si="7">FIND("effect:",N3)+7</f>
        <v>#VALUE!</v>
      </c>
      <c r="P3" s="62">
        <f t="shared" ref="P3:P41" si="8">IFERROR(FIND(",",N3),LEN(N3))</f>
        <v>4</v>
      </c>
      <c r="Q3" s="62" t="e">
        <f t="shared" ref="Q3:Q41" si="9">FIND("target:",N3)+7</f>
        <v>#VALUE!</v>
      </c>
      <c r="R3" s="62" t="e">
        <f t="shared" ref="R3:R41" si="10">FIND(",",N3,P3+1)</f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ref="T3:T41" si="11">IFERROR(RIGHT(M3,LEN(M3)-FIND("],",M3)-1),"none")</f>
        <v>none</v>
      </c>
      <c r="U3" s="62" t="e">
        <f t="shared" ref="U3:U41" si="12">FIND("effect:",T3)+7</f>
        <v>#VALUE!</v>
      </c>
      <c r="V3" s="62">
        <f t="shared" ref="V3:V41" si="13">IFERROR(FIND(",",T3),LEN(T3))</f>
        <v>4</v>
      </c>
      <c r="W3" s="62" t="e">
        <f t="shared" ref="W3:W41" si="14">FIND("target:",T3)+7</f>
        <v>#VALUE!</v>
      </c>
      <c r="X3" s="62" t="e">
        <f t="shared" ref="X3:X41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>
        <v>42418</v>
      </c>
      <c r="AB3" s="50" t="s">
        <v>212</v>
      </c>
    </row>
    <row r="4" spans="1:28" ht="21" customHeight="1" x14ac:dyDescent="0.15">
      <c r="A4" s="46">
        <v>40010003</v>
      </c>
      <c r="B4" s="46" t="s">
        <v>267</v>
      </c>
      <c r="C4" s="49">
        <v>3</v>
      </c>
      <c r="D4" s="49" t="s">
        <v>126</v>
      </c>
      <c r="E4" s="50" t="s">
        <v>308</v>
      </c>
      <c r="F4" s="50" t="s">
        <v>288</v>
      </c>
      <c r="G4" s="62" t="str">
        <f t="shared" si="1"/>
        <v>[effect:rush, count:2, val:0.65]</v>
      </c>
      <c r="H4" s="62">
        <f t="shared" si="2"/>
        <v>9</v>
      </c>
      <c r="I4" s="62">
        <f t="shared" si="3"/>
        <v>13</v>
      </c>
      <c r="J4" s="62" t="e">
        <f t="shared" si="4"/>
        <v>#VALUE!</v>
      </c>
      <c r="K4" s="62">
        <f t="shared" si="5"/>
        <v>22</v>
      </c>
      <c r="L4" s="62" t="str">
        <f>IFERROR(VLOOKUP(MID(G4,J4,K4-J4),[6]skilldef!$C:$D,2,FALSE),"-") &amp; " / " &amp; IFERROR(VLOOKUP(MID(G4,H4,I4-H4),[6]skilldef!$A:$B,2,FALSE),"-")</f>
        <v>- / 連続攻撃</v>
      </c>
      <c r="M4" s="62" t="str">
        <f t="shared" si="6"/>
        <v>none</v>
      </c>
      <c r="N4" s="47" t="str">
        <f t="shared" si="0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>
        <v>42418</v>
      </c>
      <c r="AB4" s="50" t="s">
        <v>215</v>
      </c>
    </row>
    <row r="5" spans="1:28" ht="21" customHeight="1" x14ac:dyDescent="0.15">
      <c r="A5" s="46">
        <v>40010004</v>
      </c>
      <c r="B5" s="46" t="s">
        <v>361</v>
      </c>
      <c r="C5" s="49">
        <v>3</v>
      </c>
      <c r="D5" s="49" t="s">
        <v>126</v>
      </c>
      <c r="E5" s="50" t="s">
        <v>309</v>
      </c>
      <c r="F5" s="50" t="s">
        <v>213</v>
      </c>
      <c r="G5" s="62" t="str">
        <f t="shared" si="1"/>
        <v xml:space="preserve">[effect:suicide, val:1, dead_type:escape, target:myself]    </v>
      </c>
      <c r="H5" s="62">
        <f t="shared" si="2"/>
        <v>9</v>
      </c>
      <c r="I5" s="62">
        <f t="shared" si="3"/>
        <v>16</v>
      </c>
      <c r="J5" s="62">
        <f t="shared" si="4"/>
        <v>50</v>
      </c>
      <c r="K5" s="62">
        <f t="shared" si="5"/>
        <v>23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6"/>
        <v>none</v>
      </c>
      <c r="N5" s="47" t="str">
        <f t="shared" si="0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>
        <v>42418</v>
      </c>
      <c r="AB5" s="50" t="s">
        <v>216</v>
      </c>
    </row>
    <row r="6" spans="1:28" ht="21" customHeight="1" x14ac:dyDescent="0.15">
      <c r="A6" s="46">
        <v>40010005</v>
      </c>
      <c r="B6" s="46" t="s">
        <v>336</v>
      </c>
      <c r="C6" s="49">
        <v>3</v>
      </c>
      <c r="D6" s="49" t="s">
        <v>126</v>
      </c>
      <c r="E6" s="50" t="s">
        <v>311</v>
      </c>
      <c r="F6" s="50" t="s">
        <v>371</v>
      </c>
      <c r="G6" s="62" t="str">
        <f t="shared" si="1"/>
        <v>[effect:damage_anti_color, target:unit_all, color:yellow, val1:1.2, val2:0.2]</v>
      </c>
      <c r="H6" s="62">
        <f t="shared" si="2"/>
        <v>9</v>
      </c>
      <c r="I6" s="62">
        <f t="shared" si="3"/>
        <v>26</v>
      </c>
      <c r="J6" s="62">
        <f t="shared" si="4"/>
        <v>35</v>
      </c>
      <c r="K6" s="62">
        <f t="shared" si="5"/>
        <v>43</v>
      </c>
      <c r="L6" s="62" t="str">
        <f>IFERROR(VLOOKUP(MID(G6,J6,K6-J6),[6]skilldef!$C:$D,2,FALSE),"-") &amp; " / " &amp; IFERROR(VLOOKUP(MID(G6,H6,I6-H6),[6]skilldef!$A:$B,2,FALSE),"-")</f>
        <v>味方全体に / 属性キラー</v>
      </c>
      <c r="M6" s="62" t="str">
        <f t="shared" si="6"/>
        <v>[effect:heal, target:enemy_all, val:0.2, animation:enemy_heal]</v>
      </c>
      <c r="N6" s="47" t="str">
        <f t="shared" si="0"/>
        <v>[effect:heal, target:enemy_all, val:0.2, animation:enemy_heal]</v>
      </c>
      <c r="O6" s="62">
        <f t="shared" si="7"/>
        <v>9</v>
      </c>
      <c r="P6" s="62">
        <f t="shared" si="8"/>
        <v>13</v>
      </c>
      <c r="Q6" s="62">
        <f t="shared" si="9"/>
        <v>22</v>
      </c>
      <c r="R6" s="62">
        <f t="shared" si="10"/>
        <v>31</v>
      </c>
      <c r="S6" s="62" t="str">
        <f>IFERROR(VLOOKUP(MID(N6,Q6,R6-Q6),[6]skilldef!$C:$D,2,FALSE),"-") &amp; " / " &amp; IFERROR(VLOOKUP(MID(N6,O6,P6-O6),[6]skilldef!$A:$B,2,FALSE),"-")</f>
        <v>敵全体に / 回復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>
        <v>42418</v>
      </c>
      <c r="AB6" s="50" t="s">
        <v>218</v>
      </c>
    </row>
    <row r="7" spans="1:28" ht="21" customHeight="1" x14ac:dyDescent="0.15">
      <c r="A7" s="46">
        <v>40010006</v>
      </c>
      <c r="B7" s="46" t="s">
        <v>362</v>
      </c>
      <c r="C7" s="49">
        <v>3</v>
      </c>
      <c r="D7" s="49" t="s">
        <v>126</v>
      </c>
      <c r="E7" s="50" t="s">
        <v>310</v>
      </c>
      <c r="F7" s="50" t="s">
        <v>213</v>
      </c>
      <c r="G7" s="62" t="str">
        <f t="shared" si="1"/>
        <v xml:space="preserve">[effect:suicide, val:1, dead_type:escape, target:myself]    </v>
      </c>
      <c r="H7" s="62">
        <f t="shared" si="2"/>
        <v>9</v>
      </c>
      <c r="I7" s="62">
        <f t="shared" si="3"/>
        <v>16</v>
      </c>
      <c r="J7" s="62">
        <f t="shared" si="4"/>
        <v>50</v>
      </c>
      <c r="K7" s="62">
        <f t="shared" si="5"/>
        <v>23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6"/>
        <v>none</v>
      </c>
      <c r="N7" s="47" t="str">
        <f t="shared" si="0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>
        <v>42418</v>
      </c>
      <c r="AB7" s="50" t="s">
        <v>219</v>
      </c>
    </row>
    <row r="8" spans="1:28" ht="21" customHeight="1" x14ac:dyDescent="0.15">
      <c r="A8" s="46">
        <v>40010007</v>
      </c>
      <c r="B8" s="46" t="s">
        <v>337</v>
      </c>
      <c r="C8" s="49">
        <v>3</v>
      </c>
      <c r="D8" s="49" t="s">
        <v>126</v>
      </c>
      <c r="E8" s="50" t="s">
        <v>284</v>
      </c>
      <c r="F8" s="50" t="s">
        <v>369</v>
      </c>
      <c r="G8" s="62" t="str">
        <f t="shared" si="1"/>
        <v>[effect:degrade_unit, target:unit_all, turn:-1, status:heal, val:0.35, calc:mul, animation:degrade_unit_all_heal]</v>
      </c>
      <c r="H8" s="62">
        <f t="shared" si="2"/>
        <v>9</v>
      </c>
      <c r="I8" s="62">
        <f t="shared" si="3"/>
        <v>21</v>
      </c>
      <c r="J8" s="62">
        <f t="shared" si="4"/>
        <v>30</v>
      </c>
      <c r="K8" s="62">
        <f t="shared" si="5"/>
        <v>38</v>
      </c>
      <c r="L8" s="62" t="str">
        <f>IFERROR(VLOOKUP(MID(G8,J8,K8-J8),[6]skilldef!$C:$D,2,FALSE),"-") &amp; " / " &amp; IFERROR(VLOOKUP(MID(G8,H8,I8-H8),[6]skilldef!$A:$B,2,FALSE),"-")</f>
        <v>味方全体に / ステータスDOWN</v>
      </c>
      <c r="M8" s="62" t="str">
        <f t="shared" si="6"/>
        <v>none</v>
      </c>
      <c r="N8" s="47" t="str">
        <f t="shared" si="0"/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>
        <v>42418</v>
      </c>
      <c r="AB8" s="50" t="s">
        <v>265</v>
      </c>
    </row>
    <row r="9" spans="1:28" ht="21" customHeight="1" x14ac:dyDescent="0.15">
      <c r="A9" s="46">
        <v>40010008</v>
      </c>
      <c r="B9" s="46" t="s">
        <v>266</v>
      </c>
      <c r="C9" s="49">
        <v>3</v>
      </c>
      <c r="D9" s="49" t="s">
        <v>126</v>
      </c>
      <c r="E9" s="50" t="s">
        <v>285</v>
      </c>
      <c r="F9" s="50" t="s">
        <v>289</v>
      </c>
      <c r="G9" s="62" t="str">
        <f t="shared" si="1"/>
        <v>[effect:dis_heart, turn:3, animation:enemy_dis_heart]</v>
      </c>
      <c r="H9" s="62">
        <f t="shared" si="2"/>
        <v>9</v>
      </c>
      <c r="I9" s="62">
        <f t="shared" si="3"/>
        <v>18</v>
      </c>
      <c r="J9" s="62" t="e">
        <f t="shared" si="4"/>
        <v>#VALUE!</v>
      </c>
      <c r="K9" s="62">
        <f t="shared" si="5"/>
        <v>26</v>
      </c>
      <c r="L9" s="62" t="str">
        <f>IFERROR(VLOOKUP(MID(G9,J9,K9-J9),[6]skilldef!$C:$D,2,FALSE),"-") &amp; " / " &amp; IFERROR(VLOOKUP(MID(G9,H9,I9-H9),[6]skilldef!$A:$B,2,FALSE),"-")</f>
        <v>- / ディスハート</v>
      </c>
      <c r="M9" s="62" t="str">
        <f t="shared" si="6"/>
        <v>none</v>
      </c>
      <c r="N9" s="47" t="str">
        <f t="shared" si="0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>
        <v>42418</v>
      </c>
      <c r="AB9" s="50" t="s">
        <v>221</v>
      </c>
    </row>
    <row r="10" spans="1:28" ht="21" customHeight="1" x14ac:dyDescent="0.15">
      <c r="A10" s="46">
        <v>40010009</v>
      </c>
      <c r="B10" s="46" t="s">
        <v>299</v>
      </c>
      <c r="C10" s="49">
        <v>3</v>
      </c>
      <c r="D10" s="49" t="s">
        <v>126</v>
      </c>
      <c r="E10" s="50" t="s">
        <v>286</v>
      </c>
      <c r="F10" s="50" t="s">
        <v>258</v>
      </c>
      <c r="G10" s="62" t="str">
        <f t="shared" si="1"/>
        <v>[effect:spread, val:0.28]</v>
      </c>
      <c r="H10" s="62">
        <f t="shared" si="2"/>
        <v>9</v>
      </c>
      <c r="I10" s="62">
        <f t="shared" si="3"/>
        <v>15</v>
      </c>
      <c r="J10" s="62" t="e">
        <f t="shared" si="4"/>
        <v>#VALUE!</v>
      </c>
      <c r="K10" s="62" t="e">
        <f t="shared" si="5"/>
        <v>#VALUE!</v>
      </c>
      <c r="L10" s="62" t="str">
        <f>IFERROR(VLOOKUP(MID(G10,J10,K10-J10),[6]skilldef!$C:$D,2,FALSE),"-") &amp; " / " &amp; IFERROR(VLOOKUP(MID(G10,H10,I10-H10),[6]skilldef!$A:$B,2,FALSE),"-")</f>
        <v>- / 全体攻撃</v>
      </c>
      <c r="M10" s="62" t="str">
        <f t="shared" si="6"/>
        <v>none</v>
      </c>
      <c r="N10" s="47" t="str">
        <f t="shared" si="0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>
        <v>42418</v>
      </c>
      <c r="AB10" s="50" t="s">
        <v>221</v>
      </c>
    </row>
    <row r="11" spans="1:28" ht="21" customHeight="1" x14ac:dyDescent="0.15">
      <c r="A11" s="46">
        <v>40010010</v>
      </c>
      <c r="B11" s="46" t="s">
        <v>330</v>
      </c>
      <c r="C11" s="49">
        <v>3</v>
      </c>
      <c r="D11" s="49" t="s">
        <v>126</v>
      </c>
      <c r="E11" s="50" t="s">
        <v>287</v>
      </c>
      <c r="F11" s="50" t="s">
        <v>368</v>
      </c>
      <c r="G11" s="62" t="str">
        <f t="shared" si="1"/>
        <v>[effect:degrade_unit, target:unit_all, turn:10, status:attack, val:0.5, calc:mul]</v>
      </c>
      <c r="H11" s="62">
        <f t="shared" si="2"/>
        <v>9</v>
      </c>
      <c r="I11" s="62">
        <f t="shared" si="3"/>
        <v>21</v>
      </c>
      <c r="J11" s="62">
        <f t="shared" si="4"/>
        <v>30</v>
      </c>
      <c r="K11" s="62">
        <f t="shared" si="5"/>
        <v>38</v>
      </c>
      <c r="L11" s="62" t="str">
        <f>IFERROR(VLOOKUP(MID(G11,J11,K11-J11),[6]skilldef!$C:$D,2,FALSE),"-") &amp; " / " &amp; IFERROR(VLOOKUP(MID(G11,H11,I11-H11),[6]skilldef!$A:$B,2,FALSE),"-")</f>
        <v>味方全体に / ステータスDOWN</v>
      </c>
      <c r="M11" s="62" t="str">
        <f t="shared" si="6"/>
        <v>none</v>
      </c>
      <c r="N11" s="47" t="str">
        <f t="shared" si="0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>
        <v>42418</v>
      </c>
      <c r="AB11" s="50" t="s">
        <v>221</v>
      </c>
    </row>
    <row r="12" spans="1:28" ht="21" customHeight="1" x14ac:dyDescent="0.15">
      <c r="A12" s="101">
        <v>40010030</v>
      </c>
      <c r="B12" s="46" t="s">
        <v>262</v>
      </c>
      <c r="C12" s="49">
        <v>3</v>
      </c>
      <c r="D12" s="49" t="s">
        <v>126</v>
      </c>
      <c r="E12" s="50" t="s">
        <v>351</v>
      </c>
      <c r="F12" s="50" t="s">
        <v>263</v>
      </c>
      <c r="G12" s="62" t="str">
        <f t="shared" ref="G12:G22" si="16">IFERROR(LEFT(B12,FIND("],",B12)),B12)</f>
        <v>[effect:drop_block, block_type:jammer, color:block_all, val:0, rate:0.04, turn:-1, animation:jammer_influence04]</v>
      </c>
      <c r="H12" s="62">
        <f t="shared" ref="H12:H22" si="17">FIND("effect:",G12)+7</f>
        <v>9</v>
      </c>
      <c r="I12" s="62">
        <f t="shared" ref="I12:I22" si="18">IFERROR(FIND(",",G12),LEN(G12))</f>
        <v>19</v>
      </c>
      <c r="J12" s="62" t="e">
        <f t="shared" ref="J12:J22" si="19">FIND("target:",G12)+7</f>
        <v>#VALUE!</v>
      </c>
      <c r="K12" s="62">
        <f t="shared" ref="K12:K22" si="20">FIND(",",G12,I12+1)</f>
        <v>38</v>
      </c>
      <c r="L12" s="62" t="str">
        <f>IFERROR(VLOOKUP(MID(G12,J12,K12-J12),[6]skilldef!$C:$D,2,FALSE),"-") &amp; " / " &amp; IFERROR(VLOOKUP(MID(G12,H12,I12-H12),[6]skilldef!$A:$B,2,FALSE),"-")</f>
        <v>- / 特定ブロックの割合ドロップ</v>
      </c>
      <c r="M12" s="62" t="str">
        <f t="shared" ref="M12:M22" si="21">IFERROR(RIGHT(B12,LEN(B12)-FIND("],",B12)-1),"none")</f>
        <v>none</v>
      </c>
      <c r="N12" s="47" t="str">
        <f t="shared" ref="N12:N15" si="22">IFERROR(LEFT(M12,FIND("],",M12)+S19),M12)</f>
        <v>none</v>
      </c>
      <c r="O12" s="62" t="e">
        <f t="shared" ref="O12:O22" si="23">FIND("effect:",N12)+7</f>
        <v>#VALUE!</v>
      </c>
      <c r="P12" s="62">
        <f t="shared" ref="P12:P22" si="24">IFERROR(FIND(",",N12),LEN(N12))</f>
        <v>4</v>
      </c>
      <c r="Q12" s="62" t="e">
        <f t="shared" ref="Q12:Q22" si="25">FIND("target:",N12)+7</f>
        <v>#VALUE!</v>
      </c>
      <c r="R12" s="62" t="e">
        <f t="shared" ref="R12:R22" si="26">FIND(",",N12,P12+1)</f>
        <v>#VALUE!</v>
      </c>
      <c r="S12" s="62" t="str">
        <f>IFERROR(VLOOKUP(MID(N12,Q12,R12-Q12),[6]skilldef!$C:$D,2,FALSE),"-") &amp; " / " &amp; IFERROR(VLOOKUP(MID(N12,O12,P12-O12),[6]skilldef!$A:$B,2,FALSE),"-")</f>
        <v>- / -</v>
      </c>
      <c r="T12" s="47" t="str">
        <f t="shared" ref="T12:T22" si="27">IFERROR(RIGHT(M12,LEN(M12)-FIND("],",M12)-1),"none")</f>
        <v>none</v>
      </c>
      <c r="U12" s="62" t="e">
        <f t="shared" ref="U12:U22" si="28">FIND("effect:",T12)+7</f>
        <v>#VALUE!</v>
      </c>
      <c r="V12" s="62">
        <f t="shared" ref="V12:V22" si="29">IFERROR(FIND(",",T12),LEN(T12))</f>
        <v>4</v>
      </c>
      <c r="W12" s="62" t="e">
        <f t="shared" ref="W12:W22" si="30">FIND("target:",T12)+7</f>
        <v>#VALUE!</v>
      </c>
      <c r="X12" s="62" t="e">
        <f t="shared" ref="X12:X22" si="31">FIND(",",T12,V12+1)</f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>
        <v>42418</v>
      </c>
      <c r="AB12" s="49" t="s">
        <v>317</v>
      </c>
    </row>
    <row r="13" spans="1:28" ht="21" customHeight="1" x14ac:dyDescent="0.15">
      <c r="A13" s="101">
        <v>40010031</v>
      </c>
      <c r="B13" s="46" t="s">
        <v>321</v>
      </c>
      <c r="C13" s="49">
        <v>3</v>
      </c>
      <c r="D13" s="49" t="s">
        <v>126</v>
      </c>
      <c r="E13" s="50" t="s">
        <v>343</v>
      </c>
      <c r="F13" s="50" t="s">
        <v>264</v>
      </c>
      <c r="G13" s="62" t="str">
        <f t="shared" si="16"/>
        <v>[effect:rush, count:1, val:1.4]</v>
      </c>
      <c r="H13" s="62">
        <f t="shared" si="17"/>
        <v>9</v>
      </c>
      <c r="I13" s="62">
        <f t="shared" si="18"/>
        <v>13</v>
      </c>
      <c r="J13" s="62" t="e">
        <f t="shared" si="19"/>
        <v>#VALUE!</v>
      </c>
      <c r="K13" s="62">
        <f t="shared" si="20"/>
        <v>22</v>
      </c>
      <c r="L13" s="62" t="str">
        <f>IFERROR(VLOOKUP(MID(G13,J13,K13-J13),[6]skilldef!$C:$D,2,FALSE),"-") &amp; " / " &amp; IFERROR(VLOOKUP(MID(G13,H13,I13-H13),[6]skilldef!$A:$B,2,FALSE),"-")</f>
        <v>- / 連続攻撃</v>
      </c>
      <c r="M13" s="62" t="str">
        <f t="shared" si="21"/>
        <v>[effect:suicide, val:0.1, dead_type:suicide, target:myself]</v>
      </c>
      <c r="N13" s="47" t="str">
        <f t="shared" si="22"/>
        <v>[effect:suicide, val:0.1, dead_type:suicide, target:myself]</v>
      </c>
      <c r="O13" s="62">
        <f t="shared" si="23"/>
        <v>9</v>
      </c>
      <c r="P13" s="62">
        <f t="shared" si="24"/>
        <v>16</v>
      </c>
      <c r="Q13" s="62">
        <f t="shared" si="25"/>
        <v>53</v>
      </c>
      <c r="R13" s="62">
        <f t="shared" si="26"/>
        <v>25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27"/>
        <v>none</v>
      </c>
      <c r="U13" s="62" t="e">
        <f t="shared" si="28"/>
        <v>#VALUE!</v>
      </c>
      <c r="V13" s="62">
        <f t="shared" si="29"/>
        <v>4</v>
      </c>
      <c r="W13" s="62" t="e">
        <f t="shared" si="30"/>
        <v>#VALUE!</v>
      </c>
      <c r="X13" s="62" t="e">
        <f t="shared" si="31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>
        <v>42418</v>
      </c>
      <c r="AB13" s="49" t="s">
        <v>270</v>
      </c>
    </row>
    <row r="14" spans="1:28" ht="21" customHeight="1" x14ac:dyDescent="0.15">
      <c r="A14" s="101">
        <v>40010032</v>
      </c>
      <c r="B14" s="46" t="s">
        <v>297</v>
      </c>
      <c r="C14" s="49">
        <v>3</v>
      </c>
      <c r="D14" s="49" t="s">
        <v>254</v>
      </c>
      <c r="E14" s="50" t="s">
        <v>354</v>
      </c>
      <c r="F14" s="50" t="s">
        <v>328</v>
      </c>
      <c r="G14" s="62" t="str">
        <f t="shared" si="16"/>
        <v>[effect:rush, count:2, val:0.5]</v>
      </c>
      <c r="H14" s="62">
        <f t="shared" si="17"/>
        <v>9</v>
      </c>
      <c r="I14" s="62">
        <f t="shared" si="18"/>
        <v>13</v>
      </c>
      <c r="J14" s="62" t="e">
        <f t="shared" si="19"/>
        <v>#VALUE!</v>
      </c>
      <c r="K14" s="62">
        <f t="shared" si="20"/>
        <v>22</v>
      </c>
      <c r="L14" s="62" t="str">
        <f>IFERROR(VLOOKUP(MID(G14,J14,K14-J14),[6]skilldef!$C:$D,2,FALSE),"-") &amp; " / " &amp; IFERROR(VLOOKUP(MID(G14,H14,I14-H14),[6]skilldef!$A:$B,2,FALSE),"-")</f>
        <v>- / 連続攻撃</v>
      </c>
      <c r="M14" s="62" t="str">
        <f t="shared" si="21"/>
        <v>[effect:force_change_block, new_block:jammer, target:block_all, ignore:jammer, ignore02:crash, count:2, val:0, animation:change_block]</v>
      </c>
      <c r="N14" s="47" t="str">
        <f t="shared" si="22"/>
        <v>[effect:force_change_block, new_block:jammer, target:block_all, ignore:jammer, ignore02:crash, count:2, val:0, animation:change_block]</v>
      </c>
      <c r="O14" s="62">
        <f t="shared" si="23"/>
        <v>9</v>
      </c>
      <c r="P14" s="62">
        <f t="shared" si="24"/>
        <v>27</v>
      </c>
      <c r="Q14" s="62">
        <f t="shared" si="25"/>
        <v>54</v>
      </c>
      <c r="R14" s="62">
        <f t="shared" si="26"/>
        <v>45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27"/>
        <v>none</v>
      </c>
      <c r="U14" s="62" t="e">
        <f t="shared" si="28"/>
        <v>#VALUE!</v>
      </c>
      <c r="V14" s="62">
        <f t="shared" si="29"/>
        <v>4</v>
      </c>
      <c r="W14" s="62" t="e">
        <f t="shared" si="30"/>
        <v>#VALUE!</v>
      </c>
      <c r="X14" s="62" t="e">
        <f t="shared" si="31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>
        <v>42418</v>
      </c>
      <c r="AB14" s="49" t="s">
        <v>270</v>
      </c>
    </row>
    <row r="15" spans="1:28" ht="21" customHeight="1" x14ac:dyDescent="0.15">
      <c r="A15" s="101">
        <v>40010033</v>
      </c>
      <c r="B15" s="46" t="s">
        <v>338</v>
      </c>
      <c r="C15" s="49">
        <v>3</v>
      </c>
      <c r="D15" s="49" t="s">
        <v>126</v>
      </c>
      <c r="E15" s="50" t="s">
        <v>349</v>
      </c>
      <c r="F15" s="50" t="s">
        <v>329</v>
      </c>
      <c r="G15" s="62" t="str">
        <f t="shared" si="16"/>
        <v>[effect:virus, turn:3, rate:1, val:0.1, animation:enemy_virus]</v>
      </c>
      <c r="H15" s="62">
        <f t="shared" si="17"/>
        <v>9</v>
      </c>
      <c r="I15" s="62">
        <f t="shared" si="18"/>
        <v>14</v>
      </c>
      <c r="J15" s="62" t="e">
        <f t="shared" si="19"/>
        <v>#VALUE!</v>
      </c>
      <c r="K15" s="62">
        <f t="shared" si="20"/>
        <v>22</v>
      </c>
      <c r="L15" s="62" t="str">
        <f>IFERROR(VLOOKUP(MID(G15,J15,K15-J15),[6]skilldef!$C:$D,2,FALSE),"-") &amp; " / " &amp; IFERROR(VLOOKUP(MID(G15,H15,I15-H15),[6]skilldef!$A:$B,2,FALSE),"-")</f>
        <v>- / ウィルス</v>
      </c>
      <c r="M15" s="62" t="str">
        <f t="shared" si="21"/>
        <v>[effect:degrade_unit, target:unit_all, turn:-1, status:heal, val:0.38, animation:degrade_unit_all_heal],[effect:rush, count:1, val:1.0]</v>
      </c>
      <c r="N15" s="47" t="str">
        <f t="shared" si="22"/>
        <v>[effect:degrade_unit, target:unit_all, turn:-1, status:heal, val:0.38, animation:degrade_unit_all_heal],[effect:rush, count:1, val:1.0]</v>
      </c>
      <c r="O15" s="62">
        <f t="shared" si="23"/>
        <v>9</v>
      </c>
      <c r="P15" s="62">
        <f t="shared" si="24"/>
        <v>21</v>
      </c>
      <c r="Q15" s="62">
        <f t="shared" si="25"/>
        <v>30</v>
      </c>
      <c r="R15" s="62">
        <f t="shared" si="26"/>
        <v>38</v>
      </c>
      <c r="S15" s="62" t="str">
        <f>IFERROR(VLOOKUP(MID(N15,Q15,R15-Q15),[6]skilldef!$C:$D,2,FALSE),"-") &amp; " / " &amp; IFERROR(VLOOKUP(MID(N15,O15,P15-O15),[6]skilldef!$A:$B,2,FALSE),"-")</f>
        <v>味方全体に / ステータスDOWN</v>
      </c>
      <c r="T15" s="47" t="str">
        <f t="shared" si="27"/>
        <v>[effect:rush, count:1, val:1.0]</v>
      </c>
      <c r="U15" s="62">
        <f t="shared" si="28"/>
        <v>9</v>
      </c>
      <c r="V15" s="62">
        <f t="shared" si="29"/>
        <v>13</v>
      </c>
      <c r="W15" s="62" t="e">
        <f t="shared" si="30"/>
        <v>#VALUE!</v>
      </c>
      <c r="X15" s="62">
        <f t="shared" si="31"/>
        <v>22</v>
      </c>
      <c r="Y15" s="62" t="str">
        <f>IFERROR(VLOOKUP(MID(T15,W15,X15-W15),[6]skilldef!$C:$D,2,FALSE),"-") &amp; " / " &amp; IFERROR(VLOOKUP(MID(T15,U15,V15-U15),[6]skilldef!$A:$B,2,FALSE),"-")</f>
        <v>- / 連続攻撃</v>
      </c>
      <c r="Z15" s="49"/>
      <c r="AA15" s="51">
        <v>42418</v>
      </c>
      <c r="AB15" s="49" t="s">
        <v>270</v>
      </c>
    </row>
    <row r="16" spans="1:28" ht="21" customHeight="1" x14ac:dyDescent="0.15">
      <c r="A16" s="101">
        <v>40010034</v>
      </c>
      <c r="B16" s="46" t="s">
        <v>298</v>
      </c>
      <c r="C16" s="49">
        <v>3</v>
      </c>
      <c r="D16" s="49" t="s">
        <v>126</v>
      </c>
      <c r="E16" s="50" t="s">
        <v>350</v>
      </c>
      <c r="F16" s="50" t="s">
        <v>327</v>
      </c>
      <c r="G16" s="62" t="str">
        <f t="shared" si="16"/>
        <v>[effect:virus, turn:3, rate:1, val:0.17, animation:enemy_virus]</v>
      </c>
      <c r="H16" s="62">
        <f t="shared" si="17"/>
        <v>9</v>
      </c>
      <c r="I16" s="62">
        <f t="shared" si="18"/>
        <v>14</v>
      </c>
      <c r="J16" s="62" t="e">
        <f t="shared" si="19"/>
        <v>#VALUE!</v>
      </c>
      <c r="K16" s="62">
        <f t="shared" si="20"/>
        <v>22</v>
      </c>
      <c r="L16" s="62" t="str">
        <f>IFERROR(VLOOKUP(MID(G16,J16,K16-J16),[6]skilldef!$C:$D,2,FALSE),"-") &amp; " / " &amp; IFERROR(VLOOKUP(MID(G16,H16,I16-H16),[6]skilldef!$A:$B,2,FALSE),"-")</f>
        <v>- / ウィルス</v>
      </c>
      <c r="M16" s="62" t="str">
        <f t="shared" si="21"/>
        <v>[effect:rush, count:5, val:0.25]</v>
      </c>
      <c r="N16" s="47" t="str">
        <f>IFERROR(LEFT(M16,FIND("],",M16)+#REF!),M16)</f>
        <v>[effect:rush, count:5, val:0.25]</v>
      </c>
      <c r="O16" s="62">
        <f t="shared" si="23"/>
        <v>9</v>
      </c>
      <c r="P16" s="62">
        <f t="shared" si="24"/>
        <v>13</v>
      </c>
      <c r="Q16" s="62" t="e">
        <f t="shared" si="25"/>
        <v>#VALUE!</v>
      </c>
      <c r="R16" s="62">
        <f t="shared" si="26"/>
        <v>22</v>
      </c>
      <c r="S16" s="62" t="str">
        <f>IFERROR(VLOOKUP(MID(N16,Q16,R16-Q16),[6]skilldef!$C:$D,2,FALSE),"-") &amp; " / " &amp; IFERROR(VLOOKUP(MID(N16,O16,P16-O16),[6]skilldef!$A:$B,2,FALSE),"-")</f>
        <v>- / 連続攻撃</v>
      </c>
      <c r="T16" s="47" t="str">
        <f t="shared" si="27"/>
        <v>none</v>
      </c>
      <c r="U16" s="62" t="e">
        <f t="shared" si="28"/>
        <v>#VALUE!</v>
      </c>
      <c r="V16" s="62">
        <f t="shared" si="29"/>
        <v>4</v>
      </c>
      <c r="W16" s="62" t="e">
        <f t="shared" si="30"/>
        <v>#VALUE!</v>
      </c>
      <c r="X16" s="62" t="e">
        <f t="shared" si="31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>
        <v>42418</v>
      </c>
      <c r="AB16" s="49" t="s">
        <v>270</v>
      </c>
    </row>
    <row r="17" spans="1:28" ht="21" customHeight="1" x14ac:dyDescent="0.15">
      <c r="A17" s="101">
        <v>40010035</v>
      </c>
      <c r="B17" s="46" t="s">
        <v>255</v>
      </c>
      <c r="C17" s="49">
        <v>3</v>
      </c>
      <c r="D17" s="49" t="s">
        <v>256</v>
      </c>
      <c r="E17" s="50" t="s">
        <v>348</v>
      </c>
      <c r="F17" s="50" t="s">
        <v>292</v>
      </c>
      <c r="G17" s="62" t="str">
        <f t="shared" si="16"/>
        <v>[effect:freq_turn, target:myself, turn:-1, val:1, animation:enemy_freq_turn]</v>
      </c>
      <c r="H17" s="62">
        <f t="shared" si="17"/>
        <v>9</v>
      </c>
      <c r="I17" s="62">
        <f t="shared" si="18"/>
        <v>18</v>
      </c>
      <c r="J17" s="62">
        <f t="shared" si="19"/>
        <v>27</v>
      </c>
      <c r="K17" s="62">
        <f t="shared" si="20"/>
        <v>33</v>
      </c>
      <c r="L17" s="62" t="str">
        <f>IFERROR(VLOOKUP(MID(G17,J17,K17-J17),[6]skilldef!$C:$D,2,FALSE),"-") &amp; " / " &amp; IFERROR(VLOOKUP(MID(G17,H17,I17-H17),[6]skilldef!$A:$B,2,FALSE),"-")</f>
        <v>自分自身に / 攻撃頻度がUP</v>
      </c>
      <c r="M17" s="62" t="str">
        <f t="shared" si="21"/>
        <v>none</v>
      </c>
      <c r="N17" s="47" t="str">
        <f t="shared" ref="N17:N22" si="32">IFERROR(LEFT(M17,FIND("],",M17)+S43),M17)</f>
        <v>none</v>
      </c>
      <c r="O17" s="62" t="e">
        <f t="shared" si="23"/>
        <v>#VALUE!</v>
      </c>
      <c r="P17" s="62">
        <f t="shared" si="24"/>
        <v>4</v>
      </c>
      <c r="Q17" s="62" t="e">
        <f t="shared" si="25"/>
        <v>#VALUE!</v>
      </c>
      <c r="R17" s="62" t="e">
        <f t="shared" si="26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27"/>
        <v>none</v>
      </c>
      <c r="U17" s="62" t="e">
        <f t="shared" si="28"/>
        <v>#VALUE!</v>
      </c>
      <c r="V17" s="62">
        <f t="shared" si="29"/>
        <v>4</v>
      </c>
      <c r="W17" s="62" t="e">
        <f t="shared" si="30"/>
        <v>#VALUE!</v>
      </c>
      <c r="X17" s="62" t="e">
        <f t="shared" si="31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>
        <v>42418</v>
      </c>
      <c r="AB17" s="49" t="s">
        <v>270</v>
      </c>
    </row>
    <row r="18" spans="1:28" ht="21" customHeight="1" x14ac:dyDescent="0.15">
      <c r="A18" s="101">
        <v>40010036</v>
      </c>
      <c r="B18" s="46" t="s">
        <v>322</v>
      </c>
      <c r="C18" s="49">
        <v>3</v>
      </c>
      <c r="D18" s="49" t="s">
        <v>126</v>
      </c>
      <c r="E18" s="50" t="s">
        <v>344</v>
      </c>
      <c r="F18" s="50" t="s">
        <v>264</v>
      </c>
      <c r="G18" s="62" t="str">
        <f t="shared" si="16"/>
        <v>[effect:rush, count:1, val:1.45]</v>
      </c>
      <c r="H18" s="62">
        <f t="shared" si="17"/>
        <v>9</v>
      </c>
      <c r="I18" s="62">
        <f t="shared" si="18"/>
        <v>13</v>
      </c>
      <c r="J18" s="62" t="e">
        <f t="shared" si="19"/>
        <v>#VALUE!</v>
      </c>
      <c r="K18" s="62">
        <f t="shared" si="20"/>
        <v>22</v>
      </c>
      <c r="L18" s="62" t="str">
        <f>IFERROR(VLOOKUP(MID(G18,J18,K18-J18),[6]skilldef!$C:$D,2,FALSE),"-") &amp; " / " &amp; IFERROR(VLOOKUP(MID(G18,H18,I18-H18),[6]skilldef!$A:$B,2,FALSE),"-")</f>
        <v>- / 連続攻撃</v>
      </c>
      <c r="M18" s="62" t="str">
        <f t="shared" si="21"/>
        <v>[effect:suicide, val:0.1, dead_type:suicide, target:myself]</v>
      </c>
      <c r="N18" s="47" t="str">
        <f t="shared" si="32"/>
        <v>[effect:suicide, val:0.1, dead_type:suicide, target:myself]</v>
      </c>
      <c r="O18" s="62">
        <f t="shared" si="23"/>
        <v>9</v>
      </c>
      <c r="P18" s="62">
        <f t="shared" si="24"/>
        <v>16</v>
      </c>
      <c r="Q18" s="62">
        <f t="shared" si="25"/>
        <v>53</v>
      </c>
      <c r="R18" s="62">
        <f t="shared" si="26"/>
        <v>25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27"/>
        <v>none</v>
      </c>
      <c r="U18" s="62" t="e">
        <f t="shared" si="28"/>
        <v>#VALUE!</v>
      </c>
      <c r="V18" s="62">
        <f t="shared" si="29"/>
        <v>4</v>
      </c>
      <c r="W18" s="62" t="e">
        <f t="shared" si="30"/>
        <v>#VALUE!</v>
      </c>
      <c r="X18" s="62" t="e">
        <f t="shared" si="31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>
        <v>42418</v>
      </c>
      <c r="AB18" s="49" t="s">
        <v>270</v>
      </c>
    </row>
    <row r="19" spans="1:28" ht="21" customHeight="1" x14ac:dyDescent="0.15">
      <c r="A19" s="101">
        <v>40010037</v>
      </c>
      <c r="B19" s="46" t="s">
        <v>323</v>
      </c>
      <c r="C19" s="49">
        <v>3</v>
      </c>
      <c r="D19" s="49" t="s">
        <v>126</v>
      </c>
      <c r="E19" s="50" t="s">
        <v>347</v>
      </c>
      <c r="F19" s="50" t="s">
        <v>379</v>
      </c>
      <c r="G19" s="62" t="str">
        <f t="shared" si="16"/>
        <v>[effect:rush, count:3, val:0.15]</v>
      </c>
      <c r="H19" s="62">
        <f t="shared" si="17"/>
        <v>9</v>
      </c>
      <c r="I19" s="62">
        <f t="shared" si="18"/>
        <v>13</v>
      </c>
      <c r="J19" s="62" t="e">
        <f t="shared" si="19"/>
        <v>#VALUE!</v>
      </c>
      <c r="K19" s="62">
        <f t="shared" si="20"/>
        <v>22</v>
      </c>
      <c r="L19" s="62" t="str">
        <f>IFERROR(VLOOKUP(MID(G19,J19,K19-J19),[6]skilldef!$C:$D,2,FALSE),"-") &amp; " / " &amp; IFERROR(VLOOKUP(MID(G19,H19,I19-H19),[6]skilldef!$A:$B,2,FALSE),"-")</f>
        <v>- / 連続攻撃</v>
      </c>
      <c r="M19" s="62" t="str">
        <f t="shared" si="21"/>
        <v>[effect:rush, count:3, val:0.25]</v>
      </c>
      <c r="N19" s="47" t="str">
        <f t="shared" si="32"/>
        <v>[effect:rush, count:3, val:0.25]</v>
      </c>
      <c r="O19" s="62">
        <f t="shared" si="23"/>
        <v>9</v>
      </c>
      <c r="P19" s="62">
        <f t="shared" si="24"/>
        <v>13</v>
      </c>
      <c r="Q19" s="62" t="e">
        <f t="shared" si="25"/>
        <v>#VALUE!</v>
      </c>
      <c r="R19" s="62">
        <f t="shared" si="26"/>
        <v>22</v>
      </c>
      <c r="S19" s="62" t="str">
        <f>IFERROR(VLOOKUP(MID(N19,Q19,R19-Q19),[6]skilldef!$C:$D,2,FALSE),"-") &amp; " / " &amp; IFERROR(VLOOKUP(MID(N19,O19,P19-O19),[6]skilldef!$A:$B,2,FALSE),"-")</f>
        <v>- / 連続攻撃</v>
      </c>
      <c r="T19" s="47" t="str">
        <f t="shared" si="27"/>
        <v>none</v>
      </c>
      <c r="U19" s="62" t="e">
        <f t="shared" si="28"/>
        <v>#VALUE!</v>
      </c>
      <c r="V19" s="62">
        <f t="shared" si="29"/>
        <v>4</v>
      </c>
      <c r="W19" s="62" t="e">
        <f t="shared" si="30"/>
        <v>#VALUE!</v>
      </c>
      <c r="X19" s="62" t="e">
        <f t="shared" si="31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>
        <v>42418</v>
      </c>
      <c r="AB19" s="49" t="s">
        <v>270</v>
      </c>
    </row>
    <row r="20" spans="1:28" ht="21" customHeight="1" x14ac:dyDescent="0.15">
      <c r="A20" s="101">
        <v>40010038</v>
      </c>
      <c r="B20" s="46" t="s">
        <v>296</v>
      </c>
      <c r="C20" s="49">
        <v>3</v>
      </c>
      <c r="D20" s="49" t="s">
        <v>126</v>
      </c>
      <c r="E20" s="50" t="s">
        <v>353</v>
      </c>
      <c r="F20" s="50" t="s">
        <v>325</v>
      </c>
      <c r="G20" s="62" t="str">
        <f t="shared" si="16"/>
        <v>[effect:rush, count:4, val:0.25]</v>
      </c>
      <c r="H20" s="62">
        <f t="shared" si="17"/>
        <v>9</v>
      </c>
      <c r="I20" s="62">
        <f t="shared" si="18"/>
        <v>13</v>
      </c>
      <c r="J20" s="62" t="e">
        <f t="shared" si="19"/>
        <v>#VALUE!</v>
      </c>
      <c r="K20" s="62">
        <f t="shared" si="20"/>
        <v>22</v>
      </c>
      <c r="L20" s="62" t="str">
        <f>IFERROR(VLOOKUP(MID(G20,J20,K20-J20),[6]skilldef!$C:$D,2,FALSE),"-") &amp; " / " &amp; IFERROR(VLOOKUP(MID(G20,H20,I20-H20),[6]skilldef!$A:$B,2,FALSE),"-")</f>
        <v>- / 連続攻撃</v>
      </c>
      <c r="M20" s="62" t="str">
        <f t="shared" si="21"/>
        <v>[effect:force_change_block, new_block:jammer, target:block_all, ignore:jammer, ignore02:crash, count:4, val:0, animation:change_block]</v>
      </c>
      <c r="N20" s="47" t="str">
        <f t="shared" si="32"/>
        <v>[effect:force_change_block, new_block:jammer, target:block_all, ignore:jammer, ignore02:crash, count:4, val:0, animation:change_block]</v>
      </c>
      <c r="O20" s="62">
        <f t="shared" si="23"/>
        <v>9</v>
      </c>
      <c r="P20" s="62">
        <f t="shared" si="24"/>
        <v>27</v>
      </c>
      <c r="Q20" s="62">
        <f t="shared" si="25"/>
        <v>54</v>
      </c>
      <c r="R20" s="62">
        <f t="shared" si="26"/>
        <v>45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27"/>
        <v>none</v>
      </c>
      <c r="U20" s="62" t="e">
        <f t="shared" si="28"/>
        <v>#VALUE!</v>
      </c>
      <c r="V20" s="62">
        <f t="shared" si="29"/>
        <v>4</v>
      </c>
      <c r="W20" s="62" t="e">
        <f t="shared" si="30"/>
        <v>#VALUE!</v>
      </c>
      <c r="X20" s="62" t="e">
        <f t="shared" si="31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>
        <v>42418</v>
      </c>
      <c r="AB20" s="49" t="s">
        <v>270</v>
      </c>
    </row>
    <row r="21" spans="1:28" ht="21" customHeight="1" x14ac:dyDescent="0.15">
      <c r="A21" s="101">
        <v>40010039</v>
      </c>
      <c r="B21" s="46" t="s">
        <v>295</v>
      </c>
      <c r="C21" s="49">
        <v>3</v>
      </c>
      <c r="D21" s="49" t="s">
        <v>126</v>
      </c>
      <c r="E21" s="50" t="s">
        <v>352</v>
      </c>
      <c r="F21" s="50" t="s">
        <v>326</v>
      </c>
      <c r="G21" s="62" t="str">
        <f t="shared" si="16"/>
        <v xml:space="preserve">[effect:break_heal_ratio, val:0.04, lowest_val:5000, count:-1, block:jammer, target:enemy_one, animation:enemy_heal]    </v>
      </c>
      <c r="H21" s="62">
        <f t="shared" si="17"/>
        <v>9</v>
      </c>
      <c r="I21" s="62">
        <f t="shared" si="18"/>
        <v>25</v>
      </c>
      <c r="J21" s="62">
        <f t="shared" si="19"/>
        <v>85</v>
      </c>
      <c r="K21" s="62">
        <f t="shared" si="20"/>
        <v>35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21"/>
        <v>none</v>
      </c>
      <c r="N21" s="47" t="str">
        <f t="shared" si="32"/>
        <v>none</v>
      </c>
      <c r="O21" s="62" t="e">
        <f t="shared" si="23"/>
        <v>#VALUE!</v>
      </c>
      <c r="P21" s="62">
        <f t="shared" si="24"/>
        <v>4</v>
      </c>
      <c r="Q21" s="62" t="e">
        <f t="shared" si="25"/>
        <v>#VALUE!</v>
      </c>
      <c r="R21" s="62" t="e">
        <f t="shared" si="26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27"/>
        <v>none</v>
      </c>
      <c r="U21" s="62" t="e">
        <f t="shared" si="28"/>
        <v>#VALUE!</v>
      </c>
      <c r="V21" s="62">
        <f t="shared" si="29"/>
        <v>4</v>
      </c>
      <c r="W21" s="62" t="e">
        <f t="shared" si="30"/>
        <v>#VALUE!</v>
      </c>
      <c r="X21" s="62" t="e">
        <f t="shared" si="31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>
        <v>42418</v>
      </c>
      <c r="AB21" s="49" t="s">
        <v>270</v>
      </c>
    </row>
    <row r="22" spans="1:28" ht="21" customHeight="1" x14ac:dyDescent="0.15">
      <c r="A22" s="101">
        <v>40010040</v>
      </c>
      <c r="B22" s="46" t="s">
        <v>324</v>
      </c>
      <c r="C22" s="49">
        <v>3</v>
      </c>
      <c r="D22" s="49" t="s">
        <v>257</v>
      </c>
      <c r="E22" s="50" t="s">
        <v>346</v>
      </c>
      <c r="F22" s="50" t="s">
        <v>258</v>
      </c>
      <c r="G22" s="62" t="str">
        <f t="shared" si="16"/>
        <v>[effect:spread, val:0.28]</v>
      </c>
      <c r="H22" s="62">
        <f t="shared" si="17"/>
        <v>9</v>
      </c>
      <c r="I22" s="62">
        <f t="shared" si="18"/>
        <v>15</v>
      </c>
      <c r="J22" s="62" t="e">
        <f t="shared" si="19"/>
        <v>#VALUE!</v>
      </c>
      <c r="K22" s="62" t="e">
        <f t="shared" si="20"/>
        <v>#VALUE!</v>
      </c>
      <c r="L22" s="62" t="str">
        <f>IFERROR(VLOOKUP(MID(G22,J22,K22-J22),[6]skilldef!$C:$D,2,FALSE),"-") &amp; " / " &amp; IFERROR(VLOOKUP(MID(G22,H22,I22-H22),[6]skilldef!$A:$B,2,FALSE),"-")</f>
        <v>- / 全体攻撃</v>
      </c>
      <c r="M22" s="62" t="str">
        <f t="shared" si="21"/>
        <v>none</v>
      </c>
      <c r="N22" s="47" t="str">
        <f t="shared" si="32"/>
        <v>none</v>
      </c>
      <c r="O22" s="62" t="e">
        <f t="shared" si="23"/>
        <v>#VALUE!</v>
      </c>
      <c r="P22" s="62">
        <f t="shared" si="24"/>
        <v>4</v>
      </c>
      <c r="Q22" s="62" t="e">
        <f t="shared" si="25"/>
        <v>#VALUE!</v>
      </c>
      <c r="R22" s="62" t="e">
        <f t="shared" si="26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27"/>
        <v>none</v>
      </c>
      <c r="U22" s="62" t="e">
        <f t="shared" si="28"/>
        <v>#VALUE!</v>
      </c>
      <c r="V22" s="62">
        <f t="shared" si="29"/>
        <v>4</v>
      </c>
      <c r="W22" s="62" t="e">
        <f t="shared" si="30"/>
        <v>#VALUE!</v>
      </c>
      <c r="X22" s="62" t="e">
        <f t="shared" si="31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>
        <v>42418</v>
      </c>
      <c r="AB22" s="49" t="s">
        <v>271</v>
      </c>
    </row>
    <row r="23" spans="1:28" ht="21" customHeight="1" x14ac:dyDescent="0.15">
      <c r="A23" s="46">
        <v>40010011</v>
      </c>
      <c r="B23" s="46" t="s">
        <v>251</v>
      </c>
      <c r="C23" s="49">
        <v>3</v>
      </c>
      <c r="D23" s="49" t="s">
        <v>126</v>
      </c>
      <c r="E23" s="50" t="s">
        <v>342</v>
      </c>
      <c r="F23" s="50" t="s">
        <v>233</v>
      </c>
      <c r="G23" s="62" t="str">
        <f t="shared" si="1"/>
        <v>[effect:tolerance, target:enemy_all, turn:-1, tolerance_effect:virus, count:-1]</v>
      </c>
      <c r="H23" s="62">
        <f t="shared" si="2"/>
        <v>9</v>
      </c>
      <c r="I23" s="62">
        <f t="shared" si="3"/>
        <v>18</v>
      </c>
      <c r="J23" s="62">
        <f t="shared" si="4"/>
        <v>27</v>
      </c>
      <c r="K23" s="62">
        <f t="shared" si="5"/>
        <v>36</v>
      </c>
      <c r="L23" s="62" t="str">
        <f>IFERROR(VLOOKUP(MID(G23,J23,K23-J23),[6]skilldef!$C:$D,2,FALSE),"-") &amp; " / " &amp; IFERROR(VLOOKUP(MID(G23,H23,I23-H23),[6]skilldef!$A:$B,2,FALSE),"-")</f>
        <v>敵全体に / 状態異常耐性</v>
      </c>
      <c r="M23" s="62" t="str">
        <f t="shared" si="6"/>
        <v>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v>
      </c>
      <c r="N23" s="47" t="str">
        <f t="shared" ref="N23:N27" si="33">IFERROR(LEFT(M23,FIND("],",M23)+S33),M23)</f>
        <v>[effect:tolerance, target:enemy_all, turn:-1, tolerance_effect:hungup, count:-1],[effect:tolerance, target:enemy_all, turn:-1, tolerance_effect:sleep, count:-1, animation:enemy_tolerance],[effect:change_panel_ratio, turn:1, block_type:red, val:0, animation:block_incidence04],[effect:fix_speed, target:myself, turn:1]</v>
      </c>
      <c r="O23" s="62">
        <f t="shared" si="7"/>
        <v>9</v>
      </c>
      <c r="P23" s="62">
        <f t="shared" si="8"/>
        <v>18</v>
      </c>
      <c r="Q23" s="62">
        <f t="shared" si="9"/>
        <v>27</v>
      </c>
      <c r="R23" s="62">
        <f t="shared" si="10"/>
        <v>36</v>
      </c>
      <c r="S23" s="62" t="str">
        <f>IFERROR(VLOOKUP(MID(N23,Q23,R23-Q23),[6]skilldef!$C:$D,2,FALSE),"-") &amp; " / " &amp; IFERROR(VLOOKUP(MID(N23,O23,P23-O23),[6]skilldef!$A:$B,2,FALSE),"-")</f>
        <v>敵全体に / 状態異常耐性</v>
      </c>
      <c r="T23" s="47" t="str">
        <f t="shared" si="11"/>
        <v>[effect:tolerance, target:enemy_all, turn:-1, tolerance_effect:sleep, count:-1, animation:enemy_tolerance],[effect:change_panel_ratio, turn:1, block_type:red, val:0, animation:block_incidence04],[effect:fix_speed, target:myself, turn:1]</v>
      </c>
      <c r="U23" s="62">
        <f t="shared" si="12"/>
        <v>9</v>
      </c>
      <c r="V23" s="62">
        <f t="shared" si="13"/>
        <v>18</v>
      </c>
      <c r="W23" s="62">
        <f t="shared" si="14"/>
        <v>27</v>
      </c>
      <c r="X23" s="62">
        <f t="shared" si="15"/>
        <v>36</v>
      </c>
      <c r="Y23" s="62" t="str">
        <f>IFERROR(VLOOKUP(MID(T23,W23,X23-W23),[6]skilldef!$C:$D,2,FALSE),"-") &amp; " / " &amp; IFERROR(VLOOKUP(MID(T23,U23,V23-U23),[6]skilldef!$A:$B,2,FALSE),"-")</f>
        <v>敵全体に / 状態異常耐性</v>
      </c>
      <c r="Z23" s="49"/>
      <c r="AA23" s="51">
        <v>42418</v>
      </c>
      <c r="AB23" s="49" t="s">
        <v>269</v>
      </c>
    </row>
    <row r="24" spans="1:28" ht="21" customHeight="1" x14ac:dyDescent="0.15">
      <c r="A24" s="46">
        <v>40010012</v>
      </c>
      <c r="B24" s="46" t="s">
        <v>253</v>
      </c>
      <c r="C24" s="49">
        <v>3</v>
      </c>
      <c r="D24" s="49" t="s">
        <v>126</v>
      </c>
      <c r="E24" s="50" t="s">
        <v>273</v>
      </c>
      <c r="F24" s="50" t="s">
        <v>290</v>
      </c>
      <c r="G24" s="62" t="str">
        <f t="shared" si="1"/>
        <v>[effect:break_enchance_enemy, val:0.05, lowest_val:0.05, count :10, status:attack, turn:-1, block:block_red, target:myself, calc:mul, animation:enemy_enhance_attack]</v>
      </c>
      <c r="H24" s="62">
        <f t="shared" si="2"/>
        <v>9</v>
      </c>
      <c r="I24" s="62">
        <f t="shared" si="3"/>
        <v>29</v>
      </c>
      <c r="J24" s="62">
        <f t="shared" si="4"/>
        <v>117</v>
      </c>
      <c r="K24" s="62">
        <f t="shared" si="5"/>
        <v>39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6"/>
        <v>[effect:fix_speed, target:myself, turn:2]</v>
      </c>
      <c r="N24" s="47" t="str">
        <f t="shared" si="33"/>
        <v>[effect:fix_speed, target:myself, turn:2]</v>
      </c>
      <c r="O24" s="62">
        <f t="shared" si="7"/>
        <v>9</v>
      </c>
      <c r="P24" s="62">
        <f t="shared" si="8"/>
        <v>18</v>
      </c>
      <c r="Q24" s="62">
        <f t="shared" si="9"/>
        <v>27</v>
      </c>
      <c r="R24" s="62">
        <f t="shared" si="10"/>
        <v>33</v>
      </c>
      <c r="S24" s="62" t="str">
        <f>IFERROR(VLOOKUP(MID(N24,Q24,R24-Q24),[6]skilldef!$C:$D,2,FALSE),"-") &amp; " / " &amp; IFERROR(VLOOKUP(MID(N24,O24,P24-O24),[6]skilldef!$A:$B,2,FALSE),"-")</f>
        <v>自分自身に / 行動値設定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>
        <v>42418</v>
      </c>
      <c r="AB24" s="49" t="s">
        <v>269</v>
      </c>
    </row>
    <row r="25" spans="1:28" ht="21" customHeight="1" x14ac:dyDescent="0.15">
      <c r="A25" s="46">
        <v>40010013</v>
      </c>
      <c r="B25" s="46" t="s">
        <v>300</v>
      </c>
      <c r="C25" s="49">
        <v>3</v>
      </c>
      <c r="D25" s="49" t="s">
        <v>126</v>
      </c>
      <c r="E25" s="50" t="s">
        <v>272</v>
      </c>
      <c r="F25" s="50" t="s">
        <v>291</v>
      </c>
      <c r="G25" s="62" t="str">
        <f t="shared" si="1"/>
        <v>[effect:rush, count:1, val:0.8]</v>
      </c>
      <c r="H25" s="62">
        <f t="shared" si="2"/>
        <v>9</v>
      </c>
      <c r="I25" s="62">
        <f t="shared" si="3"/>
        <v>13</v>
      </c>
      <c r="J25" s="62" t="e">
        <f t="shared" si="4"/>
        <v>#VALUE!</v>
      </c>
      <c r="K25" s="62">
        <f t="shared" si="5"/>
        <v>22</v>
      </c>
      <c r="L25" s="62" t="str">
        <f>IFERROR(VLOOKUP(MID(G25,J25,K25-J25),[6]skilldef!$C:$D,2,FALSE),"-") &amp; " / " &amp; IFERROR(VLOOKUP(MID(G25,H25,I25-H25),[6]skilldef!$A:$B,2,FALSE),"-")</f>
        <v>- / 連続攻撃</v>
      </c>
      <c r="M25" s="62" t="str">
        <f t="shared" si="6"/>
        <v xml:space="preserve">[effect:dis_panel, target:block_green, turn:2, animation:enemy_dis_green]    </v>
      </c>
      <c r="N25" s="47" t="str">
        <f t="shared" si="33"/>
        <v xml:space="preserve">[effect:dis_panel, target:block_green, turn:2, animation:enemy_dis_green]    </v>
      </c>
      <c r="O25" s="62">
        <f t="shared" si="7"/>
        <v>9</v>
      </c>
      <c r="P25" s="62">
        <f t="shared" si="8"/>
        <v>18</v>
      </c>
      <c r="Q25" s="62">
        <f t="shared" si="9"/>
        <v>27</v>
      </c>
      <c r="R25" s="62">
        <f t="shared" si="10"/>
        <v>38</v>
      </c>
      <c r="S25" s="62" t="str">
        <f>IFERROR(VLOOKUP(MID(N25,Q25,R25-Q25),[6]skilldef!$C:$D,2,FALSE),"-") &amp; " / " &amp; IFERROR(VLOOKUP(MID(N25,O25,P25-O25),[6]skilldef!$A:$B,2,FALSE),"-")</f>
        <v>緑パネルを / ディスパネル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>
        <v>42418</v>
      </c>
      <c r="AB25" s="49" t="s">
        <v>269</v>
      </c>
    </row>
    <row r="26" spans="1:28" ht="21" customHeight="1" x14ac:dyDescent="0.15">
      <c r="A26" s="46">
        <v>40010014</v>
      </c>
      <c r="B26" s="46" t="s">
        <v>339</v>
      </c>
      <c r="C26" s="49">
        <v>3</v>
      </c>
      <c r="D26" s="49" t="s">
        <v>126</v>
      </c>
      <c r="E26" s="50" t="s">
        <v>355</v>
      </c>
      <c r="F26" s="50" t="s">
        <v>366</v>
      </c>
      <c r="G26" s="62" t="str">
        <f t="shared" si="1"/>
        <v>[effect:rush, count:2, val:0.6]</v>
      </c>
      <c r="H26" s="62">
        <f t="shared" si="2"/>
        <v>9</v>
      </c>
      <c r="I26" s="62">
        <f t="shared" si="3"/>
        <v>13</v>
      </c>
      <c r="J26" s="62" t="e">
        <f t="shared" si="4"/>
        <v>#VALUE!</v>
      </c>
      <c r="K26" s="62">
        <f t="shared" si="5"/>
        <v>22</v>
      </c>
      <c r="L26" s="62" t="str">
        <f>IFERROR(VLOOKUP(MID(G26,J26,K26-J26),[6]skilldef!$C:$D,2,FALSE),"-") &amp; " / " &amp; IFERROR(VLOOKUP(MID(G26,H26,I26-H26),[6]skilldef!$A:$B,2,FALSE),"-")</f>
        <v>- / 連続攻撃</v>
      </c>
      <c r="M26" s="62" t="str">
        <f t="shared" si="6"/>
        <v>[effect:degrade_unit, target:unit_all, turn:-1, status:heal, val:0.4, calc:mul, animation:degrade_unit_all_heal]</v>
      </c>
      <c r="N26" s="47" t="str">
        <f t="shared" si="33"/>
        <v>[effect:degrade_unit, target:unit_all, turn:-1, status:heal, val:0.4, calc:mul, animation:degrade_unit_all_heal]</v>
      </c>
      <c r="O26" s="62">
        <f t="shared" si="7"/>
        <v>9</v>
      </c>
      <c r="P26" s="62">
        <f t="shared" si="8"/>
        <v>21</v>
      </c>
      <c r="Q26" s="62">
        <f t="shared" si="9"/>
        <v>30</v>
      </c>
      <c r="R26" s="62">
        <f t="shared" si="10"/>
        <v>38</v>
      </c>
      <c r="S26" s="62" t="str">
        <f>IFERROR(VLOOKUP(MID(N26,Q26,R26-Q26),[6]skilldef!$C:$D,2,FALSE),"-") &amp; " / " &amp; IFERROR(VLOOKUP(MID(N26,O26,P26-O26),[6]skilldef!$A:$B,2,FALSE),"-")</f>
        <v>味方全体に / ステータスDOWN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>
        <v>42418</v>
      </c>
      <c r="AB26" s="49" t="s">
        <v>269</v>
      </c>
    </row>
    <row r="27" spans="1:28" ht="21" customHeight="1" x14ac:dyDescent="0.15">
      <c r="A27" s="46">
        <v>40010015</v>
      </c>
      <c r="B27" s="46" t="s">
        <v>319</v>
      </c>
      <c r="C27" s="49">
        <v>3</v>
      </c>
      <c r="D27" s="49" t="s">
        <v>126</v>
      </c>
      <c r="E27" s="50" t="s">
        <v>301</v>
      </c>
      <c r="F27" s="50" t="s">
        <v>294</v>
      </c>
      <c r="G27" s="62" t="str">
        <f t="shared" si="1"/>
        <v>[effect:change_block, new_block:time_bomb, target:block_red, count:0, val:0.1, min_time_count:1, max_time_count:3, animation:change_block]</v>
      </c>
      <c r="H27" s="62">
        <f t="shared" si="2"/>
        <v>9</v>
      </c>
      <c r="I27" s="62">
        <f t="shared" si="3"/>
        <v>21</v>
      </c>
      <c r="J27" s="62">
        <f t="shared" si="4"/>
        <v>51</v>
      </c>
      <c r="K27" s="62">
        <f t="shared" si="5"/>
        <v>42</v>
      </c>
      <c r="L27" s="62" t="str">
        <f>IFERROR(VLOOKUP(MID(G27,J27,K27-J27),[6]skilldef!$C:$D,2,FALSE),"-") &amp; " / " &amp; IFERROR(VLOOKUP(MID(G27,H27,I27-H27),[6]skilldef!$A:$B,2,FALSE),"-")</f>
        <v>- / ブロック変換</v>
      </c>
      <c r="M27" s="62" t="str">
        <f t="shared" si="6"/>
        <v>none</v>
      </c>
      <c r="N27" s="47" t="str">
        <f t="shared" si="33"/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>
        <v>42418</v>
      </c>
      <c r="AB27" s="49" t="s">
        <v>269</v>
      </c>
    </row>
    <row r="28" spans="1:28" ht="21" customHeight="1" x14ac:dyDescent="0.15">
      <c r="A28" s="46">
        <v>40010016</v>
      </c>
      <c r="B28" s="46" t="s">
        <v>382</v>
      </c>
      <c r="C28" s="49">
        <v>3</v>
      </c>
      <c r="D28" s="49" t="s">
        <v>126</v>
      </c>
      <c r="E28" s="50" t="s">
        <v>274</v>
      </c>
      <c r="F28" s="50" t="s">
        <v>367</v>
      </c>
      <c r="G28" s="62" t="str">
        <f t="shared" si="1"/>
        <v>[effect:tolerance, target:enemy_all, turn:-1, tolerance_effect:virus, count:-1]</v>
      </c>
      <c r="H28" s="62">
        <f t="shared" si="2"/>
        <v>9</v>
      </c>
      <c r="I28" s="62">
        <f t="shared" si="3"/>
        <v>18</v>
      </c>
      <c r="J28" s="62">
        <f t="shared" si="4"/>
        <v>27</v>
      </c>
      <c r="K28" s="62">
        <f t="shared" si="5"/>
        <v>36</v>
      </c>
      <c r="L28" s="62" t="str">
        <f>IFERROR(VLOOKUP(MID(G28,J28,K28-J28),[6]skilldef!$C:$D,2,FALSE),"-") &amp; " / " &amp; IFERROR(VLOOKUP(MID(G28,H28,I28-H28),[6]skilldef!$A:$B,2,FALSE),"-")</f>
        <v>敵全体に / 状態異常耐性</v>
      </c>
      <c r="M28" s="62" t="str">
        <f t="shared" si="6"/>
        <v>[effect:tolerance, target:enemy_all, turn:-1, tolerance_effect:hungup, count:-1],[effect:tolerance, target:enemy_all, turn:-1, tolerance_effect:sleep, count:-1, animation:enemy_tolerance],[effect:dis_heart, turn:4, animation:enemy_dis_heart]</v>
      </c>
      <c r="N28" s="47" t="str">
        <f>IFERROR(LEFT(M28,FIND("],",M28)+S41),M28)</f>
        <v>[effect:tolerance, target:enemy_all, turn:-1, tolerance_effect:hungup, count:-1],[effect:tolerance, target:enemy_all, turn:-1, tolerance_effect:sleep, count:-1, animation:enemy_tolerance],[effect:dis_heart, turn:4, animation:enemy_dis_heart]</v>
      </c>
      <c r="O28" s="62">
        <f t="shared" si="7"/>
        <v>9</v>
      </c>
      <c r="P28" s="62">
        <f t="shared" si="8"/>
        <v>18</v>
      </c>
      <c r="Q28" s="62">
        <f t="shared" si="9"/>
        <v>27</v>
      </c>
      <c r="R28" s="62">
        <f t="shared" si="10"/>
        <v>36</v>
      </c>
      <c r="S28" s="62" t="str">
        <f>IFERROR(VLOOKUP(MID(N28,Q28,R28-Q28),[6]skilldef!$C:$D,2,FALSE),"-") &amp; " / " &amp; IFERROR(VLOOKUP(MID(N28,O28,P28-O28),[6]skilldef!$A:$B,2,FALSE),"-")</f>
        <v>敵全体に / 状態異常耐性</v>
      </c>
      <c r="T28" s="47" t="str">
        <f t="shared" si="11"/>
        <v>[effect:tolerance, target:enemy_all, turn:-1, tolerance_effect:sleep, count:-1, animation:enemy_tolerance],[effect:dis_heart, turn:4, animation:enemy_dis_heart]</v>
      </c>
      <c r="U28" s="62">
        <f t="shared" si="12"/>
        <v>9</v>
      </c>
      <c r="V28" s="62">
        <f t="shared" si="13"/>
        <v>18</v>
      </c>
      <c r="W28" s="62">
        <f t="shared" si="14"/>
        <v>27</v>
      </c>
      <c r="X28" s="62">
        <f t="shared" si="15"/>
        <v>36</v>
      </c>
      <c r="Y28" s="62" t="str">
        <f>IFERROR(VLOOKUP(MID(T28,W28,X28-W28),[6]skilldef!$C:$D,2,FALSE),"-") &amp; " / " &amp; IFERROR(VLOOKUP(MID(T28,U28,V28-U28),[6]skilldef!$A:$B,2,FALSE),"-")</f>
        <v>敵全体に / 状態異常耐性</v>
      </c>
      <c r="Z28" s="49"/>
      <c r="AA28" s="51">
        <v>42418</v>
      </c>
      <c r="AB28" s="49" t="s">
        <v>269</v>
      </c>
    </row>
    <row r="29" spans="1:28" ht="21" customHeight="1" x14ac:dyDescent="0.15">
      <c r="A29" s="46">
        <v>40010017</v>
      </c>
      <c r="B29" s="46" t="s">
        <v>268</v>
      </c>
      <c r="C29" s="49">
        <v>3</v>
      </c>
      <c r="D29" s="49" t="s">
        <v>126</v>
      </c>
      <c r="E29" s="50" t="s">
        <v>275</v>
      </c>
      <c r="F29" s="50" t="s">
        <v>258</v>
      </c>
      <c r="G29" s="62" t="str">
        <f t="shared" si="1"/>
        <v>[effect:spread, val:0.24]</v>
      </c>
      <c r="H29" s="62">
        <f t="shared" si="2"/>
        <v>9</v>
      </c>
      <c r="I29" s="62">
        <f t="shared" si="3"/>
        <v>15</v>
      </c>
      <c r="J29" s="62" t="e">
        <f t="shared" si="4"/>
        <v>#VALUE!</v>
      </c>
      <c r="K29" s="62" t="e">
        <f t="shared" si="5"/>
        <v>#VALUE!</v>
      </c>
      <c r="L29" s="62" t="str">
        <f>IFERROR(VLOOKUP(MID(G29,J29,K29-J29),[6]skilldef!$C:$D,2,FALSE),"-") &amp; " / " &amp; IFERROR(VLOOKUP(MID(G29,H29,I29-H29),[6]skilldef!$A:$B,2,FALSE),"-")</f>
        <v>- / 全体攻撃</v>
      </c>
      <c r="M29" s="62" t="str">
        <f t="shared" si="6"/>
        <v>none</v>
      </c>
      <c r="N29" s="47" t="str">
        <f>IFERROR(LEFT(M29,FIND("],",M29)+#REF!),M29)</f>
        <v>none</v>
      </c>
      <c r="O29" s="62" t="e">
        <f t="shared" si="7"/>
        <v>#VALUE!</v>
      </c>
      <c r="P29" s="62">
        <f t="shared" si="8"/>
        <v>4</v>
      </c>
      <c r="Q29" s="62" t="e">
        <f t="shared" si="9"/>
        <v>#VALUE!</v>
      </c>
      <c r="R29" s="62" t="e">
        <f t="shared" si="10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>
        <v>42418</v>
      </c>
      <c r="AB29" s="49" t="s">
        <v>269</v>
      </c>
    </row>
    <row r="30" spans="1:28" ht="21" customHeight="1" x14ac:dyDescent="0.15">
      <c r="A30" s="46">
        <v>40010018</v>
      </c>
      <c r="B30" s="46" t="s">
        <v>340</v>
      </c>
      <c r="C30" s="49">
        <v>3</v>
      </c>
      <c r="D30" s="49" t="s">
        <v>126</v>
      </c>
      <c r="E30" s="50" t="s">
        <v>356</v>
      </c>
      <c r="F30" s="50" t="s">
        <v>366</v>
      </c>
      <c r="G30" s="62" t="str">
        <f t="shared" si="1"/>
        <v>[effect:rush, count:2, val:0.52]</v>
      </c>
      <c r="H30" s="62">
        <f t="shared" si="2"/>
        <v>9</v>
      </c>
      <c r="I30" s="62">
        <f t="shared" si="3"/>
        <v>13</v>
      </c>
      <c r="J30" s="62" t="e">
        <f t="shared" si="4"/>
        <v>#VALUE!</v>
      </c>
      <c r="K30" s="62">
        <f t="shared" si="5"/>
        <v>22</v>
      </c>
      <c r="L30" s="62" t="str">
        <f>IFERROR(VLOOKUP(MID(G30,J30,K30-J30),[6]skilldef!$C:$D,2,FALSE),"-") &amp; " / " &amp; IFERROR(VLOOKUP(MID(G30,H30,I30-H30),[6]skilldef!$A:$B,2,FALSE),"-")</f>
        <v>- / 連続攻撃</v>
      </c>
      <c r="M30" s="62" t="str">
        <f t="shared" si="6"/>
        <v>[effect:degrade_unit, target:unit_all, turn:-1, status:heal, val:0.5,  calc:mul, animation:degrade_unit_all_heal]</v>
      </c>
      <c r="N30" s="47" t="str">
        <f>IFERROR(LEFT(M30,FIND("],",M30)+#REF!),M30)</f>
        <v>[effect:degrade_unit, target:unit_all, turn:-1, status:heal, val:0.5,  calc:mul, animation:degrade_unit_all_heal]</v>
      </c>
      <c r="O30" s="62">
        <f t="shared" si="7"/>
        <v>9</v>
      </c>
      <c r="P30" s="62">
        <f t="shared" si="8"/>
        <v>21</v>
      </c>
      <c r="Q30" s="62">
        <f t="shared" si="9"/>
        <v>30</v>
      </c>
      <c r="R30" s="62">
        <f t="shared" si="10"/>
        <v>38</v>
      </c>
      <c r="S30" s="62" t="str">
        <f>IFERROR(VLOOKUP(MID(N30,Q30,R30-Q30),[6]skilldef!$C:$D,2,FALSE),"-") &amp; " / " &amp; IFERROR(VLOOKUP(MID(N30,O30,P30-O30),[6]skilldef!$A:$B,2,FALSE),"-")</f>
        <v>味方全体に / ステータスDOWN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>
        <v>42418</v>
      </c>
      <c r="AB30" s="49" t="s">
        <v>269</v>
      </c>
    </row>
    <row r="31" spans="1:28" ht="21" customHeight="1" x14ac:dyDescent="0.15">
      <c r="A31" s="46">
        <v>40010019</v>
      </c>
      <c r="B31" s="46" t="s">
        <v>234</v>
      </c>
      <c r="C31" s="49">
        <v>3</v>
      </c>
      <c r="D31" s="49" t="s">
        <v>126</v>
      </c>
      <c r="E31" s="50" t="s">
        <v>276</v>
      </c>
      <c r="F31" s="50" t="s">
        <v>292</v>
      </c>
      <c r="G31" s="62" t="str">
        <f t="shared" si="1"/>
        <v>[effect:spread, val:0.3]</v>
      </c>
      <c r="H31" s="62">
        <f t="shared" si="2"/>
        <v>9</v>
      </c>
      <c r="I31" s="62">
        <f t="shared" si="3"/>
        <v>15</v>
      </c>
      <c r="J31" s="62" t="e">
        <f t="shared" si="4"/>
        <v>#VALUE!</v>
      </c>
      <c r="K31" s="62" t="e">
        <f t="shared" si="5"/>
        <v>#VALUE!</v>
      </c>
      <c r="L31" s="62" t="str">
        <f>IFERROR(VLOOKUP(MID(G31,J31,K31-J31),[6]skilldef!$C:$D,2,FALSE),"-") &amp; " / " &amp; IFERROR(VLOOKUP(MID(G31,H31,I31-H31),[6]skilldef!$A:$B,2,FALSE),"-")</f>
        <v>- / 全体攻撃</v>
      </c>
      <c r="M31" s="62" t="str">
        <f t="shared" si="6"/>
        <v>[effect:freq_turn, target:myself, turn:-1, val:1, animation:enemy_freq_turn]</v>
      </c>
      <c r="N31" s="47" t="str">
        <f>IFERROR(LEFT(M31,FIND("],",M31)+#REF!),M31)</f>
        <v>[effect:freq_turn, target:myself, turn:-1, val:1, animation:enemy_freq_turn]</v>
      </c>
      <c r="O31" s="62">
        <f t="shared" si="7"/>
        <v>9</v>
      </c>
      <c r="P31" s="62">
        <f t="shared" si="8"/>
        <v>18</v>
      </c>
      <c r="Q31" s="62">
        <f t="shared" si="9"/>
        <v>27</v>
      </c>
      <c r="R31" s="62">
        <f t="shared" si="10"/>
        <v>33</v>
      </c>
      <c r="S31" s="62" t="str">
        <f>IFERROR(VLOOKUP(MID(N31,Q31,R31-Q31),[6]skilldef!$C:$D,2,FALSE),"-") &amp; " / " &amp; IFERROR(VLOOKUP(MID(N31,O31,P31-O31),[6]skilldef!$A:$B,2,FALSE),"-")</f>
        <v>自分自身に / 攻撃頻度がUP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>
        <v>42418</v>
      </c>
      <c r="AB31" s="49" t="s">
        <v>269</v>
      </c>
    </row>
    <row r="32" spans="1:28" ht="21" customHeight="1" x14ac:dyDescent="0.15">
      <c r="A32" s="46">
        <v>40010020</v>
      </c>
      <c r="B32" s="46" t="s">
        <v>320</v>
      </c>
      <c r="C32" s="49">
        <v>3</v>
      </c>
      <c r="D32" s="49" t="s">
        <v>126</v>
      </c>
      <c r="E32" s="50" t="s">
        <v>345</v>
      </c>
      <c r="F32" s="50" t="s">
        <v>293</v>
      </c>
      <c r="G32" s="62" t="str">
        <f t="shared" si="1"/>
        <v>[effect:change_block, new_block:time_bomb, target:block_all, count:12, val:0.15, min_time_count:1, max_time_count:3, animation:change_block]</v>
      </c>
      <c r="H32" s="62">
        <f t="shared" si="2"/>
        <v>9</v>
      </c>
      <c r="I32" s="62">
        <f t="shared" si="3"/>
        <v>21</v>
      </c>
      <c r="J32" s="62">
        <f t="shared" si="4"/>
        <v>51</v>
      </c>
      <c r="K32" s="62">
        <f t="shared" si="5"/>
        <v>42</v>
      </c>
      <c r="L32" s="62" t="str">
        <f>IFERROR(VLOOKUP(MID(G32,J32,K32-J32),[6]skilldef!$C:$D,2,FALSE),"-") &amp; " / " &amp; IFERROR(VLOOKUP(MID(G32,H32,I32-H32),[6]skilldef!$A:$B,2,FALSE),"-")</f>
        <v>- / ブロック変換</v>
      </c>
      <c r="M32" s="62" t="str">
        <f t="shared" si="6"/>
        <v>none</v>
      </c>
      <c r="N32" s="47" t="str">
        <f>IFERROR(LEFT(M32,FIND("],",M32)+#REF!),M32)</f>
        <v>none</v>
      </c>
      <c r="O32" s="62" t="e">
        <f t="shared" si="7"/>
        <v>#VALUE!</v>
      </c>
      <c r="P32" s="62">
        <f t="shared" si="8"/>
        <v>4</v>
      </c>
      <c r="Q32" s="62" t="e">
        <f t="shared" si="9"/>
        <v>#VALUE!</v>
      </c>
      <c r="R32" s="62" t="e">
        <f t="shared" si="10"/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7" t="str">
        <f t="shared" si="11"/>
        <v>none</v>
      </c>
      <c r="U32" s="62" t="e">
        <f t="shared" si="12"/>
        <v>#VALUE!</v>
      </c>
      <c r="V32" s="62">
        <f t="shared" si="13"/>
        <v>4</v>
      </c>
      <c r="W32" s="62" t="e">
        <f t="shared" si="14"/>
        <v>#VALUE!</v>
      </c>
      <c r="X32" s="62" t="e">
        <f t="shared" si="15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>
        <v>42418</v>
      </c>
      <c r="AB32" s="49" t="s">
        <v>269</v>
      </c>
    </row>
    <row r="33" spans="1:28" ht="21" customHeight="1" x14ac:dyDescent="0.15">
      <c r="A33" s="46">
        <v>40010021</v>
      </c>
      <c r="B33" s="46" t="s">
        <v>277</v>
      </c>
      <c r="C33" s="49">
        <v>3</v>
      </c>
      <c r="D33" s="49" t="s">
        <v>126</v>
      </c>
      <c r="E33" s="50" t="s">
        <v>281</v>
      </c>
      <c r="F33" s="50" t="s">
        <v>313</v>
      </c>
      <c r="G33" s="62" t="str">
        <f t="shared" si="1"/>
        <v>[effect:rush, count:2, val:0.3]</v>
      </c>
      <c r="H33" s="62">
        <f t="shared" si="2"/>
        <v>9</v>
      </c>
      <c r="I33" s="62">
        <f t="shared" si="3"/>
        <v>13</v>
      </c>
      <c r="J33" s="62" t="e">
        <f t="shared" si="4"/>
        <v>#VALUE!</v>
      </c>
      <c r="K33" s="62">
        <f t="shared" si="5"/>
        <v>22</v>
      </c>
      <c r="L33" s="62" t="str">
        <f>IFERROR(VLOOKUP(MID(G33,J33,K33-J33),[6]skilldef!$C:$D,2,FALSE),"-") &amp; " / " &amp; IFERROR(VLOOKUP(MID(G33,H33,I33-H33),[6]skilldef!$A:$B,2,FALSE),"-")</f>
        <v>- / 連続攻撃</v>
      </c>
      <c r="M33" s="62" t="str">
        <f t="shared" si="6"/>
        <v>none</v>
      </c>
      <c r="N33" s="47" t="str">
        <f t="shared" ref="N33" si="34">IFERROR(LEFT(M33,FIND("],",M33)+S42),M33)</f>
        <v>none</v>
      </c>
      <c r="O33" s="62" t="e">
        <f t="shared" si="7"/>
        <v>#VALUE!</v>
      </c>
      <c r="P33" s="62">
        <f t="shared" si="8"/>
        <v>4</v>
      </c>
      <c r="Q33" s="62" t="e">
        <f t="shared" si="9"/>
        <v>#VALUE!</v>
      </c>
      <c r="R33" s="62" t="e">
        <f t="shared" si="10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>
        <v>42418</v>
      </c>
      <c r="AB33" s="49" t="s">
        <v>269</v>
      </c>
    </row>
    <row r="34" spans="1:28" ht="21" customHeight="1" x14ac:dyDescent="0.15">
      <c r="A34" s="46">
        <v>40010022</v>
      </c>
      <c r="B34" s="46" t="s">
        <v>278</v>
      </c>
      <c r="C34" s="49">
        <v>3</v>
      </c>
      <c r="D34" s="49" t="s">
        <v>126</v>
      </c>
      <c r="E34" s="50" t="s">
        <v>380</v>
      </c>
      <c r="F34" s="50" t="s">
        <v>365</v>
      </c>
      <c r="G34" s="62" t="str">
        <f t="shared" si="1"/>
        <v>[effect:rush, count:2, val:0.35]</v>
      </c>
      <c r="H34" s="62">
        <f t="shared" si="2"/>
        <v>9</v>
      </c>
      <c r="I34" s="62">
        <f t="shared" si="3"/>
        <v>13</v>
      </c>
      <c r="J34" s="62" t="e">
        <f t="shared" si="4"/>
        <v>#VALUE!</v>
      </c>
      <c r="K34" s="62">
        <f t="shared" si="5"/>
        <v>22</v>
      </c>
      <c r="L34" s="62" t="str">
        <f>IFERROR(VLOOKUP(MID(G34,J34,K34-J34),[6]skilldef!$C:$D,2,FALSE),"-") &amp; " / " &amp; IFERROR(VLOOKUP(MID(G34,H34,I34-H34),[6]skilldef!$A:$B,2,FALSE),"-")</f>
        <v>- / 連続攻撃</v>
      </c>
      <c r="M34" s="62" t="str">
        <f t="shared" si="6"/>
        <v xml:space="preserve">[effect:dis_panel, target:block_red, turn:1, animation:enemy_dis_red]    </v>
      </c>
      <c r="N34" s="47" t="str">
        <f>IFERROR(LEFT(M34,FIND("],",M34)+#REF!),M34)</f>
        <v xml:space="preserve">[effect:dis_panel, target:block_red, turn:1, animation:enemy_dis_red]    </v>
      </c>
      <c r="O34" s="62">
        <f t="shared" si="7"/>
        <v>9</v>
      </c>
      <c r="P34" s="62">
        <f t="shared" si="8"/>
        <v>18</v>
      </c>
      <c r="Q34" s="62">
        <f t="shared" si="9"/>
        <v>27</v>
      </c>
      <c r="R34" s="62">
        <f t="shared" si="10"/>
        <v>36</v>
      </c>
      <c r="S34" s="62" t="str">
        <f>IFERROR(VLOOKUP(MID(N34,Q34,R34-Q34),[6]skilldef!$C:$D,2,FALSE),"-") &amp; " / " &amp; IFERROR(VLOOKUP(MID(N34,O34,P34-O34),[6]skilldef!$A:$B,2,FALSE),"-")</f>
        <v>赤パネルを / ディスパネル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>
        <v>42418</v>
      </c>
      <c r="AB34" s="49" t="s">
        <v>269</v>
      </c>
    </row>
    <row r="35" spans="1:28" ht="21" customHeight="1" x14ac:dyDescent="0.15">
      <c r="A35" s="46">
        <v>40010023</v>
      </c>
      <c r="B35" s="46" t="s">
        <v>279</v>
      </c>
      <c r="C35" s="49">
        <v>3</v>
      </c>
      <c r="D35" s="49" t="s">
        <v>126</v>
      </c>
      <c r="E35" s="50" t="s">
        <v>357</v>
      </c>
      <c r="F35" s="50" t="s">
        <v>313</v>
      </c>
      <c r="G35" s="62" t="str">
        <f t="shared" si="1"/>
        <v>[effect:rush, count:2, val:0.4]</v>
      </c>
      <c r="H35" s="62">
        <f t="shared" si="2"/>
        <v>9</v>
      </c>
      <c r="I35" s="62">
        <f t="shared" si="3"/>
        <v>13</v>
      </c>
      <c r="J35" s="62" t="e">
        <f t="shared" si="4"/>
        <v>#VALUE!</v>
      </c>
      <c r="K35" s="62">
        <f t="shared" si="5"/>
        <v>22</v>
      </c>
      <c r="L35" s="62" t="str">
        <f>IFERROR(VLOOKUP(MID(G35,J35,K35-J35),[6]skilldef!$C:$D,2,FALSE),"-") &amp; " / " &amp; IFERROR(VLOOKUP(MID(G35,H35,I35-H35),[6]skilldef!$A:$B,2,FALSE),"-")</f>
        <v>- / 連続攻撃</v>
      </c>
      <c r="M35" s="62" t="str">
        <f t="shared" si="6"/>
        <v>none</v>
      </c>
      <c r="N35" s="47" t="str">
        <f t="shared" ref="N35:N40" si="35">IFERROR(LEFT(M35,FIND("],",M35)+S12),M35)</f>
        <v>none</v>
      </c>
      <c r="O35" s="62" t="e">
        <f t="shared" si="7"/>
        <v>#VALUE!</v>
      </c>
      <c r="P35" s="62">
        <f t="shared" si="8"/>
        <v>4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>
        <v>42418</v>
      </c>
      <c r="AB35" s="49" t="s">
        <v>269</v>
      </c>
    </row>
    <row r="36" spans="1:28" ht="21" customHeight="1" x14ac:dyDescent="0.15">
      <c r="A36" s="46">
        <v>40010024</v>
      </c>
      <c r="B36" s="46" t="s">
        <v>280</v>
      </c>
      <c r="C36" s="49">
        <v>3</v>
      </c>
      <c r="D36" s="49" t="s">
        <v>126</v>
      </c>
      <c r="E36" s="50" t="s">
        <v>303</v>
      </c>
      <c r="F36" s="50" t="s">
        <v>312</v>
      </c>
      <c r="G36" s="62" t="str">
        <f t="shared" si="1"/>
        <v>[effect:rush, count:2, val:0.45]</v>
      </c>
      <c r="H36" s="62">
        <f t="shared" si="2"/>
        <v>9</v>
      </c>
      <c r="I36" s="62">
        <f t="shared" si="3"/>
        <v>13</v>
      </c>
      <c r="J36" s="62" t="e">
        <f t="shared" si="4"/>
        <v>#VALUE!</v>
      </c>
      <c r="K36" s="62">
        <f t="shared" si="5"/>
        <v>22</v>
      </c>
      <c r="L36" s="62" t="str">
        <f>IFERROR(VLOOKUP(MID(G36,J36,K36-J36),[6]skilldef!$C:$D,2,FALSE),"-") &amp; " / " &amp; IFERROR(VLOOKUP(MID(G36,H36,I36-H36),[6]skilldef!$A:$B,2,FALSE),"-")</f>
        <v>- / 連続攻撃</v>
      </c>
      <c r="M36" s="62" t="str">
        <f t="shared" si="6"/>
        <v xml:space="preserve">[effect:enhance_enemy, target:myself, turn:3, status:defense, val:1500, calc:add, animation:enemy_enhance_defense]    </v>
      </c>
      <c r="N36" s="47" t="str">
        <f t="shared" si="35"/>
        <v xml:space="preserve">[effect:enhance_enemy, target:myself, turn:3, status:defense, val:1500, calc:add, animation:enemy_enhance_defense]    </v>
      </c>
      <c r="O36" s="62">
        <f t="shared" si="7"/>
        <v>9</v>
      </c>
      <c r="P36" s="62">
        <f t="shared" si="8"/>
        <v>22</v>
      </c>
      <c r="Q36" s="62">
        <f t="shared" si="9"/>
        <v>31</v>
      </c>
      <c r="R36" s="62">
        <f t="shared" si="10"/>
        <v>37</v>
      </c>
      <c r="S36" s="62" t="str">
        <f>IFERROR(VLOOKUP(MID(N36,Q36,R36-Q36),[6]skilldef!$C:$D,2,FALSE),"-") &amp; " / " &amp; IFERROR(VLOOKUP(MID(N36,O36,P36-O36),[6]skilldef!$A:$B,2,FALSE),"-")</f>
        <v>自分自身に / ステータス強化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>
        <v>42418</v>
      </c>
      <c r="AB36" s="49" t="s">
        <v>269</v>
      </c>
    </row>
    <row r="37" spans="1:28" ht="21" customHeight="1" x14ac:dyDescent="0.15">
      <c r="A37" s="46">
        <v>40010025</v>
      </c>
      <c r="B37" s="46" t="s">
        <v>341</v>
      </c>
      <c r="C37" s="49">
        <v>3</v>
      </c>
      <c r="D37" s="49" t="s">
        <v>302</v>
      </c>
      <c r="E37" s="50" t="s">
        <v>381</v>
      </c>
      <c r="F37" s="50" t="s">
        <v>331</v>
      </c>
      <c r="G37" s="62" t="str">
        <f t="shared" si="1"/>
        <v>[effect:rush, count:2, val:0.5]</v>
      </c>
      <c r="H37" s="62">
        <f t="shared" si="2"/>
        <v>9</v>
      </c>
      <c r="I37" s="62">
        <f t="shared" si="3"/>
        <v>13</v>
      </c>
      <c r="J37" s="62" t="e">
        <f t="shared" si="4"/>
        <v>#VALUE!</v>
      </c>
      <c r="K37" s="62">
        <f t="shared" si="5"/>
        <v>22</v>
      </c>
      <c r="L37" s="62" t="str">
        <f>IFERROR(VLOOKUP(MID(G37,J37,K37-J37),[6]skilldef!$C:$D,2,FALSE),"-") &amp; " / " &amp; IFERROR(VLOOKUP(MID(G37,H37,I37-H37),[6]skilldef!$A:$B,2,FALSE),"-")</f>
        <v>- / 連続攻撃</v>
      </c>
      <c r="M37" s="62" t="str">
        <f t="shared" si="6"/>
        <v>[effect:degrade_unit, target:unit_all, turn:-1, status:heal, val:0.6, calc:mul, animation:degrade_unit_all_heal]</v>
      </c>
      <c r="N37" s="47" t="str">
        <f t="shared" si="35"/>
        <v>[effect:degrade_unit, target:unit_all, turn:-1, status:heal, val:0.6, calc:mul, animation:degrade_unit_all_heal]</v>
      </c>
      <c r="O37" s="62">
        <f t="shared" si="7"/>
        <v>9</v>
      </c>
      <c r="P37" s="62">
        <f t="shared" si="8"/>
        <v>21</v>
      </c>
      <c r="Q37" s="62">
        <f t="shared" si="9"/>
        <v>30</v>
      </c>
      <c r="R37" s="62">
        <f t="shared" si="10"/>
        <v>38</v>
      </c>
      <c r="S37" s="62" t="str">
        <f>IFERROR(VLOOKUP(MID(N37,Q37,R37-Q37),[6]skilldef!$C:$D,2,FALSE),"-") &amp; " / " &amp; IFERROR(VLOOKUP(MID(N37,O37,P37-O37),[6]skilldef!$A:$B,2,FALSE),"-")</f>
        <v>味方全体に / ステータスDOWN</v>
      </c>
      <c r="T37" s="47" t="str">
        <f t="shared" si="11"/>
        <v>none</v>
      </c>
      <c r="U37" s="62" t="e">
        <f t="shared" si="12"/>
        <v>#VALUE!</v>
      </c>
      <c r="V37" s="62">
        <f t="shared" si="13"/>
        <v>4</v>
      </c>
      <c r="W37" s="62" t="e">
        <f t="shared" si="14"/>
        <v>#VALUE!</v>
      </c>
      <c r="X37" s="62" t="e">
        <f t="shared" si="15"/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49"/>
      <c r="AA37" s="51">
        <v>42418</v>
      </c>
      <c r="AB37" s="49" t="s">
        <v>269</v>
      </c>
    </row>
    <row r="38" spans="1:28" ht="21" customHeight="1" x14ac:dyDescent="0.15">
      <c r="A38" s="100">
        <v>40010041</v>
      </c>
      <c r="B38" s="46" t="s">
        <v>332</v>
      </c>
      <c r="C38" s="49">
        <v>3</v>
      </c>
      <c r="D38" s="49" t="s">
        <v>126</v>
      </c>
      <c r="E38" s="50" t="s">
        <v>305</v>
      </c>
      <c r="F38" s="50" t="s">
        <v>313</v>
      </c>
      <c r="G38" s="62" t="str">
        <f t="shared" ref="G38:G40" si="36">IFERROR(LEFT(B38,FIND("],",B38)),B38)</f>
        <v>[effect:rush, count:2, val:0.55]</v>
      </c>
      <c r="H38" s="62">
        <f t="shared" ref="H38:H40" si="37">FIND("effect:",G38)+7</f>
        <v>9</v>
      </c>
      <c r="I38" s="62">
        <f t="shared" ref="I38:I40" si="38">IFERROR(FIND(",",G38),LEN(G38))</f>
        <v>13</v>
      </c>
      <c r="J38" s="62" t="e">
        <f t="shared" ref="J38:J40" si="39">FIND("target:",G38)+7</f>
        <v>#VALUE!</v>
      </c>
      <c r="K38" s="62">
        <f t="shared" ref="K38:K40" si="40">FIND(",",G38,I38+1)</f>
        <v>22</v>
      </c>
      <c r="L38" s="62" t="str">
        <f>IFERROR(VLOOKUP(MID(G38,J38,K38-J38),[6]skilldef!$C:$D,2,FALSE),"-") &amp; " / " &amp; IFERROR(VLOOKUP(MID(G38,H38,I38-H38),[6]skilldef!$A:$B,2,FALSE),"-")</f>
        <v>- / 連続攻撃</v>
      </c>
      <c r="M38" s="62" t="str">
        <f t="shared" ref="M38:M40" si="41">IFERROR(RIGHT(B38,LEN(B38)-FIND("],",B38)-1),"none")</f>
        <v>none</v>
      </c>
      <c r="N38" s="47" t="str">
        <f t="shared" si="35"/>
        <v>none</v>
      </c>
      <c r="O38" s="62" t="e">
        <f t="shared" ref="O38:O40" si="42">FIND("effect:",N38)+7</f>
        <v>#VALUE!</v>
      </c>
      <c r="P38" s="62">
        <f t="shared" ref="P38:P40" si="43">IFERROR(FIND(",",N38),LEN(N38))</f>
        <v>4</v>
      </c>
      <c r="Q38" s="62" t="e">
        <f t="shared" ref="Q38:Q40" si="44">FIND("target:",N38)+7</f>
        <v>#VALUE!</v>
      </c>
      <c r="R38" s="62" t="e">
        <f t="shared" ref="R38:R40" si="45">FIND(",",N38,P38+1)</f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ref="T38:T40" si="46">IFERROR(RIGHT(M38,LEN(M38)-FIND("],",M38)-1),"none")</f>
        <v>none</v>
      </c>
      <c r="U38" s="62" t="e">
        <f t="shared" ref="U38:U40" si="47">FIND("effect:",T38)+7</f>
        <v>#VALUE!</v>
      </c>
      <c r="V38" s="62">
        <f t="shared" ref="V38:V40" si="48">IFERROR(FIND(",",T38),LEN(T38))</f>
        <v>4</v>
      </c>
      <c r="W38" s="62" t="e">
        <f t="shared" ref="W38:W40" si="49">FIND("target:",T38)+7</f>
        <v>#VALUE!</v>
      </c>
      <c r="X38" s="62" t="e">
        <f t="shared" ref="X38:X40" si="50">FIND(",",T38,V38+1)</f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>
        <v>42418</v>
      </c>
      <c r="AB38" s="49" t="s">
        <v>269</v>
      </c>
    </row>
    <row r="39" spans="1:28" ht="21" customHeight="1" x14ac:dyDescent="0.15">
      <c r="A39" s="100">
        <v>40010042</v>
      </c>
      <c r="B39" s="46" t="s">
        <v>333</v>
      </c>
      <c r="C39" s="49">
        <v>3</v>
      </c>
      <c r="D39" s="49" t="s">
        <v>126</v>
      </c>
      <c r="E39" s="50" t="s">
        <v>304</v>
      </c>
      <c r="F39" s="50" t="s">
        <v>313</v>
      </c>
      <c r="G39" s="62" t="str">
        <f t="shared" si="36"/>
        <v>[effect:rush, count:2, val:0.58]</v>
      </c>
      <c r="H39" s="62">
        <f t="shared" si="37"/>
        <v>9</v>
      </c>
      <c r="I39" s="62">
        <f t="shared" si="38"/>
        <v>13</v>
      </c>
      <c r="J39" s="62" t="e">
        <f t="shared" si="39"/>
        <v>#VALUE!</v>
      </c>
      <c r="K39" s="62">
        <f t="shared" si="40"/>
        <v>22</v>
      </c>
      <c r="L39" s="62" t="str">
        <f>IFERROR(VLOOKUP(MID(G39,J39,K39-J39),[6]skilldef!$C:$D,2,FALSE),"-") &amp; " / " &amp; IFERROR(VLOOKUP(MID(G39,H39,I39-H39),[6]skilldef!$A:$B,2,FALSE),"-")</f>
        <v>- / 連続攻撃</v>
      </c>
      <c r="M39" s="62" t="str">
        <f t="shared" si="41"/>
        <v>none</v>
      </c>
      <c r="N39" s="47" t="str">
        <f t="shared" si="35"/>
        <v>none</v>
      </c>
      <c r="O39" s="62" t="e">
        <f t="shared" si="42"/>
        <v>#VALUE!</v>
      </c>
      <c r="P39" s="62">
        <f t="shared" si="43"/>
        <v>4</v>
      </c>
      <c r="Q39" s="62" t="e">
        <f t="shared" si="44"/>
        <v>#VALUE!</v>
      </c>
      <c r="R39" s="62" t="e">
        <f t="shared" si="45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46"/>
        <v>none</v>
      </c>
      <c r="U39" s="62" t="e">
        <f t="shared" si="47"/>
        <v>#VALUE!</v>
      </c>
      <c r="V39" s="62">
        <f t="shared" si="48"/>
        <v>4</v>
      </c>
      <c r="W39" s="62" t="e">
        <f t="shared" si="49"/>
        <v>#VALUE!</v>
      </c>
      <c r="X39" s="62" t="e">
        <f t="shared" si="50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>
        <v>42418</v>
      </c>
      <c r="AB39" s="49" t="s">
        <v>269</v>
      </c>
    </row>
    <row r="40" spans="1:28" ht="21" customHeight="1" x14ac:dyDescent="0.15">
      <c r="A40" s="100">
        <v>40010043</v>
      </c>
      <c r="B40" s="46" t="s">
        <v>334</v>
      </c>
      <c r="C40" s="49">
        <v>3</v>
      </c>
      <c r="D40" s="49" t="s">
        <v>126</v>
      </c>
      <c r="E40" s="50" t="s">
        <v>282</v>
      </c>
      <c r="F40" s="50" t="s">
        <v>313</v>
      </c>
      <c r="G40" s="62" t="str">
        <f t="shared" si="36"/>
        <v>[effect:rush, count:2, val:0.6]</v>
      </c>
      <c r="H40" s="62">
        <f t="shared" si="37"/>
        <v>9</v>
      </c>
      <c r="I40" s="62">
        <f t="shared" si="38"/>
        <v>13</v>
      </c>
      <c r="J40" s="62" t="e">
        <f t="shared" si="39"/>
        <v>#VALUE!</v>
      </c>
      <c r="K40" s="62">
        <f t="shared" si="40"/>
        <v>22</v>
      </c>
      <c r="L40" s="62" t="str">
        <f>IFERROR(VLOOKUP(MID(G40,J40,K40-J40),[6]skilldef!$C:$D,2,FALSE),"-") &amp; " / " &amp; IFERROR(VLOOKUP(MID(G40,H40,I40-H40),[6]skilldef!$A:$B,2,FALSE),"-")</f>
        <v>- / 連続攻撃</v>
      </c>
      <c r="M40" s="62" t="str">
        <f t="shared" si="41"/>
        <v>none</v>
      </c>
      <c r="N40" s="47" t="str">
        <f t="shared" si="35"/>
        <v>none</v>
      </c>
      <c r="O40" s="62" t="e">
        <f t="shared" si="42"/>
        <v>#VALUE!</v>
      </c>
      <c r="P40" s="62">
        <f t="shared" si="43"/>
        <v>4</v>
      </c>
      <c r="Q40" s="62" t="e">
        <f t="shared" si="44"/>
        <v>#VALUE!</v>
      </c>
      <c r="R40" s="62" t="e">
        <f t="shared" si="45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46"/>
        <v>none</v>
      </c>
      <c r="U40" s="62" t="e">
        <f t="shared" si="47"/>
        <v>#VALUE!</v>
      </c>
      <c r="V40" s="62">
        <f t="shared" si="48"/>
        <v>4</v>
      </c>
      <c r="W40" s="62" t="e">
        <f t="shared" si="49"/>
        <v>#VALUE!</v>
      </c>
      <c r="X40" s="62" t="e">
        <f t="shared" si="50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>
        <v>42418</v>
      </c>
      <c r="AB40" s="49" t="s">
        <v>269</v>
      </c>
    </row>
    <row r="41" spans="1:28" ht="21" customHeight="1" x14ac:dyDescent="0.15">
      <c r="A41" s="46">
        <v>40010026</v>
      </c>
      <c r="B41" s="46" t="s">
        <v>358</v>
      </c>
      <c r="C41" s="49">
        <v>3</v>
      </c>
      <c r="D41" s="49" t="s">
        <v>126</v>
      </c>
      <c r="E41" s="50" t="s">
        <v>283</v>
      </c>
      <c r="F41" s="50" t="s">
        <v>364</v>
      </c>
      <c r="G41" s="62" t="str">
        <f t="shared" si="1"/>
        <v>[effect:charge, status:attack, val:0.7,animation:enemy_enhance_attack]</v>
      </c>
      <c r="H41" s="62">
        <f t="shared" si="2"/>
        <v>9</v>
      </c>
      <c r="I41" s="62">
        <f t="shared" si="3"/>
        <v>15</v>
      </c>
      <c r="J41" s="62" t="e">
        <f t="shared" si="4"/>
        <v>#VALUE!</v>
      </c>
      <c r="K41" s="62">
        <f t="shared" si="5"/>
        <v>30</v>
      </c>
      <c r="L41" s="62" t="str">
        <f>IFERROR(VLOOKUP(MID(G41,J41,K41-J41),[6]skilldef!$C:$D,2,FALSE),"-") &amp; " / " &amp; IFERROR(VLOOKUP(MID(G41,H41,I41-H41),[6]skilldef!$A:$B,2,FALSE),"-")</f>
        <v>- / 溜め</v>
      </c>
      <c r="M41" s="62" t="str">
        <f t="shared" si="6"/>
        <v>none</v>
      </c>
      <c r="N41" s="47" t="str">
        <f>IFERROR(LEFT(M41,FIND("],",M41)+S15),M41)</f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>
        <v>42418</v>
      </c>
      <c r="AB41" s="49" t="s">
        <v>269</v>
      </c>
    </row>
    <row r="42" spans="1:28" ht="21" customHeight="1" x14ac:dyDescent="0.15">
      <c r="A42" s="46">
        <v>40010028</v>
      </c>
      <c r="B42" s="98" t="s">
        <v>359</v>
      </c>
      <c r="C42" s="49">
        <v>3</v>
      </c>
      <c r="D42" s="49" t="s">
        <v>126</v>
      </c>
      <c r="E42" s="50" t="s">
        <v>307</v>
      </c>
      <c r="F42" s="50" t="s">
        <v>363</v>
      </c>
      <c r="G42" s="62" t="str">
        <f t="shared" ref="G42" si="51">IFERROR(LEFT(B42,FIND("],",B42)),B42)</f>
        <v>[effect:fix_speed, target:myself, turn:1]</v>
      </c>
      <c r="H42" s="62">
        <f t="shared" ref="H42" si="52">FIND("effect:",G42)+7</f>
        <v>9</v>
      </c>
      <c r="I42" s="62">
        <f t="shared" ref="I42" si="53">IFERROR(FIND(",",G42),LEN(G42))</f>
        <v>18</v>
      </c>
      <c r="J42" s="62">
        <f t="shared" ref="J42" si="54">FIND("target:",G42)+7</f>
        <v>27</v>
      </c>
      <c r="K42" s="62">
        <f t="shared" ref="K42" si="55">FIND(",",G42,I42+1)</f>
        <v>33</v>
      </c>
      <c r="L42" s="62" t="str">
        <f>IFERROR(VLOOKUP(MID(G42,J42,K42-J42),[6]skilldef!$C:$D,2,FALSE),"-") &amp; " / " &amp; IFERROR(VLOOKUP(MID(G42,H42,I42-H42),[6]skilldef!$A:$B,2,FALSE),"-")</f>
        <v>自分自身に / 行動値設定</v>
      </c>
      <c r="M42" s="62" t="str">
        <f t="shared" ref="M42" si="56">IFERROR(RIGHT(B42,LEN(B42)-FIND("],",B42)-1),"none")</f>
        <v>[effect:fix_speed, target:enemy_red, turn:2]</v>
      </c>
      <c r="N42" s="47" t="str">
        <f>IFERROR(LEFT(M42,FIND("],",M42)+S17),M42)</f>
        <v>[effect:fix_speed, target:enemy_red, turn:2]</v>
      </c>
      <c r="O42" s="62">
        <f t="shared" ref="O42" si="57">FIND("effect:",N42)+7</f>
        <v>9</v>
      </c>
      <c r="P42" s="62">
        <f t="shared" ref="P42" si="58">IFERROR(FIND(",",N42),LEN(N42))</f>
        <v>18</v>
      </c>
      <c r="Q42" s="62">
        <f t="shared" ref="Q42" si="59">FIND("target:",N42)+7</f>
        <v>27</v>
      </c>
      <c r="R42" s="62">
        <f t="shared" ref="R42" si="60">FIND(",",N42,P42+1)</f>
        <v>36</v>
      </c>
      <c r="S42" s="62" t="str">
        <f>IFERROR(VLOOKUP(MID(N42,Q42,R42-Q42),[6]skilldef!$C:$D,2,FALSE),"-") &amp; " / " &amp; IFERROR(VLOOKUP(MID(N42,O42,P42-O42),[6]skilldef!$A:$B,2,FALSE),"-")</f>
        <v>赤の敵に / 行動値設定</v>
      </c>
      <c r="T42" s="47" t="str">
        <f t="shared" ref="T42" si="61">IFERROR(RIGHT(M42,LEN(M42)-FIND("],",M42)-1),"none")</f>
        <v>none</v>
      </c>
      <c r="U42" s="62" t="e">
        <f t="shared" ref="U42" si="62">FIND("effect:",T42)+7</f>
        <v>#VALUE!</v>
      </c>
      <c r="V42" s="62">
        <f t="shared" ref="V42" si="63">IFERROR(FIND(",",T42),LEN(T42))</f>
        <v>4</v>
      </c>
      <c r="W42" s="62" t="e">
        <f t="shared" ref="W42" si="64">FIND("target:",T42)+7</f>
        <v>#VALUE!</v>
      </c>
      <c r="X42" s="62" t="e">
        <f t="shared" ref="X42" si="65">FIND(",",T42,V42+1)</f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>
        <v>42418</v>
      </c>
      <c r="AB42" s="50" t="s">
        <v>252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2"/>
  <sheetViews>
    <sheetView showGridLines="0" zoomScale="125" zoomScaleNormal="125" zoomScalePageLayoutView="125" workbookViewId="0">
      <pane ySplit="1" topLeftCell="A2" activePane="bottomLeft" state="frozenSplit"/>
      <selection pane="bottomLeft" activeCell="L19" sqref="L19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9" bestFit="1" customWidth="1"/>
    <col min="12" max="16384" width="12.83203125" style="44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46">
        <v>40010001</v>
      </c>
      <c r="B2" s="47">
        <v>0</v>
      </c>
      <c r="C2" s="47" t="s">
        <v>226</v>
      </c>
      <c r="D2" s="47">
        <v>30</v>
      </c>
      <c r="E2" s="47" t="s">
        <v>227</v>
      </c>
      <c r="F2" s="47" t="s">
        <v>228</v>
      </c>
      <c r="G2" s="47" t="s">
        <v>228</v>
      </c>
      <c r="H2" s="47" t="s">
        <v>227</v>
      </c>
      <c r="I2" s="47" t="s">
        <v>228</v>
      </c>
      <c r="J2" s="47">
        <f t="shared" ref="J2" si="0">D2</f>
        <v>30</v>
      </c>
    </row>
    <row r="3" spans="1:11" ht="21" customHeight="1" x14ac:dyDescent="0.15">
      <c r="A3" s="46">
        <v>40010002</v>
      </c>
      <c r="B3" s="47">
        <v>0</v>
      </c>
      <c r="C3" s="47">
        <v>1</v>
      </c>
      <c r="D3" s="47">
        <v>100</v>
      </c>
      <c r="E3" s="47" t="s">
        <v>227</v>
      </c>
      <c r="F3" s="47" t="s">
        <v>227</v>
      </c>
      <c r="G3" s="47">
        <v>1</v>
      </c>
      <c r="H3" s="47">
        <v>4</v>
      </c>
      <c r="I3" s="47" t="s">
        <v>228</v>
      </c>
      <c r="J3" s="47">
        <f t="shared" ref="J3:J42" si="1">D3</f>
        <v>100</v>
      </c>
    </row>
    <row r="4" spans="1:11" ht="21" customHeight="1" x14ac:dyDescent="0.15">
      <c r="A4" s="46">
        <v>40010003</v>
      </c>
      <c r="B4" s="47">
        <v>0</v>
      </c>
      <c r="C4" s="47" t="s">
        <v>229</v>
      </c>
      <c r="D4" s="47">
        <v>50</v>
      </c>
      <c r="E4" s="47" t="s">
        <v>227</v>
      </c>
      <c r="F4" s="47" t="s">
        <v>227</v>
      </c>
      <c r="G4" s="47" t="s">
        <v>229</v>
      </c>
      <c r="H4" s="47" t="s">
        <v>227</v>
      </c>
      <c r="I4" s="47" t="s">
        <v>228</v>
      </c>
      <c r="J4" s="47">
        <f t="shared" si="1"/>
        <v>50</v>
      </c>
    </row>
    <row r="5" spans="1:11" ht="21" customHeight="1" x14ac:dyDescent="0.15">
      <c r="A5" s="46">
        <v>40010004</v>
      </c>
      <c r="B5" s="47">
        <v>0</v>
      </c>
      <c r="C5" s="47">
        <v>1</v>
      </c>
      <c r="D5" s="47">
        <v>100</v>
      </c>
      <c r="E5" s="47" t="s">
        <v>227</v>
      </c>
      <c r="F5" s="47" t="s">
        <v>227</v>
      </c>
      <c r="G5" s="47">
        <v>1</v>
      </c>
      <c r="H5" s="47">
        <v>4</v>
      </c>
      <c r="I5" s="47" t="s">
        <v>228</v>
      </c>
      <c r="J5" s="47">
        <f t="shared" si="1"/>
        <v>100</v>
      </c>
    </row>
    <row r="6" spans="1:11" ht="21" customHeight="1" x14ac:dyDescent="0.15">
      <c r="A6" s="46">
        <v>40010005</v>
      </c>
      <c r="B6" s="47">
        <v>0</v>
      </c>
      <c r="C6" s="47" t="s">
        <v>227</v>
      </c>
      <c r="D6" s="47">
        <v>100</v>
      </c>
      <c r="E6" s="47" t="s">
        <v>228</v>
      </c>
      <c r="F6" s="47" t="s">
        <v>228</v>
      </c>
      <c r="G6" s="47" t="s">
        <v>227</v>
      </c>
      <c r="H6" s="47">
        <v>2</v>
      </c>
      <c r="I6" s="47" t="s">
        <v>227</v>
      </c>
      <c r="J6" s="47">
        <f t="shared" si="1"/>
        <v>100</v>
      </c>
    </row>
    <row r="7" spans="1:11" ht="21" customHeight="1" x14ac:dyDescent="0.15">
      <c r="A7" s="46">
        <v>40010006</v>
      </c>
      <c r="B7" s="47">
        <v>0</v>
      </c>
      <c r="C7" s="47">
        <v>1</v>
      </c>
      <c r="D7" s="47">
        <v>100</v>
      </c>
      <c r="E7" s="47" t="s">
        <v>227</v>
      </c>
      <c r="F7" s="47" t="s">
        <v>227</v>
      </c>
      <c r="G7" s="47">
        <v>1</v>
      </c>
      <c r="H7" s="47">
        <v>8</v>
      </c>
      <c r="I7" s="47" t="s">
        <v>228</v>
      </c>
      <c r="J7" s="47">
        <f t="shared" si="1"/>
        <v>100</v>
      </c>
    </row>
    <row r="8" spans="1:11" ht="21" customHeight="1" x14ac:dyDescent="0.15">
      <c r="A8" s="46">
        <v>40010007</v>
      </c>
      <c r="B8" s="47">
        <v>1</v>
      </c>
      <c r="C8" s="47" t="s">
        <v>228</v>
      </c>
      <c r="D8" s="47">
        <v>100</v>
      </c>
      <c r="E8" s="47" t="s">
        <v>227</v>
      </c>
      <c r="F8" s="47" t="s">
        <v>227</v>
      </c>
      <c r="G8" s="47">
        <v>1</v>
      </c>
      <c r="H8" s="47" t="s">
        <v>227</v>
      </c>
      <c r="I8" s="47" t="s">
        <v>227</v>
      </c>
      <c r="J8" s="47">
        <f t="shared" si="1"/>
        <v>100</v>
      </c>
    </row>
    <row r="9" spans="1:11" ht="21" customHeight="1" x14ac:dyDescent="0.15">
      <c r="A9" s="46">
        <v>40010008</v>
      </c>
      <c r="B9" s="47">
        <v>0</v>
      </c>
      <c r="C9" s="47">
        <v>2</v>
      </c>
      <c r="D9" s="47">
        <v>100</v>
      </c>
      <c r="E9" s="47">
        <v>50</v>
      </c>
      <c r="F9" s="47" t="s">
        <v>227</v>
      </c>
      <c r="G9" s="47">
        <v>1</v>
      </c>
      <c r="H9" s="47" t="s">
        <v>228</v>
      </c>
      <c r="I9" s="47" t="s">
        <v>227</v>
      </c>
      <c r="J9" s="47">
        <f t="shared" si="1"/>
        <v>100</v>
      </c>
    </row>
    <row r="10" spans="1:11" ht="21" customHeight="1" x14ac:dyDescent="0.15">
      <c r="A10" s="46">
        <v>40010009</v>
      </c>
      <c r="B10" s="47">
        <v>0</v>
      </c>
      <c r="C10" s="47" t="s">
        <v>227</v>
      </c>
      <c r="D10" s="47">
        <v>100</v>
      </c>
      <c r="E10" s="47" t="s">
        <v>227</v>
      </c>
      <c r="F10" s="47" t="s">
        <v>228</v>
      </c>
      <c r="G10" s="47" t="s">
        <v>230</v>
      </c>
      <c r="H10" s="47">
        <v>2</v>
      </c>
      <c r="I10" s="47" t="s">
        <v>228</v>
      </c>
      <c r="J10" s="47">
        <f t="shared" si="1"/>
        <v>100</v>
      </c>
    </row>
    <row r="11" spans="1:11" ht="21" customHeight="1" x14ac:dyDescent="0.15">
      <c r="A11" s="46">
        <v>40010010</v>
      </c>
      <c r="B11" s="47">
        <v>0</v>
      </c>
      <c r="C11" s="47">
        <v>1</v>
      </c>
      <c r="D11" s="47">
        <v>100</v>
      </c>
      <c r="E11" s="47">
        <v>30</v>
      </c>
      <c r="F11" s="47" t="s">
        <v>228</v>
      </c>
      <c r="G11" s="47">
        <v>1</v>
      </c>
      <c r="H11" s="47" t="s">
        <v>227</v>
      </c>
      <c r="I11" s="47" t="s">
        <v>228</v>
      </c>
      <c r="J11" s="47">
        <f t="shared" si="1"/>
        <v>100</v>
      </c>
    </row>
    <row r="12" spans="1:11" ht="21" customHeight="1" x14ac:dyDescent="0.15">
      <c r="A12" s="46">
        <v>40010011</v>
      </c>
      <c r="B12" s="47">
        <v>1</v>
      </c>
      <c r="C12" s="47" t="s">
        <v>228</v>
      </c>
      <c r="D12" s="47">
        <v>100</v>
      </c>
      <c r="E12" s="47" t="s">
        <v>227</v>
      </c>
      <c r="F12" s="47" t="s">
        <v>227</v>
      </c>
      <c r="G12" s="47">
        <v>1</v>
      </c>
      <c r="H12" s="47" t="s">
        <v>227</v>
      </c>
      <c r="I12" s="47" t="s">
        <v>227</v>
      </c>
      <c r="J12" s="47">
        <f t="shared" si="1"/>
        <v>100</v>
      </c>
    </row>
    <row r="13" spans="1:11" ht="21" customHeight="1" x14ac:dyDescent="0.15">
      <c r="A13" s="46">
        <v>40010012</v>
      </c>
      <c r="B13" s="47">
        <v>0</v>
      </c>
      <c r="C13" s="47">
        <v>10</v>
      </c>
      <c r="D13" s="47">
        <v>100</v>
      </c>
      <c r="E13" s="47" t="s">
        <v>228</v>
      </c>
      <c r="F13" s="47" t="s">
        <v>227</v>
      </c>
      <c r="G13" s="47">
        <v>1</v>
      </c>
      <c r="H13" s="47">
        <v>1</v>
      </c>
      <c r="I13" s="47" t="s">
        <v>227</v>
      </c>
      <c r="J13" s="47">
        <f t="shared" si="1"/>
        <v>100</v>
      </c>
    </row>
    <row r="14" spans="1:11" ht="21" customHeight="1" x14ac:dyDescent="0.15">
      <c r="A14" s="46">
        <v>40010013</v>
      </c>
      <c r="B14" s="47">
        <v>0</v>
      </c>
      <c r="C14" s="47" t="s">
        <v>229</v>
      </c>
      <c r="D14" s="47">
        <v>50</v>
      </c>
      <c r="E14" s="47" t="s">
        <v>227</v>
      </c>
      <c r="F14" s="47" t="s">
        <v>227</v>
      </c>
      <c r="G14" s="47">
        <v>3</v>
      </c>
      <c r="H14" s="47" t="s">
        <v>227</v>
      </c>
      <c r="I14" s="47" t="s">
        <v>228</v>
      </c>
      <c r="J14" s="47">
        <f t="shared" si="1"/>
        <v>50</v>
      </c>
    </row>
    <row r="15" spans="1:11" ht="21" customHeight="1" x14ac:dyDescent="0.15">
      <c r="A15" s="46">
        <v>40010014</v>
      </c>
      <c r="B15" s="47">
        <v>0</v>
      </c>
      <c r="C15" s="47" t="s">
        <v>227</v>
      </c>
      <c r="D15" s="47">
        <v>100</v>
      </c>
      <c r="E15" s="47" t="s">
        <v>228</v>
      </c>
      <c r="F15" s="47" t="s">
        <v>228</v>
      </c>
      <c r="G15" s="47" t="s">
        <v>227</v>
      </c>
      <c r="H15" s="47">
        <v>3</v>
      </c>
      <c r="I15" s="47" t="s">
        <v>235</v>
      </c>
      <c r="J15" s="47">
        <f t="shared" si="1"/>
        <v>100</v>
      </c>
    </row>
    <row r="16" spans="1:11" ht="21" customHeight="1" x14ac:dyDescent="0.15">
      <c r="A16" s="46">
        <v>40010015</v>
      </c>
      <c r="B16" s="47">
        <v>0</v>
      </c>
      <c r="C16" s="47">
        <v>5</v>
      </c>
      <c r="D16" s="47">
        <v>100</v>
      </c>
      <c r="E16" s="47">
        <v>30</v>
      </c>
      <c r="F16" s="47" t="s">
        <v>228</v>
      </c>
      <c r="G16" s="47">
        <v>1</v>
      </c>
      <c r="H16" s="47" t="s">
        <v>227</v>
      </c>
      <c r="I16" s="47" t="s">
        <v>228</v>
      </c>
      <c r="J16" s="47">
        <f t="shared" si="1"/>
        <v>100</v>
      </c>
    </row>
    <row r="17" spans="1:10" ht="21" customHeight="1" x14ac:dyDescent="0.15">
      <c r="A17" s="46">
        <v>40010016</v>
      </c>
      <c r="B17" s="96">
        <v>1</v>
      </c>
      <c r="C17" s="97" t="s">
        <v>225</v>
      </c>
      <c r="D17" s="97">
        <v>100</v>
      </c>
      <c r="E17" s="97" t="s">
        <v>225</v>
      </c>
      <c r="F17" s="97" t="s">
        <v>225</v>
      </c>
      <c r="G17" s="97">
        <v>1</v>
      </c>
      <c r="H17" s="97" t="s">
        <v>225</v>
      </c>
      <c r="I17" s="97" t="s">
        <v>225</v>
      </c>
      <c r="J17" s="47">
        <f t="shared" si="1"/>
        <v>100</v>
      </c>
    </row>
    <row r="18" spans="1:10" ht="21" customHeight="1" x14ac:dyDescent="0.15">
      <c r="A18" s="46">
        <v>40010017</v>
      </c>
      <c r="B18" s="47">
        <v>0</v>
      </c>
      <c r="C18" s="47" t="s">
        <v>227</v>
      </c>
      <c r="D18" s="47">
        <v>100</v>
      </c>
      <c r="E18" s="47" t="s">
        <v>228</v>
      </c>
      <c r="F18" s="47" t="s">
        <v>228</v>
      </c>
      <c r="G18" s="47" t="s">
        <v>227</v>
      </c>
      <c r="H18" s="47">
        <v>2</v>
      </c>
      <c r="I18" s="47" t="s">
        <v>227</v>
      </c>
      <c r="J18" s="47">
        <f t="shared" si="1"/>
        <v>100</v>
      </c>
    </row>
    <row r="19" spans="1:10" ht="21" customHeight="1" x14ac:dyDescent="0.15">
      <c r="A19" s="46">
        <v>40010018</v>
      </c>
      <c r="B19" s="47">
        <v>0</v>
      </c>
      <c r="C19" s="47" t="s">
        <v>227</v>
      </c>
      <c r="D19" s="47">
        <v>100</v>
      </c>
      <c r="E19" s="47" t="s">
        <v>228</v>
      </c>
      <c r="F19" s="47" t="s">
        <v>228</v>
      </c>
      <c r="G19" s="47" t="s">
        <v>227</v>
      </c>
      <c r="H19" s="47">
        <v>3</v>
      </c>
      <c r="I19" s="47" t="s">
        <v>236</v>
      </c>
      <c r="J19" s="47">
        <f t="shared" si="1"/>
        <v>100</v>
      </c>
    </row>
    <row r="20" spans="1:10" ht="21" customHeight="1" x14ac:dyDescent="0.15">
      <c r="A20" s="46">
        <v>40010019</v>
      </c>
      <c r="B20" s="47">
        <v>0</v>
      </c>
      <c r="C20" s="47">
        <v>10</v>
      </c>
      <c r="D20" s="47">
        <v>100</v>
      </c>
      <c r="E20" s="47">
        <v>30</v>
      </c>
      <c r="F20" s="47" t="s">
        <v>228</v>
      </c>
      <c r="G20" s="47">
        <v>1</v>
      </c>
      <c r="H20" s="47">
        <v>1</v>
      </c>
      <c r="I20" s="47" t="s">
        <v>228</v>
      </c>
      <c r="J20" s="47">
        <f t="shared" si="1"/>
        <v>100</v>
      </c>
    </row>
    <row r="21" spans="1:10" ht="21" customHeight="1" x14ac:dyDescent="0.15">
      <c r="A21" s="46">
        <v>40010020</v>
      </c>
      <c r="B21" s="96">
        <v>1</v>
      </c>
      <c r="C21" s="97" t="s">
        <v>225</v>
      </c>
      <c r="D21" s="97">
        <v>100</v>
      </c>
      <c r="E21" s="97" t="s">
        <v>225</v>
      </c>
      <c r="F21" s="97" t="s">
        <v>225</v>
      </c>
      <c r="G21" s="97">
        <v>1</v>
      </c>
      <c r="H21" s="97" t="s">
        <v>225</v>
      </c>
      <c r="I21" s="97" t="s">
        <v>225</v>
      </c>
      <c r="J21" s="47">
        <f t="shared" si="1"/>
        <v>100</v>
      </c>
    </row>
    <row r="22" spans="1:10" ht="21" customHeight="1" x14ac:dyDescent="0.15">
      <c r="A22" s="46">
        <v>40010021</v>
      </c>
      <c r="B22" s="47">
        <v>0</v>
      </c>
      <c r="C22" s="47">
        <v>8</v>
      </c>
      <c r="D22" s="47">
        <v>100</v>
      </c>
      <c r="E22" s="47" t="s">
        <v>227</v>
      </c>
      <c r="F22" s="47" t="s">
        <v>227</v>
      </c>
      <c r="G22" s="47">
        <v>1</v>
      </c>
      <c r="H22" s="47">
        <v>1</v>
      </c>
      <c r="I22" s="47" t="s">
        <v>227</v>
      </c>
      <c r="J22" s="47">
        <f t="shared" si="1"/>
        <v>100</v>
      </c>
    </row>
    <row r="23" spans="1:10" ht="21" customHeight="1" x14ac:dyDescent="0.15">
      <c r="A23" s="46">
        <v>40010022</v>
      </c>
      <c r="B23" s="47">
        <v>0</v>
      </c>
      <c r="C23" s="47">
        <v>7</v>
      </c>
      <c r="D23" s="97">
        <v>100</v>
      </c>
      <c r="E23" s="47" t="s">
        <v>227</v>
      </c>
      <c r="F23" s="47" t="s">
        <v>227</v>
      </c>
      <c r="G23" s="47">
        <v>1</v>
      </c>
      <c r="H23" s="47">
        <v>2</v>
      </c>
      <c r="I23" s="47" t="s">
        <v>227</v>
      </c>
      <c r="J23" s="47">
        <f t="shared" si="1"/>
        <v>100</v>
      </c>
    </row>
    <row r="24" spans="1:10" ht="21" customHeight="1" x14ac:dyDescent="0.15">
      <c r="A24" s="46">
        <v>40010023</v>
      </c>
      <c r="B24" s="47">
        <v>0</v>
      </c>
      <c r="C24" s="47">
        <v>6</v>
      </c>
      <c r="D24" s="47">
        <v>100</v>
      </c>
      <c r="E24" s="47" t="s">
        <v>228</v>
      </c>
      <c r="F24" s="47" t="s">
        <v>228</v>
      </c>
      <c r="G24" s="47">
        <v>1</v>
      </c>
      <c r="H24" s="47">
        <v>3</v>
      </c>
      <c r="I24" s="47" t="s">
        <v>228</v>
      </c>
      <c r="J24" s="47">
        <f t="shared" si="1"/>
        <v>100</v>
      </c>
    </row>
    <row r="25" spans="1:10" ht="21" customHeight="1" x14ac:dyDescent="0.15">
      <c r="A25" s="46">
        <v>40010024</v>
      </c>
      <c r="B25" s="47">
        <v>0</v>
      </c>
      <c r="C25" s="47">
        <v>5</v>
      </c>
      <c r="D25" s="47">
        <v>100</v>
      </c>
      <c r="E25" s="47" t="s">
        <v>227</v>
      </c>
      <c r="F25" s="47" t="s">
        <v>227</v>
      </c>
      <c r="G25" s="47">
        <v>1</v>
      </c>
      <c r="H25" s="47">
        <v>4</v>
      </c>
      <c r="I25" s="47" t="s">
        <v>227</v>
      </c>
      <c r="J25" s="47">
        <f t="shared" si="1"/>
        <v>100</v>
      </c>
    </row>
    <row r="26" spans="1:10" ht="21" customHeight="1" x14ac:dyDescent="0.15">
      <c r="A26" s="46">
        <v>40010025</v>
      </c>
      <c r="B26" s="47">
        <v>0</v>
      </c>
      <c r="C26" s="47">
        <v>4</v>
      </c>
      <c r="D26" s="47">
        <v>100</v>
      </c>
      <c r="E26" s="47" t="s">
        <v>227</v>
      </c>
      <c r="F26" s="47" t="s">
        <v>227</v>
      </c>
      <c r="G26" s="47">
        <v>1</v>
      </c>
      <c r="H26" s="47">
        <v>5</v>
      </c>
      <c r="I26" s="47" t="s">
        <v>227</v>
      </c>
      <c r="J26" s="47">
        <f t="shared" si="1"/>
        <v>100</v>
      </c>
    </row>
    <row r="27" spans="1:10" ht="21" customHeight="1" x14ac:dyDescent="0.15">
      <c r="A27" s="101">
        <v>40010041</v>
      </c>
      <c r="B27" s="47">
        <v>0</v>
      </c>
      <c r="C27" s="47">
        <v>3</v>
      </c>
      <c r="D27" s="47">
        <v>100</v>
      </c>
      <c r="E27" s="47" t="s">
        <v>228</v>
      </c>
      <c r="F27" s="47" t="s">
        <v>228</v>
      </c>
      <c r="G27" s="47">
        <v>1</v>
      </c>
      <c r="H27" s="47">
        <v>6</v>
      </c>
      <c r="I27" s="47" t="s">
        <v>228</v>
      </c>
      <c r="J27" s="47">
        <f t="shared" ref="J27:J29" si="2">D27</f>
        <v>100</v>
      </c>
    </row>
    <row r="28" spans="1:10" ht="21" customHeight="1" x14ac:dyDescent="0.15">
      <c r="A28" s="101">
        <v>40010042</v>
      </c>
      <c r="B28" s="47">
        <v>0</v>
      </c>
      <c r="C28" s="47">
        <v>2</v>
      </c>
      <c r="D28" s="47">
        <v>100</v>
      </c>
      <c r="E28" s="47" t="s">
        <v>227</v>
      </c>
      <c r="F28" s="47" t="s">
        <v>227</v>
      </c>
      <c r="G28" s="47">
        <v>1</v>
      </c>
      <c r="H28" s="47">
        <v>7</v>
      </c>
      <c r="I28" s="47" t="s">
        <v>227</v>
      </c>
      <c r="J28" s="47">
        <f t="shared" si="2"/>
        <v>100</v>
      </c>
    </row>
    <row r="29" spans="1:10" ht="21" customHeight="1" x14ac:dyDescent="0.15">
      <c r="A29" s="101">
        <v>40010043</v>
      </c>
      <c r="B29" s="47">
        <v>0</v>
      </c>
      <c r="C29" s="47">
        <v>1</v>
      </c>
      <c r="D29" s="47">
        <v>100</v>
      </c>
      <c r="E29" s="47" t="s">
        <v>227</v>
      </c>
      <c r="F29" s="47" t="s">
        <v>227</v>
      </c>
      <c r="G29" s="47">
        <v>1</v>
      </c>
      <c r="H29" s="47">
        <v>8</v>
      </c>
      <c r="I29" s="47" t="s">
        <v>227</v>
      </c>
      <c r="J29" s="47">
        <f t="shared" si="2"/>
        <v>100</v>
      </c>
    </row>
    <row r="30" spans="1:10" ht="21" customHeight="1" x14ac:dyDescent="0.15">
      <c r="A30" s="46">
        <v>40010026</v>
      </c>
      <c r="B30" s="47">
        <v>0</v>
      </c>
      <c r="C30" s="47">
        <v>10</v>
      </c>
      <c r="D30" s="97">
        <v>100</v>
      </c>
      <c r="E30" s="47">
        <v>30</v>
      </c>
      <c r="F30" s="47" t="s">
        <v>228</v>
      </c>
      <c r="G30" s="47">
        <v>1</v>
      </c>
      <c r="H30" s="47">
        <v>1</v>
      </c>
      <c r="I30" s="47" t="s">
        <v>228</v>
      </c>
      <c r="J30" s="47">
        <f t="shared" si="1"/>
        <v>100</v>
      </c>
    </row>
    <row r="31" spans="1:10" ht="21" customHeight="1" x14ac:dyDescent="0.15">
      <c r="A31" s="46">
        <v>40010027</v>
      </c>
      <c r="B31" s="96">
        <v>1</v>
      </c>
      <c r="C31" s="97" t="s">
        <v>225</v>
      </c>
      <c r="D31" s="47">
        <v>100</v>
      </c>
      <c r="E31" s="97" t="s">
        <v>225</v>
      </c>
      <c r="F31" s="97" t="s">
        <v>225</v>
      </c>
      <c r="G31" s="97">
        <v>1</v>
      </c>
      <c r="H31" s="97" t="s">
        <v>225</v>
      </c>
      <c r="I31" s="97" t="s">
        <v>225</v>
      </c>
      <c r="J31" s="47">
        <f t="shared" si="1"/>
        <v>100</v>
      </c>
    </row>
    <row r="32" spans="1:10" ht="21" customHeight="1" x14ac:dyDescent="0.15">
      <c r="A32" s="99">
        <v>40010028</v>
      </c>
      <c r="B32" s="46">
        <v>1</v>
      </c>
      <c r="C32" s="46">
        <v>50</v>
      </c>
      <c r="D32" s="46">
        <v>100</v>
      </c>
      <c r="E32" s="46" t="s">
        <v>259</v>
      </c>
      <c r="F32" s="46" t="s">
        <v>259</v>
      </c>
      <c r="G32" s="46">
        <v>1</v>
      </c>
      <c r="H32" s="46" t="s">
        <v>259</v>
      </c>
      <c r="I32" s="46" t="s">
        <v>259</v>
      </c>
      <c r="J32" s="47">
        <f t="shared" si="1"/>
        <v>100</v>
      </c>
    </row>
    <row r="33" spans="1:10" ht="21" customHeight="1" x14ac:dyDescent="0.15">
      <c r="A33" s="99">
        <v>40010029</v>
      </c>
      <c r="B33" s="46">
        <v>0</v>
      </c>
      <c r="C33" s="46">
        <v>41</v>
      </c>
      <c r="D33" s="46">
        <v>10</v>
      </c>
      <c r="E33" s="46" t="s">
        <v>260</v>
      </c>
      <c r="F33" s="46" t="s">
        <v>261</v>
      </c>
      <c r="G33" s="46">
        <v>1</v>
      </c>
      <c r="H33" s="46" t="s">
        <v>261</v>
      </c>
      <c r="I33" s="46" t="s">
        <v>261</v>
      </c>
      <c r="J33" s="47">
        <f t="shared" si="1"/>
        <v>10</v>
      </c>
    </row>
    <row r="34" spans="1:10" ht="21" customHeight="1" x14ac:dyDescent="0.15">
      <c r="A34" s="99">
        <v>40010030</v>
      </c>
      <c r="B34" s="46">
        <v>0</v>
      </c>
      <c r="C34" s="46">
        <v>30</v>
      </c>
      <c r="D34" s="46">
        <v>60</v>
      </c>
      <c r="E34" s="46" t="s">
        <v>260</v>
      </c>
      <c r="F34" s="46" t="s">
        <v>261</v>
      </c>
      <c r="G34" s="46" t="s">
        <v>261</v>
      </c>
      <c r="H34" s="46" t="s">
        <v>261</v>
      </c>
      <c r="I34" s="46" t="s">
        <v>261</v>
      </c>
      <c r="J34" s="47">
        <f t="shared" si="1"/>
        <v>60</v>
      </c>
    </row>
    <row r="35" spans="1:10" ht="21" customHeight="1" x14ac:dyDescent="0.15">
      <c r="A35" s="99">
        <v>40010031</v>
      </c>
      <c r="B35" s="46">
        <v>0</v>
      </c>
      <c r="C35" s="46">
        <v>40</v>
      </c>
      <c r="D35" s="46">
        <v>100</v>
      </c>
      <c r="E35" s="46" t="s">
        <v>260</v>
      </c>
      <c r="F35" s="46" t="s">
        <v>261</v>
      </c>
      <c r="G35" s="46">
        <v>1</v>
      </c>
      <c r="H35" s="46">
        <v>1</v>
      </c>
      <c r="I35" s="46" t="s">
        <v>261</v>
      </c>
      <c r="J35" s="47">
        <f t="shared" si="1"/>
        <v>100</v>
      </c>
    </row>
    <row r="36" spans="1:10" ht="21" customHeight="1" x14ac:dyDescent="0.15">
      <c r="A36" s="99">
        <v>40010032</v>
      </c>
      <c r="B36" s="46">
        <v>0</v>
      </c>
      <c r="C36" s="46">
        <v>40</v>
      </c>
      <c r="D36" s="46">
        <v>100</v>
      </c>
      <c r="E36" s="46">
        <v>25</v>
      </c>
      <c r="F36" s="46" t="s">
        <v>260</v>
      </c>
      <c r="G36" s="46">
        <v>1</v>
      </c>
      <c r="H36" s="46" t="s">
        <v>261</v>
      </c>
      <c r="I36" s="46" t="s">
        <v>261</v>
      </c>
      <c r="J36" s="47">
        <f t="shared" si="1"/>
        <v>100</v>
      </c>
    </row>
    <row r="37" spans="1:10" ht="21" customHeight="1" x14ac:dyDescent="0.15">
      <c r="A37" s="99">
        <v>40010033</v>
      </c>
      <c r="B37" s="46">
        <v>1</v>
      </c>
      <c r="C37" s="46">
        <v>50</v>
      </c>
      <c r="D37" s="46">
        <v>100</v>
      </c>
      <c r="E37" s="46" t="s">
        <v>260</v>
      </c>
      <c r="F37" s="46" t="s">
        <v>261</v>
      </c>
      <c r="G37" s="46">
        <v>1</v>
      </c>
      <c r="H37" s="46" t="s">
        <v>261</v>
      </c>
      <c r="I37" s="46" t="s">
        <v>261</v>
      </c>
      <c r="J37" s="47">
        <f t="shared" si="1"/>
        <v>100</v>
      </c>
    </row>
    <row r="38" spans="1:10" ht="21" customHeight="1" x14ac:dyDescent="0.15">
      <c r="A38" s="99">
        <v>40010034</v>
      </c>
      <c r="B38" s="46">
        <v>0</v>
      </c>
      <c r="C38" s="46">
        <v>41</v>
      </c>
      <c r="D38" s="46">
        <v>10</v>
      </c>
      <c r="E38" s="46" t="s">
        <v>260</v>
      </c>
      <c r="F38" s="46" t="s">
        <v>261</v>
      </c>
      <c r="G38" s="46">
        <v>1</v>
      </c>
      <c r="H38" s="46" t="s">
        <v>261</v>
      </c>
      <c r="I38" s="46" t="s">
        <v>261</v>
      </c>
      <c r="J38" s="47">
        <f t="shared" si="1"/>
        <v>10</v>
      </c>
    </row>
    <row r="39" spans="1:10" ht="21" customHeight="1" x14ac:dyDescent="0.15">
      <c r="A39" s="99">
        <v>40010035</v>
      </c>
      <c r="B39" s="46">
        <v>0</v>
      </c>
      <c r="C39" s="46">
        <v>31</v>
      </c>
      <c r="D39" s="46">
        <v>40</v>
      </c>
      <c r="E39" s="46" t="s">
        <v>260</v>
      </c>
      <c r="F39" s="46" t="s">
        <v>261</v>
      </c>
      <c r="G39" s="46" t="s">
        <v>261</v>
      </c>
      <c r="H39" s="46" t="s">
        <v>261</v>
      </c>
      <c r="I39" s="46" t="s">
        <v>261</v>
      </c>
      <c r="J39" s="47">
        <f t="shared" si="1"/>
        <v>40</v>
      </c>
    </row>
    <row r="40" spans="1:10" ht="21" customHeight="1" x14ac:dyDescent="0.15">
      <c r="A40" s="99">
        <v>40010036</v>
      </c>
      <c r="B40" s="46">
        <v>0</v>
      </c>
      <c r="C40" s="46">
        <v>30</v>
      </c>
      <c r="D40" s="46">
        <v>100</v>
      </c>
      <c r="E40" s="46" t="s">
        <v>260</v>
      </c>
      <c r="F40" s="46" t="s">
        <v>261</v>
      </c>
      <c r="G40" s="46">
        <v>2</v>
      </c>
      <c r="H40" s="46" t="s">
        <v>261</v>
      </c>
      <c r="I40" s="46" t="s">
        <v>261</v>
      </c>
      <c r="J40" s="47">
        <f t="shared" si="1"/>
        <v>100</v>
      </c>
    </row>
    <row r="41" spans="1:10" ht="21" customHeight="1" x14ac:dyDescent="0.15">
      <c r="A41" s="99">
        <v>40010037</v>
      </c>
      <c r="B41" s="46">
        <v>0</v>
      </c>
      <c r="C41" s="46">
        <v>40</v>
      </c>
      <c r="D41" s="46">
        <v>100</v>
      </c>
      <c r="E41" s="46">
        <v>50</v>
      </c>
      <c r="F41" s="46" t="s">
        <v>260</v>
      </c>
      <c r="G41" s="46">
        <v>1</v>
      </c>
      <c r="H41" s="46" t="s">
        <v>261</v>
      </c>
      <c r="I41" s="46" t="s">
        <v>261</v>
      </c>
      <c r="J41" s="47">
        <f t="shared" si="1"/>
        <v>100</v>
      </c>
    </row>
    <row r="42" spans="1:10" ht="21" customHeight="1" x14ac:dyDescent="0.15">
      <c r="A42" s="99">
        <v>40010038</v>
      </c>
      <c r="B42" s="46">
        <v>0</v>
      </c>
      <c r="C42" s="46">
        <v>31</v>
      </c>
      <c r="D42" s="46">
        <v>40</v>
      </c>
      <c r="E42" s="46" t="s">
        <v>260</v>
      </c>
      <c r="F42" s="46" t="s">
        <v>261</v>
      </c>
      <c r="G42" s="46" t="s">
        <v>261</v>
      </c>
      <c r="H42" s="46" t="s">
        <v>261</v>
      </c>
      <c r="I42" s="46" t="s">
        <v>261</v>
      </c>
      <c r="J42" s="47">
        <f t="shared" si="1"/>
        <v>40</v>
      </c>
    </row>
  </sheetData>
  <autoFilter ref="A1:G1"/>
  <phoneticPr fontId="5"/>
  <conditionalFormatting sqref="K43:K1048576 K1:K26 K30:K31">
    <cfRule type="duplicateValues" dxfId="3" priority="4"/>
  </conditionalFormatting>
  <conditionalFormatting sqref="K32:K41">
    <cfRule type="duplicateValues" dxfId="2" priority="3"/>
  </conditionalFormatting>
  <conditionalFormatting sqref="K42">
    <cfRule type="duplicateValues" dxfId="1" priority="2"/>
  </conditionalFormatting>
  <conditionalFormatting sqref="K27:K2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12" sqref="G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102">
        <v>40010</v>
      </c>
      <c r="B2" s="102">
        <v>1</v>
      </c>
      <c r="C2" s="102" t="str">
        <f t="shared" ref="C2:C11" si="0">A2&amp; "_"&amp;B2</f>
        <v>40010_1</v>
      </c>
      <c r="D2" s="102" t="str">
        <f>VLOOKUP(C2,[2]stages!$A:$AE,31,FALSE)</f>
        <v>everyone</v>
      </c>
      <c r="E2" s="102">
        <v>1</v>
      </c>
      <c r="F2" s="102" t="s">
        <v>167</v>
      </c>
      <c r="G2" s="102">
        <v>40000</v>
      </c>
      <c r="H2" s="102" t="s">
        <v>314</v>
      </c>
      <c r="I2" s="102">
        <v>1</v>
      </c>
      <c r="J2" s="102">
        <v>1</v>
      </c>
      <c r="K2" s="102">
        <v>0</v>
      </c>
      <c r="L2" s="102">
        <v>0</v>
      </c>
      <c r="M2" s="102">
        <v>0</v>
      </c>
      <c r="N2" s="102">
        <v>0</v>
      </c>
      <c r="O2" s="102">
        <v>1</v>
      </c>
      <c r="P2" s="102">
        <v>150</v>
      </c>
      <c r="Q2" s="102" t="s">
        <v>168</v>
      </c>
      <c r="R2" s="102" t="s">
        <v>169</v>
      </c>
    </row>
    <row r="3" spans="1:18" x14ac:dyDescent="0.15">
      <c r="A3" s="102">
        <v>40010</v>
      </c>
      <c r="B3" s="102">
        <v>1</v>
      </c>
      <c r="C3" s="102" t="str">
        <f t="shared" si="0"/>
        <v>40010_1</v>
      </c>
      <c r="D3" s="102" t="str">
        <f>VLOOKUP(C3,[2]stages!$A:$AE,31,FALSE)</f>
        <v>everyone</v>
      </c>
      <c r="E3" s="102">
        <v>2</v>
      </c>
      <c r="F3" s="102" t="s">
        <v>315</v>
      </c>
      <c r="G3" s="102">
        <v>30</v>
      </c>
      <c r="H3" s="102" t="s">
        <v>314</v>
      </c>
      <c r="I3" s="102">
        <v>1</v>
      </c>
      <c r="J3" s="102">
        <v>1</v>
      </c>
      <c r="K3" s="102">
        <v>0</v>
      </c>
      <c r="L3" s="102">
        <v>0</v>
      </c>
      <c r="M3" s="102">
        <v>0</v>
      </c>
      <c r="N3" s="102">
        <v>0</v>
      </c>
      <c r="O3" s="102">
        <v>1</v>
      </c>
      <c r="P3" s="102">
        <v>150</v>
      </c>
      <c r="Q3" s="102" t="s">
        <v>168</v>
      </c>
      <c r="R3" s="102" t="s">
        <v>169</v>
      </c>
    </row>
    <row r="4" spans="1:18" x14ac:dyDescent="0.15">
      <c r="A4" s="102">
        <v>40010</v>
      </c>
      <c r="B4" s="102">
        <v>1</v>
      </c>
      <c r="C4" s="102" t="str">
        <f t="shared" si="0"/>
        <v>40010_1</v>
      </c>
      <c r="D4" s="102" t="str">
        <f>VLOOKUP(C4,[2]stages!$A:$AE,31,FALSE)</f>
        <v>everyone</v>
      </c>
      <c r="E4" s="102">
        <v>3</v>
      </c>
      <c r="F4" s="102" t="s">
        <v>316</v>
      </c>
      <c r="G4" s="102">
        <v>333</v>
      </c>
      <c r="H4" s="102">
        <v>1</v>
      </c>
      <c r="I4" s="102">
        <v>1</v>
      </c>
      <c r="J4" s="102">
        <v>1</v>
      </c>
      <c r="K4" s="102">
        <v>0</v>
      </c>
      <c r="L4" s="102">
        <v>0</v>
      </c>
      <c r="M4" s="102">
        <v>0</v>
      </c>
      <c r="N4" s="102">
        <v>0</v>
      </c>
      <c r="O4" s="102">
        <v>1</v>
      </c>
      <c r="P4" s="102">
        <v>28</v>
      </c>
      <c r="Q4" s="102" t="s">
        <v>168</v>
      </c>
      <c r="R4" s="102" t="s">
        <v>169</v>
      </c>
    </row>
    <row r="5" spans="1:18" x14ac:dyDescent="0.15">
      <c r="A5" s="102">
        <v>40010</v>
      </c>
      <c r="B5" s="102">
        <v>1</v>
      </c>
      <c r="C5" s="102" t="str">
        <f t="shared" si="0"/>
        <v>40010_1</v>
      </c>
      <c r="D5" s="102" t="str">
        <f>VLOOKUP(C5,[2]stages!$A:$AE,31,FALSE)</f>
        <v>everyone</v>
      </c>
      <c r="E5" s="102">
        <v>4</v>
      </c>
      <c r="F5" s="102" t="s">
        <v>316</v>
      </c>
      <c r="G5" s="102">
        <v>334</v>
      </c>
      <c r="H5" s="102">
        <v>1</v>
      </c>
      <c r="I5" s="102">
        <v>1</v>
      </c>
      <c r="J5" s="102">
        <v>1</v>
      </c>
      <c r="K5" s="102">
        <v>0</v>
      </c>
      <c r="L5" s="102">
        <v>0</v>
      </c>
      <c r="M5" s="102">
        <v>0</v>
      </c>
      <c r="N5" s="102">
        <v>0</v>
      </c>
      <c r="O5" s="102">
        <v>1</v>
      </c>
      <c r="P5" s="102">
        <v>112</v>
      </c>
      <c r="Q5" s="102" t="s">
        <v>168</v>
      </c>
      <c r="R5" s="102" t="s">
        <v>169</v>
      </c>
    </row>
    <row r="6" spans="1:18" x14ac:dyDescent="0.15">
      <c r="A6" s="102">
        <v>40010</v>
      </c>
      <c r="B6" s="102">
        <v>1</v>
      </c>
      <c r="C6" s="102" t="str">
        <f t="shared" si="0"/>
        <v>40010_1</v>
      </c>
      <c r="D6" s="102" t="str">
        <f>VLOOKUP(C6,[2]stages!$A:$AE,31,FALSE)</f>
        <v>everyone</v>
      </c>
      <c r="E6" s="102">
        <v>5</v>
      </c>
      <c r="F6" s="102" t="s">
        <v>316</v>
      </c>
      <c r="G6" s="102">
        <v>121</v>
      </c>
      <c r="H6" s="102">
        <v>1</v>
      </c>
      <c r="I6" s="102">
        <v>1</v>
      </c>
      <c r="J6" s="102">
        <v>1</v>
      </c>
      <c r="K6" s="102">
        <v>0</v>
      </c>
      <c r="L6" s="102">
        <v>0</v>
      </c>
      <c r="M6" s="102">
        <v>0</v>
      </c>
      <c r="N6" s="102">
        <v>0</v>
      </c>
      <c r="O6" s="102">
        <v>1</v>
      </c>
      <c r="P6" s="102">
        <v>50</v>
      </c>
      <c r="Q6" s="102" t="s">
        <v>168</v>
      </c>
      <c r="R6" s="102" t="s">
        <v>169</v>
      </c>
    </row>
    <row r="7" spans="1:18" x14ac:dyDescent="0.15">
      <c r="A7" s="102">
        <v>40010</v>
      </c>
      <c r="B7" s="102">
        <v>1</v>
      </c>
      <c r="C7" s="102" t="str">
        <f t="shared" si="0"/>
        <v>40010_1</v>
      </c>
      <c r="D7" s="102" t="str">
        <f>VLOOKUP(C7,[2]stages!$A:$AE,31,FALSE)</f>
        <v>everyone</v>
      </c>
      <c r="E7" s="102">
        <v>6</v>
      </c>
      <c r="F7" s="102" t="s">
        <v>316</v>
      </c>
      <c r="G7" s="102">
        <v>122</v>
      </c>
      <c r="H7" s="102">
        <v>1</v>
      </c>
      <c r="I7" s="102">
        <v>1</v>
      </c>
      <c r="J7" s="102">
        <v>1</v>
      </c>
      <c r="K7" s="102">
        <v>0</v>
      </c>
      <c r="L7" s="102">
        <v>0</v>
      </c>
      <c r="M7" s="102">
        <v>0</v>
      </c>
      <c r="N7" s="102">
        <v>0</v>
      </c>
      <c r="O7" s="102">
        <v>1</v>
      </c>
      <c r="P7" s="102">
        <v>50</v>
      </c>
      <c r="Q7" s="102" t="s">
        <v>168</v>
      </c>
      <c r="R7" s="102" t="s">
        <v>169</v>
      </c>
    </row>
    <row r="8" spans="1:18" x14ac:dyDescent="0.15">
      <c r="A8" s="102">
        <v>40010</v>
      </c>
      <c r="B8" s="102">
        <v>1</v>
      </c>
      <c r="C8" s="102" t="str">
        <f t="shared" si="0"/>
        <v>40010_1</v>
      </c>
      <c r="D8" s="102" t="str">
        <f>VLOOKUP(C8,[2]stages!$A:$AE,31,FALSE)</f>
        <v>everyone</v>
      </c>
      <c r="E8" s="102">
        <v>7</v>
      </c>
      <c r="F8" s="102" t="s">
        <v>316</v>
      </c>
      <c r="G8" s="102">
        <v>123</v>
      </c>
      <c r="H8" s="102">
        <v>1</v>
      </c>
      <c r="I8" s="102">
        <v>1</v>
      </c>
      <c r="J8" s="102">
        <v>1</v>
      </c>
      <c r="K8" s="102">
        <v>0</v>
      </c>
      <c r="L8" s="102">
        <v>0</v>
      </c>
      <c r="M8" s="102">
        <v>0</v>
      </c>
      <c r="N8" s="102">
        <v>0</v>
      </c>
      <c r="O8" s="102">
        <v>1</v>
      </c>
      <c r="P8" s="102">
        <v>50</v>
      </c>
      <c r="Q8" s="102" t="s">
        <v>168</v>
      </c>
      <c r="R8" s="102" t="s">
        <v>169</v>
      </c>
    </row>
    <row r="9" spans="1:18" x14ac:dyDescent="0.15">
      <c r="A9" s="102">
        <v>40010</v>
      </c>
      <c r="B9" s="102">
        <v>1</v>
      </c>
      <c r="C9" s="102" t="str">
        <f t="shared" si="0"/>
        <v>40010_1</v>
      </c>
      <c r="D9" s="102" t="str">
        <f>VLOOKUP(C9,[2]stages!$A:$AE,31,FALSE)</f>
        <v>everyone</v>
      </c>
      <c r="E9" s="102">
        <v>8</v>
      </c>
      <c r="F9" s="102" t="s">
        <v>316</v>
      </c>
      <c r="G9" s="102">
        <v>125</v>
      </c>
      <c r="H9" s="102">
        <v>1</v>
      </c>
      <c r="I9" s="102">
        <v>1</v>
      </c>
      <c r="J9" s="102">
        <v>1</v>
      </c>
      <c r="K9" s="102">
        <v>0</v>
      </c>
      <c r="L9" s="102">
        <v>0</v>
      </c>
      <c r="M9" s="102">
        <v>0</v>
      </c>
      <c r="N9" s="102">
        <v>0</v>
      </c>
      <c r="O9" s="102">
        <v>1</v>
      </c>
      <c r="P9" s="102">
        <v>10</v>
      </c>
      <c r="Q9" s="102" t="s">
        <v>168</v>
      </c>
      <c r="R9" s="102" t="s">
        <v>169</v>
      </c>
    </row>
    <row r="10" spans="1:18" x14ac:dyDescent="0.15">
      <c r="A10" s="102">
        <v>40010</v>
      </c>
      <c r="B10" s="102">
        <v>1</v>
      </c>
      <c r="C10" s="102" t="str">
        <f t="shared" si="0"/>
        <v>40010_1</v>
      </c>
      <c r="D10" s="102" t="str">
        <f>VLOOKUP(C10,[2]stages!$A:$AE,31,FALSE)</f>
        <v>everyone</v>
      </c>
      <c r="E10" s="102">
        <v>9</v>
      </c>
      <c r="F10" s="102" t="s">
        <v>316</v>
      </c>
      <c r="G10" s="102">
        <v>575</v>
      </c>
      <c r="H10" s="102">
        <v>1</v>
      </c>
      <c r="I10" s="102">
        <v>1</v>
      </c>
      <c r="J10" s="102">
        <v>1</v>
      </c>
      <c r="K10" s="102">
        <v>0</v>
      </c>
      <c r="L10" s="102">
        <v>0</v>
      </c>
      <c r="M10" s="102">
        <v>0</v>
      </c>
      <c r="N10" s="102">
        <v>0</v>
      </c>
      <c r="O10" s="102">
        <v>1</v>
      </c>
      <c r="P10" s="102">
        <v>250</v>
      </c>
      <c r="Q10" s="102" t="s">
        <v>168</v>
      </c>
      <c r="R10" s="102" t="s">
        <v>169</v>
      </c>
    </row>
    <row r="11" spans="1:18" x14ac:dyDescent="0.15">
      <c r="A11" s="102">
        <v>40010</v>
      </c>
      <c r="B11" s="102">
        <v>1</v>
      </c>
      <c r="C11" s="102" t="str">
        <f t="shared" si="0"/>
        <v>40010_1</v>
      </c>
      <c r="D11" s="102" t="str">
        <f>VLOOKUP(C11,[2]stages!$A:$AE,31,FALSE)</f>
        <v>everyone</v>
      </c>
      <c r="E11" s="102">
        <v>10</v>
      </c>
      <c r="F11" s="102" t="s">
        <v>316</v>
      </c>
      <c r="G11" s="102">
        <v>348</v>
      </c>
      <c r="H11" s="102">
        <v>1</v>
      </c>
      <c r="I11" s="102">
        <v>1</v>
      </c>
      <c r="J11" s="102">
        <v>1</v>
      </c>
      <c r="K11" s="102">
        <v>0</v>
      </c>
      <c r="L11" s="102">
        <v>0</v>
      </c>
      <c r="M11" s="102">
        <v>0</v>
      </c>
      <c r="N11" s="102">
        <v>0</v>
      </c>
      <c r="O11" s="102">
        <v>1</v>
      </c>
      <c r="P11" s="102">
        <v>150</v>
      </c>
      <c r="Q11" s="102" t="s">
        <v>168</v>
      </c>
      <c r="R11" s="102" t="s">
        <v>169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O43" sqref="O43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186</v>
      </c>
      <c r="B1" s="71" t="s">
        <v>187</v>
      </c>
      <c r="C1" s="76" t="s">
        <v>188</v>
      </c>
      <c r="D1" s="76" t="s">
        <v>33</v>
      </c>
      <c r="E1" s="71" t="s">
        <v>189</v>
      </c>
      <c r="F1" s="76" t="s">
        <v>190</v>
      </c>
      <c r="G1" s="76" t="s">
        <v>33</v>
      </c>
      <c r="H1" s="71" t="s">
        <v>191</v>
      </c>
      <c r="I1" s="90" t="s">
        <v>193</v>
      </c>
      <c r="J1" s="78" t="s">
        <v>125</v>
      </c>
      <c r="K1" s="77" t="s">
        <v>185</v>
      </c>
      <c r="L1" s="91" t="s">
        <v>184</v>
      </c>
      <c r="M1" s="79" t="s">
        <v>194</v>
      </c>
    </row>
    <row r="2" spans="1:13" x14ac:dyDescent="0.15">
      <c r="A2" s="80" t="s">
        <v>199</v>
      </c>
      <c r="B2" s="81">
        <f>floors!$C$2</f>
        <v>40010</v>
      </c>
      <c r="C2" s="82" t="str">
        <f ca="1">VLOOKUP($B2,OFFSET([2]quests!$A$1,0,0,COUNTA([2]quests!$A:$A),MATCH(C$1,[2]quests!$1:$1,0)-MATCH($B$1,[2]quests!$1:$1,0)+1),MATCH(C$1,[2]quests!$1:$1,0)-MATCH($B$1,[2]quests!$1:$1,0)+1,FALSE)</f>
        <v>フレイ襲来！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降臨10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降臨10</v>
      </c>
      <c r="H2" s="84">
        <v>1</v>
      </c>
      <c r="I2">
        <v>12</v>
      </c>
      <c r="J2" s="83" t="s">
        <v>239</v>
      </c>
      <c r="K2" s="92" t="str">
        <f>VLOOKUP(I2,[7]stage_hints!$A:$C,3,FALSE)</f>
        <v>ユニットのお気に入り登録</v>
      </c>
      <c r="L2" s="93" t="str">
        <f>VLOOKUP(I2,[7]stage_hints!$A:$D,4,FALSE)</f>
        <v>大事なユニットを誤って消さないように_x000D_フォルダから「お気に入り登録」しましょう</v>
      </c>
      <c r="M2" s="56" t="s">
        <v>240</v>
      </c>
    </row>
    <row r="3" spans="1:13" x14ac:dyDescent="0.15">
      <c r="A3" s="80" t="s">
        <v>199</v>
      </c>
      <c r="B3" s="81">
        <f>floors!$C$2</f>
        <v>40010</v>
      </c>
      <c r="C3" s="82" t="str">
        <f ca="1">VLOOKUP($B3,OFFSET([2]quests!$A$1,0,0,COUNTA([2]quests!$A:$A),MATCH(C$1,[2]quests!$1:$1,0)-MATCH($B$1,[2]quests!$1:$1,0)+1),MATCH(C$1,[2]quests!$1:$1,0)-MATCH($B$1,[2]quests!$1:$1,0)+1,FALSE)</f>
        <v>フレイ襲来！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降臨10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降臨10</v>
      </c>
      <c r="H3" s="84">
        <v>1</v>
      </c>
      <c r="I3">
        <v>17</v>
      </c>
      <c r="J3" s="83" t="s">
        <v>241</v>
      </c>
      <c r="K3" s="92" t="str">
        <f>VLOOKUP(I3,[7]stage_hints!$A:$C,3,FALSE)</f>
        <v>リンクガチャ</v>
      </c>
      <c r="L3" s="93" t="str">
        <f>VLOOKUP(I3,[7]stage_hints!$A:$D,4,FALSE)</f>
        <v>無料のリンクガチャを回して_x000D_経験値素材や売却素材を獲得しましょう</v>
      </c>
      <c r="M3" s="56" t="s">
        <v>242</v>
      </c>
    </row>
    <row r="4" spans="1:13" x14ac:dyDescent="0.15">
      <c r="A4" s="80" t="s">
        <v>199</v>
      </c>
      <c r="B4" s="81">
        <f>floors!$C$2</f>
        <v>40010</v>
      </c>
      <c r="C4" s="82" t="str">
        <f ca="1">VLOOKUP($B4,OFFSET([2]quests!$A$1,0,0,COUNTA([2]quests!$A:$A),MATCH(C$1,[2]quests!$1:$1,0)-MATCH($B$1,[2]quests!$1:$1,0)+1),MATCH(C$1,[2]quests!$1:$1,0)-MATCH($B$1,[2]quests!$1:$1,0)+1,FALSE)</f>
        <v>フレイ襲来！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降臨10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降臨10</v>
      </c>
      <c r="H4" s="84">
        <v>1</v>
      </c>
      <c r="I4">
        <v>19</v>
      </c>
      <c r="J4" s="83" t="s">
        <v>243</v>
      </c>
      <c r="K4" s="92" t="str">
        <f>VLOOKUP(I4,[7]stage_hints!$A:$C,3,FALSE)</f>
        <v>ソロ専用チャレンジタワー</v>
      </c>
      <c r="L4" s="93" t="str">
        <f>VLOOKUP(I4,[7]stage_hints!$A:$D,4,FALSE)</f>
        <v>ソロ専用の「チャレンジタワー」では_x000D_各フロアごとにクリア報酬がもらえます</v>
      </c>
      <c r="M4" s="56" t="s">
        <v>244</v>
      </c>
    </row>
    <row r="5" spans="1:13" x14ac:dyDescent="0.15">
      <c r="A5" s="80" t="s">
        <v>199</v>
      </c>
      <c r="B5" s="81">
        <f>floors!$C$2</f>
        <v>40010</v>
      </c>
      <c r="C5" s="82" t="str">
        <f ca="1">VLOOKUP($B5,OFFSET([2]quests!$A$1,0,0,COUNTA([2]quests!$A:$A),MATCH(C$1,[2]quests!$1:$1,0)-MATCH($B$1,[2]quests!$1:$1,0)+1),MATCH(C$1,[2]quests!$1:$1,0)-MATCH($B$1,[2]quests!$1:$1,0)+1,FALSE)</f>
        <v>フレイ襲来！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降臨10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降臨10</v>
      </c>
      <c r="H5" s="84">
        <v>1</v>
      </c>
      <c r="I5">
        <v>21</v>
      </c>
      <c r="J5" s="83" t="s">
        <v>245</v>
      </c>
      <c r="K5" s="92" t="str">
        <f>VLOOKUP(I5,[7]stage_hints!$A:$C,3,FALSE)</f>
        <v>スキルを有効に</v>
      </c>
      <c r="L5" s="93" t="str">
        <f>VLOOKUP(I5,[7]stage_hints!$A:$D,4,FALSE)</f>
        <v>ターン経過でユニットのスキルが使えます_x000D_強力スキルでバトルを有利に進めましょう</v>
      </c>
      <c r="M5" s="56" t="s">
        <v>246</v>
      </c>
    </row>
    <row r="6" spans="1:13" x14ac:dyDescent="0.15">
      <c r="A6" s="80" t="s">
        <v>199</v>
      </c>
      <c r="B6" s="81">
        <f>floors!$C$2</f>
        <v>40010</v>
      </c>
      <c r="C6" s="82" t="str">
        <f ca="1">VLOOKUP($B6,OFFSET([2]quests!$A$1,0,0,COUNTA([2]quests!$A:$A),MATCH(C$1,[2]quests!$1:$1,0)-MATCH($B$1,[2]quests!$1:$1,0)+1),MATCH(C$1,[2]quests!$1:$1,0)-MATCH($B$1,[2]quests!$1:$1,0)+1,FALSE)</f>
        <v>フレイ襲来！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降臨10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降臨10</v>
      </c>
      <c r="H6" s="84">
        <v>1</v>
      </c>
      <c r="I6">
        <v>29</v>
      </c>
      <c r="J6" s="83" t="s">
        <v>247</v>
      </c>
      <c r="K6" s="92" t="str">
        <f>VLOOKUP(I6,[7]stage_hints!$A:$C,3,FALSE)</f>
        <v>「バグ」のメリット</v>
      </c>
      <c r="L6" s="93" t="str">
        <f>VLOOKUP(I6,[7]stage_hints!$A:$D,4,FALSE)</f>
        <v>ユニットの「バグ」を増やすと_x000D_報酬をもらえる確率がアップします</v>
      </c>
      <c r="M6" s="56" t="s">
        <v>237</v>
      </c>
    </row>
    <row r="7" spans="1:13" x14ac:dyDescent="0.15">
      <c r="A7" s="80" t="s">
        <v>199</v>
      </c>
      <c r="B7" s="81">
        <f>floors!$C$2</f>
        <v>40010</v>
      </c>
      <c r="C7" s="82" t="str">
        <f ca="1">VLOOKUP($B7,OFFSET([2]quests!$A$1,0,0,COUNTA([2]quests!$A:$A),MATCH(C$1,[2]quests!$1:$1,0)-MATCH($B$1,[2]quests!$1:$1,0)+1),MATCH(C$1,[2]quests!$1:$1,0)-MATCH($B$1,[2]quests!$1:$1,0)+1,FALSE)</f>
        <v>フレイ襲来！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降臨10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降臨10</v>
      </c>
      <c r="H7" s="84">
        <v>1</v>
      </c>
      <c r="I7">
        <v>30</v>
      </c>
      <c r="J7" s="83" t="s">
        <v>241</v>
      </c>
      <c r="K7" s="92" t="str">
        <f>VLOOKUP(I7,[7]stage_hints!$A:$C,3,FALSE)</f>
        <v>「バグ」の増やし方</v>
      </c>
      <c r="L7" s="93" t="str">
        <f>VLOOKUP(I7,[7]stage_hints!$A:$D,4,FALSE)</f>
        <v>同じユニット同士を強化で合成すると_x000D_「バグ」を増やすことができます</v>
      </c>
      <c r="M7" s="56" t="s">
        <v>248</v>
      </c>
    </row>
    <row r="8" spans="1:13" x14ac:dyDescent="0.15">
      <c r="A8" s="80" t="s">
        <v>199</v>
      </c>
      <c r="B8" s="81">
        <f>floors!$C$2</f>
        <v>40010</v>
      </c>
      <c r="C8" s="82" t="str">
        <f ca="1">VLOOKUP($B8,OFFSET([2]quests!$A$1,0,0,COUNTA([2]quests!$A:$A),MATCH(C$1,[2]quests!$1:$1,0)-MATCH($B$1,[2]quests!$1:$1,0)+1),MATCH(C$1,[2]quests!$1:$1,0)-MATCH($B$1,[2]quests!$1:$1,0)+1,FALSE)</f>
        <v>フレイ襲来！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降臨10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降臨10</v>
      </c>
      <c r="H8" s="84">
        <v>1</v>
      </c>
      <c r="I8">
        <v>32</v>
      </c>
      <c r="J8" s="83" t="s">
        <v>239</v>
      </c>
      <c r="K8" s="92" t="str">
        <f>VLOOKUP(I8,[7]stage_hints!$A:$C,3,FALSE)</f>
        <v>敵の連続攻撃には</v>
      </c>
      <c r="L8" s="93" t="str">
        <f>VLOOKUP(I8,[7]stage_hints!$A:$D,4,FALSE)</f>
        <v>カウンタースキルを持つユニットがいれば_x000D_ダメージ回数分の反撃ができます</v>
      </c>
      <c r="M8" s="56" t="s">
        <v>237</v>
      </c>
    </row>
    <row r="9" spans="1:13" x14ac:dyDescent="0.15">
      <c r="A9" s="80" t="s">
        <v>199</v>
      </c>
      <c r="B9" s="81">
        <f>floors!$C$2</f>
        <v>40010</v>
      </c>
      <c r="C9" s="82" t="str">
        <f ca="1">VLOOKUP($B9,OFFSET([2]quests!$A$1,0,0,COUNTA([2]quests!$A:$A),MATCH(C$1,[2]quests!$1:$1,0)-MATCH($B$1,[2]quests!$1:$1,0)+1),MATCH(C$1,[2]quests!$1:$1,0)-MATCH($B$1,[2]quests!$1:$1,0)+1,FALSE)</f>
        <v>フレイ襲来！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降臨10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降臨10</v>
      </c>
      <c r="H9" s="84">
        <v>1</v>
      </c>
      <c r="I9">
        <v>33</v>
      </c>
      <c r="J9" s="83" t="s">
        <v>238</v>
      </c>
      <c r="K9" s="92" t="str">
        <f>VLOOKUP(I9,[7]stage_hints!$A:$C,3,FALSE)</f>
        <v>敵のカウンター攻撃には</v>
      </c>
      <c r="L9" s="93" t="str">
        <f>VLOOKUP(I9,[7]stage_hints!$A:$D,4,FALSE)</f>
        <v>カウンターブレイクスキルを持っていれば_x000D_敵のカウンターを解除して攻撃ができます</v>
      </c>
      <c r="M9" s="56" t="s">
        <v>237</v>
      </c>
    </row>
    <row r="10" spans="1:13" x14ac:dyDescent="0.15">
      <c r="A10" s="80" t="s">
        <v>199</v>
      </c>
      <c r="B10" s="81">
        <f>floors!$C$2</f>
        <v>40010</v>
      </c>
      <c r="C10" s="82" t="str">
        <f ca="1">VLOOKUP($B10,OFFSET([2]quests!$A$1,0,0,COUNTA([2]quests!$A:$A),MATCH(C$1,[2]quests!$1:$1,0)-MATCH($B$1,[2]quests!$1:$1,0)+1),MATCH(C$1,[2]quests!$1:$1,0)-MATCH($B$1,[2]quests!$1:$1,0)+1,FALSE)</f>
        <v>フレイ襲来！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降臨10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降臨10</v>
      </c>
      <c r="H10" s="84">
        <v>1</v>
      </c>
      <c r="I10">
        <v>34</v>
      </c>
      <c r="J10" s="83" t="s">
        <v>238</v>
      </c>
      <c r="K10" s="92" t="str">
        <f>VLOOKUP(I10,[7]stage_hints!$A:$C,3,FALSE)</f>
        <v>ステータスをスキルで下げられたら</v>
      </c>
      <c r="L10" s="93" t="str">
        <f>VLOOKUP(I10,[7]stage_hints!$A:$D,4,FALSE)</f>
        <v>ステータスダウンのスキルを受けたら_x000D_ステータスアップスキルで上書きしましょう</v>
      </c>
      <c r="M10" s="56" t="s">
        <v>237</v>
      </c>
    </row>
    <row r="11" spans="1:13" x14ac:dyDescent="0.15">
      <c r="A11" s="80" t="s">
        <v>199</v>
      </c>
      <c r="B11" s="81">
        <f>floors!$C$2</f>
        <v>40010</v>
      </c>
      <c r="C11" s="82" t="str">
        <f ca="1">VLOOKUP($B11,OFFSET([2]quests!$A$1,0,0,COUNTA([2]quests!$A:$A),MATCH(C$1,[2]quests!$1:$1,0)-MATCH($B$1,[2]quests!$1:$1,0)+1),MATCH(C$1,[2]quests!$1:$1,0)-MATCH($B$1,[2]quests!$1:$1,0)+1,FALSE)</f>
        <v>フレイ襲来！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降臨10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降臨10</v>
      </c>
      <c r="H11" s="84">
        <v>1</v>
      </c>
      <c r="I11">
        <v>35</v>
      </c>
      <c r="J11" s="83" t="s">
        <v>238</v>
      </c>
      <c r="K11" s="92" t="str">
        <f>VLOOKUP(I11,[7]stage_hints!$A:$C,3,FALSE)</f>
        <v>敵のステータスがスキルで上がったら</v>
      </c>
      <c r="L11" s="93" t="str">
        <f>VLOOKUP(I11,[7]stage_hints!$A:$D,4,FALSE)</f>
        <v>敵のステータスがスキルでアップしたときは_x000D_ステータスダウンスキルで上書きしましょう</v>
      </c>
      <c r="M11" s="56" t="s">
        <v>248</v>
      </c>
    </row>
    <row r="12" spans="1:13" x14ac:dyDescent="0.15">
      <c r="A12" s="80" t="s">
        <v>199</v>
      </c>
      <c r="B12" s="81">
        <f>floors!$C$2</f>
        <v>40010</v>
      </c>
      <c r="C12" s="82" t="str">
        <f ca="1">VLOOKUP($B12,OFFSET([2]quests!$A$1,0,0,COUNTA([2]quests!$A:$A),MATCH(C$1,[2]quests!$1:$1,0)-MATCH($B$1,[2]quests!$1:$1,0)+1),MATCH(C$1,[2]quests!$1:$1,0)-MATCH($B$1,[2]quests!$1:$1,0)+1,FALSE)</f>
        <v>フレイ襲来！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降臨10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降臨10</v>
      </c>
      <c r="H12" s="84">
        <v>1</v>
      </c>
      <c r="I12">
        <v>36</v>
      </c>
      <c r="J12" s="83" t="s">
        <v>238</v>
      </c>
      <c r="K12" s="92" t="str">
        <f>VLOOKUP(I12,[7]stage_hints!$A:$C,3,FALSE)</f>
        <v>チャレンジタワーのボス</v>
      </c>
      <c r="L12" s="93" t="str">
        <f>VLOOKUP(I12,[7]stage_hints!$A:$D,4,FALSE)</f>
        <v>チャレンジタワーでのみ登場するボスは_x000D_一定確率で獲得することができます</v>
      </c>
      <c r="M12" s="56" t="s">
        <v>237</v>
      </c>
    </row>
    <row r="13" spans="1:13" x14ac:dyDescent="0.15">
      <c r="A13" s="80" t="s">
        <v>199</v>
      </c>
      <c r="B13" s="81">
        <f>floors!$C$2</f>
        <v>40010</v>
      </c>
      <c r="C13" s="82" t="str">
        <f ca="1">VLOOKUP($B13,OFFSET([2]quests!$A$1,0,0,COUNTA([2]quests!$A:$A),MATCH(C$1,[2]quests!$1:$1,0)-MATCH($B$1,[2]quests!$1:$1,0)+1),MATCH(C$1,[2]quests!$1:$1,0)-MATCH($B$1,[2]quests!$1:$1,0)+1,FALSE)</f>
        <v>フレイ襲来！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降臨10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降臨10</v>
      </c>
      <c r="H13" s="84">
        <v>1</v>
      </c>
      <c r="I13">
        <v>37</v>
      </c>
      <c r="J13" s="83" t="s">
        <v>249</v>
      </c>
      <c r="K13" s="92" t="str">
        <f>VLOOKUP(I13,[7]stage_hints!$A:$C,3,FALSE)</f>
        <v>限界突破値の引き継ぎ</v>
      </c>
      <c r="L13" s="93" t="str">
        <f>VLOOKUP(I13,[7]stage_hints!$A:$D,4,FALSE)</f>
        <v>同じユニットを強化で合成すると_x000D_限界突破値を引き継げます（覚醒前後も可）</v>
      </c>
      <c r="M13" s="56" t="s">
        <v>237</v>
      </c>
    </row>
    <row r="14" spans="1:13" x14ac:dyDescent="0.15">
      <c r="A14" s="80" t="s">
        <v>199</v>
      </c>
      <c r="B14" s="81">
        <f>floors!$C$2</f>
        <v>40010</v>
      </c>
      <c r="C14" s="82" t="str">
        <f ca="1">VLOOKUP($B14,OFFSET([2]quests!$A$1,0,0,COUNTA([2]quests!$A:$A),MATCH(C$1,[2]quests!$1:$1,0)-MATCH($B$1,[2]quests!$1:$1,0)+1),MATCH(C$1,[2]quests!$1:$1,0)-MATCH($B$1,[2]quests!$1:$1,0)+1,FALSE)</f>
        <v>フレイ襲来！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降臨10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降臨10</v>
      </c>
      <c r="H14" s="84">
        <v>1</v>
      </c>
      <c r="I14">
        <v>39</v>
      </c>
      <c r="J14" s="83" t="s">
        <v>238</v>
      </c>
      <c r="K14" s="92" t="str">
        <f>VLOOKUP(I14,[7]stage_hints!$A:$C,3,FALSE)</f>
        <v>システム適合者を確認</v>
      </c>
      <c r="L14" s="93" t="str">
        <f>VLOOKUP(I14,[7]stage_hints!$A:$D,4,FALSE)</f>
        <v>ALICEが「アナタ」を呼んでいます</v>
      </c>
      <c r="M14" s="56" t="s">
        <v>237</v>
      </c>
    </row>
    <row r="15" spans="1:13" x14ac:dyDescent="0.15">
      <c r="A15"/>
    </row>
    <row r="16" spans="1:13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7"/>
  <sheetViews>
    <sheetView showGridLines="0" workbookViewId="0">
      <pane ySplit="1" topLeftCell="A2" activePane="bottomLeft" state="frozen"/>
      <selection pane="bottomLeft" activeCell="M20" sqref="M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186</v>
      </c>
      <c r="B1" s="71" t="s">
        <v>149</v>
      </c>
      <c r="C1" s="76" t="s">
        <v>188</v>
      </c>
      <c r="D1" s="76" t="s">
        <v>33</v>
      </c>
      <c r="E1" s="71" t="s">
        <v>189</v>
      </c>
      <c r="F1" s="76" t="s">
        <v>18</v>
      </c>
      <c r="G1" s="76" t="s">
        <v>33</v>
      </c>
      <c r="H1" s="71" t="s">
        <v>191</v>
      </c>
      <c r="I1" s="88" t="s">
        <v>192</v>
      </c>
      <c r="J1" s="90" t="s">
        <v>193</v>
      </c>
      <c r="K1" s="78" t="s">
        <v>125</v>
      </c>
      <c r="L1" s="77" t="s">
        <v>185</v>
      </c>
      <c r="M1" s="91" t="s">
        <v>184</v>
      </c>
      <c r="N1" s="79" t="s">
        <v>194</v>
      </c>
    </row>
    <row r="2" spans="1:14" ht="28" x14ac:dyDescent="0.15">
      <c r="A2" s="80" t="s">
        <v>372</v>
      </c>
      <c r="B2" s="81">
        <f>floors!$C$2</f>
        <v>40010</v>
      </c>
      <c r="C2" s="82" t="str">
        <f ca="1">VLOOKUP($B2,OFFSET([2]quests!$A$1,0,0,COUNTA([2]quests!$A:$A),MATCH(C$1,[2]quests!$1:$1,0)-MATCH($B$1,[2]quests!$1:$1,0)+1),MATCH(C$1,[2]quests!$1:$1,0)-MATCH($B$1,[2]quests!$1:$1,0)+1,FALSE)</f>
        <v>フレイ襲来！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降臨10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降臨10</v>
      </c>
      <c r="H2" s="84">
        <v>1</v>
      </c>
      <c r="I2" s="89">
        <f>ROW()-1</f>
        <v>1</v>
      </c>
      <c r="J2" s="85" t="str">
        <f>B2&amp;TEXT(I2,"00")</f>
        <v>4001001</v>
      </c>
      <c r="K2" s="83" t="s">
        <v>196</v>
      </c>
      <c r="L2" s="86" t="s">
        <v>197</v>
      </c>
      <c r="M2" s="127" t="s">
        <v>373</v>
      </c>
      <c r="N2" s="56" t="s">
        <v>198</v>
      </c>
    </row>
    <row r="3" spans="1:14" ht="42" x14ac:dyDescent="0.15">
      <c r="A3" s="80" t="s">
        <v>195</v>
      </c>
      <c r="B3" s="81">
        <f>floors!$C$2</f>
        <v>40010</v>
      </c>
      <c r="C3" s="82" t="str">
        <f ca="1">VLOOKUP($B3,OFFSET([2]quests!$A$1,0,0,COUNTA([2]quests!$A:$A),MATCH(C$1,[2]quests!$1:$1,0)-MATCH($B$1,[2]quests!$1:$1,0)+1),MATCH(C$1,[2]quests!$1:$1,0)-MATCH($B$1,[2]quests!$1:$1,0)+1,FALSE)</f>
        <v>フレイ襲来！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降臨10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降臨10</v>
      </c>
      <c r="H3" s="84">
        <v>2</v>
      </c>
      <c r="I3" s="89">
        <f t="shared" ref="I3:I7" si="0">ROW()-1</f>
        <v>2</v>
      </c>
      <c r="J3" s="85" t="str">
        <f t="shared" ref="J3:J5" si="1">B3&amp;TEXT(I3,"00")</f>
        <v>4001002</v>
      </c>
      <c r="K3" s="83" t="s">
        <v>126</v>
      </c>
      <c r="L3" s="86" t="s">
        <v>197</v>
      </c>
      <c r="M3" s="127" t="s">
        <v>374</v>
      </c>
      <c r="N3" s="56" t="s">
        <v>198</v>
      </c>
    </row>
    <row r="4" spans="1:14" ht="42" x14ac:dyDescent="0.15">
      <c r="A4" s="80" t="s">
        <v>195</v>
      </c>
      <c r="B4" s="81">
        <f>floors!$C$2</f>
        <v>40010</v>
      </c>
      <c r="C4" s="82" t="str">
        <f ca="1">VLOOKUP($B4,OFFSET([2]quests!$A$1,0,0,COUNTA([2]quests!$A:$A),MATCH(C$1,[2]quests!$1:$1,0)-MATCH($B$1,[2]quests!$1:$1,0)+1),MATCH(C$1,[2]quests!$1:$1,0)-MATCH($B$1,[2]quests!$1:$1,0)+1,FALSE)</f>
        <v>フレイ襲来！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降臨10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降臨10</v>
      </c>
      <c r="H4" s="84">
        <v>2</v>
      </c>
      <c r="I4" s="89">
        <f t="shared" si="0"/>
        <v>3</v>
      </c>
      <c r="J4" s="85" t="str">
        <f t="shared" si="1"/>
        <v>4001003</v>
      </c>
      <c r="K4" s="83" t="s">
        <v>126</v>
      </c>
      <c r="L4" s="86" t="s">
        <v>197</v>
      </c>
      <c r="M4" s="127" t="s">
        <v>375</v>
      </c>
      <c r="N4" s="56" t="s">
        <v>198</v>
      </c>
    </row>
    <row r="5" spans="1:14" ht="28" x14ac:dyDescent="0.15">
      <c r="A5" s="80" t="s">
        <v>195</v>
      </c>
      <c r="B5" s="81">
        <f>floors!$C$2</f>
        <v>40010</v>
      </c>
      <c r="C5" s="82" t="str">
        <f ca="1">VLOOKUP($B5,OFFSET([2]quests!$A$1,0,0,COUNTA([2]quests!$A:$A),MATCH(C$1,[2]quests!$1:$1,0)-MATCH($B$1,[2]quests!$1:$1,0)+1),MATCH(C$1,[2]quests!$1:$1,0)-MATCH($B$1,[2]quests!$1:$1,0)+1,FALSE)</f>
        <v>フレイ襲来！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降臨10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降臨10</v>
      </c>
      <c r="H5" s="84">
        <v>3</v>
      </c>
      <c r="I5" s="89">
        <f t="shared" si="0"/>
        <v>4</v>
      </c>
      <c r="J5" s="85" t="str">
        <f t="shared" si="1"/>
        <v>4001004</v>
      </c>
      <c r="K5" s="83" t="s">
        <v>126</v>
      </c>
      <c r="L5" s="86" t="s">
        <v>197</v>
      </c>
      <c r="M5" s="127" t="s">
        <v>376</v>
      </c>
      <c r="N5" s="56" t="s">
        <v>198</v>
      </c>
    </row>
    <row r="6" spans="1:14" ht="42" x14ac:dyDescent="0.15">
      <c r="A6" s="80" t="s">
        <v>195</v>
      </c>
      <c r="B6" s="81">
        <f>floors!$C$2</f>
        <v>40010</v>
      </c>
      <c r="C6" s="82" t="str">
        <f ca="1">VLOOKUP($B6,OFFSET([2]quests!$A$1,0,0,COUNTA([2]quests!$A:$A),MATCH(C$1,[2]quests!$1:$1,0)-MATCH($B$1,[2]quests!$1:$1,0)+1),MATCH(C$1,[2]quests!$1:$1,0)-MATCH($B$1,[2]quests!$1:$1,0)+1,FALSE)</f>
        <v>フレイ襲来！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降臨10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降臨10</v>
      </c>
      <c r="H6" s="84">
        <v>4</v>
      </c>
      <c r="I6" s="89">
        <f t="shared" si="0"/>
        <v>5</v>
      </c>
      <c r="J6" s="85" t="str">
        <f t="shared" ref="J6" si="2">B6&amp;TEXT(I6,"00")</f>
        <v>4001005</v>
      </c>
      <c r="K6" s="83" t="s">
        <v>126</v>
      </c>
      <c r="L6" s="86" t="s">
        <v>197</v>
      </c>
      <c r="M6" s="127" t="s">
        <v>377</v>
      </c>
      <c r="N6" s="56" t="s">
        <v>198</v>
      </c>
    </row>
    <row r="7" spans="1:14" ht="56" x14ac:dyDescent="0.15">
      <c r="A7" s="80" t="s">
        <v>195</v>
      </c>
      <c r="B7" s="81">
        <f>floors!$C$2</f>
        <v>40010</v>
      </c>
      <c r="C7" s="82" t="str">
        <f ca="1">VLOOKUP($B7,OFFSET([2]quests!$A$1,0,0,COUNTA([2]quests!$A:$A),MATCH(C$1,[2]quests!$1:$1,0)-MATCH($B$1,[2]quests!$1:$1,0)+1),MATCH(C$1,[2]quests!$1:$1,0)-MATCH($B$1,[2]quests!$1:$1,0)+1,FALSE)</f>
        <v>フレイ襲来！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降臨10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【ウィザード級】フレイ襲来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降臨10</v>
      </c>
      <c r="H7" s="84">
        <v>4</v>
      </c>
      <c r="I7" s="89">
        <f t="shared" si="0"/>
        <v>6</v>
      </c>
      <c r="J7" s="85" t="str">
        <f t="shared" ref="J7" si="3">B7&amp;TEXT(I7,"00")</f>
        <v>4001006</v>
      </c>
      <c r="K7" s="83" t="s">
        <v>126</v>
      </c>
      <c r="L7" s="86" t="s">
        <v>197</v>
      </c>
      <c r="M7" s="127" t="s">
        <v>378</v>
      </c>
      <c r="N7" s="56" t="s">
        <v>198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2016-05-06T06:59:19Z</dcterms:modified>
</cp:coreProperties>
</file>