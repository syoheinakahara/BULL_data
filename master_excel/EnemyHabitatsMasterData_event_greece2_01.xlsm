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4000" yWindow="460" windowWidth="33120" windowHeight="198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1" l="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C2" i="18"/>
  <c r="D2" i="18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M31" i="10"/>
  <c r="T31" i="10"/>
  <c r="W31" i="10"/>
  <c r="V31" i="10"/>
  <c r="X31" i="10"/>
  <c r="U31" i="10"/>
  <c r="Y31" i="10"/>
  <c r="M39" i="10"/>
  <c r="N39" i="10"/>
  <c r="Q39" i="10"/>
  <c r="P39" i="10"/>
  <c r="R39" i="10"/>
  <c r="O39" i="10"/>
  <c r="S39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M38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M36" i="10"/>
  <c r="N36" i="10"/>
  <c r="Q36" i="10"/>
  <c r="P36" i="10"/>
  <c r="R36" i="10"/>
  <c r="O36" i="10"/>
  <c r="S36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U4" i="7"/>
  <c r="J7" i="11"/>
  <c r="T15" i="1"/>
  <c r="V16" i="1"/>
  <c r="J24" i="11"/>
  <c r="J25" i="11"/>
  <c r="J26" i="11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8" i="11"/>
  <c r="O7" i="9"/>
  <c r="A8" i="9"/>
  <c r="D8" i="9"/>
  <c r="E8" i="9"/>
  <c r="G8" i="9"/>
  <c r="H8" i="9"/>
  <c r="I8" i="9"/>
  <c r="J8" i="9"/>
  <c r="K8" i="9"/>
  <c r="L8" i="9"/>
  <c r="M8" i="9"/>
  <c r="N8" i="9"/>
  <c r="J9" i="11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5" i="11"/>
  <c r="J14" i="11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O2" i="1"/>
  <c r="E2" i="9"/>
  <c r="Y4" i="7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Y2" i="7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X3" i="1"/>
  <c r="X4" i="1"/>
  <c r="X5" i="1"/>
  <c r="X6" i="1"/>
  <c r="X7" i="1"/>
  <c r="X2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AD7" i="1"/>
  <c r="AE7" i="1"/>
  <c r="AF7" i="1"/>
  <c r="AG7" i="1"/>
  <c r="AI7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W2" i="7"/>
  <c r="U2" i="7"/>
  <c r="V2" i="1"/>
  <c r="T2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N2" i="1"/>
  <c r="M2" i="1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<sst xmlns="http://schemas.openxmlformats.org/spreadsheetml/2006/main" count="1179" uniqueCount="373">
  <si>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</si>
  <si>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</si>
  <si>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</si>
  <si>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</si>
  <si>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</si>
  <si>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</si>
  <si>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</si>
  <si>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</si>
  <si>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</si>
  <si>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</si>
  <si>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</si>
  <si>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</si>
  <si>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</si>
  <si>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</si>
  <si>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</si>
  <si>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</si>
  <si>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</si>
  <si>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</si>
  <si>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</si>
  <si>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</si>
  <si>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</si>
  <si>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</si>
  <si>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</si>
  <si>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</si>
  <si>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</si>
  <si>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</si>
  <si>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</si>
  <si>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</si>
  <si>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</si>
  <si>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</si>
  <si>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</si>
  <si>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</si>
  <si>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</si>
  <si>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</si>
  <si>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</si>
  <si>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</si>
  <si>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</si>
  <si>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</si>
  <si>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</si>
  <si>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</si>
  <si>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</si>
  <si>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</si>
  <si>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</si>
  <si>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</si>
  <si>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</si>
  <si>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</si>
  <si>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</si>
  <si>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</si>
  <si>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</si>
  <si>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</si>
  <si>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</si>
  <si>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</si>
  <si>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</si>
  <si>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</si>
  <si>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</si>
  <si>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</si>
  <si>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</si>
  <si>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</si>
  <si>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</si>
  <si>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</si>
  <si>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</si>
  <si>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</si>
  <si>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</si>
  <si>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</si>
  <si>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</si>
  <si>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</si>
  <si>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</si>
  <si>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</si>
  <si>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</si>
  <si>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</si>
  <si>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</si>
  <si>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</si>
  <si>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</si>
  <si>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</si>
  <si>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</si>
  <si>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</si>
  <si>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</si>
  <si>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</si>
  <si>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</si>
  <si>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</si>
  <si>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</si>
  <si>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</si>
  <si>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</si>
  <si>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</si>
  <si>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</si>
  <si>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</si>
  <si>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</si>
  <si>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</si>
  <si>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</si>
  <si>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</si>
  <si>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</si>
  <si>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</si>
  <si>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</si>
  <si>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</si>
  <si>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</si>
  <si>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</si>
  <si>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</si>
  <si>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</si>
  <si>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</si>
  <si>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</si>
  <si>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</si>
  <si>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</si>
  <si>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</si>
  <si>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</si>
  <si>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</si>
  <si>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</si>
  <si>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</si>
  <si>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</si>
  <si>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</si>
  <si>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</si>
  <si>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</si>
  <si>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</si>
  <si>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</si>
  <si>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</si>
  <si>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</si>
  <si>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</si>
  <si>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</si>
  <si>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</si>
  <si>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</si>
  <si>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</si>
  <si>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</si>
  <si>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</si>
  <si>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</si>
  <si>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</si>
  <si>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</si>
  <si>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</si>
  <si>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</si>
  <si>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</si>
  <si>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</si>
  <si>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</si>
  <si>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</si>
  <si>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</si>
  <si>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</si>
  <si>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</si>
  <si>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</si>
  <si>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</si>
  <si>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</si>
  <si>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</si>
  <si>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</si>
  <si>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</si>
  <si>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</si>
  <si>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</si>
  <si>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</si>
  <si>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</si>
  <si>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</si>
  <si>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</si>
  <si>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</si>
  <si>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</si>
  <si>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</si>
  <si>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</si>
  <si>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</si>
  <si>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</si>
  <si>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</si>
  <si>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</si>
  <si>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</si>
  <si>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</si>
  <si>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</si>
  <si>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</si>
  <si>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</si>
  <si>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</si>
  <si>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</si>
  <si>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</si>
  <si>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</si>
  <si>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</si>
  <si>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</si>
  <si>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</si>
  <si>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</si>
  <si>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</si>
  <si>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</si>
  <si>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</si>
  <si>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</si>
  <si>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</si>
  <si>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</si>
  <si>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</si>
  <si>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</si>
  <si>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</si>
  <si>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</si>
  <si>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</si>
  <si>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</si>
  <si>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</si>
  <si>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</si>
  <si>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</si>
  <si>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</si>
  <si>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</si>
  <si>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</si>
  <si>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</si>
  <si>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</si>
  <si>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</si>
  <si>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</si>
  <si>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</si>
  <si>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</si>
  <si>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</si>
  <si>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</si>
  <si>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</si>
  <si>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</si>
  <si>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</si>
  <si>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</si>
  <si>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</si>
  <si>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</si>
  <si>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</si>
  <si>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</si>
  <si>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</si>
  <si>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</si>
  <si>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</si>
  <si>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</si>
  <si>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</si>
  <si>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</si>
  <si>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</si>
  <si>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</si>
  <si>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</si>
  <si>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</si>
  <si>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</si>
  <si>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</si>
  <si>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</si>
  <si>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</si>
  <si>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</si>
  <si>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</si>
  <si>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</si>
  <si>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</si>
  <si>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</si>
  <si>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</si>
  <si>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</si>
  <si>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</si>
  <si>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</si>
  <si>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</si>
  <si>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</si>
  <si>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</si>
  <si>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</si>
  <si>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</si>
  <si>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</si>
  <si>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</si>
  <si>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</si>
  <si>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</si>
  <si>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</si>
  <si>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</si>
  <si>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</si>
  <si>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</si>
  <si>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</si>
  <si>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</si>
  <si>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</si>
  <si>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</si>
  <si>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</si>
  <si>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</si>
  <si>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</si>
  <si>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</si>
  <si>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</si>
  <si>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</si>
  <si>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</si>
  <si>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</si>
  <si>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</si>
  <si>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</si>
  <si>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old</t>
  </si>
  <si>
    <t>null</t>
  </si>
  <si>
    <t>null</t>
    <phoneticPr fontId="5"/>
  </si>
  <si>
    <t>[effect:rush, count:9, val:0.19]</t>
    <phoneticPr fontId="5"/>
  </si>
  <si>
    <t>[effect:rush, count:3, val:0.45]</t>
    <phoneticPr fontId="5"/>
  </si>
  <si>
    <t>[effect:rush, count:3, val:0.43]</t>
    <phoneticPr fontId="5"/>
  </si>
  <si>
    <t>[effect:virus, target:unit_one, turn:5, rate:1, val:0.24, animation:enemy_virus]</t>
    <phoneticPr fontId="5"/>
  </si>
  <si>
    <t>全体攻撃</t>
    <phoneticPr fontId="5"/>
  </si>
  <si>
    <t>見つけた</t>
    <phoneticPr fontId="5"/>
  </si>
  <si>
    <t>……</t>
    <phoneticPr fontId="5"/>
  </si>
  <si>
    <t>[effect:critical, val:1.25, animation:enemy_critical]</t>
    <phoneticPr fontId="5"/>
  </si>
  <si>
    <t>……一時撤退</t>
    <phoneticPr fontId="5"/>
  </si>
  <si>
    <t>[effect:critical, val:1.5, animation:enemy_critical]</t>
    <phoneticPr fontId="5"/>
  </si>
  <si>
    <t>クリティカル！</t>
    <phoneticPr fontId="5"/>
  </si>
  <si>
    <t>ダブル・サンクション</t>
    <phoneticPr fontId="5"/>
  </si>
  <si>
    <t>ふふ　痛いかしら？</t>
    <phoneticPr fontId="5"/>
  </si>
  <si>
    <t>デルピュネー様…
申し訳…ありません…</t>
    <phoneticPr fontId="5"/>
  </si>
  <si>
    <t>3回連続攻撃</t>
    <phoneticPr fontId="5"/>
  </si>
  <si>
    <t>3回連続攻撃</t>
    <phoneticPr fontId="5"/>
  </si>
  <si>
    <t>クリティカル！</t>
    <phoneticPr fontId="5"/>
  </si>
  <si>
    <t>クリティカル！</t>
    <phoneticPr fontId="5"/>
  </si>
  <si>
    <t>5回連続攻撃</t>
    <phoneticPr fontId="5"/>
  </si>
  <si>
    <t>9回連続攻撃</t>
    <phoneticPr fontId="5"/>
  </si>
  <si>
    <t>あら　いらっしゃい</t>
    <phoneticPr fontId="5"/>
  </si>
  <si>
    <t>くつろいでいってちょうだいね</t>
    <phoneticPr fontId="5"/>
  </si>
  <si>
    <t>これなんかどう？</t>
    <phoneticPr fontId="5"/>
  </si>
  <si>
    <t>おかわりもあるわよ</t>
    <phoneticPr fontId="5"/>
  </si>
  <si>
    <t>[effect:enemy_message, val1:2.4, val2:2.8]</t>
    <phoneticPr fontId="5"/>
  </si>
  <si>
    <t>3ターンサイズ8以下のCパネル無効</t>
  </si>
  <si>
    <t>目標を捕捉……排除する</t>
  </si>
  <si>
    <t>コスト31以上のユニット</t>
  </si>
  <si>
    <t>……一時撤退</t>
  </si>
  <si>
    <t>解除するまでユニット全体の回復力100％DOWN</t>
  </si>
  <si>
    <t>2ターンユニット全体にウィルス</t>
  </si>
  <si>
    <t>3回連続攻撃</t>
  </si>
  <si>
    <t>クリティカル！</t>
  </si>
  <si>
    <t>全体攻撃</t>
  </si>
  <si>
    <t>自身の攻撃頻度UP＋自身の攻撃力UP</t>
  </si>
  <si>
    <t>5ターンユニット単体にウィルス</t>
  </si>
  <si>
    <t>5回連続攻撃</t>
  </si>
  <si>
    <t>9回連続攻撃</t>
  </si>
  <si>
    <t>次のターン強力な攻撃</t>
  </si>
  <si>
    <t>15回連続攻撃</t>
  </si>
  <si>
    <t>デルピュネー様…</t>
  </si>
  <si>
    <t>デルピュネー様…</t>
    <phoneticPr fontId="5"/>
  </si>
  <si>
    <t>[effect:spread, val:0.33]</t>
    <phoneticPr fontId="5"/>
  </si>
  <si>
    <t>全方位射撃</t>
    <phoneticPr fontId="5"/>
  </si>
  <si>
    <t>3回連続攻撃</t>
    <phoneticPr fontId="5"/>
  </si>
  <si>
    <t>2回連続攻撃</t>
    <phoneticPr fontId="5"/>
  </si>
  <si>
    <t>[effect:rush, count:3, val:0.39]</t>
    <phoneticPr fontId="5"/>
  </si>
  <si>
    <t>[effect:rush, count:2, val:0.64]</t>
    <phoneticPr fontId="5"/>
  </si>
  <si>
    <t>パワード・アーム</t>
    <phoneticPr fontId="5"/>
  </si>
  <si>
    <t>2ターンウィルス</t>
    <phoneticPr fontId="5"/>
  </si>
  <si>
    <t>2ターンウィルス</t>
    <phoneticPr fontId="5"/>
  </si>
  <si>
    <t>任務…失敗……
そんな…バカな……</t>
    <phoneticPr fontId="5"/>
  </si>
  <si>
    <t>ハヤブサの舞</t>
    <phoneticPr fontId="5"/>
  </si>
  <si>
    <t>[effect:enemy_message, val1:1.8, val2:2.3],[effect:degrade_unit, target:unit_all, turn:-1, status:heal, val:1, calc:mul, animation:degrade_unit_all_heal],[effect:fix_speed, target:myself, turn:2]</t>
    <phoneticPr fontId="5"/>
  </si>
  <si>
    <t>[effect:rush, count:3, val:0.42]</t>
    <phoneticPr fontId="5"/>
  </si>
  <si>
    <t>[effect:rush, count:3, val:0.4]</t>
    <phoneticPr fontId="5"/>
  </si>
  <si>
    <t>あら　いらっしゃい</t>
    <phoneticPr fontId="5"/>
  </si>
  <si>
    <t>3ターンSCパネル以外のCパネルを無効</t>
    <phoneticPr fontId="5"/>
  </si>
  <si>
    <t>[effect:critical, val:1.62, animation:enemy_critical]</t>
    <phoneticPr fontId="5"/>
  </si>
  <si>
    <t>3ターンSCパネル以外のCパネルを無効</t>
    <phoneticPr fontId="5"/>
  </si>
  <si>
    <t>任務……失敗……
そんな…バカな……</t>
    <phoneticPr fontId="5"/>
  </si>
  <si>
    <t>サイクロプス・アイ</t>
    <phoneticPr fontId="5"/>
  </si>
  <si>
    <t>仕方がない……強行手段だ</t>
    <phoneticPr fontId="5"/>
  </si>
  <si>
    <t>link</t>
  </si>
  <si>
    <t>unit</t>
  </si>
  <si>
    <t>null</t>
    <phoneticPr fontId="5"/>
  </si>
  <si>
    <t>逃がしはしない</t>
    <phoneticPr fontId="5"/>
  </si>
  <si>
    <t>サイクロプス・アイ</t>
    <phoneticPr fontId="5"/>
  </si>
  <si>
    <t>レーザーレイン・インフィニティ</t>
    <phoneticPr fontId="5"/>
  </si>
  <si>
    <t>レーザーレイン・インフィニティ</t>
    <phoneticPr fontId="5"/>
  </si>
  <si>
    <t>目標を再捕捉……
今度こそ仕留める</t>
    <phoneticPr fontId="5"/>
  </si>
  <si>
    <t>目標を捕捉……任務開始</t>
    <phoneticPr fontId="5"/>
  </si>
  <si>
    <t>[effect:rush, count:5, val:0.24]</t>
    <phoneticPr fontId="5"/>
  </si>
  <si>
    <t>次のターン強力な連続攻撃</t>
    <phoneticPr fontId="5"/>
  </si>
  <si>
    <t>サイクロプスはコスト31以上のユニットに
対して大ダメージを与えてきます
コスト30以下のユニットで挑みましょう</t>
    <phoneticPr fontId="5"/>
  </si>
  <si>
    <t>サイクロプスは
アニマル以外のユニットに対して
大ダメージを与えてきます
パーティの編成には注意が必要です</t>
    <phoneticPr fontId="5"/>
  </si>
  <si>
    <t>フロア3では4体のエネミーが出現します
それぞれのHPは低いので
１体ずつ確実に倒しましょう</t>
    <phoneticPr fontId="5"/>
  </si>
  <si>
    <t>2ゲージ目のサイクロプスは予告をした後
次のターンで強力な連続攻撃をします
HPを高く保って備えましょう</t>
    <phoneticPr fontId="5"/>
  </si>
  <si>
    <t>エキドナは開幕に
回復力DOWNのスキルを使用します
回復力UPのスキルを持つユニットで
対策しましょう</t>
    <phoneticPr fontId="5"/>
  </si>
  <si>
    <t>サイクロプスは回復力DOWNに加え
ウィルスを使用してきます
回復力UPのスキルなどで
早めに対応しましょう</t>
    <phoneticPr fontId="5"/>
  </si>
  <si>
    <t>2ゲージ目のサイクロプスは
Cパネル無効スキルを使用してきます
Cパネル強化スキルを持つユニットが
活躍できるでしょう</t>
    <phoneticPr fontId="5"/>
  </si>
  <si>
    <t>[effect:enemy_message, val1:1.9, val2:2.3],[effect:freq_turn, target:myself, turn:-1, val:1, animation:enemy_freq_turn],[effect:enhance_enemy, target:myself, turn:-1, status:attack, val:0.2, calc:mul, animation:enemy_enhance_attack]</t>
    <phoneticPr fontId="5"/>
  </si>
  <si>
    <t>[effect:enemy_message, val1:2.2, val2:2.3]</t>
    <phoneticPr fontId="5"/>
  </si>
  <si>
    <t>[effect:enemy_message, val1:1.8, val2:2.3],[effect:degrade_unit, target:unit_all, turn:-1, status:heal, val:0.7, calc:mul, animation:degrade_unit_all_heal],[effect:fix_speed, target:myself, turn:2]</t>
    <phoneticPr fontId="5"/>
  </si>
  <si>
    <t>4回連続攻撃</t>
    <phoneticPr fontId="5"/>
  </si>
  <si>
    <t>[effect:rush, count:4, val:0.31]</t>
    <phoneticPr fontId="5"/>
  </si>
  <si>
    <t>失敗は許されない……絶対に</t>
    <phoneticPr fontId="5"/>
  </si>
  <si>
    <t>レーザーバレット</t>
    <phoneticPr fontId="5"/>
  </si>
  <si>
    <t>ポイズンナイフ</t>
    <phoneticPr fontId="5"/>
  </si>
  <si>
    <t>トリプルナイフ</t>
    <phoneticPr fontId="5"/>
  </si>
  <si>
    <t>貴方のそのチカラ…
こちらに渡してもらう</t>
    <phoneticPr fontId="5"/>
  </si>
  <si>
    <t>命令は絶対……
それが私のすべて</t>
    <phoneticPr fontId="5"/>
  </si>
  <si>
    <t>命令は絶対……
それが私のすべて</t>
    <phoneticPr fontId="5"/>
  </si>
  <si>
    <t>[effect:enemy_message, val1:1.9, val2:2.5],[effect:fix_speed, target:myself, turn:1]</t>
    <phoneticPr fontId="5"/>
  </si>
  <si>
    <t>[effect:enemy_message, val1:1.9, val2:2.5],[effect:fix_speed, target:myself, turn:1]</t>
    <phoneticPr fontId="5"/>
  </si>
  <si>
    <t>[effect:enemy_message, val1:2.2, val2:2.3]</t>
    <phoneticPr fontId="5"/>
  </si>
  <si>
    <t>[effect:enemy_message, val1:1.8, val2:2.3],[effect:rush, count:17, val:0.17]</t>
    <phoneticPr fontId="5"/>
  </si>
  <si>
    <t>[effect:enemy_message, val1:1.8, val2:2.3],[effect:rush, count:17, val:0.17]</t>
    <phoneticPr fontId="5"/>
  </si>
  <si>
    <t>17回連続攻撃</t>
    <phoneticPr fontId="5"/>
  </si>
  <si>
    <t>[effect:enemy_message, val1:2.1, val2:2.5],[effect:degrade_unit, target:unit_all, turn:-1, status:heal, val:1, calc:mul, animation:degrade_unit_all_heal],[effect:fix_speed, target:myself, turn:2]</t>
    <phoneticPr fontId="5"/>
  </si>
  <si>
    <t>[effect:enemy_message, val1:2.1, val2:2.3],[effect:invalidate_crash_panel, target:unit_all, turn:3, count:11, animation:enemy_dis_crashPanel],[effect:fix_speed, target:myself, turn:1]</t>
    <phoneticPr fontId="5"/>
  </si>
  <si>
    <t>[effect:enemy_message, val1:2.0, val2:2.3],[effect:invalidate_crash_panel, target:unit_all, turn:3, count:11, animation:enemy_dis_crashPanel]</t>
    <phoneticPr fontId="5"/>
  </si>
  <si>
    <t>[effect:enemy_message, val1:1.9, val2:2.0],[effect:rush, count:5, val:0.24]</t>
    <phoneticPr fontId="5"/>
  </si>
  <si>
    <t>[effect:enemy_message, val1:1.6, val2:1.8],[effect:virus, turn:2, rate:1, val:0.07, animation:enemy_virus]</t>
    <phoneticPr fontId="5"/>
  </si>
  <si>
    <t>[effect:enemy_message, val1:1.8, val2:2.0],[effect:virus, turn:2, rate:1, val:0.07, animation:enemy_virus]</t>
    <phoneticPr fontId="5"/>
  </si>
  <si>
    <t>デルピュネー様のために…
なんとしてでも……！</t>
    <phoneticPr fontId="5"/>
  </si>
  <si>
    <t>解除するまで味方全体の回復力100％DOWN</t>
    <phoneticPr fontId="5"/>
  </si>
  <si>
    <t>解除するまで味方全体の回復力100％DOWN</t>
    <phoneticPr fontId="5"/>
  </si>
  <si>
    <t>味方単体に5ターンウィルス</t>
    <phoneticPr fontId="5"/>
  </si>
  <si>
    <t>解除するまで味方全体の回復力70％DOWN</t>
    <phoneticPr fontId="5"/>
  </si>
  <si>
    <t>味方単体に5ターンウィルス</t>
    <phoneticPr fontId="5"/>
  </si>
  <si>
    <t>[effect:enemy_message, val1:1.6, val2:1.8],[effect:virus, turn:2, rate:1, val:0.08, animation:enemy_virus]</t>
    <phoneticPr fontId="5"/>
  </si>
  <si>
    <t>[effect:enemy_message, val1:1.8, val2:2.0],[effect:virus, turn:2, rate:1, val:0.08, animation:enemy_virus]</t>
    <phoneticPr fontId="5"/>
  </si>
  <si>
    <t>コスト31以上のユニット+
種族アニマル以外のユニットに大ダメージの全体攻撃</t>
    <phoneticPr fontId="5"/>
  </si>
  <si>
    <t>自身の攻撃頻度UP+自身の攻撃力UP</t>
    <phoneticPr fontId="5"/>
  </si>
  <si>
    <t>レーザーレイン</t>
    <phoneticPr fontId="5"/>
  </si>
  <si>
    <t>レーザーレイン</t>
    <phoneticPr fontId="5"/>
  </si>
  <si>
    <t>[effect:enemy_message, val1:1.8, val2:2.3],[effect:suicide, val:1, dead_type:escape]</t>
    <phoneticPr fontId="5"/>
  </si>
  <si>
    <r>
      <t>[effect:enemy_message, val1:1.8, val2:</t>
    </r>
    <r>
      <rPr>
        <sz val="13"/>
        <color rgb="FFFF0000"/>
        <rFont val="Arial"/>
      </rPr>
      <t>3.8</t>
    </r>
    <r>
      <rPr>
        <sz val="13"/>
        <color theme="2" tint="-0.499984740745262"/>
        <rFont val="Arial"/>
      </rPr>
      <t>],[effect:damage_anti_cost, target:unit_all, lower:31, upper:99, val1:</t>
    </r>
    <r>
      <rPr>
        <sz val="13"/>
        <color rgb="FFFF0000"/>
        <rFont val="Arial"/>
      </rPr>
      <t>23</t>
    </r>
    <r>
      <rPr>
        <sz val="13"/>
        <color theme="2" tint="-0.499984740745262"/>
        <rFont val="Arial"/>
      </rPr>
      <t>, val2:0.0001, cost_type:unit],[effect:damage_anti_tribe, target:unit_all, tribe:animal, val1:0.09, val2:</t>
    </r>
    <r>
      <rPr>
        <sz val="13"/>
        <color rgb="FFFF0000"/>
        <rFont val="Arial"/>
      </rPr>
      <t>23</t>
    </r>
    <r>
      <rPr>
        <sz val="13"/>
        <color theme="2" tint="-0.499984740745262"/>
        <rFont val="Arial"/>
      </rPr>
      <t>]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</si>
</sst>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9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3"/>
      <color theme="2" tint="-0.499984740745262"/>
      <name val="Arial"/>
    </font>
    <font>
      <sz val="10"/>
      <color theme="2" tint="-0.499984740745262"/>
      <name val="ＭＳ Ｐゴシック"/>
      <family val="3"/>
      <charset val="128"/>
      <scheme val="minor"/>
    </font>
    <font>
      <sz val="13"/>
      <color theme="0" tint="-0.499984740745262"/>
      <name val="Arial"/>
    </font>
    <font>
      <sz val="10"/>
      <name val="ＭＳ Ｐゴシック"/>
      <family val="3"/>
      <charset val="128"/>
      <scheme val="minor"/>
    </font>
    <font>
      <sz val="12"/>
      <color theme="4" tint="-0.249977111117893"/>
      <name val="ＭＳ Ｐゴシック"/>
      <family val="3"/>
      <charset val="128"/>
      <scheme val="minor"/>
    </font>
    <font>
      <sz val="13"/>
      <color rgb="FFFF0000"/>
      <name val="Arial"/>
    </font>
    <font>
      <sz val="12"/>
      <color rgb="FFFF0000"/>
      <name val="ＭＳ Ｐゴシック"/>
      <family val="2"/>
      <charset val="128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rgb="FF63AAF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5" tint="0.79998168889431442"/>
        <bgColor rgb="FF63AAFE"/>
      </patternFill>
    </fill>
    <fill>
      <patternFill patternType="solid">
        <fgColor theme="5" tint="0.79998168889431442"/>
        <bgColor indexed="2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rgb="FF000000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5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vertical="center"/>
    </xf>
    <xf numFmtId="0" fontId="4" fillId="1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52" fillId="0" borderId="7" xfId="0" applyFont="1" applyBorder="1"/>
    <xf numFmtId="0" fontId="6" fillId="32" borderId="3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6" fillId="32" borderId="34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36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11" fillId="0" borderId="10" xfId="0" applyFont="1" applyBorder="1" applyAlignment="1">
      <alignment horizontal="left" vertical="center" wrapText="1"/>
    </xf>
    <xf numFmtId="0" fontId="16" fillId="0" borderId="12" xfId="0" applyFont="1" applyFill="1" applyBorder="1" applyAlignment="1">
      <alignment vertical="center"/>
    </xf>
    <xf numFmtId="0" fontId="52" fillId="0" borderId="12" xfId="0" applyFont="1" applyBorder="1"/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0" borderId="24" xfId="0" applyFont="1" applyFill="1" applyBorder="1" applyAlignment="1">
      <alignment vertical="center"/>
    </xf>
    <xf numFmtId="0" fontId="52" fillId="0" borderId="24" xfId="0" applyFont="1" applyBorder="1"/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11" fillId="6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24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52" fillId="0" borderId="26" xfId="0" applyFont="1" applyBorder="1"/>
    <xf numFmtId="0" fontId="16" fillId="0" borderId="26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 wrapText="1"/>
    </xf>
    <xf numFmtId="0" fontId="52" fillId="0" borderId="38" xfId="0" applyFont="1" applyBorder="1"/>
    <xf numFmtId="0" fontId="16" fillId="0" borderId="38" xfId="0" applyFont="1" applyFill="1" applyBorder="1" applyAlignment="1">
      <alignment horizontal="left" vertical="center"/>
    </xf>
    <xf numFmtId="0" fontId="16" fillId="0" borderId="38" xfId="0" applyFont="1" applyFill="1" applyBorder="1" applyAlignment="1">
      <alignment horizontal="left" vertical="center" wrapText="1"/>
    </xf>
    <xf numFmtId="0" fontId="16" fillId="6" borderId="12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3" borderId="12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0" fontId="11" fillId="6" borderId="37" xfId="0" applyFont="1" applyFill="1" applyBorder="1" applyAlignment="1">
      <alignment horizontal="left" vertical="center" wrapText="1"/>
    </xf>
    <xf numFmtId="0" fontId="54" fillId="0" borderId="7" xfId="0" applyFont="1" applyBorder="1"/>
    <xf numFmtId="0" fontId="11" fillId="36" borderId="7" xfId="0" applyFont="1" applyFill="1" applyBorder="1" applyAlignment="1">
      <alignment vertical="center"/>
    </xf>
    <xf numFmtId="0" fontId="11" fillId="36" borderId="10" xfId="0" applyFont="1" applyFill="1" applyBorder="1" applyAlignment="1">
      <alignment vertical="center"/>
    </xf>
    <xf numFmtId="0" fontId="4" fillId="13" borderId="12" xfId="0" applyFont="1" applyFill="1" applyBorder="1" applyAlignment="1">
      <alignment horizontal="center" vertical="center"/>
    </xf>
    <xf numFmtId="0" fontId="4" fillId="13" borderId="32" xfId="0" applyFont="1" applyFill="1" applyBorder="1" applyAlignment="1">
      <alignment horizontal="center" vertical="center"/>
    </xf>
    <xf numFmtId="177" fontId="11" fillId="0" borderId="39" xfId="0" applyNumberFormat="1" applyFont="1" applyBorder="1" applyAlignment="1">
      <alignment vertical="center"/>
    </xf>
    <xf numFmtId="177" fontId="11" fillId="0" borderId="40" xfId="0" applyNumberFormat="1" applyFont="1" applyBorder="1" applyAlignment="1">
      <alignment vertical="center"/>
    </xf>
    <xf numFmtId="177" fontId="11" fillId="0" borderId="41" xfId="0" applyNumberFormat="1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177" fontId="11" fillId="0" borderId="24" xfId="0" applyNumberFormat="1" applyFont="1" applyBorder="1" applyAlignment="1">
      <alignment vertical="center"/>
    </xf>
    <xf numFmtId="0" fontId="55" fillId="37" borderId="42" xfId="0" applyFont="1" applyFill="1" applyBorder="1" applyAlignment="1">
      <alignment vertical="center"/>
    </xf>
    <xf numFmtId="0" fontId="55" fillId="37" borderId="43" xfId="0" applyFont="1" applyFill="1" applyBorder="1" applyAlignment="1">
      <alignment vertical="center"/>
    </xf>
    <xf numFmtId="0" fontId="11" fillId="0" borderId="44" xfId="0" applyFont="1" applyBorder="1" applyAlignment="1">
      <alignment vertical="center"/>
    </xf>
    <xf numFmtId="0" fontId="11" fillId="0" borderId="4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11" fillId="0" borderId="45" xfId="0" applyFont="1" applyBorder="1" applyAlignment="1">
      <alignment vertical="center"/>
    </xf>
    <xf numFmtId="0" fontId="6" fillId="32" borderId="46" xfId="0" applyFont="1" applyFill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 wrapText="1"/>
    </xf>
    <xf numFmtId="14" fontId="16" fillId="0" borderId="12" xfId="0" applyNumberFormat="1" applyFont="1" applyFill="1" applyBorder="1" applyAlignment="1">
      <alignment horizontal="left" vertical="center"/>
    </xf>
    <xf numFmtId="0" fontId="16" fillId="33" borderId="24" xfId="0" applyFont="1" applyFill="1" applyBorder="1" applyAlignment="1">
      <alignment vertical="center"/>
    </xf>
    <xf numFmtId="0" fontId="16" fillId="3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52" fillId="38" borderId="12" xfId="0" applyFont="1" applyFill="1" applyBorder="1"/>
    <xf numFmtId="0" fontId="52" fillId="38" borderId="7" xfId="0" applyFont="1" applyFill="1" applyBorder="1"/>
    <xf numFmtId="0" fontId="54" fillId="38" borderId="7" xfId="0" applyFont="1" applyFill="1" applyBorder="1"/>
    <xf numFmtId="0" fontId="16" fillId="38" borderId="12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horizontal="left" vertical="center" wrapText="1"/>
    </xf>
    <xf numFmtId="0" fontId="11" fillId="35" borderId="24" xfId="0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16" fillId="39" borderId="12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horizontal="left" vertical="center" wrapText="1"/>
    </xf>
    <xf numFmtId="0" fontId="16" fillId="39" borderId="12" xfId="0" applyFont="1" applyFill="1" applyBorder="1" applyAlignment="1">
      <alignment vertical="center"/>
    </xf>
    <xf numFmtId="0" fontId="16" fillId="38" borderId="12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1" fillId="40" borderId="7" xfId="0" applyFont="1" applyFill="1" applyBorder="1" applyAlignment="1">
      <alignment vertical="center"/>
    </xf>
    <xf numFmtId="0" fontId="53" fillId="0" borderId="7" xfId="0" applyFont="1" applyBorder="1" applyAlignment="1">
      <alignment vertical="center"/>
    </xf>
    <xf numFmtId="0" fontId="11" fillId="36" borderId="7" xfId="0" applyFont="1" applyFill="1" applyBorder="1" applyAlignment="1">
      <alignment horizontal="left" vertical="center" wrapText="1"/>
    </xf>
    <xf numFmtId="0" fontId="16" fillId="0" borderId="47" xfId="0" applyFont="1" applyFill="1" applyBorder="1" applyAlignment="1">
      <alignment vertical="center"/>
    </xf>
    <xf numFmtId="0" fontId="16" fillId="38" borderId="26" xfId="0" applyFont="1" applyFill="1" applyBorder="1" applyAlignment="1">
      <alignment horizontal="left" vertical="center" wrapText="1"/>
    </xf>
    <xf numFmtId="0" fontId="16" fillId="38" borderId="24" xfId="0" applyFont="1" applyFill="1" applyBorder="1" applyAlignment="1">
      <alignment vertical="center"/>
    </xf>
    <xf numFmtId="0" fontId="16" fillId="38" borderId="24" xfId="0" applyFont="1" applyFill="1" applyBorder="1" applyAlignment="1">
      <alignment horizontal="left" vertical="center" wrapText="1"/>
    </xf>
    <xf numFmtId="0" fontId="55" fillId="41" borderId="42" xfId="0" applyFont="1" applyFill="1" applyBorder="1" applyAlignment="1">
      <alignment vertical="center"/>
    </xf>
    <xf numFmtId="0" fontId="6" fillId="42" borderId="3" xfId="0" applyFont="1" applyFill="1" applyBorder="1" applyAlignment="1">
      <alignment vertical="center"/>
    </xf>
    <xf numFmtId="0" fontId="26" fillId="12" borderId="12" xfId="0" applyFont="1" applyFill="1" applyBorder="1"/>
    <xf numFmtId="0" fontId="26" fillId="12" borderId="37" xfId="0" applyFont="1" applyFill="1" applyBorder="1"/>
    <xf numFmtId="0" fontId="26" fillId="44" borderId="12" xfId="0" applyFont="1" applyFill="1" applyBorder="1"/>
    <xf numFmtId="0" fontId="26" fillId="44" borderId="37" xfId="0" applyFont="1" applyFill="1" applyBorder="1"/>
    <xf numFmtId="0" fontId="0" fillId="0" borderId="12" xfId="0" applyBorder="1"/>
    <xf numFmtId="0" fontId="0" fillId="0" borderId="24" xfId="0" applyBorder="1"/>
    <xf numFmtId="0" fontId="6" fillId="45" borderId="1" xfId="0" applyFont="1" applyFill="1" applyBorder="1" applyAlignment="1">
      <alignment vertical="center"/>
    </xf>
    <xf numFmtId="0" fontId="0" fillId="6" borderId="24" xfId="0" applyFill="1" applyBorder="1"/>
    <xf numFmtId="0" fontId="6" fillId="45" borderId="24" xfId="0" applyFont="1" applyFill="1" applyBorder="1" applyAlignment="1">
      <alignment vertical="center"/>
    </xf>
    <xf numFmtId="0" fontId="0" fillId="6" borderId="12" xfId="0" applyFill="1" applyBorder="1"/>
    <xf numFmtId="0" fontId="6" fillId="45" borderId="12" xfId="0" applyFont="1" applyFill="1" applyBorder="1" applyAlignment="1">
      <alignment vertical="center"/>
    </xf>
    <xf numFmtId="0" fontId="0" fillId="34" borderId="7" xfId="0" applyFill="1" applyBorder="1"/>
    <xf numFmtId="0" fontId="26" fillId="43" borderId="12" xfId="0" applyFont="1" applyFill="1" applyBorder="1"/>
    <xf numFmtId="0" fontId="56" fillId="12" borderId="12" xfId="0" applyFont="1" applyFill="1" applyBorder="1"/>
    <xf numFmtId="0" fontId="56" fillId="44" borderId="12" xfId="0" applyFont="1" applyFill="1" applyBorder="1"/>
    <xf numFmtId="0" fontId="56" fillId="44" borderId="37" xfId="0" applyFont="1" applyFill="1" applyBorder="1"/>
    <xf numFmtId="0" fontId="56" fillId="12" borderId="37" xfId="0" applyFont="1" applyFill="1" applyBorder="1"/>
    <xf numFmtId="0" fontId="0" fillId="34" borderId="12" xfId="0" applyFill="1" applyBorder="1"/>
    <xf numFmtId="0" fontId="0" fillId="34" borderId="24" xfId="0" applyFill="1" applyBorder="1"/>
    <xf numFmtId="0" fontId="6" fillId="32" borderId="12" xfId="0" applyFont="1" applyFill="1" applyBorder="1" applyAlignment="1">
      <alignment vertical="center"/>
    </xf>
    <xf numFmtId="0" fontId="6" fillId="32" borderId="1" xfId="0" applyFont="1" applyFill="1" applyBorder="1" applyAlignment="1">
      <alignment vertical="center"/>
    </xf>
    <xf numFmtId="0" fontId="6" fillId="32" borderId="24" xfId="0" applyFont="1" applyFill="1" applyBorder="1" applyAlignment="1">
      <alignment vertical="center"/>
    </xf>
    <xf numFmtId="38" fontId="16" fillId="0" borderId="7" xfId="628" applyFont="1" applyFill="1" applyBorder="1" applyAlignment="1">
      <alignment vertical="center" wrapText="1"/>
    </xf>
    <xf numFmtId="0" fontId="27" fillId="46" borderId="7" xfId="0" applyFont="1" applyFill="1" applyBorder="1"/>
    <xf numFmtId="0" fontId="28" fillId="46" borderId="7" xfId="0" applyFont="1" applyFill="1" applyBorder="1"/>
    <xf numFmtId="0" fontId="29" fillId="46" borderId="12" xfId="0" applyFont="1" applyFill="1" applyBorder="1" applyAlignment="1">
      <alignment vertical="center"/>
    </xf>
    <xf numFmtId="0" fontId="30" fillId="46" borderId="7" xfId="0" applyFont="1" applyFill="1" applyBorder="1"/>
    <xf numFmtId="0" fontId="31" fillId="46" borderId="7" xfId="0" applyFont="1" applyFill="1" applyBorder="1"/>
    <xf numFmtId="38" fontId="16" fillId="46" borderId="7" xfId="628" applyFont="1" applyFill="1" applyBorder="1" applyAlignment="1">
      <alignment vertical="center" wrapText="1"/>
    </xf>
    <xf numFmtId="0" fontId="0" fillId="46" borderId="7" xfId="0" applyFill="1" applyBorder="1"/>
    <xf numFmtId="0" fontId="58" fillId="6" borderId="7" xfId="0" applyFont="1" applyFill="1" applyBorder="1"/>
    <xf numFmtId="0" fontId="58" fillId="34" borderId="7" xfId="0" applyFont="1" applyFill="1" applyBorder="1"/>
    <xf numFmtId="0" fontId="16" fillId="46" borderId="7" xfId="0" applyFont="1" applyFill="1" applyBorder="1" applyAlignment="1">
      <alignment horizontal="left" vertical="center"/>
    </xf>
    <xf numFmtId="0" fontId="16" fillId="46" borderId="24" xfId="0" applyFont="1" applyFill="1" applyBorder="1" applyAlignment="1">
      <alignment horizontal="left" vertical="center"/>
    </xf>
    <xf numFmtId="0" fontId="16" fillId="46" borderId="26" xfId="0" applyFont="1" applyFill="1" applyBorder="1" applyAlignment="1">
      <alignment horizontal="left" vertical="center"/>
    </xf>
    <xf numFmtId="0" fontId="16" fillId="46" borderId="38" xfId="0" applyFont="1" applyFill="1" applyBorder="1" applyAlignment="1">
      <alignment horizontal="left" vertical="center"/>
    </xf>
    <xf numFmtId="0" fontId="16" fillId="46" borderId="12" xfId="0" applyFont="1" applyFill="1" applyBorder="1" applyAlignment="1">
      <alignment horizontal="left" vertical="center"/>
    </xf>
  </cellXfs>
  <cellStyles count="75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30" sqref="E3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130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251</v>
      </c>
      <c r="B2" s="55" t="s">
        <v>106</v>
      </c>
      <c r="C2" s="60">
        <v>30044</v>
      </c>
      <c r="D2" s="55" t="s">
        <v>107</v>
      </c>
      <c r="E2" s="54" t="str">
        <f>B2&amp;C2&amp;D2</f>
        <v>floors_30044.tmp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251</v>
      </c>
      <c r="B3" s="55" t="s">
        <v>109</v>
      </c>
      <c r="C3" s="60">
        <v>30044</v>
      </c>
      <c r="D3" s="55" t="s">
        <v>107</v>
      </c>
      <c r="E3" s="54" t="str">
        <f>B3&amp;C3&amp;D3</f>
        <v>enemy_habitats_30044.tmp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178</v>
      </c>
    </row>
    <row r="4" spans="1:30" x14ac:dyDescent="0.15">
      <c r="A4" s="59" t="s">
        <v>251</v>
      </c>
      <c r="B4" s="55" t="s">
        <v>111</v>
      </c>
      <c r="C4" s="60">
        <v>30044</v>
      </c>
      <c r="D4" s="55" t="s">
        <v>107</v>
      </c>
      <c r="E4" s="54" t="str">
        <f>B4&amp;C4&amp;D4</f>
        <v>enemy_habitat_S_30044.tmp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251</v>
      </c>
      <c r="B5" s="55" t="s">
        <v>113</v>
      </c>
      <c r="C5" s="60">
        <v>30044</v>
      </c>
      <c r="D5" s="55" t="s">
        <v>107</v>
      </c>
      <c r="E5" s="54" t="str">
        <f>B5&amp;C5&amp;D5</f>
        <v>enemy_skill_sets_30044.tmp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251</v>
      </c>
      <c r="B6" s="55" t="s">
        <v>115</v>
      </c>
      <c r="C6" s="60">
        <v>30044</v>
      </c>
      <c r="D6" s="55" t="s">
        <v>116</v>
      </c>
      <c r="E6" s="54" t="str">
        <f t="shared" ref="E6:E10" si="0">B6&amp;C6&amp;D6</f>
        <v>enemy_skills_tmp_30044.tmp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251</v>
      </c>
      <c r="B7" s="55" t="s">
        <v>117</v>
      </c>
      <c r="C7" s="60">
        <v>30044</v>
      </c>
      <c r="D7" s="55" t="s">
        <v>107</v>
      </c>
      <c r="E7" s="54" t="str">
        <f>B7&amp;C7&amp;D7</f>
        <v>enemy_skills_i18n_30044.tmp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251</v>
      </c>
      <c r="B8" s="55" t="s">
        <v>119</v>
      </c>
      <c r="C8" s="60">
        <v>30044</v>
      </c>
      <c r="D8" s="55" t="s">
        <v>120</v>
      </c>
      <c r="E8" s="54" t="str">
        <f t="shared" si="0"/>
        <v>enemy_skill_triggers_30044.tmp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251</v>
      </c>
      <c r="B9" s="65" t="s">
        <v>177</v>
      </c>
      <c r="C9" s="60">
        <v>30044</v>
      </c>
      <c r="D9" s="65" t="s">
        <v>171</v>
      </c>
      <c r="E9" s="66" t="str">
        <f t="shared" si="0"/>
        <v>stage_bug_bonuses_30044.tmp</v>
      </c>
      <c r="F9" s="65" t="s">
        <v>172</v>
      </c>
      <c r="G9" s="62" t="s">
        <v>150</v>
      </c>
      <c r="H9" s="62" t="s">
        <v>173</v>
      </c>
      <c r="I9" s="62" t="s">
        <v>174</v>
      </c>
      <c r="J9" s="64" t="s">
        <v>175</v>
      </c>
      <c r="K9" s="62" t="s">
        <v>176</v>
      </c>
      <c r="L9" s="62" t="s">
        <v>156</v>
      </c>
      <c r="M9" s="62" t="s">
        <v>157</v>
      </c>
      <c r="N9" s="62" t="s">
        <v>158</v>
      </c>
      <c r="O9" s="62" t="s">
        <v>159</v>
      </c>
      <c r="P9" s="62" t="s">
        <v>160</v>
      </c>
      <c r="Q9" s="62" t="s">
        <v>161</v>
      </c>
      <c r="R9" s="62" t="s">
        <v>162</v>
      </c>
      <c r="S9" s="62" t="s">
        <v>163</v>
      </c>
      <c r="T9" s="62" t="s">
        <v>164</v>
      </c>
      <c r="U9" s="62" t="s">
        <v>165</v>
      </c>
      <c r="V9" s="62" t="s">
        <v>166</v>
      </c>
      <c r="W9" s="62" t="s">
        <v>167</v>
      </c>
      <c r="X9" s="55"/>
      <c r="Y9" s="55"/>
      <c r="Z9" s="55"/>
      <c r="AA9" s="55"/>
      <c r="AB9" s="55"/>
      <c r="AC9" s="55"/>
      <c r="AD9" s="55"/>
    </row>
    <row r="10" spans="1:30" s="71" customFormat="1" x14ac:dyDescent="0.15">
      <c r="A10" s="59" t="s">
        <v>251</v>
      </c>
      <c r="B10" s="65" t="s">
        <v>201</v>
      </c>
      <c r="C10" s="60">
        <v>30044</v>
      </c>
      <c r="D10" s="65" t="s">
        <v>180</v>
      </c>
      <c r="E10" s="66" t="str">
        <f t="shared" si="0"/>
        <v>stage_hints_data_c_30044.tmp</v>
      </c>
      <c r="F10" s="65" t="s">
        <v>209</v>
      </c>
      <c r="G10" s="69" t="s">
        <v>181</v>
      </c>
      <c r="H10" s="69" t="s">
        <v>173</v>
      </c>
      <c r="I10" s="70" t="s">
        <v>182</v>
      </c>
      <c r="J10" s="64" t="s">
        <v>183</v>
      </c>
      <c r="K10" s="64" t="s">
        <v>184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1" customFormat="1" x14ac:dyDescent="0.15">
      <c r="A11" s="59" t="s">
        <v>251</v>
      </c>
      <c r="B11" s="65" t="s">
        <v>202</v>
      </c>
      <c r="C11" s="60">
        <v>30044</v>
      </c>
      <c r="D11" s="65" t="s">
        <v>171</v>
      </c>
      <c r="E11" s="66" t="str">
        <f t="shared" ref="E11:E13" si="1">B11&amp;C11&amp;D11</f>
        <v>stage_hints_data_f_30044.tmp</v>
      </c>
      <c r="F11" s="65" t="s">
        <v>211</v>
      </c>
      <c r="G11" s="69" t="s">
        <v>181</v>
      </c>
      <c r="H11" s="69" t="s">
        <v>173</v>
      </c>
      <c r="I11" s="70" t="s">
        <v>182</v>
      </c>
      <c r="J11" s="64" t="s">
        <v>183</v>
      </c>
      <c r="K11" s="64" t="s">
        <v>184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1" customFormat="1" x14ac:dyDescent="0.15">
      <c r="A12" s="59" t="s">
        <v>251</v>
      </c>
      <c r="B12" s="65" t="s">
        <v>203</v>
      </c>
      <c r="C12" s="60">
        <v>30044</v>
      </c>
      <c r="D12" s="65" t="s">
        <v>171</v>
      </c>
      <c r="E12" s="66" t="str">
        <f t="shared" si="1"/>
        <v>stage_hints_i18n_30044.tmp</v>
      </c>
      <c r="F12" s="65" t="s">
        <v>212</v>
      </c>
      <c r="G12" s="70" t="s">
        <v>204</v>
      </c>
      <c r="H12" s="91" t="s">
        <v>205</v>
      </c>
      <c r="I12" s="69" t="s">
        <v>206</v>
      </c>
      <c r="J12" s="96" t="s">
        <v>207</v>
      </c>
      <c r="K12" s="64" t="s">
        <v>208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1" customFormat="1" x14ac:dyDescent="0.15">
      <c r="A13" s="65" t="s">
        <v>248</v>
      </c>
      <c r="B13" s="65" t="s">
        <v>247</v>
      </c>
      <c r="C13" s="60">
        <v>30044</v>
      </c>
      <c r="D13" s="65" t="s">
        <v>228</v>
      </c>
      <c r="E13" s="66" t="str">
        <f t="shared" si="1"/>
        <v>stage_bonuses_30044.tmp</v>
      </c>
      <c r="F13" s="65" t="s">
        <v>227</v>
      </c>
      <c r="G13" s="69" t="s">
        <v>229</v>
      </c>
      <c r="H13" s="69" t="s">
        <v>230</v>
      </c>
      <c r="I13" s="69" t="s">
        <v>231</v>
      </c>
      <c r="J13" s="69" t="s">
        <v>232</v>
      </c>
      <c r="K13" s="69" t="s">
        <v>233</v>
      </c>
      <c r="L13" s="69" t="s">
        <v>234</v>
      </c>
      <c r="M13" s="69" t="s">
        <v>235</v>
      </c>
      <c r="N13" s="69" t="s">
        <v>236</v>
      </c>
      <c r="O13" s="69" t="s">
        <v>237</v>
      </c>
      <c r="P13" s="69" t="s">
        <v>238</v>
      </c>
      <c r="Q13" s="69" t="s">
        <v>239</v>
      </c>
      <c r="R13" s="69" t="s">
        <v>240</v>
      </c>
      <c r="S13" s="69" t="s">
        <v>241</v>
      </c>
      <c r="T13" s="69" t="s">
        <v>242</v>
      </c>
      <c r="U13" s="69" t="s">
        <v>243</v>
      </c>
      <c r="V13" s="69" t="s">
        <v>244</v>
      </c>
      <c r="W13" s="69" t="s">
        <v>245</v>
      </c>
      <c r="X13" s="69" t="s">
        <v>246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M12" sqref="M1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06" t="str">
        <f>G2&amp;"-"&amp;I2</f>
        <v>30044_1-1</v>
      </c>
      <c r="B2" s="106" t="str">
        <f>IF(COUNTIF(enemy_habitats!$H:$H,A2),"OK","NG")</f>
        <v>OK</v>
      </c>
      <c r="C2" s="107">
        <v>30044</v>
      </c>
      <c r="D2" s="18" t="str">
        <f ca="1">VLOOKUP($C2,OFFSET([2]quests!$A$1,0,0,COUNTA([2]quests!$A:$A),MATCH(D$1,[2]quests!$1:$1,0)-MATCH($C$1,[2]quests!$1:$1,0)+1),MATCH(D$1,[2]quests!$1:$1,0)-MATCH($C$1,[2]quests!$1:$1,0)+1,FALSE)</f>
        <v>冷酷なる遂行者</v>
      </c>
      <c r="E2" s="18" t="str">
        <f ca="1">VLOOKUP($C2,OFFSET([2]quests!$A$1,0,0,COUNTA([2]quests!$A:$A),MATCH(E$1,[2]quests!$1:$1,0)-MATCH($C$1,[2]quests!$1:$1,0)+1),MATCH(E$1,[2]quests!$1:$1,0)-MATCH($C$1,[2]quests!$1:$1,0)+1,FALSE)</f>
        <v>ギリシャ神話第二弾超級</v>
      </c>
      <c r="F2" s="108">
        <v>1</v>
      </c>
      <c r="G2" s="22" t="str">
        <f>C2&amp;"_"&amp;F2</f>
        <v>30044_1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【中級】冷酷なる遂行者</v>
      </c>
      <c r="I2" s="108">
        <v>1</v>
      </c>
      <c r="J2" s="36">
        <v>30</v>
      </c>
      <c r="K2" s="36">
        <v>30</v>
      </c>
    </row>
    <row r="3" spans="1:11" ht="21" customHeight="1" x14ac:dyDescent="0.15">
      <c r="A3" s="106" t="str">
        <f t="shared" ref="A3:A13" si="0">G3&amp;"-"&amp;I3</f>
        <v>30044_1-2</v>
      </c>
      <c r="B3" s="106" t="str">
        <f>IF(COUNTIF(enemy_habitats!$H:$H,A3),"OK","NG")</f>
        <v>OK</v>
      </c>
      <c r="C3" s="107">
        <v>30044</v>
      </c>
      <c r="D3" s="18" t="str">
        <f ca="1">VLOOKUP($C3,OFFSET([2]quests!$A$1,0,0,COUNTA([2]quests!$A:$A),MATCH(D$1,[2]quests!$1:$1,0)-MATCH($C$1,[2]quests!$1:$1,0)+1),MATCH(D$1,[2]quests!$1:$1,0)-MATCH($C$1,[2]quests!$1:$1,0)+1,FALSE)</f>
        <v>冷酷なる遂行者</v>
      </c>
      <c r="E3" s="18" t="str">
        <f ca="1">VLOOKUP($C3,OFFSET([2]quests!$A$1,0,0,COUNTA([2]quests!$A:$A),MATCH(E$1,[2]quests!$1:$1,0)-MATCH($C$1,[2]quests!$1:$1,0)+1),MATCH(E$1,[2]quests!$1:$1,0)-MATCH($C$1,[2]quests!$1:$1,0)+1,FALSE)</f>
        <v>ギリシャ神話第二弾超級</v>
      </c>
      <c r="F3" s="108">
        <v>1</v>
      </c>
      <c r="G3" s="22" t="str">
        <f t="shared" ref="G3:G13" si="1">C3&amp;"_"&amp;F3</f>
        <v>30044_1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【中級】冷酷なる遂行者</v>
      </c>
      <c r="I3" s="108">
        <v>2</v>
      </c>
      <c r="J3" s="36">
        <v>60</v>
      </c>
      <c r="K3" s="36">
        <v>60</v>
      </c>
    </row>
    <row r="4" spans="1:11" ht="21" customHeight="1" x14ac:dyDescent="0.15">
      <c r="A4" s="106" t="str">
        <f t="shared" si="0"/>
        <v>30044_1-3</v>
      </c>
      <c r="B4" s="106" t="str">
        <f>IF(COUNTIF(enemy_habitats!$H:$H,A4),"OK","NG")</f>
        <v>OK</v>
      </c>
      <c r="C4" s="107">
        <v>30044</v>
      </c>
      <c r="D4" s="18" t="str">
        <f ca="1">VLOOKUP($C4,OFFSET([2]quests!$A$1,0,0,COUNTA([2]quests!$A:$A),MATCH(D$1,[2]quests!$1:$1,0)-MATCH($C$1,[2]quests!$1:$1,0)+1),MATCH(D$1,[2]quests!$1:$1,0)-MATCH($C$1,[2]quests!$1:$1,0)+1,FALSE)</f>
        <v>冷酷なる遂行者</v>
      </c>
      <c r="E4" s="18" t="str">
        <f ca="1">VLOOKUP($C4,OFFSET([2]quests!$A$1,0,0,COUNTA([2]quests!$A:$A),MATCH(E$1,[2]quests!$1:$1,0)-MATCH($C$1,[2]quests!$1:$1,0)+1),MATCH(E$1,[2]quests!$1:$1,0)-MATCH($C$1,[2]quests!$1:$1,0)+1,FALSE)</f>
        <v>ギリシャ神話第二弾超級</v>
      </c>
      <c r="F4" s="108">
        <v>1</v>
      </c>
      <c r="G4" s="22" t="str">
        <f t="shared" si="1"/>
        <v>30044_1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【中級】冷酷なる遂行者</v>
      </c>
      <c r="I4" s="108">
        <v>3</v>
      </c>
      <c r="J4" s="36">
        <v>60</v>
      </c>
      <c r="K4" s="36">
        <v>60</v>
      </c>
    </row>
    <row r="5" spans="1:11" ht="21" customHeight="1" thickBot="1" x14ac:dyDescent="0.2">
      <c r="A5" s="109" t="str">
        <f t="shared" si="0"/>
        <v>30044_1-4</v>
      </c>
      <c r="B5" s="109" t="str">
        <f>IF(COUNTIF(enemy_habitats!$H:$H,A5),"OK","NG")</f>
        <v>OK</v>
      </c>
      <c r="C5" s="110">
        <v>30044</v>
      </c>
      <c r="D5" s="111" t="str">
        <f ca="1">VLOOKUP($C5,OFFSET([2]quests!$A$1,0,0,COUNTA([2]quests!$A:$A),MATCH(D$1,[2]quests!$1:$1,0)-MATCH($C$1,[2]quests!$1:$1,0)+1),MATCH(D$1,[2]quests!$1:$1,0)-MATCH($C$1,[2]quests!$1:$1,0)+1,FALSE)</f>
        <v>冷酷なる遂行者</v>
      </c>
      <c r="E5" s="111" t="str">
        <f ca="1">VLOOKUP($C5,OFFSET([2]quests!$A$1,0,0,COUNTA([2]quests!$A:$A),MATCH(E$1,[2]quests!$1:$1,0)-MATCH($C$1,[2]quests!$1:$1,0)+1),MATCH(E$1,[2]quests!$1:$1,0)-MATCH($C$1,[2]quests!$1:$1,0)+1,FALSE)</f>
        <v>ギリシャ神話第二弾超級</v>
      </c>
      <c r="F5" s="112">
        <v>1</v>
      </c>
      <c r="G5" s="113" t="str">
        <f t="shared" si="1"/>
        <v>30044_1</v>
      </c>
      <c r="H5" s="114" t="str">
        <f ca="1">VLOOKUP($G5,OFFSET([2]stages!$A$1,0,0,COUNTA([2]stages!$A:$A),MATCH(H$1,[2]stages!$2:$2,0)-MATCH($G$1,[2]stages!$2:$2,0)+1),MATCH(H$1,[2]stages!$2:$2,0)-MATCH($G$1,[2]stages!$2:$2,0)+1,FALSE)</f>
        <v>【中級】冷酷なる遂行者</v>
      </c>
      <c r="I5" s="112">
        <v>4</v>
      </c>
      <c r="J5" s="115">
        <v>60</v>
      </c>
      <c r="K5" s="115">
        <v>60</v>
      </c>
    </row>
    <row r="6" spans="1:11" ht="21" customHeight="1" thickTop="1" x14ac:dyDescent="0.15">
      <c r="A6" s="116" t="str">
        <f t="shared" si="0"/>
        <v>30044_2-1</v>
      </c>
      <c r="B6" s="116" t="str">
        <f>IF(COUNTIF(enemy_habitats!$H:$H,A6),"OK","NG")</f>
        <v>OK</v>
      </c>
      <c r="C6" s="117">
        <v>30044</v>
      </c>
      <c r="D6" s="118" t="str">
        <f ca="1">VLOOKUP($C6,OFFSET([2]quests!$A$1,0,0,COUNTA([2]quests!$A:$A),MATCH(D$1,[2]quests!$1:$1,0)-MATCH($C$1,[2]quests!$1:$1,0)+1),MATCH(D$1,[2]quests!$1:$1,0)-MATCH($C$1,[2]quests!$1:$1,0)+1,FALSE)</f>
        <v>冷酷なる遂行者</v>
      </c>
      <c r="E6" s="118" t="str">
        <f ca="1">VLOOKUP($C6,OFFSET([2]quests!$A$1,0,0,COUNTA([2]quests!$A:$A),MATCH(E$1,[2]quests!$1:$1,0)-MATCH($C$1,[2]quests!$1:$1,0)+1),MATCH(E$1,[2]quests!$1:$1,0)-MATCH($C$1,[2]quests!$1:$1,0)+1,FALSE)</f>
        <v>ギリシャ神話第二弾超級</v>
      </c>
      <c r="F6" s="119">
        <v>2</v>
      </c>
      <c r="G6" s="120" t="str">
        <f t="shared" si="1"/>
        <v>30044_2</v>
      </c>
      <c r="H6" s="121" t="str">
        <f ca="1">VLOOKUP($G6,OFFSET([2]stages!$A$1,0,0,COUNTA([2]stages!$A:$A),MATCH(H$1,[2]stages!$2:$2,0)-MATCH($G$1,[2]stages!$2:$2,0)+1),MATCH(H$1,[2]stages!$2:$2,0)-MATCH($G$1,[2]stages!$2:$2,0)+1,FALSE)</f>
        <v>【上級】冷酷なる遂行者</v>
      </c>
      <c r="I6" s="119">
        <v>1</v>
      </c>
      <c r="J6" s="122">
        <v>30</v>
      </c>
      <c r="K6" s="122">
        <v>30</v>
      </c>
    </row>
    <row r="7" spans="1:11" ht="21" customHeight="1" x14ac:dyDescent="0.15">
      <c r="A7" s="106" t="str">
        <f t="shared" si="0"/>
        <v>30044_2-2</v>
      </c>
      <c r="B7" s="106" t="str">
        <f>IF(COUNTIF(enemy_habitats!$H:$H,A7),"OK","NG")</f>
        <v>OK</v>
      </c>
      <c r="C7" s="107">
        <v>30044</v>
      </c>
      <c r="D7" s="18" t="str">
        <f ca="1">VLOOKUP($C7,OFFSET([2]quests!$A$1,0,0,COUNTA([2]quests!$A:$A),MATCH(D$1,[2]quests!$1:$1,0)-MATCH($C$1,[2]quests!$1:$1,0)+1),MATCH(D$1,[2]quests!$1:$1,0)-MATCH($C$1,[2]quests!$1:$1,0)+1,FALSE)</f>
        <v>冷酷なる遂行者</v>
      </c>
      <c r="E7" s="18" t="str">
        <f ca="1">VLOOKUP($C7,OFFSET([2]quests!$A$1,0,0,COUNTA([2]quests!$A:$A),MATCH(E$1,[2]quests!$1:$1,0)-MATCH($C$1,[2]quests!$1:$1,0)+1),MATCH(E$1,[2]quests!$1:$1,0)-MATCH($C$1,[2]quests!$1:$1,0)+1,FALSE)</f>
        <v>ギリシャ神話第二弾超級</v>
      </c>
      <c r="F7" s="108">
        <v>2</v>
      </c>
      <c r="G7" s="22" t="str">
        <f t="shared" si="1"/>
        <v>30044_2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【上級】冷酷なる遂行者</v>
      </c>
      <c r="I7" s="108">
        <v>2</v>
      </c>
      <c r="J7" s="36">
        <v>60</v>
      </c>
      <c r="K7" s="36">
        <v>60</v>
      </c>
    </row>
    <row r="8" spans="1:11" ht="21" customHeight="1" x14ac:dyDescent="0.15">
      <c r="A8" s="106" t="str">
        <f t="shared" si="0"/>
        <v>30044_2-3</v>
      </c>
      <c r="B8" s="106" t="str">
        <f>IF(COUNTIF(enemy_habitats!$H:$H,A8),"OK","NG")</f>
        <v>OK</v>
      </c>
      <c r="C8" s="107">
        <v>30044</v>
      </c>
      <c r="D8" s="18" t="str">
        <f ca="1">VLOOKUP($C8,OFFSET([2]quests!$A$1,0,0,COUNTA([2]quests!$A:$A),MATCH(D$1,[2]quests!$1:$1,0)-MATCH($C$1,[2]quests!$1:$1,0)+1),MATCH(D$1,[2]quests!$1:$1,0)-MATCH($C$1,[2]quests!$1:$1,0)+1,FALSE)</f>
        <v>冷酷なる遂行者</v>
      </c>
      <c r="E8" s="18" t="str">
        <f ca="1">VLOOKUP($C8,OFFSET([2]quests!$A$1,0,0,COUNTA([2]quests!$A:$A),MATCH(E$1,[2]quests!$1:$1,0)-MATCH($C$1,[2]quests!$1:$1,0)+1),MATCH(E$1,[2]quests!$1:$1,0)-MATCH($C$1,[2]quests!$1:$1,0)+1,FALSE)</f>
        <v>ギリシャ神話第二弾超級</v>
      </c>
      <c r="F8" s="108">
        <v>2</v>
      </c>
      <c r="G8" s="22" t="str">
        <f t="shared" si="1"/>
        <v>30044_2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【上級】冷酷なる遂行者</v>
      </c>
      <c r="I8" s="108">
        <v>3</v>
      </c>
      <c r="J8" s="36">
        <v>60</v>
      </c>
      <c r="K8" s="36">
        <v>60</v>
      </c>
    </row>
    <row r="9" spans="1:11" ht="21" customHeight="1" thickBot="1" x14ac:dyDescent="0.2">
      <c r="A9" s="109" t="str">
        <f t="shared" si="0"/>
        <v>30044_2-4</v>
      </c>
      <c r="B9" s="109" t="str">
        <f>IF(COUNTIF(enemy_habitats!$H:$H,A9),"OK","NG")</f>
        <v>OK</v>
      </c>
      <c r="C9" s="110">
        <v>30044</v>
      </c>
      <c r="D9" s="111" t="str">
        <f ca="1">VLOOKUP($C9,OFFSET([2]quests!$A$1,0,0,COUNTA([2]quests!$A:$A),MATCH(D$1,[2]quests!$1:$1,0)-MATCH($C$1,[2]quests!$1:$1,0)+1),MATCH(D$1,[2]quests!$1:$1,0)-MATCH($C$1,[2]quests!$1:$1,0)+1,FALSE)</f>
        <v>冷酷なる遂行者</v>
      </c>
      <c r="E9" s="111" t="str">
        <f ca="1">VLOOKUP($C9,OFFSET([2]quests!$A$1,0,0,COUNTA([2]quests!$A:$A),MATCH(E$1,[2]quests!$1:$1,0)-MATCH($C$1,[2]quests!$1:$1,0)+1),MATCH(E$1,[2]quests!$1:$1,0)-MATCH($C$1,[2]quests!$1:$1,0)+1,FALSE)</f>
        <v>ギリシャ神話第二弾超級</v>
      </c>
      <c r="F9" s="112">
        <v>2</v>
      </c>
      <c r="G9" s="113" t="str">
        <f t="shared" si="1"/>
        <v>30044_2</v>
      </c>
      <c r="H9" s="114" t="str">
        <f ca="1">VLOOKUP($G9,OFFSET([2]stages!$A$1,0,0,COUNTA([2]stages!$A:$A),MATCH(H$1,[2]stages!$2:$2,0)-MATCH($G$1,[2]stages!$2:$2,0)+1),MATCH(H$1,[2]stages!$2:$2,0)-MATCH($G$1,[2]stages!$2:$2,0)+1,FALSE)</f>
        <v>【上級】冷酷なる遂行者</v>
      </c>
      <c r="I9" s="112">
        <v>4</v>
      </c>
      <c r="J9" s="115">
        <v>60</v>
      </c>
      <c r="K9" s="115">
        <v>60</v>
      </c>
    </row>
    <row r="10" spans="1:11" ht="21" customHeight="1" thickTop="1" x14ac:dyDescent="0.15">
      <c r="A10" s="16" t="str">
        <f t="shared" si="0"/>
        <v>30044_3-1</v>
      </c>
      <c r="B10" s="16" t="str">
        <f>IF(COUNTIF(enemy_habitats!$H:$H,A10),"OK","NG")</f>
        <v>OK</v>
      </c>
      <c r="C10" s="100">
        <v>30044</v>
      </c>
      <c r="D10" s="101" t="str">
        <f ca="1">VLOOKUP($C10,OFFSET([2]quests!$A$1,0,0,COUNTA([2]quests!$A:$A),MATCH(D$1,[2]quests!$1:$1,0)-MATCH($C$1,[2]quests!$1:$1,0)+1),MATCH(D$1,[2]quests!$1:$1,0)-MATCH($C$1,[2]quests!$1:$1,0)+1,FALSE)</f>
        <v>冷酷なる遂行者</v>
      </c>
      <c r="E10" s="101" t="str">
        <f ca="1">VLOOKUP($C10,OFFSET([2]quests!$A$1,0,0,COUNTA([2]quests!$A:$A),MATCH(E$1,[2]quests!$1:$1,0)-MATCH($C$1,[2]quests!$1:$1,0)+1),MATCH(E$1,[2]quests!$1:$1,0)-MATCH($C$1,[2]quests!$1:$1,0)+1,FALSE)</f>
        <v>ギリシャ神話第二弾超級</v>
      </c>
      <c r="F10" s="102">
        <v>3</v>
      </c>
      <c r="G10" s="103" t="str">
        <f t="shared" si="1"/>
        <v>30044_3</v>
      </c>
      <c r="H10" s="104" t="str">
        <f ca="1">VLOOKUP($G10,OFFSET([2]stages!$A$1,0,0,COUNTA([2]stages!$A:$A),MATCH(H$1,[2]stages!$2:$2,0)-MATCH($G$1,[2]stages!$2:$2,0)+1),MATCH(H$1,[2]stages!$2:$2,0)-MATCH($G$1,[2]stages!$2:$2,0)+1,FALSE)</f>
        <v>【超級】冷酷なる遂行者</v>
      </c>
      <c r="I10" s="102">
        <v>1</v>
      </c>
      <c r="J10" s="105">
        <v>30</v>
      </c>
      <c r="K10" s="105">
        <v>30</v>
      </c>
    </row>
    <row r="11" spans="1:11" ht="21" customHeight="1" x14ac:dyDescent="0.15">
      <c r="A11" s="16" t="str">
        <f t="shared" si="0"/>
        <v>30044_3-2</v>
      </c>
      <c r="B11" s="16" t="str">
        <f>IF(COUNTIF(enemy_habitats!$H:$H,A11),"OK","NG")</f>
        <v>OK</v>
      </c>
      <c r="C11" s="7">
        <v>30044</v>
      </c>
      <c r="D11" s="11" t="str">
        <f ca="1">VLOOKUP($C11,OFFSET([2]quests!$A$1,0,0,COUNTA([2]quests!$A:$A),MATCH(D$1,[2]quests!$1:$1,0)-MATCH($C$1,[2]quests!$1:$1,0)+1),MATCH(D$1,[2]quests!$1:$1,0)-MATCH($C$1,[2]quests!$1:$1,0)+1,FALSE)</f>
        <v>冷酷なる遂行者</v>
      </c>
      <c r="E11" s="18" t="str">
        <f ca="1">VLOOKUP($C11,OFFSET([2]quests!$A$1,0,0,COUNTA([2]quests!$A:$A),MATCH(E$1,[2]quests!$1:$1,0)-MATCH($C$1,[2]quests!$1:$1,0)+1),MATCH(E$1,[2]quests!$1:$1,0)-MATCH($C$1,[2]quests!$1:$1,0)+1,FALSE)</f>
        <v>ギリシャ神話第二弾超級</v>
      </c>
      <c r="F11" s="20">
        <v>3</v>
      </c>
      <c r="G11" s="22" t="str">
        <f t="shared" si="1"/>
        <v>30044_3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【超級】冷酷なる遂行者</v>
      </c>
      <c r="I11" s="20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30044_3-3</v>
      </c>
      <c r="B12" s="16" t="str">
        <f>IF(COUNTIF(enemy_habitats!$H:$H,A12),"OK","NG")</f>
        <v>OK</v>
      </c>
      <c r="C12" s="7">
        <v>30044</v>
      </c>
      <c r="D12" s="11" t="str">
        <f ca="1">VLOOKUP($C12,OFFSET([2]quests!$A$1,0,0,COUNTA([2]quests!$A:$A),MATCH(D$1,[2]quests!$1:$1,0)-MATCH($C$1,[2]quests!$1:$1,0)+1),MATCH(D$1,[2]quests!$1:$1,0)-MATCH($C$1,[2]quests!$1:$1,0)+1,FALSE)</f>
        <v>冷酷なる遂行者</v>
      </c>
      <c r="E12" s="18" t="str">
        <f ca="1">VLOOKUP($C12,OFFSET([2]quests!$A$1,0,0,COUNTA([2]quests!$A:$A),MATCH(E$1,[2]quests!$1:$1,0)-MATCH($C$1,[2]quests!$1:$1,0)+1),MATCH(E$1,[2]quests!$1:$1,0)-MATCH($C$1,[2]quests!$1:$1,0)+1,FALSE)</f>
        <v>ギリシャ神話第二弾超級</v>
      </c>
      <c r="F12" s="20">
        <v>3</v>
      </c>
      <c r="G12" s="22" t="str">
        <f t="shared" si="1"/>
        <v>30044_3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【超級】冷酷なる遂行者</v>
      </c>
      <c r="I12" s="20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30044_3-4</v>
      </c>
      <c r="B13" s="16" t="str">
        <f>IF(COUNTIF(enemy_habitats!$H:$H,A13),"OK","NG")</f>
        <v>OK</v>
      </c>
      <c r="C13" s="7">
        <v>30044</v>
      </c>
      <c r="D13" s="11" t="str">
        <f ca="1">VLOOKUP($C13,OFFSET([2]quests!$A$1,0,0,COUNTA([2]quests!$A:$A),MATCH(D$1,[2]quests!$1:$1,0)-MATCH($C$1,[2]quests!$1:$1,0)+1),MATCH(D$1,[2]quests!$1:$1,0)-MATCH($C$1,[2]quests!$1:$1,0)+1,FALSE)</f>
        <v>冷酷なる遂行者</v>
      </c>
      <c r="E13" s="18" t="str">
        <f ca="1">VLOOKUP($C13,OFFSET([2]quests!$A$1,0,0,COUNTA([2]quests!$A:$A),MATCH(E$1,[2]quests!$1:$1,0)-MATCH($C$1,[2]quests!$1:$1,0)+1),MATCH(E$1,[2]quests!$1:$1,0)-MATCH($C$1,[2]quests!$1:$1,0)+1,FALSE)</f>
        <v>ギリシャ神話第二弾超級</v>
      </c>
      <c r="F13" s="20">
        <v>3</v>
      </c>
      <c r="G13" s="22" t="str">
        <f t="shared" si="1"/>
        <v>30044_3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【超級】冷酷なる遂行者</v>
      </c>
      <c r="I13" s="20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0"/>
  <sheetViews>
    <sheetView showGridLines="0" tabSelected="1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J14" sqref="AJ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6.5" style="13" customWidth="1" outlineLevel="1"/>
    <col min="32" max="32" width="8" style="14" customWidth="1" outlineLevel="1"/>
    <col min="33" max="33" width="12" style="14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7" t="s">
        <v>249</v>
      </c>
      <c r="U1" s="24" t="s">
        <v>50</v>
      </c>
      <c r="V1" s="97" t="s">
        <v>250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179</v>
      </c>
    </row>
    <row r="2" spans="1:42" ht="21" customHeight="1" x14ac:dyDescent="0.15">
      <c r="A2" s="106" t="str">
        <f>B2&amp;"_"&amp;C2&amp;"-"&amp;G2&amp;"/"&amp;L2&amp;"&lt;lv"&amp;R2&amp;"&gt;s"&amp;AC2</f>
        <v>30044_1-1/1200&lt;lv30&gt;s1</v>
      </c>
      <c r="B2" s="21">
        <v>30044</v>
      </c>
      <c r="C2" s="108">
        <v>1</v>
      </c>
      <c r="D2" s="15" t="str">
        <f>B2&amp;"_"&amp;C2</f>
        <v>30044_1</v>
      </c>
      <c r="E2" s="4" t="str">
        <f ca="1">VLOOKUP($B2,OFFSET([2]quests!$A$1,0,0,COUNTA([2]quests!$A:$A),MATCH(E$1,[2]quests!$1:$1,0)-MATCH($B$1,[2]quests!$1:$1,0)+1),MATCH(E$1,[2]quests!$1:$1,0)-MATCH($B$1,[2]quests!$1:$1,0)+1,FALSE)</f>
        <v>冷酷なる遂行者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【中級】冷酷なる遂行者</v>
      </c>
      <c r="G2" s="108">
        <v>1</v>
      </c>
      <c r="H2" s="15" t="str">
        <f>B2&amp;"_"&amp;C2&amp;"-"&amp;G2</f>
        <v>30044_1-1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6" t="s">
        <v>53</v>
      </c>
      <c r="L2" s="123">
        <v>1200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サイクロプス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30</v>
      </c>
      <c r="S2" s="186">
        <v>2.6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95823</v>
      </c>
      <c r="U2" s="185">
        <v>0.8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2253.6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目標を捕捉……任務開始</v>
      </c>
      <c r="Y2" s="190">
        <v>30044001</v>
      </c>
      <c r="Z2" s="6">
        <v>1</v>
      </c>
      <c r="AA2" s="6">
        <v>100</v>
      </c>
      <c r="AB2" s="192">
        <v>1</v>
      </c>
      <c r="AC2" s="135">
        <v>1</v>
      </c>
      <c r="AD2" s="124">
        <f>L2</f>
        <v>1200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107">
        <v>1</v>
      </c>
      <c r="AI2" s="124">
        <f ca="1">AF2</f>
        <v>4</v>
      </c>
      <c r="AJ2" s="8">
        <v>0</v>
      </c>
      <c r="AK2" s="107">
        <v>0</v>
      </c>
      <c r="AL2" s="107">
        <v>0</v>
      </c>
      <c r="AM2" s="107">
        <v>0</v>
      </c>
      <c r="AN2" s="107">
        <v>0</v>
      </c>
      <c r="AO2" s="107">
        <v>1</v>
      </c>
      <c r="AP2" s="67">
        <v>1</v>
      </c>
    </row>
    <row r="3" spans="1:42" ht="21" customHeight="1" x14ac:dyDescent="0.15">
      <c r="A3" s="106" t="str">
        <f t="shared" ref="A3:A7" si="0">B3&amp;"_"&amp;C3&amp;"-"&amp;G3&amp;"/"&amp;L3&amp;"&lt;lv"&amp;R3&amp;"&gt;s"&amp;AC3</f>
        <v>30044_1-2/406&lt;lv30&gt;s2</v>
      </c>
      <c r="B3" s="21">
        <v>30044</v>
      </c>
      <c r="C3" s="108">
        <v>1</v>
      </c>
      <c r="D3" s="15" t="str">
        <f t="shared" ref="D3:D7" si="1">B3&amp;"_"&amp;C3</f>
        <v>30044_1</v>
      </c>
      <c r="E3" s="4" t="str">
        <f ca="1">VLOOKUP($B3,OFFSET([2]quests!$A$1,0,0,COUNTA([2]quests!$A:$A),MATCH(E$1,[2]quests!$1:$1,0)-MATCH($B$1,[2]quests!$1:$1,0)+1),MATCH(E$1,[2]quests!$1:$1,0)-MATCH($B$1,[2]quests!$1:$1,0)+1,FALSE)</f>
        <v>冷酷なる遂行者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【中級】冷酷なる遂行者</v>
      </c>
      <c r="G3" s="108">
        <v>2</v>
      </c>
      <c r="H3" s="15" t="str">
        <f t="shared" ref="H3:H7" si="2">B3&amp;"_"&amp;C3&amp;"-"&amp;G3</f>
        <v>30044_1-2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25">
        <v>406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美笑の蒼蛇 エキドナ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30</v>
      </c>
      <c r="S3" s="186">
        <v>1.7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62653.5</v>
      </c>
      <c r="U3" s="186">
        <v>0.7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2169.2999999999997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解除するまで味方全体の回復力70％DOWN</v>
      </c>
      <c r="Y3" s="224">
        <v>30044008</v>
      </c>
      <c r="Z3" s="6">
        <v>1</v>
      </c>
      <c r="AA3" s="6">
        <v>100</v>
      </c>
      <c r="AB3" s="193">
        <v>1</v>
      </c>
      <c r="AC3" s="135">
        <v>2</v>
      </c>
      <c r="AD3" s="124">
        <f t="shared" ref="AD3:AD7" si="3">L3</f>
        <v>406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美笑の蒼蛇 エキドナ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107">
        <v>1</v>
      </c>
      <c r="AI3" s="124">
        <f t="shared" ref="AI3:AI7" ca="1" si="4">AF3</f>
        <v>4</v>
      </c>
      <c r="AJ3" s="8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1</v>
      </c>
      <c r="AP3" s="67">
        <v>1</v>
      </c>
    </row>
    <row r="4" spans="1:42" ht="21" customHeight="1" x14ac:dyDescent="0.15">
      <c r="A4" s="106" t="str">
        <f t="shared" si="0"/>
        <v>30044_1-2/18&lt;lv30&gt;s1</v>
      </c>
      <c r="B4" s="21">
        <v>30044</v>
      </c>
      <c r="C4" s="108">
        <v>1</v>
      </c>
      <c r="D4" s="15" t="str">
        <f t="shared" si="1"/>
        <v>30044_1</v>
      </c>
      <c r="E4" s="4" t="str">
        <f ca="1">VLOOKUP($B4,OFFSET([2]quests!$A$1,0,0,COUNTA([2]quests!$A:$A),MATCH(E$1,[2]quests!$1:$1,0)-MATCH($B$1,[2]quests!$1:$1,0)+1),MATCH(E$1,[2]quests!$1:$1,0)-MATCH($B$1,[2]quests!$1:$1,0)+1,FALSE)</f>
        <v>冷酷なる遂行者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【中級】冷酷なる遂行者</v>
      </c>
      <c r="G4" s="108">
        <v>2</v>
      </c>
      <c r="H4" s="15" t="str">
        <f t="shared" si="2"/>
        <v>30044_1-2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25">
        <v>18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戦闘案内人 リム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186">
        <v>1.9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11251.8</v>
      </c>
      <c r="U4" s="186">
        <v>0.6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1100.3999999999999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4" s="190">
        <v>30044003</v>
      </c>
      <c r="Z4" s="6">
        <v>2</v>
      </c>
      <c r="AA4" s="6">
        <v>100</v>
      </c>
      <c r="AB4" s="193">
        <v>0</v>
      </c>
      <c r="AC4" s="135">
        <v>1</v>
      </c>
      <c r="AD4" s="124">
        <f t="shared" si="3"/>
        <v>18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Drop1W</v>
      </c>
      <c r="AH4" s="107">
        <v>1</v>
      </c>
      <c r="AI4" s="124">
        <f t="shared" ca="1" si="4"/>
        <v>2</v>
      </c>
      <c r="AJ4" s="8">
        <v>10</v>
      </c>
      <c r="AK4" s="107">
        <v>0</v>
      </c>
      <c r="AL4" s="107">
        <v>0</v>
      </c>
      <c r="AM4" s="107">
        <v>0</v>
      </c>
      <c r="AN4" s="107">
        <v>0</v>
      </c>
      <c r="AO4" s="107">
        <v>1</v>
      </c>
      <c r="AP4" s="67">
        <v>1</v>
      </c>
    </row>
    <row r="5" spans="1:42" ht="21" customHeight="1" x14ac:dyDescent="0.15">
      <c r="A5" s="106" t="str">
        <f t="shared" si="0"/>
        <v>30044_1-3/374&lt;lv30&gt;s1</v>
      </c>
      <c r="B5" s="21">
        <v>30044</v>
      </c>
      <c r="C5" s="108">
        <v>1</v>
      </c>
      <c r="D5" s="15" t="str">
        <f t="shared" si="1"/>
        <v>30044_1</v>
      </c>
      <c r="E5" s="4" t="str">
        <f ca="1">VLOOKUP($B5,OFFSET([2]quests!$A$1,0,0,COUNTA([2]quests!$A:$A),MATCH(E$1,[2]quests!$1:$1,0)-MATCH($B$1,[2]quests!$1:$1,0)+1),MATCH(E$1,[2]quests!$1:$1,0)-MATCH($B$1,[2]quests!$1:$1,0)+1,FALSE)</f>
        <v>冷酷なる遂行者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【中級】冷酷なる遂行者</v>
      </c>
      <c r="G5" s="108">
        <v>3</v>
      </c>
      <c r="H5" s="15" t="str">
        <f t="shared" si="2"/>
        <v>30044_1-3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25">
        <v>374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影丸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30</v>
      </c>
      <c r="S5" s="186">
        <v>1.9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10773</v>
      </c>
      <c r="U5" s="186">
        <v>1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1834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5" s="190">
        <v>30044004</v>
      </c>
      <c r="Z5" s="6">
        <v>2</v>
      </c>
      <c r="AA5" s="6">
        <v>100</v>
      </c>
      <c r="AB5" s="193">
        <v>1</v>
      </c>
      <c r="AC5" s="135">
        <v>1</v>
      </c>
      <c r="AD5" s="124">
        <f t="shared" si="3"/>
        <v>374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影丸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107">
        <v>1</v>
      </c>
      <c r="AI5" s="124">
        <f t="shared" ca="1" si="4"/>
        <v>2</v>
      </c>
      <c r="AJ5" s="8">
        <v>10</v>
      </c>
      <c r="AK5" s="107">
        <v>0</v>
      </c>
      <c r="AL5" s="107">
        <v>0</v>
      </c>
      <c r="AM5" s="107">
        <v>0</v>
      </c>
      <c r="AN5" s="107">
        <v>0</v>
      </c>
      <c r="AO5" s="107">
        <v>1</v>
      </c>
      <c r="AP5" s="67">
        <v>1</v>
      </c>
    </row>
    <row r="6" spans="1:42" ht="21" customHeight="1" x14ac:dyDescent="0.15">
      <c r="A6" s="106" t="str">
        <f t="shared" si="0"/>
        <v>30044_1-3/29&lt;lv30&gt;s2</v>
      </c>
      <c r="B6" s="21">
        <v>30044</v>
      </c>
      <c r="C6" s="108">
        <v>1</v>
      </c>
      <c r="D6" s="15" t="str">
        <f t="shared" si="1"/>
        <v>30044_1</v>
      </c>
      <c r="E6" s="4" t="str">
        <f ca="1">VLOOKUP($B6,OFFSET([2]quests!$A$1,0,0,COUNTA([2]quests!$A:$A),MATCH(E$1,[2]quests!$1:$1,0)-MATCH($B$1,[2]quests!$1:$1,0)+1),MATCH(E$1,[2]quests!$1:$1,0)-MATCH($B$1,[2]quests!$1:$1,0)+1,FALSE)</f>
        <v>冷酷なる遂行者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【中級】冷酷なる遂行者</v>
      </c>
      <c r="G6" s="108">
        <v>3</v>
      </c>
      <c r="H6" s="15" t="str">
        <f t="shared" si="2"/>
        <v>30044_1-3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25">
        <v>29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スケアクロウ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30</v>
      </c>
      <c r="S6" s="186">
        <v>1.8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9072</v>
      </c>
      <c r="U6" s="186">
        <v>0.9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1300.5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全体攻撃</v>
      </c>
      <c r="Y6" s="190">
        <v>30044005</v>
      </c>
      <c r="Z6" s="6">
        <v>2</v>
      </c>
      <c r="AA6" s="6">
        <v>100</v>
      </c>
      <c r="AB6" s="193">
        <v>0</v>
      </c>
      <c r="AC6" s="135">
        <v>2</v>
      </c>
      <c r="AD6" s="124">
        <f t="shared" si="3"/>
        <v>29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スケアクロウ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107">
        <v>1</v>
      </c>
      <c r="AI6" s="124">
        <f t="shared" ca="1" si="4"/>
        <v>1</v>
      </c>
      <c r="AJ6" s="8">
        <v>10</v>
      </c>
      <c r="AK6" s="107">
        <v>0</v>
      </c>
      <c r="AL6" s="107">
        <v>0</v>
      </c>
      <c r="AM6" s="107">
        <v>0</v>
      </c>
      <c r="AN6" s="107">
        <v>0</v>
      </c>
      <c r="AO6" s="107">
        <v>1</v>
      </c>
      <c r="AP6" s="67">
        <v>1</v>
      </c>
    </row>
    <row r="7" spans="1:42" ht="21" customHeight="1" thickBot="1" x14ac:dyDescent="0.2">
      <c r="A7" s="109" t="str">
        <f t="shared" si="0"/>
        <v>30044_1-4/1200&lt;lv30&gt;s2</v>
      </c>
      <c r="B7" s="126">
        <v>30044</v>
      </c>
      <c r="C7" s="112">
        <v>1</v>
      </c>
      <c r="D7" s="114" t="str">
        <f t="shared" si="1"/>
        <v>30044_1</v>
      </c>
      <c r="E7" s="127" t="str">
        <f ca="1">VLOOKUP($B7,OFFSET([2]quests!$A$1,0,0,COUNTA([2]quests!$A:$A),MATCH(E$1,[2]quests!$1:$1,0)-MATCH($B$1,[2]quests!$1:$1,0)+1),MATCH(E$1,[2]quests!$1:$1,0)-MATCH($B$1,[2]quests!$1:$1,0)+1,FALSE)</f>
        <v>冷酷なる遂行者</v>
      </c>
      <c r="F7" s="127" t="str">
        <f ca="1">VLOOKUP($D7,OFFSET([2]stages!$A$1,0,0,COUNTA([2]stages!$A:$A),MATCH(F$1,[2]stages!$2:$2,0)-MATCH($D$1,[2]stages!$2:$2,0)+1),MATCH(F$1,[2]stages!$2:$2,0)-MATCH($D$1,[2]stages!$2:$2,0)+1,FALSE)</f>
        <v>【中級】冷酷なる遂行者</v>
      </c>
      <c r="G7" s="112">
        <v>4</v>
      </c>
      <c r="H7" s="114" t="str">
        <f t="shared" si="2"/>
        <v>30044_1-4</v>
      </c>
      <c r="I7" s="127">
        <f ca="1">VLOOKUP($H7,OFFSET(floors!$A$1,0,0,COUNTA(floors!$A:$A),MATCH(I$1,floors!$1:$1,0)-MATCH($H$1,floors!$1:$1,0)+1),MATCH(I$1,floors!$1:$1,0)-MATCH($H$1,floors!$1:$1,0)+1,FALSE)</f>
        <v>60</v>
      </c>
      <c r="J7" s="127">
        <f ca="1">VLOOKUP($H7,OFFSET(floors!$A$1,0,0,COUNTA(floors!$A:$A),MATCH(J$1,floors!$1:$1,0)-MATCH($H$1,floors!$1:$1,0)+1),MATCH(J$1,floors!$1:$1,0)-MATCH($H$1,floors!$1:$1,0)+1,FALSE)</f>
        <v>60</v>
      </c>
      <c r="K7" s="115">
        <v>1</v>
      </c>
      <c r="L7" s="184">
        <v>1200</v>
      </c>
      <c r="M7" s="128" t="str">
        <f ca="1">VLOOKUP($L7,OFFSET([3]enemies!$A$1,0,0,COUNTA([3]enemies!$A:$A),MATCH(M$1,[3]enemies!$1:$1,0)-MATCH($L$1,[3]enemies!$1:$1,0)+1),MATCH(M$1,[3]enemies!$1:$1,0)-MATCH($L$1,[3]enemies!$1:$1,0)+1,FALSE)</f>
        <v>サイクロプス</v>
      </c>
      <c r="N7" s="128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28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28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28">
        <f ca="1">VLOOKUP($L7,OFFSET([3]enemies!$A$1,0,0,COUNTA([3]enemies!$A:$A),MATCH(Q$1,[3]enemies!$1:$1,0)-MATCH($L$1,[3]enemies!$1:$1,0)+1),MATCH(Q$1,[3]enemies!$1:$1,0)-MATCH($L$1,[3]enemies!$1:$1,0)+1,FALSE)</f>
        <v>30</v>
      </c>
      <c r="R7" s="129">
        <v>30</v>
      </c>
      <c r="S7" s="187">
        <v>2.4</v>
      </c>
      <c r="T7" s="13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88452</v>
      </c>
      <c r="U7" s="189">
        <v>1</v>
      </c>
      <c r="V7" s="13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2817</v>
      </c>
      <c r="W7" s="129">
        <v>0</v>
      </c>
      <c r="X7" s="138" t="str">
        <f ca="1">VLOOKUP($Y7,OFFSET(enemy_skill_sets!$B$1,0,0,COUNTA(enemy_skill_sets!$B:$B),MATCH(M$1,enemy_skill_sets!$1:$1,0)-MATCH($Y$1,enemy_skill_sets!$1:$1,0)+2),MATCH(M$1,enemy_skill_sets!$1:$1,0)-MATCH($Y$1,enemy_skill_sets!$1:$1,0)+2,FALSE)</f>
        <v>解除するまで味方全体の回復力100％DOWN</v>
      </c>
      <c r="Y7" s="191">
        <v>30044006</v>
      </c>
      <c r="Z7" s="131">
        <v>1</v>
      </c>
      <c r="AA7" s="131">
        <v>100</v>
      </c>
      <c r="AB7" s="196">
        <v>1</v>
      </c>
      <c r="AC7" s="197">
        <v>2</v>
      </c>
      <c r="AD7" s="198">
        <f t="shared" si="3"/>
        <v>1200</v>
      </c>
      <c r="AE7" s="127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7" s="127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127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10">
        <v>1</v>
      </c>
      <c r="AI7" s="132">
        <f t="shared" ca="1" si="4"/>
        <v>4</v>
      </c>
      <c r="AJ7" s="133">
        <v>20</v>
      </c>
      <c r="AK7" s="110">
        <v>0</v>
      </c>
      <c r="AL7" s="110">
        <v>0</v>
      </c>
      <c r="AM7" s="110">
        <v>0</v>
      </c>
      <c r="AN7" s="110">
        <v>0</v>
      </c>
      <c r="AO7" s="110">
        <v>1</v>
      </c>
      <c r="AP7" s="134">
        <v>1</v>
      </c>
    </row>
    <row r="8" spans="1:42" ht="21" customHeight="1" thickTop="1" x14ac:dyDescent="0.15">
      <c r="A8" s="106" t="str">
        <f>B8&amp;"_"&amp;C8&amp;"-"&amp;G8&amp;"/"&amp;L8&amp;"&lt;lv"&amp;R8&amp;"&gt;s"&amp;AC8</f>
        <v>30044_2-1/1200&lt;lv40&gt;s1</v>
      </c>
      <c r="B8" s="21">
        <v>30044</v>
      </c>
      <c r="C8" s="108">
        <v>2</v>
      </c>
      <c r="D8" s="15" t="str">
        <f>B8&amp;"_"&amp;C8</f>
        <v>30044_2</v>
      </c>
      <c r="E8" s="4" t="str">
        <f ca="1">VLOOKUP($B8,OFFSET([2]quests!$A$1,0,0,COUNTA([2]quests!$A:$A),MATCH(E$1,[2]quests!$1:$1,0)-MATCH($B$1,[2]quests!$1:$1,0)+1),MATCH(E$1,[2]quests!$1:$1,0)-MATCH($B$1,[2]quests!$1:$1,0)+1,FALSE)</f>
        <v>冷酷なる遂行者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【上級】冷酷なる遂行者</v>
      </c>
      <c r="G8" s="108">
        <v>1</v>
      </c>
      <c r="H8" s="15" t="str">
        <f>B8&amp;"_"&amp;C8&amp;"-"&amp;G8</f>
        <v>30044_2-1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6" t="s">
        <v>53</v>
      </c>
      <c r="L8" s="183">
        <v>1200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サイクロプス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186">
        <v>2.6</v>
      </c>
      <c r="T8" s="9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126243</v>
      </c>
      <c r="U8" s="186">
        <v>0.8</v>
      </c>
      <c r="V8" s="9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2969.6000000000004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目標を捕捉……任務開始</v>
      </c>
      <c r="Y8" s="190">
        <v>30044001</v>
      </c>
      <c r="Z8" s="194">
        <v>1</v>
      </c>
      <c r="AA8" s="194">
        <v>100</v>
      </c>
      <c r="AB8" s="193">
        <v>1</v>
      </c>
      <c r="AC8" s="135">
        <v>1</v>
      </c>
      <c r="AD8" s="195">
        <f>L8</f>
        <v>1200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107">
        <v>1</v>
      </c>
      <c r="AI8" s="124">
        <f ca="1">AF8</f>
        <v>4</v>
      </c>
      <c r="AJ8" s="8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1</v>
      </c>
      <c r="AP8" s="67">
        <v>1</v>
      </c>
    </row>
    <row r="9" spans="1:42" ht="21" customHeight="1" x14ac:dyDescent="0.15">
      <c r="A9" s="106" t="str">
        <f t="shared" ref="A9:A13" si="5">B9&amp;"_"&amp;C9&amp;"-"&amp;G9&amp;"/"&amp;L9&amp;"&lt;lv"&amp;R9&amp;"&gt;s"&amp;AC9</f>
        <v>30044_2-2/406&lt;lv40&gt;s2</v>
      </c>
      <c r="B9" s="21">
        <v>30044</v>
      </c>
      <c r="C9" s="108">
        <v>2</v>
      </c>
      <c r="D9" s="15" t="str">
        <f t="shared" ref="D9:D13" si="6">B9&amp;"_"&amp;C9</f>
        <v>30044_2</v>
      </c>
      <c r="E9" s="4" t="str">
        <f ca="1">VLOOKUP($B9,OFFSET([2]quests!$A$1,0,0,COUNTA([2]quests!$A:$A),MATCH(E$1,[2]quests!$1:$1,0)-MATCH($B$1,[2]quests!$1:$1,0)+1),MATCH(E$1,[2]quests!$1:$1,0)-MATCH($B$1,[2]quests!$1:$1,0)+1,FALSE)</f>
        <v>冷酷なる遂行者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【上級】冷酷なる遂行者</v>
      </c>
      <c r="G9" s="108">
        <v>2</v>
      </c>
      <c r="H9" s="15" t="str">
        <f t="shared" ref="H9:H13" si="7">B9&amp;"_"&amp;C9&amp;"-"&amp;G9</f>
        <v>30044_2-2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 t="s">
        <v>53</v>
      </c>
      <c r="L9" s="125">
        <v>406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美笑の蒼蛇 エキドナ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40</v>
      </c>
      <c r="S9" s="186">
        <v>1.7</v>
      </c>
      <c r="T9" s="9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82543.5</v>
      </c>
      <c r="U9" s="186">
        <v>0.7</v>
      </c>
      <c r="V9" s="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2858.1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解除するまで味方全体の回復力70％DOWN</v>
      </c>
      <c r="Y9" s="224">
        <v>30044008</v>
      </c>
      <c r="Z9" s="6">
        <v>1</v>
      </c>
      <c r="AA9" s="6">
        <v>100</v>
      </c>
      <c r="AB9" s="193">
        <v>1</v>
      </c>
      <c r="AC9" s="135">
        <v>2</v>
      </c>
      <c r="AD9" s="124">
        <f t="shared" ref="AD9:AD13" si="8">L9</f>
        <v>406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美笑の蒼蛇 エキドナ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107">
        <v>1</v>
      </c>
      <c r="AI9" s="124">
        <f t="shared" ref="AI9:AI13" ca="1" si="9">AF9</f>
        <v>4</v>
      </c>
      <c r="AJ9" s="8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1</v>
      </c>
      <c r="AP9" s="67">
        <v>1</v>
      </c>
    </row>
    <row r="10" spans="1:42" ht="21" customHeight="1" x14ac:dyDescent="0.15">
      <c r="A10" s="106" t="str">
        <f t="shared" si="5"/>
        <v>30044_2-2/18&lt;lv40&gt;s1</v>
      </c>
      <c r="B10" s="21">
        <v>30044</v>
      </c>
      <c r="C10" s="108">
        <v>2</v>
      </c>
      <c r="D10" s="15" t="str">
        <f t="shared" si="6"/>
        <v>30044_2</v>
      </c>
      <c r="E10" s="4" t="str">
        <f ca="1">VLOOKUP($B10,OFFSET([2]quests!$A$1,0,0,COUNTA([2]quests!$A:$A),MATCH(E$1,[2]quests!$1:$1,0)-MATCH($B$1,[2]quests!$1:$1,0)+1),MATCH(E$1,[2]quests!$1:$1,0)-MATCH($B$1,[2]quests!$1:$1,0)+1,FALSE)</f>
        <v>冷酷なる遂行者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【上級】冷酷なる遂行者</v>
      </c>
      <c r="G10" s="108">
        <v>2</v>
      </c>
      <c r="H10" s="15" t="str">
        <f t="shared" si="7"/>
        <v>30044_2-2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6" t="s">
        <v>53</v>
      </c>
      <c r="L10" s="125">
        <v>18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戦闘案内人 リム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186">
        <v>1.9</v>
      </c>
      <c r="T10" s="9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14823.8</v>
      </c>
      <c r="U10" s="186">
        <v>0.6</v>
      </c>
      <c r="V10" s="9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1449.6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0" s="190">
        <v>30044003</v>
      </c>
      <c r="Z10" s="6">
        <v>2</v>
      </c>
      <c r="AA10" s="6">
        <v>100</v>
      </c>
      <c r="AB10" s="193">
        <v>0</v>
      </c>
      <c r="AC10" s="135">
        <v>1</v>
      </c>
      <c r="AD10" s="124">
        <f t="shared" si="8"/>
        <v>18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Drop1W</v>
      </c>
      <c r="AH10" s="107">
        <v>1</v>
      </c>
      <c r="AI10" s="124">
        <f t="shared" ca="1" si="9"/>
        <v>2</v>
      </c>
      <c r="AJ10" s="8">
        <v>15</v>
      </c>
      <c r="AK10" s="107">
        <v>0</v>
      </c>
      <c r="AL10" s="107">
        <v>0</v>
      </c>
      <c r="AM10" s="107">
        <v>0</v>
      </c>
      <c r="AN10" s="107">
        <v>0</v>
      </c>
      <c r="AO10" s="107">
        <v>1</v>
      </c>
      <c r="AP10" s="67">
        <v>1</v>
      </c>
    </row>
    <row r="11" spans="1:42" ht="21" customHeight="1" x14ac:dyDescent="0.15">
      <c r="A11" s="106" t="str">
        <f t="shared" si="5"/>
        <v>30044_2-3/374&lt;lv40&gt;s1</v>
      </c>
      <c r="B11" s="21">
        <v>30044</v>
      </c>
      <c r="C11" s="108">
        <v>2</v>
      </c>
      <c r="D11" s="15" t="str">
        <f t="shared" si="6"/>
        <v>30044_2</v>
      </c>
      <c r="E11" s="4" t="str">
        <f ca="1">VLOOKUP($B11,OFFSET([2]quests!$A$1,0,0,COUNTA([2]quests!$A:$A),MATCH(E$1,[2]quests!$1:$1,0)-MATCH($B$1,[2]quests!$1:$1,0)+1),MATCH(E$1,[2]quests!$1:$1,0)-MATCH($B$1,[2]quests!$1:$1,0)+1,FALSE)</f>
        <v>冷酷なる遂行者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【上級】冷酷なる遂行者</v>
      </c>
      <c r="G11" s="108">
        <v>3</v>
      </c>
      <c r="H11" s="15" t="str">
        <f t="shared" si="7"/>
        <v>30044_2-3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 t="s">
        <v>53</v>
      </c>
      <c r="L11" s="125">
        <v>374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影丸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40</v>
      </c>
      <c r="S11" s="186">
        <v>1.9</v>
      </c>
      <c r="T11" s="9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14193</v>
      </c>
      <c r="U11" s="186">
        <v>1</v>
      </c>
      <c r="V11" s="9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2416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1" s="190">
        <v>30044004</v>
      </c>
      <c r="Z11" s="6">
        <v>2</v>
      </c>
      <c r="AA11" s="6">
        <v>100</v>
      </c>
      <c r="AB11" s="193">
        <v>1</v>
      </c>
      <c r="AC11" s="135">
        <v>1</v>
      </c>
      <c r="AD11" s="124">
        <f t="shared" si="8"/>
        <v>374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影丸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107">
        <v>1</v>
      </c>
      <c r="AI11" s="124">
        <f t="shared" ca="1" si="9"/>
        <v>2</v>
      </c>
      <c r="AJ11" s="8">
        <v>15</v>
      </c>
      <c r="AK11" s="107">
        <v>0</v>
      </c>
      <c r="AL11" s="107">
        <v>0</v>
      </c>
      <c r="AM11" s="107">
        <v>0</v>
      </c>
      <c r="AN11" s="107">
        <v>0</v>
      </c>
      <c r="AO11" s="107">
        <v>1</v>
      </c>
      <c r="AP11" s="67">
        <v>1</v>
      </c>
    </row>
    <row r="12" spans="1:42" ht="21" customHeight="1" x14ac:dyDescent="0.15">
      <c r="A12" s="106" t="str">
        <f t="shared" si="5"/>
        <v>30044_2-3/29&lt;lv40&gt;s2</v>
      </c>
      <c r="B12" s="21">
        <v>30044</v>
      </c>
      <c r="C12" s="108">
        <v>2</v>
      </c>
      <c r="D12" s="15" t="str">
        <f t="shared" si="6"/>
        <v>30044_2</v>
      </c>
      <c r="E12" s="4" t="str">
        <f ca="1">VLOOKUP($B12,OFFSET([2]quests!$A$1,0,0,COUNTA([2]quests!$A:$A),MATCH(E$1,[2]quests!$1:$1,0)-MATCH($B$1,[2]quests!$1:$1,0)+1),MATCH(E$1,[2]quests!$1:$1,0)-MATCH($B$1,[2]quests!$1:$1,0)+1,FALSE)</f>
        <v>冷酷なる遂行者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【上級】冷酷なる遂行者</v>
      </c>
      <c r="G12" s="108">
        <v>3</v>
      </c>
      <c r="H12" s="15" t="str">
        <f t="shared" si="7"/>
        <v>30044_2-3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6" t="s">
        <v>53</v>
      </c>
      <c r="L12" s="125">
        <v>29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スケアクロウ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40</v>
      </c>
      <c r="S12" s="186">
        <v>1.8</v>
      </c>
      <c r="T12" s="9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11952</v>
      </c>
      <c r="U12" s="186">
        <v>0.9</v>
      </c>
      <c r="V12" s="9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1712.7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2" s="190">
        <v>30044005</v>
      </c>
      <c r="Z12" s="6">
        <v>2</v>
      </c>
      <c r="AA12" s="6">
        <v>100</v>
      </c>
      <c r="AB12" s="193">
        <v>0</v>
      </c>
      <c r="AC12" s="135">
        <v>2</v>
      </c>
      <c r="AD12" s="124">
        <f t="shared" si="8"/>
        <v>29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スケアクロウ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107">
        <v>1</v>
      </c>
      <c r="AI12" s="124">
        <f t="shared" ca="1" si="9"/>
        <v>1</v>
      </c>
      <c r="AJ12" s="8">
        <v>15</v>
      </c>
      <c r="AK12" s="107">
        <v>0</v>
      </c>
      <c r="AL12" s="107">
        <v>0</v>
      </c>
      <c r="AM12" s="107">
        <v>0</v>
      </c>
      <c r="AN12" s="107">
        <v>0</v>
      </c>
      <c r="AO12" s="107">
        <v>1</v>
      </c>
      <c r="AP12" s="67">
        <v>1</v>
      </c>
    </row>
    <row r="13" spans="1:42" ht="21" customHeight="1" thickBot="1" x14ac:dyDescent="0.2">
      <c r="A13" s="109" t="str">
        <f t="shared" si="5"/>
        <v>30044_2-4/1200&lt;lv40&gt;s2</v>
      </c>
      <c r="B13" s="126">
        <v>30044</v>
      </c>
      <c r="C13" s="112">
        <v>2</v>
      </c>
      <c r="D13" s="114" t="str">
        <f t="shared" si="6"/>
        <v>30044_2</v>
      </c>
      <c r="E13" s="127" t="str">
        <f ca="1">VLOOKUP($B13,OFFSET([2]quests!$A$1,0,0,COUNTA([2]quests!$A:$A),MATCH(E$1,[2]quests!$1:$1,0)-MATCH($B$1,[2]quests!$1:$1,0)+1),MATCH(E$1,[2]quests!$1:$1,0)-MATCH($B$1,[2]quests!$1:$1,0)+1,FALSE)</f>
        <v>冷酷なる遂行者</v>
      </c>
      <c r="F13" s="127" t="str">
        <f ca="1">VLOOKUP($D13,OFFSET([2]stages!$A$1,0,0,COUNTA([2]stages!$A:$A),MATCH(F$1,[2]stages!$2:$2,0)-MATCH($D$1,[2]stages!$2:$2,0)+1),MATCH(F$1,[2]stages!$2:$2,0)-MATCH($D$1,[2]stages!$2:$2,0)+1,FALSE)</f>
        <v>【上級】冷酷なる遂行者</v>
      </c>
      <c r="G13" s="112">
        <v>4</v>
      </c>
      <c r="H13" s="114" t="str">
        <f t="shared" si="7"/>
        <v>30044_2-4</v>
      </c>
      <c r="I13" s="127">
        <f ca="1">VLOOKUP($H13,OFFSET(floors!$A$1,0,0,COUNTA(floors!$A:$A),MATCH(I$1,floors!$1:$1,0)-MATCH($H$1,floors!$1:$1,0)+1),MATCH(I$1,floors!$1:$1,0)-MATCH($H$1,floors!$1:$1,0)+1,FALSE)</f>
        <v>60</v>
      </c>
      <c r="J13" s="127">
        <f ca="1">VLOOKUP($H13,OFFSET(floors!$A$1,0,0,COUNTA(floors!$A:$A),MATCH(J$1,floors!$1:$1,0)-MATCH($H$1,floors!$1:$1,0)+1),MATCH(J$1,floors!$1:$1,0)-MATCH($H$1,floors!$1:$1,0)+1,FALSE)</f>
        <v>60</v>
      </c>
      <c r="K13" s="115">
        <v>2</v>
      </c>
      <c r="L13" s="184">
        <v>1200</v>
      </c>
      <c r="M13" s="128" t="str">
        <f ca="1">VLOOKUP($L13,OFFSET([3]enemies!$A$1,0,0,COUNTA([3]enemies!$A:$A),MATCH(M$1,[3]enemies!$1:$1,0)-MATCH($L$1,[3]enemies!$1:$1,0)+1),MATCH(M$1,[3]enemies!$1:$1,0)-MATCH($L$1,[3]enemies!$1:$1,0)+1,FALSE)</f>
        <v>サイクロプス</v>
      </c>
      <c r="N13" s="128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28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28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28">
        <f ca="1">VLOOKUP($L13,OFFSET([3]enemies!$A$1,0,0,COUNTA([3]enemies!$A:$A),MATCH(Q$1,[3]enemies!$1:$1,0)-MATCH($L$1,[3]enemies!$1:$1,0)+1),MATCH(Q$1,[3]enemies!$1:$1,0)-MATCH($L$1,[3]enemies!$1:$1,0)+1,FALSE)</f>
        <v>30</v>
      </c>
      <c r="R13" s="129">
        <v>40</v>
      </c>
      <c r="S13" s="187">
        <v>2.4</v>
      </c>
      <c r="T13" s="130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116532</v>
      </c>
      <c r="U13" s="189">
        <v>1</v>
      </c>
      <c r="V13" s="130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3712</v>
      </c>
      <c r="W13" s="129">
        <v>0</v>
      </c>
      <c r="X13" s="138" t="str">
        <f ca="1">VLOOKUP($Y13,OFFSET(enemy_skill_sets!$B$1,0,0,COUNTA(enemy_skill_sets!$B:$B),MATCH(M$1,enemy_skill_sets!$1:$1,0)-MATCH($Y$1,enemy_skill_sets!$1:$1,0)+2),MATCH(M$1,enemy_skill_sets!$1:$1,0)-MATCH($Y$1,enemy_skill_sets!$1:$1,0)+2,FALSE)</f>
        <v>解除するまで味方全体の回復力100％DOWN</v>
      </c>
      <c r="Y13" s="191">
        <v>30044006</v>
      </c>
      <c r="Z13" s="131">
        <v>1</v>
      </c>
      <c r="AA13" s="131">
        <v>100</v>
      </c>
      <c r="AB13" s="196">
        <v>1</v>
      </c>
      <c r="AC13" s="197">
        <v>2</v>
      </c>
      <c r="AD13" s="132">
        <f t="shared" si="8"/>
        <v>1200</v>
      </c>
      <c r="AE13" s="127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13" s="127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127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110">
        <v>1</v>
      </c>
      <c r="AI13" s="132">
        <f t="shared" ca="1" si="9"/>
        <v>4</v>
      </c>
      <c r="AJ13" s="133">
        <v>50</v>
      </c>
      <c r="AK13" s="110">
        <v>0</v>
      </c>
      <c r="AL13" s="110">
        <v>0</v>
      </c>
      <c r="AM13" s="110">
        <v>0</v>
      </c>
      <c r="AN13" s="110">
        <v>0</v>
      </c>
      <c r="AO13" s="110">
        <v>1</v>
      </c>
      <c r="AP13" s="134">
        <v>1</v>
      </c>
    </row>
    <row r="14" spans="1:42" ht="21" customHeight="1" thickTop="1" x14ac:dyDescent="0.15">
      <c r="A14" s="106" t="str">
        <f>B14&amp;"_"&amp;C14&amp;"-"&amp;G14&amp;"/"&amp;L14&amp;"&lt;lv"&amp;R14&amp;"&gt;s"&amp;AC14</f>
        <v>30044_3-1/1200&lt;lv60&gt;s1</v>
      </c>
      <c r="B14" s="21">
        <v>30044</v>
      </c>
      <c r="C14" s="108">
        <v>3</v>
      </c>
      <c r="D14" s="15" t="str">
        <f>B14&amp;"_"&amp;C14</f>
        <v>30044_3</v>
      </c>
      <c r="E14" s="4" t="str">
        <f ca="1">VLOOKUP($B14,OFFSET([2]quests!$A$1,0,0,COUNTA([2]quests!$A:$A),MATCH(E$1,[2]quests!$1:$1,0)-MATCH($B$1,[2]quests!$1:$1,0)+1),MATCH(E$1,[2]quests!$1:$1,0)-MATCH($B$1,[2]quests!$1:$1,0)+1,FALSE)</f>
        <v>冷酷なる遂行者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【超級】冷酷なる遂行者</v>
      </c>
      <c r="G14" s="108">
        <v>1</v>
      </c>
      <c r="H14" s="15" t="str">
        <f>B14&amp;"_"&amp;C14&amp;"-"&amp;G14</f>
        <v>30044_3-1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36" t="s">
        <v>53</v>
      </c>
      <c r="L14" s="183">
        <v>1200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サイクロプス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188">
        <v>2.6</v>
      </c>
      <c r="T14" s="98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187083</v>
      </c>
      <c r="U14" s="188">
        <v>0.8</v>
      </c>
      <c r="V14" s="98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4400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目標を捕捉……任務開始</v>
      </c>
      <c r="Y14" s="137">
        <v>30044001</v>
      </c>
      <c r="Z14" s="194">
        <v>1</v>
      </c>
      <c r="AA14" s="194">
        <v>100</v>
      </c>
      <c r="AB14" s="194">
        <v>1</v>
      </c>
      <c r="AC14" s="135">
        <v>1</v>
      </c>
      <c r="AD14" s="124">
        <f>L14</f>
        <v>1200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Drop2N</v>
      </c>
      <c r="AH14" s="107">
        <v>1</v>
      </c>
      <c r="AI14" s="124">
        <f ca="1">AF14</f>
        <v>4</v>
      </c>
      <c r="AJ14" s="8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1</v>
      </c>
      <c r="AP14" s="67">
        <v>1</v>
      </c>
    </row>
    <row r="15" spans="1:42" ht="21" customHeight="1" x14ac:dyDescent="0.15">
      <c r="A15" s="106" t="str">
        <f t="shared" ref="A15:A19" si="10">B15&amp;"_"&amp;C15&amp;"-"&amp;G15&amp;"/"&amp;L15&amp;"&lt;lv"&amp;R15&amp;"&gt;s"&amp;AC15</f>
        <v>30044_3-2/406&lt;lv60&gt;s2</v>
      </c>
      <c r="B15" s="21">
        <v>30044</v>
      </c>
      <c r="C15" s="108">
        <v>3</v>
      </c>
      <c r="D15" s="15" t="str">
        <f t="shared" ref="D15:D19" si="11">B15&amp;"_"&amp;C15</f>
        <v>30044_3</v>
      </c>
      <c r="E15" s="4" t="str">
        <f ca="1">VLOOKUP($B15,OFFSET([2]quests!$A$1,0,0,COUNTA([2]quests!$A:$A),MATCH(E$1,[2]quests!$1:$1,0)-MATCH($B$1,[2]quests!$1:$1,0)+1),MATCH(E$1,[2]quests!$1:$1,0)-MATCH($B$1,[2]quests!$1:$1,0)+1,FALSE)</f>
        <v>冷酷なる遂行者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【超級】冷酷なる遂行者</v>
      </c>
      <c r="G15" s="108">
        <v>2</v>
      </c>
      <c r="H15" s="15" t="str">
        <f t="shared" ref="H15:H19" si="12">B15&amp;"_"&amp;C15&amp;"-"&amp;G15</f>
        <v>30044_3-2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6" t="s">
        <v>53</v>
      </c>
      <c r="L15" s="125">
        <v>406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美笑の蒼蛇 エキドナ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3">
        <v>1.7</v>
      </c>
      <c r="T15" s="98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122323.5</v>
      </c>
      <c r="U15" s="23">
        <v>0.7</v>
      </c>
      <c r="V15" s="98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4235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解除するまで味方全体の回復力100％DOWN</v>
      </c>
      <c r="Y15" s="137">
        <v>30044002</v>
      </c>
      <c r="Z15" s="6">
        <v>1</v>
      </c>
      <c r="AA15" s="6">
        <v>100</v>
      </c>
      <c r="AB15" s="6">
        <v>1</v>
      </c>
      <c r="AC15" s="135">
        <v>2</v>
      </c>
      <c r="AD15" s="124">
        <f t="shared" ref="AD15:AD19" si="13">L15</f>
        <v>406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美笑の蒼蛇 エキドナ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107">
        <v>1</v>
      </c>
      <c r="AI15" s="124">
        <f t="shared" ref="AI15:AI19" ca="1" si="14">AF15</f>
        <v>4</v>
      </c>
      <c r="AJ15" s="8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1</v>
      </c>
      <c r="AP15" s="67">
        <v>1</v>
      </c>
    </row>
    <row r="16" spans="1:42" ht="21" customHeight="1" x14ac:dyDescent="0.15">
      <c r="A16" s="106" t="str">
        <f t="shared" si="10"/>
        <v>30044_3-2/18&lt;lv60&gt;s1</v>
      </c>
      <c r="B16" s="21">
        <v>30044</v>
      </c>
      <c r="C16" s="108">
        <v>3</v>
      </c>
      <c r="D16" s="15" t="str">
        <f t="shared" si="11"/>
        <v>30044_3</v>
      </c>
      <c r="E16" s="4" t="str">
        <f ca="1">VLOOKUP($B16,OFFSET([2]quests!$A$1,0,0,COUNTA([2]quests!$A:$A),MATCH(E$1,[2]quests!$1:$1,0)-MATCH($B$1,[2]quests!$1:$1,0)+1),MATCH(E$1,[2]quests!$1:$1,0)-MATCH($B$1,[2]quests!$1:$1,0)+1,FALSE)</f>
        <v>冷酷なる遂行者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【超級】冷酷なる遂行者</v>
      </c>
      <c r="G16" s="108">
        <v>2</v>
      </c>
      <c r="H16" s="15" t="str">
        <f t="shared" si="12"/>
        <v>30044_3-2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6" t="s">
        <v>53</v>
      </c>
      <c r="L16" s="125">
        <v>18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戦闘案内人 リム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60</v>
      </c>
      <c r="S16" s="23">
        <v>1.9</v>
      </c>
      <c r="T16" s="98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21967.8</v>
      </c>
      <c r="U16" s="23">
        <v>0.6</v>
      </c>
      <c r="V16" s="98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2148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6" s="137">
        <v>30044003</v>
      </c>
      <c r="Z16" s="6">
        <v>2</v>
      </c>
      <c r="AA16" s="6">
        <v>100</v>
      </c>
      <c r="AB16" s="6">
        <v>0</v>
      </c>
      <c r="AC16" s="135">
        <v>1</v>
      </c>
      <c r="AD16" s="124">
        <f t="shared" si="13"/>
        <v>18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Drop1W</v>
      </c>
      <c r="AH16" s="107">
        <v>1</v>
      </c>
      <c r="AI16" s="124">
        <f t="shared" ca="1" si="14"/>
        <v>2</v>
      </c>
      <c r="AJ16" s="8">
        <v>20</v>
      </c>
      <c r="AK16" s="107">
        <v>0</v>
      </c>
      <c r="AL16" s="107">
        <v>0</v>
      </c>
      <c r="AM16" s="107">
        <v>0</v>
      </c>
      <c r="AN16" s="107">
        <v>0</v>
      </c>
      <c r="AO16" s="107">
        <v>1</v>
      </c>
      <c r="AP16" s="67">
        <v>1</v>
      </c>
    </row>
    <row r="17" spans="1:42" ht="21" customHeight="1" x14ac:dyDescent="0.15">
      <c r="A17" s="106" t="str">
        <f t="shared" si="10"/>
        <v>30044_3-3/374&lt;lv60&gt;s1</v>
      </c>
      <c r="B17" s="21">
        <v>30044</v>
      </c>
      <c r="C17" s="108">
        <v>3</v>
      </c>
      <c r="D17" s="15" t="str">
        <f t="shared" si="11"/>
        <v>30044_3</v>
      </c>
      <c r="E17" s="4" t="str">
        <f ca="1">VLOOKUP($B17,OFFSET([2]quests!$A$1,0,0,COUNTA([2]quests!$A:$A),MATCH(E$1,[2]quests!$1:$1,0)-MATCH($B$1,[2]quests!$1:$1,0)+1),MATCH(E$1,[2]quests!$1:$1,0)-MATCH($B$1,[2]quests!$1:$1,0)+1,FALSE)</f>
        <v>冷酷なる遂行者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【超級】冷酷なる遂行者</v>
      </c>
      <c r="G17" s="108">
        <v>3</v>
      </c>
      <c r="H17" s="15" t="str">
        <f t="shared" si="12"/>
        <v>30044_3-3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6" t="s">
        <v>53</v>
      </c>
      <c r="L17" s="125">
        <v>374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影丸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60</v>
      </c>
      <c r="S17" s="23">
        <v>1.9</v>
      </c>
      <c r="T17" s="98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21033</v>
      </c>
      <c r="U17" s="23">
        <v>1</v>
      </c>
      <c r="V17" s="98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3580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17" s="137">
        <v>30044004</v>
      </c>
      <c r="Z17" s="6">
        <v>2</v>
      </c>
      <c r="AA17" s="6">
        <v>100</v>
      </c>
      <c r="AB17" s="6">
        <v>1</v>
      </c>
      <c r="AC17" s="135">
        <v>1</v>
      </c>
      <c r="AD17" s="124">
        <f t="shared" si="13"/>
        <v>374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影丸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Drop1S</v>
      </c>
      <c r="AH17" s="107">
        <v>1</v>
      </c>
      <c r="AI17" s="124">
        <f t="shared" ca="1" si="14"/>
        <v>2</v>
      </c>
      <c r="AJ17" s="8">
        <v>20</v>
      </c>
      <c r="AK17" s="107">
        <v>0</v>
      </c>
      <c r="AL17" s="107">
        <v>0</v>
      </c>
      <c r="AM17" s="107">
        <v>0</v>
      </c>
      <c r="AN17" s="107">
        <v>0</v>
      </c>
      <c r="AO17" s="107">
        <v>1</v>
      </c>
      <c r="AP17" s="67">
        <v>1</v>
      </c>
    </row>
    <row r="18" spans="1:42" ht="21" customHeight="1" x14ac:dyDescent="0.15">
      <c r="A18" s="106" t="str">
        <f t="shared" si="10"/>
        <v>30044_3-3/29&lt;lv60&gt;s2</v>
      </c>
      <c r="B18" s="21">
        <v>30044</v>
      </c>
      <c r="C18" s="108">
        <v>3</v>
      </c>
      <c r="D18" s="15" t="str">
        <f t="shared" si="11"/>
        <v>30044_3</v>
      </c>
      <c r="E18" s="4" t="str">
        <f ca="1">VLOOKUP($B18,OFFSET([2]quests!$A$1,0,0,COUNTA([2]quests!$A:$A),MATCH(E$1,[2]quests!$1:$1,0)-MATCH($B$1,[2]quests!$1:$1,0)+1),MATCH(E$1,[2]quests!$1:$1,0)-MATCH($B$1,[2]quests!$1:$1,0)+1,FALSE)</f>
        <v>冷酷なる遂行者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【超級】冷酷なる遂行者</v>
      </c>
      <c r="G18" s="108">
        <v>3</v>
      </c>
      <c r="H18" s="15" t="str">
        <f t="shared" si="12"/>
        <v>30044_3-3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6" t="s">
        <v>53</v>
      </c>
      <c r="L18" s="125">
        <v>29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スケアクロウ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60</v>
      </c>
      <c r="S18" s="23">
        <v>1.8</v>
      </c>
      <c r="T18" s="98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17712</v>
      </c>
      <c r="U18" s="23">
        <v>0.9</v>
      </c>
      <c r="V18" s="98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2538.9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8" s="137">
        <v>30044005</v>
      </c>
      <c r="Z18" s="6">
        <v>2</v>
      </c>
      <c r="AA18" s="6">
        <v>100</v>
      </c>
      <c r="AB18" s="6">
        <v>0</v>
      </c>
      <c r="AC18" s="135">
        <v>2</v>
      </c>
      <c r="AD18" s="124">
        <f t="shared" si="13"/>
        <v>29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スケアクロウ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1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Drop1N</v>
      </c>
      <c r="AH18" s="107">
        <v>1</v>
      </c>
      <c r="AI18" s="124">
        <f t="shared" ca="1" si="14"/>
        <v>1</v>
      </c>
      <c r="AJ18" s="8">
        <v>20</v>
      </c>
      <c r="AK18" s="107">
        <v>0</v>
      </c>
      <c r="AL18" s="107">
        <v>0</v>
      </c>
      <c r="AM18" s="107">
        <v>0</v>
      </c>
      <c r="AN18" s="107">
        <v>0</v>
      </c>
      <c r="AO18" s="107">
        <v>1</v>
      </c>
      <c r="AP18" s="67">
        <v>1</v>
      </c>
    </row>
    <row r="19" spans="1:42" ht="21" customHeight="1" thickBot="1" x14ac:dyDescent="0.2">
      <c r="A19" s="109" t="str">
        <f t="shared" si="10"/>
        <v>30044_3-4/1200&lt;lv60&gt;s2</v>
      </c>
      <c r="B19" s="139">
        <v>30044</v>
      </c>
      <c r="C19" s="108">
        <v>3</v>
      </c>
      <c r="D19" s="15" t="str">
        <f t="shared" si="11"/>
        <v>30044_3</v>
      </c>
      <c r="E19" s="140" t="str">
        <f ca="1">VLOOKUP($B19,OFFSET([2]quests!$A$1,0,0,COUNTA([2]quests!$A:$A),MATCH(E$1,[2]quests!$1:$1,0)-MATCH($B$1,[2]quests!$1:$1,0)+1),MATCH(E$1,[2]quests!$1:$1,0)-MATCH($B$1,[2]quests!$1:$1,0)+1,FALSE)</f>
        <v>冷酷なる遂行者</v>
      </c>
      <c r="F19" s="140" t="str">
        <f ca="1">VLOOKUP($D19,OFFSET([2]stages!$A$1,0,0,COUNTA([2]stages!$A:$A),MATCH(F$1,[2]stages!$2:$2,0)-MATCH($D$1,[2]stages!$2:$2,0)+1),MATCH(F$1,[2]stages!$2:$2,0)-MATCH($D$1,[2]stages!$2:$2,0)+1,FALSE)</f>
        <v>【超級】冷酷なる遂行者</v>
      </c>
      <c r="G19" s="108">
        <v>4</v>
      </c>
      <c r="H19" s="15" t="str">
        <f t="shared" si="12"/>
        <v>30044_3-4</v>
      </c>
      <c r="I19" s="140">
        <f ca="1">VLOOKUP($H19,OFFSET(floors!$A$1,0,0,COUNTA(floors!$A:$A),MATCH(I$1,floors!$1:$1,0)-MATCH($H$1,floors!$1:$1,0)+1),MATCH(I$1,floors!$1:$1,0)-MATCH($H$1,floors!$1:$1,0)+1,FALSE)</f>
        <v>60</v>
      </c>
      <c r="J19" s="140">
        <f ca="1">VLOOKUP($H19,OFFSET(floors!$A$1,0,0,COUNTA(floors!$A:$A),MATCH(J$1,floors!$1:$1,0)-MATCH($H$1,floors!$1:$1,0)+1),MATCH(J$1,floors!$1:$1,0)-MATCH($H$1,floors!$1:$1,0)+1,FALSE)</f>
        <v>60</v>
      </c>
      <c r="K19" s="36">
        <v>3</v>
      </c>
      <c r="L19" s="123">
        <v>1200</v>
      </c>
      <c r="M19" s="141" t="str">
        <f ca="1">VLOOKUP($L19,OFFSET([3]enemies!$A$1,0,0,COUNTA([3]enemies!$A:$A),MATCH(M$1,[3]enemies!$1:$1,0)-MATCH($L$1,[3]enemies!$1:$1,0)+1),MATCH(M$1,[3]enemies!$1:$1,0)-MATCH($L$1,[3]enemies!$1:$1,0)+1,FALSE)</f>
        <v>サイクロプス</v>
      </c>
      <c r="N19" s="141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41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41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41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60</v>
      </c>
      <c r="S19" s="23">
        <v>2.5</v>
      </c>
      <c r="T19" s="98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179887.5</v>
      </c>
      <c r="U19" s="23">
        <v>1</v>
      </c>
      <c r="V19" s="98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5500</v>
      </c>
      <c r="W19" s="5">
        <v>0</v>
      </c>
      <c r="X19" s="142" t="str">
        <f ca="1">VLOOKUP($Y19,OFFSET(enemy_skill_sets!$B$1,0,0,COUNTA(enemy_skill_sets!$B:$B),MATCH(M$1,enemy_skill_sets!$1:$1,0)-MATCH($Y$1,enemy_skill_sets!$1:$1,0)+2),MATCH(M$1,enemy_skill_sets!$1:$1,0)-MATCH($Y$1,enemy_skill_sets!$1:$1,0)+2,FALSE)</f>
        <v>解除するまで味方全体の回復力100％DOWN</v>
      </c>
      <c r="Y19" s="143">
        <v>30044006</v>
      </c>
      <c r="Z19" s="144">
        <v>1</v>
      </c>
      <c r="AA19" s="144">
        <v>100</v>
      </c>
      <c r="AB19" s="144">
        <v>1</v>
      </c>
      <c r="AC19" s="147">
        <v>2</v>
      </c>
      <c r="AD19" s="124">
        <f t="shared" si="13"/>
        <v>1200</v>
      </c>
      <c r="AE19" s="140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19" s="140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140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107">
        <v>1</v>
      </c>
      <c r="AI19" s="124">
        <f t="shared" ca="1" si="14"/>
        <v>4</v>
      </c>
      <c r="AJ19" s="145">
        <v>100</v>
      </c>
      <c r="AK19" s="107">
        <v>0</v>
      </c>
      <c r="AL19" s="107">
        <v>0</v>
      </c>
      <c r="AM19" s="107">
        <v>0</v>
      </c>
      <c r="AN19" s="107">
        <v>0</v>
      </c>
      <c r="AO19" s="107">
        <v>1</v>
      </c>
      <c r="AP19" s="67">
        <v>1</v>
      </c>
    </row>
    <row r="20" spans="1:42" ht="21" customHeight="1" thickTop="1" x14ac:dyDescent="0.15"/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2" sqref="U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7" t="s">
        <v>249</v>
      </c>
      <c r="V1" s="24" t="s">
        <v>50</v>
      </c>
      <c r="W1" s="97" t="s">
        <v>250</v>
      </c>
      <c r="X1" s="24" t="s">
        <v>52</v>
      </c>
      <c r="Y1" s="26" t="s">
        <v>129</v>
      </c>
      <c r="Z1" s="27" t="s">
        <v>128</v>
      </c>
      <c r="AA1" s="26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30044_1-4/1201&lt;lv30&gt;sq1st2</v>
      </c>
      <c r="B2" s="21">
        <v>30044</v>
      </c>
      <c r="C2" s="20">
        <v>1</v>
      </c>
      <c r="D2" s="2" t="str">
        <f>B2&amp;"_"&amp;C2</f>
        <v>30044_1</v>
      </c>
      <c r="E2" s="4" t="str">
        <f ca="1">VLOOKUP($B2,OFFSET([2]quests!$A$1,0,0,COUNTA([2]quests!$A:$A),MATCH(E$1,[2]quests!$1:$1,0)-MATCH($B$1,[2]quests!$1:$1,0)+1),MATCH(E$1,[2]quests!$1:$1,0)-MATCH($B$1,[2]quests!$1:$1,0)+1,FALSE)</f>
        <v>冷酷なる遂行者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【中級】冷酷なる遂行者</v>
      </c>
      <c r="G2" s="20">
        <v>4</v>
      </c>
      <c r="H2" s="15" t="str">
        <f>B2&amp;"_"&amp;C2&amp;"-"&amp;G2</f>
        <v>30044_1-4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48">
        <v>1201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器装の眼囚徒 サイクロプス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23">
        <v>2.5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120487.5</v>
      </c>
      <c r="V2" s="23">
        <v>0.8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2427.2000000000003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デルピュネー様のために…_x000D_なんとしてでも……！</v>
      </c>
      <c r="Z2" s="225">
        <v>30044009</v>
      </c>
      <c r="AA2" s="146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30044_2-4/1201&lt;lv40&gt;sq2st2</v>
      </c>
      <c r="B3" s="21">
        <v>30044</v>
      </c>
      <c r="C3" s="20">
        <v>2</v>
      </c>
      <c r="D3" s="2" t="str">
        <f>B3&amp;"_"&amp;C3</f>
        <v>30044_2</v>
      </c>
      <c r="E3" s="4" t="str">
        <f ca="1">VLOOKUP($B3,OFFSET([2]quests!$A$1,0,0,COUNTA([2]quests!$A:$A),MATCH(E$1,[2]quests!$1:$1,0)-MATCH($B$1,[2]quests!$1:$1,0)+1),MATCH(E$1,[2]quests!$1:$1,0)-MATCH($B$1,[2]quests!$1:$1,0)+1,FALSE)</f>
        <v>冷酷なる遂行者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【上級】冷酷なる遂行者</v>
      </c>
      <c r="G3" s="20">
        <v>4</v>
      </c>
      <c r="H3" s="15" t="str">
        <f>B3&amp;"_"&amp;C3&amp;"-"&amp;G3</f>
        <v>30044_2-4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148">
        <v>1201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器装の眼囚徒 サイクロプス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3">
        <v>2.5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158737.5</v>
      </c>
      <c r="V3" s="23">
        <v>0.8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3197.6000000000004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デルピュネー様のために…_x000D_なんとしてでも……！</v>
      </c>
      <c r="Z3" s="225">
        <v>30044009</v>
      </c>
      <c r="AA3" s="146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30044_3-4/1201&lt;lv60&gt;sq3st2</v>
      </c>
      <c r="B4" s="21">
        <v>30044</v>
      </c>
      <c r="C4" s="20">
        <v>3</v>
      </c>
      <c r="D4" s="2" t="str">
        <f>B4&amp;"_"&amp;C4</f>
        <v>30044_3</v>
      </c>
      <c r="E4" s="4" t="str">
        <f ca="1">VLOOKUP($B4,OFFSET([2]quests!$A$1,0,0,COUNTA([2]quests!$A:$A),MATCH(E$1,[2]quests!$1:$1,0)-MATCH($B$1,[2]quests!$1:$1,0)+1),MATCH(E$1,[2]quests!$1:$1,0)-MATCH($B$1,[2]quests!$1:$1,0)+1,FALSE)</f>
        <v>冷酷なる遂行者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【超級】冷酷なる遂行者</v>
      </c>
      <c r="G4" s="20">
        <v>4</v>
      </c>
      <c r="H4" s="15" t="str">
        <f>B4&amp;"_"&amp;C4&amp;"-"&amp;G4</f>
        <v>30044_3-4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3</v>
      </c>
      <c r="L4" s="36">
        <v>2</v>
      </c>
      <c r="M4" s="148">
        <v>1201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器装の眼囚徒 サイクロプス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3">
        <v>2.5</v>
      </c>
      <c r="U4" s="9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235237.5</v>
      </c>
      <c r="V4" s="23">
        <v>0.8</v>
      </c>
      <c r="W4" s="9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4738.4000000000005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3ターンSCパネル以外のCパネルを無効</v>
      </c>
      <c r="Z4" s="137">
        <v>30044007</v>
      </c>
      <c r="AA4" s="146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7" activePane="bottomRight" state="frozen"/>
      <selection pane="topRight"/>
      <selection pane="bottomLeft"/>
      <selection pane="bottomRight" activeCell="D26" sqref="D26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30044001_30044001</v>
      </c>
      <c r="B2" s="159">
        <v>30044001</v>
      </c>
      <c r="C2" s="45">
        <v>30044001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見つけた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目標を捕捉……任務開始</v>
      </c>
      <c r="F2" s="45">
        <v>30044001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23" si="1">B3&amp;"_"&amp;C3</f>
        <v>30044001_30044002</v>
      </c>
      <c r="B3" s="159">
        <v>30044001</v>
      </c>
      <c r="C3" s="45">
        <v>30044002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ダブル・サンクション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コスト31以上のユニット+_x000D_種族アニマル以外のユニットに大ダメージの全体攻撃</v>
      </c>
      <c r="F3" s="45">
        <v>30044002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thickBot="1" x14ac:dyDescent="0.2">
      <c r="A4" s="37" t="str">
        <f t="shared" si="1"/>
        <v>30044001_30044003</v>
      </c>
      <c r="B4" s="160">
        <v>30044001</v>
      </c>
      <c r="C4" s="45">
        <v>30044003</v>
      </c>
      <c r="D4" s="17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……</v>
      </c>
      <c r="E4" s="176" t="str">
        <f ca="1">VLOOKUP($C4,OFFSET(enemy_skills!$A$1,0,0,COUNTA(enemy_skills!$A:$A),MATCH(E$1,enemy_skills!$1:$1,0)-MATCH("enemy_skill_id",enemy_skills!$1:$1,0)+1),MATCH(E$1,enemy_skills!$1:$1,0)-MATCH("enemy_skill_id",enemy_skills!$1:$1,0)+1,FALSE)</f>
        <v>……一時撤退</v>
      </c>
      <c r="F4" s="45">
        <v>30044003</v>
      </c>
      <c r="G4" s="17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7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17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7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7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7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17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17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7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thickTop="1" x14ac:dyDescent="0.15">
      <c r="A5" s="37" t="str">
        <f t="shared" si="1"/>
        <v>30044002_30044004</v>
      </c>
      <c r="B5" s="220">
        <v>30044002</v>
      </c>
      <c r="C5" s="45">
        <v>30044004</v>
      </c>
      <c r="D5" s="17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あら　いらっしゃい</v>
      </c>
      <c r="E5" s="174" t="str">
        <f ca="1">VLOOKUP($C5,OFFSET(enemy_skills!$A$1,0,0,COUNTA(enemy_skills!$A:$A),MATCH(E$1,enemy_skills!$1:$1,0)-MATCH("enemy_skill_id",enemy_skills!$1:$1,0)+1),MATCH(E$1,enemy_skills!$1:$1,0)-MATCH("enemy_skill_id",enemy_skills!$1:$1,0)+1,FALSE)</f>
        <v>解除するまで味方全体の回復力100％DOWN</v>
      </c>
      <c r="F5" s="45">
        <v>30044004</v>
      </c>
      <c r="G5" s="17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7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17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7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7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7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7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7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7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30044002_30044005</v>
      </c>
      <c r="B6" s="45">
        <v>30044002</v>
      </c>
      <c r="C6" s="45">
        <v>30044005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くつろいでいってちょうだいね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6" s="45">
        <v>30044005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30044002_30044006</v>
      </c>
      <c r="B7" s="45">
        <v>30044002</v>
      </c>
      <c r="C7" s="45">
        <v>30044006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おかわりもあるわよ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7" s="45">
        <v>30044006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" s="45"/>
      <c r="Q7" s="45"/>
      <c r="R7" s="45"/>
    </row>
    <row r="8" spans="1:18" ht="21" customHeight="1" x14ac:dyDescent="0.15">
      <c r="A8" s="37" t="str">
        <f t="shared" si="1"/>
        <v>30044002_30044007</v>
      </c>
      <c r="B8" s="45">
        <v>30044002</v>
      </c>
      <c r="C8" s="45">
        <v>30044007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ふふ　痛いかしら？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" s="45">
        <v>30044007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5"/>
      <c r="Q8" s="45"/>
      <c r="R8" s="45"/>
    </row>
    <row r="9" spans="1:18" ht="21" customHeight="1" thickBot="1" x14ac:dyDescent="0.2">
      <c r="A9" s="37" t="str">
        <f t="shared" si="1"/>
        <v>30044002_30044008</v>
      </c>
      <c r="B9" s="150">
        <v>30044002</v>
      </c>
      <c r="C9" s="45">
        <v>30044008</v>
      </c>
      <c r="D9" s="17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これなんかどう？</v>
      </c>
      <c r="E9" s="17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" s="45">
        <v>30044008</v>
      </c>
      <c r="G9" s="17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7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17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9" s="17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7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7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17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7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7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9" s="45"/>
      <c r="Q9" s="45"/>
      <c r="R9" s="45"/>
    </row>
    <row r="10" spans="1:18" ht="21" customHeight="1" thickTop="1" x14ac:dyDescent="0.15">
      <c r="A10" s="37" t="str">
        <f t="shared" si="1"/>
        <v>30044003_30044009</v>
      </c>
      <c r="B10" s="161">
        <v>30044003</v>
      </c>
      <c r="C10" s="45">
        <v>30044009</v>
      </c>
      <c r="D10" s="17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パワード・アーム</v>
      </c>
      <c r="E10" s="17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5">
        <v>30044009</v>
      </c>
      <c r="G10" s="17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7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17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17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7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7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17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7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7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5"/>
      <c r="Q10" s="45"/>
      <c r="R10" s="45"/>
    </row>
    <row r="11" spans="1:18" ht="21" customHeight="1" x14ac:dyDescent="0.15">
      <c r="A11" s="37" t="str">
        <f t="shared" si="1"/>
        <v>30044004_30044010</v>
      </c>
      <c r="B11" s="45">
        <v>30044004</v>
      </c>
      <c r="C11" s="45">
        <v>30044010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ハヤブサの舞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1" s="45">
        <v>30044010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5"/>
      <c r="Q11" s="45"/>
      <c r="R11" s="45"/>
    </row>
    <row r="12" spans="1:18" ht="21" customHeight="1" thickBot="1" x14ac:dyDescent="0.2">
      <c r="A12" s="37" t="str">
        <f t="shared" si="1"/>
        <v>30044005_30044011</v>
      </c>
      <c r="B12" s="154">
        <v>30044005</v>
      </c>
      <c r="C12" s="45">
        <v>30044011</v>
      </c>
      <c r="D12" s="17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全方位射撃</v>
      </c>
      <c r="E12" s="17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45">
        <v>30044011</v>
      </c>
      <c r="G12" s="17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7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17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2" s="17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7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7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17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7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7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2" s="45"/>
      <c r="Q12" s="45"/>
      <c r="R12" s="45"/>
    </row>
    <row r="13" spans="1:18" ht="21" customHeight="1" thickTop="1" x14ac:dyDescent="0.15">
      <c r="A13" s="37" t="str">
        <f t="shared" si="1"/>
        <v>30044006_30044012</v>
      </c>
      <c r="B13" s="172">
        <v>30044006</v>
      </c>
      <c r="C13" s="45">
        <v>30044012</v>
      </c>
      <c r="D13" s="17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目標を再捕捉……_x000D_今度こそ仕留める</v>
      </c>
      <c r="E13" s="17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解除するまで味方全体の回復力100％DOWN</v>
      </c>
      <c r="F13" s="45">
        <v>30044012</v>
      </c>
      <c r="G13" s="17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7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17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7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7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7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7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7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7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1"/>
        <v>30044006_30044013</v>
      </c>
      <c r="B14" s="172">
        <v>30044006</v>
      </c>
      <c r="C14" s="45">
        <v>30044013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サイクロプス・アイ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" s="45">
        <v>30044013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23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23</v>
      </c>
      <c r="P14" s="45"/>
      <c r="Q14" s="45"/>
      <c r="R14" s="45"/>
    </row>
    <row r="15" spans="1:18" ht="21" customHeight="1" x14ac:dyDescent="0.15">
      <c r="A15" s="37" t="str">
        <f t="shared" si="1"/>
        <v>30044006_30044014</v>
      </c>
      <c r="B15" s="172">
        <v>30044006</v>
      </c>
      <c r="C15" s="45">
        <v>30044014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トリプルナイフ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" s="45">
        <v>30044014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5"/>
      <c r="Q15" s="45"/>
      <c r="R15" s="45"/>
    </row>
    <row r="16" spans="1:18" ht="21" customHeight="1" x14ac:dyDescent="0.15">
      <c r="A16" s="37" t="str">
        <f t="shared" si="1"/>
        <v>30044006_30044015</v>
      </c>
      <c r="B16" s="159">
        <v>30044006</v>
      </c>
      <c r="C16" s="45">
        <v>30044015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レーザーバレット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6" s="45">
        <v>30044015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6" s="45"/>
      <c r="Q16" s="45"/>
      <c r="R16" s="45"/>
    </row>
    <row r="17" spans="1:18" ht="21" customHeight="1" thickBot="1" x14ac:dyDescent="0.2">
      <c r="A17" s="37" t="str">
        <f t="shared" si="1"/>
        <v>30044006_30044016</v>
      </c>
      <c r="B17" s="160">
        <v>30044006</v>
      </c>
      <c r="C17" s="45">
        <v>30044016</v>
      </c>
      <c r="D17" s="17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仕方がない……強行手段だ</v>
      </c>
      <c r="E17" s="17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自身の攻撃頻度UP+自身の攻撃力UP</v>
      </c>
      <c r="F17" s="45">
        <v>30044016</v>
      </c>
      <c r="G17" s="17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7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17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7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17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7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17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7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7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thickTop="1" x14ac:dyDescent="0.15">
      <c r="A18" s="37" t="str">
        <f t="shared" si="1"/>
        <v>30044007_30044017</v>
      </c>
      <c r="B18" s="170">
        <v>30044007</v>
      </c>
      <c r="C18" s="45">
        <v>30044017</v>
      </c>
      <c r="D18" s="17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貴方のそのチカラ…_x000D_こちらに渡してもらう</v>
      </c>
      <c r="E18" s="17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3ターンSCパネル以外のCパネルを無効</v>
      </c>
      <c r="F18" s="45">
        <v>30044017</v>
      </c>
      <c r="G18" s="17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75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17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7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7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7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7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7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7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30044007_30044018</v>
      </c>
      <c r="B19" s="170">
        <v>30044007</v>
      </c>
      <c r="C19" s="45">
        <v>30044018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失敗は許されない……絶対に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3ターンSCパネル以外のCパネルを無効</v>
      </c>
      <c r="F19" s="45">
        <v>30044018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30044007_30044019</v>
      </c>
      <c r="B20" s="170">
        <v>30044007</v>
      </c>
      <c r="C20" s="45">
        <v>30044019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ポイズンナイフ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味方単体に5ターンウィルス</v>
      </c>
      <c r="F20" s="45">
        <v>30044019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0" s="45"/>
      <c r="Q20" s="45"/>
      <c r="R20" s="45"/>
    </row>
    <row r="21" spans="1:18" ht="21" customHeight="1" x14ac:dyDescent="0.15">
      <c r="A21" s="37" t="str">
        <f t="shared" si="1"/>
        <v>30044007_30044020</v>
      </c>
      <c r="B21" s="170">
        <v>30044007</v>
      </c>
      <c r="C21" s="45">
        <v>30044020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逃がしはしない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1" s="45">
        <v>30044020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42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42</v>
      </c>
      <c r="P21" s="45"/>
      <c r="Q21" s="45"/>
      <c r="R21" s="45"/>
    </row>
    <row r="22" spans="1:18" ht="21" customHeight="1" x14ac:dyDescent="0.15">
      <c r="A22" s="37" t="str">
        <f t="shared" si="1"/>
        <v>30044007_30044021</v>
      </c>
      <c r="B22" s="170">
        <v>30044007</v>
      </c>
      <c r="C22" s="45">
        <v>30044021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サイクロプス・アイ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" s="45">
        <v>30044021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2" s="45"/>
      <c r="Q22" s="45"/>
      <c r="R22" s="45"/>
    </row>
    <row r="23" spans="1:18" ht="21" customHeight="1" x14ac:dyDescent="0.15">
      <c r="A23" s="37" t="str">
        <f t="shared" si="1"/>
        <v>30044007_30044022</v>
      </c>
      <c r="B23" s="170">
        <v>30044007</v>
      </c>
      <c r="C23" s="45">
        <v>30044022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レーザーレイン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23" s="45">
        <v>30044022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ref="A24:A36" si="2">B24&amp;"_"&amp;C24</f>
        <v>30044007_30044023</v>
      </c>
      <c r="B24" s="170">
        <v>30044007</v>
      </c>
      <c r="C24" s="45">
        <v>30044023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命令は絶対……_x000D_それが私のすべて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24" s="45">
        <v>30044023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2"/>
        <v>30044007_30044024</v>
      </c>
      <c r="B25" s="170">
        <v>30044007</v>
      </c>
      <c r="C25" s="45">
        <v>30044024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レーザーレイン・インフィニティ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17回連続攻撃</v>
      </c>
      <c r="F25" s="45">
        <v>30044024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thickBot="1" x14ac:dyDescent="0.2">
      <c r="A26" s="37" t="str">
        <f t="shared" si="2"/>
        <v>30044007_30044025</v>
      </c>
      <c r="B26" s="201">
        <v>30044007</v>
      </c>
      <c r="C26" s="45">
        <v>30044025</v>
      </c>
      <c r="D26" s="17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任務……失敗……_x000D_そんな…バカな……</v>
      </c>
      <c r="E26" s="17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デルピュネー様…_x000D_申し訳…ありません…</v>
      </c>
      <c r="F26" s="45">
        <v>30044025</v>
      </c>
      <c r="G26" s="17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17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" s="17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7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7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7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" s="17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7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17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thickTop="1" x14ac:dyDescent="0.15">
      <c r="A27" s="37" t="str">
        <f t="shared" si="2"/>
        <v>30044008_30044026</v>
      </c>
      <c r="B27" s="215">
        <v>30044008</v>
      </c>
      <c r="C27" s="45">
        <v>30044026</v>
      </c>
      <c r="D27" s="17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あら　いらっしゃい</v>
      </c>
      <c r="E27" s="17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解除するまで味方全体の回復力70％DOWN</v>
      </c>
      <c r="F27" s="45">
        <v>30044026</v>
      </c>
      <c r="G27" s="17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17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17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7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7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7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17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7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17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2"/>
        <v>30044008_30044027</v>
      </c>
      <c r="B28" s="216">
        <v>30044008</v>
      </c>
      <c r="C28" s="45">
        <v>30044027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くつろいでいってちょうだいね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28" s="45">
        <v>30044027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2"/>
        <v>30044008_30044028</v>
      </c>
      <c r="B29" s="216">
        <v>30044008</v>
      </c>
      <c r="C29" s="45">
        <v>30044028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おかわりもあるわよ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29" s="45">
        <v>30044028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9" s="45"/>
      <c r="Q29" s="45"/>
      <c r="R29" s="45"/>
    </row>
    <row r="30" spans="1:18" ht="21" customHeight="1" x14ac:dyDescent="0.15">
      <c r="A30" s="37" t="str">
        <f t="shared" si="2"/>
        <v>30044008_30044029</v>
      </c>
      <c r="B30" s="216">
        <v>30044008</v>
      </c>
      <c r="C30" s="45">
        <v>30044029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ふふ　痛いかしら？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0" s="45">
        <v>30044029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5"/>
      <c r="Q30" s="45"/>
      <c r="R30" s="45"/>
    </row>
    <row r="31" spans="1:18" ht="21" customHeight="1" thickBot="1" x14ac:dyDescent="0.2">
      <c r="A31" s="37" t="str">
        <f t="shared" si="2"/>
        <v>30044008_30044030</v>
      </c>
      <c r="B31" s="222">
        <v>30044008</v>
      </c>
      <c r="C31" s="45">
        <v>30044030</v>
      </c>
      <c r="D31" s="17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これなんかどう？</v>
      </c>
      <c r="E31" s="17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1" s="45">
        <v>30044030</v>
      </c>
      <c r="G31" s="17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7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17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31" s="17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7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7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17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7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7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31" s="45"/>
      <c r="Q31" s="45"/>
      <c r="R31" s="45"/>
    </row>
    <row r="32" spans="1:18" ht="21" customHeight="1" thickTop="1" x14ac:dyDescent="0.15">
      <c r="A32" s="37" t="str">
        <f t="shared" si="2"/>
        <v>30044009_30044031</v>
      </c>
      <c r="B32" s="214">
        <v>30044009</v>
      </c>
      <c r="C32" s="45">
        <v>30044031</v>
      </c>
      <c r="D32" s="17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貴方のそのチカラ…_x000D_こちらに渡してもらう</v>
      </c>
      <c r="E32" s="17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デルピュネー様のために…_x000D_なんとしてでも……！</v>
      </c>
      <c r="F32" s="45">
        <v>30044031</v>
      </c>
      <c r="G32" s="17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17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17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75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7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7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17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7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7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2"/>
        <v>30044009_30044032</v>
      </c>
      <c r="B33" s="214">
        <v>30044009</v>
      </c>
      <c r="C33" s="45">
        <v>30044032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ポイズンナイフ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味方単体に5ターンウィルス</v>
      </c>
      <c r="F33" s="45">
        <v>30044032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3" s="45"/>
      <c r="Q33" s="45"/>
      <c r="R33" s="45"/>
    </row>
    <row r="34" spans="1:18" ht="21" customHeight="1" x14ac:dyDescent="0.15">
      <c r="A34" s="37" t="str">
        <f t="shared" si="2"/>
        <v>30044009_30044033</v>
      </c>
      <c r="B34" s="214">
        <v>30044009</v>
      </c>
      <c r="C34" s="45">
        <v>30044033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逃がしはしない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4" s="45">
        <v>30044033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42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42</v>
      </c>
      <c r="P34" s="45"/>
      <c r="Q34" s="45"/>
      <c r="R34" s="45"/>
    </row>
    <row r="35" spans="1:18" ht="21" customHeight="1" x14ac:dyDescent="0.15">
      <c r="A35" s="37" t="str">
        <f t="shared" si="2"/>
        <v>30044009_30044034</v>
      </c>
      <c r="B35" s="214">
        <v>30044009</v>
      </c>
      <c r="C35" s="45">
        <v>30044034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サイクロプス・アイ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5" s="45">
        <v>30044034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5" s="45"/>
      <c r="Q35" s="45"/>
      <c r="R35" s="45"/>
    </row>
    <row r="36" spans="1:18" ht="21" customHeight="1" x14ac:dyDescent="0.15">
      <c r="A36" s="37" t="str">
        <f t="shared" si="2"/>
        <v>30044009_30044035</v>
      </c>
      <c r="B36" s="214">
        <v>30044009</v>
      </c>
      <c r="C36" s="45">
        <v>30044035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レーザーレイン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36" s="45">
        <v>30044035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ht="21" customHeight="1" x14ac:dyDescent="0.15">
      <c r="A37" s="37" t="str">
        <f t="shared" ref="A37:A39" si="3">B37&amp;"_"&amp;C37</f>
        <v>30044009_30044036</v>
      </c>
      <c r="B37" s="214">
        <v>30044009</v>
      </c>
      <c r="C37" s="45">
        <v>30044036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命令は絶対……_x000D_それが私のすべて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37" s="45">
        <v>30044036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3"/>
        <v>30044009_30044037</v>
      </c>
      <c r="B38" s="214">
        <v>30044009</v>
      </c>
      <c r="C38" s="45">
        <v>30044037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レーザーレイン・インフィニティ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17回連続攻撃</v>
      </c>
      <c r="F38" s="45">
        <v>30044037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3"/>
        <v>30044009_30044038</v>
      </c>
      <c r="B39" s="214">
        <v>30044009</v>
      </c>
      <c r="C39" s="45">
        <v>30044038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任務…失敗……_x000D_そんな…バカな……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デルピュネー様…_x000D_申し訳…ありません…</v>
      </c>
      <c r="F39" s="45">
        <v>30044038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9"/>
  <sheetViews>
    <sheetView showGridLines="0" zoomScale="110" zoomScaleNormal="110" zoomScalePageLayoutView="110" workbookViewId="0">
      <pane ySplit="1" topLeftCell="A2" activePane="bottomLeft" state="frozenSplit"/>
      <selection pane="bottomLeft" activeCell="B3" sqref="B3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99.332031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4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132</v>
      </c>
      <c r="H1" s="39" t="s">
        <v>138</v>
      </c>
      <c r="I1" s="39" t="s">
        <v>140</v>
      </c>
      <c r="J1" s="39" t="s">
        <v>139</v>
      </c>
      <c r="K1" s="39" t="s">
        <v>141</v>
      </c>
      <c r="L1" s="39" t="s">
        <v>133</v>
      </c>
      <c r="M1" s="39" t="s">
        <v>131</v>
      </c>
      <c r="N1" s="39" t="s">
        <v>134</v>
      </c>
      <c r="O1" s="39" t="s">
        <v>142</v>
      </c>
      <c r="P1" s="39" t="s">
        <v>143</v>
      </c>
      <c r="Q1" s="39" t="s">
        <v>144</v>
      </c>
      <c r="R1" s="39" t="s">
        <v>145</v>
      </c>
      <c r="S1" s="39" t="s">
        <v>135</v>
      </c>
      <c r="T1" s="39" t="s">
        <v>136</v>
      </c>
      <c r="U1" s="39" t="s">
        <v>146</v>
      </c>
      <c r="V1" s="39" t="s">
        <v>147</v>
      </c>
      <c r="W1" s="39" t="s">
        <v>148</v>
      </c>
      <c r="X1" s="39" t="s">
        <v>149</v>
      </c>
      <c r="Y1" s="39" t="s">
        <v>137</v>
      </c>
      <c r="Z1" s="39" t="s">
        <v>76</v>
      </c>
      <c r="AA1" s="39" t="s">
        <v>77</v>
      </c>
      <c r="AB1" s="39" t="s">
        <v>78</v>
      </c>
    </row>
    <row r="2" spans="1:28" ht="24" customHeight="1" x14ac:dyDescent="0.2">
      <c r="A2" s="159">
        <v>30044001</v>
      </c>
      <c r="B2" s="136" t="s">
        <v>347</v>
      </c>
      <c r="C2" s="258">
        <v>3</v>
      </c>
      <c r="D2" s="48" t="s">
        <v>127</v>
      </c>
      <c r="E2" s="158" t="s">
        <v>259</v>
      </c>
      <c r="F2" s="49" t="s">
        <v>325</v>
      </c>
      <c r="G2" s="61" t="str">
        <f t="shared" ref="G2:G26" si="0">IFERROR(LEFT(B2,FIND("],",B2)),B2)</f>
        <v>[effect:enemy_message, val1:1.9, val2:2.5]</v>
      </c>
      <c r="H2" s="61">
        <f t="shared" ref="H2:H26" si="1">FIND("effect:",G2)+7</f>
        <v>9</v>
      </c>
      <c r="I2" s="61">
        <f t="shared" ref="I2:I26" si="2">IFERROR(FIND(",",G2),LEN(G2))</f>
        <v>22</v>
      </c>
      <c r="J2" s="61" t="e">
        <f t="shared" ref="J2:J26" si="3">FIND("target:",G2)+7</f>
        <v>#VALUE!</v>
      </c>
      <c r="K2" s="61">
        <f t="shared" ref="K2:K26" si="4"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 t="shared" ref="M2:M26" si="5">IFERROR(RIGHT(B2,LEN(B2)-FIND("],",B2)-1),"none")</f>
        <v>[effect:fix_speed, target:myself, turn:1]</v>
      </c>
      <c r="N2" s="46" t="str">
        <f>IFERROR(LEFT(M2,FIND("],",M2)+S11),M2)</f>
        <v>[effect:fix_speed, target:myself, turn:1]</v>
      </c>
      <c r="O2" s="61">
        <f t="shared" ref="O2:O26" si="6">FIND("effect:",N2)+7</f>
        <v>9</v>
      </c>
      <c r="P2" s="61">
        <f t="shared" ref="P2:P26" si="7">IFERROR(FIND(",",N2),LEN(N2))</f>
        <v>18</v>
      </c>
      <c r="Q2" s="61">
        <f t="shared" ref="Q2:Q26" si="8">FIND("target:",N2)+7</f>
        <v>27</v>
      </c>
      <c r="R2" s="61">
        <f t="shared" ref="R2:R26" si="9">FIND(",",N2,P2+1)</f>
        <v>33</v>
      </c>
      <c r="S2" s="61" t="str">
        <f>IFERROR(VLOOKUP(MID(N2,Q2,R2-Q2),[5]skilldef!$C:$D,2,FALSE),"-") &amp; " / " &amp; IFERROR(VLOOKUP(MID(N2,O2,P2-O2),[5]skilldef!$A:$B,2,FALSE),"-")</f>
        <v>自分自身に / 行動値設定</v>
      </c>
      <c r="T2" s="46" t="str">
        <f t="shared" ref="T2:T26" si="10">IFERROR(RIGHT(M2,LEN(M2)-FIND("],",M2)-1),"none")</f>
        <v>none</v>
      </c>
      <c r="U2" s="61" t="e">
        <f t="shared" ref="U2:U26" si="11">FIND("effect:",T2)+7</f>
        <v>#VALUE!</v>
      </c>
      <c r="V2" s="61">
        <f t="shared" ref="V2:V26" si="12">IFERROR(FIND(",",T2),LEN(T2))</f>
        <v>4</v>
      </c>
      <c r="W2" s="61" t="e">
        <f t="shared" ref="W2:W26" si="13">FIND("target:",T2)+7</f>
        <v>#VALUE!</v>
      </c>
      <c r="X2" s="61" t="e">
        <f t="shared" ref="X2:X26" si="14"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</row>
    <row r="3" spans="1:28" ht="24" customHeight="1" x14ac:dyDescent="0.2">
      <c r="A3" s="159">
        <v>30044002</v>
      </c>
      <c r="B3" s="136" t="s">
        <v>372</v>
      </c>
      <c r="C3" s="258">
        <v>3</v>
      </c>
      <c r="D3" s="48" t="s">
        <v>127</v>
      </c>
      <c r="E3" s="158" t="s">
        <v>265</v>
      </c>
      <c r="F3" s="149" t="s">
        <v>367</v>
      </c>
      <c r="G3" s="61" t="str">
        <f t="shared" si="0"/>
        <v>[effect:enemy_message, val1:1.8, val2:3.8]</v>
      </c>
      <c r="H3" s="61">
        <f t="shared" si="1"/>
        <v>9</v>
      </c>
      <c r="I3" s="61">
        <f t="shared" si="2"/>
        <v>22</v>
      </c>
      <c r="J3" s="61" t="e">
        <f t="shared" si="3"/>
        <v>#VALUE!</v>
      </c>
      <c r="K3" s="61">
        <f t="shared" si="4"/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si="5"/>
        <v>[effect:damage_anti_cost, target:unit_all, lower:31, upper:99, val1:23, val2:0.0001, cost_type:unit],[effect:damage_anti_tribe, target:unit_all, tribe:animal, val1:0.09, val2:23]</v>
      </c>
      <c r="N3" s="46" t="str">
        <f>IFERROR(LEFT(M3,FIND("],",M3)+S12),M3)</f>
        <v>[effect:damage_anti_cost, target:unit_all, lower:31, upper:99, val1:23, val2:0.0001, cost_type:unit],[effect:damage_anti_tribe, target:unit_all, tribe:animal, val1:0.09, val2:23]</v>
      </c>
      <c r="O3" s="61">
        <f t="shared" si="6"/>
        <v>9</v>
      </c>
      <c r="P3" s="61">
        <f t="shared" si="7"/>
        <v>25</v>
      </c>
      <c r="Q3" s="61">
        <f t="shared" si="8"/>
        <v>34</v>
      </c>
      <c r="R3" s="61">
        <f t="shared" si="9"/>
        <v>42</v>
      </c>
      <c r="S3" s="61" t="str">
        <f>IFERROR(VLOOKUP(MID(N3,Q3,R3-Q3),[5]skilldef!$C:$D,2,FALSE),"-") &amp; " / " &amp; IFERROR(VLOOKUP(MID(N3,O3,P3-O3),[5]skilldef!$A:$B,2,FALSE),"-")</f>
        <v>味方全体に / -</v>
      </c>
      <c r="T3" s="46" t="str">
        <f t="shared" si="10"/>
        <v>[effect:damage_anti_tribe, target:unit_all, tribe:animal, val1:0.09, val2:23]</v>
      </c>
      <c r="U3" s="61">
        <f t="shared" si="11"/>
        <v>9</v>
      </c>
      <c r="V3" s="61">
        <f t="shared" si="12"/>
        <v>26</v>
      </c>
      <c r="W3" s="61">
        <f t="shared" si="13"/>
        <v>35</v>
      </c>
      <c r="X3" s="61">
        <f t="shared" si="14"/>
        <v>43</v>
      </c>
      <c r="Y3" s="61" t="str">
        <f>IFERROR(VLOOKUP(MID(T3,W3,X3-W3),[5]skilldef!$C:$D,2,FALSE),"-") &amp; " / " &amp; IFERROR(VLOOKUP(MID(T3,U3,V3-U3),[5]skilldef!$A:$B,2,FALSE),"-")</f>
        <v>味方全体に / 種族キラー</v>
      </c>
      <c r="Z3" s="48"/>
      <c r="AA3" s="50"/>
      <c r="AB3" s="48"/>
    </row>
    <row r="4" spans="1:28" ht="24" customHeight="1" thickBot="1" x14ac:dyDescent="0.25">
      <c r="A4" s="159">
        <v>30044003</v>
      </c>
      <c r="B4" s="155" t="s">
        <v>371</v>
      </c>
      <c r="C4" s="259">
        <v>3</v>
      </c>
      <c r="D4" s="156" t="s">
        <v>127</v>
      </c>
      <c r="E4" s="179" t="s">
        <v>260</v>
      </c>
      <c r="F4" s="157" t="s">
        <v>262</v>
      </c>
      <c r="G4" s="61" t="str">
        <f t="shared" si="0"/>
        <v>[effect:enemy_message, val1:1.8, val2:2.3]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5"/>
        <v>[effect:suicide, val:1, dead_type:escape]</v>
      </c>
      <c r="N4" s="46" t="str">
        <f>IFERROR(LEFT(M4,FIND("],",M4)+S15),M4)</f>
        <v>[effect:suicide, val:1, dead_type:escape]</v>
      </c>
      <c r="O4" s="61">
        <f t="shared" si="6"/>
        <v>9</v>
      </c>
      <c r="P4" s="61">
        <f t="shared" si="7"/>
        <v>16</v>
      </c>
      <c r="Q4" s="61" t="e">
        <f t="shared" si="8"/>
        <v>#VALUE!</v>
      </c>
      <c r="R4" s="61">
        <f t="shared" si="9"/>
        <v>23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</row>
    <row r="5" spans="1:28" ht="24" customHeight="1" thickTop="1" x14ac:dyDescent="0.2">
      <c r="A5" s="173">
        <v>30044004</v>
      </c>
      <c r="B5" s="162" t="s">
        <v>307</v>
      </c>
      <c r="C5" s="260">
        <v>3</v>
      </c>
      <c r="D5" s="163" t="s">
        <v>127</v>
      </c>
      <c r="E5" s="164" t="s">
        <v>274</v>
      </c>
      <c r="F5" s="164" t="s">
        <v>360</v>
      </c>
      <c r="G5" s="61" t="str">
        <f t="shared" si="0"/>
        <v>[effect:enemy_message, val1:1.8, val2:2.3]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5"/>
        <v>[effect:degrade_unit, target:unit_all, turn:-1, status:heal, val:1, calc:mul, animation:degrade_unit_all_heal],[effect:fix_speed, target:myself, turn:2]</v>
      </c>
      <c r="N5" s="46" t="str">
        <f>IFERROR(LEFT(M5,FIND("],",M5)+S14),M5)</f>
        <v>[effect:degrade_unit, target:unit_all, turn:-1, status:heal, val:1, calc:mul, animation:degrade_unit_all_heal],[effect:fix_speed, target:myself, turn:2]</v>
      </c>
      <c r="O5" s="61">
        <f t="shared" si="6"/>
        <v>9</v>
      </c>
      <c r="P5" s="61">
        <f t="shared" si="7"/>
        <v>21</v>
      </c>
      <c r="Q5" s="61">
        <f t="shared" si="8"/>
        <v>30</v>
      </c>
      <c r="R5" s="61">
        <f t="shared" si="9"/>
        <v>38</v>
      </c>
      <c r="S5" s="61" t="str">
        <f>IFERROR(VLOOKUP(MID(N5,Q5,R5-Q5),[5]skilldef!$C:$D,2,FALSE),"-") &amp; " / " &amp; IFERROR(VLOOKUP(MID(N5,O5,P5-O5),[5]skilldef!$A:$B,2,FALSE),"-")</f>
        <v>味方全体に / ステータスDOWN</v>
      </c>
      <c r="T5" s="46" t="str">
        <f t="shared" si="10"/>
        <v>[effect:fix_speed, target:myself, turn:2]</v>
      </c>
      <c r="U5" s="61">
        <f t="shared" si="11"/>
        <v>9</v>
      </c>
      <c r="V5" s="61">
        <f t="shared" si="12"/>
        <v>18</v>
      </c>
      <c r="W5" s="61">
        <f t="shared" si="13"/>
        <v>27</v>
      </c>
      <c r="X5" s="61">
        <f t="shared" si="14"/>
        <v>33</v>
      </c>
      <c r="Y5" s="61" t="str">
        <f>IFERROR(VLOOKUP(MID(T5,W5,X5-W5),[5]skilldef!$C:$D,2,FALSE),"-") &amp; " / " &amp; IFERROR(VLOOKUP(MID(T5,U5,V5-U5),[5]skilldef!$A:$B,2,FALSE),"-")</f>
        <v>自分自身に / 行動値設定</v>
      </c>
      <c r="Z5" s="48"/>
      <c r="AA5" s="50"/>
      <c r="AB5" s="48"/>
    </row>
    <row r="6" spans="1:28" ht="24" customHeight="1" x14ac:dyDescent="0.2">
      <c r="A6" s="173">
        <v>30044005</v>
      </c>
      <c r="B6" s="136" t="s">
        <v>366</v>
      </c>
      <c r="C6" s="258">
        <v>3</v>
      </c>
      <c r="D6" s="48" t="s">
        <v>127</v>
      </c>
      <c r="E6" s="153" t="s">
        <v>275</v>
      </c>
      <c r="F6" s="49" t="s">
        <v>303</v>
      </c>
      <c r="G6" s="61" t="str">
        <f t="shared" si="0"/>
        <v>[effect:enemy_message, val1:1.8, val2:2.0]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5"/>
        <v>[effect:virus, turn:2, rate:1, val:0.08, animation:enemy_virus]</v>
      </c>
      <c r="N6" s="46" t="str">
        <f>IFERROR(LEFT(M6,FIND("],",M6)+S16),M6)</f>
        <v>[effect:virus, turn:2, rate:1, val:0.08, animation:enemy_virus]</v>
      </c>
      <c r="O6" s="61">
        <f t="shared" si="6"/>
        <v>9</v>
      </c>
      <c r="P6" s="61">
        <f t="shared" si="7"/>
        <v>14</v>
      </c>
      <c r="Q6" s="61" t="e">
        <f t="shared" si="8"/>
        <v>#VALUE!</v>
      </c>
      <c r="R6" s="61">
        <f t="shared" si="9"/>
        <v>22</v>
      </c>
      <c r="S6" s="61" t="str">
        <f>IFERROR(VLOOKUP(MID(N6,Q6,R6-Q6),[5]skilldef!$C:$D,2,FALSE),"-") &amp; " / " &amp; IFERROR(VLOOKUP(MID(N6,O6,P6-O6),[5]skilldef!$A:$B,2,FALSE),"-")</f>
        <v>- / ウィルス</v>
      </c>
      <c r="T6" s="46" t="str">
        <f t="shared" si="10"/>
        <v>none</v>
      </c>
      <c r="U6" s="61" t="e">
        <f t="shared" si="11"/>
        <v>#VALUE!</v>
      </c>
      <c r="V6" s="61">
        <f t="shared" si="12"/>
        <v>4</v>
      </c>
      <c r="W6" s="61" t="e">
        <f t="shared" si="13"/>
        <v>#VALUE!</v>
      </c>
      <c r="X6" s="61" t="e">
        <f t="shared" si="14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</row>
    <row r="7" spans="1:28" ht="24" customHeight="1" x14ac:dyDescent="0.2">
      <c r="A7" s="173">
        <v>30044006</v>
      </c>
      <c r="B7" s="136" t="s">
        <v>365</v>
      </c>
      <c r="C7" s="258">
        <v>3</v>
      </c>
      <c r="D7" s="48" t="s">
        <v>127</v>
      </c>
      <c r="E7" s="49" t="s">
        <v>277</v>
      </c>
      <c r="F7" s="49" t="s">
        <v>304</v>
      </c>
      <c r="G7" s="61" t="str">
        <f t="shared" si="0"/>
        <v>[effect:enemy_message, val1:1.6, val2:1.8]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si="5"/>
        <v>[effect:virus, turn:2, rate:1, val:0.08, animation:enemy_virus]</v>
      </c>
      <c r="N7" s="46" t="str">
        <f>IFERROR(LEFT(M7,FIND("],",M7)+S18),M7)</f>
        <v>[effect:virus, turn:2, rate:1, val:0.08, animation:enemy_virus]</v>
      </c>
      <c r="O7" s="61">
        <f t="shared" si="6"/>
        <v>9</v>
      </c>
      <c r="P7" s="61">
        <f t="shared" si="7"/>
        <v>14</v>
      </c>
      <c r="Q7" s="61" t="e">
        <f t="shared" si="8"/>
        <v>#VALUE!</v>
      </c>
      <c r="R7" s="61">
        <f t="shared" si="9"/>
        <v>22</v>
      </c>
      <c r="S7" s="61" t="str">
        <f>IFERROR(VLOOKUP(MID(N7,Q7,R7-Q7),[5]skilldef!$C:$D,2,FALSE),"-") &amp; " / " &amp; IFERROR(VLOOKUP(MID(N7,O7,P7-O7),[5]skilldef!$A:$B,2,FALSE),"-")</f>
        <v>- / ウィルス</v>
      </c>
      <c r="T7" s="46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</row>
    <row r="8" spans="1:28" ht="24" customHeight="1" x14ac:dyDescent="0.2">
      <c r="A8" s="173">
        <v>30044007</v>
      </c>
      <c r="B8" s="136" t="s">
        <v>255</v>
      </c>
      <c r="C8" s="258">
        <v>3</v>
      </c>
      <c r="D8" s="48" t="s">
        <v>127</v>
      </c>
      <c r="E8" s="49" t="s">
        <v>266</v>
      </c>
      <c r="F8" s="49" t="s">
        <v>268</v>
      </c>
      <c r="G8" s="61" t="str">
        <f t="shared" si="0"/>
        <v>[effect:rush, count:3, val:0.45]</v>
      </c>
      <c r="H8" s="61">
        <f t="shared" si="1"/>
        <v>9</v>
      </c>
      <c r="I8" s="61">
        <f t="shared" si="2"/>
        <v>13</v>
      </c>
      <c r="J8" s="61" t="e">
        <f t="shared" si="3"/>
        <v>#VALUE!</v>
      </c>
      <c r="K8" s="61">
        <f t="shared" si="4"/>
        <v>22</v>
      </c>
      <c r="L8" s="61" t="str">
        <f>IFERROR(VLOOKUP(MID(G8,J8,K8-J8),[5]skilldef!$C:$D,2,FALSE),"-") &amp; " / " &amp; IFERROR(VLOOKUP(MID(G8,H8,I8-H8),[5]skilldef!$A:$B,2,FALSE),"-")</f>
        <v>- / 連続攻撃</v>
      </c>
      <c r="M8" s="61" t="str">
        <f t="shared" si="5"/>
        <v>none</v>
      </c>
      <c r="N8" s="46" t="str">
        <f>IFERROR(LEFT(M8,FIND("],",M8)+#REF!),M8)</f>
        <v>none</v>
      </c>
      <c r="O8" s="61" t="e">
        <f t="shared" si="6"/>
        <v>#VALUE!</v>
      </c>
      <c r="P8" s="61">
        <f t="shared" si="7"/>
        <v>4</v>
      </c>
      <c r="Q8" s="61" t="e">
        <f t="shared" si="8"/>
        <v>#VALUE!</v>
      </c>
      <c r="R8" s="61" t="e">
        <f t="shared" si="9"/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6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</row>
    <row r="9" spans="1:28" ht="24" customHeight="1" thickBot="1" x14ac:dyDescent="0.25">
      <c r="A9" s="173">
        <v>30044008</v>
      </c>
      <c r="B9" s="136" t="s">
        <v>256</v>
      </c>
      <c r="C9" s="258">
        <v>3</v>
      </c>
      <c r="D9" s="48" t="s">
        <v>127</v>
      </c>
      <c r="E9" s="153" t="s">
        <v>276</v>
      </c>
      <c r="F9" s="49" t="s">
        <v>269</v>
      </c>
      <c r="G9" s="61" t="str">
        <f t="shared" si="0"/>
        <v>[effect:rush, count:3, val:0.43]</v>
      </c>
      <c r="H9" s="61">
        <f t="shared" si="1"/>
        <v>9</v>
      </c>
      <c r="I9" s="61">
        <f t="shared" si="2"/>
        <v>13</v>
      </c>
      <c r="J9" s="61" t="e">
        <f t="shared" si="3"/>
        <v>#VALUE!</v>
      </c>
      <c r="K9" s="61">
        <f t="shared" si="4"/>
        <v>22</v>
      </c>
      <c r="L9" s="61" t="str">
        <f>IFERROR(VLOOKUP(MID(G9,J9,K9-J9),[5]skilldef!$C:$D,2,FALSE),"-") &amp; " / " &amp; IFERROR(VLOOKUP(MID(G9,H9,I9-H9),[5]skilldef!$A:$B,2,FALSE),"-")</f>
        <v>- / 連続攻撃</v>
      </c>
      <c r="M9" s="61" t="str">
        <f t="shared" si="5"/>
        <v>none</v>
      </c>
      <c r="N9" s="46" t="str">
        <f>IFERROR(LEFT(M9,FIND("],",M9)+S17),M9)</f>
        <v>none</v>
      </c>
      <c r="O9" s="61" t="e">
        <f t="shared" si="6"/>
        <v>#VALUE!</v>
      </c>
      <c r="P9" s="61">
        <f t="shared" si="7"/>
        <v>4</v>
      </c>
      <c r="Q9" s="61" t="e">
        <f t="shared" si="8"/>
        <v>#VALUE!</v>
      </c>
      <c r="R9" s="61" t="e">
        <f t="shared" si="9"/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10"/>
        <v>none</v>
      </c>
      <c r="U9" s="61" t="e">
        <f t="shared" si="11"/>
        <v>#VALUE!</v>
      </c>
      <c r="V9" s="61">
        <f t="shared" si="12"/>
        <v>4</v>
      </c>
      <c r="W9" s="61" t="e">
        <f t="shared" si="13"/>
        <v>#VALUE!</v>
      </c>
      <c r="X9" s="61" t="e">
        <f t="shared" si="14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4" customHeight="1" thickTop="1" x14ac:dyDescent="0.2">
      <c r="A10" s="173">
        <v>30044009</v>
      </c>
      <c r="B10" s="165" t="s">
        <v>261</v>
      </c>
      <c r="C10" s="261">
        <v>3</v>
      </c>
      <c r="D10" s="166" t="s">
        <v>127</v>
      </c>
      <c r="E10" s="167" t="s">
        <v>302</v>
      </c>
      <c r="F10" s="167" t="s">
        <v>270</v>
      </c>
      <c r="G10" s="61" t="str">
        <f t="shared" si="0"/>
        <v>[effect:critical, val:1.25, animation:enemy_critical]</v>
      </c>
      <c r="H10" s="61">
        <f t="shared" si="1"/>
        <v>9</v>
      </c>
      <c r="I10" s="61">
        <f t="shared" si="2"/>
        <v>17</v>
      </c>
      <c r="J10" s="61" t="e">
        <f t="shared" si="3"/>
        <v>#VALUE!</v>
      </c>
      <c r="K10" s="61">
        <f t="shared" si="4"/>
        <v>27</v>
      </c>
      <c r="L10" s="61" t="str">
        <f>IFERROR(VLOOKUP(MID(G10,J10,K10-J10),[5]skilldef!$C:$D,2,FALSE),"-") &amp; " / " &amp; IFERROR(VLOOKUP(MID(G10,H10,I10-H10),[5]skilldef!$A:$B,2,FALSE),"-")</f>
        <v>- / 大攻撃</v>
      </c>
      <c r="M10" s="61" t="str">
        <f t="shared" si="5"/>
        <v>none</v>
      </c>
      <c r="N10" s="46" t="str">
        <f>IFERROR(LEFT(M10,FIND("],",M10)+S19),M10)</f>
        <v>none</v>
      </c>
      <c r="O10" s="61" t="e">
        <f t="shared" si="6"/>
        <v>#VALUE!</v>
      </c>
      <c r="P10" s="61">
        <f t="shared" si="7"/>
        <v>4</v>
      </c>
      <c r="Q10" s="61" t="e">
        <f t="shared" si="8"/>
        <v>#VALUE!</v>
      </c>
      <c r="R10" s="61" t="e">
        <f t="shared" si="9"/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</row>
    <row r="11" spans="1:28" ht="24" customHeight="1" x14ac:dyDescent="0.2">
      <c r="A11" s="173">
        <v>30044010</v>
      </c>
      <c r="B11" s="136" t="s">
        <v>301</v>
      </c>
      <c r="C11" s="258">
        <v>3</v>
      </c>
      <c r="D11" s="48" t="s">
        <v>127</v>
      </c>
      <c r="E11" s="49" t="s">
        <v>306</v>
      </c>
      <c r="F11" s="49" t="s">
        <v>299</v>
      </c>
      <c r="G11" s="61" t="str">
        <f t="shared" si="0"/>
        <v>[effect:rush, count:2, val:0.64]</v>
      </c>
      <c r="H11" s="61">
        <f t="shared" si="1"/>
        <v>9</v>
      </c>
      <c r="I11" s="61">
        <f t="shared" si="2"/>
        <v>13</v>
      </c>
      <c r="J11" s="61" t="e">
        <f t="shared" si="3"/>
        <v>#VALUE!</v>
      </c>
      <c r="K11" s="61">
        <f t="shared" si="4"/>
        <v>22</v>
      </c>
      <c r="L11" s="61" t="str">
        <f>IFERROR(VLOOKUP(MID(G11,J11,K11-J11),[5]skilldef!$C:$D,2,FALSE),"-") &amp; " / " &amp; IFERROR(VLOOKUP(MID(G11,H11,I11-H11),[5]skilldef!$A:$B,2,FALSE),"-")</f>
        <v>- / 連続攻撃</v>
      </c>
      <c r="M11" s="61" t="str">
        <f t="shared" si="5"/>
        <v>none</v>
      </c>
      <c r="N11" s="46" t="str">
        <f>IFERROR(LEFT(M11,FIND("],",M11)+S20),M11)</f>
        <v>none</v>
      </c>
      <c r="O11" s="61" t="e">
        <f t="shared" si="6"/>
        <v>#VALUE!</v>
      </c>
      <c r="P11" s="61">
        <f t="shared" si="7"/>
        <v>4</v>
      </c>
      <c r="Q11" s="61" t="e">
        <f t="shared" si="8"/>
        <v>#VALUE!</v>
      </c>
      <c r="R11" s="61" t="e">
        <f t="shared" si="9"/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</row>
    <row r="12" spans="1:28" ht="24" customHeight="1" thickBot="1" x14ac:dyDescent="0.25">
      <c r="A12" s="173">
        <v>30044011</v>
      </c>
      <c r="B12" s="155" t="s">
        <v>296</v>
      </c>
      <c r="C12" s="259">
        <v>3</v>
      </c>
      <c r="D12" s="156" t="s">
        <v>127</v>
      </c>
      <c r="E12" s="157" t="s">
        <v>297</v>
      </c>
      <c r="F12" s="157" t="s">
        <v>258</v>
      </c>
      <c r="G12" s="61" t="str">
        <f t="shared" si="0"/>
        <v>[effect:spread, val:0.33]</v>
      </c>
      <c r="H12" s="61">
        <f t="shared" si="1"/>
        <v>9</v>
      </c>
      <c r="I12" s="61">
        <f t="shared" si="2"/>
        <v>15</v>
      </c>
      <c r="J12" s="61" t="e">
        <f t="shared" si="3"/>
        <v>#VALUE!</v>
      </c>
      <c r="K12" s="61" t="e">
        <f t="shared" si="4"/>
        <v>#VALUE!</v>
      </c>
      <c r="L12" s="61" t="str">
        <f>IFERROR(VLOOKUP(MID(G12,J12,K12-J12),[5]skilldef!$C:$D,2,FALSE),"-") &amp; " / " &amp; IFERROR(VLOOKUP(MID(G12,H12,I12-H12),[5]skilldef!$A:$B,2,FALSE),"-")</f>
        <v>- / 全体攻撃</v>
      </c>
      <c r="M12" s="61" t="str">
        <f t="shared" si="5"/>
        <v>none</v>
      </c>
      <c r="N12" s="46" t="str">
        <f>IFERROR(LEFT(M12,FIND("],",M12)+S21),M12)</f>
        <v>none</v>
      </c>
      <c r="O12" s="61" t="e">
        <f t="shared" si="6"/>
        <v>#VALUE!</v>
      </c>
      <c r="P12" s="61">
        <f t="shared" si="7"/>
        <v>4</v>
      </c>
      <c r="Q12" s="61" t="e">
        <f t="shared" si="8"/>
        <v>#VALUE!</v>
      </c>
      <c r="R12" s="61" t="e">
        <f t="shared" si="9"/>
        <v>#VALUE!</v>
      </c>
      <c r="S12" s="61" t="str">
        <f>IFERROR(VLOOKUP(MID(N12,Q12,R12-Q12),[5]skilldef!$C:$D,2,FALSE),"-") &amp; " / " &amp; IFERROR(VLOOKUP(MID(N12,O12,P12-O12),[5]skilldef!$A:$B,2,FALSE),"-")</f>
        <v>- / -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</row>
    <row r="13" spans="1:28" ht="24" customHeight="1" thickTop="1" x14ac:dyDescent="0.2">
      <c r="A13" s="159">
        <v>30044012</v>
      </c>
      <c r="B13" s="151" t="s">
        <v>353</v>
      </c>
      <c r="C13" s="262">
        <v>3</v>
      </c>
      <c r="D13" s="152" t="s">
        <v>127</v>
      </c>
      <c r="E13" s="168" t="s">
        <v>324</v>
      </c>
      <c r="F13" s="153" t="s">
        <v>361</v>
      </c>
      <c r="G13" s="61" t="str">
        <f t="shared" si="0"/>
        <v>[effect:enemy_message, val1:2.1, val2:2.5]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32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5"/>
        <v>[effect:degrade_unit, target:unit_all, turn:-1, status:heal, val:1, calc:mul, animation:degrade_unit_all_heal],[effect:fix_speed, target:myself, turn:2]</v>
      </c>
      <c r="N13" s="46" t="str">
        <f>IFERROR(LEFT(M13,FIND("],",M13)+S23),M13)</f>
        <v>[effect:degrade_unit, target:unit_all, turn:-1, status:heal, val:1, calc:mul, animation:degrade_unit_all_heal],[effect:fix_speed, target:myself, turn:2]</v>
      </c>
      <c r="O13" s="61">
        <f t="shared" si="6"/>
        <v>9</v>
      </c>
      <c r="P13" s="61">
        <f t="shared" si="7"/>
        <v>21</v>
      </c>
      <c r="Q13" s="61">
        <f t="shared" si="8"/>
        <v>30</v>
      </c>
      <c r="R13" s="61">
        <f t="shared" si="9"/>
        <v>38</v>
      </c>
      <c r="S13" s="61" t="str">
        <f>IFERROR(VLOOKUP(MID(N13,Q13,R13-Q13),[5]skilldef!$C:$D,2,FALSE),"-") &amp; " / " &amp; IFERROR(VLOOKUP(MID(N13,O13,P13-O13),[5]skilldef!$A:$B,2,FALSE),"-")</f>
        <v>味方全体に / ステータスDOWN</v>
      </c>
      <c r="T13" s="46" t="str">
        <f t="shared" si="10"/>
        <v>[effect:fix_speed, target:myself, turn:2]</v>
      </c>
      <c r="U13" s="61">
        <f t="shared" si="11"/>
        <v>9</v>
      </c>
      <c r="V13" s="61">
        <f t="shared" si="12"/>
        <v>18</v>
      </c>
      <c r="W13" s="61">
        <f t="shared" si="13"/>
        <v>27</v>
      </c>
      <c r="X13" s="61">
        <f t="shared" si="14"/>
        <v>33</v>
      </c>
      <c r="Y13" s="61" t="str">
        <f>IFERROR(VLOOKUP(MID(T13,W13,X13-W13),[5]skilldef!$C:$D,2,FALSE),"-") &amp; " / " &amp; IFERROR(VLOOKUP(MID(T13,U13,V13-U13),[5]skilldef!$A:$B,2,FALSE),"-")</f>
        <v>自分自身に / 行動値設定</v>
      </c>
      <c r="Z13" s="48"/>
      <c r="AA13" s="50"/>
      <c r="AB13" s="48"/>
    </row>
    <row r="14" spans="1:28" ht="24" customHeight="1" x14ac:dyDescent="0.2">
      <c r="A14" s="159">
        <v>30044013</v>
      </c>
      <c r="B14" s="136" t="s">
        <v>312</v>
      </c>
      <c r="C14" s="258">
        <v>3</v>
      </c>
      <c r="D14" s="48" t="s">
        <v>127</v>
      </c>
      <c r="E14" s="168" t="s">
        <v>315</v>
      </c>
      <c r="F14" s="49" t="s">
        <v>271</v>
      </c>
      <c r="G14" s="61" t="str">
        <f t="shared" si="0"/>
        <v>[effect:critical, val:1.62, animation:enemy_critical]</v>
      </c>
      <c r="H14" s="61">
        <f t="shared" si="1"/>
        <v>9</v>
      </c>
      <c r="I14" s="61">
        <f t="shared" si="2"/>
        <v>17</v>
      </c>
      <c r="J14" s="61" t="e">
        <f t="shared" si="3"/>
        <v>#VALUE!</v>
      </c>
      <c r="K14" s="61">
        <f t="shared" si="4"/>
        <v>27</v>
      </c>
      <c r="L14" s="61" t="str">
        <f>IFERROR(VLOOKUP(MID(G14,J14,K14-J14),[5]skilldef!$C:$D,2,FALSE),"-") &amp; " / " &amp; IFERROR(VLOOKUP(MID(G14,H14,I14-H14),[5]skilldef!$A:$B,2,FALSE),"-")</f>
        <v>- / 大攻撃</v>
      </c>
      <c r="M14" s="61" t="str">
        <f t="shared" si="5"/>
        <v>none</v>
      </c>
      <c r="N14" s="46" t="str">
        <f>IFERROR(LEFT(M14,FIND("],",M14)+#REF!),M14)</f>
        <v>none</v>
      </c>
      <c r="O14" s="61" t="e">
        <f t="shared" si="6"/>
        <v>#VALUE!</v>
      </c>
      <c r="P14" s="61">
        <f t="shared" si="7"/>
        <v>4</v>
      </c>
      <c r="Q14" s="61" t="e">
        <f t="shared" si="8"/>
        <v>#VALUE!</v>
      </c>
      <c r="R14" s="61" t="e">
        <f t="shared" si="9"/>
        <v>#VALUE!</v>
      </c>
      <c r="S14" s="61" t="str">
        <f>IFERROR(VLOOKUP(MID(N14,Q14,R14-Q14),[5]skilldef!$C:$D,2,FALSE),"-") &amp; " / " &amp; IFERROR(VLOOKUP(MID(N14,O14,P14-O14),[5]skilldef!$A:$B,2,FALSE),"-")</f>
        <v>- / -</v>
      </c>
      <c r="T14" s="46" t="str">
        <f t="shared" si="10"/>
        <v>none</v>
      </c>
      <c r="U14" s="61" t="e">
        <f t="shared" si="11"/>
        <v>#VALUE!</v>
      </c>
      <c r="V14" s="61">
        <f t="shared" si="12"/>
        <v>4</v>
      </c>
      <c r="W14" s="61" t="e">
        <f t="shared" si="13"/>
        <v>#VALUE!</v>
      </c>
      <c r="X14" s="61" t="e">
        <f t="shared" si="14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</row>
    <row r="15" spans="1:28" ht="24" customHeight="1" x14ac:dyDescent="0.2">
      <c r="A15" s="159">
        <v>30044014</v>
      </c>
      <c r="B15" s="136" t="s">
        <v>300</v>
      </c>
      <c r="C15" s="258">
        <v>3</v>
      </c>
      <c r="D15" s="48" t="s">
        <v>127</v>
      </c>
      <c r="E15" s="168" t="s">
        <v>343</v>
      </c>
      <c r="F15" s="49" t="s">
        <v>298</v>
      </c>
      <c r="G15" s="61" t="str">
        <f t="shared" si="0"/>
        <v>[effect:rush, count:3, val:0.39]</v>
      </c>
      <c r="H15" s="61">
        <f t="shared" si="1"/>
        <v>9</v>
      </c>
      <c r="I15" s="61">
        <f t="shared" si="2"/>
        <v>13</v>
      </c>
      <c r="J15" s="61" t="e">
        <f t="shared" si="3"/>
        <v>#VALUE!</v>
      </c>
      <c r="K15" s="61">
        <f t="shared" si="4"/>
        <v>22</v>
      </c>
      <c r="L15" s="61" t="str">
        <f>IFERROR(VLOOKUP(MID(G15,J15,K15-J15),[5]skilldef!$C:$D,2,FALSE),"-") &amp; " / " &amp; IFERROR(VLOOKUP(MID(G15,H15,I15-H15),[5]skilldef!$A:$B,2,FALSE),"-")</f>
        <v>- / 連続攻撃</v>
      </c>
      <c r="M15" s="61" t="str">
        <f t="shared" si="5"/>
        <v>none</v>
      </c>
      <c r="N15" s="46" t="str">
        <f>IFERROR(LEFT(M15,FIND("],",M15)+S22),M15)</f>
        <v>none</v>
      </c>
      <c r="O15" s="61" t="e">
        <f t="shared" si="6"/>
        <v>#VALUE!</v>
      </c>
      <c r="P15" s="61">
        <f t="shared" si="7"/>
        <v>4</v>
      </c>
      <c r="Q15" s="61" t="e">
        <f t="shared" si="8"/>
        <v>#VALUE!</v>
      </c>
      <c r="R15" s="61" t="e">
        <f t="shared" si="9"/>
        <v>#VALUE!</v>
      </c>
      <c r="S15" s="61" t="str">
        <f>IFERROR(VLOOKUP(MID(N15,Q15,R15-Q15),[5]skilldef!$C:$D,2,FALSE),"-") &amp; " / " &amp; IFERROR(VLOOKUP(MID(N15,O15,P15-O15),[5]skilldef!$A:$B,2,FALSE),"-")</f>
        <v>- / -</v>
      </c>
      <c r="T15" s="46" t="str">
        <f t="shared" si="10"/>
        <v>none</v>
      </c>
      <c r="U15" s="61" t="e">
        <f t="shared" si="11"/>
        <v>#VALUE!</v>
      </c>
      <c r="V15" s="61">
        <f t="shared" si="12"/>
        <v>4</v>
      </c>
      <c r="W15" s="61" t="e">
        <f t="shared" si="13"/>
        <v>#VALUE!</v>
      </c>
      <c r="X15" s="61" t="e">
        <f t="shared" si="14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24" customHeight="1" x14ac:dyDescent="0.2">
      <c r="A16" s="159">
        <v>30044015</v>
      </c>
      <c r="B16" s="136" t="s">
        <v>339</v>
      </c>
      <c r="C16" s="258">
        <v>3</v>
      </c>
      <c r="D16" s="48" t="s">
        <v>127</v>
      </c>
      <c r="E16" s="168" t="s">
        <v>341</v>
      </c>
      <c r="F16" s="49" t="s">
        <v>338</v>
      </c>
      <c r="G16" s="61" t="str">
        <f t="shared" si="0"/>
        <v>[effect:rush, count:4, val:0.31]</v>
      </c>
      <c r="H16" s="61">
        <f t="shared" si="1"/>
        <v>9</v>
      </c>
      <c r="I16" s="61">
        <f t="shared" si="2"/>
        <v>13</v>
      </c>
      <c r="J16" s="61" t="e">
        <f t="shared" si="3"/>
        <v>#VALUE!</v>
      </c>
      <c r="K16" s="61">
        <f t="shared" si="4"/>
        <v>22</v>
      </c>
      <c r="L16" s="61" t="str">
        <f>IFERROR(VLOOKUP(MID(G16,J16,K16-J16),[5]skilldef!$C:$D,2,FALSE),"-") &amp; " / " &amp; IFERROR(VLOOKUP(MID(G16,H16,I16-H16),[5]skilldef!$A:$B,2,FALSE),"-")</f>
        <v>- / 連続攻撃</v>
      </c>
      <c r="M16" s="61" t="str">
        <f t="shared" si="5"/>
        <v>none</v>
      </c>
      <c r="N16" s="46" t="str">
        <f>IFERROR(LEFT(M16,FIND("],",M16)+#REF!),M16)</f>
        <v>none</v>
      </c>
      <c r="O16" s="61" t="e">
        <f t="shared" si="6"/>
        <v>#VALUE!</v>
      </c>
      <c r="P16" s="61">
        <f t="shared" si="7"/>
        <v>4</v>
      </c>
      <c r="Q16" s="61" t="e">
        <f t="shared" si="8"/>
        <v>#VALUE!</v>
      </c>
      <c r="R16" s="61" t="e">
        <f t="shared" si="9"/>
        <v>#VALUE!</v>
      </c>
      <c r="S16" s="61" t="str">
        <f>IFERROR(VLOOKUP(MID(N16,Q16,R16-Q16),[5]skilldef!$C:$D,2,FALSE),"-") &amp; " / " &amp; IFERROR(VLOOKUP(MID(N16,O16,P16-O16),[5]skilldef!$A:$B,2,FALSE),"-")</f>
        <v>- / -</v>
      </c>
      <c r="T16" s="46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</row>
    <row r="17" spans="1:28" ht="24" customHeight="1" x14ac:dyDescent="0.2">
      <c r="A17" s="159">
        <v>30044016</v>
      </c>
      <c r="B17" s="180" t="s">
        <v>335</v>
      </c>
      <c r="C17" s="258">
        <v>3</v>
      </c>
      <c r="D17" s="48" t="s">
        <v>127</v>
      </c>
      <c r="E17" s="168" t="s">
        <v>316</v>
      </c>
      <c r="F17" s="49" t="s">
        <v>368</v>
      </c>
      <c r="G17" s="61" t="str">
        <f t="shared" si="0"/>
        <v>[effect:enemy_message, val1:1.9, val2:2.3]</v>
      </c>
      <c r="H17" s="61">
        <f t="shared" si="1"/>
        <v>9</v>
      </c>
      <c r="I17" s="61">
        <f t="shared" si="2"/>
        <v>22</v>
      </c>
      <c r="J17" s="61" t="e">
        <f t="shared" si="3"/>
        <v>#VALUE!</v>
      </c>
      <c r="K17" s="61">
        <f t="shared" si="4"/>
        <v>32</v>
      </c>
      <c r="L17" s="61" t="str">
        <f>IFERROR(VLOOKUP(MID(G17,J17,K17-J17),[5]skilldef!$C:$D,2,FALSE),"-") &amp; " / " &amp; IFERROR(VLOOKUP(MID(G17,H17,I17-H17),[5]skilldef!$A:$B,2,FALSE),"-")</f>
        <v>- / -</v>
      </c>
      <c r="M17" s="61" t="str">
        <f t="shared" si="5"/>
        <v>[effect:freq_turn, target:myself, turn:-1, val:1, animation:enemy_freq_turn],[effect:enhance_enemy, target:myself, turn:-1, status:attack, val:0.2, calc:mul, animation:enemy_enhance_attack]</v>
      </c>
      <c r="N17" s="46" t="str">
        <f>IFERROR(LEFT(M17,FIND("],",M17)+#REF!),M17)</f>
        <v>[effect:freq_turn, target:myself, turn:-1, val:1, animation:enemy_freq_turn],[effect:enhance_enemy, target:myself, turn:-1, status:attack, val:0.2, calc:mul, animation:enemy_enhance_attack]</v>
      </c>
      <c r="O17" s="61">
        <f t="shared" si="6"/>
        <v>9</v>
      </c>
      <c r="P17" s="61">
        <f t="shared" si="7"/>
        <v>18</v>
      </c>
      <c r="Q17" s="61">
        <f t="shared" si="8"/>
        <v>27</v>
      </c>
      <c r="R17" s="61">
        <f t="shared" si="9"/>
        <v>33</v>
      </c>
      <c r="S17" s="61" t="str">
        <f>IFERROR(VLOOKUP(MID(N17,Q17,R17-Q17),[5]skilldef!$C:$D,2,FALSE),"-") &amp; " / " &amp; IFERROR(VLOOKUP(MID(N17,O17,P17-O17),[5]skilldef!$A:$B,2,FALSE),"-")</f>
        <v>自分自身に / 攻撃頻度がUP</v>
      </c>
      <c r="T17" s="46" t="str">
        <f t="shared" si="10"/>
        <v>[effect:enhance_enemy, target:myself, turn:-1, status:attack, val:0.2, calc:mul, animation:enemy_enhance_attack]</v>
      </c>
      <c r="U17" s="61">
        <f t="shared" si="11"/>
        <v>9</v>
      </c>
      <c r="V17" s="61">
        <f t="shared" si="12"/>
        <v>22</v>
      </c>
      <c r="W17" s="61">
        <f t="shared" si="13"/>
        <v>31</v>
      </c>
      <c r="X17" s="61">
        <f t="shared" si="14"/>
        <v>37</v>
      </c>
      <c r="Y17" s="61" t="str">
        <f>IFERROR(VLOOKUP(MID(T17,W17,X17-W17),[5]skilldef!$C:$D,2,FALSE),"-") &amp; " / " &amp; IFERROR(VLOOKUP(MID(T17,U17,V17-U17),[5]skilldef!$A:$B,2,FALSE),"-")</f>
        <v>自分自身に / ステータス強化</v>
      </c>
      <c r="Z17" s="48"/>
      <c r="AA17" s="50"/>
      <c r="AB17" s="48"/>
    </row>
    <row r="18" spans="1:28" ht="24" customHeight="1" x14ac:dyDescent="0.2">
      <c r="A18" s="171">
        <v>30044017</v>
      </c>
      <c r="B18" s="136" t="s">
        <v>354</v>
      </c>
      <c r="C18" s="258">
        <v>3</v>
      </c>
      <c r="D18" s="48" t="s">
        <v>127</v>
      </c>
      <c r="E18" s="169" t="s">
        <v>344</v>
      </c>
      <c r="F18" s="49" t="s">
        <v>311</v>
      </c>
      <c r="G18" s="61" t="str">
        <f t="shared" si="0"/>
        <v>[effect:enemy_message, val1:2.1, val2:2.3]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32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5"/>
        <v>[effect:invalidate_crash_panel, target:unit_all, turn:3, count:11, animation:enemy_dis_crashPanel],[effect:fix_speed, target:myself, turn:1]</v>
      </c>
      <c r="N18" s="46" t="str">
        <f>IFERROR(LEFT(M18,FIND("],",M18)+#REF!),M18)</f>
        <v>[effect:invalidate_crash_panel, target:unit_all, turn:3, count:11, animation:enemy_dis_crashPanel],[effect:fix_speed, target:myself, turn:1]</v>
      </c>
      <c r="O18" s="61">
        <f t="shared" si="6"/>
        <v>9</v>
      </c>
      <c r="P18" s="61">
        <f t="shared" si="7"/>
        <v>31</v>
      </c>
      <c r="Q18" s="61">
        <f t="shared" si="8"/>
        <v>40</v>
      </c>
      <c r="R18" s="61">
        <f t="shared" si="9"/>
        <v>48</v>
      </c>
      <c r="S18" s="61" t="str">
        <f>IFERROR(VLOOKUP(MID(N18,Q18,R18-Q18),[5]skilldef!$C:$D,2,FALSE),"-") &amp; " / " &amp; IFERROR(VLOOKUP(MID(N18,O18,P18-O18),[5]skilldef!$A:$B,2,FALSE),"-")</f>
        <v>味方全体に / -</v>
      </c>
      <c r="T18" s="46" t="str">
        <f t="shared" si="10"/>
        <v>[effect:fix_speed, target:myself, turn:1]</v>
      </c>
      <c r="U18" s="61">
        <f t="shared" si="11"/>
        <v>9</v>
      </c>
      <c r="V18" s="61">
        <f t="shared" si="12"/>
        <v>18</v>
      </c>
      <c r="W18" s="61">
        <f t="shared" si="13"/>
        <v>27</v>
      </c>
      <c r="X18" s="61">
        <f t="shared" si="14"/>
        <v>33</v>
      </c>
      <c r="Y18" s="61" t="str">
        <f>IFERROR(VLOOKUP(MID(T18,W18,X18-W18),[5]skilldef!$C:$D,2,FALSE),"-") &amp; " / " &amp; IFERROR(VLOOKUP(MID(T18,U18,V18-U18),[5]skilldef!$A:$B,2,FALSE),"-")</f>
        <v>自分自身に / 行動値設定</v>
      </c>
      <c r="Z18" s="48"/>
      <c r="AA18" s="50"/>
      <c r="AB18" s="48"/>
    </row>
    <row r="19" spans="1:28" ht="24" customHeight="1" x14ac:dyDescent="0.2">
      <c r="A19" s="171">
        <v>30044018</v>
      </c>
      <c r="B19" s="136" t="s">
        <v>355</v>
      </c>
      <c r="C19" s="258">
        <v>3</v>
      </c>
      <c r="D19" s="48" t="s">
        <v>127</v>
      </c>
      <c r="E19" s="169" t="s">
        <v>340</v>
      </c>
      <c r="F19" s="49" t="s">
        <v>313</v>
      </c>
      <c r="G19" s="61" t="str">
        <f t="shared" si="0"/>
        <v>[effect:enemy_message, val1:2.0, val2:2.3]</v>
      </c>
      <c r="H19" s="61">
        <f t="shared" si="1"/>
        <v>9</v>
      </c>
      <c r="I19" s="61">
        <f t="shared" si="2"/>
        <v>22</v>
      </c>
      <c r="J19" s="61" t="e">
        <f t="shared" si="3"/>
        <v>#VALUE!</v>
      </c>
      <c r="K19" s="61">
        <f t="shared" si="4"/>
        <v>32</v>
      </c>
      <c r="L19" s="61" t="str">
        <f>IFERROR(VLOOKUP(MID(G19,J19,K19-J19),[5]skilldef!$C:$D,2,FALSE),"-") &amp; " / " &amp; IFERROR(VLOOKUP(MID(G19,H19,I19-H19),[5]skilldef!$A:$B,2,FALSE),"-")</f>
        <v>- / -</v>
      </c>
      <c r="M19" s="61" t="str">
        <f t="shared" si="5"/>
        <v>[effect:invalidate_crash_panel, target:unit_all, turn:3, count:11, animation:enemy_dis_crashPanel]</v>
      </c>
      <c r="N19" s="46" t="str">
        <f>IFERROR(LEFT(M19,FIND("],",M19)+#REF!),M19)</f>
        <v>[effect:invalidate_crash_panel, target:unit_all, turn:3, count:11, animation:enemy_dis_crashPanel]</v>
      </c>
      <c r="O19" s="61">
        <f t="shared" si="6"/>
        <v>9</v>
      </c>
      <c r="P19" s="61">
        <f t="shared" si="7"/>
        <v>31</v>
      </c>
      <c r="Q19" s="61">
        <f t="shared" si="8"/>
        <v>40</v>
      </c>
      <c r="R19" s="61">
        <f t="shared" si="9"/>
        <v>48</v>
      </c>
      <c r="S19" s="61" t="str">
        <f>IFERROR(VLOOKUP(MID(N19,Q19,R19-Q19),[5]skilldef!$C:$D,2,FALSE),"-") &amp; " / " &amp; IFERROR(VLOOKUP(MID(N19,O19,P19-O19),[5]skilldef!$A:$B,2,FALSE),"-")</f>
        <v>味方全体に / -</v>
      </c>
      <c r="T19" s="46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</row>
    <row r="20" spans="1:28" ht="24" customHeight="1" x14ac:dyDescent="0.2">
      <c r="A20" s="171">
        <v>30044019</v>
      </c>
      <c r="B20" s="136" t="s">
        <v>257</v>
      </c>
      <c r="C20" s="258">
        <v>3</v>
      </c>
      <c r="D20" s="48" t="s">
        <v>127</v>
      </c>
      <c r="E20" s="169" t="s">
        <v>342</v>
      </c>
      <c r="F20" s="49" t="s">
        <v>362</v>
      </c>
      <c r="G20" s="61" t="str">
        <f t="shared" si="0"/>
        <v>[effect:virus, target:unit_one, turn:5, rate:1, val:0.24, animation:enemy_virus]</v>
      </c>
      <c r="H20" s="61">
        <f t="shared" si="1"/>
        <v>9</v>
      </c>
      <c r="I20" s="61">
        <f t="shared" si="2"/>
        <v>14</v>
      </c>
      <c r="J20" s="61">
        <f t="shared" si="3"/>
        <v>23</v>
      </c>
      <c r="K20" s="61">
        <f t="shared" si="4"/>
        <v>31</v>
      </c>
      <c r="L20" s="61" t="str">
        <f>IFERROR(VLOOKUP(MID(G20,J20,K20-J20),[5]skilldef!$C:$D,2,FALSE),"-") &amp; " / " &amp; IFERROR(VLOOKUP(MID(G20,H20,I20-H20),[5]skilldef!$A:$B,2,FALSE),"-")</f>
        <v>味方単体に / ウィルス</v>
      </c>
      <c r="M20" s="61" t="str">
        <f t="shared" si="5"/>
        <v>none</v>
      </c>
      <c r="N20" s="46" t="str">
        <f>IFERROR(LEFT(M20,FIND("],",M20)+#REF!),M20)</f>
        <v>none</v>
      </c>
      <c r="O20" s="61" t="e">
        <f t="shared" si="6"/>
        <v>#VALUE!</v>
      </c>
      <c r="P20" s="61">
        <f t="shared" si="7"/>
        <v>4</v>
      </c>
      <c r="Q20" s="61" t="e">
        <f t="shared" si="8"/>
        <v>#VALUE!</v>
      </c>
      <c r="R20" s="61" t="e">
        <f t="shared" si="9"/>
        <v>#VALUE!</v>
      </c>
      <c r="S20" s="61" t="str">
        <f>IFERROR(VLOOKUP(MID(N20,Q20,R20-Q20),[5]skilldef!$C:$D,2,FALSE),"-") &amp; " / " &amp; IFERROR(VLOOKUP(MID(N20,O20,P20-O20),[5]skilldef!$A:$B,2,FALSE),"-")</f>
        <v>- / -</v>
      </c>
      <c r="T20" s="46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</row>
    <row r="21" spans="1:28" ht="24" customHeight="1" x14ac:dyDescent="0.2">
      <c r="A21" s="171">
        <v>30044020</v>
      </c>
      <c r="B21" s="136" t="s">
        <v>356</v>
      </c>
      <c r="C21" s="258">
        <v>3</v>
      </c>
      <c r="D21" s="48" t="s">
        <v>127</v>
      </c>
      <c r="E21" s="169" t="s">
        <v>320</v>
      </c>
      <c r="F21" s="49" t="s">
        <v>272</v>
      </c>
      <c r="G21" s="61" t="str">
        <f t="shared" si="0"/>
        <v>[effect:enemy_message, val1:1.9, val2:2.0]</v>
      </c>
      <c r="H21" s="61">
        <f t="shared" si="1"/>
        <v>9</v>
      </c>
      <c r="I21" s="61">
        <f t="shared" si="2"/>
        <v>22</v>
      </c>
      <c r="J21" s="61" t="e">
        <f t="shared" si="3"/>
        <v>#VALUE!</v>
      </c>
      <c r="K21" s="61">
        <f t="shared" si="4"/>
        <v>32</v>
      </c>
      <c r="L21" s="61" t="str">
        <f>IFERROR(VLOOKUP(MID(G21,J21,K21-J21),[5]skilldef!$C:$D,2,FALSE),"-") &amp; " / " &amp; IFERROR(VLOOKUP(MID(G21,H21,I21-H21),[5]skilldef!$A:$B,2,FALSE),"-")</f>
        <v>- / -</v>
      </c>
      <c r="M21" s="61" t="str">
        <f t="shared" si="5"/>
        <v>[effect:rush, count:5, val:0.24]</v>
      </c>
      <c r="N21" s="46" t="str">
        <f>IFERROR(LEFT(M21,FIND("],",M21)+#REF!),M21)</f>
        <v>[effect:rush, count:5, val:0.24]</v>
      </c>
      <c r="O21" s="61">
        <f t="shared" si="6"/>
        <v>9</v>
      </c>
      <c r="P21" s="61">
        <f t="shared" si="7"/>
        <v>13</v>
      </c>
      <c r="Q21" s="61" t="e">
        <f t="shared" si="8"/>
        <v>#VALUE!</v>
      </c>
      <c r="R21" s="61">
        <f t="shared" si="9"/>
        <v>22</v>
      </c>
      <c r="S21" s="61" t="str">
        <f>IFERROR(VLOOKUP(MID(N21,Q21,R21-Q21),[5]skilldef!$C:$D,2,FALSE),"-") &amp; " / " &amp; IFERROR(VLOOKUP(MID(N21,O21,P21-O21),[5]skilldef!$A:$B,2,FALSE),"-")</f>
        <v>- / 連続攻撃</v>
      </c>
      <c r="T21" s="46" t="str">
        <f t="shared" si="10"/>
        <v>none</v>
      </c>
      <c r="U21" s="61" t="e">
        <f t="shared" si="11"/>
        <v>#VALUE!</v>
      </c>
      <c r="V21" s="61">
        <f t="shared" si="12"/>
        <v>4</v>
      </c>
      <c r="W21" s="61" t="e">
        <f t="shared" si="13"/>
        <v>#VALUE!</v>
      </c>
      <c r="X21" s="61" t="e">
        <f t="shared" si="14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</row>
    <row r="22" spans="1:28" ht="24" customHeight="1" x14ac:dyDescent="0.2">
      <c r="A22" s="171">
        <v>30044021</v>
      </c>
      <c r="B22" s="180" t="s">
        <v>263</v>
      </c>
      <c r="C22" s="258">
        <v>3</v>
      </c>
      <c r="D22" s="48" t="s">
        <v>127</v>
      </c>
      <c r="E22" s="169" t="s">
        <v>321</v>
      </c>
      <c r="F22" s="49" t="s">
        <v>264</v>
      </c>
      <c r="G22" s="61" t="str">
        <f t="shared" si="0"/>
        <v>[effect:critical, val:1.5, animation:enemy_critical]</v>
      </c>
      <c r="H22" s="61">
        <f t="shared" si="1"/>
        <v>9</v>
      </c>
      <c r="I22" s="61">
        <f t="shared" si="2"/>
        <v>17</v>
      </c>
      <c r="J22" s="61" t="e">
        <f t="shared" si="3"/>
        <v>#VALUE!</v>
      </c>
      <c r="K22" s="61">
        <f t="shared" si="4"/>
        <v>26</v>
      </c>
      <c r="L22" s="61" t="str">
        <f>IFERROR(VLOOKUP(MID(G22,J22,K22-J22),[5]skilldef!$C:$D,2,FALSE),"-") &amp; " / " &amp; IFERROR(VLOOKUP(MID(G22,H22,I22-H22),[5]skilldef!$A:$B,2,FALSE),"-")</f>
        <v>- / 大攻撃</v>
      </c>
      <c r="M22" s="61" t="str">
        <f t="shared" si="5"/>
        <v>none</v>
      </c>
      <c r="N22" s="46" t="str">
        <f>IFERROR(LEFT(M22,FIND("],",M22)+#REF!),M22)</f>
        <v>none</v>
      </c>
      <c r="O22" s="61" t="e">
        <f t="shared" si="6"/>
        <v>#VALUE!</v>
      </c>
      <c r="P22" s="61">
        <f t="shared" si="7"/>
        <v>4</v>
      </c>
      <c r="Q22" s="61" t="e">
        <f t="shared" si="8"/>
        <v>#VALUE!</v>
      </c>
      <c r="R22" s="61" t="e">
        <f t="shared" si="9"/>
        <v>#VALUE!</v>
      </c>
      <c r="S22" s="61" t="str">
        <f>IFERROR(VLOOKUP(MID(N22,Q22,R22-Q22),[5]skilldef!$C:$D,2,FALSE),"-") &amp; " / " &amp; IFERROR(VLOOKUP(MID(N22,O22,P22-O22),[5]skilldef!$A:$B,2,FALSE),"-")</f>
        <v>- / -</v>
      </c>
      <c r="T22" s="46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48"/>
    </row>
    <row r="23" spans="1:28" ht="24" customHeight="1" x14ac:dyDescent="0.2">
      <c r="A23" s="171">
        <v>30044022</v>
      </c>
      <c r="B23" s="180" t="s">
        <v>254</v>
      </c>
      <c r="C23" s="258">
        <v>3</v>
      </c>
      <c r="D23" s="48" t="s">
        <v>127</v>
      </c>
      <c r="E23" s="169" t="s">
        <v>369</v>
      </c>
      <c r="F23" s="49" t="s">
        <v>273</v>
      </c>
      <c r="G23" s="61" t="str">
        <f t="shared" si="0"/>
        <v>[effect:rush, count:9, val:0.19]</v>
      </c>
      <c r="H23" s="61">
        <f t="shared" si="1"/>
        <v>9</v>
      </c>
      <c r="I23" s="61">
        <f t="shared" si="2"/>
        <v>13</v>
      </c>
      <c r="J23" s="61" t="e">
        <f t="shared" si="3"/>
        <v>#VALUE!</v>
      </c>
      <c r="K23" s="61">
        <f t="shared" si="4"/>
        <v>22</v>
      </c>
      <c r="L23" s="61" t="str">
        <f>IFERROR(VLOOKUP(MID(G23,J23,K23-J23),[5]skilldef!$C:$D,2,FALSE),"-") &amp; " / " &amp; IFERROR(VLOOKUP(MID(G23,H23,I23-H23),[5]skilldef!$A:$B,2,FALSE),"-")</f>
        <v>- / 連続攻撃</v>
      </c>
      <c r="M23" s="61" t="str">
        <f t="shared" si="5"/>
        <v>none</v>
      </c>
      <c r="N23" s="46" t="str">
        <f>IFERROR(LEFT(M23,FIND("],",M23)+#REF!),M23)</f>
        <v>none</v>
      </c>
      <c r="O23" s="61" t="e">
        <f t="shared" si="6"/>
        <v>#VALUE!</v>
      </c>
      <c r="P23" s="61">
        <f t="shared" si="7"/>
        <v>4</v>
      </c>
      <c r="Q23" s="61" t="e">
        <f t="shared" si="8"/>
        <v>#VALUE!</v>
      </c>
      <c r="R23" s="61" t="e">
        <f t="shared" si="9"/>
        <v>#VALUE!</v>
      </c>
      <c r="S23" s="61" t="str">
        <f>IFERROR(VLOOKUP(MID(N23,Q23,R23-Q23),[5]skilldef!$C:$D,2,FALSE),"-") &amp; " / " &amp; IFERROR(VLOOKUP(MID(N23,O23,P23-O23),[5]skilldef!$A:$B,2,FALSE),"-")</f>
        <v>- / -</v>
      </c>
      <c r="T23" s="46" t="str">
        <f t="shared" si="10"/>
        <v>none</v>
      </c>
      <c r="U23" s="61" t="e">
        <f t="shared" si="11"/>
        <v>#VALUE!</v>
      </c>
      <c r="V23" s="61">
        <f t="shared" si="12"/>
        <v>4</v>
      </c>
      <c r="W23" s="61" t="e">
        <f t="shared" si="13"/>
        <v>#VALUE!</v>
      </c>
      <c r="X23" s="61" t="e">
        <f t="shared" si="14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50"/>
      <c r="AB23" s="48"/>
    </row>
    <row r="24" spans="1:28" ht="24" customHeight="1" x14ac:dyDescent="0.2">
      <c r="A24" s="171">
        <v>30044023</v>
      </c>
      <c r="B24" s="136" t="s">
        <v>336</v>
      </c>
      <c r="C24" s="258">
        <v>3</v>
      </c>
      <c r="D24" s="48" t="s">
        <v>127</v>
      </c>
      <c r="E24" s="169" t="s">
        <v>345</v>
      </c>
      <c r="F24" s="49" t="s">
        <v>327</v>
      </c>
      <c r="G24" s="61" t="str">
        <f t="shared" si="0"/>
        <v>[effect:enemy_message, val1:2.2, val2:2.3]</v>
      </c>
      <c r="H24" s="61">
        <f t="shared" si="1"/>
        <v>9</v>
      </c>
      <c r="I24" s="61">
        <f t="shared" si="2"/>
        <v>22</v>
      </c>
      <c r="J24" s="61" t="e">
        <f t="shared" si="3"/>
        <v>#VALUE!</v>
      </c>
      <c r="K24" s="61">
        <f t="shared" si="4"/>
        <v>32</v>
      </c>
      <c r="L24" s="61" t="str">
        <f>IFERROR(VLOOKUP(MID(G24,J24,K24-J24),[5]skilldef!$C:$D,2,FALSE),"-") &amp; " / " &amp; IFERROR(VLOOKUP(MID(G24,H24,I24-H24),[5]skilldef!$A:$B,2,FALSE),"-")</f>
        <v>- / -</v>
      </c>
      <c r="M24" s="61" t="str">
        <f t="shared" si="5"/>
        <v>none</v>
      </c>
      <c r="N24" s="46" t="str">
        <f>IFERROR(LEFT(M24,FIND("],",M24)+#REF!),M24)</f>
        <v>none</v>
      </c>
      <c r="O24" s="61" t="e">
        <f t="shared" si="6"/>
        <v>#VALUE!</v>
      </c>
      <c r="P24" s="61">
        <f t="shared" si="7"/>
        <v>4</v>
      </c>
      <c r="Q24" s="61" t="e">
        <f t="shared" si="8"/>
        <v>#VALUE!</v>
      </c>
      <c r="R24" s="61" t="e">
        <f t="shared" si="9"/>
        <v>#VALUE!</v>
      </c>
      <c r="S24" s="61" t="str">
        <f>IFERROR(VLOOKUP(MID(N24,Q24,R24-Q24),[5]skilldef!$C:$D,2,FALSE),"-") &amp; " / " &amp; IFERROR(VLOOKUP(MID(N24,O24,P24-O24),[5]skilldef!$A:$B,2,FALSE),"-")</f>
        <v>- / -</v>
      </c>
      <c r="T24" s="46" t="str">
        <f t="shared" si="10"/>
        <v>none</v>
      </c>
      <c r="U24" s="61" t="e">
        <f t="shared" si="11"/>
        <v>#VALUE!</v>
      </c>
      <c r="V24" s="61">
        <f t="shared" si="12"/>
        <v>4</v>
      </c>
      <c r="W24" s="61" t="e">
        <f t="shared" si="13"/>
        <v>#VALUE!</v>
      </c>
      <c r="X24" s="61" t="e">
        <f t="shared" si="14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24" customHeight="1" x14ac:dyDescent="0.2">
      <c r="A25" s="171">
        <v>30044024</v>
      </c>
      <c r="B25" s="136" t="s">
        <v>350</v>
      </c>
      <c r="C25" s="258">
        <v>3</v>
      </c>
      <c r="D25" s="48" t="s">
        <v>127</v>
      </c>
      <c r="E25" s="169" t="s">
        <v>322</v>
      </c>
      <c r="F25" s="49" t="s">
        <v>352</v>
      </c>
      <c r="G25" s="61" t="str">
        <f t="shared" si="0"/>
        <v>[effect:enemy_message, val1:1.8, val2:2.3]</v>
      </c>
      <c r="H25" s="61">
        <f t="shared" si="1"/>
        <v>9</v>
      </c>
      <c r="I25" s="61">
        <f t="shared" si="2"/>
        <v>22</v>
      </c>
      <c r="J25" s="61" t="e">
        <f t="shared" si="3"/>
        <v>#VALUE!</v>
      </c>
      <c r="K25" s="61">
        <f t="shared" si="4"/>
        <v>32</v>
      </c>
      <c r="L25" s="61" t="str">
        <f>IFERROR(VLOOKUP(MID(G25,J25,K25-J25),[5]skilldef!$C:$D,2,FALSE),"-") &amp; " / " &amp; IFERROR(VLOOKUP(MID(G25,H25,I25-H25),[5]skilldef!$A:$B,2,FALSE),"-")</f>
        <v>- / -</v>
      </c>
      <c r="M25" s="61" t="str">
        <f t="shared" si="5"/>
        <v>[effect:rush, count:17, val:0.17]</v>
      </c>
      <c r="N25" s="46" t="str">
        <f>IFERROR(LEFT(M25,FIND("],",M25)+#REF!),M25)</f>
        <v>[effect:rush, count:17, val:0.17]</v>
      </c>
      <c r="O25" s="61">
        <f t="shared" si="6"/>
        <v>9</v>
      </c>
      <c r="P25" s="61">
        <f t="shared" si="7"/>
        <v>13</v>
      </c>
      <c r="Q25" s="61" t="e">
        <f t="shared" si="8"/>
        <v>#VALUE!</v>
      </c>
      <c r="R25" s="61">
        <f t="shared" si="9"/>
        <v>23</v>
      </c>
      <c r="S25" s="61" t="str">
        <f>IFERROR(VLOOKUP(MID(N25,Q25,R25-Q25),[5]skilldef!$C:$D,2,FALSE),"-") &amp; " / " &amp; IFERROR(VLOOKUP(MID(N25,O25,P25-O25),[5]skilldef!$A:$B,2,FALSE),"-")</f>
        <v>- / 連続攻撃</v>
      </c>
      <c r="T25" s="46" t="str">
        <f t="shared" si="10"/>
        <v>none</v>
      </c>
      <c r="U25" s="61" t="e">
        <f t="shared" si="11"/>
        <v>#VALUE!</v>
      </c>
      <c r="V25" s="61">
        <f t="shared" si="12"/>
        <v>4</v>
      </c>
      <c r="W25" s="61" t="e">
        <f t="shared" si="13"/>
        <v>#VALUE!</v>
      </c>
      <c r="X25" s="61" t="e">
        <f t="shared" si="14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48"/>
    </row>
    <row r="26" spans="1:28" ht="24" customHeight="1" thickBot="1" x14ac:dyDescent="0.25">
      <c r="A26" s="171">
        <v>30044025</v>
      </c>
      <c r="B26" s="155" t="s">
        <v>278</v>
      </c>
      <c r="C26" s="259">
        <v>3</v>
      </c>
      <c r="D26" s="156" t="s">
        <v>127</v>
      </c>
      <c r="E26" s="202" t="s">
        <v>314</v>
      </c>
      <c r="F26" s="157" t="s">
        <v>267</v>
      </c>
      <c r="G26" s="203" t="str">
        <f t="shared" si="0"/>
        <v>[effect:enemy_message, val1:2.4, val2:2.8]</v>
      </c>
      <c r="H26" s="203">
        <f t="shared" si="1"/>
        <v>9</v>
      </c>
      <c r="I26" s="203">
        <f t="shared" si="2"/>
        <v>22</v>
      </c>
      <c r="J26" s="203" t="e">
        <f t="shared" si="3"/>
        <v>#VALUE!</v>
      </c>
      <c r="K26" s="203">
        <f t="shared" si="4"/>
        <v>32</v>
      </c>
      <c r="L26" s="61" t="str">
        <f>IFERROR(VLOOKUP(MID(G26,J26,K26-J26),[5]skilldef!$C:$D,2,FALSE),"-") &amp; " / " &amp; IFERROR(VLOOKUP(MID(G26,H26,I26-H26),[5]skilldef!$A:$B,2,FALSE),"-")</f>
        <v>- / -</v>
      </c>
      <c r="M26" s="61" t="str">
        <f t="shared" si="5"/>
        <v>none</v>
      </c>
      <c r="N26" s="46" t="str">
        <f>IFERROR(LEFT(M26,FIND("],",M26)+#REF!),M26)</f>
        <v>none</v>
      </c>
      <c r="O26" s="61" t="e">
        <f t="shared" si="6"/>
        <v>#VALUE!</v>
      </c>
      <c r="P26" s="61">
        <f t="shared" si="7"/>
        <v>4</v>
      </c>
      <c r="Q26" s="61" t="e">
        <f t="shared" si="8"/>
        <v>#VALUE!</v>
      </c>
      <c r="R26" s="61" t="e">
        <f t="shared" si="9"/>
        <v>#VALUE!</v>
      </c>
      <c r="S26" s="61" t="str">
        <f>IFERROR(VLOOKUP(MID(N26,Q26,R26-Q26),[5]skilldef!$C:$D,2,FALSE),"-") &amp; " / " &amp; IFERROR(VLOOKUP(MID(N26,O26,P26-O26),[5]skilldef!$A:$B,2,FALSE),"-")</f>
        <v>- / -</v>
      </c>
      <c r="T26" s="46" t="str">
        <f t="shared" si="10"/>
        <v>none</v>
      </c>
      <c r="U26" s="61" t="e">
        <f t="shared" si="11"/>
        <v>#VALUE!</v>
      </c>
      <c r="V26" s="61">
        <f t="shared" si="12"/>
        <v>4</v>
      </c>
      <c r="W26" s="61" t="e">
        <f t="shared" si="13"/>
        <v>#VALUE!</v>
      </c>
      <c r="X26" s="61" t="e">
        <f t="shared" si="14"/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  <row r="27" spans="1:28" ht="24" customHeight="1" thickTop="1" x14ac:dyDescent="0.2">
      <c r="A27" s="216">
        <v>30044026</v>
      </c>
      <c r="B27" s="162" t="s">
        <v>337</v>
      </c>
      <c r="C27" s="260">
        <v>3</v>
      </c>
      <c r="D27" s="163" t="s">
        <v>127</v>
      </c>
      <c r="E27" s="221" t="s">
        <v>310</v>
      </c>
      <c r="F27" s="164" t="s">
        <v>363</v>
      </c>
      <c r="G27" s="61" t="str">
        <f t="shared" ref="G27:G31" si="15">IFERROR(LEFT(B27,FIND("],",B27)),B27)</f>
        <v>[effect:enemy_message, val1:1.8, val2:2.3]</v>
      </c>
      <c r="H27" s="61">
        <f t="shared" ref="H27:H31" si="16">FIND("effect:",G27)+7</f>
        <v>9</v>
      </c>
      <c r="I27" s="61">
        <f t="shared" ref="I27:I31" si="17">IFERROR(FIND(",",G27),LEN(G27))</f>
        <v>22</v>
      </c>
      <c r="J27" s="61" t="e">
        <f t="shared" ref="J27:J31" si="18">FIND("target:",G27)+7</f>
        <v>#VALUE!</v>
      </c>
      <c r="K27" s="61">
        <f t="shared" ref="K27:K31" si="19">FIND(",",G27,I27+1)</f>
        <v>32</v>
      </c>
      <c r="L27" s="61" t="str">
        <f>IFERROR(VLOOKUP(MID(G27,J27,K27-J27),[5]skilldef!$C:$D,2,FALSE),"-") &amp; " / " &amp; IFERROR(VLOOKUP(MID(G27,H27,I27-H27),[5]skilldef!$A:$B,2,FALSE),"-")</f>
        <v>- / -</v>
      </c>
      <c r="M27" s="61" t="str">
        <f t="shared" ref="M27:M31" si="20">IFERROR(RIGHT(B27,LEN(B27)-FIND("],",B27)-1),"none")</f>
        <v>[effect:degrade_unit, target:unit_all, turn:-1, status:heal, val:0.7, calc:mul, animation:degrade_unit_all_heal],[effect:fix_speed, target:myself, turn:2]</v>
      </c>
      <c r="N27" s="46" t="str">
        <f>IFERROR(LEFT(M27,FIND("],",M27)+S36),M27)</f>
        <v>[effect:degrade_unit, target:unit_all, turn:-1, status:heal, val:0.7, calc:mul, animation:degrade_unit_all_heal],[effect:fix_speed, target:myself, turn:2]</v>
      </c>
      <c r="O27" s="61">
        <f t="shared" ref="O27:O31" si="21">FIND("effect:",N27)+7</f>
        <v>9</v>
      </c>
      <c r="P27" s="61">
        <f t="shared" ref="P27:P31" si="22">IFERROR(FIND(",",N27),LEN(N27))</f>
        <v>21</v>
      </c>
      <c r="Q27" s="61">
        <f t="shared" ref="Q27:Q31" si="23">FIND("target:",N27)+7</f>
        <v>30</v>
      </c>
      <c r="R27" s="61">
        <f t="shared" ref="R27:R31" si="24">FIND(",",N27,P27+1)</f>
        <v>38</v>
      </c>
      <c r="S27" s="61" t="str">
        <f>IFERROR(VLOOKUP(MID(N27,Q27,R27-Q27),[5]skilldef!$C:$D,2,FALSE),"-") &amp; " / " &amp; IFERROR(VLOOKUP(MID(N27,O27,P27-O27),[5]skilldef!$A:$B,2,FALSE),"-")</f>
        <v>味方全体に / ステータスDOWN</v>
      </c>
      <c r="T27" s="46" t="str">
        <f t="shared" ref="T27:T31" si="25">IFERROR(RIGHT(M27,LEN(M27)-FIND("],",M27)-1),"none")</f>
        <v>[effect:fix_speed, target:myself, turn:2]</v>
      </c>
      <c r="U27" s="61">
        <f t="shared" ref="U27:U31" si="26">FIND("effect:",T27)+7</f>
        <v>9</v>
      </c>
      <c r="V27" s="61">
        <f t="shared" ref="V27:V31" si="27">IFERROR(FIND(",",T27),LEN(T27))</f>
        <v>18</v>
      </c>
      <c r="W27" s="61">
        <f t="shared" ref="W27:W31" si="28">FIND("target:",T27)+7</f>
        <v>27</v>
      </c>
      <c r="X27" s="61">
        <f t="shared" ref="X27:X31" si="29">FIND(",",T27,V27+1)</f>
        <v>33</v>
      </c>
      <c r="Y27" s="61" t="str">
        <f>IFERROR(VLOOKUP(MID(T27,W27,X27-W27),[5]skilldef!$C:$D,2,FALSE),"-") &amp; " / " &amp; IFERROR(VLOOKUP(MID(T27,U27,V27-U27),[5]skilldef!$A:$B,2,FALSE),"-")</f>
        <v>自分自身に / 行動値設定</v>
      </c>
      <c r="Z27" s="48"/>
      <c r="AA27" s="50"/>
      <c r="AB27" s="48"/>
    </row>
    <row r="28" spans="1:28" ht="24" customHeight="1" x14ac:dyDescent="0.2">
      <c r="A28" s="216">
        <v>30044027</v>
      </c>
      <c r="B28" s="136" t="s">
        <v>358</v>
      </c>
      <c r="C28" s="258">
        <v>3</v>
      </c>
      <c r="D28" s="48" t="s">
        <v>127</v>
      </c>
      <c r="E28" s="207" t="s">
        <v>275</v>
      </c>
      <c r="F28" s="49" t="s">
        <v>303</v>
      </c>
      <c r="G28" s="61" t="str">
        <f t="shared" si="15"/>
        <v>[effect:enemy_message, val1:1.8, val2:2.0]</v>
      </c>
      <c r="H28" s="61">
        <f t="shared" si="16"/>
        <v>9</v>
      </c>
      <c r="I28" s="61">
        <f t="shared" si="17"/>
        <v>22</v>
      </c>
      <c r="J28" s="61" t="e">
        <f t="shared" si="18"/>
        <v>#VALUE!</v>
      </c>
      <c r="K28" s="61">
        <f t="shared" si="19"/>
        <v>32</v>
      </c>
      <c r="L28" s="61" t="str">
        <f>IFERROR(VLOOKUP(MID(G28,J28,K28-J28),[5]skilldef!$C:$D,2,FALSE),"-") &amp; " / " &amp; IFERROR(VLOOKUP(MID(G28,H28,I28-H28),[5]skilldef!$A:$B,2,FALSE),"-")</f>
        <v>- / -</v>
      </c>
      <c r="M28" s="61" t="str">
        <f t="shared" si="20"/>
        <v>[effect:virus, turn:2, rate:1, val:0.07, animation:enemy_virus]</v>
      </c>
      <c r="N28" s="46" t="str">
        <f>IFERROR(LEFT(M28,FIND("],",M28)+S38),M28)</f>
        <v>[effect:virus, turn:2, rate:1, val:0.07, animation:enemy_virus]</v>
      </c>
      <c r="O28" s="61">
        <f t="shared" si="21"/>
        <v>9</v>
      </c>
      <c r="P28" s="61">
        <f t="shared" si="22"/>
        <v>14</v>
      </c>
      <c r="Q28" s="61" t="e">
        <f t="shared" si="23"/>
        <v>#VALUE!</v>
      </c>
      <c r="R28" s="61">
        <f t="shared" si="24"/>
        <v>22</v>
      </c>
      <c r="S28" s="61" t="str">
        <f>IFERROR(VLOOKUP(MID(N28,Q28,R28-Q28),[5]skilldef!$C:$D,2,FALSE),"-") &amp; " / " &amp; IFERROR(VLOOKUP(MID(N28,O28,P28-O28),[5]skilldef!$A:$B,2,FALSE),"-")</f>
        <v>- / ウィルス</v>
      </c>
      <c r="T28" s="46" t="str">
        <f t="shared" si="25"/>
        <v>none</v>
      </c>
      <c r="U28" s="61" t="e">
        <f t="shared" si="26"/>
        <v>#VALUE!</v>
      </c>
      <c r="V28" s="61">
        <f t="shared" si="27"/>
        <v>4</v>
      </c>
      <c r="W28" s="61" t="e">
        <f t="shared" si="28"/>
        <v>#VALUE!</v>
      </c>
      <c r="X28" s="61" t="e">
        <f t="shared" si="29"/>
        <v>#VALUE!</v>
      </c>
      <c r="Y28" s="61" t="str">
        <f>IFERROR(VLOOKUP(MID(T28,W28,X28-W28),[5]skilldef!$C:$D,2,FALSE),"-") &amp; " / " &amp; IFERROR(VLOOKUP(MID(T28,U28,V28-U28),[5]skilldef!$A:$B,2,FALSE),"-")</f>
        <v>- / -</v>
      </c>
      <c r="Z28" s="48"/>
      <c r="AA28" s="50"/>
      <c r="AB28" s="48"/>
    </row>
    <row r="29" spans="1:28" ht="24" customHeight="1" x14ac:dyDescent="0.2">
      <c r="A29" s="216">
        <v>30044028</v>
      </c>
      <c r="B29" s="136" t="s">
        <v>357</v>
      </c>
      <c r="C29" s="258">
        <v>3</v>
      </c>
      <c r="D29" s="48" t="s">
        <v>127</v>
      </c>
      <c r="E29" s="208" t="s">
        <v>277</v>
      </c>
      <c r="F29" s="49" t="s">
        <v>304</v>
      </c>
      <c r="G29" s="61" t="str">
        <f t="shared" si="15"/>
        <v>[effect:enemy_message, val1:1.6, val2:1.8]</v>
      </c>
      <c r="H29" s="61">
        <f t="shared" si="16"/>
        <v>9</v>
      </c>
      <c r="I29" s="61">
        <f t="shared" si="17"/>
        <v>22</v>
      </c>
      <c r="J29" s="61" t="e">
        <f t="shared" si="18"/>
        <v>#VALUE!</v>
      </c>
      <c r="K29" s="61">
        <f t="shared" si="19"/>
        <v>32</v>
      </c>
      <c r="L29" s="61" t="str">
        <f>IFERROR(VLOOKUP(MID(G29,J29,K29-J29),[5]skilldef!$C:$D,2,FALSE),"-") &amp; " / " &amp; IFERROR(VLOOKUP(MID(G29,H29,I29-H29),[5]skilldef!$A:$B,2,FALSE),"-")</f>
        <v>- / -</v>
      </c>
      <c r="M29" s="61" t="str">
        <f t="shared" si="20"/>
        <v>[effect:virus, turn:2, rate:1, val:0.07, animation:enemy_virus]</v>
      </c>
      <c r="N29" s="46" t="str">
        <f>IFERROR(LEFT(M29,FIND("],",M29)+S40),M29)</f>
        <v>[effect:virus, turn:2, rate:1, val:0.07, animation:enemy_virus]</v>
      </c>
      <c r="O29" s="61">
        <f t="shared" si="21"/>
        <v>9</v>
      </c>
      <c r="P29" s="61">
        <f t="shared" si="22"/>
        <v>14</v>
      </c>
      <c r="Q29" s="61" t="e">
        <f t="shared" si="23"/>
        <v>#VALUE!</v>
      </c>
      <c r="R29" s="61">
        <f t="shared" si="24"/>
        <v>22</v>
      </c>
      <c r="S29" s="61" t="str">
        <f>IFERROR(VLOOKUP(MID(N29,Q29,R29-Q29),[5]skilldef!$C:$D,2,FALSE),"-") &amp; " / " &amp; IFERROR(VLOOKUP(MID(N29,O29,P29-O29),[5]skilldef!$A:$B,2,FALSE),"-")</f>
        <v>- / ウィルス</v>
      </c>
      <c r="T29" s="46" t="str">
        <f t="shared" si="25"/>
        <v>none</v>
      </c>
      <c r="U29" s="61" t="e">
        <f t="shared" si="26"/>
        <v>#VALUE!</v>
      </c>
      <c r="V29" s="61">
        <f t="shared" si="27"/>
        <v>4</v>
      </c>
      <c r="W29" s="61" t="e">
        <f t="shared" si="28"/>
        <v>#VALUE!</v>
      </c>
      <c r="X29" s="61" t="e">
        <f t="shared" si="29"/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48"/>
      <c r="AA29" s="50"/>
      <c r="AB29" s="48"/>
    </row>
    <row r="30" spans="1:28" ht="24" customHeight="1" x14ac:dyDescent="0.2">
      <c r="A30" s="216">
        <v>30044029</v>
      </c>
      <c r="B30" s="136" t="s">
        <v>308</v>
      </c>
      <c r="C30" s="258">
        <v>3</v>
      </c>
      <c r="D30" s="48" t="s">
        <v>127</v>
      </c>
      <c r="E30" s="208" t="s">
        <v>266</v>
      </c>
      <c r="F30" s="49" t="s">
        <v>268</v>
      </c>
      <c r="G30" s="61" t="str">
        <f t="shared" si="15"/>
        <v>[effect:rush, count:3, val:0.42]</v>
      </c>
      <c r="H30" s="61">
        <f t="shared" si="16"/>
        <v>9</v>
      </c>
      <c r="I30" s="61">
        <f t="shared" si="17"/>
        <v>13</v>
      </c>
      <c r="J30" s="61" t="e">
        <f t="shared" si="18"/>
        <v>#VALUE!</v>
      </c>
      <c r="K30" s="61">
        <f t="shared" si="19"/>
        <v>22</v>
      </c>
      <c r="L30" s="61" t="str">
        <f>IFERROR(VLOOKUP(MID(G30,J30,K30-J30),[5]skilldef!$C:$D,2,FALSE),"-") &amp; " / " &amp; IFERROR(VLOOKUP(MID(G30,H30,I30-H30),[5]skilldef!$A:$B,2,FALSE),"-")</f>
        <v>- / 連続攻撃</v>
      </c>
      <c r="M30" s="61" t="str">
        <f t="shared" si="20"/>
        <v>none</v>
      </c>
      <c r="N30" s="46" t="str">
        <f>IFERROR(LEFT(M30,FIND("],",M30)+#REF!),M30)</f>
        <v>none</v>
      </c>
      <c r="O30" s="61" t="e">
        <f t="shared" si="21"/>
        <v>#VALUE!</v>
      </c>
      <c r="P30" s="61">
        <f t="shared" si="22"/>
        <v>4</v>
      </c>
      <c r="Q30" s="61" t="e">
        <f t="shared" si="23"/>
        <v>#VALUE!</v>
      </c>
      <c r="R30" s="61" t="e">
        <f t="shared" si="24"/>
        <v>#VALUE!</v>
      </c>
      <c r="S30" s="61" t="str">
        <f>IFERROR(VLOOKUP(MID(N30,Q30,R30-Q30),[5]skilldef!$C:$D,2,FALSE),"-") &amp; " / " &amp; IFERROR(VLOOKUP(MID(N30,O30,P30-O30),[5]skilldef!$A:$B,2,FALSE),"-")</f>
        <v>- / -</v>
      </c>
      <c r="T30" s="46" t="str">
        <f t="shared" si="25"/>
        <v>none</v>
      </c>
      <c r="U30" s="61" t="e">
        <f t="shared" si="26"/>
        <v>#VALUE!</v>
      </c>
      <c r="V30" s="61">
        <f t="shared" si="27"/>
        <v>4</v>
      </c>
      <c r="W30" s="61" t="e">
        <f t="shared" si="28"/>
        <v>#VALUE!</v>
      </c>
      <c r="X30" s="61" t="e">
        <f t="shared" si="29"/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48"/>
      <c r="AA30" s="50"/>
      <c r="AB30" s="48"/>
    </row>
    <row r="31" spans="1:28" ht="24" customHeight="1" thickBot="1" x14ac:dyDescent="0.25">
      <c r="A31" s="216">
        <v>30044030</v>
      </c>
      <c r="B31" s="155" t="s">
        <v>309</v>
      </c>
      <c r="C31" s="259">
        <v>3</v>
      </c>
      <c r="D31" s="156" t="s">
        <v>127</v>
      </c>
      <c r="E31" s="223" t="s">
        <v>276</v>
      </c>
      <c r="F31" s="157" t="s">
        <v>268</v>
      </c>
      <c r="G31" s="61" t="str">
        <f t="shared" si="15"/>
        <v>[effect:rush, count:3, val:0.4]</v>
      </c>
      <c r="H31" s="61">
        <f t="shared" si="16"/>
        <v>9</v>
      </c>
      <c r="I31" s="61">
        <f t="shared" si="17"/>
        <v>13</v>
      </c>
      <c r="J31" s="61" t="e">
        <f t="shared" si="18"/>
        <v>#VALUE!</v>
      </c>
      <c r="K31" s="61">
        <f t="shared" si="19"/>
        <v>22</v>
      </c>
      <c r="L31" s="61" t="str">
        <f>IFERROR(VLOOKUP(MID(G31,J31,K31-J31),[5]skilldef!$C:$D,2,FALSE),"-") &amp; " / " &amp; IFERROR(VLOOKUP(MID(G31,H31,I31-H31),[5]skilldef!$A:$B,2,FALSE),"-")</f>
        <v>- / 連続攻撃</v>
      </c>
      <c r="M31" s="61" t="str">
        <f t="shared" si="20"/>
        <v>none</v>
      </c>
      <c r="N31" s="46" t="str">
        <f>IFERROR(LEFT(M31,FIND("],",M31)+S39),M31)</f>
        <v>none</v>
      </c>
      <c r="O31" s="61" t="e">
        <f t="shared" si="21"/>
        <v>#VALUE!</v>
      </c>
      <c r="P31" s="61">
        <f t="shared" si="22"/>
        <v>4</v>
      </c>
      <c r="Q31" s="61" t="e">
        <f t="shared" si="23"/>
        <v>#VALUE!</v>
      </c>
      <c r="R31" s="61" t="e">
        <f t="shared" si="24"/>
        <v>#VALUE!</v>
      </c>
      <c r="S31" s="61" t="str">
        <f>IFERROR(VLOOKUP(MID(N31,Q31,R31-Q31),[5]skilldef!$C:$D,2,FALSE),"-") &amp; " / " &amp; IFERROR(VLOOKUP(MID(N31,O31,P31-O31),[5]skilldef!$A:$B,2,FALSE),"-")</f>
        <v>- / -</v>
      </c>
      <c r="T31" s="46" t="str">
        <f t="shared" si="25"/>
        <v>none</v>
      </c>
      <c r="U31" s="61" t="e">
        <f t="shared" si="26"/>
        <v>#VALUE!</v>
      </c>
      <c r="V31" s="61">
        <f t="shared" si="27"/>
        <v>4</v>
      </c>
      <c r="W31" s="61" t="e">
        <f t="shared" si="28"/>
        <v>#VALUE!</v>
      </c>
      <c r="X31" s="61" t="e">
        <f t="shared" si="29"/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48"/>
      <c r="AA31" s="50"/>
      <c r="AB31" s="48"/>
    </row>
    <row r="32" spans="1:28" ht="24" customHeight="1" thickTop="1" x14ac:dyDescent="0.2">
      <c r="A32" s="211">
        <v>30044031</v>
      </c>
      <c r="B32" s="204" t="s">
        <v>348</v>
      </c>
      <c r="C32" s="262">
        <v>3</v>
      </c>
      <c r="D32" s="152" t="s">
        <v>127</v>
      </c>
      <c r="E32" s="212" t="s">
        <v>344</v>
      </c>
      <c r="F32" s="207" t="s">
        <v>359</v>
      </c>
      <c r="G32" s="199" t="str">
        <f t="shared" ref="G32:G39" si="30">IFERROR(LEFT(B32,FIND("],",B32)),B32)</f>
        <v>[effect:enemy_message, val1:1.9, val2:2.5]</v>
      </c>
      <c r="H32" s="199">
        <f t="shared" ref="H32:H39" si="31">FIND("effect:",G32)+7</f>
        <v>9</v>
      </c>
      <c r="I32" s="199">
        <f t="shared" ref="I32:I39" si="32">IFERROR(FIND(",",G32),LEN(G32))</f>
        <v>22</v>
      </c>
      <c r="J32" s="199" t="e">
        <f t="shared" ref="J32:J39" si="33">FIND("target:",G32)+7</f>
        <v>#VALUE!</v>
      </c>
      <c r="K32" s="199">
        <f t="shared" ref="K32:K39" si="34">FIND(",",G32,I32+1)</f>
        <v>32</v>
      </c>
      <c r="L32" s="199" t="str">
        <f>IFERROR(VLOOKUP(MID(G32,J32,K32-J32),[5]skilldef!$C:$D,2,FALSE),"-") &amp; " / " &amp; IFERROR(VLOOKUP(MID(G32,H32,I32-H32),[5]skilldef!$A:$B,2,FALSE),"-")</f>
        <v>- / -</v>
      </c>
      <c r="M32" s="199" t="str">
        <f t="shared" ref="M32:M39" si="35">IFERROR(RIGHT(B32,LEN(B32)-FIND("],",B32)-1),"none")</f>
        <v>[effect:fix_speed, target:myself, turn:1]</v>
      </c>
      <c r="N32" s="175" t="str">
        <f>IFERROR(LEFT(M32,FIND("],",M32)+#REF!),M32)</f>
        <v>[effect:fix_speed, target:myself, turn:1]</v>
      </c>
      <c r="O32" s="199">
        <f t="shared" ref="O32:O39" si="36">FIND("effect:",N32)+7</f>
        <v>9</v>
      </c>
      <c r="P32" s="199">
        <f t="shared" ref="P32:P39" si="37">IFERROR(FIND(",",N32),LEN(N32))</f>
        <v>18</v>
      </c>
      <c r="Q32" s="199">
        <f t="shared" ref="Q32:Q39" si="38">FIND("target:",N32)+7</f>
        <v>27</v>
      </c>
      <c r="R32" s="199">
        <f t="shared" ref="R32:R39" si="39">FIND(",",N32,P32+1)</f>
        <v>33</v>
      </c>
      <c r="S32" s="199" t="str">
        <f>IFERROR(VLOOKUP(MID(N32,Q32,R32-Q32),[5]skilldef!$C:$D,2,FALSE),"-") &amp; " / " &amp; IFERROR(VLOOKUP(MID(N32,O32,P32-O32),[5]skilldef!$A:$B,2,FALSE),"-")</f>
        <v>自分自身に / 行動値設定</v>
      </c>
      <c r="T32" s="175" t="str">
        <f t="shared" ref="T32:T39" si="40">IFERROR(RIGHT(M32,LEN(M32)-FIND("],",M32)-1),"none")</f>
        <v>none</v>
      </c>
      <c r="U32" s="199" t="e">
        <f t="shared" ref="U32:U39" si="41">FIND("effect:",T32)+7</f>
        <v>#VALUE!</v>
      </c>
      <c r="V32" s="199">
        <f t="shared" ref="V32:V39" si="42">IFERROR(FIND(",",T32),LEN(T32))</f>
        <v>4</v>
      </c>
      <c r="W32" s="199" t="e">
        <f t="shared" ref="W32:W39" si="43">FIND("target:",T32)+7</f>
        <v>#VALUE!</v>
      </c>
      <c r="X32" s="199" t="e">
        <f t="shared" ref="X32:X39" si="44">FIND(",",T32,V32+1)</f>
        <v>#VALUE!</v>
      </c>
      <c r="Y32" s="199" t="str">
        <f>IFERROR(VLOOKUP(MID(T32,W32,X32-W32),[5]skilldef!$C:$D,2,FALSE),"-") &amp; " / " &amp; IFERROR(VLOOKUP(MID(T32,U32,V32-U32),[5]skilldef!$A:$B,2,FALSE),"-")</f>
        <v>- / -</v>
      </c>
      <c r="Z32" s="152"/>
      <c r="AA32" s="200"/>
      <c r="AB32" s="152"/>
    </row>
    <row r="33" spans="1:28" ht="24" customHeight="1" x14ac:dyDescent="0.2">
      <c r="A33" s="211">
        <v>30044032</v>
      </c>
      <c r="B33" s="205" t="s">
        <v>257</v>
      </c>
      <c r="C33" s="258">
        <v>3</v>
      </c>
      <c r="D33" s="48" t="s">
        <v>127</v>
      </c>
      <c r="E33" s="213" t="s">
        <v>342</v>
      </c>
      <c r="F33" s="208" t="s">
        <v>364</v>
      </c>
      <c r="G33" s="61" t="str">
        <f t="shared" si="30"/>
        <v>[effect:virus, target:unit_one, turn:5, rate:1, val:0.24, animation:enemy_virus]</v>
      </c>
      <c r="H33" s="61">
        <f t="shared" si="31"/>
        <v>9</v>
      </c>
      <c r="I33" s="61">
        <f t="shared" si="32"/>
        <v>14</v>
      </c>
      <c r="J33" s="61">
        <f t="shared" si="33"/>
        <v>23</v>
      </c>
      <c r="K33" s="61">
        <f t="shared" si="34"/>
        <v>31</v>
      </c>
      <c r="L33" s="61" t="str">
        <f>IFERROR(VLOOKUP(MID(G33,J33,K33-J33),[5]skilldef!$C:$D,2,FALSE),"-") &amp; " / " &amp; IFERROR(VLOOKUP(MID(G33,H33,I33-H33),[5]skilldef!$A:$B,2,FALSE),"-")</f>
        <v>味方単体に / ウィルス</v>
      </c>
      <c r="M33" s="61" t="str">
        <f t="shared" si="35"/>
        <v>none</v>
      </c>
      <c r="N33" s="46" t="str">
        <f>IFERROR(LEFT(M33,FIND("],",M33)+#REF!),M33)</f>
        <v>none</v>
      </c>
      <c r="O33" s="61" t="e">
        <f t="shared" si="36"/>
        <v>#VALUE!</v>
      </c>
      <c r="P33" s="61">
        <f t="shared" si="37"/>
        <v>4</v>
      </c>
      <c r="Q33" s="61" t="e">
        <f t="shared" si="38"/>
        <v>#VALUE!</v>
      </c>
      <c r="R33" s="61" t="e">
        <f t="shared" si="39"/>
        <v>#VALUE!</v>
      </c>
      <c r="S33" s="61" t="str">
        <f>IFERROR(VLOOKUP(MID(N33,Q33,R33-Q33),[5]skilldef!$C:$D,2,FALSE),"-") &amp; " / " &amp; IFERROR(VLOOKUP(MID(N33,O33,P33-O33),[5]skilldef!$A:$B,2,FALSE),"-")</f>
        <v>- / -</v>
      </c>
      <c r="T33" s="46" t="str">
        <f t="shared" si="40"/>
        <v>none</v>
      </c>
      <c r="U33" s="61" t="e">
        <f t="shared" si="41"/>
        <v>#VALUE!</v>
      </c>
      <c r="V33" s="61">
        <f t="shared" si="42"/>
        <v>4</v>
      </c>
      <c r="W33" s="61" t="e">
        <f t="shared" si="43"/>
        <v>#VALUE!</v>
      </c>
      <c r="X33" s="61" t="e">
        <f t="shared" si="44"/>
        <v>#VALUE!</v>
      </c>
      <c r="Y33" s="61" t="str">
        <f>IFERROR(VLOOKUP(MID(T33,W33,X33-W33),[5]skilldef!$C:$D,2,FALSE),"-") &amp; " / " &amp; IFERROR(VLOOKUP(MID(T33,U33,V33-U33),[5]skilldef!$A:$B,2,FALSE),"-")</f>
        <v>- / -</v>
      </c>
      <c r="Z33" s="48"/>
      <c r="AA33" s="50"/>
      <c r="AB33" s="48"/>
    </row>
    <row r="34" spans="1:28" ht="24" customHeight="1" x14ac:dyDescent="0.2">
      <c r="A34" s="211">
        <v>30044033</v>
      </c>
      <c r="B34" s="205" t="s">
        <v>326</v>
      </c>
      <c r="C34" s="258">
        <v>3</v>
      </c>
      <c r="D34" s="48" t="s">
        <v>127</v>
      </c>
      <c r="E34" s="213" t="s">
        <v>320</v>
      </c>
      <c r="F34" s="208" t="s">
        <v>272</v>
      </c>
      <c r="G34" s="61" t="str">
        <f t="shared" si="30"/>
        <v>[effect:rush, count:5, val:0.24]</v>
      </c>
      <c r="H34" s="61">
        <f t="shared" si="31"/>
        <v>9</v>
      </c>
      <c r="I34" s="61">
        <f t="shared" si="32"/>
        <v>13</v>
      </c>
      <c r="J34" s="61" t="e">
        <f t="shared" si="33"/>
        <v>#VALUE!</v>
      </c>
      <c r="K34" s="61">
        <f t="shared" si="34"/>
        <v>22</v>
      </c>
      <c r="L34" s="61" t="str">
        <f>IFERROR(VLOOKUP(MID(G34,J34,K34-J34),[5]skilldef!$C:$D,2,FALSE),"-") &amp; " / " &amp; IFERROR(VLOOKUP(MID(G34,H34,I34-H34),[5]skilldef!$A:$B,2,FALSE),"-")</f>
        <v>- / 連続攻撃</v>
      </c>
      <c r="M34" s="61" t="str">
        <f t="shared" si="35"/>
        <v>none</v>
      </c>
      <c r="N34" s="46" t="str">
        <f>IFERROR(LEFT(M34,FIND("],",M34)+#REF!),M34)</f>
        <v>none</v>
      </c>
      <c r="O34" s="61" t="e">
        <f t="shared" si="36"/>
        <v>#VALUE!</v>
      </c>
      <c r="P34" s="61">
        <f t="shared" si="37"/>
        <v>4</v>
      </c>
      <c r="Q34" s="61" t="e">
        <f t="shared" si="38"/>
        <v>#VALUE!</v>
      </c>
      <c r="R34" s="61" t="e">
        <f t="shared" si="39"/>
        <v>#VALUE!</v>
      </c>
      <c r="S34" s="61" t="str">
        <f>IFERROR(VLOOKUP(MID(N34,Q34,R34-Q34),[5]skilldef!$C:$D,2,FALSE),"-") &amp; " / " &amp; IFERROR(VLOOKUP(MID(N34,O34,P34-O34),[5]skilldef!$A:$B,2,FALSE),"-")</f>
        <v>- / -</v>
      </c>
      <c r="T34" s="46" t="str">
        <f t="shared" si="40"/>
        <v>none</v>
      </c>
      <c r="U34" s="61" t="e">
        <f t="shared" si="41"/>
        <v>#VALUE!</v>
      </c>
      <c r="V34" s="61">
        <f t="shared" si="42"/>
        <v>4</v>
      </c>
      <c r="W34" s="61" t="e">
        <f t="shared" si="43"/>
        <v>#VALUE!</v>
      </c>
      <c r="X34" s="61" t="e">
        <f t="shared" si="44"/>
        <v>#VALUE!</v>
      </c>
      <c r="Y34" s="61" t="str">
        <f>IFERROR(VLOOKUP(MID(T34,W34,X34-W34),[5]skilldef!$C:$D,2,FALSE),"-") &amp; " / " &amp; IFERROR(VLOOKUP(MID(T34,U34,V34-U34),[5]skilldef!$A:$B,2,FALSE),"-")</f>
        <v>- / -</v>
      </c>
      <c r="Z34" s="48"/>
      <c r="AA34" s="50"/>
      <c r="AB34" s="48"/>
    </row>
    <row r="35" spans="1:28" ht="24" customHeight="1" x14ac:dyDescent="0.2">
      <c r="A35" s="211">
        <v>30044034</v>
      </c>
      <c r="B35" s="206" t="s">
        <v>263</v>
      </c>
      <c r="C35" s="258">
        <v>3</v>
      </c>
      <c r="D35" s="48" t="s">
        <v>127</v>
      </c>
      <c r="E35" s="213" t="s">
        <v>321</v>
      </c>
      <c r="F35" s="208" t="s">
        <v>264</v>
      </c>
      <c r="G35" s="61" t="str">
        <f t="shared" si="30"/>
        <v>[effect:critical, val:1.5, animation:enemy_critical]</v>
      </c>
      <c r="H35" s="61">
        <f t="shared" si="31"/>
        <v>9</v>
      </c>
      <c r="I35" s="61">
        <f t="shared" si="32"/>
        <v>17</v>
      </c>
      <c r="J35" s="61" t="e">
        <f t="shared" si="33"/>
        <v>#VALUE!</v>
      </c>
      <c r="K35" s="61">
        <f t="shared" si="34"/>
        <v>26</v>
      </c>
      <c r="L35" s="61" t="str">
        <f>IFERROR(VLOOKUP(MID(G35,J35,K35-J35),[5]skilldef!$C:$D,2,FALSE),"-") &amp; " / " &amp; IFERROR(VLOOKUP(MID(G35,H35,I35-H35),[5]skilldef!$A:$B,2,FALSE),"-")</f>
        <v>- / 大攻撃</v>
      </c>
      <c r="M35" s="61" t="str">
        <f t="shared" si="35"/>
        <v>none</v>
      </c>
      <c r="N35" s="46" t="str">
        <f>IFERROR(LEFT(M35,FIND("],",M35)+#REF!),M35)</f>
        <v>none</v>
      </c>
      <c r="O35" s="61" t="e">
        <f t="shared" si="36"/>
        <v>#VALUE!</v>
      </c>
      <c r="P35" s="61">
        <f t="shared" si="37"/>
        <v>4</v>
      </c>
      <c r="Q35" s="61" t="e">
        <f t="shared" si="38"/>
        <v>#VALUE!</v>
      </c>
      <c r="R35" s="61" t="e">
        <f t="shared" si="39"/>
        <v>#VALUE!</v>
      </c>
      <c r="S35" s="61" t="str">
        <f>IFERROR(VLOOKUP(MID(N35,Q35,R35-Q35),[5]skilldef!$C:$D,2,FALSE),"-") &amp; " / " &amp; IFERROR(VLOOKUP(MID(N35,O35,P35-O35),[5]skilldef!$A:$B,2,FALSE),"-")</f>
        <v>- / -</v>
      </c>
      <c r="T35" s="46" t="str">
        <f t="shared" si="40"/>
        <v>none</v>
      </c>
      <c r="U35" s="61" t="e">
        <f t="shared" si="41"/>
        <v>#VALUE!</v>
      </c>
      <c r="V35" s="61">
        <f t="shared" si="42"/>
        <v>4</v>
      </c>
      <c r="W35" s="61" t="e">
        <f t="shared" si="43"/>
        <v>#VALUE!</v>
      </c>
      <c r="X35" s="61" t="e">
        <f t="shared" si="44"/>
        <v>#VALUE!</v>
      </c>
      <c r="Y35" s="61" t="str">
        <f>IFERROR(VLOOKUP(MID(T35,W35,X35-W35),[5]skilldef!$C:$D,2,FALSE),"-") &amp; " / " &amp; IFERROR(VLOOKUP(MID(T35,U35,V35-U35),[5]skilldef!$A:$B,2,FALSE),"-")</f>
        <v>- / -</v>
      </c>
      <c r="Z35" s="48"/>
      <c r="AA35" s="50"/>
      <c r="AB35" s="48"/>
    </row>
    <row r="36" spans="1:28" ht="24" customHeight="1" x14ac:dyDescent="0.2">
      <c r="A36" s="211">
        <v>30044035</v>
      </c>
      <c r="B36" s="206" t="s">
        <v>254</v>
      </c>
      <c r="C36" s="258">
        <v>3</v>
      </c>
      <c r="D36" s="48" t="s">
        <v>127</v>
      </c>
      <c r="E36" s="213" t="s">
        <v>370</v>
      </c>
      <c r="F36" s="208" t="s">
        <v>273</v>
      </c>
      <c r="G36" s="61" t="str">
        <f t="shared" si="30"/>
        <v>[effect:rush, count:9, val:0.19]</v>
      </c>
      <c r="H36" s="61">
        <f t="shared" si="31"/>
        <v>9</v>
      </c>
      <c r="I36" s="61">
        <f t="shared" si="32"/>
        <v>13</v>
      </c>
      <c r="J36" s="61" t="e">
        <f t="shared" si="33"/>
        <v>#VALUE!</v>
      </c>
      <c r="K36" s="61">
        <f t="shared" si="34"/>
        <v>22</v>
      </c>
      <c r="L36" s="61" t="str">
        <f>IFERROR(VLOOKUP(MID(G36,J36,K36-J36),[5]skilldef!$C:$D,2,FALSE),"-") &amp; " / " &amp; IFERROR(VLOOKUP(MID(G36,H36,I36-H36),[5]skilldef!$A:$B,2,FALSE),"-")</f>
        <v>- / 連続攻撃</v>
      </c>
      <c r="M36" s="61" t="str">
        <f t="shared" si="35"/>
        <v>none</v>
      </c>
      <c r="N36" s="46" t="str">
        <f>IFERROR(LEFT(M36,FIND("],",M36)+#REF!),M36)</f>
        <v>none</v>
      </c>
      <c r="O36" s="61" t="e">
        <f t="shared" si="36"/>
        <v>#VALUE!</v>
      </c>
      <c r="P36" s="61">
        <f t="shared" si="37"/>
        <v>4</v>
      </c>
      <c r="Q36" s="61" t="e">
        <f t="shared" si="38"/>
        <v>#VALUE!</v>
      </c>
      <c r="R36" s="61" t="e">
        <f t="shared" si="39"/>
        <v>#VALUE!</v>
      </c>
      <c r="S36" s="61" t="str">
        <f>IFERROR(VLOOKUP(MID(N36,Q36,R36-Q36),[5]skilldef!$C:$D,2,FALSE),"-") &amp; " / " &amp; IFERROR(VLOOKUP(MID(N36,O36,P36-O36),[5]skilldef!$A:$B,2,FALSE),"-")</f>
        <v>- / -</v>
      </c>
      <c r="T36" s="46" t="str">
        <f t="shared" si="40"/>
        <v>none</v>
      </c>
      <c r="U36" s="61" t="e">
        <f t="shared" si="41"/>
        <v>#VALUE!</v>
      </c>
      <c r="V36" s="61">
        <f t="shared" si="42"/>
        <v>4</v>
      </c>
      <c r="W36" s="61" t="e">
        <f t="shared" si="43"/>
        <v>#VALUE!</v>
      </c>
      <c r="X36" s="61" t="e">
        <f t="shared" si="44"/>
        <v>#VALUE!</v>
      </c>
      <c r="Y36" s="61" t="str">
        <f>IFERROR(VLOOKUP(MID(T36,W36,X36-W36),[5]skilldef!$C:$D,2,FALSE),"-") &amp; " / " &amp; IFERROR(VLOOKUP(MID(T36,U36,V36-U36),[5]skilldef!$A:$B,2,FALSE),"-")</f>
        <v>- / -</v>
      </c>
      <c r="Z36" s="48"/>
      <c r="AA36" s="50"/>
      <c r="AB36" s="48"/>
    </row>
    <row r="37" spans="1:28" ht="24" customHeight="1" x14ac:dyDescent="0.2">
      <c r="A37" s="211">
        <v>30044036</v>
      </c>
      <c r="B37" s="205" t="s">
        <v>349</v>
      </c>
      <c r="C37" s="258">
        <v>3</v>
      </c>
      <c r="D37" s="48" t="s">
        <v>127</v>
      </c>
      <c r="E37" s="213" t="s">
        <v>346</v>
      </c>
      <c r="F37" s="208" t="s">
        <v>327</v>
      </c>
      <c r="G37" s="61" t="str">
        <f t="shared" si="30"/>
        <v>[effect:enemy_message, val1:2.2, val2:2.3]</v>
      </c>
      <c r="H37" s="61">
        <f t="shared" si="31"/>
        <v>9</v>
      </c>
      <c r="I37" s="61">
        <f t="shared" si="32"/>
        <v>22</v>
      </c>
      <c r="J37" s="61" t="e">
        <f t="shared" si="33"/>
        <v>#VALUE!</v>
      </c>
      <c r="K37" s="61">
        <f t="shared" si="34"/>
        <v>32</v>
      </c>
      <c r="L37" s="61" t="str">
        <f>IFERROR(VLOOKUP(MID(G37,J37,K37-J37),[5]skilldef!$C:$D,2,FALSE),"-") &amp; " / " &amp; IFERROR(VLOOKUP(MID(G37,H37,I37-H37),[5]skilldef!$A:$B,2,FALSE),"-")</f>
        <v>- / -</v>
      </c>
      <c r="M37" s="61" t="str">
        <f t="shared" si="35"/>
        <v>none</v>
      </c>
      <c r="N37" s="46" t="str">
        <f>IFERROR(LEFT(M37,FIND("],",M37)+#REF!),M37)</f>
        <v>none</v>
      </c>
      <c r="O37" s="61" t="e">
        <f t="shared" si="36"/>
        <v>#VALUE!</v>
      </c>
      <c r="P37" s="61">
        <f t="shared" si="37"/>
        <v>4</v>
      </c>
      <c r="Q37" s="61" t="e">
        <f t="shared" si="38"/>
        <v>#VALUE!</v>
      </c>
      <c r="R37" s="61" t="e">
        <f t="shared" si="39"/>
        <v>#VALUE!</v>
      </c>
      <c r="S37" s="61" t="str">
        <f>IFERROR(VLOOKUP(MID(N37,Q37,R37-Q37),[5]skilldef!$C:$D,2,FALSE),"-") &amp; " / " &amp; IFERROR(VLOOKUP(MID(N37,O37,P37-O37),[5]skilldef!$A:$B,2,FALSE),"-")</f>
        <v>- / -</v>
      </c>
      <c r="T37" s="46" t="str">
        <f t="shared" si="40"/>
        <v>none</v>
      </c>
      <c r="U37" s="61" t="e">
        <f t="shared" si="41"/>
        <v>#VALUE!</v>
      </c>
      <c r="V37" s="61">
        <f t="shared" si="42"/>
        <v>4</v>
      </c>
      <c r="W37" s="61" t="e">
        <f t="shared" si="43"/>
        <v>#VALUE!</v>
      </c>
      <c r="X37" s="61" t="e">
        <f t="shared" si="44"/>
        <v>#VALUE!</v>
      </c>
      <c r="Y37" s="61" t="str">
        <f>IFERROR(VLOOKUP(MID(T37,W37,X37-W37),[5]skilldef!$C:$D,2,FALSE),"-") &amp; " / " &amp; IFERROR(VLOOKUP(MID(T37,U37,V37-U37),[5]skilldef!$A:$B,2,FALSE),"-")</f>
        <v>- / -</v>
      </c>
      <c r="Z37" s="48"/>
      <c r="AA37" s="50"/>
      <c r="AB37" s="48"/>
    </row>
    <row r="38" spans="1:28" ht="24" customHeight="1" x14ac:dyDescent="0.2">
      <c r="A38" s="211">
        <v>30044037</v>
      </c>
      <c r="B38" s="205" t="s">
        <v>351</v>
      </c>
      <c r="C38" s="258">
        <v>3</v>
      </c>
      <c r="D38" s="48" t="s">
        <v>127</v>
      </c>
      <c r="E38" s="213" t="s">
        <v>323</v>
      </c>
      <c r="F38" s="208" t="s">
        <v>352</v>
      </c>
      <c r="G38" s="61" t="str">
        <f t="shared" si="30"/>
        <v>[effect:enemy_message, val1:1.8, val2:2.3]</v>
      </c>
      <c r="H38" s="61">
        <f t="shared" si="31"/>
        <v>9</v>
      </c>
      <c r="I38" s="61">
        <f t="shared" si="32"/>
        <v>22</v>
      </c>
      <c r="J38" s="61" t="e">
        <f t="shared" si="33"/>
        <v>#VALUE!</v>
      </c>
      <c r="K38" s="61">
        <f t="shared" si="34"/>
        <v>32</v>
      </c>
      <c r="L38" s="61" t="str">
        <f>IFERROR(VLOOKUP(MID(G38,J38,K38-J38),[5]skilldef!$C:$D,2,FALSE),"-") &amp; " / " &amp; IFERROR(VLOOKUP(MID(G38,H38,I38-H38),[5]skilldef!$A:$B,2,FALSE),"-")</f>
        <v>- / -</v>
      </c>
      <c r="M38" s="61" t="str">
        <f t="shared" si="35"/>
        <v>[effect:rush, count:17, val:0.17]</v>
      </c>
      <c r="N38" s="46" t="str">
        <f>IFERROR(LEFT(M38,FIND("],",M38)+#REF!),M38)</f>
        <v>[effect:rush, count:17, val:0.17]</v>
      </c>
      <c r="O38" s="61">
        <f t="shared" si="36"/>
        <v>9</v>
      </c>
      <c r="P38" s="61">
        <f t="shared" si="37"/>
        <v>13</v>
      </c>
      <c r="Q38" s="61" t="e">
        <f t="shared" si="38"/>
        <v>#VALUE!</v>
      </c>
      <c r="R38" s="61">
        <f t="shared" si="39"/>
        <v>23</v>
      </c>
      <c r="S38" s="61" t="str">
        <f>IFERROR(VLOOKUP(MID(N38,Q38,R38-Q38),[5]skilldef!$C:$D,2,FALSE),"-") &amp; " / " &amp; IFERROR(VLOOKUP(MID(N38,O38,P38-O38),[5]skilldef!$A:$B,2,FALSE),"-")</f>
        <v>- / 連続攻撃</v>
      </c>
      <c r="T38" s="46" t="str">
        <f t="shared" si="40"/>
        <v>none</v>
      </c>
      <c r="U38" s="61" t="e">
        <f t="shared" si="41"/>
        <v>#VALUE!</v>
      </c>
      <c r="V38" s="61">
        <f t="shared" si="42"/>
        <v>4</v>
      </c>
      <c r="W38" s="61" t="e">
        <f t="shared" si="43"/>
        <v>#VALUE!</v>
      </c>
      <c r="X38" s="61" t="e">
        <f t="shared" si="44"/>
        <v>#VALUE!</v>
      </c>
      <c r="Y38" s="61" t="str">
        <f>IFERROR(VLOOKUP(MID(T38,W38,X38-W38),[5]skilldef!$C:$D,2,FALSE),"-") &amp; " / " &amp; IFERROR(VLOOKUP(MID(T38,U38,V38-U38),[5]skilldef!$A:$B,2,FALSE),"-")</f>
        <v>- / -</v>
      </c>
      <c r="Z38" s="48"/>
      <c r="AA38" s="50"/>
      <c r="AB38" s="48"/>
    </row>
    <row r="39" spans="1:28" ht="24" customHeight="1" x14ac:dyDescent="0.2">
      <c r="A39" s="211">
        <v>30044038</v>
      </c>
      <c r="B39" s="205" t="s">
        <v>278</v>
      </c>
      <c r="C39" s="258">
        <v>3</v>
      </c>
      <c r="D39" s="48" t="s">
        <v>127</v>
      </c>
      <c r="E39" s="213" t="s">
        <v>305</v>
      </c>
      <c r="F39" s="208" t="s">
        <v>267</v>
      </c>
      <c r="G39" s="61" t="str">
        <f t="shared" si="30"/>
        <v>[effect:enemy_message, val1:2.4, val2:2.8]</v>
      </c>
      <c r="H39" s="61">
        <f t="shared" si="31"/>
        <v>9</v>
      </c>
      <c r="I39" s="61">
        <f t="shared" si="32"/>
        <v>22</v>
      </c>
      <c r="J39" s="61" t="e">
        <f t="shared" si="33"/>
        <v>#VALUE!</v>
      </c>
      <c r="K39" s="61">
        <f t="shared" si="34"/>
        <v>32</v>
      </c>
      <c r="L39" s="61" t="str">
        <f>IFERROR(VLOOKUP(MID(G39,J39,K39-J39),[5]skilldef!$C:$D,2,FALSE),"-") &amp; " / " &amp; IFERROR(VLOOKUP(MID(G39,H39,I39-H39),[5]skilldef!$A:$B,2,FALSE),"-")</f>
        <v>- / -</v>
      </c>
      <c r="M39" s="61" t="str">
        <f t="shared" si="35"/>
        <v>none</v>
      </c>
      <c r="N39" s="46" t="str">
        <f>IFERROR(LEFT(M39,FIND("],",M39)+#REF!),M39)</f>
        <v>none</v>
      </c>
      <c r="O39" s="61" t="e">
        <f t="shared" si="36"/>
        <v>#VALUE!</v>
      </c>
      <c r="P39" s="61">
        <f t="shared" si="37"/>
        <v>4</v>
      </c>
      <c r="Q39" s="61" t="e">
        <f t="shared" si="38"/>
        <v>#VALUE!</v>
      </c>
      <c r="R39" s="61" t="e">
        <f t="shared" si="39"/>
        <v>#VALUE!</v>
      </c>
      <c r="S39" s="61" t="str">
        <f>IFERROR(VLOOKUP(MID(N39,Q39,R39-Q39),[5]skilldef!$C:$D,2,FALSE),"-") &amp; " / " &amp; IFERROR(VLOOKUP(MID(N39,O39,P39-O39),[5]skilldef!$A:$B,2,FALSE),"-")</f>
        <v>- / -</v>
      </c>
      <c r="T39" s="46" t="str">
        <f t="shared" si="40"/>
        <v>none</v>
      </c>
      <c r="U39" s="61" t="e">
        <f t="shared" si="41"/>
        <v>#VALUE!</v>
      </c>
      <c r="V39" s="61">
        <f t="shared" si="42"/>
        <v>4</v>
      </c>
      <c r="W39" s="61" t="e">
        <f t="shared" si="43"/>
        <v>#VALUE!</v>
      </c>
      <c r="X39" s="61" t="e">
        <f t="shared" si="44"/>
        <v>#VALUE!</v>
      </c>
      <c r="Y39" s="61" t="str">
        <f>IFERROR(VLOOKUP(MID(T39,W39,X39-W39),[5]skilldef!$C:$D,2,FALSE),"-") &amp; " / " &amp; IFERROR(VLOOKUP(MID(T39,U39,V39-U39),[5]skilldef!$A:$B,2,FALSE),"-")</f>
        <v>- / -</v>
      </c>
      <c r="Z39" s="48"/>
      <c r="AA39" s="50"/>
      <c r="AB3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43"/>
  <sheetViews>
    <sheetView showGridLines="0" workbookViewId="0">
      <pane ySplit="1" topLeftCell="A11" activePane="bottomLeft" state="frozenSplit"/>
      <selection pane="bottomLeft" activeCell="D19" sqref="D19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33.83203125" style="43" customWidth="1"/>
    <col min="13" max="16384" width="12.83203125" style="43"/>
  </cols>
  <sheetData>
    <row r="1" spans="1:12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  <c r="L1" s="218"/>
    </row>
    <row r="2" spans="1:12" ht="21" customHeight="1" x14ac:dyDescent="0.15">
      <c r="A2" s="159">
        <v>30044001</v>
      </c>
      <c r="B2" s="159">
        <v>1</v>
      </c>
      <c r="C2" s="159">
        <v>100</v>
      </c>
      <c r="D2" s="159">
        <v>100</v>
      </c>
      <c r="E2" s="159" t="s">
        <v>89</v>
      </c>
      <c r="F2" s="159" t="s">
        <v>89</v>
      </c>
      <c r="G2" s="159">
        <v>1</v>
      </c>
      <c r="H2" s="159" t="s">
        <v>89</v>
      </c>
      <c r="I2" s="159" t="s">
        <v>89</v>
      </c>
      <c r="J2" s="46">
        <f t="shared" ref="J2" si="0">D2</f>
        <v>100</v>
      </c>
      <c r="L2" s="210" t="s">
        <v>280</v>
      </c>
    </row>
    <row r="3" spans="1:12" ht="21" customHeight="1" x14ac:dyDescent="0.15">
      <c r="A3" s="159">
        <v>30044002</v>
      </c>
      <c r="B3" s="159">
        <v>0</v>
      </c>
      <c r="C3" s="159">
        <v>100</v>
      </c>
      <c r="D3" s="159">
        <v>100</v>
      </c>
      <c r="E3" s="159" t="s">
        <v>89</v>
      </c>
      <c r="F3" s="159" t="s">
        <v>89</v>
      </c>
      <c r="G3" s="159">
        <v>1</v>
      </c>
      <c r="H3" s="159">
        <v>1</v>
      </c>
      <c r="I3" s="159" t="s">
        <v>89</v>
      </c>
      <c r="J3" s="46">
        <f t="shared" ref="J3:J23" si="1">D3</f>
        <v>100</v>
      </c>
      <c r="L3" s="210" t="s">
        <v>281</v>
      </c>
    </row>
    <row r="4" spans="1:12" ht="21" customHeight="1" x14ac:dyDescent="0.15">
      <c r="A4" s="159">
        <v>30044003</v>
      </c>
      <c r="B4" s="159">
        <v>0</v>
      </c>
      <c r="C4" s="159">
        <v>100</v>
      </c>
      <c r="D4" s="159">
        <v>100</v>
      </c>
      <c r="E4" s="159" t="s">
        <v>89</v>
      </c>
      <c r="F4" s="159" t="s">
        <v>89</v>
      </c>
      <c r="G4" s="159">
        <v>1</v>
      </c>
      <c r="H4" s="159">
        <v>2</v>
      </c>
      <c r="I4" s="159" t="s">
        <v>89</v>
      </c>
      <c r="J4" s="46">
        <f t="shared" si="1"/>
        <v>100</v>
      </c>
      <c r="L4" s="210" t="s">
        <v>282</v>
      </c>
    </row>
    <row r="5" spans="1:12" ht="21" customHeight="1" x14ac:dyDescent="0.15">
      <c r="A5" s="173">
        <v>30044004</v>
      </c>
      <c r="B5" s="181">
        <v>1</v>
      </c>
      <c r="C5" s="182">
        <v>100</v>
      </c>
      <c r="D5" s="182">
        <v>100</v>
      </c>
      <c r="E5" s="182" t="s">
        <v>252</v>
      </c>
      <c r="F5" s="182" t="s">
        <v>252</v>
      </c>
      <c r="G5" s="182">
        <v>1</v>
      </c>
      <c r="H5" s="182" t="s">
        <v>252</v>
      </c>
      <c r="I5" s="182" t="s">
        <v>252</v>
      </c>
      <c r="J5" s="46">
        <f t="shared" si="1"/>
        <v>100</v>
      </c>
      <c r="L5" s="210" t="s">
        <v>283</v>
      </c>
    </row>
    <row r="6" spans="1:12" ht="21" customHeight="1" x14ac:dyDescent="0.15">
      <c r="A6" s="173">
        <v>30044005</v>
      </c>
      <c r="B6" s="45">
        <v>0</v>
      </c>
      <c r="C6" s="173">
        <v>90</v>
      </c>
      <c r="D6" s="173">
        <v>100</v>
      </c>
      <c r="E6" s="45" t="s">
        <v>89</v>
      </c>
      <c r="F6" s="45" t="s">
        <v>89</v>
      </c>
      <c r="G6" s="45">
        <v>1</v>
      </c>
      <c r="H6" s="45">
        <v>1</v>
      </c>
      <c r="I6" s="45" t="s">
        <v>89</v>
      </c>
      <c r="J6" s="46">
        <f t="shared" si="1"/>
        <v>100</v>
      </c>
      <c r="L6" s="210" t="s">
        <v>284</v>
      </c>
    </row>
    <row r="7" spans="1:12" ht="21" customHeight="1" x14ac:dyDescent="0.15">
      <c r="A7" s="173">
        <v>30044006</v>
      </c>
      <c r="B7" s="45">
        <v>0</v>
      </c>
      <c r="C7" s="173">
        <v>3</v>
      </c>
      <c r="D7" s="173">
        <v>33</v>
      </c>
      <c r="E7" s="45" t="s">
        <v>89</v>
      </c>
      <c r="F7" s="45" t="s">
        <v>89</v>
      </c>
      <c r="G7" s="45">
        <v>3</v>
      </c>
      <c r="H7" s="45" t="s">
        <v>89</v>
      </c>
      <c r="I7" s="45" t="s">
        <v>89</v>
      </c>
      <c r="J7" s="46">
        <f t="shared" si="1"/>
        <v>33</v>
      </c>
      <c r="L7" s="210" t="s">
        <v>284</v>
      </c>
    </row>
    <row r="8" spans="1:12" ht="21" customHeight="1" x14ac:dyDescent="0.15">
      <c r="A8" s="173">
        <v>30044007</v>
      </c>
      <c r="B8" s="45">
        <v>0</v>
      </c>
      <c r="C8" s="173">
        <v>2</v>
      </c>
      <c r="D8" s="173">
        <v>50</v>
      </c>
      <c r="E8" s="45" t="s">
        <v>89</v>
      </c>
      <c r="F8" s="45" t="s">
        <v>89</v>
      </c>
      <c r="G8" s="45" t="s">
        <v>89</v>
      </c>
      <c r="H8" s="45" t="s">
        <v>89</v>
      </c>
      <c r="I8" s="45" t="s">
        <v>89</v>
      </c>
      <c r="J8" s="46">
        <f t="shared" si="1"/>
        <v>50</v>
      </c>
      <c r="L8" s="210" t="s">
        <v>285</v>
      </c>
    </row>
    <row r="9" spans="1:12" ht="21" customHeight="1" x14ac:dyDescent="0.15">
      <c r="A9" s="173">
        <v>30044008</v>
      </c>
      <c r="B9" s="45">
        <v>0</v>
      </c>
      <c r="C9" s="173">
        <v>1</v>
      </c>
      <c r="D9" s="173">
        <v>85</v>
      </c>
      <c r="E9" s="45" t="s">
        <v>89</v>
      </c>
      <c r="F9" s="45" t="s">
        <v>89</v>
      </c>
      <c r="G9" s="45" t="s">
        <v>89</v>
      </c>
      <c r="H9" s="45" t="s">
        <v>89</v>
      </c>
      <c r="I9" s="45" t="s">
        <v>89</v>
      </c>
      <c r="J9" s="46">
        <f t="shared" si="1"/>
        <v>85</v>
      </c>
      <c r="L9" s="210" t="s">
        <v>285</v>
      </c>
    </row>
    <row r="10" spans="1:12" ht="21" customHeight="1" x14ac:dyDescent="0.15">
      <c r="A10" s="173">
        <v>30044009</v>
      </c>
      <c r="B10" s="45">
        <v>0</v>
      </c>
      <c r="C10" s="45" t="s">
        <v>53</v>
      </c>
      <c r="D10" s="45">
        <v>30</v>
      </c>
      <c r="E10" s="45" t="s">
        <v>89</v>
      </c>
      <c r="F10" s="45" t="s">
        <v>89</v>
      </c>
      <c r="G10" s="45" t="s">
        <v>89</v>
      </c>
      <c r="H10" s="45" t="s">
        <v>89</v>
      </c>
      <c r="I10" s="45" t="s">
        <v>89</v>
      </c>
      <c r="J10" s="46">
        <f t="shared" si="1"/>
        <v>30</v>
      </c>
      <c r="L10" s="210" t="s">
        <v>286</v>
      </c>
    </row>
    <row r="11" spans="1:12" ht="21" customHeight="1" x14ac:dyDescent="0.15">
      <c r="A11" s="173">
        <v>30044010</v>
      </c>
      <c r="B11" s="45">
        <v>0</v>
      </c>
      <c r="C11" s="45" t="s">
        <v>53</v>
      </c>
      <c r="D11" s="45">
        <v>30</v>
      </c>
      <c r="E11" s="45" t="s">
        <v>89</v>
      </c>
      <c r="F11" s="45" t="s">
        <v>89</v>
      </c>
      <c r="G11" s="45" t="s">
        <v>89</v>
      </c>
      <c r="H11" s="45" t="s">
        <v>89</v>
      </c>
      <c r="I11" s="45" t="s">
        <v>89</v>
      </c>
      <c r="J11" s="46">
        <f t="shared" si="1"/>
        <v>30</v>
      </c>
      <c r="L11" s="210" t="s">
        <v>286</v>
      </c>
    </row>
    <row r="12" spans="1:12" ht="21" customHeight="1" x14ac:dyDescent="0.15">
      <c r="A12" s="173">
        <v>30044011</v>
      </c>
      <c r="B12" s="45">
        <v>0</v>
      </c>
      <c r="C12" s="45" t="s">
        <v>53</v>
      </c>
      <c r="D12" s="45">
        <v>55</v>
      </c>
      <c r="E12" s="45" t="s">
        <v>89</v>
      </c>
      <c r="F12" s="45" t="s">
        <v>89</v>
      </c>
      <c r="G12" s="45" t="s">
        <v>89</v>
      </c>
      <c r="H12" s="45" t="s">
        <v>89</v>
      </c>
      <c r="I12" s="45" t="s">
        <v>89</v>
      </c>
      <c r="J12" s="46">
        <f t="shared" si="1"/>
        <v>55</v>
      </c>
      <c r="L12" s="210" t="s">
        <v>287</v>
      </c>
    </row>
    <row r="13" spans="1:12" ht="21" customHeight="1" x14ac:dyDescent="0.15">
      <c r="A13" s="159">
        <v>30044012</v>
      </c>
      <c r="B13" s="159">
        <v>1</v>
      </c>
      <c r="C13" s="159">
        <v>100</v>
      </c>
      <c r="D13" s="159">
        <v>100</v>
      </c>
      <c r="E13" s="159" t="s">
        <v>89</v>
      </c>
      <c r="F13" s="159" t="s">
        <v>89</v>
      </c>
      <c r="G13" s="159">
        <v>1</v>
      </c>
      <c r="H13" s="159" t="s">
        <v>89</v>
      </c>
      <c r="I13" s="159" t="s">
        <v>89</v>
      </c>
      <c r="J13" s="46">
        <f t="shared" si="1"/>
        <v>100</v>
      </c>
      <c r="L13" s="210" t="s">
        <v>283</v>
      </c>
    </row>
    <row r="14" spans="1:12" ht="21" customHeight="1" x14ac:dyDescent="0.15">
      <c r="A14" s="159">
        <v>30044013</v>
      </c>
      <c r="B14" s="159">
        <v>0</v>
      </c>
      <c r="C14" s="159">
        <v>3</v>
      </c>
      <c r="D14" s="159">
        <v>23</v>
      </c>
      <c r="E14" s="159" t="s">
        <v>89</v>
      </c>
      <c r="F14" s="159" t="s">
        <v>89</v>
      </c>
      <c r="G14" s="159" t="s">
        <v>89</v>
      </c>
      <c r="H14" s="159" t="s">
        <v>89</v>
      </c>
      <c r="I14" s="159" t="s">
        <v>89</v>
      </c>
      <c r="J14" s="46">
        <f>D14</f>
        <v>23</v>
      </c>
      <c r="L14" s="210" t="s">
        <v>286</v>
      </c>
    </row>
    <row r="15" spans="1:12" ht="21" customHeight="1" x14ac:dyDescent="0.15">
      <c r="A15" s="159">
        <v>30044014</v>
      </c>
      <c r="B15" s="159">
        <v>0</v>
      </c>
      <c r="C15" s="159">
        <v>2</v>
      </c>
      <c r="D15" s="159">
        <v>50</v>
      </c>
      <c r="E15" s="159" t="s">
        <v>89</v>
      </c>
      <c r="F15" s="159" t="s">
        <v>89</v>
      </c>
      <c r="G15" s="159" t="s">
        <v>89</v>
      </c>
      <c r="H15" s="159" t="s">
        <v>89</v>
      </c>
      <c r="I15" s="159" t="s">
        <v>89</v>
      </c>
      <c r="J15" s="46">
        <f t="shared" si="1"/>
        <v>50</v>
      </c>
      <c r="L15" s="210" t="s">
        <v>285</v>
      </c>
    </row>
    <row r="16" spans="1:12" ht="21" customHeight="1" x14ac:dyDescent="0.15">
      <c r="A16" s="159">
        <v>30044015</v>
      </c>
      <c r="B16" s="159">
        <v>0</v>
      </c>
      <c r="C16" s="159">
        <v>1</v>
      </c>
      <c r="D16" s="159">
        <v>75</v>
      </c>
      <c r="E16" s="159" t="s">
        <v>89</v>
      </c>
      <c r="F16" s="159" t="s">
        <v>89</v>
      </c>
      <c r="G16" s="159" t="s">
        <v>89</v>
      </c>
      <c r="H16" s="159" t="s">
        <v>89</v>
      </c>
      <c r="I16" s="159" t="s">
        <v>89</v>
      </c>
      <c r="J16" s="46">
        <f t="shared" si="1"/>
        <v>75</v>
      </c>
      <c r="L16" s="210" t="s">
        <v>285</v>
      </c>
    </row>
    <row r="17" spans="1:12" ht="21" customHeight="1" x14ac:dyDescent="0.15">
      <c r="A17" s="159">
        <v>30044016</v>
      </c>
      <c r="B17" s="159">
        <v>0</v>
      </c>
      <c r="C17" s="159">
        <v>90</v>
      </c>
      <c r="D17" s="159">
        <v>100</v>
      </c>
      <c r="E17" s="159">
        <v>50</v>
      </c>
      <c r="F17" s="159" t="s">
        <v>89</v>
      </c>
      <c r="G17" s="159">
        <v>1</v>
      </c>
      <c r="H17" s="159" t="s">
        <v>89</v>
      </c>
      <c r="I17" s="159" t="s">
        <v>89</v>
      </c>
      <c r="J17" s="46">
        <f t="shared" si="1"/>
        <v>100</v>
      </c>
      <c r="L17" s="210" t="s">
        <v>288</v>
      </c>
    </row>
    <row r="18" spans="1:12" ht="21" customHeight="1" x14ac:dyDescent="0.15">
      <c r="A18" s="171">
        <v>30044017</v>
      </c>
      <c r="B18" s="171">
        <v>1</v>
      </c>
      <c r="C18" s="171">
        <v>100</v>
      </c>
      <c r="D18" s="171">
        <v>100</v>
      </c>
      <c r="E18" s="171" t="s">
        <v>89</v>
      </c>
      <c r="F18" s="171" t="s">
        <v>89</v>
      </c>
      <c r="G18" s="171">
        <v>1</v>
      </c>
      <c r="H18" s="171" t="s">
        <v>89</v>
      </c>
      <c r="I18" s="171" t="s">
        <v>89</v>
      </c>
      <c r="J18" s="46">
        <f t="shared" si="1"/>
        <v>100</v>
      </c>
      <c r="L18" s="210" t="s">
        <v>279</v>
      </c>
    </row>
    <row r="19" spans="1:12" ht="21" customHeight="1" x14ac:dyDescent="0.15">
      <c r="A19" s="171">
        <v>30044018</v>
      </c>
      <c r="B19" s="171">
        <v>0</v>
      </c>
      <c r="C19" s="171">
        <v>90</v>
      </c>
      <c r="D19" s="171">
        <v>100</v>
      </c>
      <c r="E19" s="171" t="s">
        <v>89</v>
      </c>
      <c r="F19" s="171" t="s">
        <v>89</v>
      </c>
      <c r="G19" s="171" t="s">
        <v>89</v>
      </c>
      <c r="H19" s="171">
        <v>5</v>
      </c>
      <c r="I19" s="171" t="s">
        <v>89</v>
      </c>
      <c r="J19" s="46">
        <f t="shared" si="1"/>
        <v>100</v>
      </c>
      <c r="L19" s="210" t="s">
        <v>279</v>
      </c>
    </row>
    <row r="20" spans="1:12" ht="21" customHeight="1" x14ac:dyDescent="0.15">
      <c r="A20" s="171">
        <v>30044019</v>
      </c>
      <c r="B20" s="171">
        <v>0</v>
      </c>
      <c r="C20" s="171">
        <v>4</v>
      </c>
      <c r="D20" s="171">
        <v>25</v>
      </c>
      <c r="E20" s="171" t="s">
        <v>89</v>
      </c>
      <c r="F20" s="171" t="s">
        <v>89</v>
      </c>
      <c r="G20" s="171" t="s">
        <v>89</v>
      </c>
      <c r="H20" s="171" t="s">
        <v>89</v>
      </c>
      <c r="I20" s="171" t="s">
        <v>89</v>
      </c>
      <c r="J20" s="46">
        <f t="shared" si="1"/>
        <v>25</v>
      </c>
      <c r="L20" s="210" t="s">
        <v>289</v>
      </c>
    </row>
    <row r="21" spans="1:12" ht="21" customHeight="1" x14ac:dyDescent="0.15">
      <c r="A21" s="171">
        <v>30044020</v>
      </c>
      <c r="B21" s="171">
        <v>0</v>
      </c>
      <c r="C21" s="171">
        <v>3</v>
      </c>
      <c r="D21" s="171">
        <v>42</v>
      </c>
      <c r="E21" s="171" t="s">
        <v>89</v>
      </c>
      <c r="F21" s="171" t="s">
        <v>89</v>
      </c>
      <c r="G21" s="171" t="s">
        <v>89</v>
      </c>
      <c r="H21" s="171" t="s">
        <v>89</v>
      </c>
      <c r="I21" s="171" t="s">
        <v>89</v>
      </c>
      <c r="J21" s="46">
        <f t="shared" si="1"/>
        <v>42</v>
      </c>
      <c r="L21" s="210" t="s">
        <v>290</v>
      </c>
    </row>
    <row r="22" spans="1:12" ht="21" customHeight="1" x14ac:dyDescent="0.15">
      <c r="A22" s="171">
        <v>30044021</v>
      </c>
      <c r="B22" s="171">
        <v>0</v>
      </c>
      <c r="C22" s="171">
        <v>2</v>
      </c>
      <c r="D22" s="171">
        <v>60</v>
      </c>
      <c r="E22" s="171" t="s">
        <v>89</v>
      </c>
      <c r="F22" s="171" t="s">
        <v>89</v>
      </c>
      <c r="G22" s="171" t="s">
        <v>89</v>
      </c>
      <c r="H22" s="171" t="s">
        <v>89</v>
      </c>
      <c r="I22" s="171" t="s">
        <v>89</v>
      </c>
      <c r="J22" s="46">
        <f t="shared" si="1"/>
        <v>60</v>
      </c>
      <c r="L22" s="210" t="s">
        <v>286</v>
      </c>
    </row>
    <row r="23" spans="1:12" ht="21" customHeight="1" x14ac:dyDescent="0.15">
      <c r="A23" s="171">
        <v>30044022</v>
      </c>
      <c r="B23" s="171">
        <v>0</v>
      </c>
      <c r="C23" s="171">
        <v>1</v>
      </c>
      <c r="D23" s="171">
        <v>100</v>
      </c>
      <c r="E23" s="171" t="s">
        <v>89</v>
      </c>
      <c r="F23" s="171" t="s">
        <v>89</v>
      </c>
      <c r="G23" s="171" t="s">
        <v>89</v>
      </c>
      <c r="H23" s="171" t="s">
        <v>89</v>
      </c>
      <c r="I23" s="171" t="s">
        <v>89</v>
      </c>
      <c r="J23" s="46">
        <f t="shared" si="1"/>
        <v>100</v>
      </c>
      <c r="L23" s="210" t="s">
        <v>291</v>
      </c>
    </row>
    <row r="24" spans="1:12" ht="21" customHeight="1" x14ac:dyDescent="0.15">
      <c r="A24" s="171">
        <v>30044023</v>
      </c>
      <c r="B24" s="171">
        <v>0</v>
      </c>
      <c r="C24" s="171">
        <v>110</v>
      </c>
      <c r="D24" s="171">
        <v>100</v>
      </c>
      <c r="E24" s="171">
        <v>35</v>
      </c>
      <c r="F24" s="171" t="s">
        <v>89</v>
      </c>
      <c r="G24" s="171">
        <v>1</v>
      </c>
      <c r="H24" s="171" t="s">
        <v>89</v>
      </c>
      <c r="I24" s="171" t="s">
        <v>89</v>
      </c>
      <c r="J24" s="46">
        <f t="shared" ref="J24:J36" si="2">D24</f>
        <v>100</v>
      </c>
      <c r="L24" s="210" t="s">
        <v>292</v>
      </c>
    </row>
    <row r="25" spans="1:12" ht="21" customHeight="1" x14ac:dyDescent="0.15">
      <c r="A25" s="171">
        <v>30044024</v>
      </c>
      <c r="B25" s="171">
        <v>0</v>
      </c>
      <c r="C25" s="171">
        <v>100</v>
      </c>
      <c r="D25" s="171">
        <v>100</v>
      </c>
      <c r="E25" s="171">
        <v>35</v>
      </c>
      <c r="F25" s="171" t="s">
        <v>253</v>
      </c>
      <c r="G25" s="171">
        <v>1</v>
      </c>
      <c r="H25" s="171" t="s">
        <v>89</v>
      </c>
      <c r="I25" s="171" t="s">
        <v>89</v>
      </c>
      <c r="J25" s="46">
        <f t="shared" si="2"/>
        <v>100</v>
      </c>
      <c r="L25" s="210" t="s">
        <v>293</v>
      </c>
    </row>
    <row r="26" spans="1:12" ht="21" customHeight="1" thickBot="1" x14ac:dyDescent="0.2">
      <c r="A26" s="171">
        <v>30044025</v>
      </c>
      <c r="B26" s="209">
        <v>0</v>
      </c>
      <c r="C26" s="209">
        <v>120</v>
      </c>
      <c r="D26" s="209">
        <v>100</v>
      </c>
      <c r="E26" s="209" t="s">
        <v>252</v>
      </c>
      <c r="F26" s="209" t="s">
        <v>252</v>
      </c>
      <c r="G26" s="209">
        <v>0</v>
      </c>
      <c r="H26" s="209" t="s">
        <v>252</v>
      </c>
      <c r="I26" s="209">
        <v>0</v>
      </c>
      <c r="J26" s="177">
        <f t="shared" si="2"/>
        <v>100</v>
      </c>
      <c r="L26" s="210" t="s">
        <v>295</v>
      </c>
    </row>
    <row r="27" spans="1:12" ht="21" customHeight="1" thickTop="1" x14ac:dyDescent="0.15">
      <c r="A27" s="216">
        <v>30044026</v>
      </c>
      <c r="B27" s="181">
        <v>1</v>
      </c>
      <c r="C27" s="182">
        <v>100</v>
      </c>
      <c r="D27" s="182">
        <v>100</v>
      </c>
      <c r="E27" s="182" t="s">
        <v>252</v>
      </c>
      <c r="F27" s="182" t="s">
        <v>252</v>
      </c>
      <c r="G27" s="182">
        <v>1</v>
      </c>
      <c r="H27" s="182" t="s">
        <v>252</v>
      </c>
      <c r="I27" s="182" t="s">
        <v>252</v>
      </c>
      <c r="J27" s="46">
        <f t="shared" si="2"/>
        <v>100</v>
      </c>
      <c r="L27" s="210" t="s">
        <v>283</v>
      </c>
    </row>
    <row r="28" spans="1:12" ht="21" customHeight="1" x14ac:dyDescent="0.15">
      <c r="A28" s="216">
        <v>30044027</v>
      </c>
      <c r="B28" s="45">
        <v>0</v>
      </c>
      <c r="C28" s="173">
        <v>90</v>
      </c>
      <c r="D28" s="173">
        <v>100</v>
      </c>
      <c r="E28" s="45" t="s">
        <v>53</v>
      </c>
      <c r="F28" s="45" t="s">
        <v>53</v>
      </c>
      <c r="G28" s="45">
        <v>1</v>
      </c>
      <c r="H28" s="45">
        <v>1</v>
      </c>
      <c r="I28" s="45" t="s">
        <v>53</v>
      </c>
      <c r="J28" s="46">
        <f t="shared" si="2"/>
        <v>100</v>
      </c>
      <c r="L28" s="210" t="s">
        <v>284</v>
      </c>
    </row>
    <row r="29" spans="1:12" ht="21" customHeight="1" x14ac:dyDescent="0.15">
      <c r="A29" s="216">
        <v>30044028</v>
      </c>
      <c r="B29" s="45">
        <v>0</v>
      </c>
      <c r="C29" s="173">
        <v>3</v>
      </c>
      <c r="D29" s="173">
        <v>33</v>
      </c>
      <c r="E29" s="45" t="s">
        <v>53</v>
      </c>
      <c r="F29" s="45" t="s">
        <v>53</v>
      </c>
      <c r="G29" s="45">
        <v>1</v>
      </c>
      <c r="H29" s="45" t="s">
        <v>53</v>
      </c>
      <c r="I29" s="45" t="s">
        <v>53</v>
      </c>
      <c r="J29" s="46">
        <f t="shared" si="2"/>
        <v>33</v>
      </c>
      <c r="L29" s="210" t="s">
        <v>284</v>
      </c>
    </row>
    <row r="30" spans="1:12" ht="21" customHeight="1" x14ac:dyDescent="0.15">
      <c r="A30" s="216">
        <v>30044029</v>
      </c>
      <c r="B30" s="45">
        <v>0</v>
      </c>
      <c r="C30" s="173">
        <v>2</v>
      </c>
      <c r="D30" s="173">
        <v>50</v>
      </c>
      <c r="E30" s="45" t="s">
        <v>53</v>
      </c>
      <c r="F30" s="45" t="s">
        <v>53</v>
      </c>
      <c r="G30" s="45" t="s">
        <v>53</v>
      </c>
      <c r="H30" s="45" t="s">
        <v>53</v>
      </c>
      <c r="I30" s="45" t="s">
        <v>53</v>
      </c>
      <c r="J30" s="46">
        <f t="shared" si="2"/>
        <v>50</v>
      </c>
      <c r="L30" s="210" t="s">
        <v>285</v>
      </c>
    </row>
    <row r="31" spans="1:12" ht="21" customHeight="1" x14ac:dyDescent="0.15">
      <c r="A31" s="216">
        <v>30044030</v>
      </c>
      <c r="B31" s="45">
        <v>0</v>
      </c>
      <c r="C31" s="173">
        <v>1</v>
      </c>
      <c r="D31" s="173">
        <v>85</v>
      </c>
      <c r="E31" s="45" t="s">
        <v>53</v>
      </c>
      <c r="F31" s="45" t="s">
        <v>53</v>
      </c>
      <c r="G31" s="45" t="s">
        <v>53</v>
      </c>
      <c r="H31" s="45" t="s">
        <v>53</v>
      </c>
      <c r="I31" s="45" t="s">
        <v>53</v>
      </c>
      <c r="J31" s="46">
        <f t="shared" si="2"/>
        <v>85</v>
      </c>
      <c r="L31" s="210" t="s">
        <v>285</v>
      </c>
    </row>
    <row r="32" spans="1:12" ht="21" customHeight="1" x14ac:dyDescent="0.15">
      <c r="A32" s="211">
        <v>30044031</v>
      </c>
      <c r="B32" s="215">
        <v>1</v>
      </c>
      <c r="C32" s="215">
        <v>100</v>
      </c>
      <c r="D32" s="215">
        <v>100</v>
      </c>
      <c r="E32" s="215" t="s">
        <v>53</v>
      </c>
      <c r="F32" s="215" t="s">
        <v>53</v>
      </c>
      <c r="G32" s="215">
        <v>1</v>
      </c>
      <c r="H32" s="215" t="s">
        <v>53</v>
      </c>
      <c r="I32" s="215" t="s">
        <v>53</v>
      </c>
      <c r="J32" s="175">
        <f t="shared" si="2"/>
        <v>100</v>
      </c>
      <c r="L32" s="219" t="s">
        <v>279</v>
      </c>
    </row>
    <row r="33" spans="1:12" ht="21" customHeight="1" x14ac:dyDescent="0.15">
      <c r="A33" s="211">
        <v>30044032</v>
      </c>
      <c r="B33" s="216">
        <v>0</v>
      </c>
      <c r="C33" s="216">
        <v>4</v>
      </c>
      <c r="D33" s="216">
        <v>25</v>
      </c>
      <c r="E33" s="216" t="s">
        <v>53</v>
      </c>
      <c r="F33" s="216" t="s">
        <v>53</v>
      </c>
      <c r="G33" s="216" t="s">
        <v>53</v>
      </c>
      <c r="H33" s="216" t="s">
        <v>53</v>
      </c>
      <c r="I33" s="216" t="s">
        <v>53</v>
      </c>
      <c r="J33" s="46">
        <f t="shared" si="2"/>
        <v>25</v>
      </c>
      <c r="L33" s="219" t="s">
        <v>289</v>
      </c>
    </row>
    <row r="34" spans="1:12" ht="21" customHeight="1" x14ac:dyDescent="0.15">
      <c r="A34" s="211">
        <v>30044033</v>
      </c>
      <c r="B34" s="216">
        <v>0</v>
      </c>
      <c r="C34" s="216">
        <v>3</v>
      </c>
      <c r="D34" s="216">
        <v>42</v>
      </c>
      <c r="E34" s="216" t="s">
        <v>53</v>
      </c>
      <c r="F34" s="216" t="s">
        <v>53</v>
      </c>
      <c r="G34" s="216" t="s">
        <v>53</v>
      </c>
      <c r="H34" s="216" t="s">
        <v>53</v>
      </c>
      <c r="I34" s="216" t="s">
        <v>53</v>
      </c>
      <c r="J34" s="46">
        <f t="shared" si="2"/>
        <v>42</v>
      </c>
      <c r="L34" s="219" t="s">
        <v>290</v>
      </c>
    </row>
    <row r="35" spans="1:12" ht="21" customHeight="1" x14ac:dyDescent="0.15">
      <c r="A35" s="211">
        <v>30044034</v>
      </c>
      <c r="B35" s="216">
        <v>0</v>
      </c>
      <c r="C35" s="216">
        <v>2</v>
      </c>
      <c r="D35" s="216">
        <v>60</v>
      </c>
      <c r="E35" s="216" t="s">
        <v>53</v>
      </c>
      <c r="F35" s="216" t="s">
        <v>53</v>
      </c>
      <c r="G35" s="216" t="s">
        <v>53</v>
      </c>
      <c r="H35" s="216" t="s">
        <v>53</v>
      </c>
      <c r="I35" s="216" t="s">
        <v>53</v>
      </c>
      <c r="J35" s="46">
        <f t="shared" si="2"/>
        <v>60</v>
      </c>
      <c r="L35" s="219" t="s">
        <v>286</v>
      </c>
    </row>
    <row r="36" spans="1:12" ht="21" customHeight="1" x14ac:dyDescent="0.15">
      <c r="A36" s="211">
        <v>30044035</v>
      </c>
      <c r="B36" s="216">
        <v>0</v>
      </c>
      <c r="C36" s="216">
        <v>1</v>
      </c>
      <c r="D36" s="216">
        <v>100</v>
      </c>
      <c r="E36" s="216" t="s">
        <v>53</v>
      </c>
      <c r="F36" s="216" t="s">
        <v>53</v>
      </c>
      <c r="G36" s="216" t="s">
        <v>53</v>
      </c>
      <c r="H36" s="216" t="s">
        <v>53</v>
      </c>
      <c r="I36" s="216" t="s">
        <v>53</v>
      </c>
      <c r="J36" s="46">
        <f t="shared" si="2"/>
        <v>100</v>
      </c>
      <c r="L36" s="219" t="s">
        <v>291</v>
      </c>
    </row>
    <row r="37" spans="1:12" ht="21" customHeight="1" x14ac:dyDescent="0.15">
      <c r="A37" s="211">
        <v>30044036</v>
      </c>
      <c r="B37" s="216">
        <v>0</v>
      </c>
      <c r="C37" s="216">
        <v>110</v>
      </c>
      <c r="D37" s="216">
        <v>100</v>
      </c>
      <c r="E37" s="216">
        <v>35</v>
      </c>
      <c r="F37" s="216" t="s">
        <v>53</v>
      </c>
      <c r="G37" s="216">
        <v>1</v>
      </c>
      <c r="H37" s="216" t="s">
        <v>53</v>
      </c>
      <c r="I37" s="216" t="s">
        <v>53</v>
      </c>
      <c r="J37" s="46">
        <f t="shared" ref="J37:J39" si="3">D37</f>
        <v>100</v>
      </c>
      <c r="L37" s="219" t="s">
        <v>292</v>
      </c>
    </row>
    <row r="38" spans="1:12" ht="21" customHeight="1" x14ac:dyDescent="0.15">
      <c r="A38" s="211">
        <v>30044037</v>
      </c>
      <c r="B38" s="216">
        <v>0</v>
      </c>
      <c r="C38" s="216">
        <v>100</v>
      </c>
      <c r="D38" s="216">
        <v>100</v>
      </c>
      <c r="E38" s="216">
        <v>35</v>
      </c>
      <c r="F38" s="216" t="s">
        <v>253</v>
      </c>
      <c r="G38" s="216">
        <v>1</v>
      </c>
      <c r="H38" s="216" t="s">
        <v>53</v>
      </c>
      <c r="I38" s="216" t="s">
        <v>53</v>
      </c>
      <c r="J38" s="46">
        <f t="shared" si="3"/>
        <v>100</v>
      </c>
      <c r="L38" s="219" t="s">
        <v>293</v>
      </c>
    </row>
    <row r="39" spans="1:12" ht="21" customHeight="1" x14ac:dyDescent="0.15">
      <c r="A39" s="211">
        <v>30044038</v>
      </c>
      <c r="B39" s="217">
        <v>0</v>
      </c>
      <c r="C39" s="217">
        <v>120</v>
      </c>
      <c r="D39" s="217">
        <v>100</v>
      </c>
      <c r="E39" s="217" t="s">
        <v>252</v>
      </c>
      <c r="F39" s="217" t="s">
        <v>252</v>
      </c>
      <c r="G39" s="217">
        <v>0</v>
      </c>
      <c r="H39" s="217" t="s">
        <v>252</v>
      </c>
      <c r="I39" s="217">
        <v>0</v>
      </c>
      <c r="J39" s="46">
        <f t="shared" si="3"/>
        <v>100</v>
      </c>
      <c r="L39" s="219" t="s">
        <v>294</v>
      </c>
    </row>
    <row r="42" spans="1:12" ht="21" customHeight="1" x14ac:dyDescent="0.15">
      <c r="L42"/>
    </row>
    <row r="43" spans="1:12" ht="21" customHeight="1" x14ac:dyDescent="0.15">
      <c r="L43"/>
    </row>
  </sheetData>
  <autoFilter ref="A1:G1"/>
  <phoneticPr fontId="5"/>
  <conditionalFormatting sqref="K40:K1048576 K1:K26">
    <cfRule type="duplicateValues" dxfId="2" priority="3"/>
  </conditionalFormatting>
  <conditionalFormatting sqref="K32:K39">
    <cfRule type="duplicateValues" dxfId="1" priority="7"/>
  </conditionalFormatting>
  <conditionalFormatting sqref="K27:K3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P11" sqref="P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150</v>
      </c>
      <c r="B1" s="62" t="s">
        <v>151</v>
      </c>
      <c r="C1" s="63" t="s">
        <v>152</v>
      </c>
      <c r="D1" s="68" t="s">
        <v>153</v>
      </c>
      <c r="E1" s="64" t="s">
        <v>154</v>
      </c>
      <c r="F1" s="62" t="s">
        <v>155</v>
      </c>
      <c r="G1" s="62" t="s">
        <v>156</v>
      </c>
      <c r="H1" s="62" t="s">
        <v>157</v>
      </c>
      <c r="I1" s="62" t="s">
        <v>158</v>
      </c>
      <c r="J1" s="62" t="s">
        <v>159</v>
      </c>
      <c r="K1" s="62" t="s">
        <v>160</v>
      </c>
      <c r="L1" s="62" t="s">
        <v>161</v>
      </c>
      <c r="M1" s="62" t="s">
        <v>162</v>
      </c>
      <c r="N1" s="62" t="s">
        <v>163</v>
      </c>
      <c r="O1" s="62" t="s">
        <v>164</v>
      </c>
      <c r="P1" s="62" t="s">
        <v>165</v>
      </c>
      <c r="Q1" s="62" t="s">
        <v>166</v>
      </c>
      <c r="R1" s="62" t="s">
        <v>167</v>
      </c>
    </row>
    <row r="2" spans="1:18" x14ac:dyDescent="0.15">
      <c r="A2" s="56">
        <v>30044</v>
      </c>
      <c r="B2" s="56">
        <v>1</v>
      </c>
      <c r="C2" s="56" t="str">
        <f>A2&amp; "_"&amp;B2</f>
        <v>30044_1</v>
      </c>
      <c r="D2" s="232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7" t="s">
        <v>168</v>
      </c>
      <c r="G2" s="57">
        <v>3200</v>
      </c>
      <c r="H2" s="56" t="s">
        <v>319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200</v>
      </c>
      <c r="Q2" s="56" t="s">
        <v>169</v>
      </c>
      <c r="R2" s="56" t="s">
        <v>170</v>
      </c>
    </row>
    <row r="3" spans="1:18" x14ac:dyDescent="0.15">
      <c r="A3" s="56">
        <v>30044</v>
      </c>
      <c r="B3" s="56">
        <v>1</v>
      </c>
      <c r="C3" s="56" t="str">
        <f t="shared" ref="C3:C33" si="0">A3&amp; "_"&amp;B3</f>
        <v>30044_1</v>
      </c>
      <c r="D3" s="232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226" t="s">
        <v>317</v>
      </c>
      <c r="G3" s="226">
        <v>20</v>
      </c>
      <c r="H3" s="56" t="s">
        <v>319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200</v>
      </c>
      <c r="Q3" s="56" t="s">
        <v>169</v>
      </c>
      <c r="R3" s="56" t="s">
        <v>170</v>
      </c>
    </row>
    <row r="4" spans="1:18" x14ac:dyDescent="0.15">
      <c r="A4" s="56">
        <v>30044</v>
      </c>
      <c r="B4" s="56">
        <v>1</v>
      </c>
      <c r="C4" s="56" t="str">
        <f t="shared" si="0"/>
        <v>30044_1</v>
      </c>
      <c r="D4" s="232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226" t="s">
        <v>318</v>
      </c>
      <c r="G4" s="239">
        <v>340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70</v>
      </c>
      <c r="Q4" s="56" t="s">
        <v>169</v>
      </c>
      <c r="R4" s="56" t="s">
        <v>170</v>
      </c>
    </row>
    <row r="5" spans="1:18" x14ac:dyDescent="0.15">
      <c r="A5" s="56">
        <v>30044</v>
      </c>
      <c r="B5" s="56">
        <v>1</v>
      </c>
      <c r="C5" s="56" t="str">
        <f t="shared" si="0"/>
        <v>30044_1</v>
      </c>
      <c r="D5" s="232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226" t="s">
        <v>318</v>
      </c>
      <c r="G5" s="239">
        <v>341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70</v>
      </c>
      <c r="Q5" s="56" t="s">
        <v>169</v>
      </c>
      <c r="R5" s="56" t="s">
        <v>170</v>
      </c>
    </row>
    <row r="6" spans="1:18" x14ac:dyDescent="0.15">
      <c r="A6" s="56">
        <v>30044</v>
      </c>
      <c r="B6" s="56">
        <v>1</v>
      </c>
      <c r="C6" s="56" t="str">
        <f t="shared" si="0"/>
        <v>30044_1</v>
      </c>
      <c r="D6" s="232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226" t="s">
        <v>318</v>
      </c>
      <c r="G6" s="226">
        <v>121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50</v>
      </c>
      <c r="Q6" s="56" t="s">
        <v>169</v>
      </c>
      <c r="R6" s="56" t="s">
        <v>170</v>
      </c>
    </row>
    <row r="7" spans="1:18" x14ac:dyDescent="0.15">
      <c r="A7" s="56">
        <v>30044</v>
      </c>
      <c r="B7" s="56">
        <v>1</v>
      </c>
      <c r="C7" s="56" t="str">
        <f t="shared" si="0"/>
        <v>30044_1</v>
      </c>
      <c r="D7" s="232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226" t="s">
        <v>318</v>
      </c>
      <c r="G7" s="226">
        <v>122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50</v>
      </c>
      <c r="Q7" s="56" t="s">
        <v>169</v>
      </c>
      <c r="R7" s="56" t="s">
        <v>170</v>
      </c>
    </row>
    <row r="8" spans="1:18" x14ac:dyDescent="0.15">
      <c r="A8" s="56">
        <v>30044</v>
      </c>
      <c r="B8" s="56">
        <v>1</v>
      </c>
      <c r="C8" s="56" t="str">
        <f t="shared" si="0"/>
        <v>30044_1</v>
      </c>
      <c r="D8" s="232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226" t="s">
        <v>318</v>
      </c>
      <c r="G8" s="226">
        <v>123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50</v>
      </c>
      <c r="Q8" s="56" t="s">
        <v>169</v>
      </c>
      <c r="R8" s="56" t="s">
        <v>170</v>
      </c>
    </row>
    <row r="9" spans="1:18" x14ac:dyDescent="0.15">
      <c r="A9" s="56">
        <v>30044</v>
      </c>
      <c r="B9" s="56">
        <v>1</v>
      </c>
      <c r="C9" s="56" t="str">
        <f t="shared" si="0"/>
        <v>30044_1</v>
      </c>
      <c r="D9" s="232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226" t="s">
        <v>318</v>
      </c>
      <c r="G9" s="226">
        <v>125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</v>
      </c>
      <c r="Q9" s="56" t="s">
        <v>169</v>
      </c>
      <c r="R9" s="56" t="s">
        <v>170</v>
      </c>
    </row>
    <row r="10" spans="1:18" x14ac:dyDescent="0.15">
      <c r="A10" s="56">
        <v>30044</v>
      </c>
      <c r="B10" s="56">
        <v>1</v>
      </c>
      <c r="C10" s="56" t="str">
        <f t="shared" si="0"/>
        <v>30044_1</v>
      </c>
      <c r="D10" s="232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226" t="s">
        <v>318</v>
      </c>
      <c r="G10" s="238">
        <v>1200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256">
        <v>200</v>
      </c>
      <c r="Q10" s="56" t="s">
        <v>169</v>
      </c>
      <c r="R10" s="56" t="s">
        <v>170</v>
      </c>
    </row>
    <row r="11" spans="1:18" ht="16" thickBot="1" x14ac:dyDescent="0.2">
      <c r="A11" s="233">
        <v>30044</v>
      </c>
      <c r="B11" s="233">
        <v>1</v>
      </c>
      <c r="C11" s="233" t="str">
        <f t="shared" si="0"/>
        <v>30044_1</v>
      </c>
      <c r="D11" s="23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33">
        <v>10</v>
      </c>
      <c r="F11" s="227" t="s">
        <v>318</v>
      </c>
      <c r="G11" s="242">
        <v>352</v>
      </c>
      <c r="H11" s="233">
        <v>1</v>
      </c>
      <c r="I11" s="233">
        <v>1</v>
      </c>
      <c r="J11" s="233">
        <v>1</v>
      </c>
      <c r="K11" s="233">
        <v>0</v>
      </c>
      <c r="L11" s="233">
        <v>0</v>
      </c>
      <c r="M11" s="233">
        <v>0</v>
      </c>
      <c r="N11" s="233">
        <v>0</v>
      </c>
      <c r="O11" s="233">
        <v>1</v>
      </c>
      <c r="P11" s="233">
        <v>100</v>
      </c>
      <c r="Q11" s="233" t="s">
        <v>169</v>
      </c>
      <c r="R11" s="233" t="s">
        <v>170</v>
      </c>
    </row>
    <row r="12" spans="1:18" ht="16" thickTop="1" x14ac:dyDescent="0.15">
      <c r="A12" s="243">
        <v>30044</v>
      </c>
      <c r="B12" s="230">
        <v>2</v>
      </c>
      <c r="C12" s="243" t="str">
        <f t="shared" si="0"/>
        <v>30044_2</v>
      </c>
      <c r="D12" s="245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43">
        <v>11</v>
      </c>
      <c r="F12" s="228" t="s">
        <v>168</v>
      </c>
      <c r="G12" s="228">
        <v>5000</v>
      </c>
      <c r="H12" s="243" t="s">
        <v>319</v>
      </c>
      <c r="I12" s="243">
        <v>1</v>
      </c>
      <c r="J12" s="243">
        <v>1</v>
      </c>
      <c r="K12" s="243">
        <v>0</v>
      </c>
      <c r="L12" s="243">
        <v>0</v>
      </c>
      <c r="M12" s="243">
        <v>0</v>
      </c>
      <c r="N12" s="243">
        <v>0</v>
      </c>
      <c r="O12" s="243">
        <v>1</v>
      </c>
      <c r="P12" s="243">
        <v>200</v>
      </c>
      <c r="Q12" s="230" t="s">
        <v>169</v>
      </c>
      <c r="R12" s="230" t="s">
        <v>170</v>
      </c>
    </row>
    <row r="13" spans="1:18" x14ac:dyDescent="0.15">
      <c r="A13" s="237">
        <v>30044</v>
      </c>
      <c r="B13" s="55">
        <v>2</v>
      </c>
      <c r="C13" s="237" t="str">
        <f t="shared" si="0"/>
        <v>30044_2</v>
      </c>
      <c r="D13" s="246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37">
        <v>12</v>
      </c>
      <c r="F13" s="228" t="s">
        <v>317</v>
      </c>
      <c r="G13" s="228">
        <v>25</v>
      </c>
      <c r="H13" s="237" t="s">
        <v>319</v>
      </c>
      <c r="I13" s="237">
        <v>1</v>
      </c>
      <c r="J13" s="237">
        <v>1</v>
      </c>
      <c r="K13" s="237">
        <v>0</v>
      </c>
      <c r="L13" s="237">
        <v>0</v>
      </c>
      <c r="M13" s="237">
        <v>0</v>
      </c>
      <c r="N13" s="237">
        <v>0</v>
      </c>
      <c r="O13" s="237">
        <v>1</v>
      </c>
      <c r="P13" s="237">
        <v>150</v>
      </c>
      <c r="Q13" s="55" t="s">
        <v>169</v>
      </c>
      <c r="R13" s="55" t="s">
        <v>170</v>
      </c>
    </row>
    <row r="14" spans="1:18" x14ac:dyDescent="0.15">
      <c r="A14" s="237">
        <v>30044</v>
      </c>
      <c r="B14" s="55">
        <v>2</v>
      </c>
      <c r="C14" s="237" t="str">
        <f t="shared" si="0"/>
        <v>30044_2</v>
      </c>
      <c r="D14" s="246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37">
        <v>13</v>
      </c>
      <c r="F14" s="228" t="s">
        <v>318</v>
      </c>
      <c r="G14" s="240">
        <v>340</v>
      </c>
      <c r="H14" s="237">
        <v>1</v>
      </c>
      <c r="I14" s="237">
        <v>1</v>
      </c>
      <c r="J14" s="237">
        <v>1</v>
      </c>
      <c r="K14" s="237">
        <v>0</v>
      </c>
      <c r="L14" s="237">
        <v>0</v>
      </c>
      <c r="M14" s="237">
        <v>0</v>
      </c>
      <c r="N14" s="237">
        <v>0</v>
      </c>
      <c r="O14" s="237">
        <v>1</v>
      </c>
      <c r="P14" s="237">
        <v>56</v>
      </c>
      <c r="Q14" s="55" t="s">
        <v>169</v>
      </c>
      <c r="R14" s="55" t="s">
        <v>170</v>
      </c>
    </row>
    <row r="15" spans="1:18" x14ac:dyDescent="0.15">
      <c r="A15" s="237">
        <v>30044</v>
      </c>
      <c r="B15" s="55">
        <v>2</v>
      </c>
      <c r="C15" s="237" t="str">
        <f t="shared" si="0"/>
        <v>30044_2</v>
      </c>
      <c r="D15" s="246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37">
        <v>14</v>
      </c>
      <c r="F15" s="228" t="s">
        <v>318</v>
      </c>
      <c r="G15" s="240">
        <v>341</v>
      </c>
      <c r="H15" s="237">
        <v>1</v>
      </c>
      <c r="I15" s="237">
        <v>1</v>
      </c>
      <c r="J15" s="237">
        <v>1</v>
      </c>
      <c r="K15" s="237">
        <v>0</v>
      </c>
      <c r="L15" s="237">
        <v>0</v>
      </c>
      <c r="M15" s="237">
        <v>0</v>
      </c>
      <c r="N15" s="237">
        <v>0</v>
      </c>
      <c r="O15" s="237">
        <v>1</v>
      </c>
      <c r="P15" s="237">
        <v>56</v>
      </c>
      <c r="Q15" s="55" t="s">
        <v>169</v>
      </c>
      <c r="R15" s="55" t="s">
        <v>170</v>
      </c>
    </row>
    <row r="16" spans="1:18" x14ac:dyDescent="0.15">
      <c r="A16" s="237">
        <v>30044</v>
      </c>
      <c r="B16" s="55">
        <v>2</v>
      </c>
      <c r="C16" s="237" t="str">
        <f t="shared" si="0"/>
        <v>30044_2</v>
      </c>
      <c r="D16" s="246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37">
        <v>15</v>
      </c>
      <c r="F16" s="228" t="s">
        <v>318</v>
      </c>
      <c r="G16" s="240">
        <v>342</v>
      </c>
      <c r="H16" s="237">
        <v>1</v>
      </c>
      <c r="I16" s="237">
        <v>1</v>
      </c>
      <c r="J16" s="237">
        <v>1</v>
      </c>
      <c r="K16" s="237">
        <v>0</v>
      </c>
      <c r="L16" s="237">
        <v>0</v>
      </c>
      <c r="M16" s="237">
        <v>0</v>
      </c>
      <c r="N16" s="237">
        <v>0</v>
      </c>
      <c r="O16" s="237">
        <v>1</v>
      </c>
      <c r="P16" s="237">
        <v>28</v>
      </c>
      <c r="Q16" s="55" t="s">
        <v>169</v>
      </c>
      <c r="R16" s="55" t="s">
        <v>170</v>
      </c>
    </row>
    <row r="17" spans="1:18" x14ac:dyDescent="0.15">
      <c r="A17" s="237">
        <v>30044</v>
      </c>
      <c r="B17" s="55">
        <v>2</v>
      </c>
      <c r="C17" s="237" t="str">
        <f t="shared" si="0"/>
        <v>30044_2</v>
      </c>
      <c r="D17" s="246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37">
        <v>16</v>
      </c>
      <c r="F17" s="228" t="s">
        <v>318</v>
      </c>
      <c r="G17" s="228">
        <v>121</v>
      </c>
      <c r="H17" s="237">
        <v>1</v>
      </c>
      <c r="I17" s="237">
        <v>1</v>
      </c>
      <c r="J17" s="237">
        <v>1</v>
      </c>
      <c r="K17" s="237">
        <v>0</v>
      </c>
      <c r="L17" s="237">
        <v>0</v>
      </c>
      <c r="M17" s="237">
        <v>0</v>
      </c>
      <c r="N17" s="237">
        <v>0</v>
      </c>
      <c r="O17" s="237">
        <v>1</v>
      </c>
      <c r="P17" s="237">
        <v>50</v>
      </c>
      <c r="Q17" s="55" t="s">
        <v>169</v>
      </c>
      <c r="R17" s="55" t="s">
        <v>170</v>
      </c>
    </row>
    <row r="18" spans="1:18" x14ac:dyDescent="0.15">
      <c r="A18" s="237">
        <v>30044</v>
      </c>
      <c r="B18" s="55">
        <v>2</v>
      </c>
      <c r="C18" s="237" t="str">
        <f t="shared" si="0"/>
        <v>30044_2</v>
      </c>
      <c r="D18" s="246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37">
        <v>17</v>
      </c>
      <c r="F18" s="228" t="s">
        <v>318</v>
      </c>
      <c r="G18" s="228">
        <v>122</v>
      </c>
      <c r="H18" s="237">
        <v>1</v>
      </c>
      <c r="I18" s="237">
        <v>1</v>
      </c>
      <c r="J18" s="237">
        <v>1</v>
      </c>
      <c r="K18" s="237">
        <v>0</v>
      </c>
      <c r="L18" s="237">
        <v>0</v>
      </c>
      <c r="M18" s="237">
        <v>0</v>
      </c>
      <c r="N18" s="237">
        <v>0</v>
      </c>
      <c r="O18" s="237">
        <v>1</v>
      </c>
      <c r="P18" s="237">
        <v>50</v>
      </c>
      <c r="Q18" s="55" t="s">
        <v>169</v>
      </c>
      <c r="R18" s="55" t="s">
        <v>170</v>
      </c>
    </row>
    <row r="19" spans="1:18" x14ac:dyDescent="0.15">
      <c r="A19" s="237">
        <v>30044</v>
      </c>
      <c r="B19" s="55">
        <v>2</v>
      </c>
      <c r="C19" s="237" t="str">
        <f t="shared" si="0"/>
        <v>30044_2</v>
      </c>
      <c r="D19" s="246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37">
        <v>18</v>
      </c>
      <c r="F19" s="228" t="s">
        <v>318</v>
      </c>
      <c r="G19" s="228">
        <v>123</v>
      </c>
      <c r="H19" s="237">
        <v>1</v>
      </c>
      <c r="I19" s="237">
        <v>1</v>
      </c>
      <c r="J19" s="237">
        <v>1</v>
      </c>
      <c r="K19" s="237">
        <v>0</v>
      </c>
      <c r="L19" s="237">
        <v>0</v>
      </c>
      <c r="M19" s="237">
        <v>0</v>
      </c>
      <c r="N19" s="237">
        <v>0</v>
      </c>
      <c r="O19" s="237">
        <v>1</v>
      </c>
      <c r="P19" s="237">
        <v>50</v>
      </c>
      <c r="Q19" s="55" t="s">
        <v>169</v>
      </c>
      <c r="R19" s="55" t="s">
        <v>170</v>
      </c>
    </row>
    <row r="20" spans="1:18" x14ac:dyDescent="0.15">
      <c r="A20" s="237">
        <v>30044</v>
      </c>
      <c r="B20" s="55">
        <v>2</v>
      </c>
      <c r="C20" s="237" t="str">
        <f t="shared" si="0"/>
        <v>30044_2</v>
      </c>
      <c r="D20" s="246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237">
        <v>19</v>
      </c>
      <c r="F20" s="228" t="s">
        <v>318</v>
      </c>
      <c r="G20" s="228">
        <v>125</v>
      </c>
      <c r="H20" s="237">
        <v>1</v>
      </c>
      <c r="I20" s="237">
        <v>1</v>
      </c>
      <c r="J20" s="237">
        <v>1</v>
      </c>
      <c r="K20" s="237">
        <v>0</v>
      </c>
      <c r="L20" s="237">
        <v>0</v>
      </c>
      <c r="M20" s="237">
        <v>0</v>
      </c>
      <c r="N20" s="237">
        <v>0</v>
      </c>
      <c r="O20" s="237">
        <v>1</v>
      </c>
      <c r="P20" s="237">
        <v>10</v>
      </c>
      <c r="Q20" s="55" t="s">
        <v>169</v>
      </c>
      <c r="R20" s="55" t="s">
        <v>170</v>
      </c>
    </row>
    <row r="21" spans="1:18" x14ac:dyDescent="0.15">
      <c r="A21" s="237">
        <v>30044</v>
      </c>
      <c r="B21" s="55">
        <v>2</v>
      </c>
      <c r="C21" s="237" t="str">
        <f t="shared" si="0"/>
        <v>30044_2</v>
      </c>
      <c r="D21" s="246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37">
        <v>20</v>
      </c>
      <c r="F21" s="228" t="s">
        <v>318</v>
      </c>
      <c r="G21" s="238">
        <v>1200</v>
      </c>
      <c r="H21" s="237">
        <v>1</v>
      </c>
      <c r="I21" s="237">
        <v>1</v>
      </c>
      <c r="J21" s="237">
        <v>1</v>
      </c>
      <c r="K21" s="237">
        <v>0</v>
      </c>
      <c r="L21" s="237">
        <v>0</v>
      </c>
      <c r="M21" s="237">
        <v>0</v>
      </c>
      <c r="N21" s="237">
        <v>0</v>
      </c>
      <c r="O21" s="237">
        <v>1</v>
      </c>
      <c r="P21" s="257">
        <v>250</v>
      </c>
      <c r="Q21" s="55" t="s">
        <v>169</v>
      </c>
      <c r="R21" s="55" t="s">
        <v>170</v>
      </c>
    </row>
    <row r="22" spans="1:18" ht="16" thickBot="1" x14ac:dyDescent="0.2">
      <c r="A22" s="244">
        <v>30044</v>
      </c>
      <c r="B22" s="231">
        <v>2</v>
      </c>
      <c r="C22" s="244" t="str">
        <f t="shared" si="0"/>
        <v>30044_2</v>
      </c>
      <c r="D22" s="24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44">
        <v>21</v>
      </c>
      <c r="F22" s="229" t="s">
        <v>318</v>
      </c>
      <c r="G22" s="241">
        <v>352</v>
      </c>
      <c r="H22" s="244">
        <v>1</v>
      </c>
      <c r="I22" s="244">
        <v>1</v>
      </c>
      <c r="J22" s="244">
        <v>1</v>
      </c>
      <c r="K22" s="244">
        <v>0</v>
      </c>
      <c r="L22" s="244">
        <v>0</v>
      </c>
      <c r="M22" s="244">
        <v>0</v>
      </c>
      <c r="N22" s="244">
        <v>0</v>
      </c>
      <c r="O22" s="244">
        <v>1</v>
      </c>
      <c r="P22" s="244">
        <v>100</v>
      </c>
      <c r="Q22" s="231" t="s">
        <v>169</v>
      </c>
      <c r="R22" s="231" t="s">
        <v>170</v>
      </c>
    </row>
    <row r="23" spans="1:18" ht="16" thickTop="1" x14ac:dyDescent="0.15">
      <c r="A23" s="235">
        <v>30044</v>
      </c>
      <c r="B23" s="235">
        <v>3</v>
      </c>
      <c r="C23" s="235" t="str">
        <f t="shared" si="0"/>
        <v>30044_3</v>
      </c>
      <c r="D23" s="236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35">
        <v>22</v>
      </c>
      <c r="F23" s="226" t="s">
        <v>168</v>
      </c>
      <c r="G23" s="226">
        <v>6500</v>
      </c>
      <c r="H23" s="235" t="s">
        <v>319</v>
      </c>
      <c r="I23" s="235">
        <v>1</v>
      </c>
      <c r="J23" s="235">
        <v>1</v>
      </c>
      <c r="K23" s="235">
        <v>0</v>
      </c>
      <c r="L23" s="235">
        <v>0</v>
      </c>
      <c r="M23" s="235">
        <v>0</v>
      </c>
      <c r="N23" s="235">
        <v>0</v>
      </c>
      <c r="O23" s="235">
        <v>1</v>
      </c>
      <c r="P23" s="235">
        <v>100</v>
      </c>
      <c r="Q23" s="235" t="s">
        <v>169</v>
      </c>
      <c r="R23" s="235" t="s">
        <v>170</v>
      </c>
    </row>
    <row r="24" spans="1:18" x14ac:dyDescent="0.15">
      <c r="A24" s="56">
        <v>30044</v>
      </c>
      <c r="B24" s="56">
        <v>3</v>
      </c>
      <c r="C24" s="56" t="str">
        <f t="shared" si="0"/>
        <v>30044_3</v>
      </c>
      <c r="D24" s="232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6">
        <v>23</v>
      </c>
      <c r="F24" s="226" t="s">
        <v>317</v>
      </c>
      <c r="G24" s="226">
        <v>25</v>
      </c>
      <c r="H24" s="56" t="s">
        <v>319</v>
      </c>
      <c r="I24" s="56">
        <v>1</v>
      </c>
      <c r="J24" s="56">
        <v>1</v>
      </c>
      <c r="K24" s="56">
        <v>0</v>
      </c>
      <c r="L24" s="56">
        <v>0</v>
      </c>
      <c r="M24" s="56">
        <v>0</v>
      </c>
      <c r="N24" s="56">
        <v>0</v>
      </c>
      <c r="O24" s="56">
        <v>1</v>
      </c>
      <c r="P24" s="56">
        <v>100</v>
      </c>
      <c r="Q24" s="56" t="s">
        <v>169</v>
      </c>
      <c r="R24" s="56" t="s">
        <v>170</v>
      </c>
    </row>
    <row r="25" spans="1:18" x14ac:dyDescent="0.15">
      <c r="A25" s="56">
        <v>30044</v>
      </c>
      <c r="B25" s="56">
        <v>3</v>
      </c>
      <c r="C25" s="56" t="str">
        <f t="shared" si="0"/>
        <v>30044_3</v>
      </c>
      <c r="D25" s="232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6">
        <v>24</v>
      </c>
      <c r="F25" s="226" t="s">
        <v>318</v>
      </c>
      <c r="G25" s="239">
        <v>340</v>
      </c>
      <c r="H25" s="56">
        <v>1</v>
      </c>
      <c r="I25" s="56">
        <v>1</v>
      </c>
      <c r="J25" s="56">
        <v>1</v>
      </c>
      <c r="K25" s="56">
        <v>0</v>
      </c>
      <c r="L25" s="56">
        <v>0</v>
      </c>
      <c r="M25" s="56">
        <v>0</v>
      </c>
      <c r="N25" s="56">
        <v>0</v>
      </c>
      <c r="O25" s="56">
        <v>1</v>
      </c>
      <c r="P25" s="56">
        <v>28</v>
      </c>
      <c r="Q25" s="56" t="s">
        <v>169</v>
      </c>
      <c r="R25" s="56" t="s">
        <v>170</v>
      </c>
    </row>
    <row r="26" spans="1:18" x14ac:dyDescent="0.15">
      <c r="A26" s="56">
        <v>30044</v>
      </c>
      <c r="B26" s="56">
        <v>3</v>
      </c>
      <c r="C26" s="56" t="str">
        <f t="shared" si="0"/>
        <v>30044_3</v>
      </c>
      <c r="D26" s="232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6">
        <v>25</v>
      </c>
      <c r="F26" s="226" t="s">
        <v>318</v>
      </c>
      <c r="G26" s="239">
        <v>341</v>
      </c>
      <c r="H26" s="56">
        <v>1</v>
      </c>
      <c r="I26" s="56">
        <v>1</v>
      </c>
      <c r="J26" s="56">
        <v>1</v>
      </c>
      <c r="K26" s="56">
        <v>0</v>
      </c>
      <c r="L26" s="56">
        <v>0</v>
      </c>
      <c r="M26" s="56">
        <v>0</v>
      </c>
      <c r="N26" s="56">
        <v>0</v>
      </c>
      <c r="O26" s="56">
        <v>1</v>
      </c>
      <c r="P26" s="56">
        <v>56</v>
      </c>
      <c r="Q26" s="56" t="s">
        <v>169</v>
      </c>
      <c r="R26" s="56" t="s">
        <v>170</v>
      </c>
    </row>
    <row r="27" spans="1:18" x14ac:dyDescent="0.15">
      <c r="A27" s="56">
        <v>30044</v>
      </c>
      <c r="B27" s="56">
        <v>3</v>
      </c>
      <c r="C27" s="56" t="str">
        <f t="shared" si="0"/>
        <v>30044_3</v>
      </c>
      <c r="D27" s="232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6">
        <v>26</v>
      </c>
      <c r="F27" s="226" t="s">
        <v>318</v>
      </c>
      <c r="G27" s="239">
        <v>342</v>
      </c>
      <c r="H27" s="56">
        <v>1</v>
      </c>
      <c r="I27" s="56">
        <v>1</v>
      </c>
      <c r="J27" s="56">
        <v>1</v>
      </c>
      <c r="K27" s="56">
        <v>0</v>
      </c>
      <c r="L27" s="56">
        <v>0</v>
      </c>
      <c r="M27" s="56">
        <v>0</v>
      </c>
      <c r="N27" s="56">
        <v>0</v>
      </c>
      <c r="O27" s="56">
        <v>1</v>
      </c>
      <c r="P27" s="56">
        <v>56</v>
      </c>
      <c r="Q27" s="56" t="s">
        <v>169</v>
      </c>
      <c r="R27" s="56" t="s">
        <v>170</v>
      </c>
    </row>
    <row r="28" spans="1:18" x14ac:dyDescent="0.15">
      <c r="A28" s="56">
        <v>30044</v>
      </c>
      <c r="B28" s="56">
        <v>3</v>
      </c>
      <c r="C28" s="56" t="str">
        <f t="shared" si="0"/>
        <v>30044_3</v>
      </c>
      <c r="D28" s="232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6">
        <v>27</v>
      </c>
      <c r="F28" s="226" t="s">
        <v>318</v>
      </c>
      <c r="G28" s="226">
        <v>121</v>
      </c>
      <c r="H28" s="56">
        <v>1</v>
      </c>
      <c r="I28" s="56">
        <v>1</v>
      </c>
      <c r="J28" s="56">
        <v>1</v>
      </c>
      <c r="K28" s="56">
        <v>0</v>
      </c>
      <c r="L28" s="56">
        <v>0</v>
      </c>
      <c r="M28" s="56">
        <v>0</v>
      </c>
      <c r="N28" s="56">
        <v>0</v>
      </c>
      <c r="O28" s="56">
        <v>1</v>
      </c>
      <c r="P28" s="56">
        <v>50</v>
      </c>
      <c r="Q28" s="56" t="s">
        <v>169</v>
      </c>
      <c r="R28" s="56" t="s">
        <v>170</v>
      </c>
    </row>
    <row r="29" spans="1:18" x14ac:dyDescent="0.15">
      <c r="A29" s="56">
        <v>30044</v>
      </c>
      <c r="B29" s="56">
        <v>3</v>
      </c>
      <c r="C29" s="56" t="str">
        <f t="shared" si="0"/>
        <v>30044_3</v>
      </c>
      <c r="D29" s="232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6">
        <v>28</v>
      </c>
      <c r="F29" s="226" t="s">
        <v>318</v>
      </c>
      <c r="G29" s="226">
        <v>122</v>
      </c>
      <c r="H29" s="56">
        <v>1</v>
      </c>
      <c r="I29" s="56">
        <v>1</v>
      </c>
      <c r="J29" s="56">
        <v>1</v>
      </c>
      <c r="K29" s="56">
        <v>0</v>
      </c>
      <c r="L29" s="56">
        <v>0</v>
      </c>
      <c r="M29" s="56">
        <v>0</v>
      </c>
      <c r="N29" s="56">
        <v>0</v>
      </c>
      <c r="O29" s="56">
        <v>1</v>
      </c>
      <c r="P29" s="56">
        <v>50</v>
      </c>
      <c r="Q29" s="56" t="s">
        <v>169</v>
      </c>
      <c r="R29" s="56" t="s">
        <v>170</v>
      </c>
    </row>
    <row r="30" spans="1:18" x14ac:dyDescent="0.15">
      <c r="A30" s="56">
        <v>30044</v>
      </c>
      <c r="B30" s="56">
        <v>3</v>
      </c>
      <c r="C30" s="56" t="str">
        <f t="shared" si="0"/>
        <v>30044_3</v>
      </c>
      <c r="D30" s="232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6">
        <v>29</v>
      </c>
      <c r="F30" s="226" t="s">
        <v>318</v>
      </c>
      <c r="G30" s="226">
        <v>123</v>
      </c>
      <c r="H30" s="56">
        <v>1</v>
      </c>
      <c r="I30" s="56">
        <v>1</v>
      </c>
      <c r="J30" s="56">
        <v>1</v>
      </c>
      <c r="K30" s="56">
        <v>0</v>
      </c>
      <c r="L30" s="56">
        <v>0</v>
      </c>
      <c r="M30" s="56">
        <v>0</v>
      </c>
      <c r="N30" s="56">
        <v>0</v>
      </c>
      <c r="O30" s="56">
        <v>1</v>
      </c>
      <c r="P30" s="56">
        <v>50</v>
      </c>
      <c r="Q30" s="56" t="s">
        <v>169</v>
      </c>
      <c r="R30" s="56" t="s">
        <v>170</v>
      </c>
    </row>
    <row r="31" spans="1:18" x14ac:dyDescent="0.15">
      <c r="A31" s="56">
        <v>30044</v>
      </c>
      <c r="B31" s="56">
        <v>3</v>
      </c>
      <c r="C31" s="56" t="str">
        <f t="shared" si="0"/>
        <v>30044_3</v>
      </c>
      <c r="D31" s="232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6">
        <v>30</v>
      </c>
      <c r="F31" s="226" t="s">
        <v>318</v>
      </c>
      <c r="G31" s="226">
        <v>125</v>
      </c>
      <c r="H31" s="56">
        <v>1</v>
      </c>
      <c r="I31" s="56">
        <v>1</v>
      </c>
      <c r="J31" s="56">
        <v>1</v>
      </c>
      <c r="K31" s="56">
        <v>0</v>
      </c>
      <c r="L31" s="56">
        <v>0</v>
      </c>
      <c r="M31" s="56">
        <v>0</v>
      </c>
      <c r="N31" s="56">
        <v>0</v>
      </c>
      <c r="O31" s="56">
        <v>1</v>
      </c>
      <c r="P31" s="56">
        <v>10</v>
      </c>
      <c r="Q31" s="56" t="s">
        <v>169</v>
      </c>
      <c r="R31" s="56" t="s">
        <v>170</v>
      </c>
    </row>
    <row r="32" spans="1:18" x14ac:dyDescent="0.15">
      <c r="A32" s="56">
        <v>30044</v>
      </c>
      <c r="B32" s="56">
        <v>3</v>
      </c>
      <c r="C32" s="56" t="str">
        <f t="shared" si="0"/>
        <v>30044_3</v>
      </c>
      <c r="D32" s="232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6">
        <v>31</v>
      </c>
      <c r="F32" s="226" t="s">
        <v>318</v>
      </c>
      <c r="G32" s="238">
        <v>1200</v>
      </c>
      <c r="H32" s="56">
        <v>1</v>
      </c>
      <c r="I32" s="56">
        <v>1</v>
      </c>
      <c r="J32" s="56">
        <v>1</v>
      </c>
      <c r="K32" s="56">
        <v>0</v>
      </c>
      <c r="L32" s="56">
        <v>0</v>
      </c>
      <c r="M32" s="56">
        <v>0</v>
      </c>
      <c r="N32" s="56">
        <v>0</v>
      </c>
      <c r="O32" s="56">
        <v>1</v>
      </c>
      <c r="P32" s="256">
        <v>400</v>
      </c>
      <c r="Q32" s="56" t="s">
        <v>169</v>
      </c>
      <c r="R32" s="56" t="s">
        <v>170</v>
      </c>
    </row>
    <row r="33" spans="1:18" x14ac:dyDescent="0.15">
      <c r="A33" s="56">
        <v>30044</v>
      </c>
      <c r="B33" s="56">
        <v>3</v>
      </c>
      <c r="C33" s="56" t="str">
        <f t="shared" si="0"/>
        <v>30044_3</v>
      </c>
      <c r="D33" s="232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6">
        <v>32</v>
      </c>
      <c r="F33" s="226" t="s">
        <v>318</v>
      </c>
      <c r="G33" s="239">
        <v>352</v>
      </c>
      <c r="H33" s="56">
        <v>1</v>
      </c>
      <c r="I33" s="56">
        <v>1</v>
      </c>
      <c r="J33" s="56">
        <v>1</v>
      </c>
      <c r="K33" s="56">
        <v>0</v>
      </c>
      <c r="L33" s="56">
        <v>0</v>
      </c>
      <c r="M33" s="56">
        <v>0</v>
      </c>
      <c r="N33" s="56">
        <v>0</v>
      </c>
      <c r="O33" s="56">
        <v>1</v>
      </c>
      <c r="P33" s="56">
        <v>100</v>
      </c>
      <c r="Q33" s="56" t="s">
        <v>169</v>
      </c>
      <c r="R33" s="56" t="s">
        <v>170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E88" sqref="E88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187</v>
      </c>
      <c r="B1" s="69" t="s">
        <v>188</v>
      </c>
      <c r="C1" s="73" t="s">
        <v>189</v>
      </c>
      <c r="D1" s="73" t="s">
        <v>33</v>
      </c>
      <c r="E1" s="69" t="s">
        <v>190</v>
      </c>
      <c r="F1" s="73" t="s">
        <v>191</v>
      </c>
      <c r="G1" s="73" t="s">
        <v>33</v>
      </c>
      <c r="H1" s="69" t="s">
        <v>192</v>
      </c>
      <c r="I1" s="87" t="s">
        <v>194</v>
      </c>
      <c r="J1" s="75" t="s">
        <v>126</v>
      </c>
      <c r="K1" s="74" t="s">
        <v>186</v>
      </c>
      <c r="L1" s="88" t="s">
        <v>185</v>
      </c>
      <c r="M1" s="76" t="s">
        <v>195</v>
      </c>
    </row>
    <row r="2" spans="1:13" x14ac:dyDescent="0.15">
      <c r="A2" s="77" t="s">
        <v>200</v>
      </c>
      <c r="B2" s="78">
        <f>floors!$C$2</f>
        <v>30044</v>
      </c>
      <c r="C2" s="79" t="str">
        <f ca="1">VLOOKUP($B2,OFFSET([2]quests!$A$1,0,0,COUNTA([2]quests!$A:$A),MATCH(C$1,[2]quests!$1:$1,0)-MATCH($B$1,[2]quests!$1:$1,0)+1),MATCH(C$1,[2]quests!$1:$1,0)-MATCH($B$1,[2]quests!$1:$1,0)+1,FALSE)</f>
        <v>冷酷なる遂行者</v>
      </c>
      <c r="D2" s="79" t="str">
        <f ca="1">VLOOKUP($B2,OFFSET([2]quests!$A$1,0,0,COUNTA([2]quests!$A:$A),MATCH(D$1,[2]quests!$1:$1,0)-MATCH($B$1,[2]quests!$1:$1,0)+1),MATCH(D$1,[2]quests!$1:$1,0)-MATCH($B$1,[2]quests!$1:$1,0)+1,FALSE)</f>
        <v>ギリシャ神話第二弾超級</v>
      </c>
      <c r="E2" s="83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【中級】冷酷なる遂行者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ギリシャ神話第二弾超級</v>
      </c>
      <c r="H2" s="81">
        <v>0</v>
      </c>
      <c r="I2">
        <v>3</v>
      </c>
      <c r="J2" s="80" t="s">
        <v>197</v>
      </c>
      <c r="K2" s="89" t="str">
        <f>VLOOKUP(I2,[6]stage_hints!$A:$C,3,FALSE)</f>
        <v>ターゲット</v>
      </c>
      <c r="L2" s="90" t="str">
        <f>VLOOKUP(I2,[6]stage_hints!$A:$D,4,FALSE)</f>
        <v>敵ユニットをタップすると_x000D_その敵を狙い撃ちできます</v>
      </c>
      <c r="M2" s="55" t="s">
        <v>210</v>
      </c>
    </row>
    <row r="3" spans="1:13" x14ac:dyDescent="0.15">
      <c r="A3" s="77" t="s">
        <v>200</v>
      </c>
      <c r="B3" s="78">
        <f>floors!$C$2</f>
        <v>30044</v>
      </c>
      <c r="C3" s="79" t="str">
        <f ca="1">VLOOKUP($B3,OFFSET([2]quests!$A$1,0,0,COUNTA([2]quests!$A:$A),MATCH(C$1,[2]quests!$1:$1,0)-MATCH($B$1,[2]quests!$1:$1,0)+1),MATCH(C$1,[2]quests!$1:$1,0)-MATCH($B$1,[2]quests!$1:$1,0)+1,FALSE)</f>
        <v>冷酷なる遂行者</v>
      </c>
      <c r="D3" s="79" t="str">
        <f ca="1">VLOOKUP($B3,OFFSET([2]quests!$A$1,0,0,COUNTA([2]quests!$A:$A),MATCH(D$1,[2]quests!$1:$1,0)-MATCH($B$1,[2]quests!$1:$1,0)+1),MATCH(D$1,[2]quests!$1:$1,0)-MATCH($B$1,[2]quests!$1:$1,0)+1,FALSE)</f>
        <v>ギリシャ神話第二弾超級</v>
      </c>
      <c r="E3" s="83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【中級】冷酷なる遂行者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ギリシャ神話第二弾超級</v>
      </c>
      <c r="H3" s="81">
        <v>0</v>
      </c>
      <c r="I3">
        <v>6</v>
      </c>
      <c r="J3" s="80" t="s">
        <v>197</v>
      </c>
      <c r="K3" s="89" t="str">
        <f>VLOOKUP(I3,[6]stage_hints!$A:$C,3,FALSE)</f>
        <v>ユニット強化の属性ボーナス</v>
      </c>
      <c r="L3" s="90" t="str">
        <f>VLOOKUP(I3,[6]stage_hints!$A:$D,4,FALSE)</f>
        <v>同属性ユニットを強化素材にすると_x000D_経験値が多くもらえます</v>
      </c>
      <c r="M3" s="55" t="s">
        <v>210</v>
      </c>
    </row>
    <row r="4" spans="1:13" x14ac:dyDescent="0.15">
      <c r="A4" s="77" t="s">
        <v>200</v>
      </c>
      <c r="B4" s="78">
        <f>floors!$C$2</f>
        <v>30044</v>
      </c>
      <c r="C4" s="79" t="str">
        <f ca="1">VLOOKUP($B4,OFFSET([2]quests!$A$1,0,0,COUNTA([2]quests!$A:$A),MATCH(C$1,[2]quests!$1:$1,0)-MATCH($B$1,[2]quests!$1:$1,0)+1),MATCH(C$1,[2]quests!$1:$1,0)-MATCH($B$1,[2]quests!$1:$1,0)+1,FALSE)</f>
        <v>冷酷なる遂行者</v>
      </c>
      <c r="D4" s="79" t="str">
        <f ca="1">VLOOKUP($B4,OFFSET([2]quests!$A$1,0,0,COUNTA([2]quests!$A:$A),MATCH(D$1,[2]quests!$1:$1,0)-MATCH($B$1,[2]quests!$1:$1,0)+1),MATCH(D$1,[2]quests!$1:$1,0)-MATCH($B$1,[2]quests!$1:$1,0)+1,FALSE)</f>
        <v>ギリシャ神話第二弾超級</v>
      </c>
      <c r="E4" s="83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【中級】冷酷なる遂行者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ギリシャ神話第二弾超級</v>
      </c>
      <c r="H4" s="81">
        <v>0</v>
      </c>
      <c r="I4">
        <v>7</v>
      </c>
      <c r="J4" s="80" t="s">
        <v>197</v>
      </c>
      <c r="K4" s="89" t="str">
        <f>VLOOKUP(I4,[6]stage_hints!$A:$C,3,FALSE)</f>
        <v>メタルダックで経験値を獲得</v>
      </c>
      <c r="L4" s="90" t="str">
        <f>VLOOKUP(I4,[6]stage_hints!$A:$D,4,FALSE)</f>
        <v>「メタルなアヒル」を強化素材にすると_x000D_大量の経験値がもらえます</v>
      </c>
      <c r="M4" s="55" t="s">
        <v>210</v>
      </c>
    </row>
    <row r="5" spans="1:13" x14ac:dyDescent="0.15">
      <c r="A5" s="77" t="s">
        <v>200</v>
      </c>
      <c r="B5" s="78">
        <f>floors!$C$2</f>
        <v>30044</v>
      </c>
      <c r="C5" s="79" t="str">
        <f ca="1">VLOOKUP($B5,OFFSET([2]quests!$A$1,0,0,COUNTA([2]quests!$A:$A),MATCH(C$1,[2]quests!$1:$1,0)-MATCH($B$1,[2]quests!$1:$1,0)+1),MATCH(C$1,[2]quests!$1:$1,0)-MATCH($B$1,[2]quests!$1:$1,0)+1,FALSE)</f>
        <v>冷酷なる遂行者</v>
      </c>
      <c r="D5" s="79" t="str">
        <f ca="1">VLOOKUP($B5,OFFSET([2]quests!$A$1,0,0,COUNTA([2]quests!$A:$A),MATCH(D$1,[2]quests!$1:$1,0)-MATCH($B$1,[2]quests!$1:$1,0)+1),MATCH(D$1,[2]quests!$1:$1,0)-MATCH($B$1,[2]quests!$1:$1,0)+1,FALSE)</f>
        <v>ギリシャ神話第二弾超級</v>
      </c>
      <c r="E5" s="83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【中級】冷酷なる遂行者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ギリシャ神話第二弾超級</v>
      </c>
      <c r="H5" s="81">
        <v>0</v>
      </c>
      <c r="I5">
        <v>8</v>
      </c>
      <c r="J5" s="80" t="s">
        <v>197</v>
      </c>
      <c r="K5" s="89" t="str">
        <f>VLOOKUP(I5,[6]stage_hints!$A:$C,3,FALSE)</f>
        <v>ゲリラクエストは要チェック</v>
      </c>
      <c r="L5" s="90" t="str">
        <f>VLOOKUP(I5,[6]stage_hints!$A:$D,4,FALSE)</f>
        <v>時間限定の「アヒル捕獲作戦」では_x000D_経験値素材ユニットが多く手に入ります</v>
      </c>
      <c r="M5" s="55" t="s">
        <v>210</v>
      </c>
    </row>
    <row r="6" spans="1:13" x14ac:dyDescent="0.15">
      <c r="A6" s="77" t="s">
        <v>200</v>
      </c>
      <c r="B6" s="78">
        <f>floors!$C$2</f>
        <v>30044</v>
      </c>
      <c r="C6" s="79" t="str">
        <f ca="1">VLOOKUP($B6,OFFSET([2]quests!$A$1,0,0,COUNTA([2]quests!$A:$A),MATCH(C$1,[2]quests!$1:$1,0)-MATCH($B$1,[2]quests!$1:$1,0)+1),MATCH(C$1,[2]quests!$1:$1,0)-MATCH($B$1,[2]quests!$1:$1,0)+1,FALSE)</f>
        <v>冷酷なる遂行者</v>
      </c>
      <c r="D6" s="79" t="str">
        <f ca="1">VLOOKUP($B6,OFFSET([2]quests!$A$1,0,0,COUNTA([2]quests!$A:$A),MATCH(D$1,[2]quests!$1:$1,0)-MATCH($B$1,[2]quests!$1:$1,0)+1),MATCH(D$1,[2]quests!$1:$1,0)-MATCH($B$1,[2]quests!$1:$1,0)+1,FALSE)</f>
        <v>ギリシャ神話第二弾超級</v>
      </c>
      <c r="E6" s="83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【中級】冷酷なる遂行者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ギリシャ神話第二弾超級</v>
      </c>
      <c r="H6" s="81">
        <v>0</v>
      </c>
      <c r="I6">
        <v>9</v>
      </c>
      <c r="J6" s="80" t="s">
        <v>197</v>
      </c>
      <c r="K6" s="89" t="str">
        <f>VLOOKUP(I6,[6]stage_hints!$A:$C,3,FALSE)</f>
        <v>ゴールドダックでビットを獲得</v>
      </c>
      <c r="L6" s="90" t="str">
        <f>VLOOKUP(I6,[6]stage_hints!$A:$D,4,FALSE)</f>
        <v>「ゴールドなアヒル」を売却すると_x000D_大量のビットがもらえます</v>
      </c>
      <c r="M6" s="55" t="s">
        <v>210</v>
      </c>
    </row>
    <row r="7" spans="1:13" x14ac:dyDescent="0.15">
      <c r="A7" s="77" t="s">
        <v>200</v>
      </c>
      <c r="B7" s="78">
        <f>floors!$C$2</f>
        <v>30044</v>
      </c>
      <c r="C7" s="79" t="str">
        <f ca="1">VLOOKUP($B7,OFFSET([2]quests!$A$1,0,0,COUNTA([2]quests!$A:$A),MATCH(C$1,[2]quests!$1:$1,0)-MATCH($B$1,[2]quests!$1:$1,0)+1),MATCH(C$1,[2]quests!$1:$1,0)-MATCH($B$1,[2]quests!$1:$1,0)+1,FALSE)</f>
        <v>冷酷なる遂行者</v>
      </c>
      <c r="D7" s="79" t="str">
        <f ca="1">VLOOKUP($B7,OFFSET([2]quests!$A$1,0,0,COUNTA([2]quests!$A:$A),MATCH(D$1,[2]quests!$1:$1,0)-MATCH($B$1,[2]quests!$1:$1,0)+1),MATCH(D$1,[2]quests!$1:$1,0)-MATCH($B$1,[2]quests!$1:$1,0)+1,FALSE)</f>
        <v>ギリシャ神話第二弾超級</v>
      </c>
      <c r="E7" s="83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【中級】冷酷なる遂行者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ギリシャ神話第二弾超級</v>
      </c>
      <c r="H7" s="81">
        <v>0</v>
      </c>
      <c r="I7">
        <v>10</v>
      </c>
      <c r="J7" s="80" t="s">
        <v>197</v>
      </c>
      <c r="K7" s="89" t="str">
        <f>VLOOKUP(I7,[6]stage_hints!$A:$C,3,FALSE)</f>
        <v>土日に大量のビットを獲得</v>
      </c>
      <c r="L7" s="90" t="str">
        <f>VLOOKUP(I7,[6]stage_hints!$A:$D,4,FALSE)</f>
        <v>土日限定の「ゴールドカジノ」では_x000D_売却素材ユニットが多く手に入ります</v>
      </c>
      <c r="M7" s="55" t="s">
        <v>210</v>
      </c>
    </row>
    <row r="8" spans="1:13" x14ac:dyDescent="0.15">
      <c r="A8" s="77" t="s">
        <v>200</v>
      </c>
      <c r="B8" s="78">
        <f>floors!$C$2</f>
        <v>30044</v>
      </c>
      <c r="C8" s="79" t="str">
        <f ca="1">VLOOKUP($B8,OFFSET([2]quests!$A$1,0,0,COUNTA([2]quests!$A:$A),MATCH(C$1,[2]quests!$1:$1,0)-MATCH($B$1,[2]quests!$1:$1,0)+1),MATCH(C$1,[2]quests!$1:$1,0)-MATCH($B$1,[2]quests!$1:$1,0)+1,FALSE)</f>
        <v>冷酷なる遂行者</v>
      </c>
      <c r="D8" s="79" t="str">
        <f ca="1">VLOOKUP($B8,OFFSET([2]quests!$A$1,0,0,COUNTA([2]quests!$A:$A),MATCH(D$1,[2]quests!$1:$1,0)-MATCH($B$1,[2]quests!$1:$1,0)+1),MATCH(D$1,[2]quests!$1:$1,0)-MATCH($B$1,[2]quests!$1:$1,0)+1,FALSE)</f>
        <v>ギリシャ神話第二弾超級</v>
      </c>
      <c r="E8" s="83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【中級】冷酷なる遂行者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ギリシャ神話第二弾超級</v>
      </c>
      <c r="H8" s="81">
        <v>0</v>
      </c>
      <c r="I8">
        <v>11</v>
      </c>
      <c r="J8" s="80" t="s">
        <v>197</v>
      </c>
      <c r="K8" s="89" t="str">
        <f>VLOOKUP(I8,[6]stage_hints!$A:$C,3,FALSE)</f>
        <v>ランク解放クエスト</v>
      </c>
      <c r="L8" s="90" t="str">
        <f>VLOOKUP(I8,[6]stage_hints!$A:$D,4,FALSE)</f>
        <v>一定ランクに到達すると_x000D_報酬付きのランク開放クエストが現れます</v>
      </c>
      <c r="M8" s="55" t="s">
        <v>210</v>
      </c>
    </row>
    <row r="9" spans="1:13" x14ac:dyDescent="0.15">
      <c r="A9" s="77" t="s">
        <v>200</v>
      </c>
      <c r="B9" s="78">
        <f>floors!$C$2</f>
        <v>30044</v>
      </c>
      <c r="C9" s="79" t="str">
        <f ca="1">VLOOKUP($B9,OFFSET([2]quests!$A$1,0,0,COUNTA([2]quests!$A:$A),MATCH(C$1,[2]quests!$1:$1,0)-MATCH($B$1,[2]quests!$1:$1,0)+1),MATCH(C$1,[2]quests!$1:$1,0)-MATCH($B$1,[2]quests!$1:$1,0)+1,FALSE)</f>
        <v>冷酷なる遂行者</v>
      </c>
      <c r="D9" s="79" t="str">
        <f ca="1">VLOOKUP($B9,OFFSET([2]quests!$A$1,0,0,COUNTA([2]quests!$A:$A),MATCH(D$1,[2]quests!$1:$1,0)-MATCH($B$1,[2]quests!$1:$1,0)+1),MATCH(D$1,[2]quests!$1:$1,0)-MATCH($B$1,[2]quests!$1:$1,0)+1,FALSE)</f>
        <v>ギリシャ神話第二弾超級</v>
      </c>
      <c r="E9" s="83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【中級】冷酷なる遂行者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ギリシャ神話第二弾超級</v>
      </c>
      <c r="H9" s="81">
        <v>0</v>
      </c>
      <c r="I9">
        <v>12</v>
      </c>
      <c r="J9" s="80" t="s">
        <v>197</v>
      </c>
      <c r="K9" s="89" t="str">
        <f>VLOOKUP(I9,[6]stage_hints!$A:$C,3,FALSE)</f>
        <v>ユニットのお気に入り登録</v>
      </c>
      <c r="L9" s="90" t="str">
        <f>VLOOKUP(I9,[6]stage_hints!$A:$D,4,FALSE)</f>
        <v>大事なユニットを誤って消さないように_x000D_フォルダから「お気に入り登録」しましょう</v>
      </c>
      <c r="M9" s="55" t="s">
        <v>210</v>
      </c>
    </row>
    <row r="10" spans="1:13" x14ac:dyDescent="0.15">
      <c r="A10" s="77" t="s">
        <v>200</v>
      </c>
      <c r="B10" s="78">
        <f>floors!$C$2</f>
        <v>30044</v>
      </c>
      <c r="C10" s="79" t="str">
        <f ca="1">VLOOKUP($B10,OFFSET([2]quests!$A$1,0,0,COUNTA([2]quests!$A:$A),MATCH(C$1,[2]quests!$1:$1,0)-MATCH($B$1,[2]quests!$1:$1,0)+1),MATCH(C$1,[2]quests!$1:$1,0)-MATCH($B$1,[2]quests!$1:$1,0)+1,FALSE)</f>
        <v>冷酷なる遂行者</v>
      </c>
      <c r="D10" s="79" t="str">
        <f ca="1">VLOOKUP($B10,OFFSET([2]quests!$A$1,0,0,COUNTA([2]quests!$A:$A),MATCH(D$1,[2]quests!$1:$1,0)-MATCH($B$1,[2]quests!$1:$1,0)+1),MATCH(D$1,[2]quests!$1:$1,0)-MATCH($B$1,[2]quests!$1:$1,0)+1,FALSE)</f>
        <v>ギリシャ神話第二弾超級</v>
      </c>
      <c r="E10" s="83">
        <v>1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【中級】冷酷なる遂行者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ギリシャ神話第二弾超級</v>
      </c>
      <c r="H10" s="81">
        <v>0</v>
      </c>
      <c r="I10">
        <v>13</v>
      </c>
      <c r="J10" s="80" t="s">
        <v>197</v>
      </c>
      <c r="K10" s="89" t="str">
        <f>VLOOKUP(I10,[6]stage_hints!$A:$C,3,FALSE)</f>
        <v>ユニットの覚醒</v>
      </c>
      <c r="L10" s="90" t="str">
        <f>VLOOKUP(I10,[6]stage_hints!$A:$D,4,FALSE)</f>
        <v>ユニットを覚醒させると_x000D_比べものにならない強さが手に入ります</v>
      </c>
      <c r="M10" s="55" t="s">
        <v>210</v>
      </c>
    </row>
    <row r="11" spans="1:13" x14ac:dyDescent="0.15">
      <c r="A11" s="77" t="s">
        <v>200</v>
      </c>
      <c r="B11" s="78">
        <f>floors!$C$2</f>
        <v>30044</v>
      </c>
      <c r="C11" s="79" t="str">
        <f ca="1">VLOOKUP($B11,OFFSET([2]quests!$A$1,0,0,COUNTA([2]quests!$A:$A),MATCH(C$1,[2]quests!$1:$1,0)-MATCH($B$1,[2]quests!$1:$1,0)+1),MATCH(C$1,[2]quests!$1:$1,0)-MATCH($B$1,[2]quests!$1:$1,0)+1,FALSE)</f>
        <v>冷酷なる遂行者</v>
      </c>
      <c r="D11" s="79" t="str">
        <f ca="1">VLOOKUP($B11,OFFSET([2]quests!$A$1,0,0,COUNTA([2]quests!$A:$A),MATCH(D$1,[2]quests!$1:$1,0)-MATCH($B$1,[2]quests!$1:$1,0)+1),MATCH(D$1,[2]quests!$1:$1,0)-MATCH($B$1,[2]quests!$1:$1,0)+1,FALSE)</f>
        <v>ギリシャ神話第二弾超級</v>
      </c>
      <c r="E11" s="83">
        <v>1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【中級】冷酷なる遂行者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ギリシャ神話第二弾超級</v>
      </c>
      <c r="H11" s="81">
        <v>0</v>
      </c>
      <c r="I11">
        <v>14</v>
      </c>
      <c r="J11" s="80" t="s">
        <v>197</v>
      </c>
      <c r="K11" s="89" t="str">
        <f>VLOOKUP(I11,[6]stage_hints!$A:$C,3,FALSE)</f>
        <v>覚醒するにはレベルを最大に</v>
      </c>
      <c r="L11" s="90" t="str">
        <f>VLOOKUP(I11,[6]stage_hints!$A:$D,4,FALSE)</f>
        <v>覚醒するにはユニットのレベルを_x000D_最大まで上げる必要があります</v>
      </c>
      <c r="M11" s="55" t="s">
        <v>210</v>
      </c>
    </row>
    <row r="12" spans="1:13" x14ac:dyDescent="0.15">
      <c r="A12" s="77" t="s">
        <v>200</v>
      </c>
      <c r="B12" s="78">
        <f>floors!$C$2</f>
        <v>30044</v>
      </c>
      <c r="C12" s="79" t="str">
        <f ca="1">VLOOKUP($B12,OFFSET([2]quests!$A$1,0,0,COUNTA([2]quests!$A:$A),MATCH(C$1,[2]quests!$1:$1,0)-MATCH($B$1,[2]quests!$1:$1,0)+1),MATCH(C$1,[2]quests!$1:$1,0)-MATCH($B$1,[2]quests!$1:$1,0)+1,FALSE)</f>
        <v>冷酷なる遂行者</v>
      </c>
      <c r="D12" s="79" t="str">
        <f ca="1">VLOOKUP($B12,OFFSET([2]quests!$A$1,0,0,COUNTA([2]quests!$A:$A),MATCH(D$1,[2]quests!$1:$1,0)-MATCH($B$1,[2]quests!$1:$1,0)+1),MATCH(D$1,[2]quests!$1:$1,0)-MATCH($B$1,[2]quests!$1:$1,0)+1,FALSE)</f>
        <v>ギリシャ神話第二弾超級</v>
      </c>
      <c r="E12" s="83">
        <v>1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【中級】冷酷なる遂行者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ギリシャ神話第二弾超級</v>
      </c>
      <c r="H12" s="81">
        <v>0</v>
      </c>
      <c r="I12">
        <v>15</v>
      </c>
      <c r="J12" s="80" t="s">
        <v>197</v>
      </c>
      <c r="K12" s="89" t="str">
        <f>VLOOKUP(I12,[6]stage_hints!$A:$C,3,FALSE)</f>
        <v>覚醒素材を獲得</v>
      </c>
      <c r="L12" s="90" t="str">
        <f>VLOOKUP(I12,[6]stage_hints!$A:$D,4,FALSE)</f>
        <v>「曜日クエスト」では_x000D_ユニットの覚醒に必要な素材が手に入ります</v>
      </c>
      <c r="M12" s="55" t="s">
        <v>210</v>
      </c>
    </row>
    <row r="13" spans="1:13" x14ac:dyDescent="0.15">
      <c r="A13" s="77" t="s">
        <v>200</v>
      </c>
      <c r="B13" s="78">
        <f>floors!$C$2</f>
        <v>30044</v>
      </c>
      <c r="C13" s="79" t="str">
        <f ca="1">VLOOKUP($B13,OFFSET([2]quests!$A$1,0,0,COUNTA([2]quests!$A:$A),MATCH(C$1,[2]quests!$1:$1,0)-MATCH($B$1,[2]quests!$1:$1,0)+1),MATCH(C$1,[2]quests!$1:$1,0)-MATCH($B$1,[2]quests!$1:$1,0)+1,FALSE)</f>
        <v>冷酷なる遂行者</v>
      </c>
      <c r="D13" s="79" t="str">
        <f ca="1">VLOOKUP($B13,OFFSET([2]quests!$A$1,0,0,COUNTA([2]quests!$A:$A),MATCH(D$1,[2]quests!$1:$1,0)-MATCH($B$1,[2]quests!$1:$1,0)+1),MATCH(D$1,[2]quests!$1:$1,0)-MATCH($B$1,[2]quests!$1:$1,0)+1,FALSE)</f>
        <v>ギリシャ神話第二弾超級</v>
      </c>
      <c r="E13" s="83">
        <v>1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【中級】冷酷なる遂行者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ギリシャ神話第二弾超級</v>
      </c>
      <c r="H13" s="81">
        <v>0</v>
      </c>
      <c r="I13">
        <v>16</v>
      </c>
      <c r="J13" s="80" t="s">
        <v>197</v>
      </c>
      <c r="K13" s="89" t="str">
        <f>VLOOKUP(I13,[6]stage_hints!$A:$C,3,FALSE)</f>
        <v>マルチプレイのメリット（その1）</v>
      </c>
      <c r="L13" s="90" t="str">
        <f>VLOOKUP(I13,[6]stage_hints!$A:$D,4,FALSE)</f>
        <v>他のプレイヤーとマルチプレイで遊ぶと_x000D_ポリゴンがもらえます（100人まで）</v>
      </c>
      <c r="M13" s="55" t="s">
        <v>210</v>
      </c>
    </row>
    <row r="14" spans="1:13" x14ac:dyDescent="0.15">
      <c r="A14" s="77" t="s">
        <v>200</v>
      </c>
      <c r="B14" s="78">
        <f>floors!$C$2</f>
        <v>30044</v>
      </c>
      <c r="C14" s="79" t="str">
        <f ca="1">VLOOKUP($B14,OFFSET([2]quests!$A$1,0,0,COUNTA([2]quests!$A:$A),MATCH(C$1,[2]quests!$1:$1,0)-MATCH($B$1,[2]quests!$1:$1,0)+1),MATCH(C$1,[2]quests!$1:$1,0)-MATCH($B$1,[2]quests!$1:$1,0)+1,FALSE)</f>
        <v>冷酷なる遂行者</v>
      </c>
      <c r="D14" s="79" t="str">
        <f ca="1">VLOOKUP($B14,OFFSET([2]quests!$A$1,0,0,COUNTA([2]quests!$A:$A),MATCH(D$1,[2]quests!$1:$1,0)-MATCH($B$1,[2]quests!$1:$1,0)+1),MATCH(D$1,[2]quests!$1:$1,0)-MATCH($B$1,[2]quests!$1:$1,0)+1,FALSE)</f>
        <v>ギリシャ神話第二弾超級</v>
      </c>
      <c r="E14" s="83">
        <v>1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【中級】冷酷なる遂行者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ギリシャ神話第二弾超級</v>
      </c>
      <c r="H14" s="81">
        <v>0</v>
      </c>
      <c r="I14">
        <v>17</v>
      </c>
      <c r="J14" s="80" t="s">
        <v>197</v>
      </c>
      <c r="K14" s="89" t="str">
        <f>VLOOKUP(I14,[6]stage_hints!$A:$C,3,FALSE)</f>
        <v>リンクガチャ</v>
      </c>
      <c r="L14" s="90" t="str">
        <f>VLOOKUP(I14,[6]stage_hints!$A:$D,4,FALSE)</f>
        <v>無料のリンクガチャを回して_x000D_経験値素材や売却素材を獲得しましょう</v>
      </c>
      <c r="M14" s="55" t="s">
        <v>210</v>
      </c>
    </row>
    <row r="15" spans="1:13" x14ac:dyDescent="0.15">
      <c r="A15" s="77" t="s">
        <v>200</v>
      </c>
      <c r="B15" s="78">
        <f>floors!$C$2</f>
        <v>30044</v>
      </c>
      <c r="C15" s="79" t="str">
        <f ca="1">VLOOKUP($B15,OFFSET([2]quests!$A$1,0,0,COUNTA([2]quests!$A:$A),MATCH(C$1,[2]quests!$1:$1,0)-MATCH($B$1,[2]quests!$1:$1,0)+1),MATCH(C$1,[2]quests!$1:$1,0)-MATCH($B$1,[2]quests!$1:$1,0)+1,FALSE)</f>
        <v>冷酷なる遂行者</v>
      </c>
      <c r="D15" s="79" t="str">
        <f ca="1">VLOOKUP($B15,OFFSET([2]quests!$A$1,0,0,COUNTA([2]quests!$A:$A),MATCH(D$1,[2]quests!$1:$1,0)-MATCH($B$1,[2]quests!$1:$1,0)+1),MATCH(D$1,[2]quests!$1:$1,0)-MATCH($B$1,[2]quests!$1:$1,0)+1,FALSE)</f>
        <v>ギリシャ神話第二弾超級</v>
      </c>
      <c r="E15" s="83">
        <v>1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【中級】冷酷なる遂行者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ギリシャ神話第二弾超級</v>
      </c>
      <c r="H15" s="81">
        <v>0</v>
      </c>
      <c r="I15">
        <v>18</v>
      </c>
      <c r="J15" s="80" t="s">
        <v>197</v>
      </c>
      <c r="K15" s="89" t="str">
        <f>VLOOKUP(I15,[6]stage_hints!$A:$C,3,FALSE)</f>
        <v>マルチプレイのメリット（その2）</v>
      </c>
      <c r="L15" s="90" t="str">
        <f>VLOOKUP(I15,[6]stage_hints!$A:$D,4,FALSE)</f>
        <v>マルチプレイならリンクが2倍もらえます_x000D_リンクガチャをたくさん回しましょう</v>
      </c>
      <c r="M15" s="55" t="s">
        <v>210</v>
      </c>
    </row>
    <row r="16" spans="1:13" x14ac:dyDescent="0.15">
      <c r="A16" s="77" t="s">
        <v>200</v>
      </c>
      <c r="B16" s="78">
        <f>floors!$C$2</f>
        <v>30044</v>
      </c>
      <c r="C16" s="79" t="str">
        <f ca="1">VLOOKUP($B16,OFFSET([2]quests!$A$1,0,0,COUNTA([2]quests!$A:$A),MATCH(C$1,[2]quests!$1:$1,0)-MATCH($B$1,[2]quests!$1:$1,0)+1),MATCH(C$1,[2]quests!$1:$1,0)-MATCH($B$1,[2]quests!$1:$1,0)+1,FALSE)</f>
        <v>冷酷なる遂行者</v>
      </c>
      <c r="D16" s="79" t="str">
        <f ca="1">VLOOKUP($B16,OFFSET([2]quests!$A$1,0,0,COUNTA([2]quests!$A:$A),MATCH(D$1,[2]quests!$1:$1,0)-MATCH($B$1,[2]quests!$1:$1,0)+1),MATCH(D$1,[2]quests!$1:$1,0)-MATCH($B$1,[2]quests!$1:$1,0)+1,FALSE)</f>
        <v>ギリシャ神話第二弾超級</v>
      </c>
      <c r="E16" s="83">
        <v>1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【中級】冷酷なる遂行者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ギリシャ神話第二弾超級</v>
      </c>
      <c r="H16" s="81">
        <v>0</v>
      </c>
      <c r="I16">
        <v>19</v>
      </c>
      <c r="J16" s="80" t="s">
        <v>197</v>
      </c>
      <c r="K16" s="89" t="str">
        <f>VLOOKUP(I16,[6]stage_hints!$A:$C,3,FALSE)</f>
        <v>ソロ専用タワーオブザクイーン</v>
      </c>
      <c r="L16" s="90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5" t="s">
        <v>210</v>
      </c>
    </row>
    <row r="17" spans="1:13" x14ac:dyDescent="0.15">
      <c r="A17" s="77" t="s">
        <v>200</v>
      </c>
      <c r="B17" s="78">
        <f>floors!$C$2</f>
        <v>30044</v>
      </c>
      <c r="C17" s="79" t="str">
        <f ca="1">VLOOKUP($B17,OFFSET([2]quests!$A$1,0,0,COUNTA([2]quests!$A:$A),MATCH(C$1,[2]quests!$1:$1,0)-MATCH($B$1,[2]quests!$1:$1,0)+1),MATCH(C$1,[2]quests!$1:$1,0)-MATCH($B$1,[2]quests!$1:$1,0)+1,FALSE)</f>
        <v>冷酷なる遂行者</v>
      </c>
      <c r="D17" s="79" t="str">
        <f ca="1">VLOOKUP($B17,OFFSET([2]quests!$A$1,0,0,COUNTA([2]quests!$A:$A),MATCH(D$1,[2]quests!$1:$1,0)-MATCH($B$1,[2]quests!$1:$1,0)+1),MATCH(D$1,[2]quests!$1:$1,0)-MATCH($B$1,[2]quests!$1:$1,0)+1,FALSE)</f>
        <v>ギリシャ神話第二弾超級</v>
      </c>
      <c r="E17" s="83">
        <v>1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【中級】冷酷なる遂行者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ギリシャ神話第二弾超級</v>
      </c>
      <c r="H17" s="81">
        <v>0</v>
      </c>
      <c r="I17">
        <v>20</v>
      </c>
      <c r="J17" s="80" t="s">
        <v>197</v>
      </c>
      <c r="K17" s="89" t="str">
        <f>VLOOKUP(I17,[6]stage_hints!$A:$C,3,FALSE)</f>
        <v>マルチプレイのメリット（その3）</v>
      </c>
      <c r="L17" s="90" t="str">
        <f>VLOOKUP(I17,[6]stage_hints!$A:$D,4,FALSE)</f>
        <v>マルチプレイへの参加はエナジー消費ゼロ_x000D_いつでも好きなだけ遊ぶことができます</v>
      </c>
      <c r="M17" s="55" t="s">
        <v>210</v>
      </c>
    </row>
    <row r="18" spans="1:13" x14ac:dyDescent="0.15">
      <c r="A18" s="77" t="s">
        <v>200</v>
      </c>
      <c r="B18" s="78">
        <f>floors!$C$2</f>
        <v>30044</v>
      </c>
      <c r="C18" s="79" t="str">
        <f ca="1">VLOOKUP($B18,OFFSET([2]quests!$A$1,0,0,COUNTA([2]quests!$A:$A),MATCH(C$1,[2]quests!$1:$1,0)-MATCH($B$1,[2]quests!$1:$1,0)+1),MATCH(C$1,[2]quests!$1:$1,0)-MATCH($B$1,[2]quests!$1:$1,0)+1,FALSE)</f>
        <v>冷酷なる遂行者</v>
      </c>
      <c r="D18" s="79" t="str">
        <f ca="1">VLOOKUP($B18,OFFSET([2]quests!$A$1,0,0,COUNTA([2]quests!$A:$A),MATCH(D$1,[2]quests!$1:$1,0)-MATCH($B$1,[2]quests!$1:$1,0)+1),MATCH(D$1,[2]quests!$1:$1,0)-MATCH($B$1,[2]quests!$1:$1,0)+1,FALSE)</f>
        <v>ギリシャ神話第二弾超級</v>
      </c>
      <c r="E18" s="83">
        <v>1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【中級】冷酷なる遂行者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ギリシャ神話第二弾超級</v>
      </c>
      <c r="H18" s="81">
        <v>0</v>
      </c>
      <c r="I18">
        <v>21</v>
      </c>
      <c r="J18" s="80" t="s">
        <v>197</v>
      </c>
      <c r="K18" s="89" t="str">
        <f>VLOOKUP(I18,[6]stage_hints!$A:$C,3,FALSE)</f>
        <v>スキルを有効に</v>
      </c>
      <c r="L18" s="90" t="str">
        <f>VLOOKUP(I18,[6]stage_hints!$A:$D,4,FALSE)</f>
        <v>ターン経過でユニットのスキルが使えます_x000D_強力スキルでバトルを有利に進めましょう</v>
      </c>
      <c r="M18" s="55" t="s">
        <v>210</v>
      </c>
    </row>
    <row r="19" spans="1:13" x14ac:dyDescent="0.15">
      <c r="A19" s="77" t="s">
        <v>200</v>
      </c>
      <c r="B19" s="78">
        <f>floors!$C$2</f>
        <v>30044</v>
      </c>
      <c r="C19" s="79" t="str">
        <f ca="1">VLOOKUP($B19,OFFSET([2]quests!$A$1,0,0,COUNTA([2]quests!$A:$A),MATCH(C$1,[2]quests!$1:$1,0)-MATCH($B$1,[2]quests!$1:$1,0)+1),MATCH(C$1,[2]quests!$1:$1,0)-MATCH($B$1,[2]quests!$1:$1,0)+1,FALSE)</f>
        <v>冷酷なる遂行者</v>
      </c>
      <c r="D19" s="79" t="str">
        <f ca="1">VLOOKUP($B19,OFFSET([2]quests!$A$1,0,0,COUNTA([2]quests!$A:$A),MATCH(D$1,[2]quests!$1:$1,0)-MATCH($B$1,[2]quests!$1:$1,0)+1),MATCH(D$1,[2]quests!$1:$1,0)-MATCH($B$1,[2]quests!$1:$1,0)+1,FALSE)</f>
        <v>ギリシャ神話第二弾超級</v>
      </c>
      <c r="E19" s="83">
        <v>1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【中級】冷酷なる遂行者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ギリシャ神話第二弾超級</v>
      </c>
      <c r="H19" s="81">
        <v>0</v>
      </c>
      <c r="I19">
        <v>22</v>
      </c>
      <c r="J19" s="80" t="s">
        <v>197</v>
      </c>
      <c r="K19" s="89" t="str">
        <f>VLOOKUP(I19,[6]stage_hints!$A:$C,3,FALSE)</f>
        <v>フィーバーで一発逆転（その1）</v>
      </c>
      <c r="L19" s="90" t="str">
        <f>VLOOKUP(I19,[6]stage_hints!$A:$D,4,FALSE)</f>
        <v>フィーバーは攻撃と回復を兼ね備えます_x000D_ピンチからの一発逆転を狙いましょう</v>
      </c>
      <c r="M19" s="55" t="s">
        <v>210</v>
      </c>
    </row>
    <row r="20" spans="1:13" x14ac:dyDescent="0.15">
      <c r="A20" s="77" t="s">
        <v>200</v>
      </c>
      <c r="B20" s="78">
        <f>floors!$C$2</f>
        <v>30044</v>
      </c>
      <c r="C20" s="79" t="str">
        <f ca="1">VLOOKUP($B20,OFFSET([2]quests!$A$1,0,0,COUNTA([2]quests!$A:$A),MATCH(C$1,[2]quests!$1:$1,0)-MATCH($B$1,[2]quests!$1:$1,0)+1),MATCH(C$1,[2]quests!$1:$1,0)-MATCH($B$1,[2]quests!$1:$1,0)+1,FALSE)</f>
        <v>冷酷なる遂行者</v>
      </c>
      <c r="D20" s="79" t="str">
        <f ca="1">VLOOKUP($B20,OFFSET([2]quests!$A$1,0,0,COUNTA([2]quests!$A:$A),MATCH(D$1,[2]quests!$1:$1,0)-MATCH($B$1,[2]quests!$1:$1,0)+1),MATCH(D$1,[2]quests!$1:$1,0)-MATCH($B$1,[2]quests!$1:$1,0)+1,FALSE)</f>
        <v>ギリシャ神話第二弾超級</v>
      </c>
      <c r="E20" s="83">
        <v>1</v>
      </c>
      <c r="F20" s="79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【中級】冷酷なる遂行者</v>
      </c>
      <c r="G20" s="79" t="str">
        <f ca="1">VLOOKUP($B20&amp;"_"&amp;$E20,OFFSET([2]stages!$A$1,0,0,COUNTA([2]stages!$A:$A),MATCH(G$1,[2]stages!$2:$2,0)-MATCH("temp_stage",[2]stages!$2:$2,0)+1),MATCH(G$1,[2]stages!$2:$2,0)-MATCH("temp_stage",[2]stages!$2:$2,0)+1,FALSE)</f>
        <v>ギリシャ神話第二弾超級</v>
      </c>
      <c r="H20" s="81">
        <v>0</v>
      </c>
      <c r="I20">
        <v>23</v>
      </c>
      <c r="J20" s="80" t="s">
        <v>197</v>
      </c>
      <c r="K20" s="89" t="str">
        <f>VLOOKUP(I20,[6]stage_hints!$A:$C,3,FALSE)</f>
        <v>フィーバーで一発逆転（その2）</v>
      </c>
      <c r="L20" s="90" t="str">
        <f>VLOOKUP(I20,[6]stage_hints!$A:$D,4,FALSE)</f>
        <v>フィーバー中は虹色のボムパネルを狙って_x000D_画面上のパネルを一気に破壊しましょう</v>
      </c>
      <c r="M20" s="55" t="s">
        <v>210</v>
      </c>
    </row>
    <row r="21" spans="1:13" x14ac:dyDescent="0.15">
      <c r="A21" s="77" t="s">
        <v>200</v>
      </c>
      <c r="B21" s="78">
        <f>floors!$C$2</f>
        <v>30044</v>
      </c>
      <c r="C21" s="79" t="str">
        <f ca="1">VLOOKUP($B21,OFFSET([2]quests!$A$1,0,0,COUNTA([2]quests!$A:$A),MATCH(C$1,[2]quests!$1:$1,0)-MATCH($B$1,[2]quests!$1:$1,0)+1),MATCH(C$1,[2]quests!$1:$1,0)-MATCH($B$1,[2]quests!$1:$1,0)+1,FALSE)</f>
        <v>冷酷なる遂行者</v>
      </c>
      <c r="D21" s="79" t="str">
        <f ca="1">VLOOKUP($B21,OFFSET([2]quests!$A$1,0,0,COUNTA([2]quests!$A:$A),MATCH(D$1,[2]quests!$1:$1,0)-MATCH($B$1,[2]quests!$1:$1,0)+1),MATCH(D$1,[2]quests!$1:$1,0)-MATCH($B$1,[2]quests!$1:$1,0)+1,FALSE)</f>
        <v>ギリシャ神話第二弾超級</v>
      </c>
      <c r="E21" s="83">
        <v>1</v>
      </c>
      <c r="F21" s="79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【中級】冷酷なる遂行者</v>
      </c>
      <c r="G21" s="79" t="str">
        <f ca="1">VLOOKUP($B21&amp;"_"&amp;$E21,OFFSET([2]stages!$A$1,0,0,COUNTA([2]stages!$A:$A),MATCH(G$1,[2]stages!$2:$2,0)-MATCH("temp_stage",[2]stages!$2:$2,0)+1),MATCH(G$1,[2]stages!$2:$2,0)-MATCH("temp_stage",[2]stages!$2:$2,0)+1,FALSE)</f>
        <v>ギリシャ神話第二弾超級</v>
      </c>
      <c r="H21" s="81">
        <v>0</v>
      </c>
      <c r="I21">
        <v>24</v>
      </c>
      <c r="J21" s="80" t="s">
        <v>197</v>
      </c>
      <c r="K21" s="89" t="str">
        <f>VLOOKUP(I21,[6]stage_hints!$A:$C,3,FALSE)</f>
        <v>りんごを使って限界突破</v>
      </c>
      <c r="L21" s="90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5" t="s">
        <v>210</v>
      </c>
    </row>
    <row r="22" spans="1:13" x14ac:dyDescent="0.15">
      <c r="A22" s="77" t="s">
        <v>200</v>
      </c>
      <c r="B22" s="78">
        <f>floors!$C$2</f>
        <v>30044</v>
      </c>
      <c r="C22" s="79" t="str">
        <f ca="1">VLOOKUP($B22,OFFSET([2]quests!$A$1,0,0,COUNTA([2]quests!$A:$A),MATCH(C$1,[2]quests!$1:$1,0)-MATCH($B$1,[2]quests!$1:$1,0)+1),MATCH(C$1,[2]quests!$1:$1,0)-MATCH($B$1,[2]quests!$1:$1,0)+1,FALSE)</f>
        <v>冷酷なる遂行者</v>
      </c>
      <c r="D22" s="79" t="str">
        <f ca="1">VLOOKUP($B22,OFFSET([2]quests!$A$1,0,0,COUNTA([2]quests!$A:$A),MATCH(D$1,[2]quests!$1:$1,0)-MATCH($B$1,[2]quests!$1:$1,0)+1),MATCH(D$1,[2]quests!$1:$1,0)-MATCH($B$1,[2]quests!$1:$1,0)+1,FALSE)</f>
        <v>ギリシャ神話第二弾超級</v>
      </c>
      <c r="E22" s="83">
        <v>1</v>
      </c>
      <c r="F22" s="79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【中級】冷酷なる遂行者</v>
      </c>
      <c r="G22" s="79" t="str">
        <f ca="1">VLOOKUP($B22&amp;"_"&amp;$E22,OFFSET([2]stages!$A$1,0,0,COUNTA([2]stages!$A:$A),MATCH(G$1,[2]stages!$2:$2,0)-MATCH("temp_stage",[2]stages!$2:$2,0)+1),MATCH(G$1,[2]stages!$2:$2,0)-MATCH("temp_stage",[2]stages!$2:$2,0)+1,FALSE)</f>
        <v>ギリシャ神話第二弾超級</v>
      </c>
      <c r="H22" s="81">
        <v>0</v>
      </c>
      <c r="I22">
        <v>25</v>
      </c>
      <c r="J22" s="80" t="s">
        <v>197</v>
      </c>
      <c r="K22" s="89" t="str">
        <f>VLOOKUP(I22,[6]stage_hints!$A:$C,3,FALSE)</f>
        <v>スキルレベルアップ</v>
      </c>
      <c r="L22" s="90" t="str">
        <f>VLOOKUP(I22,[6]stage_hints!$A:$D,4,FALSE)</f>
        <v>「クリスタルのりんご」を強化に使うと_x000D_スキルレベルを上げることができます</v>
      </c>
      <c r="M22" s="55" t="s">
        <v>210</v>
      </c>
    </row>
    <row r="23" spans="1:13" x14ac:dyDescent="0.15">
      <c r="A23" s="77" t="s">
        <v>200</v>
      </c>
      <c r="B23" s="78">
        <f>floors!$C$2</f>
        <v>30044</v>
      </c>
      <c r="C23" s="79" t="str">
        <f ca="1">VLOOKUP($B23,OFFSET([2]quests!$A$1,0,0,COUNTA([2]quests!$A:$A),MATCH(C$1,[2]quests!$1:$1,0)-MATCH($B$1,[2]quests!$1:$1,0)+1),MATCH(C$1,[2]quests!$1:$1,0)-MATCH($B$1,[2]quests!$1:$1,0)+1,FALSE)</f>
        <v>冷酷なる遂行者</v>
      </c>
      <c r="D23" s="79" t="str">
        <f ca="1">VLOOKUP($B23,OFFSET([2]quests!$A$1,0,0,COUNTA([2]quests!$A:$A),MATCH(D$1,[2]quests!$1:$1,0)-MATCH($B$1,[2]quests!$1:$1,0)+1),MATCH(D$1,[2]quests!$1:$1,0)-MATCH($B$1,[2]quests!$1:$1,0)+1,FALSE)</f>
        <v>ギリシャ神話第二弾超級</v>
      </c>
      <c r="E23" s="83">
        <v>1</v>
      </c>
      <c r="F23" s="79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【中級】冷酷なる遂行者</v>
      </c>
      <c r="G23" s="79" t="str">
        <f ca="1">VLOOKUP($B23&amp;"_"&amp;$E23,OFFSET([2]stages!$A$1,0,0,COUNTA([2]stages!$A:$A),MATCH(G$1,[2]stages!$2:$2,0)-MATCH("temp_stage",[2]stages!$2:$2,0)+1),MATCH(G$1,[2]stages!$2:$2,0)-MATCH("temp_stage",[2]stages!$2:$2,0)+1,FALSE)</f>
        <v>ギリシャ神話第二弾超級</v>
      </c>
      <c r="H23" s="81">
        <v>0</v>
      </c>
      <c r="I23">
        <v>26</v>
      </c>
      <c r="J23" s="80" t="s">
        <v>197</v>
      </c>
      <c r="K23" s="89" t="str">
        <f>VLOOKUP(I23,[6]stage_hints!$A:$C,3,FALSE)</f>
        <v>スキルレベルの効果</v>
      </c>
      <c r="L23" s="90" t="str">
        <f>VLOOKUP(I23,[6]stage_hints!$A:$D,4,FALSE)</f>
        <v>スキルレベルが上がると_x000D_短いターンでスキルを使うことができます</v>
      </c>
      <c r="M23" s="55" t="s">
        <v>210</v>
      </c>
    </row>
    <row r="24" spans="1:13" x14ac:dyDescent="0.15">
      <c r="A24" s="77" t="s">
        <v>200</v>
      </c>
      <c r="B24" s="78">
        <f>floors!$C$2</f>
        <v>30044</v>
      </c>
      <c r="C24" s="79" t="str">
        <f ca="1">VLOOKUP($B24,OFFSET([2]quests!$A$1,0,0,COUNTA([2]quests!$A:$A),MATCH(C$1,[2]quests!$1:$1,0)-MATCH($B$1,[2]quests!$1:$1,0)+1),MATCH(C$1,[2]quests!$1:$1,0)-MATCH($B$1,[2]quests!$1:$1,0)+1,FALSE)</f>
        <v>冷酷なる遂行者</v>
      </c>
      <c r="D24" s="79" t="str">
        <f ca="1">VLOOKUP($B24,OFFSET([2]quests!$A$1,0,0,COUNTA([2]quests!$A:$A),MATCH(D$1,[2]quests!$1:$1,0)-MATCH($B$1,[2]quests!$1:$1,0)+1),MATCH(D$1,[2]quests!$1:$1,0)-MATCH($B$1,[2]quests!$1:$1,0)+1,FALSE)</f>
        <v>ギリシャ神話第二弾超級</v>
      </c>
      <c r="E24" s="83">
        <v>1</v>
      </c>
      <c r="F24" s="79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【中級】冷酷なる遂行者</v>
      </c>
      <c r="G24" s="79" t="str">
        <f ca="1">VLOOKUP($B24&amp;"_"&amp;$E24,OFFSET([2]stages!$A$1,0,0,COUNTA([2]stages!$A:$A),MATCH(G$1,[2]stages!$2:$2,0)-MATCH("temp_stage",[2]stages!$2:$2,0)+1),MATCH(G$1,[2]stages!$2:$2,0)-MATCH("temp_stage",[2]stages!$2:$2,0)+1,FALSE)</f>
        <v>ギリシャ神話第二弾超級</v>
      </c>
      <c r="H24" s="81">
        <v>0</v>
      </c>
      <c r="I24">
        <v>27</v>
      </c>
      <c r="J24" s="80" t="s">
        <v>197</v>
      </c>
      <c r="K24" s="89" t="str">
        <f>VLOOKUP(I24,[6]stage_hints!$A:$C,3,FALSE)</f>
        <v>ホーム画面からデッキを編成</v>
      </c>
      <c r="L24" s="90" t="str">
        <f>VLOOKUP(I24,[6]stage_hints!$A:$D,4,FALSE)</f>
        <v>ホーム画面でユニットを長押しすると_x000D_すぐにパーティ編成に移動できます</v>
      </c>
      <c r="M24" s="55" t="s">
        <v>210</v>
      </c>
    </row>
    <row r="25" spans="1:13" x14ac:dyDescent="0.15">
      <c r="A25" s="77" t="s">
        <v>200</v>
      </c>
      <c r="B25" s="78">
        <f>floors!$C$2</f>
        <v>30044</v>
      </c>
      <c r="C25" s="79" t="str">
        <f ca="1">VLOOKUP($B25,OFFSET([2]quests!$A$1,0,0,COUNTA([2]quests!$A:$A),MATCH(C$1,[2]quests!$1:$1,0)-MATCH($B$1,[2]quests!$1:$1,0)+1),MATCH(C$1,[2]quests!$1:$1,0)-MATCH($B$1,[2]quests!$1:$1,0)+1,FALSE)</f>
        <v>冷酷なる遂行者</v>
      </c>
      <c r="D25" s="79" t="str">
        <f ca="1">VLOOKUP($B25,OFFSET([2]quests!$A$1,0,0,COUNTA([2]quests!$A:$A),MATCH(D$1,[2]quests!$1:$1,0)-MATCH($B$1,[2]quests!$1:$1,0)+1),MATCH(D$1,[2]quests!$1:$1,0)-MATCH($B$1,[2]quests!$1:$1,0)+1,FALSE)</f>
        <v>ギリシャ神話第二弾超級</v>
      </c>
      <c r="E25" s="83">
        <v>1</v>
      </c>
      <c r="F25" s="79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【中級】冷酷なる遂行者</v>
      </c>
      <c r="G25" s="79" t="str">
        <f ca="1">VLOOKUP($B25&amp;"_"&amp;$E25,OFFSET([2]stages!$A$1,0,0,COUNTA([2]stages!$A:$A),MATCH(G$1,[2]stages!$2:$2,0)-MATCH("temp_stage",[2]stages!$2:$2,0)+1),MATCH(G$1,[2]stages!$2:$2,0)-MATCH("temp_stage",[2]stages!$2:$2,0)+1,FALSE)</f>
        <v>ギリシャ神話第二弾超級</v>
      </c>
      <c r="H25" s="81">
        <v>0</v>
      </c>
      <c r="I25">
        <v>28</v>
      </c>
      <c r="J25" s="80" t="s">
        <v>197</v>
      </c>
      <c r="K25" s="89" t="str">
        <f>VLOOKUP(I25,[6]stage_hints!$A:$C,3,FALSE)</f>
        <v>ステータス情報は長押しで</v>
      </c>
      <c r="L25" s="90" t="str">
        <f>VLOOKUP(I25,[6]stage_hints!$A:$D,4,FALSE)</f>
        <v>ユニットのアイコンを長押しすると_x000D_ステータス情報を確認することができます</v>
      </c>
      <c r="M25" s="55" t="s">
        <v>210</v>
      </c>
    </row>
    <row r="26" spans="1:13" x14ac:dyDescent="0.15">
      <c r="A26" s="77" t="s">
        <v>200</v>
      </c>
      <c r="B26" s="78">
        <f>floors!$C$2</f>
        <v>30044</v>
      </c>
      <c r="C26" s="79" t="str">
        <f ca="1">VLOOKUP($B26,OFFSET([2]quests!$A$1,0,0,COUNTA([2]quests!$A:$A),MATCH(C$1,[2]quests!$1:$1,0)-MATCH($B$1,[2]quests!$1:$1,0)+1),MATCH(C$1,[2]quests!$1:$1,0)-MATCH($B$1,[2]quests!$1:$1,0)+1,FALSE)</f>
        <v>冷酷なる遂行者</v>
      </c>
      <c r="D26" s="79" t="str">
        <f ca="1">VLOOKUP($B26,OFFSET([2]quests!$A$1,0,0,COUNTA([2]quests!$A:$A),MATCH(D$1,[2]quests!$1:$1,0)-MATCH($B$1,[2]quests!$1:$1,0)+1),MATCH(D$1,[2]quests!$1:$1,0)-MATCH($B$1,[2]quests!$1:$1,0)+1,FALSE)</f>
        <v>ギリシャ神話第二弾超級</v>
      </c>
      <c r="E26" s="83">
        <v>1</v>
      </c>
      <c r="F26" s="79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【中級】冷酷なる遂行者</v>
      </c>
      <c r="G26" s="79" t="str">
        <f ca="1">VLOOKUP($B26&amp;"_"&amp;$E26,OFFSET([2]stages!$A$1,0,0,COUNTA([2]stages!$A:$A),MATCH(G$1,[2]stages!$2:$2,0)-MATCH("temp_stage",[2]stages!$2:$2,0)+1),MATCH(G$1,[2]stages!$2:$2,0)-MATCH("temp_stage",[2]stages!$2:$2,0)+1,FALSE)</f>
        <v>ギリシャ神話第二弾超級</v>
      </c>
      <c r="H26" s="81">
        <v>0</v>
      </c>
      <c r="I26">
        <v>29</v>
      </c>
      <c r="J26" s="80" t="s">
        <v>197</v>
      </c>
      <c r="K26" s="89" t="str">
        <f>VLOOKUP(I26,[6]stage_hints!$A:$C,3,FALSE)</f>
        <v>「バグ」のメリット</v>
      </c>
      <c r="L26" s="90" t="str">
        <f>VLOOKUP(I26,[6]stage_hints!$A:$D,4,FALSE)</f>
        <v>ユニットの「バグ」を増やすと_x000D_報酬をもらえる確率がアップします</v>
      </c>
      <c r="M26" s="55" t="s">
        <v>210</v>
      </c>
    </row>
    <row r="27" spans="1:13" x14ac:dyDescent="0.15">
      <c r="A27" s="77" t="s">
        <v>200</v>
      </c>
      <c r="B27" s="78">
        <f>floors!$C$2</f>
        <v>30044</v>
      </c>
      <c r="C27" s="79" t="str">
        <f ca="1">VLOOKUP($B27,OFFSET([2]quests!$A$1,0,0,COUNTA([2]quests!$A:$A),MATCH(C$1,[2]quests!$1:$1,0)-MATCH($B$1,[2]quests!$1:$1,0)+1),MATCH(C$1,[2]quests!$1:$1,0)-MATCH($B$1,[2]quests!$1:$1,0)+1,FALSE)</f>
        <v>冷酷なる遂行者</v>
      </c>
      <c r="D27" s="79" t="str">
        <f ca="1">VLOOKUP($B27,OFFSET([2]quests!$A$1,0,0,COUNTA([2]quests!$A:$A),MATCH(D$1,[2]quests!$1:$1,0)-MATCH($B$1,[2]quests!$1:$1,0)+1),MATCH(D$1,[2]quests!$1:$1,0)-MATCH($B$1,[2]quests!$1:$1,0)+1,FALSE)</f>
        <v>ギリシャ神話第二弾超級</v>
      </c>
      <c r="E27" s="83">
        <v>1</v>
      </c>
      <c r="F27" s="79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【中級】冷酷なる遂行者</v>
      </c>
      <c r="G27" s="79" t="str">
        <f ca="1">VLOOKUP($B27&amp;"_"&amp;$E27,OFFSET([2]stages!$A$1,0,0,COUNTA([2]stages!$A:$A),MATCH(G$1,[2]stages!$2:$2,0)-MATCH("temp_stage",[2]stages!$2:$2,0)+1),MATCH(G$1,[2]stages!$2:$2,0)-MATCH("temp_stage",[2]stages!$2:$2,0)+1,FALSE)</f>
        <v>ギリシャ神話第二弾超級</v>
      </c>
      <c r="H27" s="81">
        <v>0</v>
      </c>
      <c r="I27">
        <v>30</v>
      </c>
      <c r="J27" s="80" t="s">
        <v>197</v>
      </c>
      <c r="K27" s="89" t="str">
        <f>VLOOKUP(I27,[6]stage_hints!$A:$C,3,FALSE)</f>
        <v>「バグ」の増やし方</v>
      </c>
      <c r="L27" s="90" t="str">
        <f>VLOOKUP(I27,[6]stage_hints!$A:$D,4,FALSE)</f>
        <v>同じユニット同士を強化で合成すると_x000D_「バグ」を増やすことができます</v>
      </c>
      <c r="M27" s="55" t="s">
        <v>210</v>
      </c>
    </row>
    <row r="28" spans="1:13" x14ac:dyDescent="0.15">
      <c r="A28" s="77" t="s">
        <v>200</v>
      </c>
      <c r="B28" s="78">
        <f>floors!$C$2</f>
        <v>30044</v>
      </c>
      <c r="C28" s="79" t="str">
        <f ca="1">VLOOKUP($B28,OFFSET([2]quests!$A$1,0,0,COUNTA([2]quests!$A:$A),MATCH(C$1,[2]quests!$1:$1,0)-MATCH($B$1,[2]quests!$1:$1,0)+1),MATCH(C$1,[2]quests!$1:$1,0)-MATCH($B$1,[2]quests!$1:$1,0)+1,FALSE)</f>
        <v>冷酷なる遂行者</v>
      </c>
      <c r="D28" s="79" t="str">
        <f ca="1">VLOOKUP($B28,OFFSET([2]quests!$A$1,0,0,COUNTA([2]quests!$A:$A),MATCH(D$1,[2]quests!$1:$1,0)-MATCH($B$1,[2]quests!$1:$1,0)+1),MATCH(D$1,[2]quests!$1:$1,0)-MATCH($B$1,[2]quests!$1:$1,0)+1,FALSE)</f>
        <v>ギリシャ神話第二弾超級</v>
      </c>
      <c r="E28" s="83">
        <v>1</v>
      </c>
      <c r="F28" s="79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【中級】冷酷なる遂行者</v>
      </c>
      <c r="G28" s="79" t="str">
        <f ca="1">VLOOKUP($B28&amp;"_"&amp;$E28,OFFSET([2]stages!$A$1,0,0,COUNTA([2]stages!$A:$A),MATCH(G$1,[2]stages!$2:$2,0)-MATCH("temp_stage",[2]stages!$2:$2,0)+1),MATCH(G$1,[2]stages!$2:$2,0)-MATCH("temp_stage",[2]stages!$2:$2,0)+1,FALSE)</f>
        <v>ギリシャ神話第二弾超級</v>
      </c>
      <c r="H28" s="81">
        <v>0</v>
      </c>
      <c r="I28">
        <v>31</v>
      </c>
      <c r="J28" s="80" t="s">
        <v>197</v>
      </c>
      <c r="K28" s="89" t="str">
        <f>VLOOKUP(I28,[6]stage_hints!$A:$C,3,FALSE)</f>
        <v>イベントはお知らせでチェック</v>
      </c>
      <c r="L28" s="90" t="str">
        <f>VLOOKUP(I28,[6]stage_hints!$A:$D,4,FALSE)</f>
        <v>イベント限定ユニットを取り忘れないように_x000D_お知らせをこまめにチェックしましょう</v>
      </c>
      <c r="M28" s="55" t="s">
        <v>210</v>
      </c>
    </row>
    <row r="29" spans="1:13" x14ac:dyDescent="0.15">
      <c r="A29" s="77" t="s">
        <v>200</v>
      </c>
      <c r="B29" s="78">
        <f>floors!$C$2</f>
        <v>30044</v>
      </c>
      <c r="C29" s="79" t="str">
        <f ca="1">VLOOKUP($B29,OFFSET([2]quests!$A$1,0,0,COUNTA([2]quests!$A:$A),MATCH(C$1,[2]quests!$1:$1,0)-MATCH($B$1,[2]quests!$1:$1,0)+1),MATCH(C$1,[2]quests!$1:$1,0)-MATCH($B$1,[2]quests!$1:$1,0)+1,FALSE)</f>
        <v>冷酷なる遂行者</v>
      </c>
      <c r="D29" s="79" t="str">
        <f ca="1">VLOOKUP($B29,OFFSET([2]quests!$A$1,0,0,COUNTA([2]quests!$A:$A),MATCH(D$1,[2]quests!$1:$1,0)-MATCH($B$1,[2]quests!$1:$1,0)+1),MATCH(D$1,[2]quests!$1:$1,0)-MATCH($B$1,[2]quests!$1:$1,0)+1,FALSE)</f>
        <v>ギリシャ神話第二弾超級</v>
      </c>
      <c r="E29" s="83">
        <v>1</v>
      </c>
      <c r="F29" s="79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【中級】冷酷なる遂行者</v>
      </c>
      <c r="G29" s="79" t="str">
        <f ca="1">VLOOKUP($B29&amp;"_"&amp;$E29,OFFSET([2]stages!$A$1,0,0,COUNTA([2]stages!$A:$A),MATCH(G$1,[2]stages!$2:$2,0)-MATCH("temp_stage",[2]stages!$2:$2,0)+1),MATCH(G$1,[2]stages!$2:$2,0)-MATCH("temp_stage",[2]stages!$2:$2,0)+1,FALSE)</f>
        <v>ギリシャ神話第二弾超級</v>
      </c>
      <c r="H29" s="81">
        <v>0</v>
      </c>
      <c r="I29">
        <v>32</v>
      </c>
      <c r="J29" s="80" t="s">
        <v>197</v>
      </c>
      <c r="K29" s="89" t="str">
        <f>VLOOKUP(I29,[6]stage_hints!$A:$C,3,FALSE)</f>
        <v>敵の連続攻撃には</v>
      </c>
      <c r="L29" s="90" t="str">
        <f>VLOOKUP(I29,[6]stage_hints!$A:$D,4,FALSE)</f>
        <v>カウンタースキルを持つユニットがいれば_x000D_ダメージ回数分の反撃ができます</v>
      </c>
      <c r="M29" s="55" t="s">
        <v>210</v>
      </c>
    </row>
    <row r="30" spans="1:13" x14ac:dyDescent="0.15">
      <c r="A30" s="77" t="s">
        <v>200</v>
      </c>
      <c r="B30" s="78">
        <f>floors!$C$2</f>
        <v>30044</v>
      </c>
      <c r="C30" s="79" t="str">
        <f ca="1">VLOOKUP($B30,OFFSET([2]quests!$A$1,0,0,COUNTA([2]quests!$A:$A),MATCH(C$1,[2]quests!$1:$1,0)-MATCH($B$1,[2]quests!$1:$1,0)+1),MATCH(C$1,[2]quests!$1:$1,0)-MATCH($B$1,[2]quests!$1:$1,0)+1,FALSE)</f>
        <v>冷酷なる遂行者</v>
      </c>
      <c r="D30" s="79" t="str">
        <f ca="1">VLOOKUP($B30,OFFSET([2]quests!$A$1,0,0,COUNTA([2]quests!$A:$A),MATCH(D$1,[2]quests!$1:$1,0)-MATCH($B$1,[2]quests!$1:$1,0)+1),MATCH(D$1,[2]quests!$1:$1,0)-MATCH($B$1,[2]quests!$1:$1,0)+1,FALSE)</f>
        <v>ギリシャ神話第二弾超級</v>
      </c>
      <c r="E30" s="83">
        <v>1</v>
      </c>
      <c r="F30" s="79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【中級】冷酷なる遂行者</v>
      </c>
      <c r="G30" s="79" t="str">
        <f ca="1">VLOOKUP($B30&amp;"_"&amp;$E30,OFFSET([2]stages!$A$1,0,0,COUNTA([2]stages!$A:$A),MATCH(G$1,[2]stages!$2:$2,0)-MATCH("temp_stage",[2]stages!$2:$2,0)+1),MATCH(G$1,[2]stages!$2:$2,0)-MATCH("temp_stage",[2]stages!$2:$2,0)+1,FALSE)</f>
        <v>ギリシャ神話第二弾超級</v>
      </c>
      <c r="H30" s="81">
        <v>0</v>
      </c>
      <c r="I30">
        <v>33</v>
      </c>
      <c r="J30" s="80" t="s">
        <v>197</v>
      </c>
      <c r="K30" s="89" t="str">
        <f>VLOOKUP(I30,[6]stage_hints!$A:$C,3,FALSE)</f>
        <v>敵のカウンター攻撃には</v>
      </c>
      <c r="L30" s="90" t="str">
        <f>VLOOKUP(I30,[6]stage_hints!$A:$D,4,FALSE)</f>
        <v>カウンターブレイクスキルを持っていれば_x000D_敵のカウンターを解除して攻撃ができます</v>
      </c>
      <c r="M30" s="55" t="s">
        <v>210</v>
      </c>
    </row>
    <row r="31" spans="1:13" x14ac:dyDescent="0.15">
      <c r="A31" s="77" t="s">
        <v>200</v>
      </c>
      <c r="B31" s="78">
        <f>floors!$C$2</f>
        <v>30044</v>
      </c>
      <c r="C31" s="79" t="str">
        <f ca="1">VLOOKUP($B31,OFFSET([2]quests!$A$1,0,0,COUNTA([2]quests!$A:$A),MATCH(C$1,[2]quests!$1:$1,0)-MATCH($B$1,[2]quests!$1:$1,0)+1),MATCH(C$1,[2]quests!$1:$1,0)-MATCH($B$1,[2]quests!$1:$1,0)+1,FALSE)</f>
        <v>冷酷なる遂行者</v>
      </c>
      <c r="D31" s="79" t="str">
        <f ca="1">VLOOKUP($B31,OFFSET([2]quests!$A$1,0,0,COUNTA([2]quests!$A:$A),MATCH(D$1,[2]quests!$1:$1,0)-MATCH($B$1,[2]quests!$1:$1,0)+1),MATCH(D$1,[2]quests!$1:$1,0)-MATCH($B$1,[2]quests!$1:$1,0)+1,FALSE)</f>
        <v>ギリシャ神話第二弾超級</v>
      </c>
      <c r="E31" s="83">
        <v>1</v>
      </c>
      <c r="F31" s="79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【中級】冷酷なる遂行者</v>
      </c>
      <c r="G31" s="79" t="str">
        <f ca="1">VLOOKUP($B31&amp;"_"&amp;$E31,OFFSET([2]stages!$A$1,0,0,COUNTA([2]stages!$A:$A),MATCH(G$1,[2]stages!$2:$2,0)-MATCH("temp_stage",[2]stages!$2:$2,0)+1),MATCH(G$1,[2]stages!$2:$2,0)-MATCH("temp_stage",[2]stages!$2:$2,0)+1,FALSE)</f>
        <v>ギリシャ神話第二弾超級</v>
      </c>
      <c r="H31" s="81">
        <v>0</v>
      </c>
      <c r="I31">
        <v>34</v>
      </c>
      <c r="J31" s="80" t="s">
        <v>197</v>
      </c>
      <c r="K31" s="89" t="str">
        <f>VLOOKUP(I31,[6]stage_hints!$A:$C,3,FALSE)</f>
        <v>ステータスをスキルで下げられたら</v>
      </c>
      <c r="L31" s="90" t="str">
        <f>VLOOKUP(I31,[6]stage_hints!$A:$D,4,FALSE)</f>
        <v>ステータスダウンのスキルを受けたら_x000D_ステータスアップスキルで上書きしましょう</v>
      </c>
      <c r="M31" s="55" t="s">
        <v>210</v>
      </c>
    </row>
    <row r="32" spans="1:13" x14ac:dyDescent="0.15">
      <c r="A32" s="77" t="s">
        <v>200</v>
      </c>
      <c r="B32" s="78">
        <f>floors!$C$2</f>
        <v>30044</v>
      </c>
      <c r="C32" s="79" t="str">
        <f ca="1">VLOOKUP($B32,OFFSET([2]quests!$A$1,0,0,COUNTA([2]quests!$A:$A),MATCH(C$1,[2]quests!$1:$1,0)-MATCH($B$1,[2]quests!$1:$1,0)+1),MATCH(C$1,[2]quests!$1:$1,0)-MATCH($B$1,[2]quests!$1:$1,0)+1,FALSE)</f>
        <v>冷酷なる遂行者</v>
      </c>
      <c r="D32" s="79" t="str">
        <f ca="1">VLOOKUP($B32,OFFSET([2]quests!$A$1,0,0,COUNTA([2]quests!$A:$A),MATCH(D$1,[2]quests!$1:$1,0)-MATCH($B$1,[2]quests!$1:$1,0)+1),MATCH(D$1,[2]quests!$1:$1,0)-MATCH($B$1,[2]quests!$1:$1,0)+1,FALSE)</f>
        <v>ギリシャ神話第二弾超級</v>
      </c>
      <c r="E32" s="83">
        <v>1</v>
      </c>
      <c r="F32" s="79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【中級】冷酷なる遂行者</v>
      </c>
      <c r="G32" s="79" t="str">
        <f ca="1">VLOOKUP($B32&amp;"_"&amp;$E32,OFFSET([2]stages!$A$1,0,0,COUNTA([2]stages!$A:$A),MATCH(G$1,[2]stages!$2:$2,0)-MATCH("temp_stage",[2]stages!$2:$2,0)+1),MATCH(G$1,[2]stages!$2:$2,0)-MATCH("temp_stage",[2]stages!$2:$2,0)+1,FALSE)</f>
        <v>ギリシャ神話第二弾超級</v>
      </c>
      <c r="H32" s="81">
        <v>0</v>
      </c>
      <c r="I32">
        <v>35</v>
      </c>
      <c r="J32" s="80" t="s">
        <v>197</v>
      </c>
      <c r="K32" s="89" t="str">
        <f>VLOOKUP(I32,[6]stage_hints!$A:$C,3,FALSE)</f>
        <v>敵のステータスがスキルで上がったら</v>
      </c>
      <c r="L32" s="90" t="str">
        <f>VLOOKUP(I32,[6]stage_hints!$A:$D,4,FALSE)</f>
        <v>敵のステータスがスキルでアップしたときは_x000D_ステータスダウンスキルで上書きしましょう</v>
      </c>
      <c r="M32" s="55" t="s">
        <v>210</v>
      </c>
    </row>
    <row r="33" spans="1:13" x14ac:dyDescent="0.15">
      <c r="A33" s="77" t="s">
        <v>200</v>
      </c>
      <c r="B33" s="78">
        <f>floors!$C$2</f>
        <v>30044</v>
      </c>
      <c r="C33" s="79" t="str">
        <f ca="1">VLOOKUP($B33,OFFSET([2]quests!$A$1,0,0,COUNTA([2]quests!$A:$A),MATCH(C$1,[2]quests!$1:$1,0)-MATCH($B$1,[2]quests!$1:$1,0)+1),MATCH(C$1,[2]quests!$1:$1,0)-MATCH($B$1,[2]quests!$1:$1,0)+1,FALSE)</f>
        <v>冷酷なる遂行者</v>
      </c>
      <c r="D33" s="79" t="str">
        <f ca="1">VLOOKUP($B33,OFFSET([2]quests!$A$1,0,0,COUNTA([2]quests!$A:$A),MATCH(D$1,[2]quests!$1:$1,0)-MATCH($B$1,[2]quests!$1:$1,0)+1),MATCH(D$1,[2]quests!$1:$1,0)-MATCH($B$1,[2]quests!$1:$1,0)+1,FALSE)</f>
        <v>ギリシャ神話第二弾超級</v>
      </c>
      <c r="E33" s="83">
        <v>1</v>
      </c>
      <c r="F33" s="79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【中級】冷酷なる遂行者</v>
      </c>
      <c r="G33" s="79" t="str">
        <f ca="1">VLOOKUP($B33&amp;"_"&amp;$E33,OFFSET([2]stages!$A$1,0,0,COUNTA([2]stages!$A:$A),MATCH(G$1,[2]stages!$2:$2,0)-MATCH("temp_stage",[2]stages!$2:$2,0)+1),MATCH(G$1,[2]stages!$2:$2,0)-MATCH("temp_stage",[2]stages!$2:$2,0)+1,FALSE)</f>
        <v>ギリシャ神話第二弾超級</v>
      </c>
      <c r="H33" s="81">
        <v>0</v>
      </c>
      <c r="I33">
        <v>39</v>
      </c>
      <c r="J33" s="80" t="s">
        <v>197</v>
      </c>
      <c r="K33" s="89" t="str">
        <f>VLOOKUP(I33,[6]stage_hints!$A:$C,3,FALSE)</f>
        <v>システム適合者を確認</v>
      </c>
      <c r="L33" s="90" t="str">
        <f>VLOOKUP(I33,[6]stage_hints!$A:$D,4,FALSE)</f>
        <v>ALICEが 「アナタ」を呼んでいます</v>
      </c>
      <c r="M33" s="55" t="s">
        <v>210</v>
      </c>
    </row>
    <row r="34" spans="1:13" x14ac:dyDescent="0.15">
      <c r="A34" s="77" t="s">
        <v>200</v>
      </c>
      <c r="B34" s="78">
        <f>floors!$C$2</f>
        <v>30044</v>
      </c>
      <c r="C34" s="79" t="str">
        <f ca="1">VLOOKUP($B34,OFFSET([2]quests!$A$1,0,0,COUNTA([2]quests!$A:$A),MATCH(C$1,[2]quests!$1:$1,0)-MATCH($B$1,[2]quests!$1:$1,0)+1),MATCH(C$1,[2]quests!$1:$1,0)-MATCH($B$1,[2]quests!$1:$1,0)+1,FALSE)</f>
        <v>冷酷なる遂行者</v>
      </c>
      <c r="D34" s="79" t="str">
        <f ca="1">VLOOKUP($B34,OFFSET([2]quests!$A$1,0,0,COUNTA([2]quests!$A:$A),MATCH(D$1,[2]quests!$1:$1,0)-MATCH($B$1,[2]quests!$1:$1,0)+1),MATCH(D$1,[2]quests!$1:$1,0)-MATCH($B$1,[2]quests!$1:$1,0)+1,FALSE)</f>
        <v>ギリシャ神話第二弾超級</v>
      </c>
      <c r="E34" s="83">
        <v>2</v>
      </c>
      <c r="F34" s="79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【上級】冷酷なる遂行者</v>
      </c>
      <c r="G34" s="79" t="str">
        <f ca="1">VLOOKUP($B34&amp;"_"&amp;$E34,OFFSET([2]stages!$A$1,0,0,COUNTA([2]stages!$A:$A),MATCH(G$1,[2]stages!$2:$2,0)-MATCH("temp_stage",[2]stages!$2:$2,0)+1),MATCH(G$1,[2]stages!$2:$2,0)-MATCH("temp_stage",[2]stages!$2:$2,0)+1,FALSE)</f>
        <v>ギリシャ神話第二弾超級</v>
      </c>
      <c r="H34" s="81">
        <v>0</v>
      </c>
      <c r="I34" s="92">
        <v>3</v>
      </c>
      <c r="J34" s="80" t="s">
        <v>197</v>
      </c>
      <c r="K34" s="89" t="str">
        <f>VLOOKUP(I34,[6]stage_hints!$A:$C,3,FALSE)</f>
        <v>ターゲット</v>
      </c>
      <c r="L34" s="90" t="str">
        <f>VLOOKUP(I34,[6]stage_hints!$A:$D,4,FALSE)</f>
        <v>敵ユニットをタップすると_x000D_その敵を狙い撃ちできます</v>
      </c>
      <c r="M34" s="55" t="s">
        <v>210</v>
      </c>
    </row>
    <row r="35" spans="1:13" x14ac:dyDescent="0.15">
      <c r="A35" s="77" t="s">
        <v>200</v>
      </c>
      <c r="B35" s="78">
        <f>floors!$C$2</f>
        <v>30044</v>
      </c>
      <c r="C35" s="79" t="str">
        <f ca="1">VLOOKUP($B35,OFFSET([2]quests!$A$1,0,0,COUNTA([2]quests!$A:$A),MATCH(C$1,[2]quests!$1:$1,0)-MATCH($B$1,[2]quests!$1:$1,0)+1),MATCH(C$1,[2]quests!$1:$1,0)-MATCH($B$1,[2]quests!$1:$1,0)+1,FALSE)</f>
        <v>冷酷なる遂行者</v>
      </c>
      <c r="D35" s="79" t="str">
        <f ca="1">VLOOKUP($B35,OFFSET([2]quests!$A$1,0,0,COUNTA([2]quests!$A:$A),MATCH(D$1,[2]quests!$1:$1,0)-MATCH($B$1,[2]quests!$1:$1,0)+1),MATCH(D$1,[2]quests!$1:$1,0)-MATCH($B$1,[2]quests!$1:$1,0)+1,FALSE)</f>
        <v>ギリシャ神話第二弾超級</v>
      </c>
      <c r="E35" s="83">
        <v>2</v>
      </c>
      <c r="F35" s="79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【上級】冷酷なる遂行者</v>
      </c>
      <c r="G35" s="79" t="str">
        <f ca="1">VLOOKUP($B35&amp;"_"&amp;$E35,OFFSET([2]stages!$A$1,0,0,COUNTA([2]stages!$A:$A),MATCH(G$1,[2]stages!$2:$2,0)-MATCH("temp_stage",[2]stages!$2:$2,0)+1),MATCH(G$1,[2]stages!$2:$2,0)-MATCH("temp_stage",[2]stages!$2:$2,0)+1,FALSE)</f>
        <v>ギリシャ神話第二弾超級</v>
      </c>
      <c r="H35" s="81">
        <v>0</v>
      </c>
      <c r="I35" s="92">
        <v>6</v>
      </c>
      <c r="J35" s="80" t="s">
        <v>197</v>
      </c>
      <c r="K35" s="89" t="str">
        <f>VLOOKUP(I35,[6]stage_hints!$A:$C,3,FALSE)</f>
        <v>ユニット強化の属性ボーナス</v>
      </c>
      <c r="L35" s="90" t="str">
        <f>VLOOKUP(I35,[6]stage_hints!$A:$D,4,FALSE)</f>
        <v>同属性ユニットを強化素材にすると_x000D_経験値が多くもらえます</v>
      </c>
      <c r="M35" s="55" t="s">
        <v>210</v>
      </c>
    </row>
    <row r="36" spans="1:13" x14ac:dyDescent="0.15">
      <c r="A36" s="77" t="s">
        <v>200</v>
      </c>
      <c r="B36" s="78">
        <f>floors!$C$2</f>
        <v>30044</v>
      </c>
      <c r="C36" s="79" t="str">
        <f ca="1">VLOOKUP($B36,OFFSET([2]quests!$A$1,0,0,COUNTA([2]quests!$A:$A),MATCH(C$1,[2]quests!$1:$1,0)-MATCH($B$1,[2]quests!$1:$1,0)+1),MATCH(C$1,[2]quests!$1:$1,0)-MATCH($B$1,[2]quests!$1:$1,0)+1,FALSE)</f>
        <v>冷酷なる遂行者</v>
      </c>
      <c r="D36" s="79" t="str">
        <f ca="1">VLOOKUP($B36,OFFSET([2]quests!$A$1,0,0,COUNTA([2]quests!$A:$A),MATCH(D$1,[2]quests!$1:$1,0)-MATCH($B$1,[2]quests!$1:$1,0)+1),MATCH(D$1,[2]quests!$1:$1,0)-MATCH($B$1,[2]quests!$1:$1,0)+1,FALSE)</f>
        <v>ギリシャ神話第二弾超級</v>
      </c>
      <c r="E36" s="83">
        <v>2</v>
      </c>
      <c r="F36" s="79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【上級】冷酷なる遂行者</v>
      </c>
      <c r="G36" s="79" t="str">
        <f ca="1">VLOOKUP($B36&amp;"_"&amp;$E36,OFFSET([2]stages!$A$1,0,0,COUNTA([2]stages!$A:$A),MATCH(G$1,[2]stages!$2:$2,0)-MATCH("temp_stage",[2]stages!$2:$2,0)+1),MATCH(G$1,[2]stages!$2:$2,0)-MATCH("temp_stage",[2]stages!$2:$2,0)+1,FALSE)</f>
        <v>ギリシャ神話第二弾超級</v>
      </c>
      <c r="H36" s="81">
        <v>0</v>
      </c>
      <c r="I36" s="92">
        <v>7</v>
      </c>
      <c r="J36" s="80" t="s">
        <v>197</v>
      </c>
      <c r="K36" s="89" t="str">
        <f>VLOOKUP(I36,[6]stage_hints!$A:$C,3,FALSE)</f>
        <v>メタルダックで経験値を獲得</v>
      </c>
      <c r="L36" s="90" t="str">
        <f>VLOOKUP(I36,[6]stage_hints!$A:$D,4,FALSE)</f>
        <v>「メタルなアヒル」を強化素材にすると_x000D_大量の経験値がもらえます</v>
      </c>
      <c r="M36" s="55" t="s">
        <v>210</v>
      </c>
    </row>
    <row r="37" spans="1:13" x14ac:dyDescent="0.15">
      <c r="A37" s="77" t="s">
        <v>200</v>
      </c>
      <c r="B37" s="78">
        <f>floors!$C$2</f>
        <v>30044</v>
      </c>
      <c r="C37" s="79" t="str">
        <f ca="1">VLOOKUP($B37,OFFSET([2]quests!$A$1,0,0,COUNTA([2]quests!$A:$A),MATCH(C$1,[2]quests!$1:$1,0)-MATCH($B$1,[2]quests!$1:$1,0)+1),MATCH(C$1,[2]quests!$1:$1,0)-MATCH($B$1,[2]quests!$1:$1,0)+1,FALSE)</f>
        <v>冷酷なる遂行者</v>
      </c>
      <c r="D37" s="79" t="str">
        <f ca="1">VLOOKUP($B37,OFFSET([2]quests!$A$1,0,0,COUNTA([2]quests!$A:$A),MATCH(D$1,[2]quests!$1:$1,0)-MATCH($B$1,[2]quests!$1:$1,0)+1),MATCH(D$1,[2]quests!$1:$1,0)-MATCH($B$1,[2]quests!$1:$1,0)+1,FALSE)</f>
        <v>ギリシャ神話第二弾超級</v>
      </c>
      <c r="E37" s="83">
        <v>2</v>
      </c>
      <c r="F37" s="79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【上級】冷酷なる遂行者</v>
      </c>
      <c r="G37" s="79" t="str">
        <f ca="1">VLOOKUP($B37&amp;"_"&amp;$E37,OFFSET([2]stages!$A$1,0,0,COUNTA([2]stages!$A:$A),MATCH(G$1,[2]stages!$2:$2,0)-MATCH("temp_stage",[2]stages!$2:$2,0)+1),MATCH(G$1,[2]stages!$2:$2,0)-MATCH("temp_stage",[2]stages!$2:$2,0)+1,FALSE)</f>
        <v>ギリシャ神話第二弾超級</v>
      </c>
      <c r="H37" s="81">
        <v>0</v>
      </c>
      <c r="I37" s="92">
        <v>8</v>
      </c>
      <c r="J37" s="80" t="s">
        <v>197</v>
      </c>
      <c r="K37" s="89" t="str">
        <f>VLOOKUP(I37,[6]stage_hints!$A:$C,3,FALSE)</f>
        <v>ゲリラクエストは要チェック</v>
      </c>
      <c r="L37" s="90" t="str">
        <f>VLOOKUP(I37,[6]stage_hints!$A:$D,4,FALSE)</f>
        <v>時間限定の「アヒル捕獲作戦」では_x000D_経験値素材ユニットが多く手に入ります</v>
      </c>
      <c r="M37" s="55" t="s">
        <v>210</v>
      </c>
    </row>
    <row r="38" spans="1:13" x14ac:dyDescent="0.15">
      <c r="A38" s="77" t="s">
        <v>200</v>
      </c>
      <c r="B38" s="78">
        <f>floors!$C$2</f>
        <v>30044</v>
      </c>
      <c r="C38" s="79" t="str">
        <f ca="1">VLOOKUP($B38,OFFSET([2]quests!$A$1,0,0,COUNTA([2]quests!$A:$A),MATCH(C$1,[2]quests!$1:$1,0)-MATCH($B$1,[2]quests!$1:$1,0)+1),MATCH(C$1,[2]quests!$1:$1,0)-MATCH($B$1,[2]quests!$1:$1,0)+1,FALSE)</f>
        <v>冷酷なる遂行者</v>
      </c>
      <c r="D38" s="79" t="str">
        <f ca="1">VLOOKUP($B38,OFFSET([2]quests!$A$1,0,0,COUNTA([2]quests!$A:$A),MATCH(D$1,[2]quests!$1:$1,0)-MATCH($B$1,[2]quests!$1:$1,0)+1),MATCH(D$1,[2]quests!$1:$1,0)-MATCH($B$1,[2]quests!$1:$1,0)+1,FALSE)</f>
        <v>ギリシャ神話第二弾超級</v>
      </c>
      <c r="E38" s="83">
        <v>2</v>
      </c>
      <c r="F38" s="79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【上級】冷酷なる遂行者</v>
      </c>
      <c r="G38" s="79" t="str">
        <f ca="1">VLOOKUP($B38&amp;"_"&amp;$E38,OFFSET([2]stages!$A$1,0,0,COUNTA([2]stages!$A:$A),MATCH(G$1,[2]stages!$2:$2,0)-MATCH("temp_stage",[2]stages!$2:$2,0)+1),MATCH(G$1,[2]stages!$2:$2,0)-MATCH("temp_stage",[2]stages!$2:$2,0)+1,FALSE)</f>
        <v>ギリシャ神話第二弾超級</v>
      </c>
      <c r="H38" s="81">
        <v>0</v>
      </c>
      <c r="I38" s="92">
        <v>9</v>
      </c>
      <c r="J38" s="80" t="s">
        <v>197</v>
      </c>
      <c r="K38" s="89" t="str">
        <f>VLOOKUP(I38,[6]stage_hints!$A:$C,3,FALSE)</f>
        <v>ゴールドダックでビットを獲得</v>
      </c>
      <c r="L38" s="90" t="str">
        <f>VLOOKUP(I38,[6]stage_hints!$A:$D,4,FALSE)</f>
        <v>「ゴールドなアヒル」を売却すると_x000D_大量のビットがもらえます</v>
      </c>
      <c r="M38" s="55" t="s">
        <v>210</v>
      </c>
    </row>
    <row r="39" spans="1:13" x14ac:dyDescent="0.15">
      <c r="A39" s="77" t="s">
        <v>200</v>
      </c>
      <c r="B39" s="78">
        <f>floors!$C$2</f>
        <v>30044</v>
      </c>
      <c r="C39" s="79" t="str">
        <f ca="1">VLOOKUP($B39,OFFSET([2]quests!$A$1,0,0,COUNTA([2]quests!$A:$A),MATCH(C$1,[2]quests!$1:$1,0)-MATCH($B$1,[2]quests!$1:$1,0)+1),MATCH(C$1,[2]quests!$1:$1,0)-MATCH($B$1,[2]quests!$1:$1,0)+1,FALSE)</f>
        <v>冷酷なる遂行者</v>
      </c>
      <c r="D39" s="79" t="str">
        <f ca="1">VLOOKUP($B39,OFFSET([2]quests!$A$1,0,0,COUNTA([2]quests!$A:$A),MATCH(D$1,[2]quests!$1:$1,0)-MATCH($B$1,[2]quests!$1:$1,0)+1),MATCH(D$1,[2]quests!$1:$1,0)-MATCH($B$1,[2]quests!$1:$1,0)+1,FALSE)</f>
        <v>ギリシャ神話第二弾超級</v>
      </c>
      <c r="E39" s="83">
        <v>2</v>
      </c>
      <c r="F39" s="79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【上級】冷酷なる遂行者</v>
      </c>
      <c r="G39" s="79" t="str">
        <f ca="1">VLOOKUP($B39&amp;"_"&amp;$E39,OFFSET([2]stages!$A$1,0,0,COUNTA([2]stages!$A:$A),MATCH(G$1,[2]stages!$2:$2,0)-MATCH("temp_stage",[2]stages!$2:$2,0)+1),MATCH(G$1,[2]stages!$2:$2,0)-MATCH("temp_stage",[2]stages!$2:$2,0)+1,FALSE)</f>
        <v>ギリシャ神話第二弾超級</v>
      </c>
      <c r="H39" s="81">
        <v>0</v>
      </c>
      <c r="I39" s="92">
        <v>10</v>
      </c>
      <c r="J39" s="80" t="s">
        <v>197</v>
      </c>
      <c r="K39" s="89" t="str">
        <f>VLOOKUP(I39,[6]stage_hints!$A:$C,3,FALSE)</f>
        <v>土日に大量のビットを獲得</v>
      </c>
      <c r="L39" s="90" t="str">
        <f>VLOOKUP(I39,[6]stage_hints!$A:$D,4,FALSE)</f>
        <v>土日限定の「ゴールドカジノ」では_x000D_売却素材ユニットが多く手に入ります</v>
      </c>
      <c r="M39" s="55" t="s">
        <v>210</v>
      </c>
    </row>
    <row r="40" spans="1:13" x14ac:dyDescent="0.15">
      <c r="A40" s="77" t="s">
        <v>200</v>
      </c>
      <c r="B40" s="78">
        <f>floors!$C$2</f>
        <v>30044</v>
      </c>
      <c r="C40" s="79" t="str">
        <f ca="1">VLOOKUP($B40,OFFSET([2]quests!$A$1,0,0,COUNTA([2]quests!$A:$A),MATCH(C$1,[2]quests!$1:$1,0)-MATCH($B$1,[2]quests!$1:$1,0)+1),MATCH(C$1,[2]quests!$1:$1,0)-MATCH($B$1,[2]quests!$1:$1,0)+1,FALSE)</f>
        <v>冷酷なる遂行者</v>
      </c>
      <c r="D40" s="79" t="str">
        <f ca="1">VLOOKUP($B40,OFFSET([2]quests!$A$1,0,0,COUNTA([2]quests!$A:$A),MATCH(D$1,[2]quests!$1:$1,0)-MATCH($B$1,[2]quests!$1:$1,0)+1),MATCH(D$1,[2]quests!$1:$1,0)-MATCH($B$1,[2]quests!$1:$1,0)+1,FALSE)</f>
        <v>ギリシャ神話第二弾超級</v>
      </c>
      <c r="E40" s="83">
        <v>2</v>
      </c>
      <c r="F40" s="79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【上級】冷酷なる遂行者</v>
      </c>
      <c r="G40" s="79" t="str">
        <f ca="1">VLOOKUP($B40&amp;"_"&amp;$E40,OFFSET([2]stages!$A$1,0,0,COUNTA([2]stages!$A:$A),MATCH(G$1,[2]stages!$2:$2,0)-MATCH("temp_stage",[2]stages!$2:$2,0)+1),MATCH(G$1,[2]stages!$2:$2,0)-MATCH("temp_stage",[2]stages!$2:$2,0)+1,FALSE)</f>
        <v>ギリシャ神話第二弾超級</v>
      </c>
      <c r="H40" s="81">
        <v>0</v>
      </c>
      <c r="I40" s="92">
        <v>11</v>
      </c>
      <c r="J40" s="80" t="s">
        <v>197</v>
      </c>
      <c r="K40" s="89" t="str">
        <f>VLOOKUP(I40,[6]stage_hints!$A:$C,3,FALSE)</f>
        <v>ランク解放クエスト</v>
      </c>
      <c r="L40" s="90" t="str">
        <f>VLOOKUP(I40,[6]stage_hints!$A:$D,4,FALSE)</f>
        <v>一定ランクに到達すると_x000D_報酬付きのランク開放クエストが現れます</v>
      </c>
      <c r="M40" s="55" t="s">
        <v>210</v>
      </c>
    </row>
    <row r="41" spans="1:13" x14ac:dyDescent="0.15">
      <c r="A41" s="77" t="s">
        <v>200</v>
      </c>
      <c r="B41" s="78">
        <f>floors!$C$2</f>
        <v>30044</v>
      </c>
      <c r="C41" s="79" t="str">
        <f ca="1">VLOOKUP($B41,OFFSET([2]quests!$A$1,0,0,COUNTA([2]quests!$A:$A),MATCH(C$1,[2]quests!$1:$1,0)-MATCH($B$1,[2]quests!$1:$1,0)+1),MATCH(C$1,[2]quests!$1:$1,0)-MATCH($B$1,[2]quests!$1:$1,0)+1,FALSE)</f>
        <v>冷酷なる遂行者</v>
      </c>
      <c r="D41" s="79" t="str">
        <f ca="1">VLOOKUP($B41,OFFSET([2]quests!$A$1,0,0,COUNTA([2]quests!$A:$A),MATCH(D$1,[2]quests!$1:$1,0)-MATCH($B$1,[2]quests!$1:$1,0)+1),MATCH(D$1,[2]quests!$1:$1,0)-MATCH($B$1,[2]quests!$1:$1,0)+1,FALSE)</f>
        <v>ギリシャ神話第二弾超級</v>
      </c>
      <c r="E41" s="83">
        <v>2</v>
      </c>
      <c r="F41" s="79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【上級】冷酷なる遂行者</v>
      </c>
      <c r="G41" s="79" t="str">
        <f ca="1">VLOOKUP($B41&amp;"_"&amp;$E41,OFFSET([2]stages!$A$1,0,0,COUNTA([2]stages!$A:$A),MATCH(G$1,[2]stages!$2:$2,0)-MATCH("temp_stage",[2]stages!$2:$2,0)+1),MATCH(G$1,[2]stages!$2:$2,0)-MATCH("temp_stage",[2]stages!$2:$2,0)+1,FALSE)</f>
        <v>ギリシャ神話第二弾超級</v>
      </c>
      <c r="H41" s="81">
        <v>0</v>
      </c>
      <c r="I41" s="92">
        <v>12</v>
      </c>
      <c r="J41" s="80" t="s">
        <v>197</v>
      </c>
      <c r="K41" s="89" t="str">
        <f>VLOOKUP(I41,[6]stage_hints!$A:$C,3,FALSE)</f>
        <v>ユニットのお気に入り登録</v>
      </c>
      <c r="L41" s="90" t="str">
        <f>VLOOKUP(I41,[6]stage_hints!$A:$D,4,FALSE)</f>
        <v>大事なユニットを誤って消さないように_x000D_フォルダから「お気に入り登録」しましょう</v>
      </c>
      <c r="M41" s="55" t="s">
        <v>210</v>
      </c>
    </row>
    <row r="42" spans="1:13" x14ac:dyDescent="0.15">
      <c r="A42" s="77" t="s">
        <v>200</v>
      </c>
      <c r="B42" s="78">
        <f>floors!$C$2</f>
        <v>30044</v>
      </c>
      <c r="C42" s="79" t="str">
        <f ca="1">VLOOKUP($B42,OFFSET([2]quests!$A$1,0,0,COUNTA([2]quests!$A:$A),MATCH(C$1,[2]quests!$1:$1,0)-MATCH($B$1,[2]quests!$1:$1,0)+1),MATCH(C$1,[2]quests!$1:$1,0)-MATCH($B$1,[2]quests!$1:$1,0)+1,FALSE)</f>
        <v>冷酷なる遂行者</v>
      </c>
      <c r="D42" s="79" t="str">
        <f ca="1">VLOOKUP($B42,OFFSET([2]quests!$A$1,0,0,COUNTA([2]quests!$A:$A),MATCH(D$1,[2]quests!$1:$1,0)-MATCH($B$1,[2]quests!$1:$1,0)+1),MATCH(D$1,[2]quests!$1:$1,0)-MATCH($B$1,[2]quests!$1:$1,0)+1,FALSE)</f>
        <v>ギリシャ神話第二弾超級</v>
      </c>
      <c r="E42" s="83">
        <v>2</v>
      </c>
      <c r="F42" s="79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【上級】冷酷なる遂行者</v>
      </c>
      <c r="G42" s="79" t="str">
        <f ca="1">VLOOKUP($B42&amp;"_"&amp;$E42,OFFSET([2]stages!$A$1,0,0,COUNTA([2]stages!$A:$A),MATCH(G$1,[2]stages!$2:$2,0)-MATCH("temp_stage",[2]stages!$2:$2,0)+1),MATCH(G$1,[2]stages!$2:$2,0)-MATCH("temp_stage",[2]stages!$2:$2,0)+1,FALSE)</f>
        <v>ギリシャ神話第二弾超級</v>
      </c>
      <c r="H42" s="81">
        <v>0</v>
      </c>
      <c r="I42" s="92">
        <v>13</v>
      </c>
      <c r="J42" s="80" t="s">
        <v>197</v>
      </c>
      <c r="K42" s="89" t="str">
        <f>VLOOKUP(I42,[6]stage_hints!$A:$C,3,FALSE)</f>
        <v>ユニットの覚醒</v>
      </c>
      <c r="L42" s="90" t="str">
        <f>VLOOKUP(I42,[6]stage_hints!$A:$D,4,FALSE)</f>
        <v>ユニットを覚醒させると_x000D_比べものにならない強さが手に入ります</v>
      </c>
      <c r="M42" s="55" t="s">
        <v>210</v>
      </c>
    </row>
    <row r="43" spans="1:13" x14ac:dyDescent="0.15">
      <c r="A43" s="77" t="s">
        <v>200</v>
      </c>
      <c r="B43" s="78">
        <f>floors!$C$2</f>
        <v>30044</v>
      </c>
      <c r="C43" s="79" t="str">
        <f ca="1">VLOOKUP($B43,OFFSET([2]quests!$A$1,0,0,COUNTA([2]quests!$A:$A),MATCH(C$1,[2]quests!$1:$1,0)-MATCH($B$1,[2]quests!$1:$1,0)+1),MATCH(C$1,[2]quests!$1:$1,0)-MATCH($B$1,[2]quests!$1:$1,0)+1,FALSE)</f>
        <v>冷酷なる遂行者</v>
      </c>
      <c r="D43" s="79" t="str">
        <f ca="1">VLOOKUP($B43,OFFSET([2]quests!$A$1,0,0,COUNTA([2]quests!$A:$A),MATCH(D$1,[2]quests!$1:$1,0)-MATCH($B$1,[2]quests!$1:$1,0)+1),MATCH(D$1,[2]quests!$1:$1,0)-MATCH($B$1,[2]quests!$1:$1,0)+1,FALSE)</f>
        <v>ギリシャ神話第二弾超級</v>
      </c>
      <c r="E43" s="83">
        <v>2</v>
      </c>
      <c r="F43" s="79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【上級】冷酷なる遂行者</v>
      </c>
      <c r="G43" s="79" t="str">
        <f ca="1">VLOOKUP($B43&amp;"_"&amp;$E43,OFFSET([2]stages!$A$1,0,0,COUNTA([2]stages!$A:$A),MATCH(G$1,[2]stages!$2:$2,0)-MATCH("temp_stage",[2]stages!$2:$2,0)+1),MATCH(G$1,[2]stages!$2:$2,0)-MATCH("temp_stage",[2]stages!$2:$2,0)+1,FALSE)</f>
        <v>ギリシャ神話第二弾超級</v>
      </c>
      <c r="H43" s="81">
        <v>0</v>
      </c>
      <c r="I43" s="92">
        <v>14</v>
      </c>
      <c r="J43" s="80" t="s">
        <v>197</v>
      </c>
      <c r="K43" s="89" t="str">
        <f>VLOOKUP(I43,[6]stage_hints!$A:$C,3,FALSE)</f>
        <v>覚醒するにはレベルを最大に</v>
      </c>
      <c r="L43" s="90" t="str">
        <f>VLOOKUP(I43,[6]stage_hints!$A:$D,4,FALSE)</f>
        <v>覚醒するにはユニットのレベルを_x000D_最大まで上げる必要があります</v>
      </c>
      <c r="M43" s="55" t="s">
        <v>210</v>
      </c>
    </row>
    <row r="44" spans="1:13" x14ac:dyDescent="0.15">
      <c r="A44" s="77" t="s">
        <v>200</v>
      </c>
      <c r="B44" s="78">
        <f>floors!$C$2</f>
        <v>30044</v>
      </c>
      <c r="C44" s="79" t="str">
        <f ca="1">VLOOKUP($B44,OFFSET([2]quests!$A$1,0,0,COUNTA([2]quests!$A:$A),MATCH(C$1,[2]quests!$1:$1,0)-MATCH($B$1,[2]quests!$1:$1,0)+1),MATCH(C$1,[2]quests!$1:$1,0)-MATCH($B$1,[2]quests!$1:$1,0)+1,FALSE)</f>
        <v>冷酷なる遂行者</v>
      </c>
      <c r="D44" s="79" t="str">
        <f ca="1">VLOOKUP($B44,OFFSET([2]quests!$A$1,0,0,COUNTA([2]quests!$A:$A),MATCH(D$1,[2]quests!$1:$1,0)-MATCH($B$1,[2]quests!$1:$1,0)+1),MATCH(D$1,[2]quests!$1:$1,0)-MATCH($B$1,[2]quests!$1:$1,0)+1,FALSE)</f>
        <v>ギリシャ神話第二弾超級</v>
      </c>
      <c r="E44" s="83">
        <v>2</v>
      </c>
      <c r="F44" s="79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【上級】冷酷なる遂行者</v>
      </c>
      <c r="G44" s="79" t="str">
        <f ca="1">VLOOKUP($B44&amp;"_"&amp;$E44,OFFSET([2]stages!$A$1,0,0,COUNTA([2]stages!$A:$A),MATCH(G$1,[2]stages!$2:$2,0)-MATCH("temp_stage",[2]stages!$2:$2,0)+1),MATCH(G$1,[2]stages!$2:$2,0)-MATCH("temp_stage",[2]stages!$2:$2,0)+1,FALSE)</f>
        <v>ギリシャ神話第二弾超級</v>
      </c>
      <c r="H44" s="81">
        <v>0</v>
      </c>
      <c r="I44" s="92">
        <v>15</v>
      </c>
      <c r="J44" s="80" t="s">
        <v>197</v>
      </c>
      <c r="K44" s="89" t="str">
        <f>VLOOKUP(I44,[6]stage_hints!$A:$C,3,FALSE)</f>
        <v>覚醒素材を獲得</v>
      </c>
      <c r="L44" s="90" t="str">
        <f>VLOOKUP(I44,[6]stage_hints!$A:$D,4,FALSE)</f>
        <v>「曜日クエスト」では_x000D_ユニットの覚醒に必要な素材が手に入ります</v>
      </c>
      <c r="M44" s="55" t="s">
        <v>210</v>
      </c>
    </row>
    <row r="45" spans="1:13" x14ac:dyDescent="0.15">
      <c r="A45" s="77" t="s">
        <v>200</v>
      </c>
      <c r="B45" s="78">
        <f>floors!$C$2</f>
        <v>30044</v>
      </c>
      <c r="C45" s="79" t="str">
        <f ca="1">VLOOKUP($B45,OFFSET([2]quests!$A$1,0,0,COUNTA([2]quests!$A:$A),MATCH(C$1,[2]quests!$1:$1,0)-MATCH($B$1,[2]quests!$1:$1,0)+1),MATCH(C$1,[2]quests!$1:$1,0)-MATCH($B$1,[2]quests!$1:$1,0)+1,FALSE)</f>
        <v>冷酷なる遂行者</v>
      </c>
      <c r="D45" s="79" t="str">
        <f ca="1">VLOOKUP($B45,OFFSET([2]quests!$A$1,0,0,COUNTA([2]quests!$A:$A),MATCH(D$1,[2]quests!$1:$1,0)-MATCH($B$1,[2]quests!$1:$1,0)+1),MATCH(D$1,[2]quests!$1:$1,0)-MATCH($B$1,[2]quests!$1:$1,0)+1,FALSE)</f>
        <v>ギリシャ神話第二弾超級</v>
      </c>
      <c r="E45" s="83">
        <v>2</v>
      </c>
      <c r="F45" s="79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【上級】冷酷なる遂行者</v>
      </c>
      <c r="G45" s="79" t="str">
        <f ca="1">VLOOKUP($B45&amp;"_"&amp;$E45,OFFSET([2]stages!$A$1,0,0,COUNTA([2]stages!$A:$A),MATCH(G$1,[2]stages!$2:$2,0)-MATCH("temp_stage",[2]stages!$2:$2,0)+1),MATCH(G$1,[2]stages!$2:$2,0)-MATCH("temp_stage",[2]stages!$2:$2,0)+1,FALSE)</f>
        <v>ギリシャ神話第二弾超級</v>
      </c>
      <c r="H45" s="81">
        <v>0</v>
      </c>
      <c r="I45" s="92">
        <v>16</v>
      </c>
      <c r="J45" s="80" t="s">
        <v>197</v>
      </c>
      <c r="K45" s="89" t="str">
        <f>VLOOKUP(I45,[6]stage_hints!$A:$C,3,FALSE)</f>
        <v>マルチプレイのメリット（その1）</v>
      </c>
      <c r="L45" s="90" t="str">
        <f>VLOOKUP(I45,[6]stage_hints!$A:$D,4,FALSE)</f>
        <v>他のプレイヤーとマルチプレイで遊ぶと_x000D_ポリゴンがもらえます（100人まで）</v>
      </c>
      <c r="M45" s="55" t="s">
        <v>210</v>
      </c>
    </row>
    <row r="46" spans="1:13" x14ac:dyDescent="0.15">
      <c r="A46" s="77" t="s">
        <v>200</v>
      </c>
      <c r="B46" s="78">
        <f>floors!$C$2</f>
        <v>30044</v>
      </c>
      <c r="C46" s="79" t="str">
        <f ca="1">VLOOKUP($B46,OFFSET([2]quests!$A$1,0,0,COUNTA([2]quests!$A:$A),MATCH(C$1,[2]quests!$1:$1,0)-MATCH($B$1,[2]quests!$1:$1,0)+1),MATCH(C$1,[2]quests!$1:$1,0)-MATCH($B$1,[2]quests!$1:$1,0)+1,FALSE)</f>
        <v>冷酷なる遂行者</v>
      </c>
      <c r="D46" s="79" t="str">
        <f ca="1">VLOOKUP($B46,OFFSET([2]quests!$A$1,0,0,COUNTA([2]quests!$A:$A),MATCH(D$1,[2]quests!$1:$1,0)-MATCH($B$1,[2]quests!$1:$1,0)+1),MATCH(D$1,[2]quests!$1:$1,0)-MATCH($B$1,[2]quests!$1:$1,0)+1,FALSE)</f>
        <v>ギリシャ神話第二弾超級</v>
      </c>
      <c r="E46" s="83">
        <v>2</v>
      </c>
      <c r="F46" s="79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【上級】冷酷なる遂行者</v>
      </c>
      <c r="G46" s="79" t="str">
        <f ca="1">VLOOKUP($B46&amp;"_"&amp;$E46,OFFSET([2]stages!$A$1,0,0,COUNTA([2]stages!$A:$A),MATCH(G$1,[2]stages!$2:$2,0)-MATCH("temp_stage",[2]stages!$2:$2,0)+1),MATCH(G$1,[2]stages!$2:$2,0)-MATCH("temp_stage",[2]stages!$2:$2,0)+1,FALSE)</f>
        <v>ギリシャ神話第二弾超級</v>
      </c>
      <c r="H46" s="81">
        <v>0</v>
      </c>
      <c r="I46" s="92">
        <v>17</v>
      </c>
      <c r="J46" s="80" t="s">
        <v>197</v>
      </c>
      <c r="K46" s="89" t="str">
        <f>VLOOKUP(I46,[6]stage_hints!$A:$C,3,FALSE)</f>
        <v>リンクガチャ</v>
      </c>
      <c r="L46" s="90" t="str">
        <f>VLOOKUP(I46,[6]stage_hints!$A:$D,4,FALSE)</f>
        <v>無料のリンクガチャを回して_x000D_経験値素材や売却素材を獲得しましょう</v>
      </c>
      <c r="M46" s="55" t="s">
        <v>210</v>
      </c>
    </row>
    <row r="47" spans="1:13" x14ac:dyDescent="0.15">
      <c r="A47" s="77" t="s">
        <v>200</v>
      </c>
      <c r="B47" s="78">
        <f>floors!$C$2</f>
        <v>30044</v>
      </c>
      <c r="C47" s="79" t="str">
        <f ca="1">VLOOKUP($B47,OFFSET([2]quests!$A$1,0,0,COUNTA([2]quests!$A:$A),MATCH(C$1,[2]quests!$1:$1,0)-MATCH($B$1,[2]quests!$1:$1,0)+1),MATCH(C$1,[2]quests!$1:$1,0)-MATCH($B$1,[2]quests!$1:$1,0)+1,FALSE)</f>
        <v>冷酷なる遂行者</v>
      </c>
      <c r="D47" s="79" t="str">
        <f ca="1">VLOOKUP($B47,OFFSET([2]quests!$A$1,0,0,COUNTA([2]quests!$A:$A),MATCH(D$1,[2]quests!$1:$1,0)-MATCH($B$1,[2]quests!$1:$1,0)+1),MATCH(D$1,[2]quests!$1:$1,0)-MATCH($B$1,[2]quests!$1:$1,0)+1,FALSE)</f>
        <v>ギリシャ神話第二弾超級</v>
      </c>
      <c r="E47" s="83">
        <v>2</v>
      </c>
      <c r="F47" s="79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【上級】冷酷なる遂行者</v>
      </c>
      <c r="G47" s="79" t="str">
        <f ca="1">VLOOKUP($B47&amp;"_"&amp;$E47,OFFSET([2]stages!$A$1,0,0,COUNTA([2]stages!$A:$A),MATCH(G$1,[2]stages!$2:$2,0)-MATCH("temp_stage",[2]stages!$2:$2,0)+1),MATCH(G$1,[2]stages!$2:$2,0)-MATCH("temp_stage",[2]stages!$2:$2,0)+1,FALSE)</f>
        <v>ギリシャ神話第二弾超級</v>
      </c>
      <c r="H47" s="81">
        <v>0</v>
      </c>
      <c r="I47" s="92">
        <v>18</v>
      </c>
      <c r="J47" s="80" t="s">
        <v>197</v>
      </c>
      <c r="K47" s="89" t="str">
        <f>VLOOKUP(I47,[6]stage_hints!$A:$C,3,FALSE)</f>
        <v>マルチプレイのメリット（その2）</v>
      </c>
      <c r="L47" s="90" t="str">
        <f>VLOOKUP(I47,[6]stage_hints!$A:$D,4,FALSE)</f>
        <v>マルチプレイならリンクが2倍もらえます_x000D_リンクガチャをたくさん回しましょう</v>
      </c>
      <c r="M47" s="55" t="s">
        <v>210</v>
      </c>
    </row>
    <row r="48" spans="1:13" x14ac:dyDescent="0.15">
      <c r="A48" s="77" t="s">
        <v>200</v>
      </c>
      <c r="B48" s="78">
        <f>floors!$C$2</f>
        <v>30044</v>
      </c>
      <c r="C48" s="79" t="str">
        <f ca="1">VLOOKUP($B48,OFFSET([2]quests!$A$1,0,0,COUNTA([2]quests!$A:$A),MATCH(C$1,[2]quests!$1:$1,0)-MATCH($B$1,[2]quests!$1:$1,0)+1),MATCH(C$1,[2]quests!$1:$1,0)-MATCH($B$1,[2]quests!$1:$1,0)+1,FALSE)</f>
        <v>冷酷なる遂行者</v>
      </c>
      <c r="D48" s="79" t="str">
        <f ca="1">VLOOKUP($B48,OFFSET([2]quests!$A$1,0,0,COUNTA([2]quests!$A:$A),MATCH(D$1,[2]quests!$1:$1,0)-MATCH($B$1,[2]quests!$1:$1,0)+1),MATCH(D$1,[2]quests!$1:$1,0)-MATCH($B$1,[2]quests!$1:$1,0)+1,FALSE)</f>
        <v>ギリシャ神話第二弾超級</v>
      </c>
      <c r="E48" s="83">
        <v>2</v>
      </c>
      <c r="F48" s="79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【上級】冷酷なる遂行者</v>
      </c>
      <c r="G48" s="79" t="str">
        <f ca="1">VLOOKUP($B48&amp;"_"&amp;$E48,OFFSET([2]stages!$A$1,0,0,COUNTA([2]stages!$A:$A),MATCH(G$1,[2]stages!$2:$2,0)-MATCH("temp_stage",[2]stages!$2:$2,0)+1),MATCH(G$1,[2]stages!$2:$2,0)-MATCH("temp_stage",[2]stages!$2:$2,0)+1,FALSE)</f>
        <v>ギリシャ神話第二弾超級</v>
      </c>
      <c r="H48" s="81">
        <v>0</v>
      </c>
      <c r="I48" s="92">
        <v>19</v>
      </c>
      <c r="J48" s="80" t="s">
        <v>197</v>
      </c>
      <c r="K48" s="89" t="str">
        <f>VLOOKUP(I48,[6]stage_hints!$A:$C,3,FALSE)</f>
        <v>ソロ専用タワーオブザクイーン</v>
      </c>
      <c r="L48" s="90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5" t="s">
        <v>210</v>
      </c>
    </row>
    <row r="49" spans="1:13" x14ac:dyDescent="0.15">
      <c r="A49" s="77" t="s">
        <v>200</v>
      </c>
      <c r="B49" s="78">
        <f>floors!$C$2</f>
        <v>30044</v>
      </c>
      <c r="C49" s="79" t="str">
        <f ca="1">VLOOKUP($B49,OFFSET([2]quests!$A$1,0,0,COUNTA([2]quests!$A:$A),MATCH(C$1,[2]quests!$1:$1,0)-MATCH($B$1,[2]quests!$1:$1,0)+1),MATCH(C$1,[2]quests!$1:$1,0)-MATCH($B$1,[2]quests!$1:$1,0)+1,FALSE)</f>
        <v>冷酷なる遂行者</v>
      </c>
      <c r="D49" s="79" t="str">
        <f ca="1">VLOOKUP($B49,OFFSET([2]quests!$A$1,0,0,COUNTA([2]quests!$A:$A),MATCH(D$1,[2]quests!$1:$1,0)-MATCH($B$1,[2]quests!$1:$1,0)+1),MATCH(D$1,[2]quests!$1:$1,0)-MATCH($B$1,[2]quests!$1:$1,0)+1,FALSE)</f>
        <v>ギリシャ神話第二弾超級</v>
      </c>
      <c r="E49" s="83">
        <v>2</v>
      </c>
      <c r="F49" s="79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【上級】冷酷なる遂行者</v>
      </c>
      <c r="G49" s="79" t="str">
        <f ca="1">VLOOKUP($B49&amp;"_"&amp;$E49,OFFSET([2]stages!$A$1,0,0,COUNTA([2]stages!$A:$A),MATCH(G$1,[2]stages!$2:$2,0)-MATCH("temp_stage",[2]stages!$2:$2,0)+1),MATCH(G$1,[2]stages!$2:$2,0)-MATCH("temp_stage",[2]stages!$2:$2,0)+1,FALSE)</f>
        <v>ギリシャ神話第二弾超級</v>
      </c>
      <c r="H49" s="81">
        <v>0</v>
      </c>
      <c r="I49" s="92">
        <v>20</v>
      </c>
      <c r="J49" s="80" t="s">
        <v>197</v>
      </c>
      <c r="K49" s="89" t="str">
        <f>VLOOKUP(I49,[6]stage_hints!$A:$C,3,FALSE)</f>
        <v>マルチプレイのメリット（その3）</v>
      </c>
      <c r="L49" s="90" t="str">
        <f>VLOOKUP(I49,[6]stage_hints!$A:$D,4,FALSE)</f>
        <v>マルチプレイへの参加はエナジー消費ゼロ_x000D_いつでも好きなだけ遊ぶことができます</v>
      </c>
      <c r="M49" s="55" t="s">
        <v>210</v>
      </c>
    </row>
    <row r="50" spans="1:13" x14ac:dyDescent="0.15">
      <c r="A50" s="77" t="s">
        <v>200</v>
      </c>
      <c r="B50" s="78">
        <f>floors!$C$2</f>
        <v>30044</v>
      </c>
      <c r="C50" s="79" t="str">
        <f ca="1">VLOOKUP($B50,OFFSET([2]quests!$A$1,0,0,COUNTA([2]quests!$A:$A),MATCH(C$1,[2]quests!$1:$1,0)-MATCH($B$1,[2]quests!$1:$1,0)+1),MATCH(C$1,[2]quests!$1:$1,0)-MATCH($B$1,[2]quests!$1:$1,0)+1,FALSE)</f>
        <v>冷酷なる遂行者</v>
      </c>
      <c r="D50" s="79" t="str">
        <f ca="1">VLOOKUP($B50,OFFSET([2]quests!$A$1,0,0,COUNTA([2]quests!$A:$A),MATCH(D$1,[2]quests!$1:$1,0)-MATCH($B$1,[2]quests!$1:$1,0)+1),MATCH(D$1,[2]quests!$1:$1,0)-MATCH($B$1,[2]quests!$1:$1,0)+1,FALSE)</f>
        <v>ギリシャ神話第二弾超級</v>
      </c>
      <c r="E50" s="83">
        <v>2</v>
      </c>
      <c r="F50" s="79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【上級】冷酷なる遂行者</v>
      </c>
      <c r="G50" s="79" t="str">
        <f ca="1">VLOOKUP($B50&amp;"_"&amp;$E50,OFFSET([2]stages!$A$1,0,0,COUNTA([2]stages!$A:$A),MATCH(G$1,[2]stages!$2:$2,0)-MATCH("temp_stage",[2]stages!$2:$2,0)+1),MATCH(G$1,[2]stages!$2:$2,0)-MATCH("temp_stage",[2]stages!$2:$2,0)+1,FALSE)</f>
        <v>ギリシャ神話第二弾超級</v>
      </c>
      <c r="H50" s="81">
        <v>0</v>
      </c>
      <c r="I50" s="92">
        <v>21</v>
      </c>
      <c r="J50" s="80" t="s">
        <v>197</v>
      </c>
      <c r="K50" s="89" t="str">
        <f>VLOOKUP(I50,[6]stage_hints!$A:$C,3,FALSE)</f>
        <v>スキルを有効に</v>
      </c>
      <c r="L50" s="90" t="str">
        <f>VLOOKUP(I50,[6]stage_hints!$A:$D,4,FALSE)</f>
        <v>ターン経過でユニットのスキルが使えます_x000D_強力スキルでバトルを有利に進めましょう</v>
      </c>
      <c r="M50" s="55" t="s">
        <v>210</v>
      </c>
    </row>
    <row r="51" spans="1:13" x14ac:dyDescent="0.15">
      <c r="A51" s="77" t="s">
        <v>200</v>
      </c>
      <c r="B51" s="78">
        <f>floors!$C$2</f>
        <v>30044</v>
      </c>
      <c r="C51" s="79" t="str">
        <f ca="1">VLOOKUP($B51,OFFSET([2]quests!$A$1,0,0,COUNTA([2]quests!$A:$A),MATCH(C$1,[2]quests!$1:$1,0)-MATCH($B$1,[2]quests!$1:$1,0)+1),MATCH(C$1,[2]quests!$1:$1,0)-MATCH($B$1,[2]quests!$1:$1,0)+1,FALSE)</f>
        <v>冷酷なる遂行者</v>
      </c>
      <c r="D51" s="79" t="str">
        <f ca="1">VLOOKUP($B51,OFFSET([2]quests!$A$1,0,0,COUNTA([2]quests!$A:$A),MATCH(D$1,[2]quests!$1:$1,0)-MATCH($B$1,[2]quests!$1:$1,0)+1),MATCH(D$1,[2]quests!$1:$1,0)-MATCH($B$1,[2]quests!$1:$1,0)+1,FALSE)</f>
        <v>ギリシャ神話第二弾超級</v>
      </c>
      <c r="E51" s="83">
        <v>2</v>
      </c>
      <c r="F51" s="79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【上級】冷酷なる遂行者</v>
      </c>
      <c r="G51" s="79" t="str">
        <f ca="1">VLOOKUP($B51&amp;"_"&amp;$E51,OFFSET([2]stages!$A$1,0,0,COUNTA([2]stages!$A:$A),MATCH(G$1,[2]stages!$2:$2,0)-MATCH("temp_stage",[2]stages!$2:$2,0)+1),MATCH(G$1,[2]stages!$2:$2,0)-MATCH("temp_stage",[2]stages!$2:$2,0)+1,FALSE)</f>
        <v>ギリシャ神話第二弾超級</v>
      </c>
      <c r="H51" s="81">
        <v>0</v>
      </c>
      <c r="I51" s="92">
        <v>22</v>
      </c>
      <c r="J51" s="80" t="s">
        <v>197</v>
      </c>
      <c r="K51" s="89" t="str">
        <f>VLOOKUP(I51,[6]stage_hints!$A:$C,3,FALSE)</f>
        <v>フィーバーで一発逆転（その1）</v>
      </c>
      <c r="L51" s="90" t="str">
        <f>VLOOKUP(I51,[6]stage_hints!$A:$D,4,FALSE)</f>
        <v>フィーバーは攻撃と回復を兼ね備えます_x000D_ピンチからの一発逆転を狙いましょう</v>
      </c>
      <c r="M51" s="55" t="s">
        <v>210</v>
      </c>
    </row>
    <row r="52" spans="1:13" x14ac:dyDescent="0.15">
      <c r="A52" s="77" t="s">
        <v>200</v>
      </c>
      <c r="B52" s="78">
        <f>floors!$C$2</f>
        <v>30044</v>
      </c>
      <c r="C52" s="79" t="str">
        <f ca="1">VLOOKUP($B52,OFFSET([2]quests!$A$1,0,0,COUNTA([2]quests!$A:$A),MATCH(C$1,[2]quests!$1:$1,0)-MATCH($B$1,[2]quests!$1:$1,0)+1),MATCH(C$1,[2]quests!$1:$1,0)-MATCH($B$1,[2]quests!$1:$1,0)+1,FALSE)</f>
        <v>冷酷なる遂行者</v>
      </c>
      <c r="D52" s="79" t="str">
        <f ca="1">VLOOKUP($B52,OFFSET([2]quests!$A$1,0,0,COUNTA([2]quests!$A:$A),MATCH(D$1,[2]quests!$1:$1,0)-MATCH($B$1,[2]quests!$1:$1,0)+1),MATCH(D$1,[2]quests!$1:$1,0)-MATCH($B$1,[2]quests!$1:$1,0)+1,FALSE)</f>
        <v>ギリシャ神話第二弾超級</v>
      </c>
      <c r="E52" s="83">
        <v>2</v>
      </c>
      <c r="F52" s="79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【上級】冷酷なる遂行者</v>
      </c>
      <c r="G52" s="79" t="str">
        <f ca="1">VLOOKUP($B52&amp;"_"&amp;$E52,OFFSET([2]stages!$A$1,0,0,COUNTA([2]stages!$A:$A),MATCH(G$1,[2]stages!$2:$2,0)-MATCH("temp_stage",[2]stages!$2:$2,0)+1),MATCH(G$1,[2]stages!$2:$2,0)-MATCH("temp_stage",[2]stages!$2:$2,0)+1,FALSE)</f>
        <v>ギリシャ神話第二弾超級</v>
      </c>
      <c r="H52" s="81">
        <v>0</v>
      </c>
      <c r="I52" s="92">
        <v>23</v>
      </c>
      <c r="J52" s="80" t="s">
        <v>197</v>
      </c>
      <c r="K52" s="89" t="str">
        <f>VLOOKUP(I52,[6]stage_hints!$A:$C,3,FALSE)</f>
        <v>フィーバーで一発逆転（その2）</v>
      </c>
      <c r="L52" s="90" t="str">
        <f>VLOOKUP(I52,[6]stage_hints!$A:$D,4,FALSE)</f>
        <v>フィーバー中は虹色のボムパネルを狙って_x000D_画面上のパネルを一気に破壊しましょう</v>
      </c>
      <c r="M52" s="55" t="s">
        <v>210</v>
      </c>
    </row>
    <row r="53" spans="1:13" x14ac:dyDescent="0.15">
      <c r="A53" s="77" t="s">
        <v>200</v>
      </c>
      <c r="B53" s="78">
        <f>floors!$C$2</f>
        <v>30044</v>
      </c>
      <c r="C53" s="79" t="str">
        <f ca="1">VLOOKUP($B53,OFFSET([2]quests!$A$1,0,0,COUNTA([2]quests!$A:$A),MATCH(C$1,[2]quests!$1:$1,0)-MATCH($B$1,[2]quests!$1:$1,0)+1),MATCH(C$1,[2]quests!$1:$1,0)-MATCH($B$1,[2]quests!$1:$1,0)+1,FALSE)</f>
        <v>冷酷なる遂行者</v>
      </c>
      <c r="D53" s="79" t="str">
        <f ca="1">VLOOKUP($B53,OFFSET([2]quests!$A$1,0,0,COUNTA([2]quests!$A:$A),MATCH(D$1,[2]quests!$1:$1,0)-MATCH($B$1,[2]quests!$1:$1,0)+1),MATCH(D$1,[2]quests!$1:$1,0)-MATCH($B$1,[2]quests!$1:$1,0)+1,FALSE)</f>
        <v>ギリシャ神話第二弾超級</v>
      </c>
      <c r="E53" s="83">
        <v>2</v>
      </c>
      <c r="F53" s="79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【上級】冷酷なる遂行者</v>
      </c>
      <c r="G53" s="79" t="str">
        <f ca="1">VLOOKUP($B53&amp;"_"&amp;$E53,OFFSET([2]stages!$A$1,0,0,COUNTA([2]stages!$A:$A),MATCH(G$1,[2]stages!$2:$2,0)-MATCH("temp_stage",[2]stages!$2:$2,0)+1),MATCH(G$1,[2]stages!$2:$2,0)-MATCH("temp_stage",[2]stages!$2:$2,0)+1,FALSE)</f>
        <v>ギリシャ神話第二弾超級</v>
      </c>
      <c r="H53" s="81">
        <v>0</v>
      </c>
      <c r="I53" s="92">
        <v>24</v>
      </c>
      <c r="J53" s="80" t="s">
        <v>197</v>
      </c>
      <c r="K53" s="89" t="str">
        <f>VLOOKUP(I53,[6]stage_hints!$A:$C,3,FALSE)</f>
        <v>りんごを使って限界突破</v>
      </c>
      <c r="L53" s="90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5" t="s">
        <v>210</v>
      </c>
    </row>
    <row r="54" spans="1:13" x14ac:dyDescent="0.15">
      <c r="A54" s="77" t="s">
        <v>200</v>
      </c>
      <c r="B54" s="78">
        <f>floors!$C$2</f>
        <v>30044</v>
      </c>
      <c r="C54" s="79" t="str">
        <f ca="1">VLOOKUP($B54,OFFSET([2]quests!$A$1,0,0,COUNTA([2]quests!$A:$A),MATCH(C$1,[2]quests!$1:$1,0)-MATCH($B$1,[2]quests!$1:$1,0)+1),MATCH(C$1,[2]quests!$1:$1,0)-MATCH($B$1,[2]quests!$1:$1,0)+1,FALSE)</f>
        <v>冷酷なる遂行者</v>
      </c>
      <c r="D54" s="79" t="str">
        <f ca="1">VLOOKUP($B54,OFFSET([2]quests!$A$1,0,0,COUNTA([2]quests!$A:$A),MATCH(D$1,[2]quests!$1:$1,0)-MATCH($B$1,[2]quests!$1:$1,0)+1),MATCH(D$1,[2]quests!$1:$1,0)-MATCH($B$1,[2]quests!$1:$1,0)+1,FALSE)</f>
        <v>ギリシャ神話第二弾超級</v>
      </c>
      <c r="E54" s="83">
        <v>2</v>
      </c>
      <c r="F54" s="79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【上級】冷酷なる遂行者</v>
      </c>
      <c r="G54" s="79" t="str">
        <f ca="1">VLOOKUP($B54&amp;"_"&amp;$E54,OFFSET([2]stages!$A$1,0,0,COUNTA([2]stages!$A:$A),MATCH(G$1,[2]stages!$2:$2,0)-MATCH("temp_stage",[2]stages!$2:$2,0)+1),MATCH(G$1,[2]stages!$2:$2,0)-MATCH("temp_stage",[2]stages!$2:$2,0)+1,FALSE)</f>
        <v>ギリシャ神話第二弾超級</v>
      </c>
      <c r="H54" s="81">
        <v>0</v>
      </c>
      <c r="I54" s="92">
        <v>25</v>
      </c>
      <c r="J54" s="80" t="s">
        <v>197</v>
      </c>
      <c r="K54" s="89" t="str">
        <f>VLOOKUP(I54,[6]stage_hints!$A:$C,3,FALSE)</f>
        <v>スキルレベルアップ</v>
      </c>
      <c r="L54" s="90" t="str">
        <f>VLOOKUP(I54,[6]stage_hints!$A:$D,4,FALSE)</f>
        <v>「クリスタルのりんご」を強化に使うと_x000D_スキルレベルを上げることができます</v>
      </c>
      <c r="M54" s="55" t="s">
        <v>210</v>
      </c>
    </row>
    <row r="55" spans="1:13" x14ac:dyDescent="0.15">
      <c r="A55" s="77" t="s">
        <v>200</v>
      </c>
      <c r="B55" s="78">
        <f>floors!$C$2</f>
        <v>30044</v>
      </c>
      <c r="C55" s="79" t="str">
        <f ca="1">VLOOKUP($B55,OFFSET([2]quests!$A$1,0,0,COUNTA([2]quests!$A:$A),MATCH(C$1,[2]quests!$1:$1,0)-MATCH($B$1,[2]quests!$1:$1,0)+1),MATCH(C$1,[2]quests!$1:$1,0)-MATCH($B$1,[2]quests!$1:$1,0)+1,FALSE)</f>
        <v>冷酷なる遂行者</v>
      </c>
      <c r="D55" s="79" t="str">
        <f ca="1">VLOOKUP($B55,OFFSET([2]quests!$A$1,0,0,COUNTA([2]quests!$A:$A),MATCH(D$1,[2]quests!$1:$1,0)-MATCH($B$1,[2]quests!$1:$1,0)+1),MATCH(D$1,[2]quests!$1:$1,0)-MATCH($B$1,[2]quests!$1:$1,0)+1,FALSE)</f>
        <v>ギリシャ神話第二弾超級</v>
      </c>
      <c r="E55" s="83">
        <v>2</v>
      </c>
      <c r="F55" s="79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【上級】冷酷なる遂行者</v>
      </c>
      <c r="G55" s="79" t="str">
        <f ca="1">VLOOKUP($B55&amp;"_"&amp;$E55,OFFSET([2]stages!$A$1,0,0,COUNTA([2]stages!$A:$A),MATCH(G$1,[2]stages!$2:$2,0)-MATCH("temp_stage",[2]stages!$2:$2,0)+1),MATCH(G$1,[2]stages!$2:$2,0)-MATCH("temp_stage",[2]stages!$2:$2,0)+1,FALSE)</f>
        <v>ギリシャ神話第二弾超級</v>
      </c>
      <c r="H55" s="81">
        <v>0</v>
      </c>
      <c r="I55" s="92">
        <v>26</v>
      </c>
      <c r="J55" s="80" t="s">
        <v>197</v>
      </c>
      <c r="K55" s="89" t="str">
        <f>VLOOKUP(I55,[6]stage_hints!$A:$C,3,FALSE)</f>
        <v>スキルレベルの効果</v>
      </c>
      <c r="L55" s="90" t="str">
        <f>VLOOKUP(I55,[6]stage_hints!$A:$D,4,FALSE)</f>
        <v>スキルレベルが上がると_x000D_短いターンでスキルを使うことができます</v>
      </c>
      <c r="M55" s="55" t="s">
        <v>210</v>
      </c>
    </row>
    <row r="56" spans="1:13" x14ac:dyDescent="0.15">
      <c r="A56" s="77" t="s">
        <v>200</v>
      </c>
      <c r="B56" s="78">
        <f>floors!$C$2</f>
        <v>30044</v>
      </c>
      <c r="C56" s="79" t="str">
        <f ca="1">VLOOKUP($B56,OFFSET([2]quests!$A$1,0,0,COUNTA([2]quests!$A:$A),MATCH(C$1,[2]quests!$1:$1,0)-MATCH($B$1,[2]quests!$1:$1,0)+1),MATCH(C$1,[2]quests!$1:$1,0)-MATCH($B$1,[2]quests!$1:$1,0)+1,FALSE)</f>
        <v>冷酷なる遂行者</v>
      </c>
      <c r="D56" s="79" t="str">
        <f ca="1">VLOOKUP($B56,OFFSET([2]quests!$A$1,0,0,COUNTA([2]quests!$A:$A),MATCH(D$1,[2]quests!$1:$1,0)-MATCH($B$1,[2]quests!$1:$1,0)+1),MATCH(D$1,[2]quests!$1:$1,0)-MATCH($B$1,[2]quests!$1:$1,0)+1,FALSE)</f>
        <v>ギリシャ神話第二弾超級</v>
      </c>
      <c r="E56" s="83">
        <v>2</v>
      </c>
      <c r="F56" s="79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【上級】冷酷なる遂行者</v>
      </c>
      <c r="G56" s="79" t="str">
        <f ca="1">VLOOKUP($B56&amp;"_"&amp;$E56,OFFSET([2]stages!$A$1,0,0,COUNTA([2]stages!$A:$A),MATCH(G$1,[2]stages!$2:$2,0)-MATCH("temp_stage",[2]stages!$2:$2,0)+1),MATCH(G$1,[2]stages!$2:$2,0)-MATCH("temp_stage",[2]stages!$2:$2,0)+1,FALSE)</f>
        <v>ギリシャ神話第二弾超級</v>
      </c>
      <c r="H56" s="81">
        <v>0</v>
      </c>
      <c r="I56" s="92">
        <v>27</v>
      </c>
      <c r="J56" s="80" t="s">
        <v>197</v>
      </c>
      <c r="K56" s="89" t="str">
        <f>VLOOKUP(I56,[6]stage_hints!$A:$C,3,FALSE)</f>
        <v>ホーム画面からデッキを編成</v>
      </c>
      <c r="L56" s="90" t="str">
        <f>VLOOKUP(I56,[6]stage_hints!$A:$D,4,FALSE)</f>
        <v>ホーム画面でユニットを長押しすると_x000D_すぐにパーティ編成に移動できます</v>
      </c>
      <c r="M56" s="55" t="s">
        <v>210</v>
      </c>
    </row>
    <row r="57" spans="1:13" x14ac:dyDescent="0.15">
      <c r="A57" s="77" t="s">
        <v>200</v>
      </c>
      <c r="B57" s="78">
        <f>floors!$C$2</f>
        <v>30044</v>
      </c>
      <c r="C57" s="79" t="str">
        <f ca="1">VLOOKUP($B57,OFFSET([2]quests!$A$1,0,0,COUNTA([2]quests!$A:$A),MATCH(C$1,[2]quests!$1:$1,0)-MATCH($B$1,[2]quests!$1:$1,0)+1),MATCH(C$1,[2]quests!$1:$1,0)-MATCH($B$1,[2]quests!$1:$1,0)+1,FALSE)</f>
        <v>冷酷なる遂行者</v>
      </c>
      <c r="D57" s="79" t="str">
        <f ca="1">VLOOKUP($B57,OFFSET([2]quests!$A$1,0,0,COUNTA([2]quests!$A:$A),MATCH(D$1,[2]quests!$1:$1,0)-MATCH($B$1,[2]quests!$1:$1,0)+1),MATCH(D$1,[2]quests!$1:$1,0)-MATCH($B$1,[2]quests!$1:$1,0)+1,FALSE)</f>
        <v>ギリシャ神話第二弾超級</v>
      </c>
      <c r="E57" s="83">
        <v>2</v>
      </c>
      <c r="F57" s="79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【上級】冷酷なる遂行者</v>
      </c>
      <c r="G57" s="79" t="str">
        <f ca="1">VLOOKUP($B57&amp;"_"&amp;$E57,OFFSET([2]stages!$A$1,0,0,COUNTA([2]stages!$A:$A),MATCH(G$1,[2]stages!$2:$2,0)-MATCH("temp_stage",[2]stages!$2:$2,0)+1),MATCH(G$1,[2]stages!$2:$2,0)-MATCH("temp_stage",[2]stages!$2:$2,0)+1,FALSE)</f>
        <v>ギリシャ神話第二弾超級</v>
      </c>
      <c r="H57" s="81">
        <v>0</v>
      </c>
      <c r="I57" s="92">
        <v>28</v>
      </c>
      <c r="J57" s="80" t="s">
        <v>197</v>
      </c>
      <c r="K57" s="89" t="str">
        <f>VLOOKUP(I57,[6]stage_hints!$A:$C,3,FALSE)</f>
        <v>ステータス情報は長押しで</v>
      </c>
      <c r="L57" s="90" t="str">
        <f>VLOOKUP(I57,[6]stage_hints!$A:$D,4,FALSE)</f>
        <v>ユニットのアイコンを長押しすると_x000D_ステータス情報を確認することができます</v>
      </c>
      <c r="M57" s="55" t="s">
        <v>210</v>
      </c>
    </row>
    <row r="58" spans="1:13" x14ac:dyDescent="0.15">
      <c r="A58" s="77" t="s">
        <v>200</v>
      </c>
      <c r="B58" s="78">
        <f>floors!$C$2</f>
        <v>30044</v>
      </c>
      <c r="C58" s="79" t="str">
        <f ca="1">VLOOKUP($B58,OFFSET([2]quests!$A$1,0,0,COUNTA([2]quests!$A:$A),MATCH(C$1,[2]quests!$1:$1,0)-MATCH($B$1,[2]quests!$1:$1,0)+1),MATCH(C$1,[2]quests!$1:$1,0)-MATCH($B$1,[2]quests!$1:$1,0)+1,FALSE)</f>
        <v>冷酷なる遂行者</v>
      </c>
      <c r="D58" s="79" t="str">
        <f ca="1">VLOOKUP($B58,OFFSET([2]quests!$A$1,0,0,COUNTA([2]quests!$A:$A),MATCH(D$1,[2]quests!$1:$1,0)-MATCH($B$1,[2]quests!$1:$1,0)+1),MATCH(D$1,[2]quests!$1:$1,0)-MATCH($B$1,[2]quests!$1:$1,0)+1,FALSE)</f>
        <v>ギリシャ神話第二弾超級</v>
      </c>
      <c r="E58" s="83">
        <v>2</v>
      </c>
      <c r="F58" s="79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【上級】冷酷なる遂行者</v>
      </c>
      <c r="G58" s="79" t="str">
        <f ca="1">VLOOKUP($B58&amp;"_"&amp;$E58,OFFSET([2]stages!$A$1,0,0,COUNTA([2]stages!$A:$A),MATCH(G$1,[2]stages!$2:$2,0)-MATCH("temp_stage",[2]stages!$2:$2,0)+1),MATCH(G$1,[2]stages!$2:$2,0)-MATCH("temp_stage",[2]stages!$2:$2,0)+1,FALSE)</f>
        <v>ギリシャ神話第二弾超級</v>
      </c>
      <c r="H58" s="81">
        <v>0</v>
      </c>
      <c r="I58" s="92">
        <v>29</v>
      </c>
      <c r="J58" s="80" t="s">
        <v>197</v>
      </c>
      <c r="K58" s="89" t="str">
        <f>VLOOKUP(I58,[6]stage_hints!$A:$C,3,FALSE)</f>
        <v>「バグ」のメリット</v>
      </c>
      <c r="L58" s="90" t="str">
        <f>VLOOKUP(I58,[6]stage_hints!$A:$D,4,FALSE)</f>
        <v>ユニットの「バグ」を増やすと_x000D_報酬をもらえる確率がアップします</v>
      </c>
      <c r="M58" s="55" t="s">
        <v>210</v>
      </c>
    </row>
    <row r="59" spans="1:13" x14ac:dyDescent="0.15">
      <c r="A59" s="77" t="s">
        <v>200</v>
      </c>
      <c r="B59" s="78">
        <f>floors!$C$2</f>
        <v>30044</v>
      </c>
      <c r="C59" s="79" t="str">
        <f ca="1">VLOOKUP($B59,OFFSET([2]quests!$A$1,0,0,COUNTA([2]quests!$A:$A),MATCH(C$1,[2]quests!$1:$1,0)-MATCH($B$1,[2]quests!$1:$1,0)+1),MATCH(C$1,[2]quests!$1:$1,0)-MATCH($B$1,[2]quests!$1:$1,0)+1,FALSE)</f>
        <v>冷酷なる遂行者</v>
      </c>
      <c r="D59" s="79" t="str">
        <f ca="1">VLOOKUP($B59,OFFSET([2]quests!$A$1,0,0,COUNTA([2]quests!$A:$A),MATCH(D$1,[2]quests!$1:$1,0)-MATCH($B$1,[2]quests!$1:$1,0)+1),MATCH(D$1,[2]quests!$1:$1,0)-MATCH($B$1,[2]quests!$1:$1,0)+1,FALSE)</f>
        <v>ギリシャ神話第二弾超級</v>
      </c>
      <c r="E59" s="83">
        <v>2</v>
      </c>
      <c r="F59" s="79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【上級】冷酷なる遂行者</v>
      </c>
      <c r="G59" s="79" t="str">
        <f ca="1">VLOOKUP($B59&amp;"_"&amp;$E59,OFFSET([2]stages!$A$1,0,0,COUNTA([2]stages!$A:$A),MATCH(G$1,[2]stages!$2:$2,0)-MATCH("temp_stage",[2]stages!$2:$2,0)+1),MATCH(G$1,[2]stages!$2:$2,0)-MATCH("temp_stage",[2]stages!$2:$2,0)+1,FALSE)</f>
        <v>ギリシャ神話第二弾超級</v>
      </c>
      <c r="H59" s="81">
        <v>0</v>
      </c>
      <c r="I59" s="92">
        <v>30</v>
      </c>
      <c r="J59" s="80" t="s">
        <v>197</v>
      </c>
      <c r="K59" s="89" t="str">
        <f>VLOOKUP(I59,[6]stage_hints!$A:$C,3,FALSE)</f>
        <v>「バグ」の増やし方</v>
      </c>
      <c r="L59" s="90" t="str">
        <f>VLOOKUP(I59,[6]stage_hints!$A:$D,4,FALSE)</f>
        <v>同じユニット同士を強化で合成すると_x000D_「バグ」を増やすことができます</v>
      </c>
      <c r="M59" s="55" t="s">
        <v>210</v>
      </c>
    </row>
    <row r="60" spans="1:13" x14ac:dyDescent="0.15">
      <c r="A60" s="77" t="s">
        <v>200</v>
      </c>
      <c r="B60" s="78">
        <f>floors!$C$2</f>
        <v>30044</v>
      </c>
      <c r="C60" s="79" t="str">
        <f ca="1">VLOOKUP($B60,OFFSET([2]quests!$A$1,0,0,COUNTA([2]quests!$A:$A),MATCH(C$1,[2]quests!$1:$1,0)-MATCH($B$1,[2]quests!$1:$1,0)+1),MATCH(C$1,[2]quests!$1:$1,0)-MATCH($B$1,[2]quests!$1:$1,0)+1,FALSE)</f>
        <v>冷酷なる遂行者</v>
      </c>
      <c r="D60" s="79" t="str">
        <f ca="1">VLOOKUP($B60,OFFSET([2]quests!$A$1,0,0,COUNTA([2]quests!$A:$A),MATCH(D$1,[2]quests!$1:$1,0)-MATCH($B$1,[2]quests!$1:$1,0)+1),MATCH(D$1,[2]quests!$1:$1,0)-MATCH($B$1,[2]quests!$1:$1,0)+1,FALSE)</f>
        <v>ギリシャ神話第二弾超級</v>
      </c>
      <c r="E60" s="83">
        <v>2</v>
      </c>
      <c r="F60" s="79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【上級】冷酷なる遂行者</v>
      </c>
      <c r="G60" s="79" t="str">
        <f ca="1">VLOOKUP($B60&amp;"_"&amp;$E60,OFFSET([2]stages!$A$1,0,0,COUNTA([2]stages!$A:$A),MATCH(G$1,[2]stages!$2:$2,0)-MATCH("temp_stage",[2]stages!$2:$2,0)+1),MATCH(G$1,[2]stages!$2:$2,0)-MATCH("temp_stage",[2]stages!$2:$2,0)+1,FALSE)</f>
        <v>ギリシャ神話第二弾超級</v>
      </c>
      <c r="H60" s="81">
        <v>0</v>
      </c>
      <c r="I60" s="92">
        <v>31</v>
      </c>
      <c r="J60" s="80" t="s">
        <v>197</v>
      </c>
      <c r="K60" s="89" t="str">
        <f>VLOOKUP(I60,[6]stage_hints!$A:$C,3,FALSE)</f>
        <v>イベントはお知らせでチェック</v>
      </c>
      <c r="L60" s="90" t="str">
        <f>VLOOKUP(I60,[6]stage_hints!$A:$D,4,FALSE)</f>
        <v>イベント限定ユニットを取り忘れないように_x000D_お知らせをこまめにチェックしましょう</v>
      </c>
      <c r="M60" s="55" t="s">
        <v>210</v>
      </c>
    </row>
    <row r="61" spans="1:13" x14ac:dyDescent="0.15">
      <c r="A61" s="77" t="s">
        <v>200</v>
      </c>
      <c r="B61" s="78">
        <f>floors!$C$2</f>
        <v>30044</v>
      </c>
      <c r="C61" s="79" t="str">
        <f ca="1">VLOOKUP($B61,OFFSET([2]quests!$A$1,0,0,COUNTA([2]quests!$A:$A),MATCH(C$1,[2]quests!$1:$1,0)-MATCH($B$1,[2]quests!$1:$1,0)+1),MATCH(C$1,[2]quests!$1:$1,0)-MATCH($B$1,[2]quests!$1:$1,0)+1,FALSE)</f>
        <v>冷酷なる遂行者</v>
      </c>
      <c r="D61" s="79" t="str">
        <f ca="1">VLOOKUP($B61,OFFSET([2]quests!$A$1,0,0,COUNTA([2]quests!$A:$A),MATCH(D$1,[2]quests!$1:$1,0)-MATCH($B$1,[2]quests!$1:$1,0)+1),MATCH(D$1,[2]quests!$1:$1,0)-MATCH($B$1,[2]quests!$1:$1,0)+1,FALSE)</f>
        <v>ギリシャ神話第二弾超級</v>
      </c>
      <c r="E61" s="83">
        <v>2</v>
      </c>
      <c r="F61" s="79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【上級】冷酷なる遂行者</v>
      </c>
      <c r="G61" s="79" t="str">
        <f ca="1">VLOOKUP($B61&amp;"_"&amp;$E61,OFFSET([2]stages!$A$1,0,0,COUNTA([2]stages!$A:$A),MATCH(G$1,[2]stages!$2:$2,0)-MATCH("temp_stage",[2]stages!$2:$2,0)+1),MATCH(G$1,[2]stages!$2:$2,0)-MATCH("temp_stage",[2]stages!$2:$2,0)+1,FALSE)</f>
        <v>ギリシャ神話第二弾超級</v>
      </c>
      <c r="H61" s="81">
        <v>0</v>
      </c>
      <c r="I61" s="92">
        <v>32</v>
      </c>
      <c r="J61" s="80" t="s">
        <v>197</v>
      </c>
      <c r="K61" s="89" t="str">
        <f>VLOOKUP(I61,[6]stage_hints!$A:$C,3,FALSE)</f>
        <v>敵の連続攻撃には</v>
      </c>
      <c r="L61" s="90" t="str">
        <f>VLOOKUP(I61,[6]stage_hints!$A:$D,4,FALSE)</f>
        <v>カウンタースキルを持つユニットがいれば_x000D_ダメージ回数分の反撃ができます</v>
      </c>
      <c r="M61" s="55" t="s">
        <v>210</v>
      </c>
    </row>
    <row r="62" spans="1:13" x14ac:dyDescent="0.15">
      <c r="A62" s="77" t="s">
        <v>200</v>
      </c>
      <c r="B62" s="78">
        <f>floors!$C$2</f>
        <v>30044</v>
      </c>
      <c r="C62" s="79" t="str">
        <f ca="1">VLOOKUP($B62,OFFSET([2]quests!$A$1,0,0,COUNTA([2]quests!$A:$A),MATCH(C$1,[2]quests!$1:$1,0)-MATCH($B$1,[2]quests!$1:$1,0)+1),MATCH(C$1,[2]quests!$1:$1,0)-MATCH($B$1,[2]quests!$1:$1,0)+1,FALSE)</f>
        <v>冷酷なる遂行者</v>
      </c>
      <c r="D62" s="79" t="str">
        <f ca="1">VLOOKUP($B62,OFFSET([2]quests!$A$1,0,0,COUNTA([2]quests!$A:$A),MATCH(D$1,[2]quests!$1:$1,0)-MATCH($B$1,[2]quests!$1:$1,0)+1),MATCH(D$1,[2]quests!$1:$1,0)-MATCH($B$1,[2]quests!$1:$1,0)+1,FALSE)</f>
        <v>ギリシャ神話第二弾超級</v>
      </c>
      <c r="E62" s="83">
        <v>2</v>
      </c>
      <c r="F62" s="79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【上級】冷酷なる遂行者</v>
      </c>
      <c r="G62" s="79" t="str">
        <f ca="1">VLOOKUP($B62&amp;"_"&amp;$E62,OFFSET([2]stages!$A$1,0,0,COUNTA([2]stages!$A:$A),MATCH(G$1,[2]stages!$2:$2,0)-MATCH("temp_stage",[2]stages!$2:$2,0)+1),MATCH(G$1,[2]stages!$2:$2,0)-MATCH("temp_stage",[2]stages!$2:$2,0)+1,FALSE)</f>
        <v>ギリシャ神話第二弾超級</v>
      </c>
      <c r="H62" s="81">
        <v>0</v>
      </c>
      <c r="I62" s="92">
        <v>33</v>
      </c>
      <c r="J62" s="80" t="s">
        <v>197</v>
      </c>
      <c r="K62" s="89" t="str">
        <f>VLOOKUP(I62,[6]stage_hints!$A:$C,3,FALSE)</f>
        <v>敵のカウンター攻撃には</v>
      </c>
      <c r="L62" s="90" t="str">
        <f>VLOOKUP(I62,[6]stage_hints!$A:$D,4,FALSE)</f>
        <v>カウンターブレイクスキルを持っていれば_x000D_敵のカウンターを解除して攻撃ができます</v>
      </c>
      <c r="M62" s="55" t="s">
        <v>210</v>
      </c>
    </row>
    <row r="63" spans="1:13" x14ac:dyDescent="0.15">
      <c r="A63" s="77" t="s">
        <v>200</v>
      </c>
      <c r="B63" s="78">
        <f>floors!$C$2</f>
        <v>30044</v>
      </c>
      <c r="C63" s="79" t="str">
        <f ca="1">VLOOKUP($B63,OFFSET([2]quests!$A$1,0,0,COUNTA([2]quests!$A:$A),MATCH(C$1,[2]quests!$1:$1,0)-MATCH($B$1,[2]quests!$1:$1,0)+1),MATCH(C$1,[2]quests!$1:$1,0)-MATCH($B$1,[2]quests!$1:$1,0)+1,FALSE)</f>
        <v>冷酷なる遂行者</v>
      </c>
      <c r="D63" s="79" t="str">
        <f ca="1">VLOOKUP($B63,OFFSET([2]quests!$A$1,0,0,COUNTA([2]quests!$A:$A),MATCH(D$1,[2]quests!$1:$1,0)-MATCH($B$1,[2]quests!$1:$1,0)+1),MATCH(D$1,[2]quests!$1:$1,0)-MATCH($B$1,[2]quests!$1:$1,0)+1,FALSE)</f>
        <v>ギリシャ神話第二弾超級</v>
      </c>
      <c r="E63" s="83">
        <v>2</v>
      </c>
      <c r="F63" s="79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【上級】冷酷なる遂行者</v>
      </c>
      <c r="G63" s="79" t="str">
        <f ca="1">VLOOKUP($B63&amp;"_"&amp;$E63,OFFSET([2]stages!$A$1,0,0,COUNTA([2]stages!$A:$A),MATCH(G$1,[2]stages!$2:$2,0)-MATCH("temp_stage",[2]stages!$2:$2,0)+1),MATCH(G$1,[2]stages!$2:$2,0)-MATCH("temp_stage",[2]stages!$2:$2,0)+1,FALSE)</f>
        <v>ギリシャ神話第二弾超級</v>
      </c>
      <c r="H63" s="81">
        <v>0</v>
      </c>
      <c r="I63" s="92">
        <v>34</v>
      </c>
      <c r="J63" s="80" t="s">
        <v>197</v>
      </c>
      <c r="K63" s="89" t="str">
        <f>VLOOKUP(I63,[6]stage_hints!$A:$C,3,FALSE)</f>
        <v>ステータスをスキルで下げられたら</v>
      </c>
      <c r="L63" s="90" t="str">
        <f>VLOOKUP(I63,[6]stage_hints!$A:$D,4,FALSE)</f>
        <v>ステータスダウンのスキルを受けたら_x000D_ステータスアップスキルで上書きしましょう</v>
      </c>
      <c r="M63" s="55" t="s">
        <v>210</v>
      </c>
    </row>
    <row r="64" spans="1:13" x14ac:dyDescent="0.15">
      <c r="A64" s="77" t="s">
        <v>200</v>
      </c>
      <c r="B64" s="78">
        <f>floors!$C$2</f>
        <v>30044</v>
      </c>
      <c r="C64" s="79" t="str">
        <f ca="1">VLOOKUP($B64,OFFSET([2]quests!$A$1,0,0,COUNTA([2]quests!$A:$A),MATCH(C$1,[2]quests!$1:$1,0)-MATCH($B$1,[2]quests!$1:$1,0)+1),MATCH(C$1,[2]quests!$1:$1,0)-MATCH($B$1,[2]quests!$1:$1,0)+1,FALSE)</f>
        <v>冷酷なる遂行者</v>
      </c>
      <c r="D64" s="79" t="str">
        <f ca="1">VLOOKUP($B64,OFFSET([2]quests!$A$1,0,0,COUNTA([2]quests!$A:$A),MATCH(D$1,[2]quests!$1:$1,0)-MATCH($B$1,[2]quests!$1:$1,0)+1),MATCH(D$1,[2]quests!$1:$1,0)-MATCH($B$1,[2]quests!$1:$1,0)+1,FALSE)</f>
        <v>ギリシャ神話第二弾超級</v>
      </c>
      <c r="E64" s="83">
        <v>2</v>
      </c>
      <c r="F64" s="79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【上級】冷酷なる遂行者</v>
      </c>
      <c r="G64" s="79" t="str">
        <f ca="1">VLOOKUP($B64&amp;"_"&amp;$E64,OFFSET([2]stages!$A$1,0,0,COUNTA([2]stages!$A:$A),MATCH(G$1,[2]stages!$2:$2,0)-MATCH("temp_stage",[2]stages!$2:$2,0)+1),MATCH(G$1,[2]stages!$2:$2,0)-MATCH("temp_stage",[2]stages!$2:$2,0)+1,FALSE)</f>
        <v>ギリシャ神話第二弾超級</v>
      </c>
      <c r="H64" s="81">
        <v>0</v>
      </c>
      <c r="I64" s="92">
        <v>35</v>
      </c>
      <c r="J64" s="80" t="s">
        <v>197</v>
      </c>
      <c r="K64" s="89" t="str">
        <f>VLOOKUP(I64,[6]stage_hints!$A:$C,3,FALSE)</f>
        <v>敵のステータスがスキルで上がったら</v>
      </c>
      <c r="L64" s="90" t="str">
        <f>VLOOKUP(I64,[6]stage_hints!$A:$D,4,FALSE)</f>
        <v>敵のステータスがスキルでアップしたときは_x000D_ステータスダウンスキルで上書きしましょう</v>
      </c>
      <c r="M64" s="55" t="s">
        <v>210</v>
      </c>
    </row>
    <row r="65" spans="1:13" x14ac:dyDescent="0.15">
      <c r="A65" s="77" t="s">
        <v>200</v>
      </c>
      <c r="B65" s="78">
        <f>floors!$C$2</f>
        <v>30044</v>
      </c>
      <c r="C65" s="79" t="str">
        <f ca="1">VLOOKUP($B65,OFFSET([2]quests!$A$1,0,0,COUNTA([2]quests!$A:$A),MATCH(C$1,[2]quests!$1:$1,0)-MATCH($B$1,[2]quests!$1:$1,0)+1),MATCH(C$1,[2]quests!$1:$1,0)-MATCH($B$1,[2]quests!$1:$1,0)+1,FALSE)</f>
        <v>冷酷なる遂行者</v>
      </c>
      <c r="D65" s="79" t="str">
        <f ca="1">VLOOKUP($B65,OFFSET([2]quests!$A$1,0,0,COUNTA([2]quests!$A:$A),MATCH(D$1,[2]quests!$1:$1,0)-MATCH($B$1,[2]quests!$1:$1,0)+1),MATCH(D$1,[2]quests!$1:$1,0)-MATCH($B$1,[2]quests!$1:$1,0)+1,FALSE)</f>
        <v>ギリシャ神話第二弾超級</v>
      </c>
      <c r="E65" s="83">
        <v>2</v>
      </c>
      <c r="F65" s="79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【上級】冷酷なる遂行者</v>
      </c>
      <c r="G65" s="79" t="str">
        <f ca="1">VLOOKUP($B65&amp;"_"&amp;$E65,OFFSET([2]stages!$A$1,0,0,COUNTA([2]stages!$A:$A),MATCH(G$1,[2]stages!$2:$2,0)-MATCH("temp_stage",[2]stages!$2:$2,0)+1),MATCH(G$1,[2]stages!$2:$2,0)-MATCH("temp_stage",[2]stages!$2:$2,0)+1,FALSE)</f>
        <v>ギリシャ神話第二弾超級</v>
      </c>
      <c r="H65" s="81">
        <v>0</v>
      </c>
      <c r="I65" s="92">
        <v>36</v>
      </c>
      <c r="J65" s="80" t="s">
        <v>197</v>
      </c>
      <c r="K65" s="89" t="str">
        <f>VLOOKUP(I65,[6]stage_hints!$A:$C,3,FALSE)</f>
        <v>タワーオブザクイーンのボス</v>
      </c>
      <c r="L65" s="90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5" t="s">
        <v>210</v>
      </c>
    </row>
    <row r="66" spans="1:13" x14ac:dyDescent="0.15">
      <c r="A66" s="77" t="s">
        <v>200</v>
      </c>
      <c r="B66" s="78">
        <f>floors!$C$2</f>
        <v>30044</v>
      </c>
      <c r="C66" s="79" t="str">
        <f ca="1">VLOOKUP($B66,OFFSET([2]quests!$A$1,0,0,COUNTA([2]quests!$A:$A),MATCH(C$1,[2]quests!$1:$1,0)-MATCH($B$1,[2]quests!$1:$1,0)+1),MATCH(C$1,[2]quests!$1:$1,0)-MATCH($B$1,[2]quests!$1:$1,0)+1,FALSE)</f>
        <v>冷酷なる遂行者</v>
      </c>
      <c r="D66" s="79" t="str">
        <f ca="1">VLOOKUP($B66,OFFSET([2]quests!$A$1,0,0,COUNTA([2]quests!$A:$A),MATCH(D$1,[2]quests!$1:$1,0)-MATCH($B$1,[2]quests!$1:$1,0)+1),MATCH(D$1,[2]quests!$1:$1,0)-MATCH($B$1,[2]quests!$1:$1,0)+1,FALSE)</f>
        <v>ギリシャ神話第二弾超級</v>
      </c>
      <c r="E66" s="83">
        <v>2</v>
      </c>
      <c r="F66" s="79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【上級】冷酷なる遂行者</v>
      </c>
      <c r="G66" s="79" t="str">
        <f ca="1">VLOOKUP($B66&amp;"_"&amp;$E66,OFFSET([2]stages!$A$1,0,0,COUNTA([2]stages!$A:$A),MATCH(G$1,[2]stages!$2:$2,0)-MATCH("temp_stage",[2]stages!$2:$2,0)+1),MATCH(G$1,[2]stages!$2:$2,0)-MATCH("temp_stage",[2]stages!$2:$2,0)+1,FALSE)</f>
        <v>ギリシャ神話第二弾超級</v>
      </c>
      <c r="H66" s="81">
        <v>0</v>
      </c>
      <c r="I66" s="92">
        <v>37</v>
      </c>
      <c r="J66" s="80" t="s">
        <v>197</v>
      </c>
      <c r="K66" s="89" t="str">
        <f>VLOOKUP(I66,[6]stage_hints!$A:$C,3,FALSE)</f>
        <v>限界突破値の引き継ぎ</v>
      </c>
      <c r="L66" s="90" t="str">
        <f>VLOOKUP(I66,[6]stage_hints!$A:$D,4,FALSE)</f>
        <v>同じユニットを強化で合成すると_x000D_限界突破値を引き継げます（覚醒前後も可）</v>
      </c>
      <c r="M66" s="55" t="s">
        <v>210</v>
      </c>
    </row>
    <row r="67" spans="1:13" x14ac:dyDescent="0.15">
      <c r="A67" s="77" t="s">
        <v>200</v>
      </c>
      <c r="B67" s="78">
        <f>floors!$C$2</f>
        <v>30044</v>
      </c>
      <c r="C67" s="79" t="str">
        <f ca="1">VLOOKUP($B67,OFFSET([2]quests!$A$1,0,0,COUNTA([2]quests!$A:$A),MATCH(C$1,[2]quests!$1:$1,0)-MATCH($B$1,[2]quests!$1:$1,0)+1),MATCH(C$1,[2]quests!$1:$1,0)-MATCH($B$1,[2]quests!$1:$1,0)+1,FALSE)</f>
        <v>冷酷なる遂行者</v>
      </c>
      <c r="D67" s="79" t="str">
        <f ca="1">VLOOKUP($B67,OFFSET([2]quests!$A$1,0,0,COUNTA([2]quests!$A:$A),MATCH(D$1,[2]quests!$1:$1,0)-MATCH($B$1,[2]quests!$1:$1,0)+1),MATCH(D$1,[2]quests!$1:$1,0)-MATCH($B$1,[2]quests!$1:$1,0)+1,FALSE)</f>
        <v>ギリシャ神話第二弾超級</v>
      </c>
      <c r="E67" s="83">
        <v>2</v>
      </c>
      <c r="F67" s="79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【上級】冷酷なる遂行者</v>
      </c>
      <c r="G67" s="79" t="str">
        <f ca="1">VLOOKUP($B67&amp;"_"&amp;$E67,OFFSET([2]stages!$A$1,0,0,COUNTA([2]stages!$A:$A),MATCH(G$1,[2]stages!$2:$2,0)-MATCH("temp_stage",[2]stages!$2:$2,0)+1),MATCH(G$1,[2]stages!$2:$2,0)-MATCH("temp_stage",[2]stages!$2:$2,0)+1,FALSE)</f>
        <v>ギリシャ神話第二弾超級</v>
      </c>
      <c r="H67" s="81">
        <v>0</v>
      </c>
      <c r="I67" s="92">
        <v>39</v>
      </c>
      <c r="J67" s="80" t="s">
        <v>197</v>
      </c>
      <c r="K67" s="89" t="str">
        <f>VLOOKUP(I67,[6]stage_hints!$A:$C,3,FALSE)</f>
        <v>システム適合者を確認</v>
      </c>
      <c r="L67" s="90" t="str">
        <f>VLOOKUP(I67,[6]stage_hints!$A:$D,4,FALSE)</f>
        <v>ALICEが 「アナタ」を呼んでいます</v>
      </c>
      <c r="M67" s="55" t="s">
        <v>210</v>
      </c>
    </row>
    <row r="68" spans="1:13" x14ac:dyDescent="0.15">
      <c r="A68" s="77" t="s">
        <v>200</v>
      </c>
      <c r="B68" s="78">
        <f>floors!$C$2</f>
        <v>30044</v>
      </c>
      <c r="C68" s="79" t="str">
        <f ca="1">VLOOKUP($B68,OFFSET([2]quests!$A$1,0,0,COUNTA([2]quests!$A:$A),MATCH(C$1,[2]quests!$1:$1,0)-MATCH($B$1,[2]quests!$1:$1,0)+1),MATCH(C$1,[2]quests!$1:$1,0)-MATCH($B$1,[2]quests!$1:$1,0)+1,FALSE)</f>
        <v>冷酷なる遂行者</v>
      </c>
      <c r="D68" s="79" t="str">
        <f ca="1">VLOOKUP($B68,OFFSET([2]quests!$A$1,0,0,COUNTA([2]quests!$A:$A),MATCH(D$1,[2]quests!$1:$1,0)-MATCH($B$1,[2]quests!$1:$1,0)+1),MATCH(D$1,[2]quests!$1:$1,0)-MATCH($B$1,[2]quests!$1:$1,0)+1,FALSE)</f>
        <v>ギリシャ神話第二弾超級</v>
      </c>
      <c r="E68" s="83">
        <v>3</v>
      </c>
      <c r="F68" s="79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【超級】冷酷なる遂行者</v>
      </c>
      <c r="G68" s="79" t="str">
        <f ca="1">VLOOKUP($B68&amp;"_"&amp;$E68,OFFSET([2]stages!$A$1,0,0,COUNTA([2]stages!$A:$A),MATCH(G$1,[2]stages!$2:$2,0)-MATCH("temp_stage",[2]stages!$2:$2,0)+1),MATCH(G$1,[2]stages!$2:$2,0)-MATCH("temp_stage",[2]stages!$2:$2,0)+1,FALSE)</f>
        <v>ギリシャ神話第二弾超級</v>
      </c>
      <c r="H68" s="81">
        <v>0</v>
      </c>
      <c r="I68">
        <v>12</v>
      </c>
      <c r="J68" s="80" t="s">
        <v>197</v>
      </c>
      <c r="K68" s="89" t="str">
        <f>VLOOKUP(I68,[6]stage_hints!$A:$C,3,FALSE)</f>
        <v>ユニットのお気に入り登録</v>
      </c>
      <c r="L68" s="90" t="str">
        <f>VLOOKUP(I68,[6]stage_hints!$A:$D,4,FALSE)</f>
        <v>大事なユニットを誤って消さないように_x000D_フォルダから「お気に入り登録」しましょう</v>
      </c>
      <c r="M68" s="55" t="s">
        <v>210</v>
      </c>
    </row>
    <row r="69" spans="1:13" x14ac:dyDescent="0.15">
      <c r="A69" s="77" t="s">
        <v>200</v>
      </c>
      <c r="B69" s="78">
        <f>floors!$C$2</f>
        <v>30044</v>
      </c>
      <c r="C69" s="79" t="str">
        <f ca="1">VLOOKUP($B69,OFFSET([2]quests!$A$1,0,0,COUNTA([2]quests!$A:$A),MATCH(C$1,[2]quests!$1:$1,0)-MATCH($B$1,[2]quests!$1:$1,0)+1),MATCH(C$1,[2]quests!$1:$1,0)-MATCH($B$1,[2]quests!$1:$1,0)+1,FALSE)</f>
        <v>冷酷なる遂行者</v>
      </c>
      <c r="D69" s="79" t="str">
        <f ca="1">VLOOKUP($B69,OFFSET([2]quests!$A$1,0,0,COUNTA([2]quests!$A:$A),MATCH(D$1,[2]quests!$1:$1,0)-MATCH($B$1,[2]quests!$1:$1,0)+1),MATCH(D$1,[2]quests!$1:$1,0)-MATCH($B$1,[2]quests!$1:$1,0)+1,FALSE)</f>
        <v>ギリシャ神話第二弾超級</v>
      </c>
      <c r="E69" s="83">
        <v>3</v>
      </c>
      <c r="F69" s="79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【超級】冷酷なる遂行者</v>
      </c>
      <c r="G69" s="79" t="str">
        <f ca="1">VLOOKUP($B69&amp;"_"&amp;$E69,OFFSET([2]stages!$A$1,0,0,COUNTA([2]stages!$A:$A),MATCH(G$1,[2]stages!$2:$2,0)-MATCH("temp_stage",[2]stages!$2:$2,0)+1),MATCH(G$1,[2]stages!$2:$2,0)-MATCH("temp_stage",[2]stages!$2:$2,0)+1,FALSE)</f>
        <v>ギリシャ神話第二弾超級</v>
      </c>
      <c r="H69" s="81">
        <v>0</v>
      </c>
      <c r="I69">
        <v>17</v>
      </c>
      <c r="J69" s="80" t="s">
        <v>197</v>
      </c>
      <c r="K69" s="89" t="str">
        <f>VLOOKUP(I69,[6]stage_hints!$A:$C,3,FALSE)</f>
        <v>リンクガチャ</v>
      </c>
      <c r="L69" s="90" t="str">
        <f>VLOOKUP(I69,[6]stage_hints!$A:$D,4,FALSE)</f>
        <v>無料のリンクガチャを回して_x000D_経験値素材や売却素材を獲得しましょう</v>
      </c>
      <c r="M69" s="55" t="s">
        <v>210</v>
      </c>
    </row>
    <row r="70" spans="1:13" x14ac:dyDescent="0.15">
      <c r="A70" s="77" t="s">
        <v>200</v>
      </c>
      <c r="B70" s="78">
        <f>floors!$C$2</f>
        <v>30044</v>
      </c>
      <c r="C70" s="79" t="str">
        <f ca="1">VLOOKUP($B70,OFFSET([2]quests!$A$1,0,0,COUNTA([2]quests!$A:$A),MATCH(C$1,[2]quests!$1:$1,0)-MATCH($B$1,[2]quests!$1:$1,0)+1),MATCH(C$1,[2]quests!$1:$1,0)-MATCH($B$1,[2]quests!$1:$1,0)+1,FALSE)</f>
        <v>冷酷なる遂行者</v>
      </c>
      <c r="D70" s="79" t="str">
        <f ca="1">VLOOKUP($B70,OFFSET([2]quests!$A$1,0,0,COUNTA([2]quests!$A:$A),MATCH(D$1,[2]quests!$1:$1,0)-MATCH($B$1,[2]quests!$1:$1,0)+1),MATCH(D$1,[2]quests!$1:$1,0)-MATCH($B$1,[2]quests!$1:$1,0)+1,FALSE)</f>
        <v>ギリシャ神話第二弾超級</v>
      </c>
      <c r="E70" s="83">
        <v>3</v>
      </c>
      <c r="F70" s="79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【超級】冷酷なる遂行者</v>
      </c>
      <c r="G70" s="79" t="str">
        <f ca="1">VLOOKUP($B70&amp;"_"&amp;$E70,OFFSET([2]stages!$A$1,0,0,COUNTA([2]stages!$A:$A),MATCH(G$1,[2]stages!$2:$2,0)-MATCH("temp_stage",[2]stages!$2:$2,0)+1),MATCH(G$1,[2]stages!$2:$2,0)-MATCH("temp_stage",[2]stages!$2:$2,0)+1,FALSE)</f>
        <v>ギリシャ神話第二弾超級</v>
      </c>
      <c r="H70" s="81">
        <v>0</v>
      </c>
      <c r="I70">
        <v>19</v>
      </c>
      <c r="J70" s="80" t="s">
        <v>197</v>
      </c>
      <c r="K70" s="89" t="str">
        <f>VLOOKUP(I70,[6]stage_hints!$A:$C,3,FALSE)</f>
        <v>ソロ専用タワーオブザクイーン</v>
      </c>
      <c r="L70" s="90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5" t="s">
        <v>210</v>
      </c>
    </row>
    <row r="71" spans="1:13" x14ac:dyDescent="0.15">
      <c r="A71" s="77" t="s">
        <v>200</v>
      </c>
      <c r="B71" s="78">
        <f>floors!$C$2</f>
        <v>30044</v>
      </c>
      <c r="C71" s="79" t="str">
        <f ca="1">VLOOKUP($B71,OFFSET([2]quests!$A$1,0,0,COUNTA([2]quests!$A:$A),MATCH(C$1,[2]quests!$1:$1,0)-MATCH($B$1,[2]quests!$1:$1,0)+1),MATCH(C$1,[2]quests!$1:$1,0)-MATCH($B$1,[2]quests!$1:$1,0)+1,FALSE)</f>
        <v>冷酷なる遂行者</v>
      </c>
      <c r="D71" s="79" t="str">
        <f ca="1">VLOOKUP($B71,OFFSET([2]quests!$A$1,0,0,COUNTA([2]quests!$A:$A),MATCH(D$1,[2]quests!$1:$1,0)-MATCH($B$1,[2]quests!$1:$1,0)+1),MATCH(D$1,[2]quests!$1:$1,0)-MATCH($B$1,[2]quests!$1:$1,0)+1,FALSE)</f>
        <v>ギリシャ神話第二弾超級</v>
      </c>
      <c r="E71" s="83">
        <v>3</v>
      </c>
      <c r="F71" s="79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【超級】冷酷なる遂行者</v>
      </c>
      <c r="G71" s="79" t="str">
        <f ca="1">VLOOKUP($B71&amp;"_"&amp;$E71,OFFSET([2]stages!$A$1,0,0,COUNTA([2]stages!$A:$A),MATCH(G$1,[2]stages!$2:$2,0)-MATCH("temp_stage",[2]stages!$2:$2,0)+1),MATCH(G$1,[2]stages!$2:$2,0)-MATCH("temp_stage",[2]stages!$2:$2,0)+1,FALSE)</f>
        <v>ギリシャ神話第二弾超級</v>
      </c>
      <c r="H71" s="81">
        <v>0</v>
      </c>
      <c r="I71">
        <v>21</v>
      </c>
      <c r="J71" s="80" t="s">
        <v>197</v>
      </c>
      <c r="K71" s="89" t="str">
        <f>VLOOKUP(I71,[6]stage_hints!$A:$C,3,FALSE)</f>
        <v>スキルを有効に</v>
      </c>
      <c r="L71" s="90" t="str">
        <f>VLOOKUP(I71,[6]stage_hints!$A:$D,4,FALSE)</f>
        <v>ターン経過でユニットのスキルが使えます_x000D_強力スキルでバトルを有利に進めましょう</v>
      </c>
      <c r="M71" s="55" t="s">
        <v>210</v>
      </c>
    </row>
    <row r="72" spans="1:13" x14ac:dyDescent="0.15">
      <c r="A72" s="77" t="s">
        <v>200</v>
      </c>
      <c r="B72" s="78">
        <f>floors!$C$2</f>
        <v>30044</v>
      </c>
      <c r="C72" s="79" t="str">
        <f ca="1">VLOOKUP($B72,OFFSET([2]quests!$A$1,0,0,COUNTA([2]quests!$A:$A),MATCH(C$1,[2]quests!$1:$1,0)-MATCH($B$1,[2]quests!$1:$1,0)+1),MATCH(C$1,[2]quests!$1:$1,0)-MATCH($B$1,[2]quests!$1:$1,0)+1,FALSE)</f>
        <v>冷酷なる遂行者</v>
      </c>
      <c r="D72" s="79" t="str">
        <f ca="1">VLOOKUP($B72,OFFSET([2]quests!$A$1,0,0,COUNTA([2]quests!$A:$A),MATCH(D$1,[2]quests!$1:$1,0)-MATCH($B$1,[2]quests!$1:$1,0)+1),MATCH(D$1,[2]quests!$1:$1,0)-MATCH($B$1,[2]quests!$1:$1,0)+1,FALSE)</f>
        <v>ギリシャ神話第二弾超級</v>
      </c>
      <c r="E72" s="83">
        <v>3</v>
      </c>
      <c r="F72" s="79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【超級】冷酷なる遂行者</v>
      </c>
      <c r="G72" s="79" t="str">
        <f ca="1">VLOOKUP($B72&amp;"_"&amp;$E72,OFFSET([2]stages!$A$1,0,0,COUNTA([2]stages!$A:$A),MATCH(G$1,[2]stages!$2:$2,0)-MATCH("temp_stage",[2]stages!$2:$2,0)+1),MATCH(G$1,[2]stages!$2:$2,0)-MATCH("temp_stage",[2]stages!$2:$2,0)+1,FALSE)</f>
        <v>ギリシャ神話第二弾超級</v>
      </c>
      <c r="H72" s="81">
        <v>0</v>
      </c>
      <c r="I72">
        <v>27</v>
      </c>
      <c r="J72" s="80" t="s">
        <v>197</v>
      </c>
      <c r="K72" s="89" t="str">
        <f>VLOOKUP(I72,[6]stage_hints!$A:$C,3,FALSE)</f>
        <v>ホーム画面からデッキを編成</v>
      </c>
      <c r="L72" s="90" t="str">
        <f>VLOOKUP(I72,[6]stage_hints!$A:$D,4,FALSE)</f>
        <v>ホーム画面でユニットを長押しすると_x000D_すぐにパーティ編成に移動できます</v>
      </c>
      <c r="M72" s="55" t="s">
        <v>210</v>
      </c>
    </row>
    <row r="73" spans="1:13" x14ac:dyDescent="0.15">
      <c r="A73" s="77" t="s">
        <v>200</v>
      </c>
      <c r="B73" s="78">
        <f>floors!$C$2</f>
        <v>30044</v>
      </c>
      <c r="C73" s="79" t="str">
        <f ca="1">VLOOKUP($B73,OFFSET([2]quests!$A$1,0,0,COUNTA([2]quests!$A:$A),MATCH(C$1,[2]quests!$1:$1,0)-MATCH($B$1,[2]quests!$1:$1,0)+1),MATCH(C$1,[2]quests!$1:$1,0)-MATCH($B$1,[2]quests!$1:$1,0)+1,FALSE)</f>
        <v>冷酷なる遂行者</v>
      </c>
      <c r="D73" s="79" t="str">
        <f ca="1">VLOOKUP($B73,OFFSET([2]quests!$A$1,0,0,COUNTA([2]quests!$A:$A),MATCH(D$1,[2]quests!$1:$1,0)-MATCH($B$1,[2]quests!$1:$1,0)+1),MATCH(D$1,[2]quests!$1:$1,0)-MATCH($B$1,[2]quests!$1:$1,0)+1,FALSE)</f>
        <v>ギリシャ神話第二弾超級</v>
      </c>
      <c r="E73" s="83">
        <v>3</v>
      </c>
      <c r="F73" s="79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【超級】冷酷なる遂行者</v>
      </c>
      <c r="G73" s="79" t="str">
        <f ca="1">VLOOKUP($B73&amp;"_"&amp;$E73,OFFSET([2]stages!$A$1,0,0,COUNTA([2]stages!$A:$A),MATCH(G$1,[2]stages!$2:$2,0)-MATCH("temp_stage",[2]stages!$2:$2,0)+1),MATCH(G$1,[2]stages!$2:$2,0)-MATCH("temp_stage",[2]stages!$2:$2,0)+1,FALSE)</f>
        <v>ギリシャ神話第二弾超級</v>
      </c>
      <c r="H73" s="81">
        <v>0</v>
      </c>
      <c r="I73">
        <v>28</v>
      </c>
      <c r="J73" s="80" t="s">
        <v>197</v>
      </c>
      <c r="K73" s="89" t="str">
        <f>VLOOKUP(I73,[6]stage_hints!$A:$C,3,FALSE)</f>
        <v>ステータス情報は長押しで</v>
      </c>
      <c r="L73" s="90" t="str">
        <f>VLOOKUP(I73,[6]stage_hints!$A:$D,4,FALSE)</f>
        <v>ユニットのアイコンを長押しすると_x000D_ステータス情報を確認することができます</v>
      </c>
      <c r="M73" s="55" t="s">
        <v>210</v>
      </c>
    </row>
    <row r="74" spans="1:13" x14ac:dyDescent="0.15">
      <c r="A74" s="77" t="s">
        <v>200</v>
      </c>
      <c r="B74" s="78">
        <f>floors!$C$2</f>
        <v>30044</v>
      </c>
      <c r="C74" s="79" t="str">
        <f ca="1">VLOOKUP($B74,OFFSET([2]quests!$A$1,0,0,COUNTA([2]quests!$A:$A),MATCH(C$1,[2]quests!$1:$1,0)-MATCH($B$1,[2]quests!$1:$1,0)+1),MATCH(C$1,[2]quests!$1:$1,0)-MATCH($B$1,[2]quests!$1:$1,0)+1,FALSE)</f>
        <v>冷酷なる遂行者</v>
      </c>
      <c r="D74" s="79" t="str">
        <f ca="1">VLOOKUP($B74,OFFSET([2]quests!$A$1,0,0,COUNTA([2]quests!$A:$A),MATCH(D$1,[2]quests!$1:$1,0)-MATCH($B$1,[2]quests!$1:$1,0)+1),MATCH(D$1,[2]quests!$1:$1,0)-MATCH($B$1,[2]quests!$1:$1,0)+1,FALSE)</f>
        <v>ギリシャ神話第二弾超級</v>
      </c>
      <c r="E74" s="83">
        <v>3</v>
      </c>
      <c r="F74" s="79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【超級】冷酷なる遂行者</v>
      </c>
      <c r="G74" s="79" t="str">
        <f ca="1">VLOOKUP($B74&amp;"_"&amp;$E74,OFFSET([2]stages!$A$1,0,0,COUNTA([2]stages!$A:$A),MATCH(G$1,[2]stages!$2:$2,0)-MATCH("temp_stage",[2]stages!$2:$2,0)+1),MATCH(G$1,[2]stages!$2:$2,0)-MATCH("temp_stage",[2]stages!$2:$2,0)+1,FALSE)</f>
        <v>ギリシャ神話第二弾超級</v>
      </c>
      <c r="H74" s="81">
        <v>0</v>
      </c>
      <c r="I74">
        <v>29</v>
      </c>
      <c r="J74" s="80" t="s">
        <v>197</v>
      </c>
      <c r="K74" s="89" t="str">
        <f>VLOOKUP(I74,[6]stage_hints!$A:$C,3,FALSE)</f>
        <v>「バグ」のメリット</v>
      </c>
      <c r="L74" s="90" t="str">
        <f>VLOOKUP(I74,[6]stage_hints!$A:$D,4,FALSE)</f>
        <v>ユニットの「バグ」を増やすと_x000D_報酬をもらえる確率がアップします</v>
      </c>
      <c r="M74" s="55" t="s">
        <v>210</v>
      </c>
    </row>
    <row r="75" spans="1:13" x14ac:dyDescent="0.15">
      <c r="A75" s="77" t="s">
        <v>200</v>
      </c>
      <c r="B75" s="78">
        <f>floors!$C$2</f>
        <v>30044</v>
      </c>
      <c r="C75" s="79" t="str">
        <f ca="1">VLOOKUP($B75,OFFSET([2]quests!$A$1,0,0,COUNTA([2]quests!$A:$A),MATCH(C$1,[2]quests!$1:$1,0)-MATCH($B$1,[2]quests!$1:$1,0)+1),MATCH(C$1,[2]quests!$1:$1,0)-MATCH($B$1,[2]quests!$1:$1,0)+1,FALSE)</f>
        <v>冷酷なる遂行者</v>
      </c>
      <c r="D75" s="79" t="str">
        <f ca="1">VLOOKUP($B75,OFFSET([2]quests!$A$1,0,0,COUNTA([2]quests!$A:$A),MATCH(D$1,[2]quests!$1:$1,0)-MATCH($B$1,[2]quests!$1:$1,0)+1),MATCH(D$1,[2]quests!$1:$1,0)-MATCH($B$1,[2]quests!$1:$1,0)+1,FALSE)</f>
        <v>ギリシャ神話第二弾超級</v>
      </c>
      <c r="E75" s="83">
        <v>3</v>
      </c>
      <c r="F75" s="79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【超級】冷酷なる遂行者</v>
      </c>
      <c r="G75" s="79" t="str">
        <f ca="1">VLOOKUP($B75&amp;"_"&amp;$E75,OFFSET([2]stages!$A$1,0,0,COUNTA([2]stages!$A:$A),MATCH(G$1,[2]stages!$2:$2,0)-MATCH("temp_stage",[2]stages!$2:$2,0)+1),MATCH(G$1,[2]stages!$2:$2,0)-MATCH("temp_stage",[2]stages!$2:$2,0)+1,FALSE)</f>
        <v>ギリシャ神話第二弾超級</v>
      </c>
      <c r="H75" s="81">
        <v>0</v>
      </c>
      <c r="I75">
        <v>30</v>
      </c>
      <c r="J75" s="80" t="s">
        <v>197</v>
      </c>
      <c r="K75" s="89" t="str">
        <f>VLOOKUP(I75,[6]stage_hints!$A:$C,3,FALSE)</f>
        <v>「バグ」の増やし方</v>
      </c>
      <c r="L75" s="90" t="str">
        <f>VLOOKUP(I75,[6]stage_hints!$A:$D,4,FALSE)</f>
        <v>同じユニット同士を強化で合成すると_x000D_「バグ」を増やすことができます</v>
      </c>
      <c r="M75" s="55" t="s">
        <v>210</v>
      </c>
    </row>
    <row r="76" spans="1:13" x14ac:dyDescent="0.15">
      <c r="A76" s="77" t="s">
        <v>200</v>
      </c>
      <c r="B76" s="78">
        <f>floors!$C$2</f>
        <v>30044</v>
      </c>
      <c r="C76" s="79" t="str">
        <f ca="1">VLOOKUP($B76,OFFSET([2]quests!$A$1,0,0,COUNTA([2]quests!$A:$A),MATCH(C$1,[2]quests!$1:$1,0)-MATCH($B$1,[2]quests!$1:$1,0)+1),MATCH(C$1,[2]quests!$1:$1,0)-MATCH($B$1,[2]quests!$1:$1,0)+1,FALSE)</f>
        <v>冷酷なる遂行者</v>
      </c>
      <c r="D76" s="79" t="str">
        <f ca="1">VLOOKUP($B76,OFFSET([2]quests!$A$1,0,0,COUNTA([2]quests!$A:$A),MATCH(D$1,[2]quests!$1:$1,0)-MATCH($B$1,[2]quests!$1:$1,0)+1),MATCH(D$1,[2]quests!$1:$1,0)-MATCH($B$1,[2]quests!$1:$1,0)+1,FALSE)</f>
        <v>ギリシャ神話第二弾超級</v>
      </c>
      <c r="E76" s="83">
        <v>3</v>
      </c>
      <c r="F76" s="79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【超級】冷酷なる遂行者</v>
      </c>
      <c r="G76" s="79" t="str">
        <f ca="1">VLOOKUP($B76&amp;"_"&amp;$E76,OFFSET([2]stages!$A$1,0,0,COUNTA([2]stages!$A:$A),MATCH(G$1,[2]stages!$2:$2,0)-MATCH("temp_stage",[2]stages!$2:$2,0)+1),MATCH(G$1,[2]stages!$2:$2,0)-MATCH("temp_stage",[2]stages!$2:$2,0)+1,FALSE)</f>
        <v>ギリシャ神話第二弾超級</v>
      </c>
      <c r="H76" s="81">
        <v>0</v>
      </c>
      <c r="I76">
        <v>32</v>
      </c>
      <c r="J76" s="80" t="s">
        <v>197</v>
      </c>
      <c r="K76" s="89" t="str">
        <f>VLOOKUP(I76,[6]stage_hints!$A:$C,3,FALSE)</f>
        <v>敵の連続攻撃には</v>
      </c>
      <c r="L76" s="90" t="str">
        <f>VLOOKUP(I76,[6]stage_hints!$A:$D,4,FALSE)</f>
        <v>カウンタースキルを持つユニットがいれば_x000D_ダメージ回数分の反撃ができます</v>
      </c>
      <c r="M76" s="55" t="s">
        <v>210</v>
      </c>
    </row>
    <row r="77" spans="1:13" x14ac:dyDescent="0.15">
      <c r="A77" s="77" t="s">
        <v>200</v>
      </c>
      <c r="B77" s="78">
        <f>floors!$C$2</f>
        <v>30044</v>
      </c>
      <c r="C77" s="79" t="str">
        <f ca="1">VLOOKUP($B77,OFFSET([2]quests!$A$1,0,0,COUNTA([2]quests!$A:$A),MATCH(C$1,[2]quests!$1:$1,0)-MATCH($B$1,[2]quests!$1:$1,0)+1),MATCH(C$1,[2]quests!$1:$1,0)-MATCH($B$1,[2]quests!$1:$1,0)+1,FALSE)</f>
        <v>冷酷なる遂行者</v>
      </c>
      <c r="D77" s="79" t="str">
        <f ca="1">VLOOKUP($B77,OFFSET([2]quests!$A$1,0,0,COUNTA([2]quests!$A:$A),MATCH(D$1,[2]quests!$1:$1,0)-MATCH($B$1,[2]quests!$1:$1,0)+1),MATCH(D$1,[2]quests!$1:$1,0)-MATCH($B$1,[2]quests!$1:$1,0)+1,FALSE)</f>
        <v>ギリシャ神話第二弾超級</v>
      </c>
      <c r="E77" s="83">
        <v>3</v>
      </c>
      <c r="F77" s="79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【超級】冷酷なる遂行者</v>
      </c>
      <c r="G77" s="79" t="str">
        <f ca="1">VLOOKUP($B77&amp;"_"&amp;$E77,OFFSET([2]stages!$A$1,0,0,COUNTA([2]stages!$A:$A),MATCH(G$1,[2]stages!$2:$2,0)-MATCH("temp_stage",[2]stages!$2:$2,0)+1),MATCH(G$1,[2]stages!$2:$2,0)-MATCH("temp_stage",[2]stages!$2:$2,0)+1,FALSE)</f>
        <v>ギリシャ神話第二弾超級</v>
      </c>
      <c r="H77" s="81">
        <v>0</v>
      </c>
      <c r="I77">
        <v>33</v>
      </c>
      <c r="J77" s="80" t="s">
        <v>197</v>
      </c>
      <c r="K77" s="89" t="str">
        <f>VLOOKUP(I77,[6]stage_hints!$A:$C,3,FALSE)</f>
        <v>敵のカウンター攻撃には</v>
      </c>
      <c r="L77" s="90" t="str">
        <f>VLOOKUP(I77,[6]stage_hints!$A:$D,4,FALSE)</f>
        <v>カウンターブレイクスキルを持っていれば_x000D_敵のカウンターを解除して攻撃ができます</v>
      </c>
      <c r="M77" s="55" t="s">
        <v>210</v>
      </c>
    </row>
    <row r="78" spans="1:13" x14ac:dyDescent="0.15">
      <c r="A78" s="77" t="s">
        <v>200</v>
      </c>
      <c r="B78" s="78">
        <f>floors!$C$2</f>
        <v>30044</v>
      </c>
      <c r="C78" s="79" t="str">
        <f ca="1">VLOOKUP($B78,OFFSET([2]quests!$A$1,0,0,COUNTA([2]quests!$A:$A),MATCH(C$1,[2]quests!$1:$1,0)-MATCH($B$1,[2]quests!$1:$1,0)+1),MATCH(C$1,[2]quests!$1:$1,0)-MATCH($B$1,[2]quests!$1:$1,0)+1,FALSE)</f>
        <v>冷酷なる遂行者</v>
      </c>
      <c r="D78" s="79" t="str">
        <f ca="1">VLOOKUP($B78,OFFSET([2]quests!$A$1,0,0,COUNTA([2]quests!$A:$A),MATCH(D$1,[2]quests!$1:$1,0)-MATCH($B$1,[2]quests!$1:$1,0)+1),MATCH(D$1,[2]quests!$1:$1,0)-MATCH($B$1,[2]quests!$1:$1,0)+1,FALSE)</f>
        <v>ギリシャ神話第二弾超級</v>
      </c>
      <c r="E78" s="83">
        <v>3</v>
      </c>
      <c r="F78" s="79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【超級】冷酷なる遂行者</v>
      </c>
      <c r="G78" s="79" t="str">
        <f ca="1">VLOOKUP($B78&amp;"_"&amp;$E78,OFFSET([2]stages!$A$1,0,0,COUNTA([2]stages!$A:$A),MATCH(G$1,[2]stages!$2:$2,0)-MATCH("temp_stage",[2]stages!$2:$2,0)+1),MATCH(G$1,[2]stages!$2:$2,0)-MATCH("temp_stage",[2]stages!$2:$2,0)+1,FALSE)</f>
        <v>ギリシャ神話第二弾超級</v>
      </c>
      <c r="H78" s="81">
        <v>0</v>
      </c>
      <c r="I78">
        <v>34</v>
      </c>
      <c r="J78" s="80" t="s">
        <v>197</v>
      </c>
      <c r="K78" s="89" t="str">
        <f>VLOOKUP(I78,[6]stage_hints!$A:$C,3,FALSE)</f>
        <v>ステータスをスキルで下げられたら</v>
      </c>
      <c r="L78" s="90" t="str">
        <f>VLOOKUP(I78,[6]stage_hints!$A:$D,4,FALSE)</f>
        <v>ステータスダウンのスキルを受けたら_x000D_ステータスアップスキルで上書きしましょう</v>
      </c>
      <c r="M78" s="55" t="s">
        <v>210</v>
      </c>
    </row>
    <row r="79" spans="1:13" x14ac:dyDescent="0.15">
      <c r="A79" s="77" t="s">
        <v>200</v>
      </c>
      <c r="B79" s="78">
        <f>floors!$C$2</f>
        <v>30044</v>
      </c>
      <c r="C79" s="79" t="str">
        <f ca="1">VLOOKUP($B79,OFFSET([2]quests!$A$1,0,0,COUNTA([2]quests!$A:$A),MATCH(C$1,[2]quests!$1:$1,0)-MATCH($B$1,[2]quests!$1:$1,0)+1),MATCH(C$1,[2]quests!$1:$1,0)-MATCH($B$1,[2]quests!$1:$1,0)+1,FALSE)</f>
        <v>冷酷なる遂行者</v>
      </c>
      <c r="D79" s="79" t="str">
        <f ca="1">VLOOKUP($B79,OFFSET([2]quests!$A$1,0,0,COUNTA([2]quests!$A:$A),MATCH(D$1,[2]quests!$1:$1,0)-MATCH($B$1,[2]quests!$1:$1,0)+1),MATCH(D$1,[2]quests!$1:$1,0)-MATCH($B$1,[2]quests!$1:$1,0)+1,FALSE)</f>
        <v>ギリシャ神話第二弾超級</v>
      </c>
      <c r="E79" s="83">
        <v>3</v>
      </c>
      <c r="F79" s="79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【超級】冷酷なる遂行者</v>
      </c>
      <c r="G79" s="79" t="str">
        <f ca="1">VLOOKUP($B79&amp;"_"&amp;$E79,OFFSET([2]stages!$A$1,0,0,COUNTA([2]stages!$A:$A),MATCH(G$1,[2]stages!$2:$2,0)-MATCH("temp_stage",[2]stages!$2:$2,0)+1),MATCH(G$1,[2]stages!$2:$2,0)-MATCH("temp_stage",[2]stages!$2:$2,0)+1,FALSE)</f>
        <v>ギリシャ神話第二弾超級</v>
      </c>
      <c r="H79" s="81">
        <v>0</v>
      </c>
      <c r="I79">
        <v>35</v>
      </c>
      <c r="J79" s="80" t="s">
        <v>197</v>
      </c>
      <c r="K79" s="89" t="str">
        <f>VLOOKUP(I79,[6]stage_hints!$A:$C,3,FALSE)</f>
        <v>敵のステータスがスキルで上がったら</v>
      </c>
      <c r="L79" s="90" t="str">
        <f>VLOOKUP(I79,[6]stage_hints!$A:$D,4,FALSE)</f>
        <v>敵のステータスがスキルでアップしたときは_x000D_ステータスダウンスキルで上書きしましょう</v>
      </c>
      <c r="M79" s="55" t="s">
        <v>210</v>
      </c>
    </row>
    <row r="80" spans="1:13" x14ac:dyDescent="0.15">
      <c r="A80" s="77" t="s">
        <v>200</v>
      </c>
      <c r="B80" s="78">
        <f>floors!$C$2</f>
        <v>30044</v>
      </c>
      <c r="C80" s="79" t="str">
        <f ca="1">VLOOKUP($B80,OFFSET([2]quests!$A$1,0,0,COUNTA([2]quests!$A:$A),MATCH(C$1,[2]quests!$1:$1,0)-MATCH($B$1,[2]quests!$1:$1,0)+1),MATCH(C$1,[2]quests!$1:$1,0)-MATCH($B$1,[2]quests!$1:$1,0)+1,FALSE)</f>
        <v>冷酷なる遂行者</v>
      </c>
      <c r="D80" s="79" t="str">
        <f ca="1">VLOOKUP($B80,OFFSET([2]quests!$A$1,0,0,COUNTA([2]quests!$A:$A),MATCH(D$1,[2]quests!$1:$1,0)-MATCH($B$1,[2]quests!$1:$1,0)+1),MATCH(D$1,[2]quests!$1:$1,0)-MATCH($B$1,[2]quests!$1:$1,0)+1,FALSE)</f>
        <v>ギリシャ神話第二弾超級</v>
      </c>
      <c r="E80" s="83">
        <v>3</v>
      </c>
      <c r="F80" s="79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【超級】冷酷なる遂行者</v>
      </c>
      <c r="G80" s="79" t="str">
        <f ca="1">VLOOKUP($B80&amp;"_"&amp;$E80,OFFSET([2]stages!$A$1,0,0,COUNTA([2]stages!$A:$A),MATCH(G$1,[2]stages!$2:$2,0)-MATCH("temp_stage",[2]stages!$2:$2,0)+1),MATCH(G$1,[2]stages!$2:$2,0)-MATCH("temp_stage",[2]stages!$2:$2,0)+1,FALSE)</f>
        <v>ギリシャ神話第二弾超級</v>
      </c>
      <c r="H80" s="81">
        <v>0</v>
      </c>
      <c r="I80">
        <v>36</v>
      </c>
      <c r="J80" s="80" t="s">
        <v>197</v>
      </c>
      <c r="K80" s="89" t="str">
        <f>VLOOKUP(I80,[6]stage_hints!$A:$C,3,FALSE)</f>
        <v>タワーオブザクイーンのボス</v>
      </c>
      <c r="L80" s="90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5" t="s">
        <v>210</v>
      </c>
    </row>
    <row r="81" spans="1:13" x14ac:dyDescent="0.15">
      <c r="A81" s="77" t="s">
        <v>200</v>
      </c>
      <c r="B81" s="78">
        <f>floors!$C$2</f>
        <v>30044</v>
      </c>
      <c r="C81" s="79" t="str">
        <f ca="1">VLOOKUP($B81,OFFSET([2]quests!$A$1,0,0,COUNTA([2]quests!$A:$A),MATCH(C$1,[2]quests!$1:$1,0)-MATCH($B$1,[2]quests!$1:$1,0)+1),MATCH(C$1,[2]quests!$1:$1,0)-MATCH($B$1,[2]quests!$1:$1,0)+1,FALSE)</f>
        <v>冷酷なる遂行者</v>
      </c>
      <c r="D81" s="79" t="str">
        <f ca="1">VLOOKUP($B81,OFFSET([2]quests!$A$1,0,0,COUNTA([2]quests!$A:$A),MATCH(D$1,[2]quests!$1:$1,0)-MATCH($B$1,[2]quests!$1:$1,0)+1),MATCH(D$1,[2]quests!$1:$1,0)-MATCH($B$1,[2]quests!$1:$1,0)+1,FALSE)</f>
        <v>ギリシャ神話第二弾超級</v>
      </c>
      <c r="E81" s="83">
        <v>3</v>
      </c>
      <c r="F81" s="79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【超級】冷酷なる遂行者</v>
      </c>
      <c r="G81" s="79" t="str">
        <f ca="1">VLOOKUP($B81&amp;"_"&amp;$E81,OFFSET([2]stages!$A$1,0,0,COUNTA([2]stages!$A:$A),MATCH(G$1,[2]stages!$2:$2,0)-MATCH("temp_stage",[2]stages!$2:$2,0)+1),MATCH(G$1,[2]stages!$2:$2,0)-MATCH("temp_stage",[2]stages!$2:$2,0)+1,FALSE)</f>
        <v>ギリシャ神話第二弾超級</v>
      </c>
      <c r="H81" s="81">
        <v>0</v>
      </c>
      <c r="I81">
        <v>37</v>
      </c>
      <c r="J81" s="80" t="s">
        <v>197</v>
      </c>
      <c r="K81" s="89" t="str">
        <f>VLOOKUP(I81,[6]stage_hints!$A:$C,3,FALSE)</f>
        <v>限界突破値の引き継ぎ</v>
      </c>
      <c r="L81" s="90" t="str">
        <f>VLOOKUP(I81,[6]stage_hints!$A:$D,4,FALSE)</f>
        <v>同じユニットを強化で合成すると_x000D_限界突破値を引き継げます（覚醒前後も可）</v>
      </c>
      <c r="M81" s="55" t="s">
        <v>210</v>
      </c>
    </row>
    <row r="82" spans="1:13" x14ac:dyDescent="0.15">
      <c r="A82" s="77" t="s">
        <v>200</v>
      </c>
      <c r="B82" s="78">
        <f>floors!$C$2</f>
        <v>30044</v>
      </c>
      <c r="C82" s="79" t="str">
        <f ca="1">VLOOKUP($B82,OFFSET([2]quests!$A$1,0,0,COUNTA([2]quests!$A:$A),MATCH(C$1,[2]quests!$1:$1,0)-MATCH($B$1,[2]quests!$1:$1,0)+1),MATCH(C$1,[2]quests!$1:$1,0)-MATCH($B$1,[2]quests!$1:$1,0)+1,FALSE)</f>
        <v>冷酷なる遂行者</v>
      </c>
      <c r="D82" s="79" t="str">
        <f ca="1">VLOOKUP($B82,OFFSET([2]quests!$A$1,0,0,COUNTA([2]quests!$A:$A),MATCH(D$1,[2]quests!$1:$1,0)-MATCH($B$1,[2]quests!$1:$1,0)+1),MATCH(D$1,[2]quests!$1:$1,0)-MATCH($B$1,[2]quests!$1:$1,0)+1,FALSE)</f>
        <v>ギリシャ神話第二弾超級</v>
      </c>
      <c r="E82" s="83">
        <v>3</v>
      </c>
      <c r="F82" s="79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【超級】冷酷なる遂行者</v>
      </c>
      <c r="G82" s="79" t="str">
        <f ca="1">VLOOKUP($B82&amp;"_"&amp;$E82,OFFSET([2]stages!$A$1,0,0,COUNTA([2]stages!$A:$A),MATCH(G$1,[2]stages!$2:$2,0)-MATCH("temp_stage",[2]stages!$2:$2,0)+1),MATCH(G$1,[2]stages!$2:$2,0)-MATCH("temp_stage",[2]stages!$2:$2,0)+1,FALSE)</f>
        <v>ギリシャ神話第二弾超級</v>
      </c>
      <c r="H82" s="81">
        <v>0</v>
      </c>
      <c r="I82">
        <v>39</v>
      </c>
      <c r="J82" s="80" t="s">
        <v>197</v>
      </c>
      <c r="K82" s="89" t="str">
        <f>VLOOKUP(I82,[6]stage_hints!$A:$C,3,FALSE)</f>
        <v>システム適合者を確認</v>
      </c>
      <c r="L82" s="90" t="str">
        <f>VLOOKUP(I82,[6]stage_hints!$A:$D,4,FALSE)</f>
        <v>ALICEが 「アナタ」を呼んでいます</v>
      </c>
      <c r="M82" s="55" t="s">
        <v>210</v>
      </c>
    </row>
  </sheetData>
  <phoneticPr fontId="5"/>
  <dataValidations disablePrompts="1"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0"/>
  <sheetViews>
    <sheetView showGridLines="0" workbookViewId="0">
      <pane ySplit="1" topLeftCell="A10" activePane="bottomLeft" state="frozen"/>
      <selection pane="bottomLeft" activeCell="J39" sqref="J39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187</v>
      </c>
      <c r="B1" s="69" t="s">
        <v>150</v>
      </c>
      <c r="C1" s="73" t="s">
        <v>189</v>
      </c>
      <c r="D1" s="73" t="s">
        <v>33</v>
      </c>
      <c r="E1" s="69" t="s">
        <v>190</v>
      </c>
      <c r="F1" s="73" t="s">
        <v>18</v>
      </c>
      <c r="G1" s="73" t="s">
        <v>33</v>
      </c>
      <c r="H1" s="69" t="s">
        <v>192</v>
      </c>
      <c r="I1" s="85" t="s">
        <v>193</v>
      </c>
      <c r="J1" s="87" t="s">
        <v>194</v>
      </c>
      <c r="K1" s="75" t="s">
        <v>126</v>
      </c>
      <c r="L1" s="74" t="s">
        <v>186</v>
      </c>
      <c r="M1" s="88" t="s">
        <v>185</v>
      </c>
      <c r="N1" s="76" t="s">
        <v>195</v>
      </c>
    </row>
    <row r="2" spans="1:14" ht="60" customHeight="1" x14ac:dyDescent="0.15">
      <c r="A2" s="77" t="s">
        <v>196</v>
      </c>
      <c r="B2" s="78">
        <f>floors!$C$2</f>
        <v>30044</v>
      </c>
      <c r="C2" s="79" t="str">
        <f ca="1">VLOOKUP($B2,OFFSET([2]quests!$A$1,0,0,COUNTA([2]quests!$A:$A),MATCH(C$1,[2]quests!$1:$1,0)-MATCH($B$1,[2]quests!$1:$1,0)+1),MATCH(C$1,[2]quests!$1:$1,0)-MATCH($B$1,[2]quests!$1:$1,0)+1,FALSE)</f>
        <v>冷酷なる遂行者</v>
      </c>
      <c r="D2" s="79" t="str">
        <f ca="1">VLOOKUP($B2,OFFSET([2]quests!$A$1,0,0,COUNTA([2]quests!$A:$A),MATCH(D$1,[2]quests!$1:$1,0)-MATCH($B$1,[2]quests!$1:$1,0)+1),MATCH(D$1,[2]quests!$1:$1,0)-MATCH($B$1,[2]quests!$1:$1,0)+1,FALSE)</f>
        <v>ギリシャ神話第二弾超級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【中級】冷酷なる遂行者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ギリシャ神話第二弾超級</v>
      </c>
      <c r="H2" s="81">
        <v>1</v>
      </c>
      <c r="I2" s="86">
        <f>ROW()-1</f>
        <v>1</v>
      </c>
      <c r="J2" s="82" t="str">
        <f>B2&amp;TEXT(I2,"00")</f>
        <v>3004401</v>
      </c>
      <c r="K2" s="80" t="s">
        <v>197</v>
      </c>
      <c r="L2" s="83" t="s">
        <v>198</v>
      </c>
      <c r="M2" s="248" t="s">
        <v>328</v>
      </c>
      <c r="N2" s="55" t="s">
        <v>199</v>
      </c>
    </row>
    <row r="3" spans="1:14" ht="60" customHeight="1" x14ac:dyDescent="0.15">
      <c r="A3" s="77" t="s">
        <v>196</v>
      </c>
      <c r="B3" s="78">
        <f>floors!$C$2</f>
        <v>30044</v>
      </c>
      <c r="C3" s="79" t="str">
        <f ca="1">VLOOKUP($B3,OFFSET([2]quests!$A$1,0,0,COUNTA([2]quests!$A:$A),MATCH(C$1,[2]quests!$1:$1,0)-MATCH($B$1,[2]quests!$1:$1,0)+1),MATCH(C$1,[2]quests!$1:$1,0)-MATCH($B$1,[2]quests!$1:$1,0)+1,FALSE)</f>
        <v>冷酷なる遂行者</v>
      </c>
      <c r="D3" s="79" t="str">
        <f ca="1">VLOOKUP($B3,OFFSET([2]quests!$A$1,0,0,COUNTA([2]quests!$A:$A),MATCH(D$1,[2]quests!$1:$1,0)-MATCH($B$1,[2]quests!$1:$1,0)+1),MATCH(D$1,[2]quests!$1:$1,0)-MATCH($B$1,[2]quests!$1:$1,0)+1,FALSE)</f>
        <v>ギリシャ神話第二弾超級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【中級】冷酷なる遂行者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ギリシャ神話第二弾超級</v>
      </c>
      <c r="H3" s="81">
        <v>1</v>
      </c>
      <c r="I3" s="86">
        <f t="shared" ref="I3:I20" si="0">ROW()-1</f>
        <v>2</v>
      </c>
      <c r="J3" s="82" t="str">
        <f t="shared" ref="J3:J7" si="1">B3&amp;TEXT(I3,"00")</f>
        <v>3004402</v>
      </c>
      <c r="K3" s="80" t="s">
        <v>127</v>
      </c>
      <c r="L3" s="83" t="s">
        <v>198</v>
      </c>
      <c r="M3" s="248" t="s">
        <v>329</v>
      </c>
      <c r="N3" s="55" t="s">
        <v>199</v>
      </c>
    </row>
    <row r="4" spans="1:14" ht="60" customHeight="1" x14ac:dyDescent="0.15">
      <c r="A4" s="77" t="s">
        <v>196</v>
      </c>
      <c r="B4" s="78">
        <f>floors!$C$2</f>
        <v>30044</v>
      </c>
      <c r="C4" s="79" t="str">
        <f ca="1">VLOOKUP($B4,OFFSET([2]quests!$A$1,0,0,COUNTA([2]quests!$A:$A),MATCH(C$1,[2]quests!$1:$1,0)-MATCH($B$1,[2]quests!$1:$1,0)+1),MATCH(C$1,[2]quests!$1:$1,0)-MATCH($B$1,[2]quests!$1:$1,0)+1,FALSE)</f>
        <v>冷酷なる遂行者</v>
      </c>
      <c r="D4" s="79" t="str">
        <f ca="1">VLOOKUP($B4,OFFSET([2]quests!$A$1,0,0,COUNTA([2]quests!$A:$A),MATCH(D$1,[2]quests!$1:$1,0)-MATCH($B$1,[2]quests!$1:$1,0)+1),MATCH(D$1,[2]quests!$1:$1,0)-MATCH($B$1,[2]quests!$1:$1,0)+1,FALSE)</f>
        <v>ギリシャ神話第二弾超級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【中級】冷酷なる遂行者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ギリシャ神話第二弾超級</v>
      </c>
      <c r="H4" s="81">
        <v>2</v>
      </c>
      <c r="I4" s="86">
        <f t="shared" si="0"/>
        <v>3</v>
      </c>
      <c r="J4" s="82" t="str">
        <f t="shared" si="1"/>
        <v>3004403</v>
      </c>
      <c r="K4" s="80" t="s">
        <v>127</v>
      </c>
      <c r="L4" s="83" t="s">
        <v>198</v>
      </c>
      <c r="M4" s="248" t="s">
        <v>332</v>
      </c>
      <c r="N4" s="55" t="s">
        <v>199</v>
      </c>
    </row>
    <row r="5" spans="1:14" ht="60" customHeight="1" x14ac:dyDescent="0.15">
      <c r="A5" s="77" t="s">
        <v>196</v>
      </c>
      <c r="B5" s="78">
        <f>floors!$C$2</f>
        <v>30044</v>
      </c>
      <c r="C5" s="79" t="str">
        <f ca="1">VLOOKUP($B5,OFFSET([2]quests!$A$1,0,0,COUNTA([2]quests!$A:$A),MATCH(C$1,[2]quests!$1:$1,0)-MATCH($B$1,[2]quests!$1:$1,0)+1),MATCH(C$1,[2]quests!$1:$1,0)-MATCH($B$1,[2]quests!$1:$1,0)+1,FALSE)</f>
        <v>冷酷なる遂行者</v>
      </c>
      <c r="D5" s="79" t="str">
        <f ca="1">VLOOKUP($B5,OFFSET([2]quests!$A$1,0,0,COUNTA([2]quests!$A:$A),MATCH(D$1,[2]quests!$1:$1,0)-MATCH($B$1,[2]quests!$1:$1,0)+1),MATCH(D$1,[2]quests!$1:$1,0)-MATCH($B$1,[2]quests!$1:$1,0)+1,FALSE)</f>
        <v>ギリシャ神話第二弾超級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【中級】冷酷なる遂行者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ギリシャ神話第二弾超級</v>
      </c>
      <c r="H5" s="81">
        <v>3</v>
      </c>
      <c r="I5" s="86">
        <f t="shared" si="0"/>
        <v>4</v>
      </c>
      <c r="J5" s="82" t="str">
        <f t="shared" si="1"/>
        <v>3004404</v>
      </c>
      <c r="K5" s="80" t="s">
        <v>127</v>
      </c>
      <c r="L5" s="83" t="s">
        <v>198</v>
      </c>
      <c r="M5" s="248" t="s">
        <v>330</v>
      </c>
      <c r="N5" s="55" t="s">
        <v>199</v>
      </c>
    </row>
    <row r="6" spans="1:14" ht="60" customHeight="1" x14ac:dyDescent="0.15">
      <c r="A6" s="77" t="s">
        <v>196</v>
      </c>
      <c r="B6" s="78">
        <f>floors!$C$2</f>
        <v>30044</v>
      </c>
      <c r="C6" s="79" t="str">
        <f ca="1">VLOOKUP($B6,OFFSET([2]quests!$A$1,0,0,COUNTA([2]quests!$A:$A),MATCH(C$1,[2]quests!$1:$1,0)-MATCH($B$1,[2]quests!$1:$1,0)+1),MATCH(C$1,[2]quests!$1:$1,0)-MATCH($B$1,[2]quests!$1:$1,0)+1,FALSE)</f>
        <v>冷酷なる遂行者</v>
      </c>
      <c r="D6" s="79" t="str">
        <f ca="1">VLOOKUP($B6,OFFSET([2]quests!$A$1,0,0,COUNTA([2]quests!$A:$A),MATCH(D$1,[2]quests!$1:$1,0)-MATCH($B$1,[2]quests!$1:$1,0)+1),MATCH(D$1,[2]quests!$1:$1,0)-MATCH($B$1,[2]quests!$1:$1,0)+1,FALSE)</f>
        <v>ギリシャ神話第二弾超級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【中級】冷酷なる遂行者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ギリシャ神話第二弾超級</v>
      </c>
      <c r="H6" s="81">
        <v>4</v>
      </c>
      <c r="I6" s="86">
        <f t="shared" si="0"/>
        <v>5</v>
      </c>
      <c r="J6" s="82" t="str">
        <f t="shared" si="1"/>
        <v>3004405</v>
      </c>
      <c r="K6" s="80" t="s">
        <v>127</v>
      </c>
      <c r="L6" s="83" t="s">
        <v>198</v>
      </c>
      <c r="M6" s="248" t="s">
        <v>333</v>
      </c>
      <c r="N6" s="55" t="s">
        <v>199</v>
      </c>
    </row>
    <row r="7" spans="1:14" ht="60" customHeight="1" x14ac:dyDescent="0.15">
      <c r="A7" s="77" t="s">
        <v>196</v>
      </c>
      <c r="B7" s="78">
        <f>floors!$C$2</f>
        <v>30044</v>
      </c>
      <c r="C7" s="79" t="str">
        <f ca="1">VLOOKUP($B7,OFFSET([2]quests!$A$1,0,0,COUNTA([2]quests!$A:$A),MATCH(C$1,[2]quests!$1:$1,0)-MATCH($B$1,[2]quests!$1:$1,0)+1),MATCH(C$1,[2]quests!$1:$1,0)-MATCH($B$1,[2]quests!$1:$1,0)+1,FALSE)</f>
        <v>冷酷なる遂行者</v>
      </c>
      <c r="D7" s="79" t="str">
        <f ca="1">VLOOKUP($B7,OFFSET([2]quests!$A$1,0,0,COUNTA([2]quests!$A:$A),MATCH(D$1,[2]quests!$1:$1,0)-MATCH($B$1,[2]quests!$1:$1,0)+1),MATCH(D$1,[2]quests!$1:$1,0)-MATCH($B$1,[2]quests!$1:$1,0)+1,FALSE)</f>
        <v>ギリシャ神話第二弾超級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【中級】冷酷なる遂行者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ギリシャ神話第二弾超級</v>
      </c>
      <c r="H7" s="81">
        <v>4</v>
      </c>
      <c r="I7" s="86">
        <f t="shared" si="0"/>
        <v>6</v>
      </c>
      <c r="J7" s="82" t="str">
        <f t="shared" si="1"/>
        <v>3004406</v>
      </c>
      <c r="K7" s="80" t="s">
        <v>127</v>
      </c>
      <c r="L7" s="83" t="s">
        <v>198</v>
      </c>
      <c r="M7" s="248" t="s">
        <v>331</v>
      </c>
      <c r="N7" s="55" t="s">
        <v>199</v>
      </c>
    </row>
    <row r="8" spans="1:14" ht="60" customHeight="1" x14ac:dyDescent="0.15">
      <c r="A8" s="77" t="s">
        <v>196</v>
      </c>
      <c r="B8" s="78">
        <f>floors!$C$2</f>
        <v>30044</v>
      </c>
      <c r="C8" s="79" t="str">
        <f ca="1">VLOOKUP($B8,OFFSET([2]quests!$A$1,0,0,COUNTA([2]quests!$A:$A),MATCH(C$1,[2]quests!$1:$1,0)-MATCH($B$1,[2]quests!$1:$1,0)+1),MATCH(C$1,[2]quests!$1:$1,0)-MATCH($B$1,[2]quests!$1:$1,0)+1,FALSE)</f>
        <v>冷酷なる遂行者</v>
      </c>
      <c r="D8" s="79" t="str">
        <f ca="1">VLOOKUP($B8,OFFSET([2]quests!$A$1,0,0,COUNTA([2]quests!$A:$A),MATCH(D$1,[2]quests!$1:$1,0)-MATCH($B$1,[2]quests!$1:$1,0)+1),MATCH(D$1,[2]quests!$1:$1,0)-MATCH($B$1,[2]quests!$1:$1,0)+1,FALSE)</f>
        <v>ギリシャ神話第二弾超級</v>
      </c>
      <c r="E8" s="80">
        <v>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【上級】冷酷なる遂行者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ギリシャ神話第二弾超級</v>
      </c>
      <c r="H8" s="81">
        <v>1</v>
      </c>
      <c r="I8" s="86">
        <f>ROW()-1</f>
        <v>7</v>
      </c>
      <c r="J8" s="82" t="str">
        <f>B8&amp;TEXT(I8,"00")</f>
        <v>3004407</v>
      </c>
      <c r="K8" s="80" t="s">
        <v>127</v>
      </c>
      <c r="L8" s="83" t="s">
        <v>198</v>
      </c>
      <c r="M8" s="248" t="s">
        <v>328</v>
      </c>
      <c r="N8" s="55" t="s">
        <v>199</v>
      </c>
    </row>
    <row r="9" spans="1:14" ht="60" customHeight="1" x14ac:dyDescent="0.15">
      <c r="A9" s="77" t="s">
        <v>196</v>
      </c>
      <c r="B9" s="78">
        <f>floors!$C$2</f>
        <v>30044</v>
      </c>
      <c r="C9" s="79" t="str">
        <f ca="1">VLOOKUP($B9,OFFSET([2]quests!$A$1,0,0,COUNTA([2]quests!$A:$A),MATCH(C$1,[2]quests!$1:$1,0)-MATCH($B$1,[2]quests!$1:$1,0)+1),MATCH(C$1,[2]quests!$1:$1,0)-MATCH($B$1,[2]quests!$1:$1,0)+1,FALSE)</f>
        <v>冷酷なる遂行者</v>
      </c>
      <c r="D9" s="79" t="str">
        <f ca="1">VLOOKUP($B9,OFFSET([2]quests!$A$1,0,0,COUNTA([2]quests!$A:$A),MATCH(D$1,[2]quests!$1:$1,0)-MATCH($B$1,[2]quests!$1:$1,0)+1),MATCH(D$1,[2]quests!$1:$1,0)-MATCH($B$1,[2]quests!$1:$1,0)+1,FALSE)</f>
        <v>ギリシャ神話第二弾超級</v>
      </c>
      <c r="E9" s="80">
        <v>2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【上級】冷酷なる遂行者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ギリシャ神話第二弾超級</v>
      </c>
      <c r="H9" s="81">
        <v>1</v>
      </c>
      <c r="I9" s="86">
        <f t="shared" si="0"/>
        <v>8</v>
      </c>
      <c r="J9" s="82" t="str">
        <f t="shared" ref="J9:J13" si="2">B9&amp;TEXT(I9,"00")</f>
        <v>3004408</v>
      </c>
      <c r="K9" s="80" t="s">
        <v>127</v>
      </c>
      <c r="L9" s="83" t="s">
        <v>198</v>
      </c>
      <c r="M9" s="248" t="s">
        <v>329</v>
      </c>
      <c r="N9" s="55" t="s">
        <v>199</v>
      </c>
    </row>
    <row r="10" spans="1:14" ht="60" customHeight="1" x14ac:dyDescent="0.15">
      <c r="A10" s="77" t="s">
        <v>196</v>
      </c>
      <c r="B10" s="78">
        <f>floors!$C$2</f>
        <v>30044</v>
      </c>
      <c r="C10" s="79" t="str">
        <f ca="1">VLOOKUP($B10,OFFSET([2]quests!$A$1,0,0,COUNTA([2]quests!$A:$A),MATCH(C$1,[2]quests!$1:$1,0)-MATCH($B$1,[2]quests!$1:$1,0)+1),MATCH(C$1,[2]quests!$1:$1,0)-MATCH($B$1,[2]quests!$1:$1,0)+1,FALSE)</f>
        <v>冷酷なる遂行者</v>
      </c>
      <c r="D10" s="79" t="str">
        <f ca="1">VLOOKUP($B10,OFFSET([2]quests!$A$1,0,0,COUNTA([2]quests!$A:$A),MATCH(D$1,[2]quests!$1:$1,0)-MATCH($B$1,[2]quests!$1:$1,0)+1),MATCH(D$1,[2]quests!$1:$1,0)-MATCH($B$1,[2]quests!$1:$1,0)+1,FALSE)</f>
        <v>ギリシャ神話第二弾超級</v>
      </c>
      <c r="E10" s="80">
        <v>2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【上級】冷酷なる遂行者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ギリシャ神話第二弾超級</v>
      </c>
      <c r="H10" s="81">
        <v>2</v>
      </c>
      <c r="I10" s="86">
        <f t="shared" si="0"/>
        <v>9</v>
      </c>
      <c r="J10" s="82" t="str">
        <f t="shared" si="2"/>
        <v>3004409</v>
      </c>
      <c r="K10" s="80" t="s">
        <v>127</v>
      </c>
      <c r="L10" s="83" t="s">
        <v>198</v>
      </c>
      <c r="M10" s="248" t="s">
        <v>332</v>
      </c>
      <c r="N10" s="55" t="s">
        <v>199</v>
      </c>
    </row>
    <row r="11" spans="1:14" ht="60" customHeight="1" x14ac:dyDescent="0.15">
      <c r="A11" s="77" t="s">
        <v>196</v>
      </c>
      <c r="B11" s="78">
        <f>floors!$C$2</f>
        <v>30044</v>
      </c>
      <c r="C11" s="79" t="str">
        <f ca="1">VLOOKUP($B11,OFFSET([2]quests!$A$1,0,0,COUNTA([2]quests!$A:$A),MATCH(C$1,[2]quests!$1:$1,0)-MATCH($B$1,[2]quests!$1:$1,0)+1),MATCH(C$1,[2]quests!$1:$1,0)-MATCH($B$1,[2]quests!$1:$1,0)+1,FALSE)</f>
        <v>冷酷なる遂行者</v>
      </c>
      <c r="D11" s="79" t="str">
        <f ca="1">VLOOKUP($B11,OFFSET([2]quests!$A$1,0,0,COUNTA([2]quests!$A:$A),MATCH(D$1,[2]quests!$1:$1,0)-MATCH($B$1,[2]quests!$1:$1,0)+1),MATCH(D$1,[2]quests!$1:$1,0)-MATCH($B$1,[2]quests!$1:$1,0)+1,FALSE)</f>
        <v>ギリシャ神話第二弾超級</v>
      </c>
      <c r="E11" s="80">
        <v>2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【上級】冷酷なる遂行者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ギリシャ神話第二弾超級</v>
      </c>
      <c r="H11" s="81">
        <v>3</v>
      </c>
      <c r="I11" s="86">
        <f t="shared" si="0"/>
        <v>10</v>
      </c>
      <c r="J11" s="82" t="str">
        <f t="shared" si="2"/>
        <v>3004410</v>
      </c>
      <c r="K11" s="80" t="s">
        <v>127</v>
      </c>
      <c r="L11" s="83" t="s">
        <v>198</v>
      </c>
      <c r="M11" s="248" t="s">
        <v>330</v>
      </c>
      <c r="N11" s="55" t="s">
        <v>199</v>
      </c>
    </row>
    <row r="12" spans="1:14" ht="60" customHeight="1" x14ac:dyDescent="0.15">
      <c r="A12" s="77" t="s">
        <v>196</v>
      </c>
      <c r="B12" s="78">
        <f>floors!$C$2</f>
        <v>30044</v>
      </c>
      <c r="C12" s="79" t="str">
        <f ca="1">VLOOKUP($B12,OFFSET([2]quests!$A$1,0,0,COUNTA([2]quests!$A:$A),MATCH(C$1,[2]quests!$1:$1,0)-MATCH($B$1,[2]quests!$1:$1,0)+1),MATCH(C$1,[2]quests!$1:$1,0)-MATCH($B$1,[2]quests!$1:$1,0)+1,FALSE)</f>
        <v>冷酷なる遂行者</v>
      </c>
      <c r="D12" s="79" t="str">
        <f ca="1">VLOOKUP($B12,OFFSET([2]quests!$A$1,0,0,COUNTA([2]quests!$A:$A),MATCH(D$1,[2]quests!$1:$1,0)-MATCH($B$1,[2]quests!$1:$1,0)+1),MATCH(D$1,[2]quests!$1:$1,0)-MATCH($B$1,[2]quests!$1:$1,0)+1,FALSE)</f>
        <v>ギリシャ神話第二弾超級</v>
      </c>
      <c r="E12" s="80">
        <v>2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【上級】冷酷なる遂行者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ギリシャ神話第二弾超級</v>
      </c>
      <c r="H12" s="81">
        <v>4</v>
      </c>
      <c r="I12" s="86">
        <f t="shared" si="0"/>
        <v>11</v>
      </c>
      <c r="J12" s="82" t="str">
        <f t="shared" si="2"/>
        <v>3004411</v>
      </c>
      <c r="K12" s="80" t="s">
        <v>127</v>
      </c>
      <c r="L12" s="83" t="s">
        <v>198</v>
      </c>
      <c r="M12" s="248" t="s">
        <v>333</v>
      </c>
      <c r="N12" s="55" t="s">
        <v>199</v>
      </c>
    </row>
    <row r="13" spans="1:14" ht="60" customHeight="1" x14ac:dyDescent="0.15">
      <c r="A13" s="77" t="s">
        <v>196</v>
      </c>
      <c r="B13" s="78">
        <f>floors!$C$2</f>
        <v>30044</v>
      </c>
      <c r="C13" s="79" t="str">
        <f ca="1">VLOOKUP($B13,OFFSET([2]quests!$A$1,0,0,COUNTA([2]quests!$A:$A),MATCH(C$1,[2]quests!$1:$1,0)-MATCH($B$1,[2]quests!$1:$1,0)+1),MATCH(C$1,[2]quests!$1:$1,0)-MATCH($B$1,[2]quests!$1:$1,0)+1,FALSE)</f>
        <v>冷酷なる遂行者</v>
      </c>
      <c r="D13" s="79" t="str">
        <f ca="1">VLOOKUP($B13,OFFSET([2]quests!$A$1,0,0,COUNTA([2]quests!$A:$A),MATCH(D$1,[2]quests!$1:$1,0)-MATCH($B$1,[2]quests!$1:$1,0)+1),MATCH(D$1,[2]quests!$1:$1,0)-MATCH($B$1,[2]quests!$1:$1,0)+1,FALSE)</f>
        <v>ギリシャ神話第二弾超級</v>
      </c>
      <c r="E13" s="80">
        <v>2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【上級】冷酷なる遂行者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ギリシャ神話第二弾超級</v>
      </c>
      <c r="H13" s="81">
        <v>4</v>
      </c>
      <c r="I13" s="86">
        <f t="shared" si="0"/>
        <v>12</v>
      </c>
      <c r="J13" s="82" t="str">
        <f t="shared" si="2"/>
        <v>3004412</v>
      </c>
      <c r="K13" s="80" t="s">
        <v>127</v>
      </c>
      <c r="L13" s="83" t="s">
        <v>198</v>
      </c>
      <c r="M13" s="248" t="s">
        <v>331</v>
      </c>
      <c r="N13" s="55" t="s">
        <v>199</v>
      </c>
    </row>
    <row r="14" spans="1:14" ht="60" customHeight="1" x14ac:dyDescent="0.15">
      <c r="A14" s="77" t="s">
        <v>196</v>
      </c>
      <c r="B14" s="78">
        <f>floors!$C$2</f>
        <v>30044</v>
      </c>
      <c r="C14" s="79" t="str">
        <f ca="1">VLOOKUP($B14,OFFSET([2]quests!$A$1,0,0,COUNTA([2]quests!$A:$A),MATCH(C$1,[2]quests!$1:$1,0)-MATCH($B$1,[2]quests!$1:$1,0)+1),MATCH(C$1,[2]quests!$1:$1,0)-MATCH($B$1,[2]quests!$1:$1,0)+1,FALSE)</f>
        <v>冷酷なる遂行者</v>
      </c>
      <c r="D14" s="79" t="str">
        <f ca="1">VLOOKUP($B14,OFFSET([2]quests!$A$1,0,0,COUNTA([2]quests!$A:$A),MATCH(D$1,[2]quests!$1:$1,0)-MATCH($B$1,[2]quests!$1:$1,0)+1),MATCH(D$1,[2]quests!$1:$1,0)-MATCH($B$1,[2]quests!$1:$1,0)+1,FALSE)</f>
        <v>ギリシャ神話第二弾超級</v>
      </c>
      <c r="E14" s="80">
        <v>3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【超級】冷酷なる遂行者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ギリシャ神話第二弾超級</v>
      </c>
      <c r="H14" s="81">
        <v>1</v>
      </c>
      <c r="I14" s="86">
        <f>ROW()-1</f>
        <v>13</v>
      </c>
      <c r="J14" s="82" t="str">
        <f>B14&amp;TEXT(I14,"00")</f>
        <v>3004413</v>
      </c>
      <c r="K14" s="80" t="s">
        <v>127</v>
      </c>
      <c r="L14" s="83" t="s">
        <v>198</v>
      </c>
      <c r="M14" s="248" t="s">
        <v>328</v>
      </c>
      <c r="N14" s="55" t="s">
        <v>199</v>
      </c>
    </row>
    <row r="15" spans="1:14" ht="60" customHeight="1" x14ac:dyDescent="0.15">
      <c r="A15" s="77" t="s">
        <v>196</v>
      </c>
      <c r="B15" s="78">
        <f>floors!$C$2</f>
        <v>30044</v>
      </c>
      <c r="C15" s="79" t="str">
        <f ca="1">VLOOKUP($B15,OFFSET([2]quests!$A$1,0,0,COUNTA([2]quests!$A:$A),MATCH(C$1,[2]quests!$1:$1,0)-MATCH($B$1,[2]quests!$1:$1,0)+1),MATCH(C$1,[2]quests!$1:$1,0)-MATCH($B$1,[2]quests!$1:$1,0)+1,FALSE)</f>
        <v>冷酷なる遂行者</v>
      </c>
      <c r="D15" s="79" t="str">
        <f ca="1">VLOOKUP($B15,OFFSET([2]quests!$A$1,0,0,COUNTA([2]quests!$A:$A),MATCH(D$1,[2]quests!$1:$1,0)-MATCH($B$1,[2]quests!$1:$1,0)+1),MATCH(D$1,[2]quests!$1:$1,0)-MATCH($B$1,[2]quests!$1:$1,0)+1,FALSE)</f>
        <v>ギリシャ神話第二弾超級</v>
      </c>
      <c r="E15" s="80">
        <v>3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【超級】冷酷なる遂行者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ギリシャ神話第二弾超級</v>
      </c>
      <c r="H15" s="81">
        <v>1</v>
      </c>
      <c r="I15" s="86">
        <f t="shared" si="0"/>
        <v>14</v>
      </c>
      <c r="J15" s="82" t="str">
        <f t="shared" ref="J15:J19" si="3">B15&amp;TEXT(I15,"00")</f>
        <v>3004414</v>
      </c>
      <c r="K15" s="80" t="s">
        <v>127</v>
      </c>
      <c r="L15" s="83" t="s">
        <v>198</v>
      </c>
      <c r="M15" s="248" t="s">
        <v>329</v>
      </c>
      <c r="N15" s="55" t="s">
        <v>199</v>
      </c>
    </row>
    <row r="16" spans="1:14" ht="60" customHeight="1" x14ac:dyDescent="0.15">
      <c r="A16" s="77" t="s">
        <v>196</v>
      </c>
      <c r="B16" s="78">
        <f>floors!$C$2</f>
        <v>30044</v>
      </c>
      <c r="C16" s="79" t="str">
        <f ca="1">VLOOKUP($B16,OFFSET([2]quests!$A$1,0,0,COUNTA([2]quests!$A:$A),MATCH(C$1,[2]quests!$1:$1,0)-MATCH($B$1,[2]quests!$1:$1,0)+1),MATCH(C$1,[2]quests!$1:$1,0)-MATCH($B$1,[2]quests!$1:$1,0)+1,FALSE)</f>
        <v>冷酷なる遂行者</v>
      </c>
      <c r="D16" s="79" t="str">
        <f ca="1">VLOOKUP($B16,OFFSET([2]quests!$A$1,0,0,COUNTA([2]quests!$A:$A),MATCH(D$1,[2]quests!$1:$1,0)-MATCH($B$1,[2]quests!$1:$1,0)+1),MATCH(D$1,[2]quests!$1:$1,0)-MATCH($B$1,[2]quests!$1:$1,0)+1,FALSE)</f>
        <v>ギリシャ神話第二弾超級</v>
      </c>
      <c r="E16" s="80">
        <v>3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【超級】冷酷なる遂行者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ギリシャ神話第二弾超級</v>
      </c>
      <c r="H16" s="81">
        <v>2</v>
      </c>
      <c r="I16" s="86">
        <f t="shared" si="0"/>
        <v>15</v>
      </c>
      <c r="J16" s="82" t="str">
        <f t="shared" si="3"/>
        <v>3004415</v>
      </c>
      <c r="K16" s="80" t="s">
        <v>127</v>
      </c>
      <c r="L16" s="83" t="s">
        <v>198</v>
      </c>
      <c r="M16" s="248" t="s">
        <v>332</v>
      </c>
      <c r="N16" s="55" t="s">
        <v>199</v>
      </c>
    </row>
    <row r="17" spans="1:14" ht="60" customHeight="1" x14ac:dyDescent="0.15">
      <c r="A17" s="77" t="s">
        <v>196</v>
      </c>
      <c r="B17" s="78">
        <f>floors!$C$2</f>
        <v>30044</v>
      </c>
      <c r="C17" s="79" t="str">
        <f ca="1">VLOOKUP($B17,OFFSET([2]quests!$A$1,0,0,COUNTA([2]quests!$A:$A),MATCH(C$1,[2]quests!$1:$1,0)-MATCH($B$1,[2]quests!$1:$1,0)+1),MATCH(C$1,[2]quests!$1:$1,0)-MATCH($B$1,[2]quests!$1:$1,0)+1,FALSE)</f>
        <v>冷酷なる遂行者</v>
      </c>
      <c r="D17" s="79" t="str">
        <f ca="1">VLOOKUP($B17,OFFSET([2]quests!$A$1,0,0,COUNTA([2]quests!$A:$A),MATCH(D$1,[2]quests!$1:$1,0)-MATCH($B$1,[2]quests!$1:$1,0)+1),MATCH(D$1,[2]quests!$1:$1,0)-MATCH($B$1,[2]quests!$1:$1,0)+1,FALSE)</f>
        <v>ギリシャ神話第二弾超級</v>
      </c>
      <c r="E17" s="80">
        <v>3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【超級】冷酷なる遂行者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ギリシャ神話第二弾超級</v>
      </c>
      <c r="H17" s="81">
        <v>3</v>
      </c>
      <c r="I17" s="86">
        <f t="shared" si="0"/>
        <v>16</v>
      </c>
      <c r="J17" s="82" t="str">
        <f t="shared" si="3"/>
        <v>3004416</v>
      </c>
      <c r="K17" s="80" t="s">
        <v>127</v>
      </c>
      <c r="L17" s="83" t="s">
        <v>198</v>
      </c>
      <c r="M17" s="248" t="s">
        <v>330</v>
      </c>
      <c r="N17" s="55" t="s">
        <v>199</v>
      </c>
    </row>
    <row r="18" spans="1:14" ht="60" customHeight="1" x14ac:dyDescent="0.15">
      <c r="A18" s="77" t="s">
        <v>196</v>
      </c>
      <c r="B18" s="78">
        <f>floors!$C$2</f>
        <v>30044</v>
      </c>
      <c r="C18" s="79" t="str">
        <f ca="1">VLOOKUP($B18,OFFSET([2]quests!$A$1,0,0,COUNTA([2]quests!$A:$A),MATCH(C$1,[2]quests!$1:$1,0)-MATCH($B$1,[2]quests!$1:$1,0)+1),MATCH(C$1,[2]quests!$1:$1,0)-MATCH($B$1,[2]quests!$1:$1,0)+1,FALSE)</f>
        <v>冷酷なる遂行者</v>
      </c>
      <c r="D18" s="79" t="str">
        <f ca="1">VLOOKUP($B18,OFFSET([2]quests!$A$1,0,0,COUNTA([2]quests!$A:$A),MATCH(D$1,[2]quests!$1:$1,0)-MATCH($B$1,[2]quests!$1:$1,0)+1),MATCH(D$1,[2]quests!$1:$1,0)-MATCH($B$1,[2]quests!$1:$1,0)+1,FALSE)</f>
        <v>ギリシャ神話第二弾超級</v>
      </c>
      <c r="E18" s="80">
        <v>3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【超級】冷酷なる遂行者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ギリシャ神話第二弾超級</v>
      </c>
      <c r="H18" s="81">
        <v>4</v>
      </c>
      <c r="I18" s="86">
        <f t="shared" si="0"/>
        <v>17</v>
      </c>
      <c r="J18" s="82" t="str">
        <f t="shared" si="3"/>
        <v>3004417</v>
      </c>
      <c r="K18" s="80" t="s">
        <v>127</v>
      </c>
      <c r="L18" s="83" t="s">
        <v>198</v>
      </c>
      <c r="M18" s="248" t="s">
        <v>333</v>
      </c>
      <c r="N18" s="55" t="s">
        <v>199</v>
      </c>
    </row>
    <row r="19" spans="1:14" ht="60" customHeight="1" x14ac:dyDescent="0.15">
      <c r="A19" s="77" t="s">
        <v>196</v>
      </c>
      <c r="B19" s="78">
        <f>floors!$C$2</f>
        <v>30044</v>
      </c>
      <c r="C19" s="79" t="str">
        <f ca="1">VLOOKUP($B19,OFFSET([2]quests!$A$1,0,0,COUNTA([2]quests!$A:$A),MATCH(C$1,[2]quests!$1:$1,0)-MATCH($B$1,[2]quests!$1:$1,0)+1),MATCH(C$1,[2]quests!$1:$1,0)-MATCH($B$1,[2]quests!$1:$1,0)+1,FALSE)</f>
        <v>冷酷なる遂行者</v>
      </c>
      <c r="D19" s="79" t="str">
        <f ca="1">VLOOKUP($B19,OFFSET([2]quests!$A$1,0,0,COUNTA([2]quests!$A:$A),MATCH(D$1,[2]quests!$1:$1,0)-MATCH($B$1,[2]quests!$1:$1,0)+1),MATCH(D$1,[2]quests!$1:$1,0)-MATCH($B$1,[2]quests!$1:$1,0)+1,FALSE)</f>
        <v>ギリシャ神話第二弾超級</v>
      </c>
      <c r="E19" s="80">
        <v>3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【超級】冷酷なる遂行者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ギリシャ神話第二弾超級</v>
      </c>
      <c r="H19" s="81">
        <v>4</v>
      </c>
      <c r="I19" s="86">
        <f t="shared" si="0"/>
        <v>18</v>
      </c>
      <c r="J19" s="82" t="str">
        <f t="shared" si="3"/>
        <v>3004418</v>
      </c>
      <c r="K19" s="80" t="s">
        <v>127</v>
      </c>
      <c r="L19" s="83" t="s">
        <v>198</v>
      </c>
      <c r="M19" s="248" t="s">
        <v>331</v>
      </c>
      <c r="N19" s="55" t="s">
        <v>199</v>
      </c>
    </row>
    <row r="20" spans="1:14" ht="60" customHeight="1" x14ac:dyDescent="0.15">
      <c r="A20" s="249" t="s">
        <v>196</v>
      </c>
      <c r="B20" s="250">
        <f>floors!$C$2</f>
        <v>30044</v>
      </c>
      <c r="C20" s="251" t="str">
        <f ca="1">VLOOKUP($B20,OFFSET([2]quests!$A$1,0,0,COUNTA([2]quests!$A:$A),MATCH(C$1,[2]quests!$1:$1,0)-MATCH($B$1,[2]quests!$1:$1,0)+1),MATCH(C$1,[2]quests!$1:$1,0)-MATCH($B$1,[2]quests!$1:$1,0)+1,FALSE)</f>
        <v>冷酷なる遂行者</v>
      </c>
      <c r="D20" s="251" t="str">
        <f ca="1">VLOOKUP($B20,OFFSET([2]quests!$A$1,0,0,COUNTA([2]quests!$A:$A),MATCH(D$1,[2]quests!$1:$1,0)-MATCH($B$1,[2]quests!$1:$1,0)+1),MATCH(D$1,[2]quests!$1:$1,0)-MATCH($B$1,[2]quests!$1:$1,0)+1,FALSE)</f>
        <v>ギリシャ神話第二弾超級</v>
      </c>
      <c r="E20" s="252">
        <v>3</v>
      </c>
      <c r="F20" s="251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【超級】冷酷なる遂行者</v>
      </c>
      <c r="G20" s="251" t="str">
        <f ca="1">VLOOKUP($B20&amp;"_"&amp;$E20,OFFSET([2]stages!$A$1,0,0,COUNTA([2]stages!$A:$A),MATCH(G$1,[2]stages!$2:$2,0)-MATCH("temp_stage",[2]stages!$2:$2,0)+1),MATCH(G$1,[2]stages!$2:$2,0)-MATCH("temp_stage",[2]stages!$2:$2,0)+1,FALSE)</f>
        <v>ギリシャ神話第二弾超級</v>
      </c>
      <c r="H20" s="251">
        <v>4</v>
      </c>
      <c r="I20" s="86">
        <f t="shared" si="0"/>
        <v>19</v>
      </c>
      <c r="J20" s="82" t="str">
        <f t="shared" ref="J20" si="4">B20&amp;TEXT(I20,"00")</f>
        <v>3004419</v>
      </c>
      <c r="K20" s="252" t="s">
        <v>127</v>
      </c>
      <c r="L20" s="253" t="s">
        <v>198</v>
      </c>
      <c r="M20" s="254" t="s">
        <v>334</v>
      </c>
      <c r="N20" s="255" t="s">
        <v>199</v>
      </c>
    </row>
  </sheetData>
  <phoneticPr fontId="5"/>
  <dataValidations count="1">
    <dataValidation type="list" allowBlank="1" showInputMessage="1" showErrorMessage="1" sqref="A2:A2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213</v>
      </c>
      <c r="B1" s="94" t="s">
        <v>214</v>
      </c>
      <c r="C1" s="73" t="s">
        <v>215</v>
      </c>
      <c r="D1" s="73" t="s">
        <v>33</v>
      </c>
      <c r="E1" s="94" t="s">
        <v>216</v>
      </c>
      <c r="F1" s="73" t="s">
        <v>217</v>
      </c>
      <c r="G1" s="73" t="s">
        <v>33</v>
      </c>
      <c r="H1" s="94" t="s">
        <v>218</v>
      </c>
      <c r="I1" s="94" t="s">
        <v>219</v>
      </c>
      <c r="J1" s="94" t="s">
        <v>220</v>
      </c>
      <c r="K1" s="69" t="s">
        <v>221</v>
      </c>
      <c r="L1" s="69" t="s">
        <v>222</v>
      </c>
      <c r="M1" s="69" t="s">
        <v>156</v>
      </c>
      <c r="N1" s="73" t="s">
        <v>16</v>
      </c>
      <c r="O1" s="69" t="s">
        <v>223</v>
      </c>
      <c r="P1" s="69" t="s">
        <v>57</v>
      </c>
      <c r="Q1" s="69" t="s">
        <v>224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225</v>
      </c>
      <c r="X1" s="69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2017-03-08T06:00:26Z</dcterms:modified>
</cp:coreProperties>
</file>