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5560" yWindow="1640" windowWidth="27860" windowHeight="15680" tabRatio="740" activeTab="8"/>
  </bookViews>
  <sheets>
    <sheet name="output" sheetId="16" r:id="rId1"/>
    <sheet name="floors" sheetId="2" r:id="rId2"/>
    <sheet name="enemy_habitats" sheetId="22" r:id="rId3"/>
    <sheet name="enemy_habitat_S" sheetId="23" r:id="rId4"/>
    <sheet name="enemy_skill_sets" sheetId="9" r:id="rId5"/>
    <sheet name="enemy_skills" sheetId="10" r:id="rId6"/>
    <sheet name="enemy_skill_triggers" sheetId="11" r:id="rId7"/>
    <sheet name="stage_bug_bonuses" sheetId="24" r:id="rId8"/>
    <sheet name="stage_hints" sheetId="19" r:id="rId9"/>
  </sheets>
  <externalReferences>
    <externalReference r:id="rId10"/>
    <externalReference r:id="rId11"/>
  </externalReferences>
  <definedNames>
    <definedName name="_xlnm._FilterDatabase" localSheetId="4" hidden="1">enemy_skill_sets!$A$1:$I$1</definedName>
    <definedName name="_xlnm._FilterDatabase" localSheetId="6" hidden="1">enemy_skill_triggers!$A$1:$G$1</definedName>
    <definedName name="_xlnm._FilterDatabase" localSheetId="5" hidden="1">enemy_skills!$A$1:$K$1</definedName>
    <definedName name="_xlnm._FilterDatabase" localSheetId="8" hidden="1">stage_hints!$B$1:$I$2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9" l="1"/>
  <c r="F8" i="19"/>
  <c r="D8" i="19"/>
  <c r="C8" i="19"/>
  <c r="G7" i="19"/>
  <c r="F7" i="19"/>
  <c r="D7" i="19"/>
  <c r="C7" i="19"/>
  <c r="G6" i="19"/>
  <c r="F6" i="19"/>
  <c r="D6" i="19"/>
  <c r="C6" i="19"/>
  <c r="G5" i="19"/>
  <c r="F5" i="19"/>
  <c r="D5" i="19"/>
  <c r="C5" i="19"/>
  <c r="G4" i="19"/>
  <c r="F4" i="19"/>
  <c r="D4" i="19"/>
  <c r="C4" i="19"/>
  <c r="G3" i="19"/>
  <c r="G2" i="19"/>
  <c r="F3" i="19"/>
  <c r="F2" i="19"/>
  <c r="D3" i="19"/>
  <c r="C3" i="19"/>
  <c r="C9" i="16"/>
  <c r="E9" i="16"/>
  <c r="G4" i="10"/>
  <c r="I4" i="10"/>
  <c r="K4" i="10"/>
  <c r="J4" i="10"/>
  <c r="H4" i="10"/>
  <c r="E4" i="9"/>
  <c r="D4" i="9"/>
  <c r="A4" i="9"/>
  <c r="F27" i="2"/>
  <c r="G27" i="2"/>
  <c r="D27" i="2"/>
  <c r="C27" i="2"/>
  <c r="A27" i="2"/>
  <c r="F26" i="2"/>
  <c r="G26" i="2"/>
  <c r="D26" i="2"/>
  <c r="C26" i="2"/>
  <c r="A26" i="2"/>
  <c r="F25" i="2"/>
  <c r="G25" i="2"/>
  <c r="D25" i="2"/>
  <c r="C25" i="2"/>
  <c r="A25" i="2"/>
  <c r="F24" i="2"/>
  <c r="G24" i="2"/>
  <c r="D24" i="2"/>
  <c r="C24" i="2"/>
  <c r="A24" i="2"/>
  <c r="F23" i="2"/>
  <c r="G23" i="2"/>
  <c r="D23" i="2"/>
  <c r="C23" i="2"/>
  <c r="A23" i="2"/>
  <c r="G3" i="10"/>
  <c r="I3" i="10"/>
  <c r="K3" i="10"/>
  <c r="J3" i="10"/>
  <c r="H3" i="10"/>
  <c r="E3" i="9"/>
  <c r="D3" i="9"/>
  <c r="A3" i="9"/>
  <c r="D2" i="9"/>
  <c r="E2" i="9"/>
  <c r="F33" i="2"/>
  <c r="G33" i="2"/>
  <c r="D33" i="2"/>
  <c r="C33" i="2"/>
  <c r="A33" i="2"/>
  <c r="F32" i="2"/>
  <c r="G32" i="2"/>
  <c r="D32" i="2"/>
  <c r="C32" i="2"/>
  <c r="A32" i="2"/>
  <c r="F31" i="2"/>
  <c r="G31" i="2"/>
  <c r="D31" i="2"/>
  <c r="C31" i="2"/>
  <c r="A31" i="2"/>
  <c r="F30" i="2"/>
  <c r="G30" i="2"/>
  <c r="D30" i="2"/>
  <c r="C30" i="2"/>
  <c r="A30" i="2"/>
  <c r="F29" i="2"/>
  <c r="G29" i="2"/>
  <c r="D29" i="2"/>
  <c r="C29" i="2"/>
  <c r="A29" i="2"/>
  <c r="F28" i="2"/>
  <c r="G28" i="2"/>
  <c r="D28" i="2"/>
  <c r="C28" i="2"/>
  <c r="A28" i="2"/>
  <c r="F22" i="2"/>
  <c r="G22" i="2"/>
  <c r="D22" i="2"/>
  <c r="C22" i="2"/>
  <c r="A22" i="2"/>
  <c r="F21" i="2"/>
  <c r="G21" i="2"/>
  <c r="D21" i="2"/>
  <c r="C21" i="2"/>
  <c r="A21" i="2"/>
  <c r="F20" i="2"/>
  <c r="G20" i="2"/>
  <c r="D20" i="2"/>
  <c r="C20" i="2"/>
  <c r="A20" i="2"/>
  <c r="F19" i="2"/>
  <c r="G19" i="2"/>
  <c r="D19" i="2"/>
  <c r="C19" i="2"/>
  <c r="A19" i="2"/>
  <c r="F18" i="2"/>
  <c r="G18" i="2"/>
  <c r="D18" i="2"/>
  <c r="C18" i="2"/>
  <c r="A18" i="2"/>
  <c r="F17" i="2"/>
  <c r="G17" i="2"/>
  <c r="D17" i="2"/>
  <c r="C17" i="2"/>
  <c r="A17" i="2"/>
  <c r="F16" i="2"/>
  <c r="G16" i="2"/>
  <c r="D16" i="2"/>
  <c r="C16" i="2"/>
  <c r="A16" i="2"/>
  <c r="F15" i="2"/>
  <c r="G15" i="2"/>
  <c r="D15" i="2"/>
  <c r="C15" i="2"/>
  <c r="A15" i="2"/>
  <c r="F14" i="2"/>
  <c r="G14" i="2"/>
  <c r="D14" i="2"/>
  <c r="C14" i="2"/>
  <c r="A14" i="2"/>
  <c r="F13" i="2"/>
  <c r="G13" i="2"/>
  <c r="D13" i="2"/>
  <c r="C13" i="2"/>
  <c r="A13" i="2"/>
  <c r="F12" i="2"/>
  <c r="G12" i="2"/>
  <c r="D12" i="2"/>
  <c r="C12" i="2"/>
  <c r="A12" i="2"/>
  <c r="F11" i="2"/>
  <c r="G11" i="2"/>
  <c r="D11" i="2"/>
  <c r="C11" i="2"/>
  <c r="A11" i="2"/>
  <c r="C3" i="16"/>
  <c r="F10" i="2"/>
  <c r="G10" i="2"/>
  <c r="D10" i="2"/>
  <c r="C10" i="2"/>
  <c r="A10" i="2"/>
  <c r="F9" i="2"/>
  <c r="G9" i="2"/>
  <c r="D9" i="2"/>
  <c r="C9" i="2"/>
  <c r="A9" i="2"/>
  <c r="F8" i="2"/>
  <c r="G8" i="2"/>
  <c r="D8" i="2"/>
  <c r="C8" i="2"/>
  <c r="A8" i="2"/>
  <c r="F6" i="2"/>
  <c r="A6" i="2"/>
  <c r="C6" i="2"/>
  <c r="D6" i="2"/>
  <c r="G6" i="2"/>
  <c r="F7" i="2"/>
  <c r="A7" i="2"/>
  <c r="C7" i="2"/>
  <c r="D7" i="2"/>
  <c r="G7" i="2"/>
  <c r="J2" i="11"/>
  <c r="F2" i="2"/>
  <c r="A2" i="2"/>
  <c r="F3" i="2"/>
  <c r="A3" i="2"/>
  <c r="F4" i="2"/>
  <c r="A4" i="2"/>
  <c r="F5" i="2"/>
  <c r="A5" i="2"/>
  <c r="G2" i="10"/>
  <c r="H2" i="10"/>
  <c r="I2" i="10"/>
  <c r="J2" i="10"/>
  <c r="K2" i="10"/>
  <c r="G2" i="2"/>
  <c r="C2" i="2"/>
  <c r="D2" i="2"/>
  <c r="C3" i="2"/>
  <c r="D3" i="2"/>
  <c r="G3" i="2"/>
  <c r="C4" i="2"/>
  <c r="D4" i="2"/>
  <c r="G4" i="2"/>
  <c r="C5" i="2"/>
  <c r="D5" i="2"/>
  <c r="G5" i="2"/>
  <c r="C12" i="16"/>
  <c r="C11" i="16"/>
  <c r="C10" i="16"/>
  <c r="C8" i="16"/>
  <c r="C7" i="16"/>
  <c r="C6" i="16"/>
  <c r="C5" i="16"/>
  <c r="C4" i="16"/>
  <c r="E12" i="16"/>
  <c r="E11" i="16"/>
  <c r="D2" i="19"/>
  <c r="C2" i="19"/>
  <c r="E10" i="16"/>
  <c r="E8" i="16"/>
  <c r="E7" i="16"/>
  <c r="E6" i="16"/>
  <c r="E5" i="16"/>
  <c r="E4" i="16"/>
  <c r="E3" i="16"/>
  <c r="E2" i="16"/>
  <c r="A2" i="9"/>
</calcChain>
</file>

<file path=xl/comments1.xml><?xml version="1.0" encoding="utf-8"?>
<comments xmlns="http://schemas.openxmlformats.org/spreadsheetml/2006/main">
  <authors>
    <author>Linkedbrain 社用MacPC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<sst xmlns="http://schemas.openxmlformats.org/spreadsheetml/2006/main" count="324" uniqueCount="181">
  <si>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</si>
  <si>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</si>
  <si>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</si>
  <si>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</si>
  <si>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</si>
  <si>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</si>
  <si>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</si>
  <si>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</si>
  <si>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</si>
  <si>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</si>
  <si>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</si>
  <si>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</si>
  <si>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</si>
  <si>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</si>
  <si>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</si>
  <si>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</si>
  <si>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skill_set_id</t>
  </si>
  <si>
    <t>temp_floor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</si>
  <si>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</si>
  <si>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</si>
  <si>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</si>
  <si>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</si>
  <si>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</si>
  <si>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</si>
  <si>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</si>
  <si>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</si>
  <si>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</si>
  <si>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</si>
  <si>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</si>
  <si>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</si>
  <si>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</si>
  <si>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</si>
  <si>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</si>
  <si>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</si>
  <si>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</si>
  <si>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</si>
  <si>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</si>
  <si>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</si>
  <si>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</si>
  <si>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</si>
  <si>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</si>
  <si>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</si>
  <si>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</si>
  <si>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</si>
  <si>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</si>
  <si>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</si>
  <si>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</si>
  <si>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</si>
  <si>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</si>
  <si>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</si>
  <si>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priority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</si>
  <si>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</si>
  <si>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</si>
  <si>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</si>
  <si>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</si>
  <si>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</si>
  <si>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</si>
  <si>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</si>
  <si>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</si>
  <si>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</si>
  <si>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</si>
  <si>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</si>
  <si>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</si>
  <si>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</si>
  <si>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</si>
  <si>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</si>
  <si>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</si>
  <si>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</si>
  <si>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</si>
  <si>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</si>
  <si>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</si>
  <si>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</si>
  <si>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</si>
  <si>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</si>
  <si>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</si>
  <si>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</si>
  <si>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</si>
  <si>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</si>
  <si>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</si>
  <si>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</si>
  <si>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</si>
  <si>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</si>
  <si>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</si>
  <si>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</si>
  <si>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</si>
  <si>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</si>
  <si>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</si>
  <si>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</si>
  <si>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</si>
  <si>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</si>
  <si>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</si>
  <si>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</si>
  <si>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</si>
  <si>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</si>
  <si>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</si>
  <si>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</si>
  <si>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</si>
  <si>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</si>
  <si>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</si>
  <si>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</si>
  <si>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</si>
  <si>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</si>
  <si>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</si>
  <si>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</si>
  <si>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</si>
  <si>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出力flg</t>
    <rPh sb="0" eb="2">
      <t>シュツリョク</t>
    </rPh>
    <phoneticPr fontId="5"/>
  </si>
  <si>
    <t>効果１文字列</t>
    <rPh sb="0" eb="2">
      <t>コウカ</t>
    </rPh>
    <rPh sb="3" eb="6">
      <t>モジレツ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</si>
  <si>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</si>
  <si>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</si>
  <si>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</si>
  <si>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</si>
  <si>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</si>
  <si>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</si>
  <si>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stage_id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</si>
  <si>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</si>
  <si>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</si>
  <si>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</si>
  <si>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</si>
  <si>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</si>
  <si>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</si>
  <si>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</si>
  <si>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</si>
  <si>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</si>
  <si>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</si>
  <si>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</si>
  <si>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</si>
  <si>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</si>
  <si>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hint_id</t>
    <phoneticPr fontId="5"/>
  </si>
  <si>
    <t>failure</t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</si>
  <si>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</si>
  <si>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</si>
  <si>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</si>
  <si>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</si>
  <si>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</si>
  <si>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</si>
  <si>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</si>
  <si>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</si>
  <si>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t>stage_hints_failure</t>
    <phoneticPr fontId="5"/>
  </si>
  <si>
    <t>stage_hints_failure</t>
    <phoneticPr fontId="5"/>
  </si>
  <si>
    <t>ja</t>
    <phoneticPr fontId="5"/>
  </si>
  <si>
    <t>先手用</t>
    <phoneticPr fontId="5"/>
  </si>
  <si>
    <t>備考</t>
    <phoneticPr fontId="5"/>
  </si>
  <si>
    <t>complete</t>
    <phoneticPr fontId="5"/>
  </si>
  <si>
    <t>1YRev</t>
    <phoneticPr fontId="5"/>
  </si>
  <si>
    <t>old</t>
    <phoneticPr fontId="5"/>
  </si>
  <si>
    <t>seq_no</t>
  </si>
  <si>
    <t>skill_level</t>
  </si>
  <si>
    <t>NULL</t>
  </si>
  <si>
    <t>enemy_habitats</t>
    <phoneticPr fontId="5"/>
  </si>
  <si>
    <t>state_no</t>
  </si>
  <si>
    <t>[effect:hungup, target:unit_all, turn:-1, rate:1][effect:suicide, val:1, dead_type:escape, target:enemy_all][effect:sleep, target:unit_all, turn:1, rate:1][effect:degrade_unit, target:unit_all, turn:3, status:attack, val:1.0, calc:mul]</t>
    <phoneticPr fontId="5"/>
  </si>
  <si>
    <t>ほろ苦い 恋の物語 ピョ</t>
    <phoneticPr fontId="5"/>
  </si>
  <si>
    <t>「バレンタイン 狂騒曲」</t>
    <phoneticPr fontId="5"/>
  </si>
  <si>
    <t>[effect:suicide, val:1, dead_type:escape, target:enemy_all][effect:sleep, target:unit_all, turn:1, rate:1][effect:hungup, target:unit_all, turn:-1, rate:1][effect:degrade_unit, target:unit_all, turn:-1, status:attack, val:1, calc:mul]</t>
    <phoneticPr fontId="5"/>
  </si>
  <si>
    <t>「等身大の メモリアル」</t>
    <phoneticPr fontId="5"/>
  </si>
  <si>
    <t>これは ウィルスユニットたちの</t>
    <phoneticPr fontId="5"/>
  </si>
  <si>
    <t>[effect:sleep, target:unit_all, turn:1, rate:1],[effect:hungup, target:unit_all, turn:-1, rate:1],[effect:suicide, val:1, dead_type:escape, target:enemy_all],[effect:degrade_unit, target:unit_all, turn:-1, status:attack, val:1.0, calc:mul]</t>
    <phoneticPr fontId="5"/>
  </si>
  <si>
    <t>「ホワイトデー独騒曲」</t>
    <phoneticPr fontId="5"/>
  </si>
  <si>
    <t>小さな恋の物語 ケロ</t>
    <phoneticPr fontId="5"/>
  </si>
  <si>
    <t>stage_bug_bonuses_</t>
    <phoneticPr fontId="5"/>
  </si>
  <si>
    <t>stage_bug_bonuses</t>
    <phoneticPr fontId="5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</si>
  <si>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</si>
  <si>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</si>
  <si>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</si>
  <si>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</si>
  <si>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</si>
  <si>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weight</t>
    <phoneticPr fontId="5"/>
  </si>
  <si>
    <t>definite_start_date</t>
    <phoneticPr fontId="5"/>
  </si>
  <si>
    <t>definite_end_date</t>
    <phoneticPr fontId="5"/>
  </si>
  <si>
    <t>stage_target</t>
  </si>
  <si>
    <t>bonus_id</t>
  </si>
  <si>
    <t>bonus_type</t>
  </si>
  <si>
    <t>bonus_value</t>
  </si>
  <si>
    <t>bonus_count</t>
  </si>
  <si>
    <t>weight</t>
  </si>
  <si>
    <t>definite_start_date</t>
  </si>
  <si>
    <t>definite_end_date</t>
  </si>
  <si>
    <t>multionly</t>
  </si>
  <si>
    <t>unit</t>
  </si>
  <si>
    <t>stage_hints_data_</t>
    <phoneticPr fontId="5"/>
  </si>
  <si>
    <t>stage_hints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</si>
</sst>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7" fillId="0" borderId="0"/>
    <xf numFmtId="38" fontId="18" fillId="0" borderId="0" applyFill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0" borderId="0"/>
    <xf numFmtId="0" fontId="22" fillId="0" borderId="0">
      <alignment vertical="center"/>
    </xf>
    <xf numFmtId="0" fontId="23" fillId="0" borderId="0">
      <alignment vertical="center"/>
    </xf>
    <xf numFmtId="0" fontId="24" fillId="9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0" fillId="13" borderId="5" applyNumberFormat="0" applyAlignment="0" applyProtection="0"/>
    <xf numFmtId="0" fontId="31" fillId="14" borderId="0" applyNumberFormat="0" applyBorder="0" applyAlignment="0" applyProtection="0"/>
    <xf numFmtId="0" fontId="32" fillId="15" borderId="6" applyNumberFormat="0" applyAlignment="0" applyProtection="0"/>
    <xf numFmtId="0" fontId="33" fillId="0" borderId="0" applyNumberFormat="0" applyFill="0" applyBorder="0" applyAlignment="0" applyProtection="0"/>
    <xf numFmtId="0" fontId="34" fillId="16" borderId="0" applyNumberFormat="0" applyBorder="0" applyAlignment="0" applyProtection="0"/>
    <xf numFmtId="0" fontId="35" fillId="17" borderId="7" applyNumberFormat="0" applyAlignment="0" applyProtection="0"/>
    <xf numFmtId="0" fontId="36" fillId="0" borderId="0" applyNumberFormat="0" applyFill="0" applyBorder="0" applyAlignment="0" applyProtection="0"/>
    <xf numFmtId="0" fontId="37" fillId="0" borderId="8" applyNumberFormat="0" applyFill="0" applyAlignment="0" applyProtection="0"/>
    <xf numFmtId="0" fontId="38" fillId="0" borderId="9" applyNumberFormat="0" applyFill="0" applyAlignment="0" applyProtection="0"/>
    <xf numFmtId="0" fontId="39" fillId="0" borderId="10" applyNumberFormat="0" applyFill="0" applyAlignment="0" applyProtection="0"/>
    <xf numFmtId="0" fontId="39" fillId="0" borderId="0" applyNumberFormat="0" applyFill="0" applyBorder="0" applyAlignment="0" applyProtection="0"/>
    <xf numFmtId="0" fontId="40" fillId="15" borderId="0" applyNumberFormat="0" applyBorder="0" applyAlignment="0" applyProtection="0"/>
    <xf numFmtId="0" fontId="40" fillId="14" borderId="0" applyNumberFormat="0" applyBorder="0" applyAlignment="0" applyProtection="0"/>
    <xf numFmtId="0" fontId="40" fillId="18" borderId="0" applyNumberFormat="0" applyBorder="0" applyAlignment="0" applyProtection="0"/>
    <xf numFmtId="0" fontId="40" fillId="15" borderId="0" applyNumberFormat="0" applyBorder="0" applyAlignment="0" applyProtection="0"/>
    <xf numFmtId="0" fontId="40" fillId="19" borderId="0" applyNumberFormat="0" applyBorder="0" applyAlignment="0" applyProtection="0"/>
    <xf numFmtId="0" fontId="40" fillId="13" borderId="0" applyNumberFormat="0" applyBorder="0" applyAlignment="0" applyProtection="0"/>
    <xf numFmtId="0" fontId="40" fillId="15" borderId="0" applyNumberFormat="0" applyBorder="0" applyAlignment="0" applyProtection="0"/>
    <xf numFmtId="0" fontId="40" fillId="20" borderId="0" applyNumberFormat="0" applyBorder="0" applyAlignment="0" applyProtection="0"/>
    <xf numFmtId="0" fontId="40" fillId="18" borderId="0" applyNumberFormat="0" applyBorder="0" applyAlignment="0" applyProtection="0"/>
    <xf numFmtId="0" fontId="40" fillId="15" borderId="0" applyNumberFormat="0" applyBorder="0" applyAlignment="0" applyProtection="0"/>
    <xf numFmtId="0" fontId="40" fillId="21" borderId="0" applyNumberFormat="0" applyBorder="0" applyAlignment="0" applyProtection="0"/>
    <xf numFmtId="0" fontId="40" fillId="14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1" fillId="18" borderId="0" applyNumberFormat="0" applyBorder="0" applyAlignment="0" applyProtection="0"/>
    <xf numFmtId="0" fontId="41" fillId="15" borderId="0" applyNumberFormat="0" applyBorder="0" applyAlignment="0" applyProtection="0"/>
    <xf numFmtId="0" fontId="41" fillId="22" borderId="0" applyNumberFormat="0" applyBorder="0" applyAlignment="0" applyProtection="0"/>
    <xf numFmtId="0" fontId="41" fillId="14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22" borderId="0" applyNumberFormat="0" applyBorder="0" applyAlignment="0" applyProtection="0"/>
    <xf numFmtId="0" fontId="41" fillId="23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22" borderId="0" applyNumberFormat="0" applyBorder="0" applyAlignment="0" applyProtection="0"/>
    <xf numFmtId="0" fontId="41" fillId="20" borderId="0" applyNumberFormat="0" applyBorder="0" applyAlignment="0" applyProtection="0"/>
    <xf numFmtId="0" fontId="42" fillId="25" borderId="0" applyNumberFormat="0" applyBorder="0" applyAlignment="0" applyProtection="0"/>
    <xf numFmtId="0" fontId="31" fillId="14" borderId="0" applyNumberFormat="0" applyBorder="0" applyAlignment="0" applyProtection="0"/>
    <xf numFmtId="0" fontId="43" fillId="0" borderId="11" applyNumberFormat="0" applyFill="0" applyAlignment="0" applyProtection="0"/>
    <xf numFmtId="0" fontId="44" fillId="15" borderId="12" applyNumberFormat="0" applyAlignment="0" applyProtection="0"/>
    <xf numFmtId="0" fontId="44" fillId="26" borderId="12" applyNumberFormat="0" applyAlignment="0" applyProtection="0"/>
    <xf numFmtId="0" fontId="32" fillId="14" borderId="6" applyNumberFormat="0" applyAlignment="0" applyProtection="0"/>
    <xf numFmtId="0" fontId="45" fillId="0" borderId="13" applyNumberFormat="0" applyFill="0" applyAlignment="0" applyProtection="0"/>
    <xf numFmtId="0" fontId="46" fillId="26" borderId="6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1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6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11" fillId="6" borderId="0" xfId="0" applyFont="1" applyFill="1" applyAlignment="1">
      <alignment vertical="center"/>
    </xf>
    <xf numFmtId="0" fontId="6" fillId="4" borderId="3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13" fillId="6" borderId="0" xfId="0" applyFont="1" applyFill="1" applyAlignment="1">
      <alignment vertical="center"/>
    </xf>
    <xf numFmtId="0" fontId="15" fillId="5" borderId="3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5" fillId="3" borderId="3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vertical="center"/>
    </xf>
    <xf numFmtId="0" fontId="15" fillId="3" borderId="3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3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center" vertical="center"/>
    </xf>
    <xf numFmtId="0" fontId="12" fillId="10" borderId="3" xfId="0" applyFont="1" applyFill="1" applyBorder="1"/>
    <xf numFmtId="0" fontId="0" fillId="10" borderId="3" xfId="0" applyFill="1" applyBorder="1"/>
    <xf numFmtId="0" fontId="0" fillId="0" borderId="3" xfId="0" applyBorder="1"/>
    <xf numFmtId="0" fontId="0" fillId="5" borderId="3" xfId="0" applyFill="1" applyBorder="1"/>
    <xf numFmtId="0" fontId="25" fillId="11" borderId="3" xfId="0" applyFont="1" applyFill="1" applyBorder="1"/>
    <xf numFmtId="0" fontId="12" fillId="10" borderId="3" xfId="434" applyFont="1" applyFill="1" applyBorder="1" applyAlignment="1"/>
    <xf numFmtId="0" fontId="0" fillId="12" borderId="3" xfId="0" applyFill="1" applyBorder="1"/>
    <xf numFmtId="0" fontId="15" fillId="3" borderId="3" xfId="0" applyFont="1" applyFill="1" applyBorder="1" applyAlignment="1">
      <alignment horizontal="left" vertical="center" wrapText="1"/>
    </xf>
    <xf numFmtId="0" fontId="0" fillId="5" borderId="3" xfId="615" applyFont="1" applyFill="1" applyBorder="1"/>
    <xf numFmtId="0" fontId="0" fillId="0" borderId="3" xfId="615" applyFont="1" applyBorder="1"/>
    <xf numFmtId="0" fontId="2" fillId="10" borderId="3" xfId="615" applyFill="1" applyBorder="1"/>
    <xf numFmtId="0" fontId="15" fillId="5" borderId="3" xfId="0" applyFont="1" applyFill="1" applyBorder="1" applyAlignment="1">
      <alignment horizontal="center"/>
    </xf>
    <xf numFmtId="56" fontId="15" fillId="5" borderId="3" xfId="0" applyNumberFormat="1" applyFont="1" applyFill="1" applyBorder="1" applyAlignment="1">
      <alignment horizontal="center"/>
    </xf>
    <xf numFmtId="0" fontId="2" fillId="0" borderId="0" xfId="615"/>
    <xf numFmtId="0" fontId="26" fillId="5" borderId="3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26" fillId="0" borderId="3" xfId="0" applyFont="1" applyFill="1" applyBorder="1"/>
    <xf numFmtId="0" fontId="27" fillId="0" borderId="3" xfId="0" applyFont="1" applyFill="1" applyBorder="1"/>
    <xf numFmtId="0" fontId="29" fillId="0" borderId="3" xfId="0" applyFont="1" applyFill="1" applyBorder="1"/>
    <xf numFmtId="0" fontId="26" fillId="0" borderId="0" xfId="0" applyFont="1" applyFill="1"/>
    <xf numFmtId="0" fontId="15" fillId="12" borderId="3" xfId="0" applyFont="1" applyFill="1" applyBorder="1" applyAlignment="1">
      <alignment horizontal="center"/>
    </xf>
    <xf numFmtId="0" fontId="15" fillId="5" borderId="3" xfId="11" applyFont="1" applyFill="1" applyBorder="1" applyAlignment="1">
      <alignment horizontal="left"/>
    </xf>
    <xf numFmtId="0" fontId="2" fillId="0" borderId="3" xfId="615" applyBorder="1"/>
    <xf numFmtId="0" fontId="2" fillId="5" borderId="3" xfId="615" applyFill="1" applyBorder="1"/>
    <xf numFmtId="49" fontId="15" fillId="0" borderId="0" xfId="0" applyNumberFormat="1" applyFont="1" applyFill="1" applyAlignment="1">
      <alignment vertical="center"/>
    </xf>
    <xf numFmtId="0" fontId="26" fillId="0" borderId="0" xfId="0" applyFont="1" applyFill="1" applyBorder="1"/>
    <xf numFmtId="0" fontId="27" fillId="0" borderId="0" xfId="0" applyFont="1" applyFill="1" applyBorder="1"/>
    <xf numFmtId="0" fontId="28" fillId="3" borderId="0" xfId="0" applyFont="1" applyFill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0" fillId="0" borderId="0" xfId="0" applyBorder="1"/>
    <xf numFmtId="0" fontId="25" fillId="0" borderId="0" xfId="0" applyFont="1" applyBorder="1"/>
    <xf numFmtId="0" fontId="28" fillId="3" borderId="3" xfId="0" applyFont="1" applyFill="1" applyBorder="1" applyAlignment="1">
      <alignment vertical="center"/>
    </xf>
    <xf numFmtId="0" fontId="28" fillId="0" borderId="3" xfId="0" applyFont="1" applyFill="1" applyBorder="1" applyAlignment="1">
      <alignment vertical="center"/>
    </xf>
    <xf numFmtId="0" fontId="13" fillId="10" borderId="0" xfId="0" applyFont="1" applyFill="1" applyAlignment="1">
      <alignment horizontal="center" vertical="center"/>
    </xf>
    <xf numFmtId="0" fontId="15" fillId="10" borderId="3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0" fontId="23" fillId="27" borderId="3" xfId="434" applyFill="1" applyBorder="1" applyAlignment="1"/>
    <xf numFmtId="0" fontId="0" fillId="27" borderId="3" xfId="615" applyFont="1" applyFill="1" applyBorder="1"/>
    <xf numFmtId="0" fontId="23" fillId="0" borderId="3" xfId="434" applyFill="1" applyBorder="1" applyAlignment="1"/>
    <xf numFmtId="0" fontId="25" fillId="11" borderId="4" xfId="0" applyFont="1" applyFill="1" applyBorder="1"/>
    <xf numFmtId="0" fontId="15" fillId="0" borderId="3" xfId="0" applyFont="1" applyFill="1" applyBorder="1" applyAlignment="1">
      <alignment vertical="center" wrapText="1"/>
    </xf>
    <xf numFmtId="0" fontId="15" fillId="0" borderId="3" xfId="0" applyFont="1" applyFill="1" applyBorder="1" applyAlignment="1">
      <alignment horizontal="left" vertical="center" wrapText="1"/>
    </xf>
    <xf numFmtId="0" fontId="15" fillId="5" borderId="3" xfId="614" applyFont="1" applyFill="1" applyBorder="1" applyAlignment="1">
      <alignment horizontal="left"/>
    </xf>
    <xf numFmtId="22" fontId="0" fillId="0" borderId="0" xfId="0" applyNumberFormat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11226</v>
          </cell>
        </row>
        <row r="81">
          <cell r="A81">
            <v>12001</v>
          </cell>
        </row>
        <row r="82">
          <cell r="A82">
            <v>12002</v>
          </cell>
        </row>
        <row r="83">
          <cell r="A83">
            <v>12003</v>
          </cell>
        </row>
        <row r="84">
          <cell r="A84">
            <v>12004</v>
          </cell>
        </row>
        <row r="85">
          <cell r="A85">
            <v>13001</v>
          </cell>
        </row>
        <row r="86">
          <cell r="A86">
            <v>14001</v>
          </cell>
        </row>
        <row r="87">
          <cell r="A87">
            <v>14002</v>
          </cell>
        </row>
        <row r="88">
          <cell r="A88">
            <v>14003</v>
          </cell>
        </row>
        <row r="89">
          <cell r="A89">
            <v>14004</v>
          </cell>
        </row>
        <row r="90">
          <cell r="A90">
            <v>14005</v>
          </cell>
        </row>
        <row r="91">
          <cell r="A91">
            <v>14006</v>
          </cell>
        </row>
        <row r="92">
          <cell r="A92">
            <v>15027</v>
          </cell>
        </row>
        <row r="93">
          <cell r="A93">
            <v>15028</v>
          </cell>
        </row>
        <row r="94">
          <cell r="A94">
            <v>15029</v>
          </cell>
        </row>
        <row r="95">
          <cell r="A95">
            <v>15030</v>
          </cell>
        </row>
        <row r="96">
          <cell r="A96">
            <v>15031</v>
          </cell>
        </row>
        <row r="97">
          <cell r="A97">
            <v>20001</v>
          </cell>
        </row>
        <row r="98">
          <cell r="A98">
            <v>20002</v>
          </cell>
        </row>
        <row r="99">
          <cell r="A99">
            <v>20003</v>
          </cell>
        </row>
        <row r="100">
          <cell r="A100">
            <v>20004</v>
          </cell>
        </row>
        <row r="101">
          <cell r="A101">
            <v>20005</v>
          </cell>
        </row>
        <row r="102">
          <cell r="A102">
            <v>20006</v>
          </cell>
        </row>
        <row r="103">
          <cell r="A103">
            <v>20007</v>
          </cell>
        </row>
        <row r="104">
          <cell r="A104">
            <v>20008</v>
          </cell>
        </row>
        <row r="105">
          <cell r="A105">
            <v>20009</v>
          </cell>
        </row>
        <row r="106">
          <cell r="A106">
            <v>20010</v>
          </cell>
        </row>
        <row r="107">
          <cell r="A107">
            <v>20011</v>
          </cell>
        </row>
        <row r="108">
          <cell r="A108">
            <v>20012</v>
          </cell>
        </row>
        <row r="109">
          <cell r="A109">
            <v>20013</v>
          </cell>
        </row>
        <row r="110">
          <cell r="A110">
            <v>20014</v>
          </cell>
        </row>
        <row r="111">
          <cell r="A111">
            <v>20015</v>
          </cell>
        </row>
        <row r="112">
          <cell r="A112">
            <v>20016</v>
          </cell>
        </row>
        <row r="113">
          <cell r="A113">
            <v>20017</v>
          </cell>
        </row>
        <row r="114">
          <cell r="A114">
            <v>30001</v>
          </cell>
        </row>
        <row r="115">
          <cell r="A115">
            <v>30002</v>
          </cell>
        </row>
        <row r="116">
          <cell r="A116">
            <v>30003</v>
          </cell>
        </row>
        <row r="117">
          <cell r="A117">
            <v>30004</v>
          </cell>
        </row>
        <row r="118">
          <cell r="A118">
            <v>30005</v>
          </cell>
        </row>
        <row r="119">
          <cell r="A119">
            <v>30006</v>
          </cell>
        </row>
        <row r="120">
          <cell r="A120">
            <v>30007</v>
          </cell>
        </row>
        <row r="121">
          <cell r="A121">
            <v>30008</v>
          </cell>
        </row>
        <row r="122">
          <cell r="A122">
            <v>30009</v>
          </cell>
        </row>
        <row r="123">
          <cell r="A123">
            <v>30010</v>
          </cell>
        </row>
        <row r="124">
          <cell r="A124">
            <v>30011</v>
          </cell>
        </row>
        <row r="125">
          <cell r="A125">
            <v>30012</v>
          </cell>
        </row>
        <row r="126">
          <cell r="A126">
            <v>30013</v>
          </cell>
        </row>
        <row r="127">
          <cell r="A127">
            <v>30014</v>
          </cell>
        </row>
        <row r="128">
          <cell r="A128">
            <v>30015</v>
          </cell>
        </row>
        <row r="129">
          <cell r="A129">
            <v>30016</v>
          </cell>
        </row>
        <row r="130">
          <cell r="A130">
            <v>30017</v>
          </cell>
        </row>
        <row r="131">
          <cell r="A131">
            <v>30018</v>
          </cell>
        </row>
        <row r="132">
          <cell r="A132">
            <v>30019</v>
          </cell>
        </row>
        <row r="133">
          <cell r="A133">
            <v>30020</v>
          </cell>
        </row>
        <row r="134">
          <cell r="A134">
            <v>30021</v>
          </cell>
        </row>
        <row r="135">
          <cell r="A135">
            <v>30022</v>
          </cell>
        </row>
        <row r="136">
          <cell r="A136">
            <v>30023</v>
          </cell>
        </row>
        <row r="137">
          <cell r="A137">
            <v>30024</v>
          </cell>
        </row>
        <row r="138">
          <cell r="A138">
            <v>30025</v>
          </cell>
        </row>
        <row r="139">
          <cell r="A139">
            <v>30026</v>
          </cell>
        </row>
        <row r="140">
          <cell r="A140">
            <v>30027</v>
          </cell>
        </row>
        <row r="141">
          <cell r="A141">
            <v>30028</v>
          </cell>
        </row>
        <row r="142">
          <cell r="A142">
            <v>30029</v>
          </cell>
        </row>
        <row r="143">
          <cell r="A143">
            <v>30030</v>
          </cell>
        </row>
        <row r="144">
          <cell r="A144">
            <v>30031</v>
          </cell>
        </row>
        <row r="145">
          <cell r="A145">
            <v>30032</v>
          </cell>
        </row>
        <row r="146">
          <cell r="A146">
            <v>30033</v>
          </cell>
        </row>
        <row r="147">
          <cell r="A147">
            <v>30034</v>
          </cell>
        </row>
        <row r="148">
          <cell r="A148">
            <v>30035</v>
          </cell>
        </row>
        <row r="149">
          <cell r="A149">
            <v>30036</v>
          </cell>
        </row>
        <row r="150">
          <cell r="A150">
            <v>30037</v>
          </cell>
        </row>
        <row r="151">
          <cell r="A151">
            <v>39001</v>
          </cell>
        </row>
        <row r="152">
          <cell r="A152">
            <v>39002</v>
          </cell>
        </row>
        <row r="153">
          <cell r="A153">
            <v>39003</v>
          </cell>
        </row>
        <row r="154">
          <cell r="A154">
            <v>39004</v>
          </cell>
        </row>
        <row r="155">
          <cell r="A155">
            <v>39005</v>
          </cell>
        </row>
        <row r="156">
          <cell r="A156">
            <v>39006</v>
          </cell>
        </row>
        <row r="157">
          <cell r="A157">
            <v>40001</v>
          </cell>
        </row>
        <row r="158">
          <cell r="A158">
            <v>40002</v>
          </cell>
        </row>
        <row r="159">
          <cell r="A159">
            <v>40003</v>
          </cell>
        </row>
        <row r="160">
          <cell r="A160">
            <v>40004</v>
          </cell>
        </row>
        <row r="161">
          <cell r="A161">
            <v>40005</v>
          </cell>
        </row>
        <row r="162">
          <cell r="A162">
            <v>40006</v>
          </cell>
        </row>
        <row r="163">
          <cell r="A163">
            <v>40007</v>
          </cell>
        </row>
        <row r="164">
          <cell r="A164">
            <v>40008</v>
          </cell>
        </row>
        <row r="165">
          <cell r="A165">
            <v>40009</v>
          </cell>
        </row>
        <row r="166">
          <cell r="A166">
            <v>40010</v>
          </cell>
        </row>
        <row r="167">
          <cell r="A167">
            <v>40011</v>
          </cell>
        </row>
        <row r="168">
          <cell r="A168">
            <v>40012</v>
          </cell>
        </row>
        <row r="169">
          <cell r="A169">
            <v>40013</v>
          </cell>
        </row>
        <row r="170">
          <cell r="A170">
            <v>40014</v>
          </cell>
        </row>
        <row r="171">
          <cell r="A171">
            <v>40015</v>
          </cell>
        </row>
        <row r="172">
          <cell r="A172">
            <v>40016</v>
          </cell>
        </row>
        <row r="173">
          <cell r="A173">
            <v>40017</v>
          </cell>
        </row>
        <row r="174">
          <cell r="A174">
            <v>40018</v>
          </cell>
        </row>
        <row r="175">
          <cell r="A175">
            <v>40019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41011</v>
          </cell>
        </row>
        <row r="190">
          <cell r="A190">
            <v>41012</v>
          </cell>
        </row>
        <row r="191">
          <cell r="A191">
            <v>47001</v>
          </cell>
        </row>
        <row r="192">
          <cell r="A192">
            <v>47002</v>
          </cell>
        </row>
        <row r="193">
          <cell r="A193">
            <v>49001</v>
          </cell>
        </row>
        <row r="194">
          <cell r="A194">
            <v>49002</v>
          </cell>
        </row>
        <row r="195">
          <cell r="A195">
            <v>49003</v>
          </cell>
        </row>
        <row r="196">
          <cell r="A196">
            <v>49004</v>
          </cell>
        </row>
        <row r="197">
          <cell r="A197">
            <v>49005</v>
          </cell>
        </row>
        <row r="198">
          <cell r="A198">
            <v>49006</v>
          </cell>
        </row>
        <row r="199">
          <cell r="A199">
            <v>50001</v>
          </cell>
        </row>
        <row r="200">
          <cell r="A200">
            <v>50002</v>
          </cell>
        </row>
        <row r="201">
          <cell r="A201">
            <v>50003</v>
          </cell>
        </row>
        <row r="202">
          <cell r="A202">
            <v>50004</v>
          </cell>
        </row>
        <row r="203">
          <cell r="A203">
            <v>50005</v>
          </cell>
        </row>
        <row r="204">
          <cell r="A204">
            <v>51001</v>
          </cell>
        </row>
        <row r="205">
          <cell r="A205">
            <v>51002</v>
          </cell>
        </row>
        <row r="206">
          <cell r="A206">
            <v>60001</v>
          </cell>
        </row>
        <row r="207">
          <cell r="A207">
            <v>60002</v>
          </cell>
        </row>
        <row r="208">
          <cell r="A208">
            <v>60003</v>
          </cell>
        </row>
        <row r="209">
          <cell r="A209">
            <v>60004</v>
          </cell>
        </row>
        <row r="210">
          <cell r="A210">
            <v>60005</v>
          </cell>
        </row>
        <row r="211">
          <cell r="A211">
            <v>60006</v>
          </cell>
        </row>
        <row r="212">
          <cell r="A212">
            <v>60007</v>
          </cell>
        </row>
        <row r="213">
          <cell r="A213">
            <v>60010</v>
          </cell>
        </row>
        <row r="214">
          <cell r="A214">
            <v>60011</v>
          </cell>
        </row>
        <row r="215">
          <cell r="A215">
            <v>65534</v>
          </cell>
        </row>
        <row r="216">
          <cell r="A216">
            <v>65535</v>
          </cell>
        </row>
        <row r="217">
          <cell r="A217">
            <v>60021</v>
          </cell>
        </row>
        <row r="218">
          <cell r="A218">
            <v>60022</v>
          </cell>
        </row>
        <row r="219">
          <cell r="A219">
            <v>60023</v>
          </cell>
        </row>
        <row r="220">
          <cell r="A22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11226_1</v>
          </cell>
        </row>
        <row r="275">
          <cell r="A275" t="str">
            <v>11226_2</v>
          </cell>
        </row>
        <row r="276">
          <cell r="A276" t="str">
            <v>11226_3</v>
          </cell>
        </row>
        <row r="277">
          <cell r="A277" t="str">
            <v>11226_4</v>
          </cell>
        </row>
        <row r="278">
          <cell r="A278" t="str">
            <v>11226_5</v>
          </cell>
        </row>
        <row r="279">
          <cell r="A279" t="str">
            <v>11226_6</v>
          </cell>
        </row>
        <row r="280">
          <cell r="A280" t="str">
            <v>11226_7</v>
          </cell>
        </row>
        <row r="281">
          <cell r="A281" t="str">
            <v>11226_8</v>
          </cell>
        </row>
        <row r="282">
          <cell r="A282" t="str">
            <v>12001_1</v>
          </cell>
        </row>
        <row r="283">
          <cell r="A283" t="str">
            <v>12001_2</v>
          </cell>
        </row>
        <row r="284">
          <cell r="A284" t="str">
            <v>12001_3</v>
          </cell>
        </row>
        <row r="285">
          <cell r="A285" t="str">
            <v>12002_1</v>
          </cell>
        </row>
        <row r="286">
          <cell r="A286" t="str">
            <v>12002_2</v>
          </cell>
        </row>
        <row r="287">
          <cell r="A287" t="str">
            <v>12003_1</v>
          </cell>
        </row>
        <row r="288">
          <cell r="A288" t="str">
            <v>12003_2</v>
          </cell>
        </row>
        <row r="289">
          <cell r="A289" t="str">
            <v>12003_3</v>
          </cell>
        </row>
        <row r="290">
          <cell r="A290" t="str">
            <v>12003_4</v>
          </cell>
        </row>
        <row r="291">
          <cell r="A291" t="str">
            <v>12004_1</v>
          </cell>
        </row>
        <row r="292">
          <cell r="A292" t="str">
            <v>13001_1</v>
          </cell>
        </row>
        <row r="293">
          <cell r="A293" t="str">
            <v>13001_2</v>
          </cell>
        </row>
        <row r="294">
          <cell r="A294" t="str">
            <v>13001_3</v>
          </cell>
        </row>
        <row r="295">
          <cell r="A295" t="str">
            <v>13001_4</v>
          </cell>
        </row>
        <row r="296">
          <cell r="A296" t="str">
            <v>13001_5</v>
          </cell>
        </row>
        <row r="297">
          <cell r="A297" t="str">
            <v>13001_6</v>
          </cell>
        </row>
        <row r="298">
          <cell r="A298" t="str">
            <v>13001_7</v>
          </cell>
        </row>
        <row r="299">
          <cell r="A299" t="str">
            <v>13001_8</v>
          </cell>
        </row>
        <row r="300">
          <cell r="A300" t="str">
            <v>13001_9</v>
          </cell>
        </row>
        <row r="301">
          <cell r="A301" t="str">
            <v>13001_10</v>
          </cell>
        </row>
        <row r="302">
          <cell r="A302" t="str">
            <v>13001_11</v>
          </cell>
        </row>
        <row r="303">
          <cell r="A303" t="str">
            <v>13001_12</v>
          </cell>
        </row>
        <row r="304">
          <cell r="A304" t="str">
            <v>13001_13</v>
          </cell>
        </row>
        <row r="305">
          <cell r="A305" t="str">
            <v>13001_14</v>
          </cell>
        </row>
        <row r="306">
          <cell r="A306" t="str">
            <v>13001_15</v>
          </cell>
        </row>
        <row r="307">
          <cell r="A307" t="str">
            <v>13001_16</v>
          </cell>
        </row>
        <row r="308">
          <cell r="A308" t="str">
            <v>13001_17</v>
          </cell>
        </row>
        <row r="309">
          <cell r="A309" t="str">
            <v>13001_18</v>
          </cell>
        </row>
        <row r="310">
          <cell r="A310" t="str">
            <v>13001_19</v>
          </cell>
        </row>
        <row r="311">
          <cell r="A311" t="str">
            <v>13001_20</v>
          </cell>
        </row>
        <row r="312">
          <cell r="A312" t="str">
            <v>13001_21</v>
          </cell>
        </row>
        <row r="313">
          <cell r="A313" t="str">
            <v>13001_22</v>
          </cell>
        </row>
        <row r="314">
          <cell r="A314" t="str">
            <v>13001_23</v>
          </cell>
        </row>
        <row r="315">
          <cell r="A315" t="str">
            <v>13001_24</v>
          </cell>
        </row>
        <row r="316">
          <cell r="A316" t="str">
            <v>13001_25</v>
          </cell>
        </row>
        <row r="317">
          <cell r="A317" t="str">
            <v>14001_1</v>
          </cell>
        </row>
        <row r="318">
          <cell r="A318" t="str">
            <v>14001_2</v>
          </cell>
        </row>
        <row r="319">
          <cell r="A319" t="str">
            <v>14001_3</v>
          </cell>
        </row>
        <row r="320">
          <cell r="A320" t="str">
            <v>14001_4</v>
          </cell>
        </row>
        <row r="321">
          <cell r="A321" t="str">
            <v>14001_5</v>
          </cell>
        </row>
        <row r="322">
          <cell r="A322" t="str">
            <v>14001_6</v>
          </cell>
        </row>
        <row r="323">
          <cell r="A323" t="str">
            <v>14001_7</v>
          </cell>
        </row>
        <row r="324">
          <cell r="A324" t="str">
            <v>14001_8</v>
          </cell>
        </row>
        <row r="325">
          <cell r="A325" t="str">
            <v>14002_1</v>
          </cell>
        </row>
        <row r="326">
          <cell r="A326" t="str">
            <v>14002_2</v>
          </cell>
        </row>
        <row r="327">
          <cell r="A327" t="str">
            <v>14003_1</v>
          </cell>
        </row>
        <row r="328">
          <cell r="A328" t="str">
            <v>14003_2</v>
          </cell>
        </row>
        <row r="329">
          <cell r="A329" t="str">
            <v>14003_3</v>
          </cell>
        </row>
        <row r="330">
          <cell r="A330" t="str">
            <v>14003_4</v>
          </cell>
        </row>
        <row r="331">
          <cell r="A331" t="str">
            <v>14004_1</v>
          </cell>
        </row>
        <row r="332">
          <cell r="A332" t="str">
            <v>14004_2</v>
          </cell>
        </row>
        <row r="333">
          <cell r="A333" t="str">
            <v>14004_3</v>
          </cell>
        </row>
        <row r="334">
          <cell r="A334" t="str">
            <v>14004_4</v>
          </cell>
        </row>
        <row r="335">
          <cell r="A335" t="str">
            <v>14005_1</v>
          </cell>
        </row>
        <row r="336">
          <cell r="A336" t="str">
            <v>14006_1</v>
          </cell>
        </row>
        <row r="337">
          <cell r="A337" t="str">
            <v>15027_1</v>
          </cell>
        </row>
        <row r="338">
          <cell r="A338" t="str">
            <v>15027_2</v>
          </cell>
        </row>
        <row r="339">
          <cell r="A339" t="str">
            <v>15027_3</v>
          </cell>
        </row>
        <row r="340">
          <cell r="A340" t="str">
            <v>15027_4</v>
          </cell>
        </row>
        <row r="341">
          <cell r="A341" t="str">
            <v>15028_1</v>
          </cell>
        </row>
        <row r="342">
          <cell r="A342" t="str">
            <v>15028_2</v>
          </cell>
        </row>
        <row r="343">
          <cell r="A343" t="str">
            <v>15028_3</v>
          </cell>
        </row>
        <row r="344">
          <cell r="A344" t="str">
            <v>15028_4</v>
          </cell>
        </row>
        <row r="345">
          <cell r="A345" t="str">
            <v>15029_1</v>
          </cell>
        </row>
        <row r="346">
          <cell r="A346" t="str">
            <v>15029_2</v>
          </cell>
        </row>
        <row r="347">
          <cell r="A347" t="str">
            <v>15029_3</v>
          </cell>
        </row>
        <row r="348">
          <cell r="A348" t="str">
            <v>15029_4</v>
          </cell>
        </row>
        <row r="349">
          <cell r="A349" t="str">
            <v>15030_1</v>
          </cell>
        </row>
        <row r="350">
          <cell r="A350" t="str">
            <v>15030_2</v>
          </cell>
        </row>
        <row r="351">
          <cell r="A351" t="str">
            <v>15030_3</v>
          </cell>
        </row>
        <row r="352">
          <cell r="A352" t="str">
            <v>15030_4</v>
          </cell>
        </row>
        <row r="353">
          <cell r="A353" t="str">
            <v>15031_1</v>
          </cell>
        </row>
        <row r="354">
          <cell r="A354" t="str">
            <v>15031_2</v>
          </cell>
        </row>
        <row r="355">
          <cell r="A355" t="str">
            <v>15031_3</v>
          </cell>
        </row>
        <row r="356">
          <cell r="A356" t="str">
            <v>15031_4</v>
          </cell>
        </row>
        <row r="357">
          <cell r="A357" t="str">
            <v>20001_1</v>
          </cell>
        </row>
        <row r="358">
          <cell r="A358" t="str">
            <v>20001_2</v>
          </cell>
        </row>
        <row r="359">
          <cell r="A359" t="str">
            <v>20001_3</v>
          </cell>
        </row>
        <row r="360">
          <cell r="A360" t="str">
            <v>20002_1</v>
          </cell>
        </row>
        <row r="361">
          <cell r="A361" t="str">
            <v>20002_2</v>
          </cell>
        </row>
        <row r="362">
          <cell r="A362" t="str">
            <v>20002_3</v>
          </cell>
        </row>
        <row r="363">
          <cell r="A363" t="str">
            <v>20003_1</v>
          </cell>
        </row>
        <row r="364">
          <cell r="A364" t="str">
            <v>20003_2</v>
          </cell>
        </row>
        <row r="365">
          <cell r="A365" t="str">
            <v>20003_3</v>
          </cell>
        </row>
        <row r="366">
          <cell r="A366" t="str">
            <v>20004_1</v>
          </cell>
        </row>
        <row r="367">
          <cell r="A367" t="str">
            <v>20004_2</v>
          </cell>
        </row>
        <row r="368">
          <cell r="A368" t="str">
            <v>20004_3</v>
          </cell>
        </row>
        <row r="369">
          <cell r="A369" t="str">
            <v>20005_1</v>
          </cell>
        </row>
        <row r="370">
          <cell r="A370" t="str">
            <v>20005_2</v>
          </cell>
        </row>
        <row r="371">
          <cell r="A371" t="str">
            <v>20005_3</v>
          </cell>
        </row>
        <row r="372">
          <cell r="A372" t="str">
            <v>20006_1</v>
          </cell>
        </row>
        <row r="373">
          <cell r="A373" t="str">
            <v>20006_2</v>
          </cell>
        </row>
        <row r="374">
          <cell r="A374" t="str">
            <v>20006_3</v>
          </cell>
        </row>
        <row r="375">
          <cell r="A375" t="str">
            <v>20007_1</v>
          </cell>
        </row>
        <row r="376">
          <cell r="A376" t="str">
            <v>20007_2</v>
          </cell>
        </row>
        <row r="377">
          <cell r="A377" t="str">
            <v>20007_3</v>
          </cell>
        </row>
        <row r="378">
          <cell r="A378" t="str">
            <v>20008_1</v>
          </cell>
        </row>
        <row r="379">
          <cell r="A379" t="str">
            <v>20008_2</v>
          </cell>
        </row>
        <row r="380">
          <cell r="A380" t="str">
            <v>20008_3</v>
          </cell>
        </row>
        <row r="381">
          <cell r="A381" t="str">
            <v>20009_1</v>
          </cell>
        </row>
        <row r="382">
          <cell r="A382" t="str">
            <v>20009_2</v>
          </cell>
        </row>
        <row r="383">
          <cell r="A383" t="str">
            <v>20009_3</v>
          </cell>
        </row>
        <row r="384">
          <cell r="A384" t="str">
            <v>20010_1</v>
          </cell>
        </row>
        <row r="385">
          <cell r="A385" t="str">
            <v>20010_2</v>
          </cell>
        </row>
        <row r="386">
          <cell r="A386" t="str">
            <v>20010_3</v>
          </cell>
        </row>
        <row r="387">
          <cell r="A387" t="str">
            <v>20011_1</v>
          </cell>
        </row>
        <row r="388">
          <cell r="A388" t="str">
            <v>20011_2</v>
          </cell>
        </row>
        <row r="389">
          <cell r="A389" t="str">
            <v>20011_3</v>
          </cell>
        </row>
        <row r="390">
          <cell r="A390" t="str">
            <v>20012_1</v>
          </cell>
        </row>
        <row r="391">
          <cell r="A391" t="str">
            <v>20012_2</v>
          </cell>
        </row>
        <row r="392">
          <cell r="A392" t="str">
            <v>20012_3</v>
          </cell>
        </row>
        <row r="393">
          <cell r="A393" t="str">
            <v>20013_1</v>
          </cell>
        </row>
        <row r="394">
          <cell r="A394" t="str">
            <v>20013_2</v>
          </cell>
        </row>
        <row r="395">
          <cell r="A395" t="str">
            <v>20013_3</v>
          </cell>
        </row>
        <row r="396">
          <cell r="A396" t="str">
            <v>20014_1</v>
          </cell>
        </row>
        <row r="397">
          <cell r="A397" t="str">
            <v>20014_2</v>
          </cell>
        </row>
        <row r="398">
          <cell r="A398" t="str">
            <v>20014_3</v>
          </cell>
        </row>
        <row r="399">
          <cell r="A399" t="str">
            <v>20015_1</v>
          </cell>
        </row>
        <row r="400">
          <cell r="A400" t="str">
            <v>20015_2</v>
          </cell>
        </row>
        <row r="401">
          <cell r="A401" t="str">
            <v>20015_3</v>
          </cell>
        </row>
        <row r="402">
          <cell r="A402" t="str">
            <v>20016_1</v>
          </cell>
        </row>
        <row r="403">
          <cell r="A403" t="str">
            <v>20016_2</v>
          </cell>
        </row>
        <row r="404">
          <cell r="A404" t="str">
            <v>20016_3</v>
          </cell>
        </row>
        <row r="405">
          <cell r="A405" t="str">
            <v>20017_1</v>
          </cell>
        </row>
        <row r="406">
          <cell r="A406" t="str">
            <v>20017_2</v>
          </cell>
        </row>
        <row r="407">
          <cell r="A407" t="str">
            <v>20017_3</v>
          </cell>
        </row>
        <row r="408">
          <cell r="A408" t="str">
            <v>30001_1</v>
          </cell>
        </row>
        <row r="409">
          <cell r="A409" t="str">
            <v>30001_2</v>
          </cell>
        </row>
        <row r="410">
          <cell r="A410" t="str">
            <v>30001_3</v>
          </cell>
        </row>
        <row r="411">
          <cell r="A411" t="str">
            <v>30002_1</v>
          </cell>
        </row>
        <row r="412">
          <cell r="A412" t="str">
            <v>30002_2</v>
          </cell>
        </row>
        <row r="413">
          <cell r="A413" t="str">
            <v>30002_3</v>
          </cell>
        </row>
        <row r="414">
          <cell r="A414" t="str">
            <v>30003_1</v>
          </cell>
        </row>
        <row r="415">
          <cell r="A415" t="str">
            <v>30003_2</v>
          </cell>
        </row>
        <row r="416">
          <cell r="A416" t="str">
            <v>30003_3</v>
          </cell>
        </row>
        <row r="417">
          <cell r="A417" t="str">
            <v>30004_1</v>
          </cell>
        </row>
        <row r="418">
          <cell r="A418" t="str">
            <v>30004_2</v>
          </cell>
        </row>
        <row r="419">
          <cell r="A419" t="str">
            <v>30004_3</v>
          </cell>
        </row>
        <row r="420">
          <cell r="A420" t="str">
            <v>30005_1</v>
          </cell>
        </row>
        <row r="421">
          <cell r="A421" t="str">
            <v>30005_2</v>
          </cell>
        </row>
        <row r="422">
          <cell r="A422" t="str">
            <v>30005_3</v>
          </cell>
        </row>
        <row r="423">
          <cell r="A423" t="str">
            <v>30006_1</v>
          </cell>
        </row>
        <row r="424">
          <cell r="A424" t="str">
            <v>30006_2</v>
          </cell>
        </row>
        <row r="425">
          <cell r="A425" t="str">
            <v>30006_3</v>
          </cell>
        </row>
        <row r="426">
          <cell r="A426" t="str">
            <v>30007_1</v>
          </cell>
        </row>
        <row r="427">
          <cell r="A427" t="str">
            <v>30007_2</v>
          </cell>
        </row>
        <row r="428">
          <cell r="A428" t="str">
            <v>30007_3</v>
          </cell>
        </row>
        <row r="429">
          <cell r="A429" t="str">
            <v>30008_1</v>
          </cell>
        </row>
        <row r="430">
          <cell r="A430" t="str">
            <v>30008_2</v>
          </cell>
        </row>
        <row r="431">
          <cell r="A431" t="str">
            <v>30008_3</v>
          </cell>
        </row>
        <row r="432">
          <cell r="A432" t="str">
            <v>30009_3</v>
          </cell>
        </row>
        <row r="433">
          <cell r="A433" t="str">
            <v>30009_1</v>
          </cell>
        </row>
        <row r="434">
          <cell r="A434" t="str">
            <v>30009_2</v>
          </cell>
        </row>
        <row r="435">
          <cell r="A435" t="str">
            <v>30010_1</v>
          </cell>
        </row>
        <row r="436">
          <cell r="A436" t="str">
            <v>30010_2</v>
          </cell>
        </row>
        <row r="437">
          <cell r="A437" t="str">
            <v>30010_3</v>
          </cell>
        </row>
        <row r="438">
          <cell r="A438" t="str">
            <v>30011_1</v>
          </cell>
        </row>
        <row r="439">
          <cell r="A439" t="str">
            <v>30011_2</v>
          </cell>
        </row>
        <row r="440">
          <cell r="A440" t="str">
            <v>30011_3</v>
          </cell>
        </row>
        <row r="441">
          <cell r="A441" t="str">
            <v>30012_1</v>
          </cell>
        </row>
        <row r="442">
          <cell r="A442" t="str">
            <v>30012_2</v>
          </cell>
        </row>
        <row r="443">
          <cell r="A443" t="str">
            <v>30012_3</v>
          </cell>
        </row>
        <row r="444">
          <cell r="A444" t="str">
            <v>30013_1</v>
          </cell>
        </row>
        <row r="445">
          <cell r="A445" t="str">
            <v>30013_2</v>
          </cell>
        </row>
        <row r="446">
          <cell r="A446" t="str">
            <v>30014_1</v>
          </cell>
        </row>
        <row r="447">
          <cell r="A447" t="str">
            <v>30014_2</v>
          </cell>
        </row>
        <row r="448">
          <cell r="A448" t="str">
            <v>30015_1</v>
          </cell>
        </row>
        <row r="449">
          <cell r="A449" t="str">
            <v>30015_2</v>
          </cell>
        </row>
        <row r="450">
          <cell r="A450" t="str">
            <v>30016_1</v>
          </cell>
        </row>
        <row r="451">
          <cell r="A451" t="str">
            <v>30016_2</v>
          </cell>
        </row>
        <row r="452">
          <cell r="A452" t="str">
            <v>30017_1</v>
          </cell>
        </row>
        <row r="453">
          <cell r="A453" t="str">
            <v>30017_2</v>
          </cell>
        </row>
        <row r="454">
          <cell r="A454" t="str">
            <v>30018_1</v>
          </cell>
        </row>
        <row r="455">
          <cell r="A455" t="str">
            <v>30018_2</v>
          </cell>
        </row>
        <row r="456">
          <cell r="A456" t="str">
            <v>30019_1</v>
          </cell>
        </row>
        <row r="457">
          <cell r="A457" t="str">
            <v>30019_2</v>
          </cell>
        </row>
        <row r="458">
          <cell r="A458" t="str">
            <v>30020_1</v>
          </cell>
        </row>
        <row r="459">
          <cell r="A459" t="str">
            <v>30020_2</v>
          </cell>
        </row>
        <row r="460">
          <cell r="A460" t="str">
            <v>30021_1</v>
          </cell>
        </row>
        <row r="461">
          <cell r="A461" t="str">
            <v>30021_2</v>
          </cell>
        </row>
        <row r="462">
          <cell r="A462" t="str">
            <v>30021_3</v>
          </cell>
        </row>
        <row r="463">
          <cell r="A463" t="str">
            <v>30022_1</v>
          </cell>
        </row>
        <row r="464">
          <cell r="A464" t="str">
            <v>30022_2</v>
          </cell>
        </row>
        <row r="465">
          <cell r="A465" t="str">
            <v>30023_1</v>
          </cell>
        </row>
        <row r="466">
          <cell r="A466" t="str">
            <v>30023_2</v>
          </cell>
        </row>
        <row r="467">
          <cell r="A467" t="str">
            <v>30023_3</v>
          </cell>
        </row>
        <row r="468">
          <cell r="A468" t="str">
            <v>30024_1</v>
          </cell>
        </row>
        <row r="469">
          <cell r="A469" t="str">
            <v>30024_2</v>
          </cell>
        </row>
        <row r="470">
          <cell r="A470" t="str">
            <v>30024_3</v>
          </cell>
        </row>
        <row r="471">
          <cell r="A471" t="str">
            <v>30025_1</v>
          </cell>
        </row>
        <row r="472">
          <cell r="A472" t="str">
            <v>30025_2</v>
          </cell>
        </row>
        <row r="473">
          <cell r="A473" t="str">
            <v>30025_3</v>
          </cell>
        </row>
        <row r="474">
          <cell r="A474" t="str">
            <v>30026_1</v>
          </cell>
        </row>
        <row r="475">
          <cell r="A475" t="str">
            <v>30026_2</v>
          </cell>
        </row>
        <row r="476">
          <cell r="A476" t="str">
            <v>30026_3</v>
          </cell>
        </row>
        <row r="477">
          <cell r="A477" t="str">
            <v>30027_1</v>
          </cell>
        </row>
        <row r="478">
          <cell r="A478" t="str">
            <v>30027_2</v>
          </cell>
        </row>
        <row r="479">
          <cell r="A479" t="str">
            <v>30027_3</v>
          </cell>
        </row>
        <row r="480">
          <cell r="A480" t="str">
            <v>30028_1</v>
          </cell>
        </row>
        <row r="481">
          <cell r="A481" t="str">
            <v>30028_2</v>
          </cell>
        </row>
        <row r="482">
          <cell r="A482" t="str">
            <v>30028_3</v>
          </cell>
        </row>
        <row r="483">
          <cell r="A483" t="str">
            <v>30029_1</v>
          </cell>
        </row>
        <row r="484">
          <cell r="A484" t="str">
            <v>30029_2</v>
          </cell>
        </row>
        <row r="485">
          <cell r="A485" t="str">
            <v>30029_3</v>
          </cell>
        </row>
        <row r="486">
          <cell r="A486" t="str">
            <v>30030_1</v>
          </cell>
        </row>
        <row r="487">
          <cell r="A487" t="str">
            <v>30030_2</v>
          </cell>
        </row>
        <row r="488">
          <cell r="A488" t="str">
            <v>30030_3</v>
          </cell>
        </row>
        <row r="489">
          <cell r="A489" t="str">
            <v>30031_1</v>
          </cell>
        </row>
        <row r="490">
          <cell r="A490" t="str">
            <v>30031_2</v>
          </cell>
        </row>
        <row r="491">
          <cell r="A491" t="str">
            <v>30031_3</v>
          </cell>
        </row>
        <row r="492">
          <cell r="A492" t="str">
            <v>30032_1</v>
          </cell>
        </row>
        <row r="493">
          <cell r="A493" t="str">
            <v>30032_2</v>
          </cell>
        </row>
        <row r="494">
          <cell r="A494" t="str">
            <v>30032_3</v>
          </cell>
        </row>
        <row r="495">
          <cell r="A495" t="str">
            <v>30033_1</v>
          </cell>
        </row>
        <row r="496">
          <cell r="A496" t="str">
            <v>30033_2</v>
          </cell>
        </row>
        <row r="497">
          <cell r="A497" t="str">
            <v>30033_3</v>
          </cell>
        </row>
        <row r="498">
          <cell r="A498" t="str">
            <v>30034_1</v>
          </cell>
        </row>
        <row r="499">
          <cell r="A499" t="str">
            <v>30034_2</v>
          </cell>
        </row>
        <row r="500">
          <cell r="A500" t="str">
            <v>30034_3</v>
          </cell>
        </row>
        <row r="501">
          <cell r="A501" t="str">
            <v>30035_1</v>
          </cell>
        </row>
        <row r="502">
          <cell r="A502" t="str">
            <v>30035_2</v>
          </cell>
        </row>
        <row r="503">
          <cell r="A503" t="str">
            <v>30035_3</v>
          </cell>
        </row>
        <row r="504">
          <cell r="A504" t="str">
            <v>30036_1</v>
          </cell>
        </row>
        <row r="505">
          <cell r="A505" t="str">
            <v>30036_2</v>
          </cell>
        </row>
        <row r="506">
          <cell r="A506" t="str">
            <v>30036_3</v>
          </cell>
        </row>
        <row r="507">
          <cell r="A507" t="str">
            <v>30037_1</v>
          </cell>
        </row>
        <row r="508">
          <cell r="A508" t="str">
            <v>30037_2</v>
          </cell>
        </row>
        <row r="509">
          <cell r="A509" t="str">
            <v>30037_3</v>
          </cell>
        </row>
        <row r="510">
          <cell r="A510" t="str">
            <v>39001_1</v>
          </cell>
        </row>
        <row r="511">
          <cell r="A511" t="str">
            <v>39001_2</v>
          </cell>
        </row>
        <row r="512">
          <cell r="A512" t="str">
            <v>39001_3</v>
          </cell>
        </row>
        <row r="513">
          <cell r="A513" t="str">
            <v>39001_4</v>
          </cell>
        </row>
        <row r="514">
          <cell r="A514" t="str">
            <v>39001_5</v>
          </cell>
        </row>
        <row r="515">
          <cell r="A515" t="str">
            <v>39002_1</v>
          </cell>
        </row>
        <row r="516">
          <cell r="A516" t="str">
            <v>39002_2</v>
          </cell>
        </row>
        <row r="517">
          <cell r="A517" t="str">
            <v>39002_3</v>
          </cell>
        </row>
        <row r="518">
          <cell r="A518" t="str">
            <v>39002_4</v>
          </cell>
        </row>
        <row r="519">
          <cell r="A519" t="str">
            <v>39003_1</v>
          </cell>
        </row>
        <row r="520">
          <cell r="A520" t="str">
            <v>39003_2</v>
          </cell>
        </row>
        <row r="521">
          <cell r="A521" t="str">
            <v>39003_3</v>
          </cell>
        </row>
        <row r="522">
          <cell r="A522" t="str">
            <v>39003_4</v>
          </cell>
        </row>
        <row r="523">
          <cell r="A523" t="str">
            <v>39004_1</v>
          </cell>
        </row>
        <row r="524">
          <cell r="A524" t="str">
            <v>39004_2</v>
          </cell>
        </row>
        <row r="525">
          <cell r="A525" t="str">
            <v>39004_3</v>
          </cell>
        </row>
        <row r="526">
          <cell r="A526" t="str">
            <v>39004_4</v>
          </cell>
        </row>
        <row r="527">
          <cell r="A527" t="str">
            <v>39005_1</v>
          </cell>
        </row>
        <row r="528">
          <cell r="A528" t="str">
            <v>39005_2</v>
          </cell>
        </row>
        <row r="529">
          <cell r="A529" t="str">
            <v>39005_3</v>
          </cell>
        </row>
        <row r="530">
          <cell r="A530" t="str">
            <v>39005_4</v>
          </cell>
        </row>
        <row r="531">
          <cell r="A531" t="str">
            <v>39005_5</v>
          </cell>
        </row>
        <row r="532">
          <cell r="A532" t="str">
            <v>39006_1</v>
          </cell>
        </row>
        <row r="533">
          <cell r="A533" t="str">
            <v>39006_2</v>
          </cell>
        </row>
        <row r="534">
          <cell r="A534" t="str">
            <v>39006_3</v>
          </cell>
        </row>
        <row r="535">
          <cell r="A535" t="str">
            <v>39006_4</v>
          </cell>
        </row>
        <row r="536">
          <cell r="A536" t="str">
            <v>40001_1</v>
          </cell>
        </row>
        <row r="537">
          <cell r="A537" t="str">
            <v>40002_1</v>
          </cell>
        </row>
        <row r="538">
          <cell r="A538" t="str">
            <v>40002_2</v>
          </cell>
        </row>
        <row r="539">
          <cell r="A539" t="str">
            <v>40002_3</v>
          </cell>
        </row>
        <row r="540">
          <cell r="A540" t="str">
            <v>40003_1</v>
          </cell>
        </row>
        <row r="541">
          <cell r="A541" t="str">
            <v>40004_1</v>
          </cell>
        </row>
        <row r="542">
          <cell r="A542" t="str">
            <v>40005_1</v>
          </cell>
        </row>
        <row r="543">
          <cell r="A543" t="str">
            <v>40006_1</v>
          </cell>
        </row>
        <row r="544">
          <cell r="A544" t="str">
            <v>40007_1</v>
          </cell>
        </row>
        <row r="545">
          <cell r="A545" t="str">
            <v>40008_1</v>
          </cell>
        </row>
        <row r="546">
          <cell r="A546" t="str">
            <v>40009_1</v>
          </cell>
        </row>
        <row r="547">
          <cell r="A547" t="str">
            <v>40010_1</v>
          </cell>
        </row>
        <row r="548">
          <cell r="A548" t="str">
            <v>40011_1</v>
          </cell>
        </row>
        <row r="549">
          <cell r="A549" t="str">
            <v>40012_1</v>
          </cell>
        </row>
        <row r="550">
          <cell r="A550" t="str">
            <v>40013_1</v>
          </cell>
        </row>
        <row r="551">
          <cell r="A551" t="str">
            <v>40014_1</v>
          </cell>
        </row>
        <row r="552">
          <cell r="A552" t="str">
            <v>40015_1</v>
          </cell>
        </row>
        <row r="553">
          <cell r="A553" t="str">
            <v>40016_1</v>
          </cell>
        </row>
        <row r="554">
          <cell r="A554" t="str">
            <v>40016_2</v>
          </cell>
        </row>
        <row r="555">
          <cell r="A555" t="str">
            <v>40017_1</v>
          </cell>
        </row>
        <row r="556">
          <cell r="A556" t="str">
            <v>40017_2</v>
          </cell>
        </row>
        <row r="557">
          <cell r="A557" t="str">
            <v>40017_3</v>
          </cell>
        </row>
        <row r="558">
          <cell r="A558" t="str">
            <v>40018_1</v>
          </cell>
        </row>
        <row r="559">
          <cell r="A559" t="str">
            <v>40018_2</v>
          </cell>
        </row>
        <row r="560">
          <cell r="A560" t="str">
            <v>40018_3</v>
          </cell>
        </row>
        <row r="561">
          <cell r="A561" t="str">
            <v>40019_1</v>
          </cell>
        </row>
        <row r="562">
          <cell r="A562" t="str">
            <v>40019_2</v>
          </cell>
        </row>
        <row r="563">
          <cell r="A563" t="str">
            <v>40019_3</v>
          </cell>
        </row>
        <row r="564">
          <cell r="A564" t="str">
            <v>40021_1</v>
          </cell>
        </row>
        <row r="565">
          <cell r="A565" t="str">
            <v>40021_2</v>
          </cell>
        </row>
        <row r="566">
          <cell r="A566" t="str">
            <v>48001_1</v>
          </cell>
        </row>
        <row r="567">
          <cell r="A567" t="str">
            <v>48002_1</v>
          </cell>
        </row>
        <row r="568">
          <cell r="A568" t="str">
            <v>48002_2</v>
          </cell>
        </row>
        <row r="569">
          <cell r="A569" t="str">
            <v>48002_3</v>
          </cell>
        </row>
        <row r="570">
          <cell r="A570" t="str">
            <v>41001_1</v>
          </cell>
        </row>
        <row r="571">
          <cell r="A571" t="str">
            <v>41001_2</v>
          </cell>
        </row>
        <row r="572">
          <cell r="A572" t="str">
            <v>41001_3</v>
          </cell>
        </row>
        <row r="573">
          <cell r="A573" t="str">
            <v>41002_1</v>
          </cell>
        </row>
        <row r="574">
          <cell r="A574" t="str">
            <v>41002_2</v>
          </cell>
        </row>
        <row r="575">
          <cell r="A575" t="str">
            <v>41002_3</v>
          </cell>
        </row>
        <row r="576">
          <cell r="A576" t="str">
            <v>41003_1</v>
          </cell>
        </row>
        <row r="577">
          <cell r="A577" t="str">
            <v>41003_2</v>
          </cell>
        </row>
        <row r="578">
          <cell r="A578" t="str">
            <v>41003_3</v>
          </cell>
        </row>
        <row r="579">
          <cell r="A579" t="str">
            <v>41004_1</v>
          </cell>
        </row>
        <row r="580">
          <cell r="A580" t="str">
            <v>41004_2</v>
          </cell>
        </row>
        <row r="581">
          <cell r="A581" t="str">
            <v>41004_3</v>
          </cell>
        </row>
        <row r="582">
          <cell r="A582" t="str">
            <v>41005_1</v>
          </cell>
        </row>
        <row r="583">
          <cell r="A583" t="str">
            <v>41005_2</v>
          </cell>
        </row>
        <row r="584">
          <cell r="A584" t="str">
            <v>41005_3</v>
          </cell>
        </row>
        <row r="585">
          <cell r="A585" t="str">
            <v>41006_1</v>
          </cell>
        </row>
        <row r="586">
          <cell r="A586" t="str">
            <v>41006_2</v>
          </cell>
        </row>
        <row r="587">
          <cell r="A587" t="str">
            <v>41006_3</v>
          </cell>
        </row>
        <row r="588">
          <cell r="A588" t="str">
            <v>41007_1</v>
          </cell>
        </row>
        <row r="589">
          <cell r="A589" t="str">
            <v>41007_2</v>
          </cell>
        </row>
        <row r="590">
          <cell r="A590" t="str">
            <v>41007_3</v>
          </cell>
        </row>
        <row r="591">
          <cell r="A591" t="str">
            <v>41008_1</v>
          </cell>
        </row>
        <row r="592">
          <cell r="A592" t="str">
            <v>41008_2</v>
          </cell>
        </row>
        <row r="593">
          <cell r="A593" t="str">
            <v>41008_3</v>
          </cell>
        </row>
        <row r="594">
          <cell r="A594" t="str">
            <v>41009_1</v>
          </cell>
        </row>
        <row r="595">
          <cell r="A595" t="str">
            <v>41009_2</v>
          </cell>
        </row>
        <row r="596">
          <cell r="A596" t="str">
            <v>41009_3</v>
          </cell>
        </row>
        <row r="597">
          <cell r="A597" t="str">
            <v>41010_1</v>
          </cell>
        </row>
        <row r="598">
          <cell r="A598" t="str">
            <v>41010_2</v>
          </cell>
        </row>
        <row r="599">
          <cell r="A599" t="str">
            <v>41010_3</v>
          </cell>
        </row>
        <row r="600">
          <cell r="A600" t="str">
            <v>41011_1</v>
          </cell>
        </row>
        <row r="601">
          <cell r="A601" t="str">
            <v>41011_2</v>
          </cell>
        </row>
        <row r="602">
          <cell r="A602" t="str">
            <v>41012_1</v>
          </cell>
        </row>
        <row r="603">
          <cell r="A603" t="str">
            <v>41012_2</v>
          </cell>
        </row>
        <row r="604">
          <cell r="A604" t="str">
            <v>47001_1</v>
          </cell>
        </row>
        <row r="605">
          <cell r="A605" t="str">
            <v>47001_2</v>
          </cell>
        </row>
        <row r="606">
          <cell r="A606" t="str">
            <v>47002_1</v>
          </cell>
        </row>
        <row r="607">
          <cell r="A607" t="str">
            <v>47002_2</v>
          </cell>
        </row>
        <row r="608">
          <cell r="A608" t="str">
            <v>49001_1</v>
          </cell>
        </row>
        <row r="609">
          <cell r="A609" t="str">
            <v>49002_1</v>
          </cell>
        </row>
        <row r="610">
          <cell r="A610" t="str">
            <v>49002_2</v>
          </cell>
        </row>
        <row r="611">
          <cell r="A611" t="str">
            <v>49003_1</v>
          </cell>
        </row>
        <row r="612">
          <cell r="A612" t="str">
            <v>49003_2</v>
          </cell>
        </row>
        <row r="613">
          <cell r="A613" t="str">
            <v>49004_1</v>
          </cell>
        </row>
        <row r="614">
          <cell r="A614" t="str">
            <v>49004_2</v>
          </cell>
        </row>
        <row r="615">
          <cell r="A615" t="str">
            <v>49004_3</v>
          </cell>
        </row>
        <row r="616">
          <cell r="A616" t="str">
            <v>49005_1</v>
          </cell>
        </row>
        <row r="617">
          <cell r="A617" t="str">
            <v>49006_1</v>
          </cell>
        </row>
        <row r="618">
          <cell r="A618" t="str">
            <v>49006_2</v>
          </cell>
        </row>
        <row r="619">
          <cell r="A619" t="str">
            <v>50001_1</v>
          </cell>
        </row>
        <row r="620">
          <cell r="A620" t="str">
            <v>50002_1</v>
          </cell>
        </row>
        <row r="621">
          <cell r="A621" t="str">
            <v>50003_1</v>
          </cell>
        </row>
        <row r="622">
          <cell r="A622" t="str">
            <v>50004_1</v>
          </cell>
        </row>
        <row r="623">
          <cell r="A623" t="str">
            <v>50005_1</v>
          </cell>
        </row>
        <row r="624">
          <cell r="A624" t="str">
            <v>51001_1</v>
          </cell>
        </row>
        <row r="625">
          <cell r="A625" t="str">
            <v>51002_1</v>
          </cell>
        </row>
        <row r="626">
          <cell r="A626" t="str">
            <v>60001_1</v>
          </cell>
        </row>
        <row r="627">
          <cell r="A627" t="str">
            <v>60002_1</v>
          </cell>
        </row>
        <row r="628">
          <cell r="A628" t="str">
            <v>60002_2</v>
          </cell>
        </row>
        <row r="629">
          <cell r="A629" t="str">
            <v>60003_1</v>
          </cell>
        </row>
        <row r="630">
          <cell r="A630" t="str">
            <v>60003_2</v>
          </cell>
        </row>
        <row r="631">
          <cell r="A631" t="str">
            <v>60003_3</v>
          </cell>
        </row>
        <row r="632">
          <cell r="A632" t="str">
            <v>60004_1</v>
          </cell>
        </row>
        <row r="633">
          <cell r="A633" t="str">
            <v>60005_1</v>
          </cell>
        </row>
        <row r="634">
          <cell r="A634" t="str">
            <v>60006_1</v>
          </cell>
        </row>
        <row r="635">
          <cell r="A635" t="str">
            <v>60006_2</v>
          </cell>
        </row>
        <row r="636">
          <cell r="A636" t="str">
            <v>60006_3</v>
          </cell>
        </row>
        <row r="637">
          <cell r="A637" t="str">
            <v>60007_1</v>
          </cell>
        </row>
        <row r="638">
          <cell r="A638" t="str">
            <v>60007_2</v>
          </cell>
        </row>
        <row r="639">
          <cell r="A639" t="str">
            <v>60007_3</v>
          </cell>
        </row>
        <row r="640">
          <cell r="A640" t="str">
            <v>60010_1</v>
          </cell>
        </row>
        <row r="641">
          <cell r="A641" t="str">
            <v>60011_1</v>
          </cell>
        </row>
        <row r="642">
          <cell r="A642" t="str">
            <v>65535_1</v>
          </cell>
        </row>
        <row r="643">
          <cell r="A643" t="str">
            <v>65535_2</v>
          </cell>
        </row>
        <row r="644">
          <cell r="A644" t="str">
            <v>65535_3</v>
          </cell>
        </row>
        <row r="645">
          <cell r="A645" t="str">
            <v>65535_4</v>
          </cell>
        </row>
        <row r="646">
          <cell r="A646" t="str">
            <v>65535_5</v>
          </cell>
        </row>
        <row r="647">
          <cell r="A647" t="str">
            <v>65535_6</v>
          </cell>
        </row>
        <row r="648">
          <cell r="A648" t="str">
            <v>65535_7</v>
          </cell>
        </row>
        <row r="649">
          <cell r="A649" t="str">
            <v>65535_8</v>
          </cell>
        </row>
        <row r="650">
          <cell r="A650" t="str">
            <v>60021_3</v>
          </cell>
        </row>
        <row r="651">
          <cell r="A651" t="str">
            <v>60022_3</v>
          </cell>
        </row>
        <row r="652">
          <cell r="A652" t="str">
            <v>60023_3</v>
          </cell>
        </row>
        <row r="653">
          <cell r="A653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F11" sqref="F11"/>
    </sheetView>
  </sheetViews>
  <sheetFormatPr baseColWidth="12" defaultRowHeight="15" x14ac:dyDescent="0.15"/>
  <cols>
    <col min="2" max="2" width="18" customWidth="1"/>
    <col min="5" max="5" width="26.83203125" bestFit="1" customWidth="1"/>
    <col min="6" max="6" width="22.1640625" bestFit="1" customWidth="1"/>
  </cols>
  <sheetData>
    <row r="1" spans="1:30" x14ac:dyDescent="0.15">
      <c r="A1" s="29" t="s">
        <v>105</v>
      </c>
      <c r="B1" s="24" t="s">
        <v>79</v>
      </c>
      <c r="C1" s="24" t="s">
        <v>80</v>
      </c>
      <c r="D1" s="24" t="s">
        <v>81</v>
      </c>
      <c r="E1" s="24" t="s">
        <v>82</v>
      </c>
      <c r="F1" s="24" t="s">
        <v>83</v>
      </c>
      <c r="G1" s="24" t="s">
        <v>84</v>
      </c>
      <c r="H1" s="24"/>
      <c r="I1" s="24"/>
      <c r="J1" s="24"/>
      <c r="K1" s="24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1:30" x14ac:dyDescent="0.15">
      <c r="A2" s="63" t="s">
        <v>144</v>
      </c>
      <c r="B2" s="26" t="s">
        <v>85</v>
      </c>
      <c r="C2" s="30" t="s">
        <v>143</v>
      </c>
      <c r="D2" s="26" t="s">
        <v>86</v>
      </c>
      <c r="E2" s="25" t="str">
        <f>B2&amp;C2&amp;D2</f>
        <v>floors_1YRev.tmp</v>
      </c>
      <c r="F2" s="26" t="s">
        <v>87</v>
      </c>
      <c r="G2" s="27" t="s">
        <v>0</v>
      </c>
      <c r="H2" s="27" t="s">
        <v>1</v>
      </c>
      <c r="I2" s="27" t="s">
        <v>12</v>
      </c>
      <c r="J2" s="27" t="s">
        <v>13</v>
      </c>
      <c r="K2" s="27" t="s">
        <v>14</v>
      </c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</row>
    <row r="3" spans="1:30" x14ac:dyDescent="0.15">
      <c r="A3" s="63" t="s">
        <v>144</v>
      </c>
      <c r="B3" s="26" t="s">
        <v>88</v>
      </c>
      <c r="C3" s="30" t="str">
        <f t="shared" ref="C3:C12" si="0">C$2</f>
        <v>1YRev</v>
      </c>
      <c r="D3" s="26" t="s">
        <v>86</v>
      </c>
      <c r="E3" s="25" t="str">
        <f>B3&amp;C3&amp;D3</f>
        <v>enemy_habitats_1YRev.tmp</v>
      </c>
      <c r="F3" s="26" t="s">
        <v>148</v>
      </c>
      <c r="G3" s="28" t="s">
        <v>0</v>
      </c>
      <c r="H3" s="64" t="s">
        <v>1</v>
      </c>
      <c r="I3" s="64" t="s">
        <v>12</v>
      </c>
      <c r="J3" s="64" t="s">
        <v>2</v>
      </c>
      <c r="K3" s="64" t="s">
        <v>3</v>
      </c>
      <c r="L3" s="64" t="s">
        <v>31</v>
      </c>
      <c r="M3" s="64" t="s">
        <v>33</v>
      </c>
      <c r="N3" s="64" t="s">
        <v>35</v>
      </c>
      <c r="O3" s="64" t="s">
        <v>16</v>
      </c>
      <c r="P3" s="64" t="s">
        <v>4</v>
      </c>
      <c r="Q3" s="64" t="s">
        <v>5</v>
      </c>
      <c r="R3" s="64" t="s">
        <v>6</v>
      </c>
      <c r="S3" s="64" t="s">
        <v>7</v>
      </c>
      <c r="T3" s="64" t="s">
        <v>8</v>
      </c>
      <c r="U3" s="64" t="s">
        <v>9</v>
      </c>
      <c r="V3" s="64" t="s">
        <v>10</v>
      </c>
      <c r="W3" s="64" t="s">
        <v>11</v>
      </c>
      <c r="X3" s="64" t="s">
        <v>21</v>
      </c>
      <c r="Y3" s="64" t="s">
        <v>23</v>
      </c>
      <c r="Z3" s="64" t="s">
        <v>25</v>
      </c>
      <c r="AA3" s="64" t="s">
        <v>27</v>
      </c>
      <c r="AB3" s="64" t="s">
        <v>29</v>
      </c>
      <c r="AC3" s="64" t="s">
        <v>145</v>
      </c>
      <c r="AD3" s="64" t="s">
        <v>146</v>
      </c>
    </row>
    <row r="4" spans="1:30" x14ac:dyDescent="0.15">
      <c r="A4" s="63" t="s">
        <v>144</v>
      </c>
      <c r="B4" s="26" t="s">
        <v>89</v>
      </c>
      <c r="C4" s="30" t="str">
        <f t="shared" si="0"/>
        <v>1YRev</v>
      </c>
      <c r="D4" s="26" t="s">
        <v>86</v>
      </c>
      <c r="E4" s="25" t="str">
        <f>B4&amp;C4&amp;D4</f>
        <v>enemy_habitat_S_1YRev.tmp</v>
      </c>
      <c r="F4" s="26" t="s">
        <v>90</v>
      </c>
      <c r="G4" s="27" t="s">
        <v>0</v>
      </c>
      <c r="H4" s="27" t="s">
        <v>1</v>
      </c>
      <c r="I4" s="27" t="s">
        <v>12</v>
      </c>
      <c r="J4" s="27" t="s">
        <v>38</v>
      </c>
      <c r="K4" s="27" t="s">
        <v>39</v>
      </c>
      <c r="L4" s="27" t="s">
        <v>40</v>
      </c>
      <c r="M4" s="27" t="s">
        <v>41</v>
      </c>
      <c r="N4" s="27" t="s">
        <v>42</v>
      </c>
      <c r="O4" s="27" t="s">
        <v>43</v>
      </c>
      <c r="P4" s="27" t="s">
        <v>32</v>
      </c>
      <c r="Q4" s="27" t="s">
        <v>34</v>
      </c>
      <c r="R4" s="27" t="s">
        <v>36</v>
      </c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</row>
    <row r="5" spans="1:30" x14ac:dyDescent="0.15">
      <c r="A5" s="63" t="s">
        <v>144</v>
      </c>
      <c r="B5" s="26" t="s">
        <v>91</v>
      </c>
      <c r="C5" s="30" t="str">
        <f t="shared" si="0"/>
        <v>1YRev</v>
      </c>
      <c r="D5" s="26" t="s">
        <v>86</v>
      </c>
      <c r="E5" s="25" t="str">
        <f>B5&amp;C5&amp;D5</f>
        <v>enemy_skill_sets_1YRev.tmp</v>
      </c>
      <c r="F5" s="26" t="s">
        <v>92</v>
      </c>
      <c r="G5" s="28" t="s">
        <v>16</v>
      </c>
      <c r="H5" s="28" t="s">
        <v>78</v>
      </c>
      <c r="I5" s="28" t="s">
        <v>73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</row>
    <row r="6" spans="1:30" x14ac:dyDescent="0.15">
      <c r="A6" s="63" t="s">
        <v>144</v>
      </c>
      <c r="B6" s="26" t="s">
        <v>93</v>
      </c>
      <c r="C6" s="30" t="str">
        <f t="shared" si="0"/>
        <v>1YRev</v>
      </c>
      <c r="D6" s="26" t="s">
        <v>94</v>
      </c>
      <c r="E6" s="25" t="str">
        <f t="shared" ref="E6:E10" si="1">B6&amp;C6&amp;D6</f>
        <v>enemy_skills_tmp_1YRev.tmp</v>
      </c>
      <c r="F6" s="26" t="s">
        <v>69</v>
      </c>
      <c r="G6" s="27" t="s">
        <v>60</v>
      </c>
      <c r="H6" s="27" t="s">
        <v>61</v>
      </c>
      <c r="I6" s="27" t="s">
        <v>62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</row>
    <row r="7" spans="1:30" x14ac:dyDescent="0.15">
      <c r="A7" s="63" t="s">
        <v>144</v>
      </c>
      <c r="B7" s="26" t="s">
        <v>95</v>
      </c>
      <c r="C7" s="30" t="str">
        <f t="shared" si="0"/>
        <v>1YRev</v>
      </c>
      <c r="D7" s="26" t="s">
        <v>86</v>
      </c>
      <c r="E7" s="25" t="str">
        <f>B7&amp;C7&amp;D7</f>
        <v>enemy_skills_i18n_1YRev.tmp</v>
      </c>
      <c r="F7" s="26" t="s">
        <v>96</v>
      </c>
      <c r="G7" s="27" t="s">
        <v>60</v>
      </c>
      <c r="H7" s="27" t="s">
        <v>70</v>
      </c>
      <c r="I7" s="27" t="s">
        <v>71</v>
      </c>
      <c r="J7" s="27" t="s">
        <v>72</v>
      </c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</row>
    <row r="8" spans="1:30" x14ac:dyDescent="0.15">
      <c r="A8" s="61" t="s">
        <v>120</v>
      </c>
      <c r="B8" s="26" t="s">
        <v>97</v>
      </c>
      <c r="C8" s="30" t="str">
        <f t="shared" si="0"/>
        <v>1YRev</v>
      </c>
      <c r="D8" s="26" t="s">
        <v>98</v>
      </c>
      <c r="E8" s="25" t="str">
        <f t="shared" si="1"/>
        <v>enemy_skill_triggers_1YRev.tmp</v>
      </c>
      <c r="F8" s="26" t="s">
        <v>99</v>
      </c>
      <c r="G8" s="27" t="s">
        <v>73</v>
      </c>
      <c r="H8" s="27" t="s">
        <v>74</v>
      </c>
      <c r="I8" s="27" t="s">
        <v>75</v>
      </c>
      <c r="J8" s="27" t="s">
        <v>76</v>
      </c>
      <c r="K8" s="27" t="s">
        <v>100</v>
      </c>
      <c r="L8" s="27" t="s">
        <v>77</v>
      </c>
      <c r="M8" s="27" t="s">
        <v>101</v>
      </c>
      <c r="N8" s="27" t="s">
        <v>102</v>
      </c>
      <c r="O8" s="27" t="s">
        <v>103</v>
      </c>
      <c r="P8" s="27" t="s">
        <v>50</v>
      </c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</row>
    <row r="9" spans="1:30" x14ac:dyDescent="0.15">
      <c r="A9" s="63" t="s">
        <v>144</v>
      </c>
      <c r="B9" s="26" t="s">
        <v>159</v>
      </c>
      <c r="C9" s="30" t="str">
        <f t="shared" si="0"/>
        <v>1YRev</v>
      </c>
      <c r="D9" s="26" t="s">
        <v>86</v>
      </c>
      <c r="E9" s="25" t="str">
        <f>B9&amp;C9&amp;D9</f>
        <v>stage_bug_bonuses_1YRev.tmp</v>
      </c>
      <c r="F9" s="26" t="s">
        <v>160</v>
      </c>
      <c r="G9" s="67" t="s">
        <v>111</v>
      </c>
      <c r="H9" s="67" t="s">
        <v>113</v>
      </c>
      <c r="I9" s="67" t="s">
        <v>161</v>
      </c>
      <c r="J9" s="32" t="s">
        <v>162</v>
      </c>
      <c r="K9" s="67" t="s">
        <v>163</v>
      </c>
      <c r="L9" s="67" t="s">
        <v>164</v>
      </c>
      <c r="M9" s="67" t="s">
        <v>165</v>
      </c>
      <c r="N9" s="67" t="s">
        <v>41</v>
      </c>
      <c r="O9" s="67" t="s">
        <v>114</v>
      </c>
      <c r="P9" s="67" t="s">
        <v>22</v>
      </c>
      <c r="Q9" s="67" t="s">
        <v>24</v>
      </c>
      <c r="R9" s="67" t="s">
        <v>26</v>
      </c>
      <c r="S9" s="67" t="s">
        <v>28</v>
      </c>
      <c r="T9" s="67" t="s">
        <v>30</v>
      </c>
      <c r="U9" s="67" t="s">
        <v>166</v>
      </c>
      <c r="V9" s="67" t="s">
        <v>167</v>
      </c>
      <c r="W9" s="67" t="s">
        <v>168</v>
      </c>
      <c r="X9" s="26"/>
      <c r="Y9" s="26"/>
      <c r="Z9" s="26"/>
      <c r="AA9" s="26"/>
      <c r="AB9" s="26"/>
      <c r="AC9" s="26"/>
      <c r="AD9" s="26"/>
    </row>
    <row r="10" spans="1:30" s="37" customFormat="1" x14ac:dyDescent="0.15">
      <c r="A10" s="63" t="s">
        <v>144</v>
      </c>
      <c r="B10" s="33" t="s">
        <v>179</v>
      </c>
      <c r="C10" s="30" t="str">
        <f t="shared" si="0"/>
        <v>1YRev</v>
      </c>
      <c r="D10" s="33" t="s">
        <v>115</v>
      </c>
      <c r="E10" s="34" t="str">
        <f t="shared" si="1"/>
        <v>stage_hints_data_1YRev.tmp</v>
      </c>
      <c r="F10" s="33" t="s">
        <v>180</v>
      </c>
      <c r="G10" s="35" t="s">
        <v>116</v>
      </c>
      <c r="H10" s="35" t="s">
        <v>113</v>
      </c>
      <c r="I10" s="36" t="s">
        <v>117</v>
      </c>
      <c r="J10" s="32" t="s">
        <v>118</v>
      </c>
      <c r="K10" s="32" t="s">
        <v>119</v>
      </c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</row>
    <row r="11" spans="1:30" s="37" customFormat="1" x14ac:dyDescent="0.15">
      <c r="A11" s="61" t="s">
        <v>120</v>
      </c>
      <c r="B11" s="33" t="s">
        <v>129</v>
      </c>
      <c r="C11" s="30" t="str">
        <f t="shared" si="0"/>
        <v>1YRev</v>
      </c>
      <c r="D11" s="33" t="s">
        <v>112</v>
      </c>
      <c r="E11" s="34" t="str">
        <f t="shared" ref="E11:E12" si="2">B11&amp;C11&amp;D11</f>
        <v>stage_hints_data_f_1YRev.tmp</v>
      </c>
      <c r="F11" s="33" t="s">
        <v>137</v>
      </c>
      <c r="G11" s="35" t="s">
        <v>116</v>
      </c>
      <c r="H11" s="35" t="s">
        <v>113</v>
      </c>
      <c r="I11" s="36" t="s">
        <v>117</v>
      </c>
      <c r="J11" s="32" t="s">
        <v>118</v>
      </c>
      <c r="K11" s="32" t="s">
        <v>119</v>
      </c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</row>
    <row r="12" spans="1:30" s="37" customFormat="1" x14ac:dyDescent="0.15">
      <c r="A12" s="62" t="s">
        <v>130</v>
      </c>
      <c r="B12" s="33" t="s">
        <v>131</v>
      </c>
      <c r="C12" s="30" t="str">
        <f t="shared" si="0"/>
        <v>1YRev</v>
      </c>
      <c r="D12" s="33" t="s">
        <v>112</v>
      </c>
      <c r="E12" s="34" t="str">
        <f t="shared" si="2"/>
        <v>stage_hints_i18n_1YRev.tmp</v>
      </c>
      <c r="F12" s="33" t="s">
        <v>138</v>
      </c>
      <c r="G12" s="36" t="s">
        <v>132</v>
      </c>
      <c r="H12" s="45" t="s">
        <v>133</v>
      </c>
      <c r="I12" s="35" t="s">
        <v>134</v>
      </c>
      <c r="J12" s="47" t="s">
        <v>135</v>
      </c>
      <c r="K12" s="32" t="s">
        <v>136</v>
      </c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J33"/>
  <sheetViews>
    <sheetView showGridLines="0" workbookViewId="0">
      <pane ySplit="1" topLeftCell="A13" activePane="bottomLeft" state="frozen"/>
      <selection activeCell="V2" sqref="V2:X34"/>
      <selection pane="bottomLeft" activeCell="I27" sqref="I27:J27"/>
    </sheetView>
  </sheetViews>
  <sheetFormatPr baseColWidth="12" defaultColWidth="13" defaultRowHeight="21" customHeight="1" outlineLevelCol="1" x14ac:dyDescent="0.15"/>
  <cols>
    <col min="1" max="1" width="8.83203125" style="10" bestFit="1" customWidth="1"/>
    <col min="2" max="2" width="7.1640625" style="3" bestFit="1" customWidth="1"/>
    <col min="3" max="4" width="10.33203125" style="3" customWidth="1" outlineLevel="1"/>
    <col min="5" max="5" width="7" style="3" bestFit="1" customWidth="1"/>
    <col min="6" max="6" width="8.83203125" style="10" customWidth="1" outlineLevel="1"/>
    <col min="7" max="7" width="16.1640625" style="3" customWidth="1" outlineLevel="1"/>
    <col min="8" max="8" width="6.5" style="3" bestFit="1" customWidth="1"/>
    <col min="9" max="9" width="11" style="3" bestFit="1" customWidth="1"/>
    <col min="10" max="10" width="11.33203125" style="3" bestFit="1" customWidth="1"/>
    <col min="11" max="16384" width="13" style="3"/>
  </cols>
  <sheetData>
    <row r="1" spans="1:10" ht="21" customHeight="1" x14ac:dyDescent="0.15">
      <c r="A1" s="8" t="s">
        <v>17</v>
      </c>
      <c r="B1" s="1" t="s">
        <v>0</v>
      </c>
      <c r="C1" s="2" t="s">
        <v>15</v>
      </c>
      <c r="D1" s="7" t="s">
        <v>19</v>
      </c>
      <c r="E1" s="1" t="s">
        <v>1</v>
      </c>
      <c r="F1" s="12" t="s">
        <v>18</v>
      </c>
      <c r="G1" s="7" t="s">
        <v>20</v>
      </c>
      <c r="H1" s="1" t="s">
        <v>12</v>
      </c>
      <c r="I1" s="1" t="s">
        <v>13</v>
      </c>
      <c r="J1" s="1" t="s">
        <v>14</v>
      </c>
    </row>
    <row r="2" spans="1:10" ht="21" customHeight="1" x14ac:dyDescent="0.15">
      <c r="A2" s="8" t="str">
        <f t="shared" ref="A2:A5" si="0">F2&amp;"-"&amp;H2</f>
        <v>11226_2-1</v>
      </c>
      <c r="B2" s="4">
        <v>11226</v>
      </c>
      <c r="C2" s="5" t="str">
        <f ca="1">VLOOKUP($B2,OFFSET([2]quests!$A$1,0,0,COUNTA([2]quests!$A:$A),MATCH(C$1,[2]quests!$1:$1,0)-MATCH($B$1,[2]quests!$1:$1,0)+1),MATCH(C$1,[2]quests!$1:$1,0)-MATCH($B$1,[2]quests!$1:$1,0)+1,FALSE)</f>
        <v>1周年記念★特別クエスト</v>
      </c>
      <c r="D2" s="9" t="str">
        <f ca="1">VLOOKUP($B2,OFFSET([2]quests!$A$1,0,0,COUNTA([2]quests!$A:$A),MATCH(D$1,[2]quests!$1:$1,0)-MATCH($B$1,[2]quests!$1:$1,0)+1),MATCH(D$1,[2]quests!$1:$1,0)-MATCH($B$1,[2]quests!$1:$1,0)+1,FALSE)</f>
        <v>1周年記念★特別クエスト</v>
      </c>
      <c r="E2" s="11">
        <v>2</v>
      </c>
      <c r="F2" s="12" t="str">
        <f t="shared" ref="F2:F5" si="1">B2&amp;"_"&amp;E2</f>
        <v>11226_2</v>
      </c>
      <c r="G2" s="7" t="str">
        <f ca="1">VLOOKUP($F2,OFFSET([2]stages!$A$1,0,0,COUNTA([2]stages!$A:$A),MATCH(G$1,[2]stages!$2:$2,0)-MATCH($F$1,[2]stages!$2:$2,0)+1),MATCH(G$1,[2]stages!$2:$2,0)-MATCH($F$1,[2]stages!$2:$2,0)+1,FALSE)</f>
        <v>【クリスマス前編】勢いまかせ</v>
      </c>
      <c r="H2" s="11">
        <v>1</v>
      </c>
      <c r="I2" s="6">
        <v>20</v>
      </c>
      <c r="J2" s="6">
        <v>20</v>
      </c>
    </row>
    <row r="3" spans="1:10" ht="21" customHeight="1" x14ac:dyDescent="0.15">
      <c r="A3" s="8" t="str">
        <f t="shared" si="0"/>
        <v>11226_2-2</v>
      </c>
      <c r="B3" s="4">
        <v>11226</v>
      </c>
      <c r="C3" s="5" t="str">
        <f ca="1">VLOOKUP($B3,OFFSET([2]quests!$A$1,0,0,COUNTA([2]quests!$A:$A),MATCH(C$1,[2]quests!$1:$1,0)-MATCH($B$1,[2]quests!$1:$1,0)+1),MATCH(C$1,[2]quests!$1:$1,0)-MATCH($B$1,[2]quests!$1:$1,0)+1,FALSE)</f>
        <v>1周年記念★特別クエスト</v>
      </c>
      <c r="D3" s="9" t="str">
        <f ca="1">VLOOKUP($B3,OFFSET([2]quests!$A$1,0,0,COUNTA([2]quests!$A:$A),MATCH(D$1,[2]quests!$1:$1,0)-MATCH($B$1,[2]quests!$1:$1,0)+1),MATCH(D$1,[2]quests!$1:$1,0)-MATCH($B$1,[2]quests!$1:$1,0)+1,FALSE)</f>
        <v>1周年記念★特別クエスト</v>
      </c>
      <c r="E3" s="11">
        <v>2</v>
      </c>
      <c r="F3" s="12" t="str">
        <f t="shared" si="1"/>
        <v>11226_2</v>
      </c>
      <c r="G3" s="7" t="str">
        <f ca="1">VLOOKUP($F3,OFFSET([2]stages!$A$1,0,0,COUNTA([2]stages!$A:$A),MATCH(G$1,[2]stages!$2:$2,0)-MATCH($F$1,[2]stages!$2:$2,0)+1),MATCH(G$1,[2]stages!$2:$2,0)-MATCH($F$1,[2]stages!$2:$2,0)+1,FALSE)</f>
        <v>【クリスマス前編】勢いまかせ</v>
      </c>
      <c r="H3" s="11">
        <v>2</v>
      </c>
      <c r="I3" s="6">
        <v>20</v>
      </c>
      <c r="J3" s="6">
        <v>20</v>
      </c>
    </row>
    <row r="4" spans="1:10" ht="21" customHeight="1" x14ac:dyDescent="0.15">
      <c r="A4" s="8" t="str">
        <f t="shared" si="0"/>
        <v>11226_2-3</v>
      </c>
      <c r="B4" s="4">
        <v>11226</v>
      </c>
      <c r="C4" s="5" t="str">
        <f ca="1">VLOOKUP($B4,OFFSET([2]quests!$A$1,0,0,COUNTA([2]quests!$A:$A),MATCH(C$1,[2]quests!$1:$1,0)-MATCH($B$1,[2]quests!$1:$1,0)+1),MATCH(C$1,[2]quests!$1:$1,0)-MATCH($B$1,[2]quests!$1:$1,0)+1,FALSE)</f>
        <v>1周年記念★特別クエスト</v>
      </c>
      <c r="D4" s="9" t="str">
        <f ca="1">VLOOKUP($B4,OFFSET([2]quests!$A$1,0,0,COUNTA([2]quests!$A:$A),MATCH(D$1,[2]quests!$1:$1,0)-MATCH($B$1,[2]quests!$1:$1,0)+1),MATCH(D$1,[2]quests!$1:$1,0)-MATCH($B$1,[2]quests!$1:$1,0)+1,FALSE)</f>
        <v>1周年記念★特別クエスト</v>
      </c>
      <c r="E4" s="11">
        <v>2</v>
      </c>
      <c r="F4" s="12" t="str">
        <f t="shared" si="1"/>
        <v>11226_2</v>
      </c>
      <c r="G4" s="7" t="str">
        <f ca="1">VLOOKUP($F4,OFFSET([2]stages!$A$1,0,0,COUNTA([2]stages!$A:$A),MATCH(G$1,[2]stages!$2:$2,0)-MATCH($F$1,[2]stages!$2:$2,0)+1),MATCH(G$1,[2]stages!$2:$2,0)-MATCH($F$1,[2]stages!$2:$2,0)+1,FALSE)</f>
        <v>【クリスマス前編】勢いまかせ</v>
      </c>
      <c r="H4" s="11">
        <v>3</v>
      </c>
      <c r="I4" s="6">
        <v>50</v>
      </c>
      <c r="J4" s="6">
        <v>50</v>
      </c>
    </row>
    <row r="5" spans="1:10" ht="21" customHeight="1" x14ac:dyDescent="0.15">
      <c r="A5" s="8" t="str">
        <f t="shared" si="0"/>
        <v>11226_2-4</v>
      </c>
      <c r="B5" s="4">
        <v>11226</v>
      </c>
      <c r="C5" s="5" t="str">
        <f ca="1">VLOOKUP($B5,OFFSET([2]quests!$A$1,0,0,COUNTA([2]quests!$A:$A),MATCH(C$1,[2]quests!$1:$1,0)-MATCH($B$1,[2]quests!$1:$1,0)+1),MATCH(C$1,[2]quests!$1:$1,0)-MATCH($B$1,[2]quests!$1:$1,0)+1,FALSE)</f>
        <v>1周年記念★特別クエスト</v>
      </c>
      <c r="D5" s="9" t="str">
        <f ca="1">VLOOKUP($B5,OFFSET([2]quests!$A$1,0,0,COUNTA([2]quests!$A:$A),MATCH(D$1,[2]quests!$1:$1,0)-MATCH($B$1,[2]quests!$1:$1,0)+1),MATCH(D$1,[2]quests!$1:$1,0)-MATCH($B$1,[2]quests!$1:$1,0)+1,FALSE)</f>
        <v>1周年記念★特別クエスト</v>
      </c>
      <c r="E5" s="11">
        <v>2</v>
      </c>
      <c r="F5" s="12" t="str">
        <f t="shared" si="1"/>
        <v>11226_2</v>
      </c>
      <c r="G5" s="7" t="str">
        <f ca="1">VLOOKUP($F5,OFFSET([2]stages!$A$1,0,0,COUNTA([2]stages!$A:$A),MATCH(G$1,[2]stages!$2:$2,0)-MATCH($F$1,[2]stages!$2:$2,0)+1),MATCH(G$1,[2]stages!$2:$2,0)-MATCH($F$1,[2]stages!$2:$2,0)+1,FALSE)</f>
        <v>【クリスマス前編】勢いまかせ</v>
      </c>
      <c r="H5" s="11">
        <v>4</v>
      </c>
      <c r="I5" s="6">
        <v>50</v>
      </c>
      <c r="J5" s="6">
        <v>50</v>
      </c>
    </row>
    <row r="6" spans="1:10" ht="21" customHeight="1" x14ac:dyDescent="0.15">
      <c r="A6" s="8" t="str">
        <f t="shared" ref="A6:A7" si="2">F6&amp;"-"&amp;H6</f>
        <v>11226_2-5</v>
      </c>
      <c r="B6" s="4">
        <v>11226</v>
      </c>
      <c r="C6" s="5" t="str">
        <f ca="1">VLOOKUP($B6,OFFSET([2]quests!$A$1,0,0,COUNTA([2]quests!$A:$A),MATCH(C$1,[2]quests!$1:$1,0)-MATCH($B$1,[2]quests!$1:$1,0)+1),MATCH(C$1,[2]quests!$1:$1,0)-MATCH($B$1,[2]quests!$1:$1,0)+1,FALSE)</f>
        <v>1周年記念★特別クエスト</v>
      </c>
      <c r="D6" s="9" t="str">
        <f ca="1">VLOOKUP($B6,OFFSET([2]quests!$A$1,0,0,COUNTA([2]quests!$A:$A),MATCH(D$1,[2]quests!$1:$1,0)-MATCH($B$1,[2]quests!$1:$1,0)+1),MATCH(D$1,[2]quests!$1:$1,0)-MATCH($B$1,[2]quests!$1:$1,0)+1,FALSE)</f>
        <v>1周年記念★特別クエスト</v>
      </c>
      <c r="E6" s="11">
        <v>2</v>
      </c>
      <c r="F6" s="12" t="str">
        <f t="shared" ref="F6:F7" si="3">B6&amp;"_"&amp;E6</f>
        <v>11226_2</v>
      </c>
      <c r="G6" s="7" t="str">
        <f ca="1">VLOOKUP($F6,OFFSET([2]stages!$A$1,0,0,COUNTA([2]stages!$A:$A),MATCH(G$1,[2]stages!$2:$2,0)-MATCH($F$1,[2]stages!$2:$2,0)+1),MATCH(G$1,[2]stages!$2:$2,0)-MATCH($F$1,[2]stages!$2:$2,0)+1,FALSE)</f>
        <v>【クリスマス前編】勢いまかせ</v>
      </c>
      <c r="H6" s="11">
        <v>5</v>
      </c>
      <c r="I6" s="6">
        <v>60</v>
      </c>
      <c r="J6" s="6">
        <v>60</v>
      </c>
    </row>
    <row r="7" spans="1:10" ht="21" customHeight="1" x14ac:dyDescent="0.15">
      <c r="A7" s="8" t="str">
        <f t="shared" si="2"/>
        <v>11226_3-1</v>
      </c>
      <c r="B7" s="4">
        <v>11226</v>
      </c>
      <c r="C7" s="5" t="str">
        <f ca="1">VLOOKUP($B7,OFFSET([2]quests!$A$1,0,0,COUNTA([2]quests!$A:$A),MATCH(C$1,[2]quests!$1:$1,0)-MATCH($B$1,[2]quests!$1:$1,0)+1),MATCH(C$1,[2]quests!$1:$1,0)-MATCH($B$1,[2]quests!$1:$1,0)+1,FALSE)</f>
        <v>1周年記念★特別クエスト</v>
      </c>
      <c r="D7" s="9" t="str">
        <f ca="1">VLOOKUP($B7,OFFSET([2]quests!$A$1,0,0,COUNTA([2]quests!$A:$A),MATCH(D$1,[2]quests!$1:$1,0)-MATCH($B$1,[2]quests!$1:$1,0)+1),MATCH(D$1,[2]quests!$1:$1,0)-MATCH($B$1,[2]quests!$1:$1,0)+1,FALSE)</f>
        <v>1周年記念★特別クエスト</v>
      </c>
      <c r="E7" s="11">
        <v>3</v>
      </c>
      <c r="F7" s="12" t="str">
        <f t="shared" si="3"/>
        <v>11226_3</v>
      </c>
      <c r="G7" s="7" t="str">
        <f ca="1">VLOOKUP($F7,OFFSET([2]stages!$A$1,0,0,COUNTA([2]stages!$A:$A),MATCH(G$1,[2]stages!$2:$2,0)-MATCH($F$1,[2]stages!$2:$2,0)+1),MATCH(G$1,[2]stages!$2:$2,0)-MATCH($F$1,[2]stages!$2:$2,0)+1,FALSE)</f>
        <v>【クリスマス後編】フィーバーの力</v>
      </c>
      <c r="H7" s="11">
        <v>1</v>
      </c>
      <c r="I7" s="6">
        <v>20</v>
      </c>
      <c r="J7" s="6">
        <v>20</v>
      </c>
    </row>
    <row r="8" spans="1:10" ht="21" customHeight="1" x14ac:dyDescent="0.15">
      <c r="A8" s="8" t="str">
        <f t="shared" ref="A8:A9" si="4">F8&amp;"-"&amp;H8</f>
        <v>11226_3-2</v>
      </c>
      <c r="B8" s="4">
        <v>11226</v>
      </c>
      <c r="C8" s="5" t="str">
        <f ca="1">VLOOKUP($B8,OFFSET([2]quests!$A$1,0,0,COUNTA([2]quests!$A:$A),MATCH(C$1,[2]quests!$1:$1,0)-MATCH($B$1,[2]quests!$1:$1,0)+1),MATCH(C$1,[2]quests!$1:$1,0)-MATCH($B$1,[2]quests!$1:$1,0)+1,FALSE)</f>
        <v>1周年記念★特別クエスト</v>
      </c>
      <c r="D8" s="9" t="str">
        <f ca="1">VLOOKUP($B8,OFFSET([2]quests!$A$1,0,0,COUNTA([2]quests!$A:$A),MATCH(D$1,[2]quests!$1:$1,0)-MATCH($B$1,[2]quests!$1:$1,0)+1),MATCH(D$1,[2]quests!$1:$1,0)-MATCH($B$1,[2]quests!$1:$1,0)+1,FALSE)</f>
        <v>1周年記念★特別クエスト</v>
      </c>
      <c r="E8" s="11">
        <v>3</v>
      </c>
      <c r="F8" s="12" t="str">
        <f t="shared" ref="F8:F9" si="5">B8&amp;"_"&amp;E8</f>
        <v>11226_3</v>
      </c>
      <c r="G8" s="7" t="str">
        <f ca="1">VLOOKUP($F8,OFFSET([2]stages!$A$1,0,0,COUNTA([2]stages!$A:$A),MATCH(G$1,[2]stages!$2:$2,0)-MATCH($F$1,[2]stages!$2:$2,0)+1),MATCH(G$1,[2]stages!$2:$2,0)-MATCH($F$1,[2]stages!$2:$2,0)+1,FALSE)</f>
        <v>【クリスマス後編】フィーバーの力</v>
      </c>
      <c r="H8" s="11">
        <v>2</v>
      </c>
      <c r="I8" s="6">
        <v>40</v>
      </c>
      <c r="J8" s="6">
        <v>40</v>
      </c>
    </row>
    <row r="9" spans="1:10" ht="21" customHeight="1" x14ac:dyDescent="0.15">
      <c r="A9" s="8" t="str">
        <f t="shared" si="4"/>
        <v>11226_3-3</v>
      </c>
      <c r="B9" s="4">
        <v>11226</v>
      </c>
      <c r="C9" s="5" t="str">
        <f ca="1">VLOOKUP($B9,OFFSET([2]quests!$A$1,0,0,COUNTA([2]quests!$A:$A),MATCH(C$1,[2]quests!$1:$1,0)-MATCH($B$1,[2]quests!$1:$1,0)+1),MATCH(C$1,[2]quests!$1:$1,0)-MATCH($B$1,[2]quests!$1:$1,0)+1,FALSE)</f>
        <v>1周年記念★特別クエスト</v>
      </c>
      <c r="D9" s="9" t="str">
        <f ca="1">VLOOKUP($B9,OFFSET([2]quests!$A$1,0,0,COUNTA([2]quests!$A:$A),MATCH(D$1,[2]quests!$1:$1,0)-MATCH($B$1,[2]quests!$1:$1,0)+1),MATCH(D$1,[2]quests!$1:$1,0)-MATCH($B$1,[2]quests!$1:$1,0)+1,FALSE)</f>
        <v>1周年記念★特別クエスト</v>
      </c>
      <c r="E9" s="11">
        <v>3</v>
      </c>
      <c r="F9" s="12" t="str">
        <f t="shared" si="5"/>
        <v>11226_3</v>
      </c>
      <c r="G9" s="7" t="str">
        <f ca="1">VLOOKUP($F9,OFFSET([2]stages!$A$1,0,0,COUNTA([2]stages!$A:$A),MATCH(G$1,[2]stages!$2:$2,0)-MATCH($F$1,[2]stages!$2:$2,0)+1),MATCH(G$1,[2]stages!$2:$2,0)-MATCH($F$1,[2]stages!$2:$2,0)+1,FALSE)</f>
        <v>【クリスマス後編】フィーバーの力</v>
      </c>
      <c r="H9" s="11">
        <v>3</v>
      </c>
      <c r="I9" s="6">
        <v>50</v>
      </c>
      <c r="J9" s="6">
        <v>50</v>
      </c>
    </row>
    <row r="10" spans="1:10" ht="21" customHeight="1" x14ac:dyDescent="0.15">
      <c r="A10" s="8" t="str">
        <f t="shared" ref="A10" si="6">F10&amp;"-"&amp;H10</f>
        <v>11226_3-4</v>
      </c>
      <c r="B10" s="4">
        <v>11226</v>
      </c>
      <c r="C10" s="5" t="str">
        <f ca="1">VLOOKUP($B10,OFFSET([2]quests!$A$1,0,0,COUNTA([2]quests!$A:$A),MATCH(C$1,[2]quests!$1:$1,0)-MATCH($B$1,[2]quests!$1:$1,0)+1),MATCH(C$1,[2]quests!$1:$1,0)-MATCH($B$1,[2]quests!$1:$1,0)+1,FALSE)</f>
        <v>1周年記念★特別クエスト</v>
      </c>
      <c r="D10" s="9" t="str">
        <f ca="1">VLOOKUP($B10,OFFSET([2]quests!$A$1,0,0,COUNTA([2]quests!$A:$A),MATCH(D$1,[2]quests!$1:$1,0)-MATCH($B$1,[2]quests!$1:$1,0)+1),MATCH(D$1,[2]quests!$1:$1,0)-MATCH($B$1,[2]quests!$1:$1,0)+1,FALSE)</f>
        <v>1周年記念★特別クエスト</v>
      </c>
      <c r="E10" s="11">
        <v>3</v>
      </c>
      <c r="F10" s="12" t="str">
        <f t="shared" ref="F10" si="7">B10&amp;"_"&amp;E10</f>
        <v>11226_3</v>
      </c>
      <c r="G10" s="7" t="str">
        <f ca="1">VLOOKUP($F10,OFFSET([2]stages!$A$1,0,0,COUNTA([2]stages!$A:$A),MATCH(G$1,[2]stages!$2:$2,0)-MATCH($F$1,[2]stages!$2:$2,0)+1),MATCH(G$1,[2]stages!$2:$2,0)-MATCH($F$1,[2]stages!$2:$2,0)+1,FALSE)</f>
        <v>【クリスマス後編】フィーバーの力</v>
      </c>
      <c r="H10" s="11">
        <v>4</v>
      </c>
      <c r="I10" s="6">
        <v>30</v>
      </c>
      <c r="J10" s="6">
        <v>30</v>
      </c>
    </row>
    <row r="11" spans="1:10" ht="21" customHeight="1" x14ac:dyDescent="0.15">
      <c r="A11" s="8" t="str">
        <f t="shared" ref="A11" si="8">F11&amp;"-"&amp;H11</f>
        <v>11226_4-1</v>
      </c>
      <c r="B11" s="4">
        <v>11226</v>
      </c>
      <c r="C11" s="5" t="str">
        <f ca="1">VLOOKUP($B11,OFFSET([2]quests!$A$1,0,0,COUNTA([2]quests!$A:$A),MATCH(C$1,[2]quests!$1:$1,0)-MATCH($B$1,[2]quests!$1:$1,0)+1),MATCH(C$1,[2]quests!$1:$1,0)-MATCH($B$1,[2]quests!$1:$1,0)+1,FALSE)</f>
        <v>1周年記念★特別クエスト</v>
      </c>
      <c r="D11" s="9" t="str">
        <f ca="1">VLOOKUP($B11,OFFSET([2]quests!$A$1,0,0,COUNTA([2]quests!$A:$A),MATCH(D$1,[2]quests!$1:$1,0)-MATCH($B$1,[2]quests!$1:$1,0)+1),MATCH(D$1,[2]quests!$1:$1,0)-MATCH($B$1,[2]quests!$1:$1,0)+1,FALSE)</f>
        <v>1周年記念★特別クエスト</v>
      </c>
      <c r="E11" s="11">
        <v>4</v>
      </c>
      <c r="F11" s="12" t="str">
        <f t="shared" ref="F11" si="9">B11&amp;"_"&amp;E11</f>
        <v>11226_4</v>
      </c>
      <c r="G11" s="7" t="str">
        <f ca="1">VLOOKUP($F11,OFFSET([2]stages!$A$1,0,0,COUNTA([2]stages!$A:$A),MATCH(G$1,[2]stages!$2:$2,0)-MATCH($F$1,[2]stages!$2:$2,0)+1),MATCH(G$1,[2]stages!$2:$2,0)-MATCH($F$1,[2]stages!$2:$2,0)+1,FALSE)</f>
        <v>【上級】年を越える宴（ハートなし）</v>
      </c>
      <c r="H11" s="11">
        <v>1</v>
      </c>
      <c r="I11" s="6">
        <v>15</v>
      </c>
      <c r="J11" s="6">
        <v>15</v>
      </c>
    </row>
    <row r="12" spans="1:10" ht="21" customHeight="1" x14ac:dyDescent="0.15">
      <c r="A12" s="8" t="str">
        <f t="shared" ref="A12" si="10">F12&amp;"-"&amp;H12</f>
        <v>11226_4-2</v>
      </c>
      <c r="B12" s="4">
        <v>11226</v>
      </c>
      <c r="C12" s="5" t="str">
        <f ca="1">VLOOKUP($B12,OFFSET([2]quests!$A$1,0,0,COUNTA([2]quests!$A:$A),MATCH(C$1,[2]quests!$1:$1,0)-MATCH($B$1,[2]quests!$1:$1,0)+1),MATCH(C$1,[2]quests!$1:$1,0)-MATCH($B$1,[2]quests!$1:$1,0)+1,FALSE)</f>
        <v>1周年記念★特別クエスト</v>
      </c>
      <c r="D12" s="9" t="str">
        <f ca="1">VLOOKUP($B12,OFFSET([2]quests!$A$1,0,0,COUNTA([2]quests!$A:$A),MATCH(D$1,[2]quests!$1:$1,0)-MATCH($B$1,[2]quests!$1:$1,0)+1),MATCH(D$1,[2]quests!$1:$1,0)-MATCH($B$1,[2]quests!$1:$1,0)+1,FALSE)</f>
        <v>1周年記念★特別クエスト</v>
      </c>
      <c r="E12" s="11">
        <v>4</v>
      </c>
      <c r="F12" s="12" t="str">
        <f t="shared" ref="F12" si="11">B12&amp;"_"&amp;E12</f>
        <v>11226_4</v>
      </c>
      <c r="G12" s="7" t="str">
        <f ca="1">VLOOKUP($F12,OFFSET([2]stages!$A$1,0,0,COUNTA([2]stages!$A:$A),MATCH(G$1,[2]stages!$2:$2,0)-MATCH($F$1,[2]stages!$2:$2,0)+1),MATCH(G$1,[2]stages!$2:$2,0)-MATCH($F$1,[2]stages!$2:$2,0)+1,FALSE)</f>
        <v>【上級】年を越える宴（ハートなし）</v>
      </c>
      <c r="H12" s="11">
        <v>2</v>
      </c>
      <c r="I12" s="6">
        <v>35</v>
      </c>
      <c r="J12" s="6">
        <v>35</v>
      </c>
    </row>
    <row r="13" spans="1:10" ht="21" customHeight="1" x14ac:dyDescent="0.15">
      <c r="A13" s="8" t="str">
        <f t="shared" ref="A13:A14" si="12">F13&amp;"-"&amp;H13</f>
        <v>11226_4-3</v>
      </c>
      <c r="B13" s="4">
        <v>11226</v>
      </c>
      <c r="C13" s="5" t="str">
        <f ca="1">VLOOKUP($B13,OFFSET([2]quests!$A$1,0,0,COUNTA([2]quests!$A:$A),MATCH(C$1,[2]quests!$1:$1,0)-MATCH($B$1,[2]quests!$1:$1,0)+1),MATCH(C$1,[2]quests!$1:$1,0)-MATCH($B$1,[2]quests!$1:$1,0)+1,FALSE)</f>
        <v>1周年記念★特別クエスト</v>
      </c>
      <c r="D13" s="9" t="str">
        <f ca="1">VLOOKUP($B13,OFFSET([2]quests!$A$1,0,0,COUNTA([2]quests!$A:$A),MATCH(D$1,[2]quests!$1:$1,0)-MATCH($B$1,[2]quests!$1:$1,0)+1),MATCH(D$1,[2]quests!$1:$1,0)-MATCH($B$1,[2]quests!$1:$1,0)+1,FALSE)</f>
        <v>1周年記念★特別クエスト</v>
      </c>
      <c r="E13" s="11">
        <v>4</v>
      </c>
      <c r="F13" s="12" t="str">
        <f t="shared" ref="F13:F14" si="13">B13&amp;"_"&amp;E13</f>
        <v>11226_4</v>
      </c>
      <c r="G13" s="7" t="str">
        <f ca="1">VLOOKUP($F13,OFFSET([2]stages!$A$1,0,0,COUNTA([2]stages!$A:$A),MATCH(G$1,[2]stages!$2:$2,0)-MATCH($F$1,[2]stages!$2:$2,0)+1),MATCH(G$1,[2]stages!$2:$2,0)-MATCH($F$1,[2]stages!$2:$2,0)+1,FALSE)</f>
        <v>【上級】年を越える宴（ハートなし）</v>
      </c>
      <c r="H13" s="11">
        <v>3</v>
      </c>
      <c r="I13" s="6">
        <v>35</v>
      </c>
      <c r="J13" s="6">
        <v>35</v>
      </c>
    </row>
    <row r="14" spans="1:10" ht="21" customHeight="1" x14ac:dyDescent="0.15">
      <c r="A14" s="8" t="str">
        <f t="shared" si="12"/>
        <v>11226_4-4</v>
      </c>
      <c r="B14" s="4">
        <v>11226</v>
      </c>
      <c r="C14" s="5" t="str">
        <f ca="1">VLOOKUP($B14,OFFSET([2]quests!$A$1,0,0,COUNTA([2]quests!$A:$A),MATCH(C$1,[2]quests!$1:$1,0)-MATCH($B$1,[2]quests!$1:$1,0)+1),MATCH(C$1,[2]quests!$1:$1,0)-MATCH($B$1,[2]quests!$1:$1,0)+1,FALSE)</f>
        <v>1周年記念★特別クエスト</v>
      </c>
      <c r="D14" s="9" t="str">
        <f ca="1">VLOOKUP($B14,OFFSET([2]quests!$A$1,0,0,COUNTA([2]quests!$A:$A),MATCH(D$1,[2]quests!$1:$1,0)-MATCH($B$1,[2]quests!$1:$1,0)+1),MATCH(D$1,[2]quests!$1:$1,0)-MATCH($B$1,[2]quests!$1:$1,0)+1,FALSE)</f>
        <v>1周年記念★特別クエスト</v>
      </c>
      <c r="E14" s="11">
        <v>4</v>
      </c>
      <c r="F14" s="12" t="str">
        <f t="shared" si="13"/>
        <v>11226_4</v>
      </c>
      <c r="G14" s="7" t="str">
        <f ca="1">VLOOKUP($F14,OFFSET([2]stages!$A$1,0,0,COUNTA([2]stages!$A:$A),MATCH(G$1,[2]stages!$2:$2,0)-MATCH($F$1,[2]stages!$2:$2,0)+1),MATCH(G$1,[2]stages!$2:$2,0)-MATCH($F$1,[2]stages!$2:$2,0)+1,FALSE)</f>
        <v>【上級】年を越える宴（ハートなし）</v>
      </c>
      <c r="H14" s="11">
        <v>4</v>
      </c>
      <c r="I14" s="6">
        <v>40</v>
      </c>
      <c r="J14" s="6">
        <v>40</v>
      </c>
    </row>
    <row r="15" spans="1:10" ht="21" customHeight="1" x14ac:dyDescent="0.15">
      <c r="A15" s="8" t="str">
        <f t="shared" ref="A15" si="14">F15&amp;"-"&amp;H15</f>
        <v>11226_4-5</v>
      </c>
      <c r="B15" s="4">
        <v>11226</v>
      </c>
      <c r="C15" s="5" t="str">
        <f ca="1">VLOOKUP($B15,OFFSET([2]quests!$A$1,0,0,COUNTA([2]quests!$A:$A),MATCH(C$1,[2]quests!$1:$1,0)-MATCH($B$1,[2]quests!$1:$1,0)+1),MATCH(C$1,[2]quests!$1:$1,0)-MATCH($B$1,[2]quests!$1:$1,0)+1,FALSE)</f>
        <v>1周年記念★特別クエスト</v>
      </c>
      <c r="D15" s="9" t="str">
        <f ca="1">VLOOKUP($B15,OFFSET([2]quests!$A$1,0,0,COUNTA([2]quests!$A:$A),MATCH(D$1,[2]quests!$1:$1,0)-MATCH($B$1,[2]quests!$1:$1,0)+1),MATCH(D$1,[2]quests!$1:$1,0)-MATCH($B$1,[2]quests!$1:$1,0)+1,FALSE)</f>
        <v>1周年記念★特別クエスト</v>
      </c>
      <c r="E15" s="11">
        <v>4</v>
      </c>
      <c r="F15" s="12" t="str">
        <f t="shared" ref="F15" si="15">B15&amp;"_"&amp;E15</f>
        <v>11226_4</v>
      </c>
      <c r="G15" s="7" t="str">
        <f ca="1">VLOOKUP($F15,OFFSET([2]stages!$A$1,0,0,COUNTA([2]stages!$A:$A),MATCH(G$1,[2]stages!$2:$2,0)-MATCH($F$1,[2]stages!$2:$2,0)+1),MATCH(G$1,[2]stages!$2:$2,0)-MATCH($F$1,[2]stages!$2:$2,0)+1,FALSE)</f>
        <v>【上級】年を越える宴（ハートなし）</v>
      </c>
      <c r="H15" s="11">
        <v>5</v>
      </c>
      <c r="I15" s="6">
        <v>70</v>
      </c>
      <c r="J15" s="6">
        <v>70</v>
      </c>
    </row>
    <row r="16" spans="1:10" ht="21" customHeight="1" x14ac:dyDescent="0.15">
      <c r="A16" s="8" t="str">
        <f t="shared" ref="A16" si="16">F16&amp;"-"&amp;H16</f>
        <v>11226_5-1</v>
      </c>
      <c r="B16" s="4">
        <v>11226</v>
      </c>
      <c r="C16" s="5" t="str">
        <f ca="1">VLOOKUP($B16,OFFSET([2]quests!$A$1,0,0,COUNTA([2]quests!$A:$A),MATCH(C$1,[2]quests!$1:$1,0)-MATCH($B$1,[2]quests!$1:$1,0)+1),MATCH(C$1,[2]quests!$1:$1,0)-MATCH($B$1,[2]quests!$1:$1,0)+1,FALSE)</f>
        <v>1周年記念★特別クエスト</v>
      </c>
      <c r="D16" s="9" t="str">
        <f ca="1">VLOOKUP($B16,OFFSET([2]quests!$A$1,0,0,COUNTA([2]quests!$A:$A),MATCH(D$1,[2]quests!$1:$1,0)-MATCH($B$1,[2]quests!$1:$1,0)+1),MATCH(D$1,[2]quests!$1:$1,0)-MATCH($B$1,[2]quests!$1:$1,0)+1,FALSE)</f>
        <v>1周年記念★特別クエスト</v>
      </c>
      <c r="E16" s="11">
        <v>5</v>
      </c>
      <c r="F16" s="12" t="str">
        <f t="shared" ref="F16" si="17">B16&amp;"_"&amp;E16</f>
        <v>11226_5</v>
      </c>
      <c r="G16" s="7" t="str">
        <f ca="1">VLOOKUP($F16,OFFSET([2]stages!$A$1,0,0,COUNTA([2]stages!$A:$A),MATCH(G$1,[2]stages!$2:$2,0)-MATCH($F$1,[2]stages!$2:$2,0)+1),MATCH(G$1,[2]stages!$2:$2,0)-MATCH($F$1,[2]stages!$2:$2,0)+1,FALSE)</f>
        <v>あけおめダックのお年玉</v>
      </c>
      <c r="H16" s="11">
        <v>1</v>
      </c>
      <c r="I16" s="6">
        <v>60</v>
      </c>
      <c r="J16" s="6">
        <v>60</v>
      </c>
    </row>
    <row r="17" spans="1:10" ht="21" customHeight="1" x14ac:dyDescent="0.15">
      <c r="A17" s="8" t="str">
        <f t="shared" ref="A17:A27" si="18">F17&amp;"-"&amp;H17</f>
        <v>11226_5-2</v>
      </c>
      <c r="B17" s="4">
        <v>11226</v>
      </c>
      <c r="C17" s="5" t="str">
        <f ca="1">VLOOKUP($B17,OFFSET([2]quests!$A$1,0,0,COUNTA([2]quests!$A:$A),MATCH(C$1,[2]quests!$1:$1,0)-MATCH($B$1,[2]quests!$1:$1,0)+1),MATCH(C$1,[2]quests!$1:$1,0)-MATCH($B$1,[2]quests!$1:$1,0)+1,FALSE)</f>
        <v>1周年記念★特別クエスト</v>
      </c>
      <c r="D17" s="9" t="str">
        <f ca="1">VLOOKUP($B17,OFFSET([2]quests!$A$1,0,0,COUNTA([2]quests!$A:$A),MATCH(D$1,[2]quests!$1:$1,0)-MATCH($B$1,[2]quests!$1:$1,0)+1),MATCH(D$1,[2]quests!$1:$1,0)-MATCH($B$1,[2]quests!$1:$1,0)+1,FALSE)</f>
        <v>1周年記念★特別クエスト</v>
      </c>
      <c r="E17" s="11">
        <v>5</v>
      </c>
      <c r="F17" s="12" t="str">
        <f t="shared" ref="F17:F27" si="19">B17&amp;"_"&amp;E17</f>
        <v>11226_5</v>
      </c>
      <c r="G17" s="7" t="str">
        <f ca="1">VLOOKUP($F17,OFFSET([2]stages!$A$1,0,0,COUNTA([2]stages!$A:$A),MATCH(G$1,[2]stages!$2:$2,0)-MATCH($F$1,[2]stages!$2:$2,0)+1),MATCH(G$1,[2]stages!$2:$2,0)-MATCH($F$1,[2]stages!$2:$2,0)+1,FALSE)</f>
        <v>あけおめダックのお年玉</v>
      </c>
      <c r="H17" s="11">
        <v>2</v>
      </c>
      <c r="I17" s="6">
        <v>45</v>
      </c>
      <c r="J17" s="6">
        <v>45</v>
      </c>
    </row>
    <row r="18" spans="1:10" ht="21" customHeight="1" x14ac:dyDescent="0.15">
      <c r="A18" s="8" t="str">
        <f t="shared" si="18"/>
        <v>11226_6-1</v>
      </c>
      <c r="B18" s="4">
        <v>11226</v>
      </c>
      <c r="C18" s="5" t="str">
        <f ca="1">VLOOKUP($B18,OFFSET([2]quests!$A$1,0,0,COUNTA([2]quests!$A:$A),MATCH(C$1,[2]quests!$1:$1,0)-MATCH($B$1,[2]quests!$1:$1,0)+1),MATCH(C$1,[2]quests!$1:$1,0)-MATCH($B$1,[2]quests!$1:$1,0)+1,FALSE)</f>
        <v>1周年記念★特別クエスト</v>
      </c>
      <c r="D18" s="9" t="str">
        <f ca="1">VLOOKUP($B18,OFFSET([2]quests!$A$1,0,0,COUNTA([2]quests!$A:$A),MATCH(D$1,[2]quests!$1:$1,0)-MATCH($B$1,[2]quests!$1:$1,0)+1),MATCH(D$1,[2]quests!$1:$1,0)-MATCH($B$1,[2]quests!$1:$1,0)+1,FALSE)</f>
        <v>1周年記念★特別クエスト</v>
      </c>
      <c r="E18" s="11">
        <v>6</v>
      </c>
      <c r="F18" s="12" t="str">
        <f t="shared" si="19"/>
        <v>11226_6</v>
      </c>
      <c r="G18" s="7" t="str">
        <f ca="1">VLOOKUP($F18,OFFSET([2]stages!$A$1,0,0,COUNTA([2]stages!$A:$A),MATCH(G$1,[2]stages!$2:$2,0)-MATCH($F$1,[2]stages!$2:$2,0)+1),MATCH(G$1,[2]stages!$2:$2,0)-MATCH($F$1,[2]stages!$2:$2,0)+1,FALSE)</f>
        <v>【ストーリー】バレンタイン狂想曲</v>
      </c>
      <c r="H18" s="11">
        <v>1</v>
      </c>
      <c r="I18" s="6">
        <v>15</v>
      </c>
      <c r="J18" s="6">
        <v>15</v>
      </c>
    </row>
    <row r="19" spans="1:10" ht="21" customHeight="1" x14ac:dyDescent="0.15">
      <c r="A19" s="8" t="str">
        <f t="shared" si="18"/>
        <v>11226_6-2</v>
      </c>
      <c r="B19" s="4">
        <v>11226</v>
      </c>
      <c r="C19" s="5" t="str">
        <f ca="1">VLOOKUP($B19,OFFSET([2]quests!$A$1,0,0,COUNTA([2]quests!$A:$A),MATCH(C$1,[2]quests!$1:$1,0)-MATCH($B$1,[2]quests!$1:$1,0)+1),MATCH(C$1,[2]quests!$1:$1,0)-MATCH($B$1,[2]quests!$1:$1,0)+1,FALSE)</f>
        <v>1周年記念★特別クエスト</v>
      </c>
      <c r="D19" s="9" t="str">
        <f ca="1">VLOOKUP($B19,OFFSET([2]quests!$A$1,0,0,COUNTA([2]quests!$A:$A),MATCH(D$1,[2]quests!$1:$1,0)-MATCH($B$1,[2]quests!$1:$1,0)+1),MATCH(D$1,[2]quests!$1:$1,0)-MATCH($B$1,[2]quests!$1:$1,0)+1,FALSE)</f>
        <v>1周年記念★特別クエスト</v>
      </c>
      <c r="E19" s="11">
        <v>6</v>
      </c>
      <c r="F19" s="12" t="str">
        <f t="shared" si="19"/>
        <v>11226_6</v>
      </c>
      <c r="G19" s="7" t="str">
        <f ca="1">VLOOKUP($F19,OFFSET([2]stages!$A$1,0,0,COUNTA([2]stages!$A:$A),MATCH(G$1,[2]stages!$2:$2,0)-MATCH($F$1,[2]stages!$2:$2,0)+1),MATCH(G$1,[2]stages!$2:$2,0)-MATCH($F$1,[2]stages!$2:$2,0)+1,FALSE)</f>
        <v>【ストーリー】バレンタイン狂想曲</v>
      </c>
      <c r="H19" s="11">
        <v>2</v>
      </c>
      <c r="I19" s="6">
        <v>50</v>
      </c>
      <c r="J19" s="6">
        <v>50</v>
      </c>
    </row>
    <row r="20" spans="1:10" ht="21" customHeight="1" x14ac:dyDescent="0.15">
      <c r="A20" s="8" t="str">
        <f t="shared" si="18"/>
        <v>11226_6-3</v>
      </c>
      <c r="B20" s="4">
        <v>11226</v>
      </c>
      <c r="C20" s="5" t="str">
        <f ca="1">VLOOKUP($B20,OFFSET([2]quests!$A$1,0,0,COUNTA([2]quests!$A:$A),MATCH(C$1,[2]quests!$1:$1,0)-MATCH($B$1,[2]quests!$1:$1,0)+1),MATCH(C$1,[2]quests!$1:$1,0)-MATCH($B$1,[2]quests!$1:$1,0)+1,FALSE)</f>
        <v>1周年記念★特別クエスト</v>
      </c>
      <c r="D20" s="9" t="str">
        <f ca="1">VLOOKUP($B20,OFFSET([2]quests!$A$1,0,0,COUNTA([2]quests!$A:$A),MATCH(D$1,[2]quests!$1:$1,0)-MATCH($B$1,[2]quests!$1:$1,0)+1),MATCH(D$1,[2]quests!$1:$1,0)-MATCH($B$1,[2]quests!$1:$1,0)+1,FALSE)</f>
        <v>1周年記念★特別クエスト</v>
      </c>
      <c r="E20" s="11">
        <v>6</v>
      </c>
      <c r="F20" s="12" t="str">
        <f t="shared" si="19"/>
        <v>11226_6</v>
      </c>
      <c r="G20" s="7" t="str">
        <f ca="1">VLOOKUP($F20,OFFSET([2]stages!$A$1,0,0,COUNTA([2]stages!$A:$A),MATCH(G$1,[2]stages!$2:$2,0)-MATCH($F$1,[2]stages!$2:$2,0)+1),MATCH(G$1,[2]stages!$2:$2,0)-MATCH($F$1,[2]stages!$2:$2,0)+1,FALSE)</f>
        <v>【ストーリー】バレンタイン狂想曲</v>
      </c>
      <c r="H20" s="11">
        <v>3</v>
      </c>
      <c r="I20" s="6">
        <v>50</v>
      </c>
      <c r="J20" s="6">
        <v>50</v>
      </c>
    </row>
    <row r="21" spans="1:10" ht="21" customHeight="1" x14ac:dyDescent="0.15">
      <c r="A21" s="8" t="str">
        <f t="shared" si="18"/>
        <v>11226_6-4</v>
      </c>
      <c r="B21" s="4">
        <v>11226</v>
      </c>
      <c r="C21" s="5" t="str">
        <f ca="1">VLOOKUP($B21,OFFSET([2]quests!$A$1,0,0,COUNTA([2]quests!$A:$A),MATCH(C$1,[2]quests!$1:$1,0)-MATCH($B$1,[2]quests!$1:$1,0)+1),MATCH(C$1,[2]quests!$1:$1,0)-MATCH($B$1,[2]quests!$1:$1,0)+1,FALSE)</f>
        <v>1周年記念★特別クエスト</v>
      </c>
      <c r="D21" s="9" t="str">
        <f ca="1">VLOOKUP($B21,OFFSET([2]quests!$A$1,0,0,COUNTA([2]quests!$A:$A),MATCH(D$1,[2]quests!$1:$1,0)-MATCH($B$1,[2]quests!$1:$1,0)+1),MATCH(D$1,[2]quests!$1:$1,0)-MATCH($B$1,[2]quests!$1:$1,0)+1,FALSE)</f>
        <v>1周年記念★特別クエスト</v>
      </c>
      <c r="E21" s="11">
        <v>6</v>
      </c>
      <c r="F21" s="12" t="str">
        <f t="shared" si="19"/>
        <v>11226_6</v>
      </c>
      <c r="G21" s="7" t="str">
        <f ca="1">VLOOKUP($F21,OFFSET([2]stages!$A$1,0,0,COUNTA([2]stages!$A:$A),MATCH(G$1,[2]stages!$2:$2,0)-MATCH($F$1,[2]stages!$2:$2,0)+1),MATCH(G$1,[2]stages!$2:$2,0)-MATCH($F$1,[2]stages!$2:$2,0)+1,FALSE)</f>
        <v>【ストーリー】バレンタイン狂想曲</v>
      </c>
      <c r="H21" s="11">
        <v>4</v>
      </c>
      <c r="I21" s="6">
        <v>60</v>
      </c>
      <c r="J21" s="6">
        <v>60</v>
      </c>
    </row>
    <row r="22" spans="1:10" ht="21" customHeight="1" x14ac:dyDescent="0.15">
      <c r="A22" s="8" t="str">
        <f t="shared" si="18"/>
        <v>11226_6-5</v>
      </c>
      <c r="B22" s="4">
        <v>11226</v>
      </c>
      <c r="C22" s="5" t="str">
        <f ca="1">VLOOKUP($B22,OFFSET([2]quests!$A$1,0,0,COUNTA([2]quests!$A:$A),MATCH(C$1,[2]quests!$1:$1,0)-MATCH($B$1,[2]quests!$1:$1,0)+1),MATCH(C$1,[2]quests!$1:$1,0)-MATCH($B$1,[2]quests!$1:$1,0)+1,FALSE)</f>
        <v>1周年記念★特別クエスト</v>
      </c>
      <c r="D22" s="9" t="str">
        <f ca="1">VLOOKUP($B22,OFFSET([2]quests!$A$1,0,0,COUNTA([2]quests!$A:$A),MATCH(D$1,[2]quests!$1:$1,0)-MATCH($B$1,[2]quests!$1:$1,0)+1),MATCH(D$1,[2]quests!$1:$1,0)-MATCH($B$1,[2]quests!$1:$1,0)+1,FALSE)</f>
        <v>1周年記念★特別クエスト</v>
      </c>
      <c r="E22" s="11">
        <v>6</v>
      </c>
      <c r="F22" s="12" t="str">
        <f t="shared" si="19"/>
        <v>11226_6</v>
      </c>
      <c r="G22" s="7" t="str">
        <f ca="1">VLOOKUP($F22,OFFSET([2]stages!$A$1,0,0,COUNTA([2]stages!$A:$A),MATCH(G$1,[2]stages!$2:$2,0)-MATCH($F$1,[2]stages!$2:$2,0)+1),MATCH(G$1,[2]stages!$2:$2,0)-MATCH($F$1,[2]stages!$2:$2,0)+1,FALSE)</f>
        <v>【ストーリー】バレンタイン狂想曲</v>
      </c>
      <c r="H22" s="11">
        <v>5</v>
      </c>
      <c r="I22" s="6">
        <v>50</v>
      </c>
      <c r="J22" s="6">
        <v>50</v>
      </c>
    </row>
    <row r="23" spans="1:10" ht="21" customHeight="1" x14ac:dyDescent="0.15">
      <c r="A23" s="8" t="str">
        <f t="shared" si="18"/>
        <v>11226_7-1</v>
      </c>
      <c r="B23" s="4">
        <v>11226</v>
      </c>
      <c r="C23" s="5" t="str">
        <f ca="1">VLOOKUP($B23,OFFSET([2]quests!$A$1,0,0,COUNTA([2]quests!$A:$A),MATCH(C$1,[2]quests!$1:$1,0)-MATCH($B$1,[2]quests!$1:$1,0)+1),MATCH(C$1,[2]quests!$1:$1,0)-MATCH($B$1,[2]quests!$1:$1,0)+1,FALSE)</f>
        <v>1周年記念★特別クエスト</v>
      </c>
      <c r="D23" s="9" t="str">
        <f ca="1">VLOOKUP($B23,OFFSET([2]quests!$A$1,0,0,COUNTA([2]quests!$A:$A),MATCH(D$1,[2]quests!$1:$1,0)-MATCH($B$1,[2]quests!$1:$1,0)+1),MATCH(D$1,[2]quests!$1:$1,0)-MATCH($B$1,[2]quests!$1:$1,0)+1,FALSE)</f>
        <v>1周年記念★特別クエスト</v>
      </c>
      <c r="E23" s="11">
        <v>7</v>
      </c>
      <c r="F23" s="12" t="str">
        <f t="shared" si="19"/>
        <v>11226_7</v>
      </c>
      <c r="G23" s="7" t="str">
        <f ca="1">VLOOKUP($F23,OFFSET([2]stages!$A$1,0,0,COUNTA([2]stages!$A:$A),MATCH(G$1,[2]stages!$2:$2,0)-MATCH($F$1,[2]stages!$2:$2,0)+1),MATCH(G$1,[2]stages!$2:$2,0)-MATCH($F$1,[2]stages!$2:$2,0)+1,FALSE)</f>
        <v>【ストーリー】ホワイトデー独騒曲</v>
      </c>
      <c r="H23" s="11">
        <v>1</v>
      </c>
      <c r="I23" s="6">
        <v>30</v>
      </c>
      <c r="J23" s="6">
        <v>30</v>
      </c>
    </row>
    <row r="24" spans="1:10" ht="21" customHeight="1" x14ac:dyDescent="0.15">
      <c r="A24" s="8" t="str">
        <f t="shared" si="18"/>
        <v>11226_7-2</v>
      </c>
      <c r="B24" s="4">
        <v>11226</v>
      </c>
      <c r="C24" s="5" t="str">
        <f ca="1">VLOOKUP($B24,OFFSET([2]quests!$A$1,0,0,COUNTA([2]quests!$A:$A),MATCH(C$1,[2]quests!$1:$1,0)-MATCH($B$1,[2]quests!$1:$1,0)+1),MATCH(C$1,[2]quests!$1:$1,0)-MATCH($B$1,[2]quests!$1:$1,0)+1,FALSE)</f>
        <v>1周年記念★特別クエスト</v>
      </c>
      <c r="D24" s="9" t="str">
        <f ca="1">VLOOKUP($B24,OFFSET([2]quests!$A$1,0,0,COUNTA([2]quests!$A:$A),MATCH(D$1,[2]quests!$1:$1,0)-MATCH($B$1,[2]quests!$1:$1,0)+1),MATCH(D$1,[2]quests!$1:$1,0)-MATCH($B$1,[2]quests!$1:$1,0)+1,FALSE)</f>
        <v>1周年記念★特別クエスト</v>
      </c>
      <c r="E24" s="11">
        <v>7</v>
      </c>
      <c r="F24" s="12" t="str">
        <f t="shared" si="19"/>
        <v>11226_7</v>
      </c>
      <c r="G24" s="7" t="str">
        <f ca="1">VLOOKUP($F24,OFFSET([2]stages!$A$1,0,0,COUNTA([2]stages!$A:$A),MATCH(G$1,[2]stages!$2:$2,0)-MATCH($F$1,[2]stages!$2:$2,0)+1),MATCH(G$1,[2]stages!$2:$2,0)-MATCH($F$1,[2]stages!$2:$2,0)+1,FALSE)</f>
        <v>【ストーリー】ホワイトデー独騒曲</v>
      </c>
      <c r="H24" s="11">
        <v>2</v>
      </c>
      <c r="I24" s="6">
        <v>15</v>
      </c>
      <c r="J24" s="6">
        <v>15</v>
      </c>
    </row>
    <row r="25" spans="1:10" ht="21" customHeight="1" x14ac:dyDescent="0.15">
      <c r="A25" s="8" t="str">
        <f t="shared" si="18"/>
        <v>11226_7-3</v>
      </c>
      <c r="B25" s="4">
        <v>11226</v>
      </c>
      <c r="C25" s="5" t="str">
        <f ca="1">VLOOKUP($B25,OFFSET([2]quests!$A$1,0,0,COUNTA([2]quests!$A:$A),MATCH(C$1,[2]quests!$1:$1,0)-MATCH($B$1,[2]quests!$1:$1,0)+1),MATCH(C$1,[2]quests!$1:$1,0)-MATCH($B$1,[2]quests!$1:$1,0)+1,FALSE)</f>
        <v>1周年記念★特別クエスト</v>
      </c>
      <c r="D25" s="9" t="str">
        <f ca="1">VLOOKUP($B25,OFFSET([2]quests!$A$1,0,0,COUNTA([2]quests!$A:$A),MATCH(D$1,[2]quests!$1:$1,0)-MATCH($B$1,[2]quests!$1:$1,0)+1),MATCH(D$1,[2]quests!$1:$1,0)-MATCH($B$1,[2]quests!$1:$1,0)+1,FALSE)</f>
        <v>1周年記念★特別クエスト</v>
      </c>
      <c r="E25" s="11">
        <v>7</v>
      </c>
      <c r="F25" s="12" t="str">
        <f t="shared" si="19"/>
        <v>11226_7</v>
      </c>
      <c r="G25" s="7" t="str">
        <f ca="1">VLOOKUP($F25,OFFSET([2]stages!$A$1,0,0,COUNTA([2]stages!$A:$A),MATCH(G$1,[2]stages!$2:$2,0)-MATCH($F$1,[2]stages!$2:$2,0)+1),MATCH(G$1,[2]stages!$2:$2,0)-MATCH($F$1,[2]stages!$2:$2,0)+1,FALSE)</f>
        <v>【ストーリー】ホワイトデー独騒曲</v>
      </c>
      <c r="H25" s="11">
        <v>3</v>
      </c>
      <c r="I25" s="6">
        <v>60</v>
      </c>
      <c r="J25" s="6">
        <v>60</v>
      </c>
    </row>
    <row r="26" spans="1:10" ht="21" customHeight="1" x14ac:dyDescent="0.15">
      <c r="A26" s="8" t="str">
        <f t="shared" si="18"/>
        <v>11226_7-4</v>
      </c>
      <c r="B26" s="4">
        <v>11226</v>
      </c>
      <c r="C26" s="5" t="str">
        <f ca="1">VLOOKUP($B26,OFFSET([2]quests!$A$1,0,0,COUNTA([2]quests!$A:$A),MATCH(C$1,[2]quests!$1:$1,0)-MATCH($B$1,[2]quests!$1:$1,0)+1),MATCH(C$1,[2]quests!$1:$1,0)-MATCH($B$1,[2]quests!$1:$1,0)+1,FALSE)</f>
        <v>1周年記念★特別クエスト</v>
      </c>
      <c r="D26" s="9" t="str">
        <f ca="1">VLOOKUP($B26,OFFSET([2]quests!$A$1,0,0,COUNTA([2]quests!$A:$A),MATCH(D$1,[2]quests!$1:$1,0)-MATCH($B$1,[2]quests!$1:$1,0)+1),MATCH(D$1,[2]quests!$1:$1,0)-MATCH($B$1,[2]quests!$1:$1,0)+1,FALSE)</f>
        <v>1周年記念★特別クエスト</v>
      </c>
      <c r="E26" s="11">
        <v>7</v>
      </c>
      <c r="F26" s="12" t="str">
        <f t="shared" si="19"/>
        <v>11226_7</v>
      </c>
      <c r="G26" s="7" t="str">
        <f ca="1">VLOOKUP($F26,OFFSET([2]stages!$A$1,0,0,COUNTA([2]stages!$A:$A),MATCH(G$1,[2]stages!$2:$2,0)-MATCH($F$1,[2]stages!$2:$2,0)+1),MATCH(G$1,[2]stages!$2:$2,0)-MATCH($F$1,[2]stages!$2:$2,0)+1,FALSE)</f>
        <v>【ストーリー】ホワイトデー独騒曲</v>
      </c>
      <c r="H26" s="11">
        <v>4</v>
      </c>
      <c r="I26" s="6">
        <v>60</v>
      </c>
      <c r="J26" s="6">
        <v>60</v>
      </c>
    </row>
    <row r="27" spans="1:10" ht="21" customHeight="1" x14ac:dyDescent="0.15">
      <c r="A27" s="8" t="str">
        <f t="shared" si="18"/>
        <v>11226_7-5</v>
      </c>
      <c r="B27" s="4">
        <v>11226</v>
      </c>
      <c r="C27" s="5" t="str">
        <f ca="1">VLOOKUP($B27,OFFSET([2]quests!$A$1,0,0,COUNTA([2]quests!$A:$A),MATCH(C$1,[2]quests!$1:$1,0)-MATCH($B$1,[2]quests!$1:$1,0)+1),MATCH(C$1,[2]quests!$1:$1,0)-MATCH($B$1,[2]quests!$1:$1,0)+1,FALSE)</f>
        <v>1周年記念★特別クエスト</v>
      </c>
      <c r="D27" s="9" t="str">
        <f ca="1">VLOOKUP($B27,OFFSET([2]quests!$A$1,0,0,COUNTA([2]quests!$A:$A),MATCH(D$1,[2]quests!$1:$1,0)-MATCH($B$1,[2]quests!$1:$1,0)+1),MATCH(D$1,[2]quests!$1:$1,0)-MATCH($B$1,[2]quests!$1:$1,0)+1,FALSE)</f>
        <v>1周年記念★特別クエスト</v>
      </c>
      <c r="E27" s="11">
        <v>7</v>
      </c>
      <c r="F27" s="12" t="str">
        <f t="shared" si="19"/>
        <v>11226_7</v>
      </c>
      <c r="G27" s="7" t="str">
        <f ca="1">VLOOKUP($F27,OFFSET([2]stages!$A$1,0,0,COUNTA([2]stages!$A:$A),MATCH(G$1,[2]stages!$2:$2,0)-MATCH($F$1,[2]stages!$2:$2,0)+1),MATCH(G$1,[2]stages!$2:$2,0)-MATCH($F$1,[2]stages!$2:$2,0)+1,FALSE)</f>
        <v>【ストーリー】ホワイトデー独騒曲</v>
      </c>
      <c r="H27" s="11">
        <v>5</v>
      </c>
      <c r="I27" s="6">
        <v>60</v>
      </c>
      <c r="J27" s="6">
        <v>60</v>
      </c>
    </row>
    <row r="28" spans="1:10" ht="21" customHeight="1" x14ac:dyDescent="0.15">
      <c r="A28" s="8" t="str">
        <f t="shared" ref="A28:A32" si="20">F28&amp;"-"&amp;H28</f>
        <v>11226_8-1</v>
      </c>
      <c r="B28" s="4">
        <v>11226</v>
      </c>
      <c r="C28" s="5" t="str">
        <f ca="1">VLOOKUP($B28,OFFSET([2]quests!$A$1,0,0,COUNTA([2]quests!$A:$A),MATCH(C$1,[2]quests!$1:$1,0)-MATCH($B$1,[2]quests!$1:$1,0)+1),MATCH(C$1,[2]quests!$1:$1,0)-MATCH($B$1,[2]quests!$1:$1,0)+1,FALSE)</f>
        <v>1周年記念★特別クエスト</v>
      </c>
      <c r="D28" s="9" t="str">
        <f ca="1">VLOOKUP($B28,OFFSET([2]quests!$A$1,0,0,COUNTA([2]quests!$A:$A),MATCH(D$1,[2]quests!$1:$1,0)-MATCH($B$1,[2]quests!$1:$1,0)+1),MATCH(D$1,[2]quests!$1:$1,0)-MATCH($B$1,[2]quests!$1:$1,0)+1,FALSE)</f>
        <v>1周年記念★特別クエスト</v>
      </c>
      <c r="E28" s="11">
        <v>8</v>
      </c>
      <c r="F28" s="12" t="str">
        <f t="shared" ref="F28:F32" si="21">B28&amp;"_"&amp;E28</f>
        <v>11226_8</v>
      </c>
      <c r="G28" s="7" t="str">
        <f ca="1">VLOOKUP($F28,OFFSET([2]stages!$A$1,0,0,COUNTA([2]stages!$A:$A),MATCH(G$1,[2]stages!$2:$2,0)-MATCH($F$1,[2]stages!$2:$2,0)+1),MATCH(G$1,[2]stages!$2:$2,0)-MATCH($F$1,[2]stages!$2:$2,0)+1,FALSE)</f>
        <v>【ストーリー】桜舞い散る樹の下で</v>
      </c>
      <c r="H28" s="11">
        <v>1</v>
      </c>
      <c r="I28" s="6">
        <v>15</v>
      </c>
      <c r="J28" s="6">
        <v>15</v>
      </c>
    </row>
    <row r="29" spans="1:10" ht="21" customHeight="1" x14ac:dyDescent="0.15">
      <c r="A29" s="8" t="str">
        <f t="shared" si="20"/>
        <v>11226_8-2</v>
      </c>
      <c r="B29" s="4">
        <v>11226</v>
      </c>
      <c r="C29" s="5" t="str">
        <f ca="1">VLOOKUP($B29,OFFSET([2]quests!$A$1,0,0,COUNTA([2]quests!$A:$A),MATCH(C$1,[2]quests!$1:$1,0)-MATCH($B$1,[2]quests!$1:$1,0)+1),MATCH(C$1,[2]quests!$1:$1,0)-MATCH($B$1,[2]quests!$1:$1,0)+1,FALSE)</f>
        <v>1周年記念★特別クエスト</v>
      </c>
      <c r="D29" s="9" t="str">
        <f ca="1">VLOOKUP($B29,OFFSET([2]quests!$A$1,0,0,COUNTA([2]quests!$A:$A),MATCH(D$1,[2]quests!$1:$1,0)-MATCH($B$1,[2]quests!$1:$1,0)+1),MATCH(D$1,[2]quests!$1:$1,0)-MATCH($B$1,[2]quests!$1:$1,0)+1,FALSE)</f>
        <v>1周年記念★特別クエスト</v>
      </c>
      <c r="E29" s="11">
        <v>8</v>
      </c>
      <c r="F29" s="12" t="str">
        <f t="shared" si="21"/>
        <v>11226_8</v>
      </c>
      <c r="G29" s="7" t="str">
        <f ca="1">VLOOKUP($F29,OFFSET([2]stages!$A$1,0,0,COUNTA([2]stages!$A:$A),MATCH(G$1,[2]stages!$2:$2,0)-MATCH($F$1,[2]stages!$2:$2,0)+1),MATCH(G$1,[2]stages!$2:$2,0)-MATCH($F$1,[2]stages!$2:$2,0)+1,FALSE)</f>
        <v>【ストーリー】桜舞い散る樹の下で</v>
      </c>
      <c r="H29" s="11">
        <v>2</v>
      </c>
      <c r="I29" s="6">
        <v>15</v>
      </c>
      <c r="J29" s="6">
        <v>15</v>
      </c>
    </row>
    <row r="30" spans="1:10" ht="21" customHeight="1" x14ac:dyDescent="0.15">
      <c r="A30" s="8" t="str">
        <f t="shared" si="20"/>
        <v>11226_8-3</v>
      </c>
      <c r="B30" s="4">
        <v>11226</v>
      </c>
      <c r="C30" s="5" t="str">
        <f ca="1">VLOOKUP($B30,OFFSET([2]quests!$A$1,0,0,COUNTA([2]quests!$A:$A),MATCH(C$1,[2]quests!$1:$1,0)-MATCH($B$1,[2]quests!$1:$1,0)+1),MATCH(C$1,[2]quests!$1:$1,0)-MATCH($B$1,[2]quests!$1:$1,0)+1,FALSE)</f>
        <v>1周年記念★特別クエスト</v>
      </c>
      <c r="D30" s="9" t="str">
        <f ca="1">VLOOKUP($B30,OFFSET([2]quests!$A$1,0,0,COUNTA([2]quests!$A:$A),MATCH(D$1,[2]quests!$1:$1,0)-MATCH($B$1,[2]quests!$1:$1,0)+1),MATCH(D$1,[2]quests!$1:$1,0)-MATCH($B$1,[2]quests!$1:$1,0)+1,FALSE)</f>
        <v>1周年記念★特別クエスト</v>
      </c>
      <c r="E30" s="11">
        <v>8</v>
      </c>
      <c r="F30" s="12" t="str">
        <f t="shared" si="21"/>
        <v>11226_8</v>
      </c>
      <c r="G30" s="7" t="str">
        <f ca="1">VLOOKUP($F30,OFFSET([2]stages!$A$1,0,0,COUNTA([2]stages!$A:$A),MATCH(G$1,[2]stages!$2:$2,0)-MATCH($F$1,[2]stages!$2:$2,0)+1),MATCH(G$1,[2]stages!$2:$2,0)-MATCH($F$1,[2]stages!$2:$2,0)+1,FALSE)</f>
        <v>【ストーリー】桜舞い散る樹の下で</v>
      </c>
      <c r="H30" s="11">
        <v>3</v>
      </c>
      <c r="I30" s="6">
        <v>40</v>
      </c>
      <c r="J30" s="6">
        <v>40</v>
      </c>
    </row>
    <row r="31" spans="1:10" ht="21" customHeight="1" x14ac:dyDescent="0.15">
      <c r="A31" s="8" t="str">
        <f t="shared" si="20"/>
        <v>11226_8-4</v>
      </c>
      <c r="B31" s="4">
        <v>11226</v>
      </c>
      <c r="C31" s="5" t="str">
        <f ca="1">VLOOKUP($B31,OFFSET([2]quests!$A$1,0,0,COUNTA([2]quests!$A:$A),MATCH(C$1,[2]quests!$1:$1,0)-MATCH($B$1,[2]quests!$1:$1,0)+1),MATCH(C$1,[2]quests!$1:$1,0)-MATCH($B$1,[2]quests!$1:$1,0)+1,FALSE)</f>
        <v>1周年記念★特別クエスト</v>
      </c>
      <c r="D31" s="9" t="str">
        <f ca="1">VLOOKUP($B31,OFFSET([2]quests!$A$1,0,0,COUNTA([2]quests!$A:$A),MATCH(D$1,[2]quests!$1:$1,0)-MATCH($B$1,[2]quests!$1:$1,0)+1),MATCH(D$1,[2]quests!$1:$1,0)-MATCH($B$1,[2]quests!$1:$1,0)+1,FALSE)</f>
        <v>1周年記念★特別クエスト</v>
      </c>
      <c r="E31" s="11">
        <v>8</v>
      </c>
      <c r="F31" s="12" t="str">
        <f t="shared" si="21"/>
        <v>11226_8</v>
      </c>
      <c r="G31" s="7" t="str">
        <f ca="1">VLOOKUP($F31,OFFSET([2]stages!$A$1,0,0,COUNTA([2]stages!$A:$A),MATCH(G$1,[2]stages!$2:$2,0)-MATCH($F$1,[2]stages!$2:$2,0)+1),MATCH(G$1,[2]stages!$2:$2,0)-MATCH($F$1,[2]stages!$2:$2,0)+1,FALSE)</f>
        <v>【ストーリー】桜舞い散る樹の下で</v>
      </c>
      <c r="H31" s="11">
        <v>4</v>
      </c>
      <c r="I31" s="6">
        <v>15</v>
      </c>
      <c r="J31" s="6">
        <v>15</v>
      </c>
    </row>
    <row r="32" spans="1:10" ht="21" customHeight="1" x14ac:dyDescent="0.15">
      <c r="A32" s="8" t="str">
        <f t="shared" si="20"/>
        <v>11226_8-5</v>
      </c>
      <c r="B32" s="4">
        <v>11226</v>
      </c>
      <c r="C32" s="5" t="str">
        <f ca="1">VLOOKUP($B32,OFFSET([2]quests!$A$1,0,0,COUNTA([2]quests!$A:$A),MATCH(C$1,[2]quests!$1:$1,0)-MATCH($B$1,[2]quests!$1:$1,0)+1),MATCH(C$1,[2]quests!$1:$1,0)-MATCH($B$1,[2]quests!$1:$1,0)+1,FALSE)</f>
        <v>1周年記念★特別クエスト</v>
      </c>
      <c r="D32" s="9" t="str">
        <f ca="1">VLOOKUP($B32,OFFSET([2]quests!$A$1,0,0,COUNTA([2]quests!$A:$A),MATCH(D$1,[2]quests!$1:$1,0)-MATCH($B$1,[2]quests!$1:$1,0)+1),MATCH(D$1,[2]quests!$1:$1,0)-MATCH($B$1,[2]quests!$1:$1,0)+1,FALSE)</f>
        <v>1周年記念★特別クエスト</v>
      </c>
      <c r="E32" s="11">
        <v>8</v>
      </c>
      <c r="F32" s="12" t="str">
        <f t="shared" si="21"/>
        <v>11226_8</v>
      </c>
      <c r="G32" s="7" t="str">
        <f ca="1">VLOOKUP($F32,OFFSET([2]stages!$A$1,0,0,COUNTA([2]stages!$A:$A),MATCH(G$1,[2]stages!$2:$2,0)-MATCH($F$1,[2]stages!$2:$2,0)+1),MATCH(G$1,[2]stages!$2:$2,0)-MATCH($F$1,[2]stages!$2:$2,0)+1,FALSE)</f>
        <v>【ストーリー】桜舞い散る樹の下で</v>
      </c>
      <c r="H32" s="11">
        <v>5</v>
      </c>
      <c r="I32" s="6">
        <v>15</v>
      </c>
      <c r="J32" s="6">
        <v>15</v>
      </c>
    </row>
    <row r="33" spans="1:10" ht="21" customHeight="1" x14ac:dyDescent="0.15">
      <c r="A33" s="8" t="str">
        <f t="shared" ref="A33" si="22">F33&amp;"-"&amp;H33</f>
        <v>11226_8-6</v>
      </c>
      <c r="B33" s="4">
        <v>11226</v>
      </c>
      <c r="C33" s="5" t="str">
        <f ca="1">VLOOKUP($B33,OFFSET([2]quests!$A$1,0,0,COUNTA([2]quests!$A:$A),MATCH(C$1,[2]quests!$1:$1,0)-MATCH($B$1,[2]quests!$1:$1,0)+1),MATCH(C$1,[2]quests!$1:$1,0)-MATCH($B$1,[2]quests!$1:$1,0)+1,FALSE)</f>
        <v>1周年記念★特別クエスト</v>
      </c>
      <c r="D33" s="9" t="str">
        <f ca="1">VLOOKUP($B33,OFFSET([2]quests!$A$1,0,0,COUNTA([2]quests!$A:$A),MATCH(D$1,[2]quests!$1:$1,0)-MATCH($B$1,[2]quests!$1:$1,0)+1),MATCH(D$1,[2]quests!$1:$1,0)-MATCH($B$1,[2]quests!$1:$1,0)+1,FALSE)</f>
        <v>1周年記念★特別クエスト</v>
      </c>
      <c r="E33" s="11">
        <v>8</v>
      </c>
      <c r="F33" s="12" t="str">
        <f t="shared" ref="F33" si="23">B33&amp;"_"&amp;E33</f>
        <v>11226_8</v>
      </c>
      <c r="G33" s="7" t="str">
        <f ca="1">VLOOKUP($F33,OFFSET([2]stages!$A$1,0,0,COUNTA([2]stages!$A:$A),MATCH(G$1,[2]stages!$2:$2,0)-MATCH($F$1,[2]stages!$2:$2,0)+1),MATCH(G$1,[2]stages!$2:$2,0)-MATCH($F$1,[2]stages!$2:$2,0)+1,FALSE)</f>
        <v>【ストーリー】桜舞い散る樹の下で</v>
      </c>
      <c r="H33" s="11">
        <v>6</v>
      </c>
      <c r="I33" s="6">
        <v>15</v>
      </c>
      <c r="J33" s="6">
        <v>15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X69"/>
  <sheetViews>
    <sheetView topLeftCell="A33" workbookViewId="0">
      <selection activeCell="M60" sqref="M60"/>
    </sheetView>
  </sheetViews>
  <sheetFormatPr baseColWidth="12" defaultRowHeight="15" x14ac:dyDescent="0.15"/>
  <cols>
    <col min="1" max="2" width="8" bestFit="1" customWidth="1"/>
    <col min="3" max="3" width="7.1640625" bestFit="1" customWidth="1"/>
    <col min="4" max="4" width="11.5" bestFit="1" customWidth="1"/>
    <col min="5" max="5" width="5.1640625" bestFit="1" customWidth="1"/>
    <col min="6" max="6" width="10.5" bestFit="1" customWidth="1"/>
    <col min="7" max="7" width="8.6640625" bestFit="1" customWidth="1"/>
    <col min="8" max="8" width="9.33203125" bestFit="1" customWidth="1"/>
    <col min="9" max="9" width="7.83203125" bestFit="1" customWidth="1"/>
    <col min="10" max="10" width="6.33203125" bestFit="1" customWidth="1"/>
    <col min="11" max="11" width="10.83203125" bestFit="1" customWidth="1"/>
    <col min="12" max="12" width="13.33203125" bestFit="1" customWidth="1"/>
    <col min="15" max="15" width="7.33203125" bestFit="1" customWidth="1"/>
    <col min="16" max="16" width="10.6640625" bestFit="1" customWidth="1"/>
    <col min="17" max="17" width="11.83203125" bestFit="1" customWidth="1"/>
    <col min="18" max="18" width="8.6640625" bestFit="1" customWidth="1"/>
    <col min="19" max="19" width="4.33203125" bestFit="1" customWidth="1"/>
    <col min="20" max="20" width="16" bestFit="1" customWidth="1"/>
    <col min="21" max="21" width="17.1640625" bestFit="1" customWidth="1"/>
    <col min="23" max="23" width="7" bestFit="1" customWidth="1"/>
    <col min="24" max="24" width="9" bestFit="1" customWidth="1"/>
  </cols>
  <sheetData>
    <row r="1" spans="1:24" x14ac:dyDescent="0.15">
      <c r="A1" t="s">
        <v>0</v>
      </c>
      <c r="B1" t="s">
        <v>1</v>
      </c>
      <c r="C1" t="s">
        <v>12</v>
      </c>
      <c r="D1" t="s">
        <v>2</v>
      </c>
      <c r="E1" t="s">
        <v>3</v>
      </c>
      <c r="F1" t="s">
        <v>16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21</v>
      </c>
      <c r="P1" t="s">
        <v>23</v>
      </c>
      <c r="Q1" t="s">
        <v>25</v>
      </c>
      <c r="R1" t="s">
        <v>27</v>
      </c>
      <c r="S1" t="s">
        <v>29</v>
      </c>
      <c r="T1" t="s">
        <v>33</v>
      </c>
      <c r="U1" t="s">
        <v>35</v>
      </c>
      <c r="V1" t="s">
        <v>31</v>
      </c>
      <c r="W1" t="s">
        <v>145</v>
      </c>
      <c r="X1" t="s">
        <v>146</v>
      </c>
    </row>
    <row r="2" spans="1:24" x14ac:dyDescent="0.15">
      <c r="A2">
        <v>11226</v>
      </c>
      <c r="B2">
        <v>2</v>
      </c>
      <c r="C2">
        <v>1</v>
      </c>
      <c r="D2">
        <v>520</v>
      </c>
      <c r="E2">
        <v>1</v>
      </c>
      <c r="F2">
        <v>112141100</v>
      </c>
      <c r="G2">
        <v>1</v>
      </c>
      <c r="H2">
        <v>0</v>
      </c>
      <c r="I2">
        <v>1</v>
      </c>
      <c r="J2">
        <v>3</v>
      </c>
      <c r="K2">
        <v>520</v>
      </c>
      <c r="L2">
        <v>1</v>
      </c>
      <c r="M2">
        <v>5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1</v>
      </c>
      <c r="U2">
        <v>-8000</v>
      </c>
      <c r="V2">
        <v>0.1</v>
      </c>
      <c r="W2" t="s">
        <v>147</v>
      </c>
      <c r="X2">
        <v>1</v>
      </c>
    </row>
    <row r="3" spans="1:24" x14ac:dyDescent="0.15">
      <c r="A3">
        <v>11226</v>
      </c>
      <c r="B3">
        <v>2</v>
      </c>
      <c r="C3">
        <v>2</v>
      </c>
      <c r="D3">
        <v>202</v>
      </c>
      <c r="E3">
        <v>1</v>
      </c>
      <c r="F3">
        <v>112141200</v>
      </c>
      <c r="G3">
        <v>1</v>
      </c>
      <c r="H3">
        <v>0</v>
      </c>
      <c r="I3">
        <v>1</v>
      </c>
      <c r="J3">
        <v>3</v>
      </c>
      <c r="K3">
        <v>202</v>
      </c>
      <c r="L3">
        <v>1</v>
      </c>
      <c r="M3">
        <v>3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1</v>
      </c>
      <c r="U3">
        <v>0</v>
      </c>
      <c r="V3">
        <v>0.1</v>
      </c>
      <c r="W3">
        <v>1</v>
      </c>
      <c r="X3">
        <v>1</v>
      </c>
    </row>
    <row r="4" spans="1:24" x14ac:dyDescent="0.15">
      <c r="A4">
        <v>11226</v>
      </c>
      <c r="B4">
        <v>2</v>
      </c>
      <c r="C4">
        <v>3</v>
      </c>
      <c r="D4">
        <v>167</v>
      </c>
      <c r="E4">
        <v>1</v>
      </c>
      <c r="F4">
        <v>112141310</v>
      </c>
      <c r="G4">
        <v>1</v>
      </c>
      <c r="H4">
        <v>0</v>
      </c>
      <c r="I4">
        <v>1</v>
      </c>
      <c r="J4">
        <v>2</v>
      </c>
      <c r="K4">
        <v>167</v>
      </c>
      <c r="L4">
        <v>1</v>
      </c>
      <c r="M4">
        <v>4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1</v>
      </c>
      <c r="U4">
        <v>-440</v>
      </c>
      <c r="V4">
        <v>0.1</v>
      </c>
      <c r="W4">
        <v>2</v>
      </c>
      <c r="X4">
        <v>1</v>
      </c>
    </row>
    <row r="5" spans="1:24" x14ac:dyDescent="0.15">
      <c r="A5">
        <v>11226</v>
      </c>
      <c r="B5">
        <v>2</v>
      </c>
      <c r="C5">
        <v>3</v>
      </c>
      <c r="D5">
        <v>202</v>
      </c>
      <c r="E5">
        <v>1</v>
      </c>
      <c r="F5">
        <v>112141300</v>
      </c>
      <c r="G5">
        <v>1</v>
      </c>
      <c r="H5">
        <v>0</v>
      </c>
      <c r="I5">
        <v>2</v>
      </c>
      <c r="J5">
        <v>3</v>
      </c>
      <c r="K5">
        <v>202</v>
      </c>
      <c r="L5">
        <v>1</v>
      </c>
      <c r="M5">
        <v>3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1</v>
      </c>
      <c r="U5">
        <v>0</v>
      </c>
      <c r="V5">
        <v>99.9</v>
      </c>
      <c r="W5" t="s">
        <v>147</v>
      </c>
      <c r="X5">
        <v>1</v>
      </c>
    </row>
    <row r="6" spans="1:24" x14ac:dyDescent="0.15">
      <c r="A6">
        <v>11226</v>
      </c>
      <c r="B6">
        <v>2</v>
      </c>
      <c r="C6">
        <v>4</v>
      </c>
      <c r="D6">
        <v>170</v>
      </c>
      <c r="E6">
        <v>1</v>
      </c>
      <c r="F6">
        <v>112141410</v>
      </c>
      <c r="G6">
        <v>1</v>
      </c>
      <c r="H6">
        <v>0</v>
      </c>
      <c r="I6">
        <v>1</v>
      </c>
      <c r="J6">
        <v>2</v>
      </c>
      <c r="K6">
        <v>170</v>
      </c>
      <c r="L6">
        <v>1</v>
      </c>
      <c r="M6">
        <v>4</v>
      </c>
      <c r="N6">
        <v>0</v>
      </c>
      <c r="O6">
        <v>0</v>
      </c>
      <c r="P6">
        <v>0</v>
      </c>
      <c r="Q6">
        <v>0</v>
      </c>
      <c r="R6">
        <v>0</v>
      </c>
      <c r="S6">
        <v>1</v>
      </c>
      <c r="T6">
        <v>1</v>
      </c>
      <c r="U6">
        <v>0</v>
      </c>
      <c r="V6">
        <v>0.1</v>
      </c>
      <c r="W6">
        <v>1</v>
      </c>
      <c r="X6">
        <v>1</v>
      </c>
    </row>
    <row r="7" spans="1:24" x14ac:dyDescent="0.15">
      <c r="A7">
        <v>11226</v>
      </c>
      <c r="B7">
        <v>2</v>
      </c>
      <c r="C7">
        <v>4</v>
      </c>
      <c r="D7">
        <v>202</v>
      </c>
      <c r="E7">
        <v>1</v>
      </c>
      <c r="F7">
        <v>112141400</v>
      </c>
      <c r="G7">
        <v>1</v>
      </c>
      <c r="H7">
        <v>0</v>
      </c>
      <c r="I7">
        <v>2</v>
      </c>
      <c r="J7">
        <v>3</v>
      </c>
      <c r="K7">
        <v>202</v>
      </c>
      <c r="L7">
        <v>1</v>
      </c>
      <c r="M7">
        <v>3</v>
      </c>
      <c r="N7">
        <v>0</v>
      </c>
      <c r="O7">
        <v>0</v>
      </c>
      <c r="P7">
        <v>0</v>
      </c>
      <c r="Q7">
        <v>0</v>
      </c>
      <c r="R7">
        <v>0</v>
      </c>
      <c r="S7">
        <v>1</v>
      </c>
      <c r="T7">
        <v>1</v>
      </c>
      <c r="U7">
        <v>0</v>
      </c>
      <c r="V7">
        <v>99.9</v>
      </c>
      <c r="W7" t="s">
        <v>147</v>
      </c>
      <c r="X7">
        <v>1</v>
      </c>
    </row>
    <row r="8" spans="1:24" x14ac:dyDescent="0.15">
      <c r="A8">
        <v>11226</v>
      </c>
      <c r="B8">
        <v>2</v>
      </c>
      <c r="C8">
        <v>5</v>
      </c>
      <c r="D8">
        <v>204</v>
      </c>
      <c r="E8">
        <v>1</v>
      </c>
      <c r="F8">
        <v>112141500</v>
      </c>
      <c r="G8">
        <v>1</v>
      </c>
      <c r="H8">
        <v>0</v>
      </c>
      <c r="I8">
        <v>1</v>
      </c>
      <c r="J8">
        <v>3</v>
      </c>
      <c r="K8">
        <v>204</v>
      </c>
      <c r="L8">
        <v>1</v>
      </c>
      <c r="M8">
        <v>5</v>
      </c>
      <c r="N8">
        <v>0</v>
      </c>
      <c r="O8">
        <v>0</v>
      </c>
      <c r="P8">
        <v>0</v>
      </c>
      <c r="Q8">
        <v>0</v>
      </c>
      <c r="R8">
        <v>0</v>
      </c>
      <c r="S8">
        <v>1</v>
      </c>
      <c r="T8">
        <v>1</v>
      </c>
      <c r="U8">
        <v>0</v>
      </c>
      <c r="V8">
        <v>0.1</v>
      </c>
      <c r="W8">
        <v>1</v>
      </c>
      <c r="X8">
        <v>1</v>
      </c>
    </row>
    <row r="9" spans="1:24" x14ac:dyDescent="0.15">
      <c r="A9">
        <v>11226</v>
      </c>
      <c r="B9">
        <v>3</v>
      </c>
      <c r="C9">
        <v>1</v>
      </c>
      <c r="D9">
        <v>520</v>
      </c>
      <c r="E9">
        <v>1</v>
      </c>
      <c r="F9">
        <v>112143100</v>
      </c>
      <c r="G9">
        <v>1</v>
      </c>
      <c r="H9">
        <v>0</v>
      </c>
      <c r="I9">
        <v>1</v>
      </c>
      <c r="J9">
        <v>3</v>
      </c>
      <c r="K9">
        <v>520</v>
      </c>
      <c r="L9">
        <v>1</v>
      </c>
      <c r="M9">
        <v>5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1</v>
      </c>
      <c r="U9">
        <v>-8000</v>
      </c>
      <c r="V9">
        <v>0.1</v>
      </c>
      <c r="W9" t="s">
        <v>147</v>
      </c>
      <c r="X9">
        <v>1</v>
      </c>
    </row>
    <row r="10" spans="1:24" x14ac:dyDescent="0.15">
      <c r="A10">
        <v>11226</v>
      </c>
      <c r="B10">
        <v>3</v>
      </c>
      <c r="C10">
        <v>2</v>
      </c>
      <c r="D10">
        <v>202</v>
      </c>
      <c r="E10">
        <v>1</v>
      </c>
      <c r="F10">
        <v>112143200</v>
      </c>
      <c r="G10">
        <v>1</v>
      </c>
      <c r="H10">
        <v>0</v>
      </c>
      <c r="I10">
        <v>2</v>
      </c>
      <c r="J10">
        <v>3</v>
      </c>
      <c r="K10">
        <v>202</v>
      </c>
      <c r="L10">
        <v>1</v>
      </c>
      <c r="M10">
        <v>3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0.1</v>
      </c>
      <c r="W10" t="s">
        <v>147</v>
      </c>
      <c r="X10">
        <v>1</v>
      </c>
    </row>
    <row r="11" spans="1:24" x14ac:dyDescent="0.15">
      <c r="A11">
        <v>11226</v>
      </c>
      <c r="B11">
        <v>3</v>
      </c>
      <c r="C11">
        <v>2</v>
      </c>
      <c r="D11">
        <v>520</v>
      </c>
      <c r="E11">
        <v>1</v>
      </c>
      <c r="F11">
        <v>112143210</v>
      </c>
      <c r="G11">
        <v>1</v>
      </c>
      <c r="H11">
        <v>0</v>
      </c>
      <c r="I11">
        <v>1</v>
      </c>
      <c r="J11">
        <v>3</v>
      </c>
      <c r="K11">
        <v>520</v>
      </c>
      <c r="L11">
        <v>1</v>
      </c>
      <c r="M11">
        <v>5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1</v>
      </c>
      <c r="U11">
        <v>0</v>
      </c>
      <c r="V11">
        <v>0.1</v>
      </c>
      <c r="W11" t="s">
        <v>147</v>
      </c>
      <c r="X11">
        <v>1</v>
      </c>
    </row>
    <row r="12" spans="1:24" x14ac:dyDescent="0.15">
      <c r="A12">
        <v>11226</v>
      </c>
      <c r="B12">
        <v>3</v>
      </c>
      <c r="C12">
        <v>3</v>
      </c>
      <c r="D12">
        <v>202</v>
      </c>
      <c r="E12">
        <v>1</v>
      </c>
      <c r="F12">
        <v>112143300</v>
      </c>
      <c r="G12">
        <v>1</v>
      </c>
      <c r="H12">
        <v>0</v>
      </c>
      <c r="I12">
        <v>1</v>
      </c>
      <c r="J12">
        <v>3</v>
      </c>
      <c r="K12">
        <v>202</v>
      </c>
      <c r="L12">
        <v>1</v>
      </c>
      <c r="M12">
        <v>3</v>
      </c>
      <c r="N12">
        <v>0</v>
      </c>
      <c r="O12">
        <v>0</v>
      </c>
      <c r="P12">
        <v>0</v>
      </c>
      <c r="Q12">
        <v>0</v>
      </c>
      <c r="R12">
        <v>0</v>
      </c>
      <c r="S12">
        <v>1</v>
      </c>
      <c r="T12">
        <v>1</v>
      </c>
      <c r="U12">
        <v>0</v>
      </c>
      <c r="V12">
        <v>0.1</v>
      </c>
      <c r="W12">
        <v>1</v>
      </c>
      <c r="X12">
        <v>1</v>
      </c>
    </row>
    <row r="13" spans="1:24" x14ac:dyDescent="0.15">
      <c r="A13">
        <v>11226</v>
      </c>
      <c r="B13">
        <v>3</v>
      </c>
      <c r="C13">
        <v>3</v>
      </c>
      <c r="D13">
        <v>514</v>
      </c>
      <c r="E13">
        <v>1</v>
      </c>
      <c r="F13">
        <v>112143310</v>
      </c>
      <c r="G13">
        <v>1</v>
      </c>
      <c r="H13">
        <v>0</v>
      </c>
      <c r="I13">
        <v>2</v>
      </c>
      <c r="J13">
        <v>3</v>
      </c>
      <c r="K13">
        <v>514</v>
      </c>
      <c r="L13">
        <v>1</v>
      </c>
      <c r="M13">
        <v>4</v>
      </c>
      <c r="N13">
        <v>0</v>
      </c>
      <c r="O13">
        <v>0</v>
      </c>
      <c r="P13">
        <v>0</v>
      </c>
      <c r="Q13">
        <v>0</v>
      </c>
      <c r="R13">
        <v>0</v>
      </c>
      <c r="S13">
        <v>1</v>
      </c>
      <c r="T13">
        <v>1</v>
      </c>
      <c r="U13">
        <v>0</v>
      </c>
      <c r="V13">
        <v>1</v>
      </c>
      <c r="W13" t="s">
        <v>147</v>
      </c>
      <c r="X13">
        <v>1</v>
      </c>
    </row>
    <row r="14" spans="1:24" x14ac:dyDescent="0.15">
      <c r="A14">
        <v>11226</v>
      </c>
      <c r="B14">
        <v>3</v>
      </c>
      <c r="C14">
        <v>4</v>
      </c>
      <c r="D14">
        <v>514</v>
      </c>
      <c r="E14">
        <v>1</v>
      </c>
      <c r="F14">
        <v>112143400</v>
      </c>
      <c r="G14">
        <v>1</v>
      </c>
      <c r="H14">
        <v>0</v>
      </c>
      <c r="I14">
        <v>1</v>
      </c>
      <c r="J14">
        <v>3</v>
      </c>
      <c r="K14">
        <v>514</v>
      </c>
      <c r="L14">
        <v>1</v>
      </c>
      <c r="M14">
        <v>4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1</v>
      </c>
      <c r="U14">
        <v>0</v>
      </c>
      <c r="V14">
        <v>1</v>
      </c>
      <c r="W14">
        <v>1</v>
      </c>
      <c r="X14">
        <v>1</v>
      </c>
    </row>
    <row r="15" spans="1:24" x14ac:dyDescent="0.15">
      <c r="A15">
        <v>11226</v>
      </c>
      <c r="B15">
        <v>4</v>
      </c>
      <c r="C15">
        <v>1</v>
      </c>
      <c r="D15">
        <v>1</v>
      </c>
      <c r="E15">
        <v>32</v>
      </c>
      <c r="F15">
        <v>112161100</v>
      </c>
      <c r="G15">
        <v>1</v>
      </c>
      <c r="H15">
        <v>0</v>
      </c>
      <c r="I15">
        <v>0</v>
      </c>
      <c r="J15">
        <v>1</v>
      </c>
      <c r="K15">
        <v>1</v>
      </c>
      <c r="L15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1</v>
      </c>
      <c r="U15">
        <v>0</v>
      </c>
      <c r="V15">
        <v>1</v>
      </c>
      <c r="W15" t="s">
        <v>147</v>
      </c>
      <c r="X15">
        <v>1</v>
      </c>
    </row>
    <row r="16" spans="1:24" x14ac:dyDescent="0.15">
      <c r="A16">
        <v>11226</v>
      </c>
      <c r="B16">
        <v>4</v>
      </c>
      <c r="C16">
        <v>2</v>
      </c>
      <c r="D16">
        <v>68</v>
      </c>
      <c r="E16">
        <v>32</v>
      </c>
      <c r="F16">
        <v>112161200</v>
      </c>
      <c r="G16">
        <v>1</v>
      </c>
      <c r="H16">
        <v>0</v>
      </c>
      <c r="I16">
        <v>0</v>
      </c>
      <c r="J16">
        <v>2</v>
      </c>
      <c r="K16">
        <v>68</v>
      </c>
      <c r="L16">
        <v>1</v>
      </c>
      <c r="M16">
        <v>2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0.5</v>
      </c>
      <c r="U16">
        <v>0</v>
      </c>
      <c r="V16">
        <v>2.2000000000000002</v>
      </c>
      <c r="W16" t="s">
        <v>147</v>
      </c>
      <c r="X16">
        <v>1</v>
      </c>
    </row>
    <row r="17" spans="1:24" x14ac:dyDescent="0.15">
      <c r="A17">
        <v>11226</v>
      </c>
      <c r="B17">
        <v>4</v>
      </c>
      <c r="C17">
        <v>2</v>
      </c>
      <c r="D17">
        <v>94</v>
      </c>
      <c r="E17">
        <v>32</v>
      </c>
      <c r="F17">
        <v>0</v>
      </c>
      <c r="G17">
        <v>1</v>
      </c>
      <c r="H17">
        <v>0</v>
      </c>
      <c r="I17">
        <v>0</v>
      </c>
      <c r="J17">
        <v>2</v>
      </c>
      <c r="K17">
        <v>94</v>
      </c>
      <c r="L17">
        <v>1</v>
      </c>
      <c r="M17">
        <v>3</v>
      </c>
      <c r="N17">
        <v>0</v>
      </c>
      <c r="O17">
        <v>0</v>
      </c>
      <c r="P17">
        <v>0</v>
      </c>
      <c r="Q17">
        <v>0</v>
      </c>
      <c r="R17">
        <v>0</v>
      </c>
      <c r="S17">
        <v>1</v>
      </c>
      <c r="T17">
        <v>0.1</v>
      </c>
      <c r="U17">
        <v>0</v>
      </c>
      <c r="V17">
        <v>0.6</v>
      </c>
      <c r="W17" t="s">
        <v>147</v>
      </c>
      <c r="X17">
        <v>1</v>
      </c>
    </row>
    <row r="18" spans="1:24" x14ac:dyDescent="0.15">
      <c r="A18">
        <v>11226</v>
      </c>
      <c r="B18">
        <v>4</v>
      </c>
      <c r="C18">
        <v>3</v>
      </c>
      <c r="D18">
        <v>59</v>
      </c>
      <c r="E18">
        <v>32</v>
      </c>
      <c r="F18">
        <v>112161310</v>
      </c>
      <c r="G18">
        <v>0</v>
      </c>
      <c r="H18">
        <v>25</v>
      </c>
      <c r="I18">
        <v>2</v>
      </c>
      <c r="J18">
        <v>2</v>
      </c>
      <c r="K18">
        <v>59</v>
      </c>
      <c r="L18">
        <v>1</v>
      </c>
      <c r="M18">
        <v>2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0</v>
      </c>
      <c r="V18">
        <v>4</v>
      </c>
      <c r="W18" t="s">
        <v>147</v>
      </c>
      <c r="X18">
        <v>1</v>
      </c>
    </row>
    <row r="19" spans="1:24" x14ac:dyDescent="0.15">
      <c r="A19">
        <v>11226</v>
      </c>
      <c r="B19">
        <v>4</v>
      </c>
      <c r="C19">
        <v>3</v>
      </c>
      <c r="D19">
        <v>91</v>
      </c>
      <c r="E19">
        <v>32</v>
      </c>
      <c r="F19">
        <v>0</v>
      </c>
      <c r="G19">
        <v>1</v>
      </c>
      <c r="H19">
        <v>0</v>
      </c>
      <c r="I19">
        <v>1</v>
      </c>
      <c r="J19">
        <v>4</v>
      </c>
      <c r="K19">
        <v>91</v>
      </c>
      <c r="L19">
        <v>1</v>
      </c>
      <c r="M19">
        <v>3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0.6</v>
      </c>
      <c r="U19">
        <v>0</v>
      </c>
      <c r="V19">
        <v>0.5</v>
      </c>
      <c r="W19" t="s">
        <v>147</v>
      </c>
      <c r="X19">
        <v>1</v>
      </c>
    </row>
    <row r="20" spans="1:24" x14ac:dyDescent="0.15">
      <c r="A20">
        <v>11226</v>
      </c>
      <c r="B20">
        <v>4</v>
      </c>
      <c r="C20">
        <v>3</v>
      </c>
      <c r="D20">
        <v>330</v>
      </c>
      <c r="E20">
        <v>1</v>
      </c>
      <c r="F20">
        <v>112161300</v>
      </c>
      <c r="G20">
        <v>0</v>
      </c>
      <c r="H20">
        <v>25</v>
      </c>
      <c r="I20">
        <v>2</v>
      </c>
      <c r="J20">
        <v>2</v>
      </c>
      <c r="K20">
        <v>122</v>
      </c>
      <c r="L20">
        <v>1</v>
      </c>
      <c r="M20">
        <v>3</v>
      </c>
      <c r="N20">
        <v>100</v>
      </c>
      <c r="O20">
        <v>0</v>
      </c>
      <c r="P20">
        <v>0</v>
      </c>
      <c r="Q20">
        <v>0</v>
      </c>
      <c r="R20">
        <v>0</v>
      </c>
      <c r="S20">
        <v>1</v>
      </c>
      <c r="T20">
        <v>3.5</v>
      </c>
      <c r="U20">
        <v>0</v>
      </c>
      <c r="V20">
        <v>3</v>
      </c>
      <c r="W20">
        <v>1</v>
      </c>
      <c r="X20">
        <v>1</v>
      </c>
    </row>
    <row r="21" spans="1:24" x14ac:dyDescent="0.15">
      <c r="A21">
        <v>11226</v>
      </c>
      <c r="B21">
        <v>4</v>
      </c>
      <c r="C21">
        <v>3</v>
      </c>
      <c r="D21">
        <v>330</v>
      </c>
      <c r="E21">
        <v>2</v>
      </c>
      <c r="F21">
        <v>112161300</v>
      </c>
      <c r="G21">
        <v>0</v>
      </c>
      <c r="H21">
        <v>25</v>
      </c>
      <c r="I21">
        <v>2</v>
      </c>
      <c r="J21">
        <v>2</v>
      </c>
      <c r="K21">
        <v>123</v>
      </c>
      <c r="L21">
        <v>1</v>
      </c>
      <c r="M21">
        <v>3</v>
      </c>
      <c r="N21">
        <v>100</v>
      </c>
      <c r="O21">
        <v>0</v>
      </c>
      <c r="P21">
        <v>0</v>
      </c>
      <c r="Q21">
        <v>0</v>
      </c>
      <c r="R21">
        <v>0</v>
      </c>
      <c r="S21">
        <v>1</v>
      </c>
      <c r="T21">
        <v>3.5</v>
      </c>
      <c r="U21">
        <v>0</v>
      </c>
      <c r="V21">
        <v>3</v>
      </c>
      <c r="W21">
        <v>2</v>
      </c>
      <c r="X21">
        <v>1</v>
      </c>
    </row>
    <row r="22" spans="1:24" x14ac:dyDescent="0.15">
      <c r="A22">
        <v>11226</v>
      </c>
      <c r="B22">
        <v>4</v>
      </c>
      <c r="C22">
        <v>3</v>
      </c>
      <c r="D22">
        <v>330</v>
      </c>
      <c r="E22">
        <v>3</v>
      </c>
      <c r="F22">
        <v>112161300</v>
      </c>
      <c r="G22">
        <v>0</v>
      </c>
      <c r="H22">
        <v>25</v>
      </c>
      <c r="I22">
        <v>2</v>
      </c>
      <c r="J22">
        <v>2</v>
      </c>
      <c r="K22">
        <v>121</v>
      </c>
      <c r="L22">
        <v>1</v>
      </c>
      <c r="M22">
        <v>3</v>
      </c>
      <c r="N22">
        <v>100</v>
      </c>
      <c r="O22">
        <v>0</v>
      </c>
      <c r="P22">
        <v>0</v>
      </c>
      <c r="Q22">
        <v>0</v>
      </c>
      <c r="R22">
        <v>0</v>
      </c>
      <c r="S22">
        <v>1</v>
      </c>
      <c r="T22">
        <v>3.5</v>
      </c>
      <c r="U22">
        <v>0</v>
      </c>
      <c r="V22">
        <v>3</v>
      </c>
      <c r="W22">
        <v>3</v>
      </c>
      <c r="X22">
        <v>1</v>
      </c>
    </row>
    <row r="23" spans="1:24" x14ac:dyDescent="0.15">
      <c r="A23">
        <v>11226</v>
      </c>
      <c r="B23">
        <v>4</v>
      </c>
      <c r="C23">
        <v>4</v>
      </c>
      <c r="D23">
        <v>264</v>
      </c>
      <c r="E23">
        <v>32</v>
      </c>
      <c r="F23">
        <v>0</v>
      </c>
      <c r="G23">
        <v>1</v>
      </c>
      <c r="H23">
        <v>0</v>
      </c>
      <c r="I23">
        <v>0</v>
      </c>
      <c r="J23">
        <v>1</v>
      </c>
      <c r="K23">
        <v>264</v>
      </c>
      <c r="L23">
        <v>1</v>
      </c>
      <c r="M23">
        <v>3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0.6</v>
      </c>
      <c r="U23">
        <v>0</v>
      </c>
      <c r="V23">
        <v>0.5</v>
      </c>
      <c r="W23" t="s">
        <v>147</v>
      </c>
      <c r="X23">
        <v>1</v>
      </c>
    </row>
    <row r="24" spans="1:24" x14ac:dyDescent="0.15">
      <c r="A24">
        <v>11226</v>
      </c>
      <c r="B24">
        <v>4</v>
      </c>
      <c r="C24">
        <v>4</v>
      </c>
      <c r="D24">
        <v>383</v>
      </c>
      <c r="E24">
        <v>32</v>
      </c>
      <c r="F24">
        <v>112161400</v>
      </c>
      <c r="G24">
        <v>1</v>
      </c>
      <c r="H24">
        <v>0</v>
      </c>
      <c r="I24">
        <v>0</v>
      </c>
      <c r="J24">
        <v>3</v>
      </c>
      <c r="K24">
        <v>383</v>
      </c>
      <c r="L24">
        <v>1</v>
      </c>
      <c r="M24">
        <v>4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0.6</v>
      </c>
      <c r="U24">
        <v>0</v>
      </c>
      <c r="V24">
        <v>0.4</v>
      </c>
      <c r="W24" t="s">
        <v>147</v>
      </c>
      <c r="X24">
        <v>1</v>
      </c>
    </row>
    <row r="25" spans="1:24" x14ac:dyDescent="0.15">
      <c r="A25">
        <v>11226</v>
      </c>
      <c r="B25">
        <v>4</v>
      </c>
      <c r="C25">
        <v>5</v>
      </c>
      <c r="D25">
        <v>25</v>
      </c>
      <c r="E25">
        <v>32</v>
      </c>
      <c r="F25">
        <v>0</v>
      </c>
      <c r="G25">
        <v>1</v>
      </c>
      <c r="H25">
        <v>0</v>
      </c>
      <c r="I25">
        <v>0</v>
      </c>
      <c r="J25">
        <v>2</v>
      </c>
      <c r="K25">
        <v>25</v>
      </c>
      <c r="L25">
        <v>1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0.6</v>
      </c>
      <c r="U25">
        <v>0</v>
      </c>
      <c r="V25">
        <v>1</v>
      </c>
      <c r="W25" t="s">
        <v>147</v>
      </c>
      <c r="X25">
        <v>1</v>
      </c>
    </row>
    <row r="26" spans="1:24" x14ac:dyDescent="0.15">
      <c r="A26">
        <v>11226</v>
      </c>
      <c r="B26">
        <v>4</v>
      </c>
      <c r="C26">
        <v>5</v>
      </c>
      <c r="D26">
        <v>33</v>
      </c>
      <c r="E26">
        <v>32</v>
      </c>
      <c r="F26">
        <v>0</v>
      </c>
      <c r="G26">
        <v>1</v>
      </c>
      <c r="H26">
        <v>0</v>
      </c>
      <c r="I26">
        <v>0</v>
      </c>
      <c r="J26">
        <v>2</v>
      </c>
      <c r="K26">
        <v>33</v>
      </c>
      <c r="L26">
        <v>1</v>
      </c>
      <c r="M26">
        <v>2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0.6</v>
      </c>
      <c r="U26">
        <v>0</v>
      </c>
      <c r="V26">
        <v>1</v>
      </c>
      <c r="W26" t="s">
        <v>147</v>
      </c>
      <c r="X26">
        <v>1</v>
      </c>
    </row>
    <row r="27" spans="1:24" x14ac:dyDescent="0.15">
      <c r="A27">
        <v>11226</v>
      </c>
      <c r="B27">
        <v>4</v>
      </c>
      <c r="C27">
        <v>5</v>
      </c>
      <c r="D27">
        <v>85</v>
      </c>
      <c r="E27">
        <v>32</v>
      </c>
      <c r="F27">
        <v>112161510</v>
      </c>
      <c r="G27">
        <v>1</v>
      </c>
      <c r="H27">
        <v>0</v>
      </c>
      <c r="I27">
        <v>1</v>
      </c>
      <c r="J27">
        <v>3</v>
      </c>
      <c r="K27">
        <v>85</v>
      </c>
      <c r="L27">
        <v>1</v>
      </c>
      <c r="M27">
        <v>3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1</v>
      </c>
      <c r="U27">
        <v>0</v>
      </c>
      <c r="V27">
        <v>0.6</v>
      </c>
      <c r="W27" t="s">
        <v>147</v>
      </c>
      <c r="X27">
        <v>1</v>
      </c>
    </row>
    <row r="28" spans="1:24" x14ac:dyDescent="0.15">
      <c r="A28">
        <v>11226</v>
      </c>
      <c r="B28">
        <v>4</v>
      </c>
      <c r="C28">
        <v>5</v>
      </c>
      <c r="D28">
        <v>376</v>
      </c>
      <c r="E28">
        <v>32</v>
      </c>
      <c r="F28">
        <v>112161530</v>
      </c>
      <c r="G28">
        <v>1</v>
      </c>
      <c r="H28">
        <v>0</v>
      </c>
      <c r="I28">
        <v>1</v>
      </c>
      <c r="J28">
        <v>3</v>
      </c>
      <c r="K28">
        <v>376</v>
      </c>
      <c r="L28">
        <v>40</v>
      </c>
      <c r="M28">
        <v>3</v>
      </c>
      <c r="N28">
        <v>100</v>
      </c>
      <c r="O28">
        <v>0</v>
      </c>
      <c r="P28">
        <v>0</v>
      </c>
      <c r="Q28">
        <v>0</v>
      </c>
      <c r="R28">
        <v>0</v>
      </c>
      <c r="S28">
        <v>1</v>
      </c>
      <c r="T28">
        <v>0.9</v>
      </c>
      <c r="U28">
        <v>0</v>
      </c>
      <c r="V28">
        <v>1</v>
      </c>
      <c r="W28" t="s">
        <v>147</v>
      </c>
      <c r="X28">
        <v>1</v>
      </c>
    </row>
    <row r="29" spans="1:24" x14ac:dyDescent="0.15">
      <c r="A29">
        <v>11226</v>
      </c>
      <c r="B29">
        <v>5</v>
      </c>
      <c r="C29">
        <v>1</v>
      </c>
      <c r="D29">
        <v>45</v>
      </c>
      <c r="E29">
        <v>80</v>
      </c>
      <c r="F29">
        <v>112171120</v>
      </c>
      <c r="G29">
        <v>1</v>
      </c>
      <c r="H29">
        <v>0</v>
      </c>
      <c r="I29">
        <v>0</v>
      </c>
      <c r="J29">
        <v>1</v>
      </c>
      <c r="K29">
        <v>45</v>
      </c>
      <c r="L29">
        <v>1</v>
      </c>
      <c r="M29">
        <v>2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0.1</v>
      </c>
      <c r="U29">
        <v>0</v>
      </c>
      <c r="V29">
        <v>0.1</v>
      </c>
      <c r="W29" t="s">
        <v>147</v>
      </c>
      <c r="X29">
        <v>1</v>
      </c>
    </row>
    <row r="30" spans="1:24" x14ac:dyDescent="0.15">
      <c r="A30">
        <v>11226</v>
      </c>
      <c r="B30">
        <v>5</v>
      </c>
      <c r="C30">
        <v>1</v>
      </c>
      <c r="D30">
        <v>79</v>
      </c>
      <c r="E30">
        <v>63</v>
      </c>
      <c r="F30">
        <v>112171110</v>
      </c>
      <c r="G30">
        <v>1</v>
      </c>
      <c r="H30">
        <v>0</v>
      </c>
      <c r="I30">
        <v>1</v>
      </c>
      <c r="J30">
        <v>1</v>
      </c>
      <c r="K30">
        <v>79</v>
      </c>
      <c r="L30">
        <v>1</v>
      </c>
      <c r="M30">
        <v>3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0.1</v>
      </c>
      <c r="U30">
        <v>0</v>
      </c>
      <c r="V30">
        <v>0.1</v>
      </c>
      <c r="W30" t="s">
        <v>147</v>
      </c>
      <c r="X30">
        <v>1</v>
      </c>
    </row>
    <row r="31" spans="1:24" x14ac:dyDescent="0.15">
      <c r="A31">
        <v>11226</v>
      </c>
      <c r="B31">
        <v>5</v>
      </c>
      <c r="C31">
        <v>1</v>
      </c>
      <c r="D31">
        <v>140</v>
      </c>
      <c r="E31">
        <v>71</v>
      </c>
      <c r="F31">
        <v>112171100</v>
      </c>
      <c r="G31">
        <v>1</v>
      </c>
      <c r="H31">
        <v>0</v>
      </c>
      <c r="I31">
        <v>2</v>
      </c>
      <c r="J31">
        <v>1</v>
      </c>
      <c r="K31">
        <v>140</v>
      </c>
      <c r="L31">
        <v>1</v>
      </c>
      <c r="M31">
        <v>3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0.1</v>
      </c>
      <c r="U31">
        <v>0</v>
      </c>
      <c r="V31">
        <v>0.1</v>
      </c>
      <c r="W31" t="s">
        <v>147</v>
      </c>
      <c r="X31">
        <v>1</v>
      </c>
    </row>
    <row r="32" spans="1:24" x14ac:dyDescent="0.15">
      <c r="A32">
        <v>11226</v>
      </c>
      <c r="B32">
        <v>5</v>
      </c>
      <c r="C32">
        <v>2</v>
      </c>
      <c r="D32">
        <v>117</v>
      </c>
      <c r="E32">
        <v>1</v>
      </c>
      <c r="F32">
        <v>0</v>
      </c>
      <c r="G32">
        <v>0</v>
      </c>
      <c r="H32">
        <v>100</v>
      </c>
      <c r="I32">
        <v>0</v>
      </c>
      <c r="J32">
        <v>9</v>
      </c>
      <c r="K32">
        <v>117</v>
      </c>
      <c r="L32">
        <v>1</v>
      </c>
      <c r="M32">
        <v>3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0.1</v>
      </c>
      <c r="U32">
        <v>0</v>
      </c>
      <c r="V32">
        <v>1</v>
      </c>
      <c r="W32" t="s">
        <v>147</v>
      </c>
      <c r="X32">
        <v>1</v>
      </c>
    </row>
    <row r="33" spans="1:24" x14ac:dyDescent="0.15">
      <c r="A33">
        <v>11226</v>
      </c>
      <c r="B33">
        <v>5</v>
      </c>
      <c r="C33">
        <v>2</v>
      </c>
      <c r="D33">
        <v>117</v>
      </c>
      <c r="E33">
        <v>2</v>
      </c>
      <c r="F33">
        <v>112171130</v>
      </c>
      <c r="G33">
        <v>1</v>
      </c>
      <c r="H33">
        <v>0</v>
      </c>
      <c r="I33">
        <v>1</v>
      </c>
      <c r="J33">
        <v>1</v>
      </c>
      <c r="K33">
        <v>524</v>
      </c>
      <c r="L33">
        <v>1</v>
      </c>
      <c r="M33">
        <v>5</v>
      </c>
      <c r="N33">
        <v>100</v>
      </c>
      <c r="O33">
        <v>0</v>
      </c>
      <c r="P33">
        <v>0</v>
      </c>
      <c r="Q33">
        <v>0</v>
      </c>
      <c r="R33">
        <v>0</v>
      </c>
      <c r="S33">
        <v>1</v>
      </c>
      <c r="T33">
        <v>0.1</v>
      </c>
      <c r="U33">
        <v>0</v>
      </c>
      <c r="V33">
        <v>1</v>
      </c>
      <c r="W33">
        <v>1</v>
      </c>
      <c r="X33">
        <v>1</v>
      </c>
    </row>
    <row r="34" spans="1:24" x14ac:dyDescent="0.15">
      <c r="A34">
        <v>11226</v>
      </c>
      <c r="B34">
        <v>6</v>
      </c>
      <c r="C34">
        <v>1</v>
      </c>
      <c r="D34">
        <v>332</v>
      </c>
      <c r="E34">
        <v>1</v>
      </c>
      <c r="F34">
        <v>11226100</v>
      </c>
      <c r="G34">
        <v>1</v>
      </c>
      <c r="H34">
        <v>100</v>
      </c>
      <c r="I34">
        <v>0</v>
      </c>
      <c r="J34">
        <v>1</v>
      </c>
      <c r="K34">
        <v>332</v>
      </c>
      <c r="L34">
        <v>1</v>
      </c>
      <c r="M34">
        <v>3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1</v>
      </c>
      <c r="U34">
        <v>0</v>
      </c>
      <c r="V34">
        <v>1</v>
      </c>
      <c r="W34" t="s">
        <v>147</v>
      </c>
      <c r="X34">
        <v>1</v>
      </c>
    </row>
    <row r="35" spans="1:24" x14ac:dyDescent="0.15">
      <c r="A35">
        <v>11226</v>
      </c>
      <c r="B35">
        <v>6</v>
      </c>
      <c r="C35">
        <v>2</v>
      </c>
      <c r="D35">
        <v>15</v>
      </c>
      <c r="E35">
        <v>1</v>
      </c>
      <c r="F35">
        <v>11218200</v>
      </c>
      <c r="G35">
        <v>1</v>
      </c>
      <c r="H35">
        <v>100</v>
      </c>
      <c r="I35">
        <v>2</v>
      </c>
      <c r="J35">
        <v>3</v>
      </c>
      <c r="K35">
        <v>15</v>
      </c>
      <c r="L35">
        <v>1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1</v>
      </c>
      <c r="T35">
        <v>1</v>
      </c>
      <c r="U35">
        <v>0</v>
      </c>
      <c r="V35">
        <v>1</v>
      </c>
      <c r="W35" t="s">
        <v>147</v>
      </c>
      <c r="X35">
        <v>1</v>
      </c>
    </row>
    <row r="36" spans="1:24" x14ac:dyDescent="0.15">
      <c r="A36">
        <v>11226</v>
      </c>
      <c r="B36">
        <v>6</v>
      </c>
      <c r="C36">
        <v>2</v>
      </c>
      <c r="D36">
        <v>55</v>
      </c>
      <c r="E36">
        <v>1</v>
      </c>
      <c r="F36">
        <v>11218210</v>
      </c>
      <c r="G36">
        <v>1</v>
      </c>
      <c r="H36">
        <v>100</v>
      </c>
      <c r="I36">
        <v>0</v>
      </c>
      <c r="J36">
        <v>4</v>
      </c>
      <c r="K36">
        <v>55</v>
      </c>
      <c r="L36">
        <v>1</v>
      </c>
      <c r="M36">
        <v>2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1</v>
      </c>
      <c r="U36">
        <v>0</v>
      </c>
      <c r="V36">
        <v>1</v>
      </c>
      <c r="W36" t="s">
        <v>147</v>
      </c>
      <c r="X36">
        <v>1</v>
      </c>
    </row>
    <row r="37" spans="1:24" x14ac:dyDescent="0.15">
      <c r="A37">
        <v>11226</v>
      </c>
      <c r="B37">
        <v>6</v>
      </c>
      <c r="C37">
        <v>2</v>
      </c>
      <c r="D37">
        <v>79</v>
      </c>
      <c r="E37">
        <v>1</v>
      </c>
      <c r="F37">
        <v>11218220</v>
      </c>
      <c r="G37">
        <v>1</v>
      </c>
      <c r="H37">
        <v>100</v>
      </c>
      <c r="I37">
        <v>1</v>
      </c>
      <c r="J37">
        <v>2</v>
      </c>
      <c r="K37">
        <v>79</v>
      </c>
      <c r="L37">
        <v>1</v>
      </c>
      <c r="M37">
        <v>3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1</v>
      </c>
      <c r="U37">
        <v>0</v>
      </c>
      <c r="V37">
        <v>1</v>
      </c>
      <c r="W37" t="s">
        <v>147</v>
      </c>
      <c r="X37">
        <v>1</v>
      </c>
    </row>
    <row r="38" spans="1:24" x14ac:dyDescent="0.15">
      <c r="A38">
        <v>11226</v>
      </c>
      <c r="B38">
        <v>6</v>
      </c>
      <c r="C38">
        <v>3</v>
      </c>
      <c r="D38">
        <v>15</v>
      </c>
      <c r="E38">
        <v>1</v>
      </c>
      <c r="F38">
        <v>11218310</v>
      </c>
      <c r="G38">
        <v>1</v>
      </c>
      <c r="H38">
        <v>100</v>
      </c>
      <c r="I38">
        <v>2</v>
      </c>
      <c r="J38">
        <v>3</v>
      </c>
      <c r="K38">
        <v>15</v>
      </c>
      <c r="L38">
        <v>1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1</v>
      </c>
      <c r="U38">
        <v>0</v>
      </c>
      <c r="V38">
        <v>1</v>
      </c>
      <c r="W38" t="s">
        <v>147</v>
      </c>
      <c r="X38">
        <v>1</v>
      </c>
    </row>
    <row r="39" spans="1:24" x14ac:dyDescent="0.15">
      <c r="A39">
        <v>11226</v>
      </c>
      <c r="B39">
        <v>6</v>
      </c>
      <c r="C39">
        <v>3</v>
      </c>
      <c r="D39">
        <v>55</v>
      </c>
      <c r="E39">
        <v>1</v>
      </c>
      <c r="F39">
        <v>11218320</v>
      </c>
      <c r="G39">
        <v>1</v>
      </c>
      <c r="H39">
        <v>100</v>
      </c>
      <c r="I39">
        <v>0</v>
      </c>
      <c r="J39">
        <v>4</v>
      </c>
      <c r="K39">
        <v>55</v>
      </c>
      <c r="L39">
        <v>1</v>
      </c>
      <c r="M39">
        <v>2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0</v>
      </c>
      <c r="V39">
        <v>1</v>
      </c>
      <c r="W39" t="s">
        <v>147</v>
      </c>
      <c r="X39">
        <v>1</v>
      </c>
    </row>
    <row r="40" spans="1:24" x14ac:dyDescent="0.15">
      <c r="A40">
        <v>11226</v>
      </c>
      <c r="B40">
        <v>6</v>
      </c>
      <c r="C40">
        <v>3</v>
      </c>
      <c r="D40">
        <v>202</v>
      </c>
      <c r="E40">
        <v>1</v>
      </c>
      <c r="F40">
        <v>11218300</v>
      </c>
      <c r="G40">
        <v>1</v>
      </c>
      <c r="H40">
        <v>100</v>
      </c>
      <c r="I40">
        <v>1</v>
      </c>
      <c r="J40">
        <v>3</v>
      </c>
      <c r="K40">
        <v>202</v>
      </c>
      <c r="L40">
        <v>1</v>
      </c>
      <c r="M40">
        <v>3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0</v>
      </c>
      <c r="V40">
        <v>1</v>
      </c>
      <c r="W40" t="s">
        <v>147</v>
      </c>
      <c r="X40">
        <v>1</v>
      </c>
    </row>
    <row r="41" spans="1:24" x14ac:dyDescent="0.15">
      <c r="A41">
        <v>11226</v>
      </c>
      <c r="B41">
        <v>6</v>
      </c>
      <c r="C41">
        <v>4</v>
      </c>
      <c r="D41">
        <v>15</v>
      </c>
      <c r="E41">
        <v>1</v>
      </c>
      <c r="F41">
        <v>11218400</v>
      </c>
      <c r="G41">
        <v>1</v>
      </c>
      <c r="H41">
        <v>100</v>
      </c>
      <c r="I41">
        <v>2</v>
      </c>
      <c r="J41">
        <v>3</v>
      </c>
      <c r="K41">
        <v>15</v>
      </c>
      <c r="L41">
        <v>1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>
        <v>1</v>
      </c>
      <c r="T41">
        <v>1</v>
      </c>
      <c r="U41">
        <v>0</v>
      </c>
      <c r="V41">
        <v>1</v>
      </c>
      <c r="W41" t="s">
        <v>147</v>
      </c>
      <c r="X41">
        <v>1</v>
      </c>
    </row>
    <row r="42" spans="1:24" x14ac:dyDescent="0.15">
      <c r="A42">
        <v>11226</v>
      </c>
      <c r="B42">
        <v>6</v>
      </c>
      <c r="C42">
        <v>4</v>
      </c>
      <c r="D42">
        <v>55</v>
      </c>
      <c r="E42">
        <v>1</v>
      </c>
      <c r="F42">
        <v>11218410</v>
      </c>
      <c r="G42">
        <v>1</v>
      </c>
      <c r="H42">
        <v>100</v>
      </c>
      <c r="I42">
        <v>0</v>
      </c>
      <c r="J42">
        <v>4</v>
      </c>
      <c r="K42">
        <v>55</v>
      </c>
      <c r="L42">
        <v>1</v>
      </c>
      <c r="M42">
        <v>2</v>
      </c>
      <c r="N42">
        <v>0</v>
      </c>
      <c r="O42">
        <v>0</v>
      </c>
      <c r="P42">
        <v>0</v>
      </c>
      <c r="Q42">
        <v>0</v>
      </c>
      <c r="R42">
        <v>0</v>
      </c>
      <c r="S42">
        <v>1</v>
      </c>
      <c r="T42">
        <v>1</v>
      </c>
      <c r="U42">
        <v>0</v>
      </c>
      <c r="V42">
        <v>1</v>
      </c>
      <c r="W42" t="s">
        <v>147</v>
      </c>
      <c r="X42">
        <v>1</v>
      </c>
    </row>
    <row r="43" spans="1:24" x14ac:dyDescent="0.15">
      <c r="A43">
        <v>11226</v>
      </c>
      <c r="B43">
        <v>6</v>
      </c>
      <c r="C43">
        <v>4</v>
      </c>
      <c r="D43">
        <v>465</v>
      </c>
      <c r="E43">
        <v>1</v>
      </c>
      <c r="F43">
        <v>11218420</v>
      </c>
      <c r="G43">
        <v>1</v>
      </c>
      <c r="H43">
        <v>100</v>
      </c>
      <c r="I43">
        <v>1</v>
      </c>
      <c r="J43">
        <v>3</v>
      </c>
      <c r="K43">
        <v>465</v>
      </c>
      <c r="L43">
        <v>1</v>
      </c>
      <c r="M43">
        <v>4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1</v>
      </c>
      <c r="U43">
        <v>0</v>
      </c>
      <c r="V43">
        <v>1</v>
      </c>
      <c r="W43">
        <v>1</v>
      </c>
      <c r="X43">
        <v>1</v>
      </c>
    </row>
    <row r="44" spans="1:24" x14ac:dyDescent="0.15">
      <c r="A44">
        <v>11226</v>
      </c>
      <c r="B44">
        <v>6</v>
      </c>
      <c r="C44">
        <v>5</v>
      </c>
      <c r="D44">
        <v>79</v>
      </c>
      <c r="E44">
        <v>1</v>
      </c>
      <c r="F44">
        <v>11218510</v>
      </c>
      <c r="G44">
        <v>1</v>
      </c>
      <c r="H44">
        <v>100</v>
      </c>
      <c r="I44">
        <v>1</v>
      </c>
      <c r="J44">
        <v>2</v>
      </c>
      <c r="K44">
        <v>572</v>
      </c>
      <c r="L44">
        <v>1</v>
      </c>
      <c r="M44">
        <v>3</v>
      </c>
      <c r="N44">
        <v>100</v>
      </c>
      <c r="O44">
        <v>0</v>
      </c>
      <c r="P44">
        <v>0</v>
      </c>
      <c r="Q44">
        <v>0</v>
      </c>
      <c r="R44">
        <v>0</v>
      </c>
      <c r="S44">
        <v>1</v>
      </c>
      <c r="T44">
        <v>1</v>
      </c>
      <c r="U44">
        <v>0</v>
      </c>
      <c r="V44">
        <v>1</v>
      </c>
      <c r="W44">
        <v>2</v>
      </c>
      <c r="X44">
        <v>1</v>
      </c>
    </row>
    <row r="45" spans="1:24" x14ac:dyDescent="0.15">
      <c r="A45">
        <v>11226</v>
      </c>
      <c r="B45">
        <v>6</v>
      </c>
      <c r="C45">
        <v>5</v>
      </c>
      <c r="D45">
        <v>465</v>
      </c>
      <c r="E45">
        <v>1</v>
      </c>
      <c r="F45">
        <v>11218500</v>
      </c>
      <c r="G45">
        <v>1</v>
      </c>
      <c r="H45">
        <v>100</v>
      </c>
      <c r="I45">
        <v>0</v>
      </c>
      <c r="J45">
        <v>3</v>
      </c>
      <c r="K45">
        <v>465</v>
      </c>
      <c r="L45">
        <v>1</v>
      </c>
      <c r="M45">
        <v>4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1</v>
      </c>
      <c r="U45">
        <v>0</v>
      </c>
      <c r="V45">
        <v>1</v>
      </c>
      <c r="W45">
        <v>1</v>
      </c>
      <c r="X45">
        <v>1</v>
      </c>
    </row>
    <row r="46" spans="1:24" x14ac:dyDescent="0.15">
      <c r="A46">
        <v>11226</v>
      </c>
      <c r="B46">
        <v>7</v>
      </c>
      <c r="C46">
        <v>1</v>
      </c>
      <c r="D46">
        <v>680</v>
      </c>
      <c r="E46">
        <v>10</v>
      </c>
      <c r="F46">
        <v>11226102</v>
      </c>
      <c r="G46">
        <v>0</v>
      </c>
      <c r="H46">
        <v>25</v>
      </c>
      <c r="I46">
        <v>1</v>
      </c>
      <c r="J46">
        <v>3</v>
      </c>
      <c r="K46">
        <v>680</v>
      </c>
      <c r="L46">
        <v>1</v>
      </c>
      <c r="M46">
        <v>5</v>
      </c>
      <c r="N46">
        <v>100</v>
      </c>
      <c r="O46">
        <v>0</v>
      </c>
      <c r="P46">
        <v>0</v>
      </c>
      <c r="Q46">
        <v>0</v>
      </c>
      <c r="R46">
        <v>0</v>
      </c>
      <c r="S46">
        <v>1</v>
      </c>
      <c r="T46">
        <v>1</v>
      </c>
      <c r="U46">
        <v>0</v>
      </c>
      <c r="V46">
        <v>1</v>
      </c>
      <c r="W46" t="s">
        <v>147</v>
      </c>
      <c r="X46">
        <v>1</v>
      </c>
    </row>
    <row r="47" spans="1:24" x14ac:dyDescent="0.15">
      <c r="A47">
        <v>11226</v>
      </c>
      <c r="B47">
        <v>7</v>
      </c>
      <c r="C47">
        <v>1</v>
      </c>
      <c r="D47">
        <v>682</v>
      </c>
      <c r="E47">
        <v>10</v>
      </c>
      <c r="F47">
        <v>11226102</v>
      </c>
      <c r="G47">
        <v>0</v>
      </c>
      <c r="H47">
        <v>25</v>
      </c>
      <c r="I47">
        <v>1</v>
      </c>
      <c r="J47">
        <v>3</v>
      </c>
      <c r="K47">
        <v>682</v>
      </c>
      <c r="L47">
        <v>1</v>
      </c>
      <c r="M47">
        <v>5</v>
      </c>
      <c r="N47">
        <v>100</v>
      </c>
      <c r="O47">
        <v>0</v>
      </c>
      <c r="P47">
        <v>0</v>
      </c>
      <c r="Q47">
        <v>0</v>
      </c>
      <c r="R47">
        <v>0</v>
      </c>
      <c r="S47">
        <v>1</v>
      </c>
      <c r="T47">
        <v>1</v>
      </c>
      <c r="U47">
        <v>0</v>
      </c>
      <c r="V47">
        <v>1</v>
      </c>
      <c r="W47" t="s">
        <v>147</v>
      </c>
      <c r="X47">
        <v>1</v>
      </c>
    </row>
    <row r="48" spans="1:24" x14ac:dyDescent="0.15">
      <c r="A48">
        <v>11226</v>
      </c>
      <c r="B48">
        <v>7</v>
      </c>
      <c r="C48">
        <v>1</v>
      </c>
      <c r="D48">
        <v>684</v>
      </c>
      <c r="E48">
        <v>10</v>
      </c>
      <c r="F48">
        <v>11226102</v>
      </c>
      <c r="G48">
        <v>0</v>
      </c>
      <c r="H48">
        <v>25</v>
      </c>
      <c r="I48">
        <v>1</v>
      </c>
      <c r="J48">
        <v>3</v>
      </c>
      <c r="K48">
        <v>684</v>
      </c>
      <c r="L48">
        <v>1</v>
      </c>
      <c r="M48">
        <v>5</v>
      </c>
      <c r="N48">
        <v>100</v>
      </c>
      <c r="O48">
        <v>0</v>
      </c>
      <c r="P48">
        <v>0</v>
      </c>
      <c r="Q48">
        <v>0</v>
      </c>
      <c r="R48">
        <v>0</v>
      </c>
      <c r="S48">
        <v>1</v>
      </c>
      <c r="T48">
        <v>1</v>
      </c>
      <c r="U48">
        <v>0</v>
      </c>
      <c r="V48">
        <v>1</v>
      </c>
      <c r="W48" t="s">
        <v>147</v>
      </c>
      <c r="X48">
        <v>1</v>
      </c>
    </row>
    <row r="49" spans="1:24" x14ac:dyDescent="0.15">
      <c r="A49">
        <v>11226</v>
      </c>
      <c r="B49">
        <v>7</v>
      </c>
      <c r="C49">
        <v>1</v>
      </c>
      <c r="D49">
        <v>686</v>
      </c>
      <c r="E49">
        <v>10</v>
      </c>
      <c r="F49">
        <v>11226102</v>
      </c>
      <c r="G49">
        <v>0</v>
      </c>
      <c r="H49">
        <v>25</v>
      </c>
      <c r="I49">
        <v>1</v>
      </c>
      <c r="J49">
        <v>3</v>
      </c>
      <c r="K49">
        <v>686</v>
      </c>
      <c r="L49">
        <v>1</v>
      </c>
      <c r="M49">
        <v>5</v>
      </c>
      <c r="N49">
        <v>100</v>
      </c>
      <c r="O49">
        <v>0</v>
      </c>
      <c r="P49">
        <v>0</v>
      </c>
      <c r="Q49">
        <v>0</v>
      </c>
      <c r="R49">
        <v>0</v>
      </c>
      <c r="S49">
        <v>1</v>
      </c>
      <c r="T49">
        <v>1</v>
      </c>
      <c r="U49">
        <v>0</v>
      </c>
      <c r="V49">
        <v>1</v>
      </c>
      <c r="W49" t="s">
        <v>147</v>
      </c>
      <c r="X49">
        <v>1</v>
      </c>
    </row>
    <row r="50" spans="1:24" x14ac:dyDescent="0.15">
      <c r="A50">
        <v>11226</v>
      </c>
      <c r="B50">
        <v>7</v>
      </c>
      <c r="C50">
        <v>2</v>
      </c>
      <c r="D50">
        <v>350</v>
      </c>
      <c r="E50">
        <v>10</v>
      </c>
      <c r="F50">
        <v>1122002</v>
      </c>
      <c r="G50">
        <v>1</v>
      </c>
      <c r="H50">
        <v>100</v>
      </c>
      <c r="I50">
        <v>1</v>
      </c>
      <c r="J50">
        <v>3</v>
      </c>
      <c r="K50">
        <v>350</v>
      </c>
      <c r="L50">
        <v>1</v>
      </c>
      <c r="M50">
        <v>2</v>
      </c>
      <c r="N50">
        <v>0</v>
      </c>
      <c r="O50">
        <v>0</v>
      </c>
      <c r="P50">
        <v>0</v>
      </c>
      <c r="Q50">
        <v>0</v>
      </c>
      <c r="R50">
        <v>0</v>
      </c>
      <c r="S50">
        <v>1</v>
      </c>
      <c r="T50">
        <v>1</v>
      </c>
      <c r="U50">
        <v>0</v>
      </c>
      <c r="V50">
        <v>1</v>
      </c>
      <c r="W50" t="s">
        <v>147</v>
      </c>
      <c r="X50">
        <v>1</v>
      </c>
    </row>
    <row r="51" spans="1:24" x14ac:dyDescent="0.15">
      <c r="A51">
        <v>11226</v>
      </c>
      <c r="B51">
        <v>7</v>
      </c>
      <c r="C51">
        <v>3</v>
      </c>
      <c r="D51">
        <v>350</v>
      </c>
      <c r="E51">
        <v>10</v>
      </c>
      <c r="F51">
        <v>1122003</v>
      </c>
      <c r="G51">
        <v>1</v>
      </c>
      <c r="H51">
        <v>100</v>
      </c>
      <c r="I51">
        <v>1</v>
      </c>
      <c r="J51">
        <v>3</v>
      </c>
      <c r="K51">
        <v>350</v>
      </c>
      <c r="L51">
        <v>1</v>
      </c>
      <c r="M51">
        <v>2</v>
      </c>
      <c r="N51">
        <v>0</v>
      </c>
      <c r="O51">
        <v>0</v>
      </c>
      <c r="P51">
        <v>0</v>
      </c>
      <c r="Q51">
        <v>0</v>
      </c>
      <c r="R51">
        <v>0</v>
      </c>
      <c r="S51">
        <v>1</v>
      </c>
      <c r="T51">
        <v>1</v>
      </c>
      <c r="U51">
        <v>0</v>
      </c>
      <c r="V51">
        <v>1</v>
      </c>
      <c r="W51">
        <v>1</v>
      </c>
      <c r="X51">
        <v>1</v>
      </c>
    </row>
    <row r="52" spans="1:24" x14ac:dyDescent="0.15">
      <c r="A52">
        <v>11226</v>
      </c>
      <c r="B52">
        <v>7</v>
      </c>
      <c r="C52">
        <v>3</v>
      </c>
      <c r="D52">
        <v>499</v>
      </c>
      <c r="E52">
        <v>10</v>
      </c>
      <c r="F52">
        <v>1122005</v>
      </c>
      <c r="G52">
        <v>1</v>
      </c>
      <c r="H52">
        <v>100</v>
      </c>
      <c r="I52">
        <v>0</v>
      </c>
      <c r="J52">
        <v>3</v>
      </c>
      <c r="K52">
        <v>499</v>
      </c>
      <c r="L52">
        <v>1</v>
      </c>
      <c r="M52">
        <v>4</v>
      </c>
      <c r="N52">
        <v>0</v>
      </c>
      <c r="O52">
        <v>0</v>
      </c>
      <c r="P52">
        <v>0</v>
      </c>
      <c r="Q52">
        <v>0</v>
      </c>
      <c r="R52">
        <v>0</v>
      </c>
      <c r="S52">
        <v>1</v>
      </c>
      <c r="T52">
        <v>1</v>
      </c>
      <c r="U52">
        <v>0</v>
      </c>
      <c r="V52">
        <v>1</v>
      </c>
      <c r="W52" t="s">
        <v>147</v>
      </c>
      <c r="X52">
        <v>1</v>
      </c>
    </row>
    <row r="53" spans="1:24" x14ac:dyDescent="0.15">
      <c r="A53">
        <v>11226</v>
      </c>
      <c r="B53">
        <v>7</v>
      </c>
      <c r="C53">
        <v>4</v>
      </c>
      <c r="D53">
        <v>350</v>
      </c>
      <c r="E53">
        <v>10</v>
      </c>
      <c r="F53">
        <v>1122006</v>
      </c>
      <c r="G53">
        <v>1</v>
      </c>
      <c r="H53">
        <v>100</v>
      </c>
      <c r="I53">
        <v>1</v>
      </c>
      <c r="J53">
        <v>3</v>
      </c>
      <c r="K53">
        <v>350</v>
      </c>
      <c r="L53">
        <v>1</v>
      </c>
      <c r="M53">
        <v>2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1</v>
      </c>
      <c r="U53">
        <v>0</v>
      </c>
      <c r="V53">
        <v>1</v>
      </c>
      <c r="W53" t="s">
        <v>147</v>
      </c>
      <c r="X53">
        <v>1</v>
      </c>
    </row>
    <row r="54" spans="1:24" x14ac:dyDescent="0.15">
      <c r="A54">
        <v>11226</v>
      </c>
      <c r="B54">
        <v>7</v>
      </c>
      <c r="C54">
        <v>5</v>
      </c>
      <c r="D54">
        <v>460</v>
      </c>
      <c r="E54">
        <v>5</v>
      </c>
      <c r="F54">
        <v>1122008</v>
      </c>
      <c r="G54">
        <v>0</v>
      </c>
      <c r="H54">
        <v>100</v>
      </c>
      <c r="I54">
        <v>2</v>
      </c>
      <c r="J54">
        <v>3</v>
      </c>
      <c r="K54">
        <v>460</v>
      </c>
      <c r="L54">
        <v>1</v>
      </c>
      <c r="M54">
        <v>4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1</v>
      </c>
      <c r="U54">
        <v>0</v>
      </c>
      <c r="V54">
        <v>1</v>
      </c>
      <c r="W54" t="s">
        <v>147</v>
      </c>
      <c r="X54">
        <v>1</v>
      </c>
    </row>
    <row r="55" spans="1:24" x14ac:dyDescent="0.15">
      <c r="A55">
        <v>11226</v>
      </c>
      <c r="B55">
        <v>7</v>
      </c>
      <c r="C55">
        <v>5</v>
      </c>
      <c r="D55">
        <v>499</v>
      </c>
      <c r="E55">
        <v>10</v>
      </c>
      <c r="F55">
        <v>1122007</v>
      </c>
      <c r="G55">
        <v>0</v>
      </c>
      <c r="H55">
        <v>100</v>
      </c>
      <c r="I55">
        <v>1</v>
      </c>
      <c r="J55">
        <v>3</v>
      </c>
      <c r="K55">
        <v>499</v>
      </c>
      <c r="L55">
        <v>1</v>
      </c>
      <c r="M55">
        <v>4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1</v>
      </c>
      <c r="U55">
        <v>0</v>
      </c>
      <c r="V55">
        <v>1</v>
      </c>
      <c r="W55">
        <v>1</v>
      </c>
      <c r="X55">
        <v>1</v>
      </c>
    </row>
    <row r="56" spans="1:24" x14ac:dyDescent="0.15">
      <c r="A56">
        <v>11226</v>
      </c>
      <c r="B56">
        <v>8</v>
      </c>
      <c r="C56">
        <v>1</v>
      </c>
      <c r="D56">
        <v>795</v>
      </c>
      <c r="E56">
        <v>1</v>
      </c>
      <c r="F56">
        <v>11226101</v>
      </c>
      <c r="G56">
        <v>1</v>
      </c>
      <c r="H56">
        <v>100</v>
      </c>
      <c r="I56">
        <v>1</v>
      </c>
      <c r="J56">
        <v>1</v>
      </c>
      <c r="K56">
        <v>795</v>
      </c>
      <c r="L56">
        <v>1</v>
      </c>
      <c r="M56">
        <v>3</v>
      </c>
      <c r="N56">
        <v>100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0</v>
      </c>
      <c r="V56">
        <v>1</v>
      </c>
      <c r="W56" t="s">
        <v>147</v>
      </c>
      <c r="X56">
        <v>1</v>
      </c>
    </row>
    <row r="57" spans="1:24" x14ac:dyDescent="0.15">
      <c r="A57">
        <v>11226</v>
      </c>
      <c r="B57">
        <v>8</v>
      </c>
      <c r="C57">
        <v>2</v>
      </c>
      <c r="D57">
        <v>77</v>
      </c>
      <c r="E57">
        <v>1</v>
      </c>
      <c r="F57">
        <v>11221120</v>
      </c>
      <c r="G57">
        <v>1</v>
      </c>
      <c r="H57">
        <v>100</v>
      </c>
      <c r="I57">
        <v>2</v>
      </c>
      <c r="J57">
        <v>1</v>
      </c>
      <c r="K57">
        <v>77</v>
      </c>
      <c r="L57">
        <v>1</v>
      </c>
      <c r="M57">
        <v>3</v>
      </c>
      <c r="N57">
        <v>0</v>
      </c>
      <c r="O57">
        <v>0</v>
      </c>
      <c r="P57">
        <v>0</v>
      </c>
      <c r="Q57">
        <v>0</v>
      </c>
      <c r="R57">
        <v>0</v>
      </c>
      <c r="S57">
        <v>1</v>
      </c>
      <c r="T57">
        <v>1</v>
      </c>
      <c r="U57">
        <v>0</v>
      </c>
      <c r="V57">
        <v>1</v>
      </c>
      <c r="W57" t="s">
        <v>147</v>
      </c>
      <c r="X57">
        <v>1</v>
      </c>
    </row>
    <row r="58" spans="1:24" x14ac:dyDescent="0.15">
      <c r="A58">
        <v>11226</v>
      </c>
      <c r="B58">
        <v>8</v>
      </c>
      <c r="C58">
        <v>2</v>
      </c>
      <c r="D58">
        <v>79</v>
      </c>
      <c r="E58">
        <v>1</v>
      </c>
      <c r="F58">
        <v>11221121</v>
      </c>
      <c r="G58">
        <v>1</v>
      </c>
      <c r="H58">
        <v>100</v>
      </c>
      <c r="I58">
        <v>1</v>
      </c>
      <c r="J58">
        <v>1</v>
      </c>
      <c r="K58">
        <v>79</v>
      </c>
      <c r="L58">
        <v>1</v>
      </c>
      <c r="M58">
        <v>3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0</v>
      </c>
      <c r="V58">
        <v>1</v>
      </c>
      <c r="W58" t="s">
        <v>147</v>
      </c>
      <c r="X58">
        <v>1</v>
      </c>
    </row>
    <row r="59" spans="1:24" x14ac:dyDescent="0.15">
      <c r="A59">
        <v>11226</v>
      </c>
      <c r="B59">
        <v>8</v>
      </c>
      <c r="C59">
        <v>2</v>
      </c>
      <c r="D59">
        <v>81</v>
      </c>
      <c r="E59">
        <v>1</v>
      </c>
      <c r="F59">
        <v>11221122</v>
      </c>
      <c r="G59">
        <v>1</v>
      </c>
      <c r="H59">
        <v>100</v>
      </c>
      <c r="I59">
        <v>0</v>
      </c>
      <c r="J59">
        <v>1</v>
      </c>
      <c r="K59">
        <v>81</v>
      </c>
      <c r="L59">
        <v>1</v>
      </c>
      <c r="M59">
        <v>3</v>
      </c>
      <c r="N59">
        <v>0</v>
      </c>
      <c r="O59">
        <v>0</v>
      </c>
      <c r="P59">
        <v>0</v>
      </c>
      <c r="Q59">
        <v>0</v>
      </c>
      <c r="R59">
        <v>0</v>
      </c>
      <c r="S59">
        <v>1</v>
      </c>
      <c r="T59">
        <v>1</v>
      </c>
      <c r="U59">
        <v>0</v>
      </c>
      <c r="V59">
        <v>1</v>
      </c>
      <c r="W59" t="s">
        <v>147</v>
      </c>
      <c r="X59">
        <v>1</v>
      </c>
    </row>
    <row r="60" spans="1:24" x14ac:dyDescent="0.15">
      <c r="A60">
        <v>11226</v>
      </c>
      <c r="B60">
        <v>8</v>
      </c>
      <c r="C60">
        <v>3</v>
      </c>
      <c r="D60">
        <v>77</v>
      </c>
      <c r="E60">
        <v>1</v>
      </c>
      <c r="F60">
        <v>11221130</v>
      </c>
      <c r="G60">
        <v>1</v>
      </c>
      <c r="H60">
        <v>100</v>
      </c>
      <c r="I60">
        <v>2</v>
      </c>
      <c r="J60">
        <v>1</v>
      </c>
      <c r="K60">
        <v>77</v>
      </c>
      <c r="L60">
        <v>1</v>
      </c>
      <c r="M60">
        <v>3</v>
      </c>
      <c r="N60">
        <v>0</v>
      </c>
      <c r="O60">
        <v>0</v>
      </c>
      <c r="P60">
        <v>0</v>
      </c>
      <c r="Q60">
        <v>0</v>
      </c>
      <c r="R60">
        <v>0</v>
      </c>
      <c r="S60">
        <v>1</v>
      </c>
      <c r="T60">
        <v>1</v>
      </c>
      <c r="U60">
        <v>0</v>
      </c>
      <c r="V60">
        <v>1</v>
      </c>
      <c r="W60" t="s">
        <v>147</v>
      </c>
      <c r="X60">
        <v>1</v>
      </c>
    </row>
    <row r="61" spans="1:24" x14ac:dyDescent="0.15">
      <c r="A61">
        <v>11226</v>
      </c>
      <c r="B61">
        <v>8</v>
      </c>
      <c r="C61">
        <v>3</v>
      </c>
      <c r="D61">
        <v>334</v>
      </c>
      <c r="E61">
        <v>1</v>
      </c>
      <c r="F61">
        <v>11221131</v>
      </c>
      <c r="G61">
        <v>0</v>
      </c>
      <c r="H61">
        <v>100</v>
      </c>
      <c r="I61">
        <v>1</v>
      </c>
      <c r="J61">
        <v>1</v>
      </c>
      <c r="K61">
        <v>334</v>
      </c>
      <c r="L61">
        <v>1</v>
      </c>
      <c r="M61">
        <v>5</v>
      </c>
      <c r="N61">
        <v>100</v>
      </c>
      <c r="O61">
        <v>0</v>
      </c>
      <c r="P61">
        <v>0</v>
      </c>
      <c r="Q61">
        <v>0</v>
      </c>
      <c r="R61">
        <v>0</v>
      </c>
      <c r="S61">
        <v>1</v>
      </c>
      <c r="T61">
        <v>1</v>
      </c>
      <c r="U61">
        <v>0</v>
      </c>
      <c r="V61">
        <v>1</v>
      </c>
      <c r="W61" t="s">
        <v>147</v>
      </c>
      <c r="X61">
        <v>1</v>
      </c>
    </row>
    <row r="62" spans="1:24" x14ac:dyDescent="0.15">
      <c r="A62">
        <v>11226</v>
      </c>
      <c r="B62">
        <v>8</v>
      </c>
      <c r="C62">
        <v>3</v>
      </c>
      <c r="D62">
        <v>338</v>
      </c>
      <c r="E62">
        <v>1</v>
      </c>
      <c r="F62">
        <v>11221131</v>
      </c>
      <c r="G62">
        <v>0</v>
      </c>
      <c r="H62">
        <v>100</v>
      </c>
      <c r="I62">
        <v>1</v>
      </c>
      <c r="J62">
        <v>1</v>
      </c>
      <c r="K62">
        <v>338</v>
      </c>
      <c r="L62">
        <v>1</v>
      </c>
      <c r="M62">
        <v>5</v>
      </c>
      <c r="N62">
        <v>100</v>
      </c>
      <c r="O62">
        <v>0</v>
      </c>
      <c r="P62">
        <v>0</v>
      </c>
      <c r="Q62">
        <v>0</v>
      </c>
      <c r="R62">
        <v>0</v>
      </c>
      <c r="S62">
        <v>1</v>
      </c>
      <c r="T62">
        <v>1</v>
      </c>
      <c r="U62">
        <v>0</v>
      </c>
      <c r="V62">
        <v>1</v>
      </c>
      <c r="W62" t="s">
        <v>147</v>
      </c>
      <c r="X62">
        <v>1</v>
      </c>
    </row>
    <row r="63" spans="1:24" x14ac:dyDescent="0.15">
      <c r="A63">
        <v>11226</v>
      </c>
      <c r="B63">
        <v>8</v>
      </c>
      <c r="C63">
        <v>3</v>
      </c>
      <c r="D63">
        <v>342</v>
      </c>
      <c r="E63">
        <v>1</v>
      </c>
      <c r="F63">
        <v>11221131</v>
      </c>
      <c r="G63">
        <v>0</v>
      </c>
      <c r="H63">
        <v>100</v>
      </c>
      <c r="I63">
        <v>1</v>
      </c>
      <c r="J63">
        <v>1</v>
      </c>
      <c r="K63">
        <v>342</v>
      </c>
      <c r="L63">
        <v>1</v>
      </c>
      <c r="M63">
        <v>5</v>
      </c>
      <c r="N63">
        <v>100</v>
      </c>
      <c r="O63">
        <v>0</v>
      </c>
      <c r="P63">
        <v>0</v>
      </c>
      <c r="Q63">
        <v>0</v>
      </c>
      <c r="R63">
        <v>0</v>
      </c>
      <c r="S63">
        <v>1</v>
      </c>
      <c r="T63">
        <v>1</v>
      </c>
      <c r="U63">
        <v>0</v>
      </c>
      <c r="V63">
        <v>1</v>
      </c>
      <c r="W63" t="s">
        <v>147</v>
      </c>
      <c r="X63">
        <v>1</v>
      </c>
    </row>
    <row r="64" spans="1:24" x14ac:dyDescent="0.15">
      <c r="A64">
        <v>11226</v>
      </c>
      <c r="B64">
        <v>8</v>
      </c>
      <c r="C64">
        <v>3</v>
      </c>
      <c r="D64">
        <v>346</v>
      </c>
      <c r="E64">
        <v>1</v>
      </c>
      <c r="F64">
        <v>11221131</v>
      </c>
      <c r="G64">
        <v>0</v>
      </c>
      <c r="H64">
        <v>100</v>
      </c>
      <c r="I64">
        <v>1</v>
      </c>
      <c r="J64">
        <v>1</v>
      </c>
      <c r="K64">
        <v>346</v>
      </c>
      <c r="L64">
        <v>1</v>
      </c>
      <c r="M64">
        <v>5</v>
      </c>
      <c r="N64">
        <v>100</v>
      </c>
      <c r="O64">
        <v>0</v>
      </c>
      <c r="P64">
        <v>0</v>
      </c>
      <c r="Q64">
        <v>0</v>
      </c>
      <c r="R64">
        <v>0</v>
      </c>
      <c r="S64">
        <v>1</v>
      </c>
      <c r="T64">
        <v>1</v>
      </c>
      <c r="U64">
        <v>0</v>
      </c>
      <c r="V64">
        <v>1</v>
      </c>
      <c r="W64" t="s">
        <v>147</v>
      </c>
      <c r="X64">
        <v>1</v>
      </c>
    </row>
    <row r="65" spans="1:24" x14ac:dyDescent="0.15">
      <c r="A65">
        <v>11226</v>
      </c>
      <c r="B65">
        <v>8</v>
      </c>
      <c r="C65">
        <v>4</v>
      </c>
      <c r="D65">
        <v>81</v>
      </c>
      <c r="E65">
        <v>1</v>
      </c>
      <c r="F65">
        <v>11221141</v>
      </c>
      <c r="G65">
        <v>1</v>
      </c>
      <c r="H65">
        <v>100</v>
      </c>
      <c r="I65">
        <v>2</v>
      </c>
      <c r="J65">
        <v>5</v>
      </c>
      <c r="K65">
        <v>81</v>
      </c>
      <c r="L65">
        <v>1</v>
      </c>
      <c r="M65">
        <v>3</v>
      </c>
      <c r="N65">
        <v>0</v>
      </c>
      <c r="O65">
        <v>0</v>
      </c>
      <c r="P65">
        <v>0</v>
      </c>
      <c r="Q65">
        <v>0</v>
      </c>
      <c r="R65">
        <v>0</v>
      </c>
      <c r="S65">
        <v>1</v>
      </c>
      <c r="T65">
        <v>1</v>
      </c>
      <c r="U65">
        <v>0</v>
      </c>
      <c r="V65">
        <v>1</v>
      </c>
      <c r="W65">
        <v>2</v>
      </c>
      <c r="X65">
        <v>1</v>
      </c>
    </row>
    <row r="66" spans="1:24" x14ac:dyDescent="0.15">
      <c r="A66">
        <v>11226</v>
      </c>
      <c r="B66">
        <v>8</v>
      </c>
      <c r="C66">
        <v>4</v>
      </c>
      <c r="D66">
        <v>134</v>
      </c>
      <c r="E66">
        <v>1</v>
      </c>
      <c r="F66">
        <v>11221140</v>
      </c>
      <c r="G66">
        <v>1</v>
      </c>
      <c r="H66">
        <v>100</v>
      </c>
      <c r="I66">
        <v>1</v>
      </c>
      <c r="J66">
        <v>1</v>
      </c>
      <c r="K66">
        <v>134</v>
      </c>
      <c r="L66">
        <v>1</v>
      </c>
      <c r="M66">
        <v>3</v>
      </c>
      <c r="N66">
        <v>0</v>
      </c>
      <c r="O66">
        <v>0</v>
      </c>
      <c r="P66">
        <v>0</v>
      </c>
      <c r="Q66">
        <v>0</v>
      </c>
      <c r="R66">
        <v>0</v>
      </c>
      <c r="S66">
        <v>1</v>
      </c>
      <c r="T66">
        <v>1</v>
      </c>
      <c r="U66">
        <v>0</v>
      </c>
      <c r="V66">
        <v>1</v>
      </c>
      <c r="W66">
        <v>1</v>
      </c>
      <c r="X66">
        <v>1</v>
      </c>
    </row>
    <row r="67" spans="1:24" x14ac:dyDescent="0.15">
      <c r="A67">
        <v>11226</v>
      </c>
      <c r="B67">
        <v>8</v>
      </c>
      <c r="C67">
        <v>5</v>
      </c>
      <c r="D67">
        <v>77</v>
      </c>
      <c r="E67">
        <v>1</v>
      </c>
      <c r="F67">
        <v>11221150</v>
      </c>
      <c r="G67">
        <v>1</v>
      </c>
      <c r="H67">
        <v>100</v>
      </c>
      <c r="I67">
        <v>2</v>
      </c>
      <c r="J67">
        <v>1</v>
      </c>
      <c r="K67">
        <v>77</v>
      </c>
      <c r="L67">
        <v>1</v>
      </c>
      <c r="M67">
        <v>3</v>
      </c>
      <c r="N67">
        <v>0</v>
      </c>
      <c r="O67">
        <v>0</v>
      </c>
      <c r="P67">
        <v>0</v>
      </c>
      <c r="Q67">
        <v>0</v>
      </c>
      <c r="R67">
        <v>0</v>
      </c>
      <c r="S67">
        <v>1</v>
      </c>
      <c r="T67">
        <v>1</v>
      </c>
      <c r="U67">
        <v>0</v>
      </c>
      <c r="V67">
        <v>1</v>
      </c>
      <c r="W67" t="s">
        <v>147</v>
      </c>
      <c r="X67">
        <v>1</v>
      </c>
    </row>
    <row r="68" spans="1:24" x14ac:dyDescent="0.15">
      <c r="A68">
        <v>11226</v>
      </c>
      <c r="B68">
        <v>8</v>
      </c>
      <c r="C68">
        <v>5</v>
      </c>
      <c r="D68">
        <v>81</v>
      </c>
      <c r="E68">
        <v>1</v>
      </c>
      <c r="F68">
        <v>11221151</v>
      </c>
      <c r="G68">
        <v>1</v>
      </c>
      <c r="H68">
        <v>100</v>
      </c>
      <c r="I68">
        <v>1</v>
      </c>
      <c r="J68">
        <v>1</v>
      </c>
      <c r="K68">
        <v>81</v>
      </c>
      <c r="L68">
        <v>1</v>
      </c>
      <c r="M68">
        <v>3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1</v>
      </c>
      <c r="U68">
        <v>0</v>
      </c>
      <c r="V68">
        <v>1</v>
      </c>
      <c r="W68" t="s">
        <v>147</v>
      </c>
      <c r="X68">
        <v>1</v>
      </c>
    </row>
    <row r="69" spans="1:24" x14ac:dyDescent="0.15">
      <c r="A69">
        <v>11226</v>
      </c>
      <c r="B69">
        <v>8</v>
      </c>
      <c r="C69">
        <v>6</v>
      </c>
      <c r="D69">
        <v>79</v>
      </c>
      <c r="E69">
        <v>1</v>
      </c>
      <c r="F69">
        <v>11221160</v>
      </c>
      <c r="G69">
        <v>1</v>
      </c>
      <c r="H69">
        <v>100</v>
      </c>
      <c r="I69">
        <v>1</v>
      </c>
      <c r="J69">
        <v>1</v>
      </c>
      <c r="K69">
        <v>794</v>
      </c>
      <c r="L69">
        <v>1</v>
      </c>
      <c r="M69">
        <v>3</v>
      </c>
      <c r="N69">
        <v>100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0</v>
      </c>
      <c r="V69">
        <v>1</v>
      </c>
      <c r="W69">
        <v>1</v>
      </c>
      <c r="X69">
        <v>1</v>
      </c>
    </row>
  </sheetData>
  <phoneticPr fontId="5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</sheetPr>
  <dimension ref="A1:L25"/>
  <sheetViews>
    <sheetView workbookViewId="0">
      <selection activeCell="A19" sqref="A19:A25"/>
    </sheetView>
  </sheetViews>
  <sheetFormatPr baseColWidth="12" defaultRowHeight="15" x14ac:dyDescent="0.15"/>
  <cols>
    <col min="1" max="2" width="8" bestFit="1" customWidth="1"/>
    <col min="3" max="3" width="7.1640625" bestFit="1" customWidth="1"/>
    <col min="4" max="4" width="7" bestFit="1" customWidth="1"/>
    <col min="5" max="5" width="8.33203125" bestFit="1" customWidth="1"/>
    <col min="6" max="6" width="11.5" bestFit="1" customWidth="1"/>
    <col min="7" max="7" width="5.1640625" bestFit="1" customWidth="1"/>
    <col min="8" max="8" width="6.33203125" bestFit="1" customWidth="1"/>
    <col min="9" max="9" width="10.5" bestFit="1" customWidth="1"/>
    <col min="11" max="11" width="16" bestFit="1" customWidth="1"/>
    <col min="12" max="12" width="17.1640625" bestFit="1" customWidth="1"/>
  </cols>
  <sheetData>
    <row r="1" spans="1:12" x14ac:dyDescent="0.15">
      <c r="A1" t="s">
        <v>0</v>
      </c>
      <c r="B1" t="s">
        <v>1</v>
      </c>
      <c r="C1" t="s">
        <v>12</v>
      </c>
      <c r="D1" t="s">
        <v>145</v>
      </c>
      <c r="E1" t="s">
        <v>149</v>
      </c>
      <c r="F1" t="s">
        <v>2</v>
      </c>
      <c r="G1" t="s">
        <v>3</v>
      </c>
      <c r="H1" t="s">
        <v>7</v>
      </c>
      <c r="I1" t="s">
        <v>16</v>
      </c>
      <c r="J1" t="s">
        <v>31</v>
      </c>
      <c r="K1" t="s">
        <v>33</v>
      </c>
      <c r="L1" t="s">
        <v>35</v>
      </c>
    </row>
    <row r="2" spans="1:12" x14ac:dyDescent="0.15">
      <c r="A2">
        <v>11226</v>
      </c>
      <c r="B2">
        <v>2</v>
      </c>
      <c r="C2">
        <v>2</v>
      </c>
      <c r="D2">
        <v>1</v>
      </c>
      <c r="E2">
        <v>2</v>
      </c>
      <c r="F2">
        <v>202</v>
      </c>
      <c r="G2">
        <v>1</v>
      </c>
      <c r="H2">
        <v>3</v>
      </c>
      <c r="I2">
        <v>112141210</v>
      </c>
      <c r="J2">
        <v>0.1</v>
      </c>
      <c r="K2">
        <v>1</v>
      </c>
      <c r="L2">
        <v>0</v>
      </c>
    </row>
    <row r="3" spans="1:12" x14ac:dyDescent="0.15">
      <c r="A3">
        <v>11226</v>
      </c>
      <c r="B3">
        <v>2</v>
      </c>
      <c r="C3">
        <v>3</v>
      </c>
      <c r="D3">
        <v>1</v>
      </c>
      <c r="E3">
        <v>2</v>
      </c>
      <c r="F3">
        <v>202</v>
      </c>
      <c r="G3">
        <v>1</v>
      </c>
      <c r="H3">
        <v>3</v>
      </c>
      <c r="I3">
        <v>112141320</v>
      </c>
      <c r="J3">
        <v>0.1</v>
      </c>
      <c r="K3">
        <v>1</v>
      </c>
      <c r="L3">
        <v>0</v>
      </c>
    </row>
    <row r="4" spans="1:12" x14ac:dyDescent="0.15">
      <c r="A4">
        <v>11226</v>
      </c>
      <c r="B4">
        <v>2</v>
      </c>
      <c r="C4">
        <v>3</v>
      </c>
      <c r="D4">
        <v>2</v>
      </c>
      <c r="E4">
        <v>2</v>
      </c>
      <c r="F4">
        <v>512</v>
      </c>
      <c r="G4">
        <v>1</v>
      </c>
      <c r="H4">
        <v>3</v>
      </c>
      <c r="I4">
        <v>112141319</v>
      </c>
      <c r="J4">
        <v>1</v>
      </c>
      <c r="K4">
        <v>1</v>
      </c>
      <c r="L4">
        <v>0</v>
      </c>
    </row>
    <row r="5" spans="1:12" x14ac:dyDescent="0.15">
      <c r="A5">
        <v>11226</v>
      </c>
      <c r="B5">
        <v>2</v>
      </c>
      <c r="C5">
        <v>4</v>
      </c>
      <c r="D5">
        <v>1</v>
      </c>
      <c r="E5">
        <v>2</v>
      </c>
      <c r="F5">
        <v>514</v>
      </c>
      <c r="G5">
        <v>1</v>
      </c>
      <c r="H5">
        <v>3</v>
      </c>
      <c r="I5">
        <v>112141419</v>
      </c>
      <c r="J5">
        <v>1</v>
      </c>
      <c r="K5">
        <v>1</v>
      </c>
      <c r="L5">
        <v>0</v>
      </c>
    </row>
    <row r="6" spans="1:12" x14ac:dyDescent="0.15">
      <c r="A6">
        <v>11226</v>
      </c>
      <c r="B6">
        <v>2</v>
      </c>
      <c r="C6">
        <v>5</v>
      </c>
      <c r="D6">
        <v>1</v>
      </c>
      <c r="E6">
        <v>2</v>
      </c>
      <c r="F6">
        <v>204</v>
      </c>
      <c r="G6">
        <v>1</v>
      </c>
      <c r="H6">
        <v>3</v>
      </c>
      <c r="I6">
        <v>112141501</v>
      </c>
      <c r="J6">
        <v>0.1</v>
      </c>
      <c r="K6">
        <v>1</v>
      </c>
      <c r="L6">
        <v>0</v>
      </c>
    </row>
    <row r="7" spans="1:12" x14ac:dyDescent="0.15">
      <c r="A7">
        <v>11226</v>
      </c>
      <c r="B7">
        <v>2</v>
      </c>
      <c r="C7">
        <v>5</v>
      </c>
      <c r="D7">
        <v>1</v>
      </c>
      <c r="E7">
        <v>3</v>
      </c>
      <c r="F7">
        <v>204</v>
      </c>
      <c r="G7">
        <v>1</v>
      </c>
      <c r="H7">
        <v>3</v>
      </c>
      <c r="I7">
        <v>112141502</v>
      </c>
      <c r="J7">
        <v>0.1</v>
      </c>
      <c r="K7">
        <v>1</v>
      </c>
      <c r="L7">
        <v>0</v>
      </c>
    </row>
    <row r="8" spans="1:12" x14ac:dyDescent="0.15">
      <c r="A8">
        <v>11226</v>
      </c>
      <c r="B8">
        <v>3</v>
      </c>
      <c r="C8">
        <v>2</v>
      </c>
      <c r="D8">
        <v>1</v>
      </c>
      <c r="E8">
        <v>2</v>
      </c>
      <c r="F8">
        <v>202</v>
      </c>
      <c r="G8">
        <v>1</v>
      </c>
      <c r="H8">
        <v>3</v>
      </c>
      <c r="I8">
        <v>112143220</v>
      </c>
      <c r="J8">
        <v>0.1</v>
      </c>
      <c r="K8">
        <v>1</v>
      </c>
      <c r="L8">
        <v>0</v>
      </c>
    </row>
    <row r="9" spans="1:12" x14ac:dyDescent="0.15">
      <c r="A9">
        <v>11226</v>
      </c>
      <c r="B9">
        <v>3</v>
      </c>
      <c r="C9">
        <v>3</v>
      </c>
      <c r="D9">
        <v>1</v>
      </c>
      <c r="E9">
        <v>2</v>
      </c>
      <c r="F9">
        <v>202</v>
      </c>
      <c r="G9">
        <v>1</v>
      </c>
      <c r="H9">
        <v>3</v>
      </c>
      <c r="I9">
        <v>112143309</v>
      </c>
      <c r="J9">
        <v>0.1</v>
      </c>
      <c r="K9">
        <v>1</v>
      </c>
      <c r="L9">
        <v>0</v>
      </c>
    </row>
    <row r="10" spans="1:12" x14ac:dyDescent="0.15">
      <c r="A10">
        <v>11226</v>
      </c>
      <c r="B10">
        <v>3</v>
      </c>
      <c r="C10">
        <v>4</v>
      </c>
      <c r="D10">
        <v>1</v>
      </c>
      <c r="E10">
        <v>2</v>
      </c>
      <c r="F10">
        <v>515</v>
      </c>
      <c r="G10">
        <v>1</v>
      </c>
      <c r="H10">
        <v>3</v>
      </c>
      <c r="I10">
        <v>112143409</v>
      </c>
      <c r="J10">
        <v>1</v>
      </c>
      <c r="K10">
        <v>1</v>
      </c>
      <c r="L10">
        <v>0</v>
      </c>
    </row>
    <row r="11" spans="1:12" x14ac:dyDescent="0.15">
      <c r="A11">
        <v>11226</v>
      </c>
      <c r="B11">
        <v>4</v>
      </c>
      <c r="C11">
        <v>3</v>
      </c>
      <c r="D11">
        <v>1</v>
      </c>
      <c r="E11">
        <v>2</v>
      </c>
      <c r="F11">
        <v>330</v>
      </c>
      <c r="G11">
        <v>1</v>
      </c>
      <c r="H11">
        <v>2</v>
      </c>
      <c r="I11">
        <v>112161309</v>
      </c>
      <c r="J11">
        <v>1</v>
      </c>
      <c r="K11">
        <v>1</v>
      </c>
      <c r="L11">
        <v>0</v>
      </c>
    </row>
    <row r="12" spans="1:12" x14ac:dyDescent="0.15">
      <c r="A12">
        <v>11226</v>
      </c>
      <c r="B12">
        <v>4</v>
      </c>
      <c r="C12">
        <v>3</v>
      </c>
      <c r="D12">
        <v>2</v>
      </c>
      <c r="E12">
        <v>2</v>
      </c>
      <c r="F12">
        <v>330</v>
      </c>
      <c r="G12">
        <v>1</v>
      </c>
      <c r="H12">
        <v>2</v>
      </c>
      <c r="I12">
        <v>112161309</v>
      </c>
      <c r="J12">
        <v>1</v>
      </c>
      <c r="K12">
        <v>1</v>
      </c>
      <c r="L12">
        <v>0</v>
      </c>
    </row>
    <row r="13" spans="1:12" x14ac:dyDescent="0.15">
      <c r="A13">
        <v>11226</v>
      </c>
      <c r="B13">
        <v>4</v>
      </c>
      <c r="C13">
        <v>3</v>
      </c>
      <c r="D13">
        <v>3</v>
      </c>
      <c r="E13">
        <v>2</v>
      </c>
      <c r="F13">
        <v>330</v>
      </c>
      <c r="G13">
        <v>1</v>
      </c>
      <c r="H13">
        <v>2</v>
      </c>
      <c r="I13">
        <v>112161309</v>
      </c>
      <c r="J13">
        <v>1</v>
      </c>
      <c r="K13">
        <v>1</v>
      </c>
      <c r="L13">
        <v>0</v>
      </c>
    </row>
    <row r="14" spans="1:12" x14ac:dyDescent="0.15">
      <c r="A14">
        <v>11226</v>
      </c>
      <c r="B14">
        <v>4</v>
      </c>
      <c r="C14">
        <v>5</v>
      </c>
      <c r="D14">
        <v>1</v>
      </c>
      <c r="E14">
        <v>2</v>
      </c>
      <c r="F14">
        <v>377</v>
      </c>
      <c r="G14">
        <v>1</v>
      </c>
      <c r="H14">
        <v>3</v>
      </c>
      <c r="I14">
        <v>112161309</v>
      </c>
      <c r="J14">
        <v>1</v>
      </c>
      <c r="K14">
        <v>1</v>
      </c>
      <c r="L14">
        <v>0</v>
      </c>
    </row>
    <row r="15" spans="1:12" x14ac:dyDescent="0.15">
      <c r="A15">
        <v>11226</v>
      </c>
      <c r="B15">
        <v>5</v>
      </c>
      <c r="C15">
        <v>2</v>
      </c>
      <c r="D15">
        <v>1</v>
      </c>
      <c r="E15">
        <v>2</v>
      </c>
      <c r="F15">
        <v>119</v>
      </c>
      <c r="G15">
        <v>1</v>
      </c>
      <c r="H15">
        <v>3</v>
      </c>
      <c r="I15">
        <v>112171140</v>
      </c>
      <c r="J15">
        <v>1</v>
      </c>
      <c r="K15">
        <v>0.1</v>
      </c>
      <c r="L15">
        <v>0</v>
      </c>
    </row>
    <row r="16" spans="1:12" x14ac:dyDescent="0.15">
      <c r="A16">
        <v>11226</v>
      </c>
      <c r="B16">
        <v>5</v>
      </c>
      <c r="C16">
        <v>2</v>
      </c>
      <c r="D16">
        <v>1</v>
      </c>
      <c r="E16">
        <v>3</v>
      </c>
      <c r="F16">
        <v>524</v>
      </c>
      <c r="G16">
        <v>1</v>
      </c>
      <c r="H16">
        <v>3</v>
      </c>
      <c r="I16">
        <v>112171150</v>
      </c>
      <c r="J16">
        <v>1</v>
      </c>
      <c r="K16">
        <v>0.1</v>
      </c>
      <c r="L16">
        <v>0</v>
      </c>
    </row>
    <row r="17" spans="1:12" x14ac:dyDescent="0.15">
      <c r="A17">
        <v>11226</v>
      </c>
      <c r="B17">
        <v>6</v>
      </c>
      <c r="C17">
        <v>4</v>
      </c>
      <c r="D17">
        <v>1</v>
      </c>
      <c r="E17">
        <v>2</v>
      </c>
      <c r="F17">
        <v>466</v>
      </c>
      <c r="G17">
        <v>1</v>
      </c>
      <c r="H17">
        <v>3</v>
      </c>
      <c r="I17">
        <v>11218421</v>
      </c>
      <c r="J17">
        <v>1</v>
      </c>
      <c r="K17">
        <v>1</v>
      </c>
      <c r="L17">
        <v>0</v>
      </c>
    </row>
    <row r="18" spans="1:12" x14ac:dyDescent="0.15">
      <c r="A18">
        <v>11226</v>
      </c>
      <c r="B18">
        <v>6</v>
      </c>
      <c r="C18">
        <v>5</v>
      </c>
      <c r="D18">
        <v>1</v>
      </c>
      <c r="E18">
        <v>2</v>
      </c>
      <c r="F18">
        <v>350</v>
      </c>
      <c r="G18">
        <v>1</v>
      </c>
      <c r="H18">
        <v>3</v>
      </c>
      <c r="I18">
        <v>11218502</v>
      </c>
      <c r="J18">
        <v>1</v>
      </c>
      <c r="K18">
        <v>1</v>
      </c>
      <c r="L18">
        <v>0</v>
      </c>
    </row>
    <row r="19" spans="1:12" x14ac:dyDescent="0.15">
      <c r="A19">
        <v>11226</v>
      </c>
      <c r="B19">
        <v>6</v>
      </c>
      <c r="C19">
        <v>5</v>
      </c>
      <c r="D19">
        <v>2</v>
      </c>
      <c r="E19">
        <v>2</v>
      </c>
      <c r="F19">
        <v>571</v>
      </c>
      <c r="G19">
        <v>99</v>
      </c>
      <c r="H19">
        <v>3</v>
      </c>
      <c r="I19">
        <v>11218520</v>
      </c>
      <c r="J19">
        <v>99.9</v>
      </c>
      <c r="K19">
        <v>1</v>
      </c>
      <c r="L19">
        <v>65535</v>
      </c>
    </row>
    <row r="20" spans="1:12" x14ac:dyDescent="0.15">
      <c r="A20">
        <v>11226</v>
      </c>
      <c r="B20">
        <v>7</v>
      </c>
      <c r="C20">
        <v>3</v>
      </c>
      <c r="D20">
        <v>1</v>
      </c>
      <c r="E20">
        <v>2</v>
      </c>
      <c r="F20">
        <v>506</v>
      </c>
      <c r="G20">
        <v>1</v>
      </c>
      <c r="H20">
        <v>3</v>
      </c>
      <c r="I20">
        <v>1122004</v>
      </c>
      <c r="J20">
        <v>1</v>
      </c>
      <c r="K20">
        <v>1</v>
      </c>
      <c r="L20">
        <v>0</v>
      </c>
    </row>
    <row r="21" spans="1:12" x14ac:dyDescent="0.15">
      <c r="A21">
        <v>11226</v>
      </c>
      <c r="B21">
        <v>7</v>
      </c>
      <c r="C21">
        <v>5</v>
      </c>
      <c r="D21">
        <v>1</v>
      </c>
      <c r="E21">
        <v>2</v>
      </c>
      <c r="F21">
        <v>350</v>
      </c>
      <c r="G21">
        <v>70</v>
      </c>
      <c r="H21">
        <v>3</v>
      </c>
      <c r="I21">
        <v>1122009</v>
      </c>
      <c r="J21">
        <v>1</v>
      </c>
      <c r="K21">
        <v>1</v>
      </c>
      <c r="L21">
        <v>65000</v>
      </c>
    </row>
    <row r="22" spans="1:12" x14ac:dyDescent="0.15">
      <c r="A22">
        <v>11226</v>
      </c>
      <c r="B22">
        <v>7</v>
      </c>
      <c r="C22">
        <v>5</v>
      </c>
      <c r="D22">
        <v>1</v>
      </c>
      <c r="E22">
        <v>3</v>
      </c>
      <c r="F22">
        <v>679</v>
      </c>
      <c r="G22">
        <v>40</v>
      </c>
      <c r="H22">
        <v>3</v>
      </c>
      <c r="I22">
        <v>1122010</v>
      </c>
      <c r="J22">
        <v>10</v>
      </c>
      <c r="K22">
        <v>1</v>
      </c>
      <c r="L22">
        <v>65000</v>
      </c>
    </row>
    <row r="23" spans="1:12" x14ac:dyDescent="0.15">
      <c r="A23">
        <v>11226</v>
      </c>
      <c r="B23">
        <v>8</v>
      </c>
      <c r="C23">
        <v>4</v>
      </c>
      <c r="D23">
        <v>1</v>
      </c>
      <c r="E23">
        <v>2</v>
      </c>
      <c r="F23">
        <v>278</v>
      </c>
      <c r="G23">
        <v>1</v>
      </c>
      <c r="H23">
        <v>2</v>
      </c>
      <c r="I23">
        <v>11221142</v>
      </c>
      <c r="J23">
        <v>1</v>
      </c>
      <c r="K23">
        <v>1</v>
      </c>
      <c r="L23">
        <v>0</v>
      </c>
    </row>
    <row r="24" spans="1:12" x14ac:dyDescent="0.15">
      <c r="A24">
        <v>11226</v>
      </c>
      <c r="B24">
        <v>8</v>
      </c>
      <c r="C24">
        <v>4</v>
      </c>
      <c r="D24">
        <v>2</v>
      </c>
      <c r="E24">
        <v>2</v>
      </c>
      <c r="F24">
        <v>81</v>
      </c>
      <c r="G24">
        <v>1</v>
      </c>
      <c r="H24">
        <v>5</v>
      </c>
      <c r="I24">
        <v>11221143</v>
      </c>
      <c r="J24">
        <v>1</v>
      </c>
      <c r="K24">
        <v>1</v>
      </c>
      <c r="L24">
        <v>0</v>
      </c>
    </row>
    <row r="25" spans="1:12" x14ac:dyDescent="0.15">
      <c r="A25">
        <v>11226</v>
      </c>
      <c r="B25">
        <v>8</v>
      </c>
      <c r="C25">
        <v>6</v>
      </c>
      <c r="D25">
        <v>1</v>
      </c>
      <c r="E25">
        <v>2</v>
      </c>
      <c r="F25">
        <v>794</v>
      </c>
      <c r="G25">
        <v>1</v>
      </c>
      <c r="H25">
        <v>3</v>
      </c>
      <c r="I25">
        <v>11221161</v>
      </c>
      <c r="J25">
        <v>1</v>
      </c>
      <c r="K25">
        <v>1</v>
      </c>
      <c r="L25">
        <v>0</v>
      </c>
    </row>
  </sheetData>
  <phoneticPr fontId="5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I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C4" sqref="C4"/>
    </sheetView>
  </sheetViews>
  <sheetFormatPr baseColWidth="12" defaultColWidth="12.83203125" defaultRowHeight="21" customHeight="1" outlineLevelCol="1" x14ac:dyDescent="0.15"/>
  <cols>
    <col min="1" max="1" width="16.83203125" style="13" customWidth="1"/>
    <col min="2" max="2" width="9.5" style="21" bestFit="1" customWidth="1"/>
    <col min="3" max="3" width="9.6640625" style="21" customWidth="1"/>
    <col min="4" max="4" width="25" style="21" customWidth="1" outlineLevel="1"/>
    <col min="5" max="5" width="44.1640625" style="21" bestFit="1" customWidth="1" outlineLevel="1"/>
    <col min="6" max="6" width="14.6640625" style="21" customWidth="1"/>
    <col min="7" max="7" width="8.33203125" style="17" bestFit="1" customWidth="1"/>
    <col min="8" max="8" width="9.6640625" style="17" customWidth="1"/>
    <col min="9" max="9" width="56.5" style="17" bestFit="1" customWidth="1"/>
    <col min="10" max="16384" width="12.83203125" style="17"/>
  </cols>
  <sheetData>
    <row r="1" spans="1:9" ht="21" customHeight="1" x14ac:dyDescent="0.15">
      <c r="A1" s="13" t="s">
        <v>44</v>
      </c>
      <c r="B1" s="14" t="s">
        <v>45</v>
      </c>
      <c r="C1" s="14" t="s">
        <v>46</v>
      </c>
      <c r="D1" s="15" t="s">
        <v>47</v>
      </c>
      <c r="E1" s="15" t="s">
        <v>48</v>
      </c>
      <c r="F1" s="16" t="s">
        <v>49</v>
      </c>
      <c r="G1" s="15" t="s">
        <v>57</v>
      </c>
      <c r="H1" s="15" t="s">
        <v>58</v>
      </c>
      <c r="I1" s="15" t="s">
        <v>59</v>
      </c>
    </row>
    <row r="2" spans="1:9" ht="21" customHeight="1" x14ac:dyDescent="0.15">
      <c r="A2" s="13" t="str">
        <f t="shared" ref="A2" si="0">B2&amp;"_"&amp;C2</f>
        <v>11226100_11226100</v>
      </c>
      <c r="B2" s="19">
        <v>11226100</v>
      </c>
      <c r="C2" s="19">
        <v>11226100</v>
      </c>
      <c r="D2" s="18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ほろ苦い 恋の物語 ピョ</v>
      </c>
      <c r="E2" s="18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「バレンタイン 狂騒曲」</v>
      </c>
      <c r="F2" s="19">
        <v>11218000</v>
      </c>
      <c r="G2" s="19"/>
      <c r="H2" s="19"/>
      <c r="I2" s="19"/>
    </row>
    <row r="3" spans="1:9" ht="21" customHeight="1" x14ac:dyDescent="0.15">
      <c r="A3" s="13" t="str">
        <f t="shared" ref="A3" si="1">B3&amp;"_"&amp;C3</f>
        <v>11226101_11226101</v>
      </c>
      <c r="B3" s="19">
        <v>11226101</v>
      </c>
      <c r="C3" s="19">
        <v>11226101</v>
      </c>
      <c r="D3" s="18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これは ウィルスユニットたちの</v>
      </c>
      <c r="E3" s="18" t="str">
        <f ca="1">VLOOKUP($C3,OFFSET(enemy_skills!$A$1,0,0,COUNTA(enemy_skills!$A:$A),MATCH(E$1,enemy_skills!$1:$1,0)-MATCH("enemy_skill_id",enemy_skills!$1:$1,0)+1),MATCH(E$1,enemy_skills!$1:$1,0)-MATCH("enemy_skill_id",enemy_skills!$1:$1,0)+1,FALSE)</f>
        <v>「等身大の メモリアル」</v>
      </c>
      <c r="F3" s="19">
        <v>11221000</v>
      </c>
      <c r="G3" s="19"/>
      <c r="H3" s="19"/>
      <c r="I3" s="19"/>
    </row>
    <row r="4" spans="1:9" ht="21" customHeight="1" x14ac:dyDescent="0.15">
      <c r="A4" s="13" t="str">
        <f t="shared" ref="A4" si="2">B4&amp;"_"&amp;C4</f>
        <v>11226102_11226102</v>
      </c>
      <c r="B4" s="19">
        <v>11226102</v>
      </c>
      <c r="C4" s="19">
        <v>11226102</v>
      </c>
      <c r="D4" s="18" t="str">
        <f ca="1">VLOOKUP($C4,OFFSET(enemy_skills!$A$1,0,0,COUNTA(enemy_skills!$A:$A),MATCH(D$1,enemy_skills!$1:$1,0)-MATCH("enemy_skill_id",enemy_skills!$1:$1,0)+1),MATCH(D$1,enemy_skills!$1:$1,0)-MATCH("enemy_skill_id",enemy_skills!$1:$1,0)+1,FALSE)</f>
        <v>小さな恋の物語 ケロ</v>
      </c>
      <c r="E4" s="18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「ホワイトデー独騒曲」</v>
      </c>
      <c r="F4" s="19">
        <v>1122001</v>
      </c>
      <c r="G4" s="19"/>
      <c r="H4" s="19"/>
      <c r="I4" s="19"/>
    </row>
  </sheetData>
  <autoFilter ref="A1:I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X5"/>
  <sheetViews>
    <sheetView showGridLines="0" zoomScale="94" zoomScaleNormal="75" zoomScalePageLayoutView="75" workbookViewId="0">
      <pane ySplit="1" topLeftCell="A2" activePane="bottomLeft" state="frozenSplit"/>
      <selection pane="bottomLeft" activeCell="A4" sqref="A4"/>
    </sheetView>
  </sheetViews>
  <sheetFormatPr baseColWidth="12" defaultColWidth="12.83203125" defaultRowHeight="21" customHeight="1" outlineLevelCol="1" x14ac:dyDescent="0.15"/>
  <cols>
    <col min="1" max="1" width="12.83203125" style="21"/>
    <col min="2" max="2" width="71.6640625" style="21" customWidth="1"/>
    <col min="3" max="4" width="12.83203125" style="21"/>
    <col min="5" max="5" width="28.33203125" style="21" bestFit="1" customWidth="1"/>
    <col min="6" max="6" width="32.6640625" style="21" bestFit="1" customWidth="1"/>
    <col min="7" max="7" width="52" style="21" hidden="1" customWidth="1" outlineLevel="1"/>
    <col min="8" max="8" width="18.33203125" style="21" hidden="1" customWidth="1" outlineLevel="1"/>
    <col min="9" max="11" width="18.6640625" style="21" hidden="1" customWidth="1" outlineLevel="1"/>
    <col min="12" max="12" width="12.83203125" style="21" collapsed="1"/>
    <col min="13" max="16384" width="12.83203125" style="21"/>
  </cols>
  <sheetData>
    <row r="1" spans="1:11" ht="21" customHeight="1" x14ac:dyDescent="0.15">
      <c r="A1" s="14" t="s">
        <v>60</v>
      </c>
      <c r="B1" s="14" t="s">
        <v>61</v>
      </c>
      <c r="C1" s="14" t="s">
        <v>62</v>
      </c>
      <c r="D1" s="14" t="s">
        <v>104</v>
      </c>
      <c r="E1" s="14" t="s">
        <v>63</v>
      </c>
      <c r="F1" s="14" t="s">
        <v>64</v>
      </c>
      <c r="G1" s="15" t="s">
        <v>106</v>
      </c>
      <c r="H1" s="15" t="s">
        <v>107</v>
      </c>
      <c r="I1" s="15" t="s">
        <v>109</v>
      </c>
      <c r="J1" s="15" t="s">
        <v>108</v>
      </c>
      <c r="K1" s="15" t="s">
        <v>110</v>
      </c>
    </row>
    <row r="2" spans="1:11" ht="56" x14ac:dyDescent="0.15">
      <c r="A2" s="19">
        <v>11226100</v>
      </c>
      <c r="B2" s="19" t="s">
        <v>150</v>
      </c>
      <c r="C2" s="22">
        <v>3</v>
      </c>
      <c r="D2" s="22" t="s">
        <v>139</v>
      </c>
      <c r="E2" s="65" t="s">
        <v>151</v>
      </c>
      <c r="F2" s="66" t="s">
        <v>152</v>
      </c>
      <c r="G2" s="31" t="str">
        <f>IFERROR(LEFT(B2,FIND("],",B2)),B2)</f>
        <v>[effect:hungup, target:unit_all, turn:-1, rate:1][effect:suicide, val:1, dead_type:escape, target:enemy_all][effect:sleep, target:unit_all, turn:1, rate:1][effect:degrade_unit, target:unit_all, turn:3, status:attack, val:1.0, calc:mul]</v>
      </c>
      <c r="H2" s="31">
        <f>FIND("effect:",G2)+7</f>
        <v>9</v>
      </c>
      <c r="I2" s="31">
        <f>IFERROR(FIND(",",G2),LEN(G2))</f>
        <v>15</v>
      </c>
      <c r="J2" s="31">
        <f>FIND("target:",G2)+7</f>
        <v>24</v>
      </c>
      <c r="K2" s="31">
        <f>FIND(",",G2,I2+1)</f>
        <v>32</v>
      </c>
    </row>
    <row r="3" spans="1:11" ht="56" x14ac:dyDescent="0.15">
      <c r="A3" s="19">
        <v>11226101</v>
      </c>
      <c r="B3" s="19" t="s">
        <v>153</v>
      </c>
      <c r="C3" s="22">
        <v>3</v>
      </c>
      <c r="D3" s="22" t="s">
        <v>139</v>
      </c>
      <c r="E3" s="65" t="s">
        <v>155</v>
      </c>
      <c r="F3" s="66" t="s">
        <v>154</v>
      </c>
      <c r="G3" s="31" t="str">
        <f>IFERROR(LEFT(B3,FIND("],",B3)),B3)</f>
        <v>[effect:suicide, val:1, dead_type:escape, target:enemy_all][effect:sleep, target:unit_all, turn:1, rate:1][effect:hungup, target:unit_all, turn:-1, rate:1][effect:degrade_unit, target:unit_all, turn:-1, status:attack, val:1, calc:mul]</v>
      </c>
      <c r="H3" s="31">
        <f>FIND("effect:",G3)+7</f>
        <v>9</v>
      </c>
      <c r="I3" s="31">
        <f>IFERROR(FIND(",",G3),LEN(G3))</f>
        <v>16</v>
      </c>
      <c r="J3" s="31">
        <f>FIND("target:",G3)+7</f>
        <v>50</v>
      </c>
      <c r="K3" s="31">
        <f>FIND(",",G3,I3+1)</f>
        <v>23</v>
      </c>
    </row>
    <row r="4" spans="1:11" ht="56" x14ac:dyDescent="0.15">
      <c r="A4" s="19">
        <v>11226102</v>
      </c>
      <c r="B4" s="19" t="s">
        <v>156</v>
      </c>
      <c r="C4" s="22">
        <v>3</v>
      </c>
      <c r="D4" s="22" t="s">
        <v>139</v>
      </c>
      <c r="E4" s="65" t="s">
        <v>158</v>
      </c>
      <c r="F4" s="66" t="s">
        <v>157</v>
      </c>
      <c r="G4" s="31" t="str">
        <f>IFERROR(LEFT(B4,FIND("],",B4)),B4)</f>
        <v>[effect:sleep, target:unit_all, turn:1, rate:1]</v>
      </c>
      <c r="H4" s="31">
        <f>FIND("effect:",G4)+7</f>
        <v>9</v>
      </c>
      <c r="I4" s="31">
        <f>IFERROR(FIND(",",G4),LEN(G4))</f>
        <v>14</v>
      </c>
      <c r="J4" s="31">
        <f>FIND("target:",G4)+7</f>
        <v>23</v>
      </c>
      <c r="K4" s="31">
        <f>FIND(",",G4,I4+1)</f>
        <v>31</v>
      </c>
    </row>
    <row r="5" spans="1:11" ht="21" customHeight="1" x14ac:dyDescent="0.15">
      <c r="E5" s="48"/>
      <c r="F5" s="48"/>
    </row>
  </sheetData>
  <autoFilter ref="A1:K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115" zoomScaleNormal="75" zoomScalePageLayoutView="75" workbookViewId="0">
      <pane ySplit="1" topLeftCell="A2" activePane="bottomLeft" state="frozenSplit"/>
      <selection pane="bottomLeft" activeCell="A3" sqref="A3:XFD11"/>
    </sheetView>
  </sheetViews>
  <sheetFormatPr baseColWidth="12" defaultColWidth="12.83203125" defaultRowHeight="21" customHeight="1" x14ac:dyDescent="0.15"/>
  <cols>
    <col min="1" max="1" width="16.1640625" style="21" bestFit="1" customWidth="1"/>
    <col min="2" max="2" width="13.33203125" style="21" bestFit="1" customWidth="1"/>
    <col min="3" max="3" width="11.83203125" style="21" bestFit="1" customWidth="1"/>
    <col min="4" max="4" width="14.6640625" style="21" bestFit="1" customWidth="1"/>
    <col min="5" max="5" width="15.6640625" style="21" bestFit="1" customWidth="1"/>
    <col min="6" max="6" width="17" style="21" bestFit="1" customWidth="1"/>
    <col min="7" max="7" width="15.6640625" style="21" bestFit="1" customWidth="1"/>
    <col min="8" max="9" width="14.6640625" style="21" customWidth="1"/>
    <col min="10" max="10" width="14.6640625" style="21" bestFit="1" customWidth="1"/>
    <col min="11" max="11" width="22.83203125" style="60" bestFit="1" customWidth="1"/>
    <col min="12" max="16384" width="12.83203125" style="17"/>
  </cols>
  <sheetData>
    <row r="1" spans="1:11" ht="21" customHeight="1" x14ac:dyDescent="0.15">
      <c r="A1" s="16" t="s">
        <v>65</v>
      </c>
      <c r="B1" s="16" t="s">
        <v>66</v>
      </c>
      <c r="C1" s="16" t="s">
        <v>67</v>
      </c>
      <c r="D1" s="16" t="s">
        <v>68</v>
      </c>
      <c r="E1" s="16" t="s">
        <v>51</v>
      </c>
      <c r="F1" s="23" t="s">
        <v>52</v>
      </c>
      <c r="G1" s="23" t="s">
        <v>53</v>
      </c>
      <c r="H1" s="16" t="s">
        <v>54</v>
      </c>
      <c r="I1" s="16" t="s">
        <v>55</v>
      </c>
      <c r="J1" s="16" t="s">
        <v>56</v>
      </c>
      <c r="K1" s="58" t="s">
        <v>141</v>
      </c>
    </row>
    <row r="2" spans="1:11" ht="21" customHeight="1" x14ac:dyDescent="0.15">
      <c r="A2" s="19">
        <v>112260000</v>
      </c>
      <c r="B2" s="19">
        <v>1</v>
      </c>
      <c r="C2" s="19">
        <v>100</v>
      </c>
      <c r="D2" s="19">
        <v>100</v>
      </c>
      <c r="E2" s="19" t="s">
        <v>37</v>
      </c>
      <c r="F2" s="19" t="s">
        <v>37</v>
      </c>
      <c r="G2" s="19">
        <v>1</v>
      </c>
      <c r="H2" s="19" t="s">
        <v>37</v>
      </c>
      <c r="I2" s="19" t="s">
        <v>37</v>
      </c>
      <c r="J2" s="20">
        <f t="shared" ref="J2" si="0">D2</f>
        <v>100</v>
      </c>
      <c r="K2" s="59" t="s">
        <v>140</v>
      </c>
    </row>
  </sheetData>
  <autoFilter ref="A1:G1"/>
  <phoneticPr fontId="5"/>
  <conditionalFormatting sqref="K1:K1048576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0000FF"/>
  </sheetPr>
  <dimension ref="A1:Q2"/>
  <sheetViews>
    <sheetView workbookViewId="0">
      <selection activeCell="B3" sqref="B3"/>
    </sheetView>
  </sheetViews>
  <sheetFormatPr baseColWidth="12" defaultRowHeight="15" x14ac:dyDescent="0.15"/>
  <cols>
    <col min="1" max="2" width="8" bestFit="1" customWidth="1"/>
    <col min="3" max="3" width="11.5" bestFit="1" customWidth="1"/>
    <col min="4" max="4" width="8.33203125" bestFit="1" customWidth="1"/>
    <col min="5" max="5" width="10.6640625" bestFit="1" customWidth="1"/>
    <col min="6" max="6" width="11.33203125" bestFit="1" customWidth="1"/>
    <col min="7" max="7" width="11.6640625" bestFit="1" customWidth="1"/>
    <col min="8" max="8" width="5.1640625" bestFit="1" customWidth="1"/>
    <col min="9" max="9" width="9" bestFit="1" customWidth="1"/>
    <col min="10" max="10" width="7.33203125" bestFit="1" customWidth="1"/>
    <col min="11" max="11" width="10.6640625" bestFit="1" customWidth="1"/>
    <col min="12" max="12" width="11.83203125" bestFit="1" customWidth="1"/>
    <col min="13" max="13" width="8.6640625" bestFit="1" customWidth="1"/>
    <col min="14" max="14" width="4.33203125" bestFit="1" customWidth="1"/>
    <col min="15" max="15" width="6.83203125" bestFit="1" customWidth="1"/>
    <col min="16" max="16" width="16.33203125" bestFit="1" customWidth="1"/>
    <col min="17" max="17" width="15.5" bestFit="1" customWidth="1"/>
  </cols>
  <sheetData>
    <row r="1" spans="1:17" x14ac:dyDescent="0.15">
      <c r="A1" t="s">
        <v>0</v>
      </c>
      <c r="B1" t="s">
        <v>1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3</v>
      </c>
      <c r="I1" t="s">
        <v>146</v>
      </c>
      <c r="J1" t="s">
        <v>21</v>
      </c>
      <c r="K1" t="s">
        <v>23</v>
      </c>
      <c r="L1" t="s">
        <v>25</v>
      </c>
      <c r="M1" t="s">
        <v>27</v>
      </c>
      <c r="N1" t="s">
        <v>29</v>
      </c>
      <c r="O1" t="s">
        <v>174</v>
      </c>
      <c r="P1" t="s">
        <v>175</v>
      </c>
      <c r="Q1" t="s">
        <v>176</v>
      </c>
    </row>
    <row r="2" spans="1:17" x14ac:dyDescent="0.15">
      <c r="A2">
        <v>11226</v>
      </c>
      <c r="B2">
        <v>4</v>
      </c>
      <c r="C2" t="s">
        <v>177</v>
      </c>
      <c r="D2">
        <v>1</v>
      </c>
      <c r="E2" t="s">
        <v>178</v>
      </c>
      <c r="F2">
        <v>376</v>
      </c>
      <c r="G2">
        <v>1</v>
      </c>
      <c r="H2">
        <v>40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100</v>
      </c>
      <c r="P2" s="68">
        <v>42090</v>
      </c>
      <c r="Q2" s="68">
        <v>390812.375</v>
      </c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I140"/>
  <sheetViews>
    <sheetView showGridLines="0" tabSelected="1" workbookViewId="0">
      <pane ySplit="1" topLeftCell="A2" activePane="bottomLeft" state="frozen"/>
      <selection pane="bottomLeft" activeCell="A3" sqref="A3:XFD3"/>
    </sheetView>
  </sheetViews>
  <sheetFormatPr baseColWidth="12" defaultColWidth="13" defaultRowHeight="15" outlineLevelCol="1" x14ac:dyDescent="0.15"/>
  <cols>
    <col min="1" max="1" width="13" style="43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8" width="22" customWidth="1"/>
    <col min="9" max="9" width="11.1640625" customWidth="1"/>
  </cols>
  <sheetData>
    <row r="1" spans="1:9" x14ac:dyDescent="0.15">
      <c r="A1" s="38" t="s">
        <v>121</v>
      </c>
      <c r="B1" s="35" t="s">
        <v>122</v>
      </c>
      <c r="C1" s="39" t="s">
        <v>123</v>
      </c>
      <c r="D1" s="39" t="s">
        <v>19</v>
      </c>
      <c r="E1" s="35" t="s">
        <v>124</v>
      </c>
      <c r="F1" s="39" t="s">
        <v>125</v>
      </c>
      <c r="G1" s="39" t="s">
        <v>19</v>
      </c>
      <c r="H1" s="35" t="s">
        <v>126</v>
      </c>
      <c r="I1" s="44" t="s">
        <v>127</v>
      </c>
    </row>
    <row r="2" spans="1:9" x14ac:dyDescent="0.15">
      <c r="A2" s="40" t="s">
        <v>142</v>
      </c>
      <c r="B2" s="41">
        <v>11226</v>
      </c>
      <c r="C2" s="56" t="str">
        <f ca="1">VLOOKUP($B2,OFFSET([2]quests!$A$1,0,0,COUNTA([2]quests!$A:$A),MATCH(C$1,[2]quests!$1:$1,0)-MATCH($B$1,[2]quests!$1:$1,0)+1),MATCH(C$1,[2]quests!$1:$1,0)-MATCH($B$1,[2]quests!$1:$1,0)+1,FALSE)</f>
        <v>1周年記念★特別クエスト</v>
      </c>
      <c r="D2" s="56" t="str">
        <f ca="1">VLOOKUP($B2,OFFSET([2]quests!$A$1,0,0,COUNTA([2]quests!$A:$A),MATCH(D$1,[2]quests!$1:$1,0)-MATCH($B$1,[2]quests!$1:$1,0)+1),MATCH(D$1,[2]quests!$1:$1,0)-MATCH($B$1,[2]quests!$1:$1,0)+1,FALSE)</f>
        <v>1周年記念★特別クエスト</v>
      </c>
      <c r="E2" s="42">
        <v>2</v>
      </c>
      <c r="F2" s="56" t="str">
        <f ca="1">VLOOKUP($B2&amp;"_"&amp;$E2,OFFSET([2]stages!$A$2,0,0,COUNTA([2]stages!$A:$A),MATCH(F$1,[2]stages!$2:$2,0)-MATCH("temp_stage",[2]stages!$2:$2,0)+1),MATCH(F$1,[2]stages!$2:$2,0)-MATCH("temp_stage",[2]stages!$2:$2,0)+1,FALSE)</f>
        <v>【クリスマス前編】勢いまかせ</v>
      </c>
      <c r="G2" s="56" t="str">
        <f ca="1">VLOOKUP($B2&amp;"_"&amp;$E2,OFFSET([2]stages!$A$2,0,0,COUNTA([2]stages!$A:$A),MATCH(G$1,[2]stages!$2:$2,0)-MATCH("temp_stage",[2]stages!$2:$2,0)+1),MATCH(G$1,[2]stages!$2:$2,0)-MATCH("temp_stage",[2]stages!$2:$2,0)+1,FALSE)</f>
        <v>1周年記念★特別クエスト</v>
      </c>
      <c r="H2" s="57">
        <v>0</v>
      </c>
      <c r="I2" s="26">
        <v>1121401</v>
      </c>
    </row>
    <row r="3" spans="1:9" x14ac:dyDescent="0.15">
      <c r="A3" s="40" t="s">
        <v>128</v>
      </c>
      <c r="B3" s="41">
        <v>11226</v>
      </c>
      <c r="C3" s="56" t="str">
        <f ca="1">VLOOKUP($B3,OFFSET([2]quests!$A$1,0,0,COUNTA([2]quests!$A:$A),MATCH(C$1,[2]quests!$1:$1,0)-MATCH($B$1,[2]quests!$1:$1,0)+1),MATCH(C$1,[2]quests!$1:$1,0)-MATCH($B$1,[2]quests!$1:$1,0)+1,FALSE)</f>
        <v>1周年記念★特別クエスト</v>
      </c>
      <c r="D3" s="56" t="str">
        <f ca="1">VLOOKUP($B3,OFFSET([2]quests!$A$1,0,0,COUNTA([2]quests!$A:$A),MATCH(D$1,[2]quests!$1:$1,0)-MATCH($B$1,[2]quests!$1:$1,0)+1),MATCH(D$1,[2]quests!$1:$1,0)-MATCH($B$1,[2]quests!$1:$1,0)+1,FALSE)</f>
        <v>1周年記念★特別クエスト</v>
      </c>
      <c r="E3" s="42">
        <v>3</v>
      </c>
      <c r="F3" s="56" t="str">
        <f ca="1">VLOOKUP($B3&amp;"_"&amp;$E3,OFFSET([2]stages!$A$2,0,0,COUNTA([2]stages!$A:$A),MATCH(F$1,[2]stages!$2:$2,0)-MATCH("temp_stage",[2]stages!$2:$2,0)+1),MATCH(F$1,[2]stages!$2:$2,0)-MATCH("temp_stage",[2]stages!$2:$2,0)+1,FALSE)</f>
        <v>【クリスマス後編】フィーバーの力</v>
      </c>
      <c r="G3" s="56" t="str">
        <f ca="1">VLOOKUP($B3&amp;"_"&amp;$E3,OFFSET([2]stages!$A$2,0,0,COUNTA([2]stages!$A:$A),MATCH(G$1,[2]stages!$2:$2,0)-MATCH("temp_stage",[2]stages!$2:$2,0)+1),MATCH(G$1,[2]stages!$2:$2,0)-MATCH("temp_stage",[2]stages!$2:$2,0)+1,FALSE)</f>
        <v>1周年記念★特別クエスト</v>
      </c>
      <c r="H3" s="57">
        <v>0</v>
      </c>
      <c r="I3" s="26">
        <v>1121403</v>
      </c>
    </row>
    <row r="4" spans="1:9" x14ac:dyDescent="0.15">
      <c r="A4" s="40" t="s">
        <v>142</v>
      </c>
      <c r="B4" s="41">
        <v>11226</v>
      </c>
      <c r="C4" s="56" t="str">
        <f ca="1">VLOOKUP($B4,OFFSET([2]quests!$A$1,0,0,COUNTA([2]quests!$A:$A),MATCH(C$1,[2]quests!$1:$1,0)-MATCH($B$1,[2]quests!$1:$1,0)+1),MATCH(C$1,[2]quests!$1:$1,0)-MATCH($B$1,[2]quests!$1:$1,0)+1,FALSE)</f>
        <v>1周年記念★特別クエスト</v>
      </c>
      <c r="D4" s="56" t="str">
        <f ca="1">VLOOKUP($B4,OFFSET([2]quests!$A$1,0,0,COUNTA([2]quests!$A:$A),MATCH(D$1,[2]quests!$1:$1,0)-MATCH($B$1,[2]quests!$1:$1,0)+1),MATCH(D$1,[2]quests!$1:$1,0)-MATCH($B$1,[2]quests!$1:$1,0)+1,FALSE)</f>
        <v>1周年記念★特別クエスト</v>
      </c>
      <c r="E4" s="42">
        <v>4</v>
      </c>
      <c r="F4" s="56" t="str">
        <f ca="1">VLOOKUP($B4&amp;"_"&amp;$E4,OFFSET([2]stages!$A$2,0,0,COUNTA([2]stages!$A:$A),MATCH(F$1,[2]stages!$2:$2,0)-MATCH("temp_stage",[2]stages!$2:$2,0)+1),MATCH(F$1,[2]stages!$2:$2,0)-MATCH("temp_stage",[2]stages!$2:$2,0)+1,FALSE)</f>
        <v>【上級】年を越える宴（ハートなし）</v>
      </c>
      <c r="G4" s="56" t="str">
        <f ca="1">VLOOKUP($B4&amp;"_"&amp;$E4,OFFSET([2]stages!$A$2,0,0,COUNTA([2]stages!$A:$A),MATCH(G$1,[2]stages!$2:$2,0)-MATCH("temp_stage",[2]stages!$2:$2,0)+1),MATCH(G$1,[2]stages!$2:$2,0)-MATCH("temp_stage",[2]stages!$2:$2,0)+1,FALSE)</f>
        <v>1周年記念★特別クエスト</v>
      </c>
      <c r="H4" s="57">
        <v>0</v>
      </c>
      <c r="I4" s="26">
        <v>1121601</v>
      </c>
    </row>
    <row r="5" spans="1:9" x14ac:dyDescent="0.15">
      <c r="A5" s="40" t="s">
        <v>142</v>
      </c>
      <c r="B5" s="41">
        <v>11226</v>
      </c>
      <c r="C5" s="56" t="str">
        <f ca="1">VLOOKUP($B5,OFFSET([2]quests!$A$1,0,0,COUNTA([2]quests!$A:$A),MATCH(C$1,[2]quests!$1:$1,0)-MATCH($B$1,[2]quests!$1:$1,0)+1),MATCH(C$1,[2]quests!$1:$1,0)-MATCH($B$1,[2]quests!$1:$1,0)+1,FALSE)</f>
        <v>1周年記念★特別クエスト</v>
      </c>
      <c r="D5" s="56" t="str">
        <f ca="1">VLOOKUP($B5,OFFSET([2]quests!$A$1,0,0,COUNTA([2]quests!$A:$A),MATCH(D$1,[2]quests!$1:$1,0)-MATCH($B$1,[2]quests!$1:$1,0)+1),MATCH(D$1,[2]quests!$1:$1,0)-MATCH($B$1,[2]quests!$1:$1,0)+1,FALSE)</f>
        <v>1周年記念★特別クエスト</v>
      </c>
      <c r="E5" s="42">
        <v>4</v>
      </c>
      <c r="F5" s="56" t="str">
        <f ca="1">VLOOKUP($B5&amp;"_"&amp;$E5,OFFSET([2]stages!$A$2,0,0,COUNTA([2]stages!$A:$A),MATCH(F$1,[2]stages!$2:$2,0)-MATCH("temp_stage",[2]stages!$2:$2,0)+1),MATCH(F$1,[2]stages!$2:$2,0)-MATCH("temp_stage",[2]stages!$2:$2,0)+1,FALSE)</f>
        <v>【上級】年を越える宴（ハートなし）</v>
      </c>
      <c r="G5" s="56" t="str">
        <f ca="1">VLOOKUP($B5&amp;"_"&amp;$E5,OFFSET([2]stages!$A$2,0,0,COUNTA([2]stages!$A:$A),MATCH(G$1,[2]stages!$2:$2,0)-MATCH("temp_stage",[2]stages!$2:$2,0)+1),MATCH(G$1,[2]stages!$2:$2,0)-MATCH("temp_stage",[2]stages!$2:$2,0)+1,FALSE)</f>
        <v>1周年記念★特別クエスト</v>
      </c>
      <c r="H5" s="57">
        <v>0</v>
      </c>
      <c r="I5" s="26">
        <v>1121602</v>
      </c>
    </row>
    <row r="6" spans="1:9" x14ac:dyDescent="0.15">
      <c r="A6" s="40" t="s">
        <v>142</v>
      </c>
      <c r="B6" s="41">
        <v>11226</v>
      </c>
      <c r="C6" s="56" t="str">
        <f ca="1">VLOOKUP($B6,OFFSET([2]quests!$A$1,0,0,COUNTA([2]quests!$A:$A),MATCH(C$1,[2]quests!$1:$1,0)-MATCH($B$1,[2]quests!$1:$1,0)+1),MATCH(C$1,[2]quests!$1:$1,0)-MATCH($B$1,[2]quests!$1:$1,0)+1,FALSE)</f>
        <v>1周年記念★特別クエスト</v>
      </c>
      <c r="D6" s="56" t="str">
        <f ca="1">VLOOKUP($B6,OFFSET([2]quests!$A$1,0,0,COUNTA([2]quests!$A:$A),MATCH(D$1,[2]quests!$1:$1,0)-MATCH($B$1,[2]quests!$1:$1,0)+1),MATCH(D$1,[2]quests!$1:$1,0)-MATCH($B$1,[2]quests!$1:$1,0)+1,FALSE)</f>
        <v>1周年記念★特別クエスト</v>
      </c>
      <c r="E6" s="42">
        <v>4</v>
      </c>
      <c r="F6" s="56" t="str">
        <f ca="1">VLOOKUP($B6&amp;"_"&amp;$E6,OFFSET([2]stages!$A$2,0,0,COUNTA([2]stages!$A:$A),MATCH(F$1,[2]stages!$2:$2,0)-MATCH("temp_stage",[2]stages!$2:$2,0)+1),MATCH(F$1,[2]stages!$2:$2,0)-MATCH("temp_stage",[2]stages!$2:$2,0)+1,FALSE)</f>
        <v>【上級】年を越える宴（ハートなし）</v>
      </c>
      <c r="G6" s="56" t="str">
        <f ca="1">VLOOKUP($B6&amp;"_"&amp;$E6,OFFSET([2]stages!$A$2,0,0,COUNTA([2]stages!$A:$A),MATCH(G$1,[2]stages!$2:$2,0)-MATCH("temp_stage",[2]stages!$2:$2,0)+1),MATCH(G$1,[2]stages!$2:$2,0)-MATCH("temp_stage",[2]stages!$2:$2,0)+1,FALSE)</f>
        <v>1周年記念★特別クエスト</v>
      </c>
      <c r="H6" s="57">
        <v>0</v>
      </c>
      <c r="I6" s="26">
        <v>1121603</v>
      </c>
    </row>
    <row r="7" spans="1:9" x14ac:dyDescent="0.15">
      <c r="A7" s="40" t="s">
        <v>128</v>
      </c>
      <c r="B7" s="41">
        <v>11226</v>
      </c>
      <c r="C7" s="56" t="str">
        <f ca="1">VLOOKUP($B7,OFFSET([2]quests!$A$1,0,0,COUNTA([2]quests!$A:$A),MATCH(C$1,[2]quests!$1:$1,0)-MATCH($B$1,[2]quests!$1:$1,0)+1),MATCH(C$1,[2]quests!$1:$1,0)-MATCH($B$1,[2]quests!$1:$1,0)+1,FALSE)</f>
        <v>1周年記念★特別クエスト</v>
      </c>
      <c r="D7" s="56" t="str">
        <f ca="1">VLOOKUP($B7,OFFSET([2]quests!$A$1,0,0,COUNTA([2]quests!$A:$A),MATCH(D$1,[2]quests!$1:$1,0)-MATCH($B$1,[2]quests!$1:$1,0)+1),MATCH(D$1,[2]quests!$1:$1,0)-MATCH($B$1,[2]quests!$1:$1,0)+1,FALSE)</f>
        <v>1周年記念★特別クエスト</v>
      </c>
      <c r="E7" s="42">
        <v>4</v>
      </c>
      <c r="F7" s="56" t="str">
        <f ca="1">VLOOKUP($B7&amp;"_"&amp;$E7,OFFSET([2]stages!$A$2,0,0,COUNTA([2]stages!$A:$A),MATCH(F$1,[2]stages!$2:$2,0)-MATCH("temp_stage",[2]stages!$2:$2,0)+1),MATCH(F$1,[2]stages!$2:$2,0)-MATCH("temp_stage",[2]stages!$2:$2,0)+1,FALSE)</f>
        <v>【上級】年を越える宴（ハートなし）</v>
      </c>
      <c r="G7" s="56" t="str">
        <f ca="1">VLOOKUP($B7&amp;"_"&amp;$E7,OFFSET([2]stages!$A$2,0,0,COUNTA([2]stages!$A:$A),MATCH(G$1,[2]stages!$2:$2,0)-MATCH("temp_stage",[2]stages!$2:$2,0)+1),MATCH(G$1,[2]stages!$2:$2,0)-MATCH("temp_stage",[2]stages!$2:$2,0)+1,FALSE)</f>
        <v>1周年記念★特別クエスト</v>
      </c>
      <c r="H7" s="57">
        <v>0</v>
      </c>
      <c r="I7" s="26">
        <v>1121604</v>
      </c>
    </row>
    <row r="8" spans="1:9" x14ac:dyDescent="0.15">
      <c r="A8" s="40" t="s">
        <v>128</v>
      </c>
      <c r="B8" s="41">
        <v>11226</v>
      </c>
      <c r="C8" s="56" t="str">
        <f ca="1">VLOOKUP($B8,OFFSET([2]quests!$A$1,0,0,COUNTA([2]quests!$A:$A),MATCH(C$1,[2]quests!$1:$1,0)-MATCH($B$1,[2]quests!$1:$1,0)+1),MATCH(C$1,[2]quests!$1:$1,0)-MATCH($B$1,[2]quests!$1:$1,0)+1,FALSE)</f>
        <v>1周年記念★特別クエスト</v>
      </c>
      <c r="D8" s="56" t="str">
        <f ca="1">VLOOKUP($B8,OFFSET([2]quests!$A$1,0,0,COUNTA([2]quests!$A:$A),MATCH(D$1,[2]quests!$1:$1,0)-MATCH($B$1,[2]quests!$1:$1,0)+1),MATCH(D$1,[2]quests!$1:$1,0)-MATCH($B$1,[2]quests!$1:$1,0)+1,FALSE)</f>
        <v>1周年記念★特別クエスト</v>
      </c>
      <c r="E8" s="42">
        <v>4</v>
      </c>
      <c r="F8" s="56" t="str">
        <f ca="1">VLOOKUP($B8&amp;"_"&amp;$E8,OFFSET([2]stages!$A$2,0,0,COUNTA([2]stages!$A:$A),MATCH(F$1,[2]stages!$2:$2,0)-MATCH("temp_stage",[2]stages!$2:$2,0)+1),MATCH(F$1,[2]stages!$2:$2,0)-MATCH("temp_stage",[2]stages!$2:$2,0)+1,FALSE)</f>
        <v>【上級】年を越える宴（ハートなし）</v>
      </c>
      <c r="G8" s="56" t="str">
        <f ca="1">VLOOKUP($B8&amp;"_"&amp;$E8,OFFSET([2]stages!$A$2,0,0,COUNTA([2]stages!$A:$A),MATCH(G$1,[2]stages!$2:$2,0)-MATCH("temp_stage",[2]stages!$2:$2,0)+1),MATCH(G$1,[2]stages!$2:$2,0)-MATCH("temp_stage",[2]stages!$2:$2,0)+1,FALSE)</f>
        <v>1周年記念★特別クエスト</v>
      </c>
      <c r="H8" s="57">
        <v>0</v>
      </c>
      <c r="I8" s="26">
        <v>1121605</v>
      </c>
    </row>
    <row r="9" spans="1:9" x14ac:dyDescent="0.15">
      <c r="A9" s="49"/>
      <c r="B9" s="50"/>
      <c r="C9" s="51"/>
      <c r="D9" s="51"/>
      <c r="E9" s="52"/>
      <c r="F9" s="51"/>
      <c r="G9" s="51"/>
      <c r="H9" s="53"/>
      <c r="I9" s="54"/>
    </row>
    <row r="10" spans="1:9" ht="87" customHeight="1" x14ac:dyDescent="0.15">
      <c r="A10" s="49"/>
      <c r="B10" s="50"/>
      <c r="C10" s="51"/>
      <c r="D10" s="51"/>
      <c r="E10" s="52"/>
      <c r="F10" s="51"/>
      <c r="G10" s="51"/>
      <c r="H10" s="53"/>
      <c r="I10" s="54"/>
    </row>
    <row r="11" spans="1:9" x14ac:dyDescent="0.15">
      <c r="A11" s="49"/>
      <c r="B11" s="50"/>
      <c r="C11" s="51"/>
      <c r="D11" s="51"/>
      <c r="E11" s="52"/>
      <c r="F11" s="51"/>
      <c r="G11" s="51"/>
      <c r="H11" s="53"/>
      <c r="I11" s="54"/>
    </row>
    <row r="12" spans="1:9" x14ac:dyDescent="0.15">
      <c r="A12" s="49"/>
      <c r="B12" s="50"/>
      <c r="C12" s="51"/>
      <c r="D12" s="51"/>
      <c r="E12" s="52"/>
      <c r="F12" s="51"/>
      <c r="G12" s="51"/>
      <c r="H12" s="53"/>
      <c r="I12" s="54"/>
    </row>
    <row r="13" spans="1:9" x14ac:dyDescent="0.15">
      <c r="A13" s="49"/>
      <c r="B13" s="50"/>
      <c r="C13" s="51"/>
      <c r="D13" s="51"/>
      <c r="E13" s="52"/>
      <c r="F13" s="51"/>
      <c r="G13" s="51"/>
      <c r="H13" s="53"/>
      <c r="I13" s="54"/>
    </row>
    <row r="14" spans="1:9" x14ac:dyDescent="0.15">
      <c r="A14" s="49"/>
      <c r="B14" s="50"/>
      <c r="C14" s="51"/>
      <c r="D14" s="51"/>
      <c r="E14" s="52"/>
      <c r="F14" s="51"/>
      <c r="G14" s="51"/>
      <c r="H14" s="53"/>
      <c r="I14" s="54"/>
    </row>
    <row r="15" spans="1:9" x14ac:dyDescent="0.15">
      <c r="A15" s="49"/>
      <c r="B15" s="50"/>
      <c r="C15" s="51"/>
      <c r="D15" s="51"/>
      <c r="E15" s="52"/>
      <c r="F15" s="51"/>
      <c r="G15" s="51"/>
      <c r="H15" s="53"/>
      <c r="I15" s="54"/>
    </row>
    <row r="16" spans="1:9" x14ac:dyDescent="0.15">
      <c r="A16" s="49"/>
      <c r="B16" s="50"/>
      <c r="C16" s="51"/>
      <c r="D16" s="51"/>
      <c r="E16" s="52"/>
      <c r="F16" s="51"/>
      <c r="G16" s="51"/>
      <c r="H16" s="53"/>
      <c r="I16" s="54"/>
    </row>
    <row r="17" spans="1:9" x14ac:dyDescent="0.15">
      <c r="A17" s="49"/>
      <c r="B17" s="50"/>
      <c r="C17" s="51"/>
      <c r="D17" s="51"/>
      <c r="E17" s="52"/>
      <c r="F17" s="51"/>
      <c r="G17" s="51"/>
      <c r="H17" s="53"/>
      <c r="I17" s="54"/>
    </row>
    <row r="18" spans="1:9" x14ac:dyDescent="0.15">
      <c r="A18" s="49"/>
      <c r="B18" s="50"/>
      <c r="C18" s="51"/>
      <c r="D18" s="51"/>
      <c r="E18" s="52"/>
      <c r="F18" s="51"/>
      <c r="G18" s="51"/>
      <c r="H18" s="53"/>
      <c r="I18" s="54"/>
    </row>
    <row r="19" spans="1:9" x14ac:dyDescent="0.15">
      <c r="A19" s="49"/>
      <c r="B19" s="50"/>
      <c r="C19" s="51"/>
      <c r="D19" s="51"/>
      <c r="E19" s="52"/>
      <c r="F19" s="51"/>
      <c r="G19" s="51"/>
      <c r="H19" s="53"/>
      <c r="I19" s="54"/>
    </row>
    <row r="20" spans="1:9" x14ac:dyDescent="0.15">
      <c r="A20" s="49"/>
      <c r="B20" s="50"/>
      <c r="C20" s="51"/>
      <c r="D20" s="51"/>
      <c r="E20" s="52"/>
      <c r="F20" s="51"/>
      <c r="G20" s="51"/>
      <c r="H20" s="53"/>
      <c r="I20" s="54"/>
    </row>
    <row r="21" spans="1:9" x14ac:dyDescent="0.15">
      <c r="A21" s="49"/>
      <c r="B21" s="50"/>
      <c r="C21" s="51"/>
      <c r="D21" s="51"/>
      <c r="E21" s="52"/>
      <c r="F21" s="51"/>
      <c r="G21" s="51"/>
      <c r="H21" s="53"/>
      <c r="I21" s="54"/>
    </row>
    <row r="22" spans="1:9" x14ac:dyDescent="0.15">
      <c r="A22" s="49"/>
      <c r="B22" s="50"/>
      <c r="C22" s="51"/>
      <c r="D22" s="51"/>
      <c r="E22" s="52"/>
      <c r="F22" s="51"/>
      <c r="G22" s="51"/>
      <c r="H22" s="53"/>
      <c r="I22" s="54"/>
    </row>
    <row r="23" spans="1:9" x14ac:dyDescent="0.15">
      <c r="A23" s="49"/>
      <c r="B23" s="50"/>
      <c r="C23" s="51"/>
      <c r="D23" s="51"/>
      <c r="E23" s="52"/>
      <c r="F23" s="51"/>
      <c r="G23" s="51"/>
      <c r="H23" s="53"/>
      <c r="I23" s="54"/>
    </row>
    <row r="24" spans="1:9" x14ac:dyDescent="0.15">
      <c r="A24" s="49"/>
      <c r="B24" s="50"/>
      <c r="C24" s="51"/>
      <c r="D24" s="51"/>
      <c r="E24" s="52"/>
      <c r="F24" s="51"/>
      <c r="G24" s="51"/>
      <c r="H24" s="53"/>
      <c r="I24" s="54"/>
    </row>
    <row r="25" spans="1:9" x14ac:dyDescent="0.15">
      <c r="A25" s="49"/>
      <c r="B25" s="50"/>
      <c r="C25" s="51"/>
      <c r="D25" s="51"/>
      <c r="E25" s="52"/>
      <c r="F25" s="51"/>
      <c r="G25" s="51"/>
      <c r="H25" s="53"/>
      <c r="I25" s="54"/>
    </row>
    <row r="26" spans="1:9" x14ac:dyDescent="0.15">
      <c r="A26" s="49"/>
      <c r="B26" s="50"/>
      <c r="C26" s="51"/>
      <c r="D26" s="51"/>
      <c r="E26" s="52"/>
      <c r="F26" s="51"/>
      <c r="G26" s="51"/>
      <c r="H26" s="53"/>
      <c r="I26" s="54"/>
    </row>
    <row r="27" spans="1:9" x14ac:dyDescent="0.15">
      <c r="A27" s="49"/>
      <c r="B27" s="50"/>
      <c r="C27" s="51"/>
      <c r="D27" s="51"/>
      <c r="E27" s="52"/>
      <c r="F27" s="51"/>
      <c r="G27" s="51"/>
      <c r="H27" s="53"/>
      <c r="I27" s="54"/>
    </row>
    <row r="28" spans="1:9" x14ac:dyDescent="0.15">
      <c r="A28" s="49"/>
      <c r="B28" s="50"/>
      <c r="C28" s="51"/>
      <c r="D28" s="51"/>
      <c r="E28" s="52"/>
      <c r="F28" s="51"/>
      <c r="G28" s="51"/>
      <c r="H28" s="53"/>
      <c r="I28" s="54"/>
    </row>
    <row r="29" spans="1:9" x14ac:dyDescent="0.15">
      <c r="A29" s="49"/>
      <c r="B29" s="50"/>
      <c r="C29" s="51"/>
      <c r="D29" s="51"/>
      <c r="E29" s="52"/>
      <c r="F29" s="51"/>
      <c r="G29" s="51"/>
      <c r="H29" s="53"/>
      <c r="I29" s="54"/>
    </row>
    <row r="30" spans="1:9" x14ac:dyDescent="0.15">
      <c r="A30" s="49"/>
      <c r="B30" s="50"/>
      <c r="C30" s="51"/>
      <c r="D30" s="51"/>
      <c r="E30" s="52"/>
      <c r="F30" s="51"/>
      <c r="G30" s="51"/>
      <c r="H30" s="53"/>
      <c r="I30" s="54"/>
    </row>
    <row r="31" spans="1:9" x14ac:dyDescent="0.15">
      <c r="A31" s="49"/>
      <c r="B31" s="50"/>
      <c r="C31" s="51"/>
      <c r="D31" s="51"/>
      <c r="E31" s="52"/>
      <c r="F31" s="51"/>
      <c r="G31" s="51"/>
      <c r="H31" s="53"/>
      <c r="I31" s="54"/>
    </row>
    <row r="32" spans="1:9" x14ac:dyDescent="0.15">
      <c r="A32" s="49"/>
      <c r="B32" s="50"/>
      <c r="C32" s="51"/>
      <c r="D32" s="51"/>
      <c r="E32" s="52"/>
      <c r="F32" s="51"/>
      <c r="G32" s="51"/>
      <c r="H32" s="53"/>
      <c r="I32" s="54"/>
    </row>
    <row r="33" spans="1:9" x14ac:dyDescent="0.15">
      <c r="A33" s="49"/>
      <c r="B33" s="50"/>
      <c r="C33" s="51"/>
      <c r="D33" s="51"/>
      <c r="E33" s="52"/>
      <c r="F33" s="51"/>
      <c r="G33" s="51"/>
      <c r="H33" s="53"/>
      <c r="I33" s="54"/>
    </row>
    <row r="34" spans="1:9" x14ac:dyDescent="0.15">
      <c r="A34" s="49"/>
      <c r="B34" s="50"/>
      <c r="C34" s="51"/>
      <c r="D34" s="51"/>
      <c r="E34" s="52"/>
      <c r="F34" s="51"/>
      <c r="G34" s="51"/>
      <c r="H34" s="53"/>
      <c r="I34" s="54"/>
    </row>
    <row r="35" spans="1:9" x14ac:dyDescent="0.15">
      <c r="A35" s="49"/>
      <c r="B35" s="50"/>
      <c r="C35" s="51"/>
      <c r="D35" s="51"/>
      <c r="E35" s="52"/>
      <c r="F35" s="51"/>
      <c r="G35" s="51"/>
      <c r="H35" s="53"/>
      <c r="I35" s="54"/>
    </row>
    <row r="36" spans="1:9" x14ac:dyDescent="0.15">
      <c r="A36" s="49"/>
      <c r="B36" s="50"/>
      <c r="C36" s="51"/>
      <c r="D36" s="51"/>
      <c r="E36" s="52"/>
      <c r="F36" s="51"/>
      <c r="G36" s="51"/>
      <c r="H36" s="53"/>
      <c r="I36" s="54"/>
    </row>
    <row r="37" spans="1:9" x14ac:dyDescent="0.15">
      <c r="A37" s="49"/>
      <c r="B37" s="50"/>
      <c r="C37" s="51"/>
      <c r="D37" s="51"/>
      <c r="E37" s="52"/>
      <c r="F37" s="51"/>
      <c r="G37" s="51"/>
      <c r="H37" s="53"/>
      <c r="I37" s="54"/>
    </row>
    <row r="38" spans="1:9" x14ac:dyDescent="0.15">
      <c r="A38" s="49"/>
      <c r="B38" s="50"/>
      <c r="C38" s="51"/>
      <c r="D38" s="51"/>
      <c r="E38" s="52"/>
      <c r="F38" s="51"/>
      <c r="G38" s="51"/>
      <c r="H38" s="53"/>
      <c r="I38" s="54"/>
    </row>
    <row r="39" spans="1:9" x14ac:dyDescent="0.15">
      <c r="A39" s="49"/>
      <c r="B39" s="50"/>
      <c r="C39" s="51"/>
      <c r="D39" s="51"/>
      <c r="E39" s="52"/>
      <c r="F39" s="51"/>
      <c r="G39" s="51"/>
      <c r="H39" s="53"/>
      <c r="I39" s="54"/>
    </row>
    <row r="40" spans="1:9" x14ac:dyDescent="0.15">
      <c r="A40" s="49"/>
      <c r="B40" s="50"/>
      <c r="C40" s="51"/>
      <c r="D40" s="51"/>
      <c r="E40" s="52"/>
      <c r="F40" s="51"/>
      <c r="G40" s="51"/>
      <c r="H40" s="53"/>
      <c r="I40" s="54"/>
    </row>
    <row r="41" spans="1:9" x14ac:dyDescent="0.15">
      <c r="A41" s="49"/>
      <c r="B41" s="50"/>
      <c r="C41" s="51"/>
      <c r="D41" s="51"/>
      <c r="E41" s="52"/>
      <c r="F41" s="51"/>
      <c r="G41" s="51"/>
      <c r="H41" s="53"/>
      <c r="I41" s="54"/>
    </row>
    <row r="42" spans="1:9" x14ac:dyDescent="0.15">
      <c r="A42" s="49"/>
      <c r="B42" s="50"/>
      <c r="C42" s="51"/>
      <c r="D42" s="51"/>
      <c r="E42" s="52"/>
      <c r="F42" s="51"/>
      <c r="G42" s="51"/>
      <c r="H42" s="53"/>
      <c r="I42" s="54"/>
    </row>
    <row r="43" spans="1:9" x14ac:dyDescent="0.15">
      <c r="A43" s="49"/>
      <c r="B43" s="50"/>
      <c r="C43" s="51"/>
      <c r="D43" s="51"/>
      <c r="E43" s="52"/>
      <c r="F43" s="51"/>
      <c r="G43" s="51"/>
      <c r="H43" s="53"/>
      <c r="I43" s="54"/>
    </row>
    <row r="44" spans="1:9" x14ac:dyDescent="0.15">
      <c r="A44" s="49"/>
      <c r="B44" s="50"/>
      <c r="C44" s="51"/>
      <c r="D44" s="51"/>
      <c r="E44" s="52"/>
      <c r="F44" s="51"/>
      <c r="G44" s="51"/>
      <c r="H44" s="53"/>
      <c r="I44" s="54"/>
    </row>
    <row r="45" spans="1:9" x14ac:dyDescent="0.15">
      <c r="A45" s="49"/>
      <c r="B45" s="50"/>
      <c r="C45" s="51"/>
      <c r="D45" s="51"/>
      <c r="E45" s="52"/>
      <c r="F45" s="51"/>
      <c r="G45" s="51"/>
      <c r="H45" s="53"/>
      <c r="I45" s="54"/>
    </row>
    <row r="46" spans="1:9" x14ac:dyDescent="0.15">
      <c r="A46" s="49"/>
      <c r="B46" s="50"/>
      <c r="C46" s="51"/>
      <c r="D46" s="51"/>
      <c r="E46" s="52"/>
      <c r="F46" s="51"/>
      <c r="G46" s="51"/>
      <c r="H46" s="53"/>
      <c r="I46" s="54"/>
    </row>
    <row r="47" spans="1:9" x14ac:dyDescent="0.15">
      <c r="A47" s="49"/>
      <c r="B47" s="50"/>
      <c r="C47" s="51"/>
      <c r="D47" s="51"/>
      <c r="E47" s="52"/>
      <c r="F47" s="51"/>
      <c r="G47" s="51"/>
      <c r="H47" s="53"/>
      <c r="I47" s="54"/>
    </row>
    <row r="48" spans="1:9" x14ac:dyDescent="0.15">
      <c r="A48" s="49"/>
      <c r="B48" s="50"/>
      <c r="C48" s="51"/>
      <c r="D48" s="51"/>
      <c r="E48" s="52"/>
      <c r="F48" s="51"/>
      <c r="G48" s="51"/>
      <c r="H48" s="53"/>
      <c r="I48" s="54"/>
    </row>
    <row r="49" spans="1:9" x14ac:dyDescent="0.15">
      <c r="A49" s="49"/>
      <c r="B49" s="50"/>
      <c r="C49" s="51"/>
      <c r="D49" s="51"/>
      <c r="E49" s="52"/>
      <c r="F49" s="51"/>
      <c r="G49" s="51"/>
      <c r="H49" s="53"/>
      <c r="I49" s="54"/>
    </row>
    <row r="50" spans="1:9" x14ac:dyDescent="0.15">
      <c r="A50" s="49"/>
      <c r="B50" s="50"/>
      <c r="C50" s="51"/>
      <c r="D50" s="51"/>
      <c r="E50" s="52"/>
      <c r="F50" s="51"/>
      <c r="G50" s="51"/>
      <c r="H50" s="53"/>
      <c r="I50" s="54"/>
    </row>
    <row r="51" spans="1:9" x14ac:dyDescent="0.15">
      <c r="A51" s="49"/>
      <c r="B51" s="50"/>
      <c r="C51" s="51"/>
      <c r="D51" s="51"/>
      <c r="E51" s="52"/>
      <c r="F51" s="51"/>
      <c r="G51" s="51"/>
      <c r="H51" s="53"/>
      <c r="I51" s="54"/>
    </row>
    <row r="52" spans="1:9" x14ac:dyDescent="0.15">
      <c r="A52" s="49"/>
      <c r="B52" s="50"/>
      <c r="C52" s="51"/>
      <c r="D52" s="51"/>
      <c r="E52" s="52"/>
      <c r="F52" s="51"/>
      <c r="G52" s="51"/>
      <c r="H52" s="53"/>
      <c r="I52" s="54"/>
    </row>
    <row r="53" spans="1:9" x14ac:dyDescent="0.15">
      <c r="A53" s="49"/>
      <c r="B53" s="50"/>
      <c r="C53" s="51"/>
      <c r="D53" s="51"/>
      <c r="E53" s="52"/>
      <c r="F53" s="51"/>
      <c r="G53" s="51"/>
      <c r="H53" s="53"/>
      <c r="I53" s="54"/>
    </row>
    <row r="54" spans="1:9" x14ac:dyDescent="0.15">
      <c r="A54" s="49"/>
      <c r="B54" s="50"/>
      <c r="C54" s="51"/>
      <c r="D54" s="51"/>
      <c r="E54" s="52"/>
      <c r="F54" s="51"/>
      <c r="G54" s="51"/>
      <c r="H54" s="53"/>
      <c r="I54" s="54"/>
    </row>
    <row r="55" spans="1:9" x14ac:dyDescent="0.15">
      <c r="A55" s="49"/>
      <c r="B55" s="50"/>
      <c r="C55" s="51"/>
      <c r="D55" s="51"/>
      <c r="E55" s="52"/>
      <c r="F55" s="51"/>
      <c r="G55" s="51"/>
      <c r="H55" s="53"/>
      <c r="I55" s="54"/>
    </row>
    <row r="56" spans="1:9" x14ac:dyDescent="0.15">
      <c r="A56" s="49"/>
      <c r="B56" s="50"/>
      <c r="C56" s="51"/>
      <c r="D56" s="51"/>
      <c r="E56" s="52"/>
      <c r="F56" s="51"/>
      <c r="G56" s="51"/>
      <c r="H56" s="53"/>
      <c r="I56" s="54"/>
    </row>
    <row r="57" spans="1:9" x14ac:dyDescent="0.15">
      <c r="A57" s="49"/>
      <c r="B57" s="50"/>
      <c r="C57" s="51"/>
      <c r="D57" s="51"/>
      <c r="E57" s="52"/>
      <c r="F57" s="51"/>
      <c r="G57" s="51"/>
      <c r="H57" s="53"/>
      <c r="I57" s="54"/>
    </row>
    <row r="58" spans="1:9" x14ac:dyDescent="0.15">
      <c r="A58" s="49"/>
      <c r="B58" s="50"/>
      <c r="C58" s="51"/>
      <c r="D58" s="51"/>
      <c r="E58" s="52"/>
      <c r="F58" s="51"/>
      <c r="G58" s="51"/>
      <c r="H58" s="53"/>
      <c r="I58" s="54"/>
    </row>
    <row r="59" spans="1:9" x14ac:dyDescent="0.15">
      <c r="A59" s="49"/>
      <c r="B59" s="50"/>
      <c r="C59" s="51"/>
      <c r="D59" s="51"/>
      <c r="E59" s="52"/>
      <c r="F59" s="51"/>
      <c r="G59" s="51"/>
      <c r="H59" s="53"/>
      <c r="I59" s="54"/>
    </row>
    <row r="60" spans="1:9" x14ac:dyDescent="0.15">
      <c r="A60" s="49"/>
      <c r="B60" s="50"/>
      <c r="C60" s="51"/>
      <c r="D60" s="51"/>
      <c r="E60" s="52"/>
      <c r="F60" s="51"/>
      <c r="G60" s="51"/>
      <c r="H60" s="53"/>
      <c r="I60" s="54"/>
    </row>
    <row r="61" spans="1:9" x14ac:dyDescent="0.15">
      <c r="A61" s="49"/>
      <c r="B61" s="50"/>
      <c r="C61" s="51"/>
      <c r="D61" s="51"/>
      <c r="E61" s="52"/>
      <c r="F61" s="51"/>
      <c r="G61" s="51"/>
      <c r="H61" s="53"/>
      <c r="I61" s="55"/>
    </row>
    <row r="62" spans="1:9" x14ac:dyDescent="0.15">
      <c r="A62" s="49"/>
      <c r="B62" s="50"/>
      <c r="C62" s="51"/>
      <c r="D62" s="51"/>
      <c r="E62" s="52"/>
      <c r="F62" s="51"/>
      <c r="G62" s="51"/>
      <c r="H62" s="53"/>
      <c r="I62" s="55"/>
    </row>
    <row r="63" spans="1:9" x14ac:dyDescent="0.15">
      <c r="A63" s="49"/>
      <c r="B63" s="50"/>
      <c r="C63" s="51"/>
      <c r="D63" s="51"/>
      <c r="E63" s="52"/>
      <c r="F63" s="51"/>
      <c r="G63" s="51"/>
      <c r="H63" s="53"/>
      <c r="I63" s="55"/>
    </row>
    <row r="64" spans="1:9" x14ac:dyDescent="0.15">
      <c r="A64" s="49"/>
      <c r="B64" s="50"/>
      <c r="C64" s="51"/>
      <c r="D64" s="51"/>
      <c r="E64" s="52"/>
      <c r="F64" s="51"/>
      <c r="G64" s="51"/>
      <c r="H64" s="53"/>
      <c r="I64" s="55"/>
    </row>
    <row r="65" spans="1:9" x14ac:dyDescent="0.15">
      <c r="A65" s="49"/>
      <c r="B65" s="50"/>
      <c r="C65" s="51"/>
      <c r="D65" s="51"/>
      <c r="E65" s="52"/>
      <c r="F65" s="51"/>
      <c r="G65" s="51"/>
      <c r="H65" s="53"/>
      <c r="I65" s="55"/>
    </row>
    <row r="66" spans="1:9" x14ac:dyDescent="0.15">
      <c r="A66" s="49"/>
      <c r="B66" s="50"/>
      <c r="C66" s="51"/>
      <c r="D66" s="51"/>
      <c r="E66" s="52"/>
      <c r="F66" s="51"/>
      <c r="G66" s="51"/>
      <c r="H66" s="53"/>
      <c r="I66" s="55"/>
    </row>
    <row r="67" spans="1:9" x14ac:dyDescent="0.15">
      <c r="A67" s="49"/>
      <c r="B67" s="50"/>
      <c r="C67" s="51"/>
      <c r="D67" s="51"/>
      <c r="E67" s="52"/>
      <c r="F67" s="51"/>
      <c r="G67" s="51"/>
      <c r="H67" s="53"/>
      <c r="I67" s="55"/>
    </row>
    <row r="68" spans="1:9" x14ac:dyDescent="0.15">
      <c r="A68" s="49"/>
      <c r="B68" s="50"/>
      <c r="C68" s="51"/>
      <c r="D68" s="51"/>
      <c r="E68" s="52"/>
      <c r="F68" s="51"/>
      <c r="G68" s="51"/>
      <c r="H68" s="53"/>
      <c r="I68" s="55"/>
    </row>
    <row r="69" spans="1:9" x14ac:dyDescent="0.15">
      <c r="A69" s="49"/>
      <c r="B69" s="50"/>
      <c r="C69" s="51"/>
      <c r="D69" s="51"/>
      <c r="E69" s="52"/>
      <c r="F69" s="51"/>
      <c r="G69" s="51"/>
      <c r="H69" s="53"/>
      <c r="I69" s="55"/>
    </row>
    <row r="70" spans="1:9" x14ac:dyDescent="0.15">
      <c r="A70" s="49"/>
      <c r="B70" s="50"/>
      <c r="C70" s="51"/>
      <c r="D70" s="51"/>
      <c r="E70" s="52"/>
      <c r="F70" s="51"/>
      <c r="G70" s="51"/>
      <c r="H70" s="53"/>
      <c r="I70" s="55"/>
    </row>
    <row r="71" spans="1:9" x14ac:dyDescent="0.15">
      <c r="A71" s="49"/>
      <c r="B71" s="50"/>
      <c r="C71" s="51"/>
      <c r="D71" s="51"/>
      <c r="E71" s="52"/>
      <c r="F71" s="51"/>
      <c r="G71" s="51"/>
      <c r="H71" s="53"/>
      <c r="I71" s="55"/>
    </row>
    <row r="72" spans="1:9" x14ac:dyDescent="0.15">
      <c r="A72" s="49"/>
      <c r="B72" s="50"/>
      <c r="C72" s="51"/>
      <c r="D72" s="51"/>
      <c r="E72" s="52"/>
      <c r="F72" s="51"/>
      <c r="G72" s="51"/>
      <c r="H72" s="53"/>
      <c r="I72" s="55"/>
    </row>
    <row r="73" spans="1:9" x14ac:dyDescent="0.15">
      <c r="A73" s="49"/>
      <c r="B73" s="50"/>
      <c r="C73" s="51"/>
      <c r="D73" s="51"/>
      <c r="E73" s="52"/>
      <c r="F73" s="51"/>
      <c r="G73" s="51"/>
      <c r="H73" s="53"/>
      <c r="I73" s="55"/>
    </row>
    <row r="74" spans="1:9" x14ac:dyDescent="0.15">
      <c r="A74" s="49"/>
      <c r="B74" s="50"/>
      <c r="C74" s="51"/>
      <c r="D74" s="51"/>
      <c r="E74" s="52"/>
      <c r="F74" s="51"/>
      <c r="G74" s="51"/>
      <c r="H74" s="53"/>
      <c r="I74" s="55"/>
    </row>
    <row r="75" spans="1:9" x14ac:dyDescent="0.15">
      <c r="A75" s="49"/>
      <c r="B75" s="50"/>
      <c r="C75" s="51"/>
      <c r="D75" s="51"/>
      <c r="E75" s="52"/>
      <c r="F75" s="51"/>
      <c r="G75" s="51"/>
      <c r="H75" s="53"/>
      <c r="I75" s="55"/>
    </row>
    <row r="76" spans="1:9" x14ac:dyDescent="0.15">
      <c r="A76" s="49"/>
      <c r="B76" s="50"/>
      <c r="C76" s="51"/>
      <c r="D76" s="51"/>
      <c r="E76" s="52"/>
      <c r="F76" s="51"/>
      <c r="G76" s="51"/>
      <c r="H76" s="53"/>
      <c r="I76" s="55"/>
    </row>
    <row r="77" spans="1:9" x14ac:dyDescent="0.15">
      <c r="A77" s="49"/>
      <c r="B77" s="50"/>
      <c r="C77" s="51"/>
      <c r="D77" s="51"/>
      <c r="E77" s="52"/>
      <c r="F77" s="51"/>
      <c r="G77" s="51"/>
      <c r="H77" s="53"/>
      <c r="I77" s="55"/>
    </row>
    <row r="78" spans="1:9" x14ac:dyDescent="0.15">
      <c r="A78" s="49"/>
      <c r="B78" s="50"/>
      <c r="C78" s="51"/>
      <c r="D78" s="51"/>
      <c r="E78" s="52"/>
      <c r="F78" s="51"/>
      <c r="G78" s="51"/>
      <c r="H78" s="53"/>
      <c r="I78" s="55"/>
    </row>
    <row r="79" spans="1:9" x14ac:dyDescent="0.15">
      <c r="A79" s="49"/>
      <c r="B79" s="50"/>
      <c r="C79" s="51"/>
      <c r="D79" s="51"/>
      <c r="E79" s="52"/>
      <c r="F79" s="51"/>
      <c r="G79" s="51"/>
      <c r="H79" s="53"/>
      <c r="I79" s="55"/>
    </row>
    <row r="80" spans="1:9" x14ac:dyDescent="0.15">
      <c r="A80" s="49"/>
      <c r="B80" s="50"/>
      <c r="C80" s="51"/>
      <c r="D80" s="51"/>
      <c r="E80" s="52"/>
      <c r="F80" s="51"/>
      <c r="G80" s="51"/>
      <c r="H80" s="53"/>
      <c r="I80" s="55"/>
    </row>
    <row r="81" spans="1:9" x14ac:dyDescent="0.15">
      <c r="A81" s="49"/>
      <c r="B81" s="50"/>
      <c r="C81" s="51"/>
      <c r="D81" s="51"/>
      <c r="E81" s="52"/>
      <c r="F81" s="51"/>
      <c r="G81" s="51"/>
      <c r="H81" s="53"/>
      <c r="I81" s="55"/>
    </row>
    <row r="82" spans="1:9" x14ac:dyDescent="0.15">
      <c r="A82" s="49"/>
      <c r="B82" s="50"/>
      <c r="C82" s="51"/>
      <c r="D82" s="51"/>
      <c r="E82" s="52"/>
      <c r="F82" s="51"/>
      <c r="G82" s="51"/>
      <c r="H82" s="53"/>
      <c r="I82" s="55"/>
    </row>
    <row r="83" spans="1:9" x14ac:dyDescent="0.15">
      <c r="A83" s="49"/>
      <c r="B83" s="50"/>
      <c r="C83" s="51"/>
      <c r="D83" s="51"/>
      <c r="E83" s="52"/>
      <c r="F83" s="51"/>
      <c r="G83" s="51"/>
      <c r="H83" s="53"/>
      <c r="I83" s="55"/>
    </row>
    <row r="84" spans="1:9" x14ac:dyDescent="0.15">
      <c r="A84" s="49"/>
      <c r="B84" s="50"/>
      <c r="C84" s="51"/>
      <c r="D84" s="51"/>
      <c r="E84" s="52"/>
      <c r="F84" s="51"/>
      <c r="G84" s="51"/>
      <c r="H84" s="53"/>
      <c r="I84" s="55"/>
    </row>
    <row r="85" spans="1:9" x14ac:dyDescent="0.15">
      <c r="A85" s="49"/>
      <c r="B85" s="50"/>
      <c r="C85" s="51"/>
      <c r="D85" s="51"/>
      <c r="E85" s="52"/>
      <c r="F85" s="51"/>
      <c r="G85" s="51"/>
      <c r="H85" s="53"/>
      <c r="I85" s="55"/>
    </row>
    <row r="86" spans="1:9" x14ac:dyDescent="0.15">
      <c r="A86" s="49"/>
      <c r="B86" s="50"/>
      <c r="C86" s="51"/>
      <c r="D86" s="51"/>
      <c r="E86" s="52"/>
      <c r="F86" s="51"/>
      <c r="G86" s="51"/>
      <c r="H86" s="53"/>
      <c r="I86" s="55"/>
    </row>
    <row r="87" spans="1:9" x14ac:dyDescent="0.15">
      <c r="A87" s="49"/>
      <c r="B87" s="50"/>
      <c r="C87" s="51"/>
      <c r="D87" s="51"/>
      <c r="E87" s="52"/>
      <c r="F87" s="51"/>
      <c r="G87" s="51"/>
      <c r="H87" s="53"/>
      <c r="I87" s="55"/>
    </row>
    <row r="88" spans="1:9" x14ac:dyDescent="0.15">
      <c r="A88" s="49"/>
      <c r="B88" s="50"/>
      <c r="C88" s="51"/>
      <c r="D88" s="51"/>
      <c r="E88" s="52"/>
      <c r="F88" s="51"/>
      <c r="G88" s="51"/>
      <c r="H88" s="53"/>
      <c r="I88" s="55"/>
    </row>
    <row r="89" spans="1:9" x14ac:dyDescent="0.15">
      <c r="A89" s="49"/>
      <c r="B89" s="50"/>
      <c r="C89" s="51"/>
      <c r="D89" s="51"/>
      <c r="E89" s="52"/>
      <c r="F89" s="51"/>
      <c r="G89" s="51"/>
      <c r="H89" s="53"/>
      <c r="I89" s="55"/>
    </row>
    <row r="90" spans="1:9" x14ac:dyDescent="0.15">
      <c r="A90" s="49"/>
      <c r="B90" s="50"/>
      <c r="C90" s="51"/>
      <c r="D90" s="51"/>
      <c r="E90" s="52"/>
      <c r="F90" s="51"/>
      <c r="G90" s="51"/>
      <c r="H90" s="53"/>
      <c r="I90" s="55"/>
    </row>
    <row r="91" spans="1:9" x14ac:dyDescent="0.15">
      <c r="A91" s="49"/>
      <c r="B91" s="50"/>
      <c r="C91" s="51"/>
      <c r="D91" s="51"/>
      <c r="E91" s="52"/>
      <c r="F91" s="51"/>
      <c r="G91" s="51"/>
      <c r="H91" s="53"/>
      <c r="I91" s="55"/>
    </row>
    <row r="92" spans="1:9" x14ac:dyDescent="0.15">
      <c r="A92" s="49"/>
      <c r="B92" s="50"/>
      <c r="C92" s="51"/>
      <c r="D92" s="51"/>
      <c r="E92" s="52"/>
      <c r="F92" s="51"/>
      <c r="G92" s="51"/>
      <c r="H92" s="53"/>
      <c r="I92" s="55"/>
    </row>
    <row r="93" spans="1:9" x14ac:dyDescent="0.15">
      <c r="A93" s="49"/>
      <c r="B93" s="50"/>
      <c r="C93" s="51"/>
      <c r="D93" s="51"/>
      <c r="E93" s="52"/>
      <c r="F93" s="51"/>
      <c r="G93" s="51"/>
      <c r="H93" s="53"/>
      <c r="I93" s="55"/>
    </row>
    <row r="94" spans="1:9" x14ac:dyDescent="0.15">
      <c r="A94" s="49"/>
      <c r="B94" s="50"/>
      <c r="C94" s="51"/>
      <c r="D94" s="51"/>
      <c r="E94" s="52"/>
      <c r="F94" s="51"/>
      <c r="G94" s="51"/>
      <c r="H94" s="53"/>
      <c r="I94" s="55"/>
    </row>
    <row r="95" spans="1:9" x14ac:dyDescent="0.15">
      <c r="A95" s="49"/>
      <c r="B95" s="50"/>
      <c r="C95" s="51"/>
      <c r="D95" s="51"/>
      <c r="E95" s="52"/>
      <c r="F95" s="51"/>
      <c r="G95" s="51"/>
      <c r="H95" s="53"/>
      <c r="I95" s="54"/>
    </row>
    <row r="96" spans="1:9" x14ac:dyDescent="0.15">
      <c r="A96" s="49"/>
      <c r="B96" s="50"/>
      <c r="C96" s="51"/>
      <c r="D96" s="51"/>
      <c r="E96" s="52"/>
      <c r="F96" s="51"/>
      <c r="G96" s="51"/>
      <c r="H96" s="53"/>
      <c r="I96" s="54"/>
    </row>
    <row r="97" spans="1:9" x14ac:dyDescent="0.15">
      <c r="A97" s="49"/>
      <c r="B97" s="50"/>
      <c r="C97" s="51"/>
      <c r="D97" s="51"/>
      <c r="E97" s="52"/>
      <c r="F97" s="51"/>
      <c r="G97" s="51"/>
      <c r="H97" s="53"/>
      <c r="I97" s="54"/>
    </row>
    <row r="98" spans="1:9" x14ac:dyDescent="0.15">
      <c r="A98" s="49"/>
      <c r="B98" s="50"/>
      <c r="C98" s="51"/>
      <c r="D98" s="51"/>
      <c r="E98" s="52"/>
      <c r="F98" s="51"/>
      <c r="G98" s="51"/>
      <c r="H98" s="53"/>
      <c r="I98" s="54"/>
    </row>
    <row r="99" spans="1:9" x14ac:dyDescent="0.15">
      <c r="A99" s="49"/>
      <c r="B99" s="50"/>
      <c r="C99" s="51"/>
      <c r="D99" s="51"/>
      <c r="E99" s="52"/>
      <c r="F99" s="51"/>
      <c r="G99" s="51"/>
      <c r="H99" s="53"/>
      <c r="I99" s="54"/>
    </row>
    <row r="100" spans="1:9" x14ac:dyDescent="0.15">
      <c r="A100" s="49"/>
      <c r="B100" s="50"/>
      <c r="C100" s="51"/>
      <c r="D100" s="51"/>
      <c r="E100" s="52"/>
      <c r="F100" s="51"/>
      <c r="G100" s="51"/>
      <c r="H100" s="53"/>
      <c r="I100" s="54"/>
    </row>
    <row r="101" spans="1:9" x14ac:dyDescent="0.15">
      <c r="A101" s="49"/>
      <c r="B101" s="50"/>
      <c r="C101" s="51"/>
      <c r="D101" s="51"/>
      <c r="E101" s="52"/>
      <c r="F101" s="51"/>
      <c r="G101" s="51"/>
      <c r="H101" s="53"/>
      <c r="I101" s="54"/>
    </row>
    <row r="102" spans="1:9" x14ac:dyDescent="0.15">
      <c r="A102" s="49"/>
      <c r="B102" s="50"/>
      <c r="C102" s="51"/>
      <c r="D102" s="51"/>
      <c r="E102" s="52"/>
      <c r="F102" s="51"/>
      <c r="G102" s="51"/>
      <c r="H102" s="53"/>
      <c r="I102" s="54"/>
    </row>
    <row r="103" spans="1:9" x14ac:dyDescent="0.15">
      <c r="A103" s="49"/>
      <c r="B103" s="50"/>
      <c r="C103" s="51"/>
      <c r="D103" s="51"/>
      <c r="E103" s="52"/>
      <c r="F103" s="51"/>
      <c r="G103" s="51"/>
      <c r="H103" s="53"/>
      <c r="I103" s="54"/>
    </row>
    <row r="104" spans="1:9" x14ac:dyDescent="0.15">
      <c r="A104" s="49"/>
      <c r="B104" s="50"/>
      <c r="C104" s="51"/>
      <c r="D104" s="51"/>
      <c r="E104" s="52"/>
      <c r="F104" s="51"/>
      <c r="G104" s="51"/>
      <c r="H104" s="53"/>
      <c r="I104" s="54"/>
    </row>
    <row r="105" spans="1:9" x14ac:dyDescent="0.15">
      <c r="A105" s="49"/>
      <c r="B105" s="50"/>
      <c r="C105" s="51"/>
      <c r="D105" s="51"/>
      <c r="E105" s="52"/>
      <c r="F105" s="51"/>
      <c r="G105" s="51"/>
      <c r="H105" s="53"/>
      <c r="I105" s="54"/>
    </row>
    <row r="106" spans="1:9" x14ac:dyDescent="0.15">
      <c r="A106" s="49"/>
      <c r="B106" s="50"/>
      <c r="C106" s="51"/>
      <c r="D106" s="51"/>
      <c r="E106" s="52"/>
      <c r="F106" s="51"/>
      <c r="G106" s="51"/>
      <c r="H106" s="53"/>
      <c r="I106" s="54"/>
    </row>
    <row r="107" spans="1:9" x14ac:dyDescent="0.15">
      <c r="A107" s="49"/>
      <c r="B107" s="50"/>
      <c r="C107" s="51"/>
      <c r="D107" s="51"/>
      <c r="E107" s="52"/>
      <c r="F107" s="51"/>
      <c r="G107" s="51"/>
      <c r="H107" s="53"/>
      <c r="I107" s="54"/>
    </row>
    <row r="108" spans="1:9" x14ac:dyDescent="0.15">
      <c r="A108" s="49"/>
      <c r="B108" s="50"/>
      <c r="C108" s="51"/>
      <c r="D108" s="51"/>
      <c r="E108" s="52"/>
      <c r="F108" s="51"/>
      <c r="G108" s="51"/>
      <c r="H108" s="53"/>
      <c r="I108" s="54"/>
    </row>
    <row r="109" spans="1:9" x14ac:dyDescent="0.15">
      <c r="A109" s="49"/>
      <c r="B109" s="50"/>
      <c r="C109" s="51"/>
      <c r="D109" s="51"/>
      <c r="E109" s="52"/>
      <c r="F109" s="51"/>
      <c r="G109" s="51"/>
      <c r="H109" s="53"/>
      <c r="I109" s="54"/>
    </row>
    <row r="110" spans="1:9" x14ac:dyDescent="0.15">
      <c r="A110" s="49"/>
      <c r="B110" s="50"/>
      <c r="C110" s="51"/>
      <c r="D110" s="51"/>
      <c r="E110" s="52"/>
      <c r="F110" s="51"/>
      <c r="G110" s="51"/>
      <c r="H110" s="53"/>
      <c r="I110" s="54"/>
    </row>
    <row r="111" spans="1:9" x14ac:dyDescent="0.15">
      <c r="A111" s="49"/>
      <c r="B111" s="50"/>
      <c r="C111" s="51"/>
      <c r="D111" s="51"/>
      <c r="E111" s="52"/>
      <c r="F111" s="51"/>
      <c r="G111" s="51"/>
      <c r="H111" s="53"/>
      <c r="I111" s="54"/>
    </row>
    <row r="112" spans="1:9" x14ac:dyDescent="0.15">
      <c r="A112" s="49"/>
      <c r="B112" s="50"/>
      <c r="C112" s="51"/>
      <c r="D112" s="51"/>
      <c r="E112" s="52"/>
      <c r="F112" s="51"/>
      <c r="G112" s="51"/>
      <c r="H112" s="53"/>
      <c r="I112" s="54"/>
    </row>
    <row r="113" spans="1:9" x14ac:dyDescent="0.15">
      <c r="A113" s="49"/>
      <c r="B113" s="50"/>
      <c r="C113" s="51"/>
      <c r="D113" s="51"/>
      <c r="E113" s="52"/>
      <c r="F113" s="51"/>
      <c r="G113" s="51"/>
      <c r="H113" s="53"/>
      <c r="I113" s="54"/>
    </row>
    <row r="114" spans="1:9" x14ac:dyDescent="0.15">
      <c r="A114" s="49"/>
      <c r="B114" s="50"/>
      <c r="C114" s="51"/>
      <c r="D114" s="51"/>
      <c r="E114" s="52"/>
      <c r="F114" s="51"/>
      <c r="G114" s="51"/>
      <c r="H114" s="53"/>
      <c r="I114" s="54"/>
    </row>
    <row r="115" spans="1:9" x14ac:dyDescent="0.15">
      <c r="A115" s="49"/>
      <c r="B115" s="50"/>
      <c r="C115" s="51"/>
      <c r="D115" s="51"/>
      <c r="E115" s="52"/>
      <c r="F115" s="51"/>
      <c r="G115" s="51"/>
      <c r="H115" s="53"/>
      <c r="I115" s="54"/>
    </row>
    <row r="116" spans="1:9" x14ac:dyDescent="0.15">
      <c r="A116" s="49"/>
      <c r="B116" s="50"/>
      <c r="C116" s="51"/>
      <c r="D116" s="51"/>
      <c r="E116" s="52"/>
      <c r="F116" s="51"/>
      <c r="G116" s="51"/>
      <c r="H116" s="53"/>
      <c r="I116" s="54"/>
    </row>
    <row r="117" spans="1:9" x14ac:dyDescent="0.15">
      <c r="A117" s="49"/>
      <c r="B117" s="50"/>
      <c r="C117" s="51"/>
      <c r="D117" s="51"/>
      <c r="E117" s="52"/>
      <c r="F117" s="51"/>
      <c r="G117" s="51"/>
      <c r="H117" s="53"/>
      <c r="I117" s="54"/>
    </row>
    <row r="118" spans="1:9" x14ac:dyDescent="0.15">
      <c r="A118" s="49"/>
      <c r="B118" s="50"/>
      <c r="C118" s="51"/>
      <c r="D118" s="51"/>
      <c r="E118" s="52"/>
      <c r="F118" s="51"/>
      <c r="G118" s="51"/>
      <c r="H118" s="53"/>
      <c r="I118" s="54"/>
    </row>
    <row r="119" spans="1:9" x14ac:dyDescent="0.15">
      <c r="A119" s="49"/>
      <c r="B119" s="50"/>
      <c r="C119" s="51"/>
      <c r="D119" s="51"/>
      <c r="E119" s="52"/>
      <c r="F119" s="51"/>
      <c r="G119" s="51"/>
      <c r="H119" s="53"/>
      <c r="I119" s="54"/>
    </row>
    <row r="120" spans="1:9" x14ac:dyDescent="0.15">
      <c r="A120" s="49"/>
      <c r="B120" s="50"/>
      <c r="C120" s="51"/>
      <c r="D120" s="51"/>
      <c r="E120" s="52"/>
      <c r="F120" s="51"/>
      <c r="G120" s="51"/>
      <c r="H120" s="53"/>
      <c r="I120" s="54"/>
    </row>
    <row r="121" spans="1:9" x14ac:dyDescent="0.15">
      <c r="A121" s="49"/>
      <c r="B121" s="50"/>
      <c r="C121" s="51"/>
      <c r="D121" s="51"/>
      <c r="E121" s="52"/>
      <c r="F121" s="51"/>
      <c r="G121" s="51"/>
      <c r="H121" s="53"/>
      <c r="I121" s="54"/>
    </row>
    <row r="122" spans="1:9" x14ac:dyDescent="0.15">
      <c r="A122" s="49"/>
      <c r="B122" s="50"/>
      <c r="C122" s="51"/>
      <c r="D122" s="51"/>
      <c r="E122" s="52"/>
      <c r="F122" s="51"/>
      <c r="G122" s="51"/>
      <c r="H122" s="53"/>
      <c r="I122" s="54"/>
    </row>
    <row r="123" spans="1:9" x14ac:dyDescent="0.15">
      <c r="A123" s="49"/>
      <c r="B123" s="50"/>
      <c r="C123" s="51"/>
      <c r="D123" s="51"/>
      <c r="E123" s="52"/>
      <c r="F123" s="51"/>
      <c r="G123" s="51"/>
      <c r="H123" s="53"/>
      <c r="I123" s="54"/>
    </row>
    <row r="124" spans="1:9" x14ac:dyDescent="0.15">
      <c r="A124" s="49"/>
      <c r="B124" s="50"/>
      <c r="C124" s="51"/>
      <c r="D124" s="51"/>
      <c r="E124" s="52"/>
      <c r="F124" s="51"/>
      <c r="G124" s="51"/>
      <c r="H124" s="53"/>
      <c r="I124" s="54"/>
    </row>
    <row r="125" spans="1:9" x14ac:dyDescent="0.15">
      <c r="A125" s="49"/>
      <c r="B125" s="50"/>
      <c r="C125" s="51"/>
      <c r="D125" s="51"/>
      <c r="E125" s="52"/>
      <c r="F125" s="51"/>
      <c r="G125" s="51"/>
      <c r="H125" s="53"/>
      <c r="I125" s="54"/>
    </row>
    <row r="126" spans="1:9" x14ac:dyDescent="0.15">
      <c r="A126" s="49"/>
      <c r="B126" s="50"/>
      <c r="C126" s="51"/>
      <c r="D126" s="51"/>
      <c r="E126" s="52"/>
      <c r="F126" s="51"/>
      <c r="G126" s="51"/>
      <c r="H126" s="53"/>
      <c r="I126" s="54"/>
    </row>
    <row r="127" spans="1:9" x14ac:dyDescent="0.15">
      <c r="A127" s="49"/>
      <c r="B127" s="50"/>
      <c r="C127" s="51"/>
      <c r="D127" s="51"/>
      <c r="E127" s="52"/>
      <c r="F127" s="51"/>
      <c r="G127" s="51"/>
      <c r="H127" s="53"/>
      <c r="I127" s="54"/>
    </row>
    <row r="128" spans="1:9" x14ac:dyDescent="0.15">
      <c r="A128" s="49"/>
      <c r="B128" s="50"/>
      <c r="C128" s="51"/>
      <c r="D128" s="51"/>
      <c r="E128" s="52"/>
      <c r="F128" s="51"/>
      <c r="G128" s="51"/>
      <c r="H128" s="53"/>
      <c r="I128" s="54"/>
    </row>
    <row r="129" spans="1:9" x14ac:dyDescent="0.15">
      <c r="A129" s="49"/>
      <c r="B129" s="50"/>
      <c r="C129" s="51"/>
      <c r="D129" s="51"/>
      <c r="E129" s="52"/>
      <c r="F129" s="51"/>
      <c r="G129" s="51"/>
      <c r="H129" s="53"/>
      <c r="I129" s="54"/>
    </row>
    <row r="130" spans="1:9" x14ac:dyDescent="0.15">
      <c r="A130" s="49"/>
      <c r="B130" s="50"/>
      <c r="C130" s="51"/>
      <c r="D130" s="51"/>
      <c r="E130" s="52"/>
      <c r="F130" s="51"/>
      <c r="G130" s="51"/>
      <c r="H130" s="53"/>
      <c r="I130" s="54"/>
    </row>
    <row r="131" spans="1:9" x14ac:dyDescent="0.15">
      <c r="A131" s="49"/>
      <c r="B131" s="50"/>
      <c r="C131" s="51"/>
      <c r="D131" s="51"/>
      <c r="E131" s="52"/>
      <c r="F131" s="51"/>
      <c r="G131" s="51"/>
      <c r="H131" s="53"/>
      <c r="I131" s="54"/>
    </row>
    <row r="132" spans="1:9" x14ac:dyDescent="0.15">
      <c r="A132" s="49"/>
      <c r="B132" s="50"/>
      <c r="C132" s="51"/>
      <c r="D132" s="51"/>
      <c r="E132" s="52"/>
      <c r="F132" s="51"/>
      <c r="G132" s="51"/>
      <c r="H132" s="53"/>
      <c r="I132" s="54"/>
    </row>
    <row r="133" spans="1:9" x14ac:dyDescent="0.15">
      <c r="A133" s="49"/>
      <c r="B133" s="50"/>
      <c r="C133" s="51"/>
      <c r="D133" s="51"/>
      <c r="E133" s="52"/>
      <c r="F133" s="51"/>
      <c r="G133" s="51"/>
      <c r="H133" s="53"/>
      <c r="I133" s="54"/>
    </row>
    <row r="134" spans="1:9" x14ac:dyDescent="0.15">
      <c r="A134" s="49"/>
      <c r="B134" s="50"/>
      <c r="C134" s="51"/>
      <c r="D134" s="51"/>
      <c r="E134" s="52"/>
      <c r="F134" s="51"/>
      <c r="G134" s="51"/>
      <c r="H134" s="53"/>
      <c r="I134" s="54"/>
    </row>
    <row r="135" spans="1:9" x14ac:dyDescent="0.15">
      <c r="A135" s="49"/>
      <c r="B135" s="50"/>
      <c r="C135" s="51"/>
      <c r="D135" s="51"/>
      <c r="E135" s="52"/>
      <c r="F135" s="51"/>
      <c r="G135" s="51"/>
      <c r="H135" s="53"/>
      <c r="I135" s="54"/>
    </row>
    <row r="136" spans="1:9" x14ac:dyDescent="0.15">
      <c r="A136" s="49"/>
      <c r="B136" s="54"/>
      <c r="C136" s="54"/>
      <c r="D136" s="54"/>
      <c r="E136" s="54"/>
      <c r="F136" s="54"/>
      <c r="G136" s="54"/>
      <c r="H136" s="54"/>
      <c r="I136" s="54"/>
    </row>
    <row r="137" spans="1:9" x14ac:dyDescent="0.15">
      <c r="A137" s="49"/>
      <c r="B137" s="54"/>
      <c r="C137" s="54"/>
      <c r="D137" s="54"/>
      <c r="E137" s="54"/>
      <c r="F137" s="54"/>
      <c r="G137" s="54"/>
      <c r="H137" s="54"/>
      <c r="I137" s="54"/>
    </row>
    <row r="138" spans="1:9" x14ac:dyDescent="0.15">
      <c r="A138" s="49"/>
      <c r="B138" s="54"/>
      <c r="C138" s="54"/>
      <c r="D138" s="54"/>
      <c r="E138" s="54"/>
      <c r="F138" s="54"/>
      <c r="G138" s="54"/>
      <c r="H138" s="54"/>
      <c r="I138" s="54"/>
    </row>
    <row r="139" spans="1:9" x14ac:dyDescent="0.15">
      <c r="A139" s="49"/>
      <c r="B139" s="54"/>
      <c r="C139" s="54"/>
      <c r="D139" s="54"/>
      <c r="E139" s="54"/>
      <c r="F139" s="54"/>
      <c r="G139" s="54"/>
      <c r="H139" s="54"/>
      <c r="I139" s="54"/>
    </row>
    <row r="140" spans="1:9" x14ac:dyDescent="0.15">
      <c r="A140" s="49"/>
      <c r="B140" s="54"/>
      <c r="C140" s="54"/>
      <c r="D140" s="54"/>
      <c r="E140" s="54"/>
      <c r="F140" s="54"/>
      <c r="G140" s="54"/>
      <c r="H140" s="54"/>
      <c r="I140" s="54"/>
    </row>
  </sheetData>
  <phoneticPr fontId="5"/>
  <dataValidations count="1">
    <dataValidation type="list" allowBlank="1" showInputMessage="1" showErrorMessage="1" sqref="A2:A13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stage_bug_bonuses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2016-07-05T17:39:13Z</dcterms:modified>
</cp:coreProperties>
</file>