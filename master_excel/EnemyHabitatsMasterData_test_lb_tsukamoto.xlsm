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5980" yWindow="440" windowWidth="29840" windowHeight="205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1" l="1"/>
  <c r="O30" i="9"/>
  <c r="N30" i="9"/>
  <c r="M30" i="9"/>
  <c r="L30" i="9"/>
  <c r="K30" i="9"/>
  <c r="J30" i="9"/>
  <c r="I30" i="9"/>
  <c r="H30" i="9"/>
  <c r="G30" i="9"/>
  <c r="E30" i="9"/>
  <c r="D30" i="9"/>
  <c r="A30" i="9"/>
  <c r="J37" i="11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A28" i="9"/>
  <c r="D28" i="9"/>
  <c r="E28" i="9"/>
  <c r="G28" i="9"/>
  <c r="H28" i="9"/>
  <c r="I28" i="9"/>
  <c r="J28" i="9"/>
  <c r="K28" i="9"/>
  <c r="L28" i="9"/>
  <c r="M28" i="9"/>
  <c r="N28" i="9"/>
  <c r="J28" i="11"/>
  <c r="O28" i="9"/>
  <c r="A29" i="9"/>
  <c r="D29" i="9"/>
  <c r="E29" i="9"/>
  <c r="G29" i="9"/>
  <c r="H29" i="9"/>
  <c r="I29" i="9"/>
  <c r="J29" i="9"/>
  <c r="K29" i="9"/>
  <c r="L29" i="9"/>
  <c r="M29" i="9"/>
  <c r="N29" i="9"/>
  <c r="J29" i="11"/>
  <c r="O29" i="9"/>
  <c r="A31" i="9"/>
  <c r="D31" i="9"/>
  <c r="E31" i="9"/>
  <c r="G31" i="9"/>
  <c r="H31" i="9"/>
  <c r="I31" i="9"/>
  <c r="J31" i="9"/>
  <c r="K31" i="9"/>
  <c r="L31" i="9"/>
  <c r="M31" i="9"/>
  <c r="N31" i="9"/>
  <c r="J31" i="11"/>
  <c r="O31" i="9"/>
  <c r="A32" i="9"/>
  <c r="D32" i="9"/>
  <c r="E32" i="9"/>
  <c r="G32" i="9"/>
  <c r="H32" i="9"/>
  <c r="I32" i="9"/>
  <c r="J32" i="9"/>
  <c r="K32" i="9"/>
  <c r="L32" i="9"/>
  <c r="M32" i="9"/>
  <c r="N32" i="9"/>
  <c r="J32" i="11"/>
  <c r="O32" i="9"/>
  <c r="A33" i="9"/>
  <c r="D33" i="9"/>
  <c r="E33" i="9"/>
  <c r="G33" i="9"/>
  <c r="H33" i="9"/>
  <c r="I33" i="9"/>
  <c r="J33" i="9"/>
  <c r="K33" i="9"/>
  <c r="L33" i="9"/>
  <c r="M33" i="9"/>
  <c r="N33" i="9"/>
  <c r="J33" i="11"/>
  <c r="O33" i="9"/>
  <c r="A34" i="9"/>
  <c r="D34" i="9"/>
  <c r="E34" i="9"/>
  <c r="G34" i="9"/>
  <c r="H34" i="9"/>
  <c r="I34" i="9"/>
  <c r="J34" i="9"/>
  <c r="K34" i="9"/>
  <c r="L34" i="9"/>
  <c r="M34" i="9"/>
  <c r="N34" i="9"/>
  <c r="J34" i="11"/>
  <c r="O34" i="9"/>
  <c r="A35" i="9"/>
  <c r="D35" i="9"/>
  <c r="E35" i="9"/>
  <c r="G35" i="9"/>
  <c r="H35" i="9"/>
  <c r="I35" i="9"/>
  <c r="J35" i="9"/>
  <c r="K35" i="9"/>
  <c r="L35" i="9"/>
  <c r="M35" i="9"/>
  <c r="N35" i="9"/>
  <c r="J35" i="11"/>
  <c r="O35" i="9"/>
  <c r="A36" i="9"/>
  <c r="D36" i="9"/>
  <c r="E36" i="9"/>
  <c r="G36" i="9"/>
  <c r="H36" i="9"/>
  <c r="I36" i="9"/>
  <c r="J36" i="9"/>
  <c r="K36" i="9"/>
  <c r="L36" i="9"/>
  <c r="M36" i="9"/>
  <c r="N36" i="9"/>
  <c r="J36" i="11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15" i="11"/>
  <c r="M18" i="10"/>
  <c r="T18" i="10"/>
  <c r="W18" i="10"/>
  <c r="V18" i="10"/>
  <c r="X18" i="10"/>
  <c r="U18" i="10"/>
  <c r="Y18" i="10"/>
  <c r="M32" i="10"/>
  <c r="N32" i="10"/>
  <c r="Q32" i="10"/>
  <c r="P32" i="10"/>
  <c r="R32" i="10"/>
  <c r="O32" i="10"/>
  <c r="S32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O15" i="9"/>
  <c r="N15" i="9"/>
  <c r="M15" i="9"/>
  <c r="L15" i="9"/>
  <c r="K15" i="9"/>
  <c r="J15" i="9"/>
  <c r="I15" i="9"/>
  <c r="H15" i="9"/>
  <c r="G15" i="9"/>
  <c r="E15" i="9"/>
  <c r="D15" i="9"/>
  <c r="A15" i="9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12" i="1"/>
  <c r="D12" i="1"/>
  <c r="E12" i="1"/>
  <c r="F12" i="1"/>
  <c r="H12" i="1"/>
  <c r="I12" i="1"/>
  <c r="J12" i="1"/>
  <c r="M12" i="1"/>
  <c r="N12" i="1"/>
  <c r="O12" i="1"/>
  <c r="P12" i="1"/>
  <c r="Q12" i="1"/>
  <c r="T12" i="1"/>
  <c r="V12" i="1"/>
  <c r="X12" i="1"/>
  <c r="AE12" i="1"/>
  <c r="AF12" i="1"/>
  <c r="AG12" i="1"/>
  <c r="AG11" i="1"/>
  <c r="AF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E10" i="1"/>
  <c r="AF10" i="1"/>
  <c r="AG10" i="1"/>
  <c r="AG9" i="1"/>
  <c r="AF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G8" i="1"/>
  <c r="AF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G7" i="1"/>
  <c r="AF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G6" i="1"/>
  <c r="AF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H2" i="1"/>
  <c r="H3" i="1"/>
  <c r="H4" i="1"/>
  <c r="H5" i="1"/>
  <c r="B8" i="2"/>
  <c r="D8" i="2"/>
  <c r="E8" i="2"/>
  <c r="H8" i="2"/>
  <c r="H7" i="2"/>
  <c r="E7" i="2"/>
  <c r="D7" i="2"/>
  <c r="B7" i="2"/>
  <c r="H6" i="2"/>
  <c r="E6" i="2"/>
  <c r="D6" i="2"/>
  <c r="B6" i="2"/>
  <c r="H5" i="2"/>
  <c r="E5" i="2"/>
  <c r="D5" i="2"/>
  <c r="B5" i="2"/>
  <c r="E10" i="9"/>
  <c r="Y3" i="7"/>
  <c r="E13" i="9"/>
  <c r="Y4" i="7"/>
  <c r="E5" i="9"/>
  <c r="Y2" i="7"/>
  <c r="E2" i="9"/>
  <c r="X2" i="1"/>
  <c r="E3" i="9"/>
  <c r="X3" i="1"/>
  <c r="E4" i="9"/>
  <c r="X4" i="1"/>
  <c r="E7" i="9"/>
  <c r="X5" i="1"/>
  <c r="H2" i="2"/>
  <c r="F2" i="22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3" i="21"/>
  <c r="D3" i="21"/>
  <c r="F3" i="21"/>
  <c r="G3" i="21"/>
  <c r="I3" i="21"/>
  <c r="J3" i="21"/>
  <c r="C4" i="21"/>
  <c r="D4" i="21"/>
  <c r="F4" i="21"/>
  <c r="G4" i="21"/>
  <c r="I4" i="21"/>
  <c r="J4" i="21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9" i="11"/>
  <c r="J6" i="11"/>
  <c r="J10" i="11"/>
  <c r="J11" i="11"/>
  <c r="J8" i="11"/>
  <c r="J7" i="11"/>
  <c r="J5" i="11"/>
  <c r="J4" i="11"/>
  <c r="A3" i="9"/>
  <c r="D3" i="9"/>
  <c r="G3" i="9"/>
  <c r="H3" i="9"/>
  <c r="I3" i="9"/>
  <c r="J3" i="9"/>
  <c r="K3" i="9"/>
  <c r="L3" i="9"/>
  <c r="M3" i="9"/>
  <c r="N3" i="9"/>
  <c r="J3" i="11"/>
  <c r="O3" i="9"/>
  <c r="A4" i="9"/>
  <c r="D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3" i="1"/>
  <c r="D3" i="1"/>
  <c r="E3" i="1"/>
  <c r="F3" i="1"/>
  <c r="I3" i="1"/>
  <c r="J3" i="1"/>
  <c r="M3" i="1"/>
  <c r="N3" i="1"/>
  <c r="O3" i="1"/>
  <c r="P3" i="1"/>
  <c r="Q3" i="1"/>
  <c r="T3" i="1"/>
  <c r="V3" i="1"/>
  <c r="AE3" i="1"/>
  <c r="AF3" i="1"/>
  <c r="AG3" i="1"/>
  <c r="A4" i="1"/>
  <c r="D4" i="1"/>
  <c r="E4" i="1"/>
  <c r="F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5" i="1"/>
  <c r="D5" i="1"/>
  <c r="E5" i="1"/>
  <c r="F5" i="1"/>
  <c r="I5" i="1"/>
  <c r="J5" i="1"/>
  <c r="M5" i="1"/>
  <c r="N5" i="1"/>
  <c r="O5" i="1"/>
  <c r="P5" i="1"/>
  <c r="Q5" i="1"/>
  <c r="T5" i="1"/>
  <c r="V5" i="1"/>
  <c r="AE5" i="1"/>
  <c r="AF5" i="1"/>
  <c r="AG5" i="1"/>
  <c r="AE2" i="1"/>
  <c r="H4" i="2"/>
  <c r="E4" i="2"/>
  <c r="D4" i="2"/>
  <c r="B4" i="2"/>
  <c r="H3" i="2"/>
  <c r="E3" i="2"/>
  <c r="D3" i="2"/>
  <c r="B3" i="2"/>
  <c r="E2" i="2"/>
  <c r="D2" i="2"/>
  <c r="B2" i="2"/>
  <c r="I2" i="21"/>
  <c r="J2" i="21"/>
  <c r="C2" i="18"/>
  <c r="A2" i="7"/>
  <c r="A2" i="1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D2" i="22"/>
  <c r="C2" i="22"/>
  <c r="A2" i="22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G2" i="21"/>
  <c r="F2" i="21"/>
  <c r="D2" i="21"/>
  <c r="C2" i="21"/>
  <c r="E12" i="16"/>
  <c r="E11" i="16"/>
  <c r="E10" i="16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G2" i="1"/>
  <c r="AF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I2" i="7"/>
  <c r="D2" i="7"/>
  <c r="F2" i="7"/>
  <c r="E2" i="7"/>
  <c r="J2" i="1"/>
  <c r="I2" i="1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<sst xmlns="http://schemas.openxmlformats.org/spreadsheetml/2006/main" count="862" uniqueCount="353">
  <si>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</si>
  <si>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</si>
  <si>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</si>
  <si>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</si>
  <si>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</si>
  <si>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</si>
  <si>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</si>
  <si>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</si>
  <si>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</si>
  <si>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</si>
  <si>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</si>
  <si>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</si>
  <si>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</si>
  <si>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</si>
  <si>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</si>
  <si>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</si>
  <si>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</si>
  <si>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</si>
  <si>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</si>
  <si>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</si>
  <si>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</si>
  <si>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</si>
  <si>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</si>
  <si>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</si>
  <si>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</si>
  <si>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</si>
  <si>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</si>
  <si>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</si>
  <si>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</si>
  <si>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</si>
  <si>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</si>
  <si>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</si>
  <si>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</si>
  <si>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</si>
  <si>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</si>
  <si>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</si>
  <si>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</si>
  <si>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</si>
  <si>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</si>
  <si>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</si>
  <si>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</si>
  <si>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</si>
  <si>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</si>
  <si>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</si>
  <si>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</si>
  <si>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</si>
  <si>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</si>
  <si>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</si>
  <si>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</si>
  <si>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</si>
  <si>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</si>
  <si>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</si>
  <si>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</si>
  <si>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</si>
  <si>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</si>
  <si>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</si>
  <si>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</si>
  <si>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</si>
  <si>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</si>
  <si>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</si>
  <si>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</si>
  <si>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</si>
  <si>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</si>
  <si>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</si>
  <si>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</si>
  <si>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</si>
  <si>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</si>
  <si>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</si>
  <si>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</si>
  <si>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</si>
  <si>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</si>
  <si>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</si>
  <si>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</si>
  <si>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</si>
  <si>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</si>
  <si>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</si>
  <si>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</si>
  <si>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</si>
  <si>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</si>
  <si>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</si>
  <si>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</si>
  <si>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</si>
  <si>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</si>
  <si>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</si>
  <si>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</si>
  <si>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</si>
  <si>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</si>
  <si>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</si>
  <si>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</si>
  <si>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</si>
  <si>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</si>
  <si>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</si>
  <si>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</si>
  <si>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</si>
  <si>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</si>
  <si>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</si>
  <si>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</si>
  <si>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</si>
  <si>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</si>
  <si>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</si>
  <si>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</si>
  <si>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</si>
  <si>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</si>
  <si>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</si>
  <si>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</si>
  <si>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</si>
  <si>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</si>
  <si>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</si>
  <si>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</si>
  <si>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</si>
  <si>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</si>
  <si>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</si>
  <si>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</si>
  <si>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</si>
  <si>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</si>
  <si>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</si>
  <si>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</si>
  <si>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</si>
  <si>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</si>
  <si>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</si>
  <si>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</si>
  <si>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</si>
  <si>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</si>
  <si>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</si>
  <si>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</si>
  <si>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</si>
  <si>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</si>
  <si>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</si>
  <si>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</si>
  <si>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</si>
  <si>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</si>
  <si>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</si>
  <si>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</si>
  <si>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</si>
  <si>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</si>
  <si>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</si>
  <si>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</si>
  <si>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</si>
  <si>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</si>
  <si>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</si>
  <si>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</si>
  <si>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</si>
  <si>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</si>
  <si>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</si>
  <si>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</si>
  <si>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</si>
  <si>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</si>
  <si>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</si>
  <si>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</si>
  <si>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</si>
  <si>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</si>
  <si>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</si>
  <si>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</si>
  <si>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</si>
  <si>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</si>
  <si>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</si>
  <si>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</si>
  <si>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</si>
  <si>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</si>
  <si>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</si>
  <si>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</si>
  <si>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</si>
  <si>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</si>
  <si>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</si>
  <si>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</si>
  <si>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</si>
  <si>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</si>
  <si>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</si>
  <si>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</si>
  <si>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</si>
  <si>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</si>
  <si>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</si>
  <si>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</si>
  <si>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</si>
  <si>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</si>
  <si>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</si>
  <si>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</si>
  <si>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</si>
  <si>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</si>
  <si>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</si>
  <si>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</si>
  <si>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</si>
  <si>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</si>
  <si>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</si>
  <si>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</si>
  <si>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</si>
  <si>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</si>
  <si>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</si>
  <si>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</si>
  <si>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</si>
  <si>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</si>
  <si>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</si>
  <si>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</si>
  <si>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</si>
  <si>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</si>
  <si>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</si>
  <si>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</si>
  <si>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</si>
  <si>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</si>
  <si>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</si>
  <si>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</si>
  <si>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</si>
  <si>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</si>
  <si>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</si>
  <si>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</si>
  <si>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</si>
  <si>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</si>
  <si>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</si>
  <si>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</si>
  <si>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</si>
  <si>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</si>
  <si>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</si>
  <si>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</si>
  <si>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</si>
  <si>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</si>
  <si>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</si>
  <si>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</si>
  <si>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</si>
  <si>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</si>
  <si>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</si>
  <si>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</si>
  <si>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</si>
  <si>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</si>
  <si>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</si>
  <si>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</si>
  <si>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</si>
  <si>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</si>
  <si>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</si>
  <si>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</si>
  <si>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</si>
  <si>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</si>
  <si>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</si>
  <si>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</si>
  <si>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</si>
  <si>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</si>
  <si>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</si>
  <si>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</si>
  <si>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</si>
  <si>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</si>
  <si>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</si>
  <si>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</si>
  <si>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</si>
  <si>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</si>
  <si>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</si>
  <si>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</si>
  <si>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</si>
  <si>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</si>
  <si>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</si>
  <si>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</si>
  <si>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</si>
  <si>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</si>
  <si>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</si>
  <si>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</si>
  <si>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</si>
  <si>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</si>
  <si>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</si>
  <si>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</si>
  <si>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</si>
  <si>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</si>
  <si>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</si>
  <si>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バショー</t>
    <phoneticPr fontId="5"/>
  </si>
  <si>
    <t>最大HPの30%を全体回復</t>
    <phoneticPr fontId="5"/>
  </si>
  <si>
    <t>ショウイン</t>
    <phoneticPr fontId="5"/>
  </si>
  <si>
    <t>千利休</t>
    <rPh sb="0" eb="3">
      <t>１０００r</t>
    </rPh>
    <phoneticPr fontId="5"/>
  </si>
  <si>
    <t>1ゲージ目：全体攻撃（100%ウィルス付与[解除するまで]）</t>
    <phoneticPr fontId="5"/>
  </si>
  <si>
    <t>2ゲージ目：開幕で割合ダメージ（現HPの50%）</t>
    <phoneticPr fontId="5"/>
  </si>
  <si>
    <t>初回行動時に味方2体を80％の確率で眠らせる</t>
    <phoneticPr fontId="5"/>
  </si>
  <si>
    <t>開幕でウィルス（解除するまで）</t>
    <phoneticPr fontId="5"/>
  </si>
  <si>
    <t>1ゲージ目：20%の確率で攻撃力低下(3ターン程度)</t>
    <phoneticPr fontId="5"/>
  </si>
  <si>
    <t>1ゲージ目:タマモ</t>
    <phoneticPr fontId="5"/>
  </si>
  <si>
    <t>1ゲージ目:千利休</t>
    <rPh sb="6" eb="9">
      <t>１０００r</t>
    </rPh>
    <phoneticPr fontId="5"/>
  </si>
  <si>
    <t>2ゲージ目:タマモ</t>
    <phoneticPr fontId="5"/>
  </si>
  <si>
    <t>2ゲージ目:千利休</t>
    <rPh sb="6" eb="9">
      <t>１０００r</t>
    </rPh>
    <phoneticPr fontId="5"/>
  </si>
  <si>
    <t>2ゲージ目：30%の確率で4連続攻撃
(HIT毎に100%ウィルス付与[解除するまで])</t>
    <phoneticPr fontId="5"/>
  </si>
  <si>
    <t>2ゲージ目：ハートパネル無効（2ターン）</t>
    <phoneticPr fontId="5"/>
  </si>
  <si>
    <t>2ゲージ目：6連続攻撃</t>
    <phoneticPr fontId="5"/>
  </si>
  <si>
    <t>3ゲージ目:千利休</t>
    <rPh sb="6" eb="9">
      <t>１０００r</t>
    </rPh>
    <phoneticPr fontId="5"/>
  </si>
  <si>
    <t>[effect:heal, target:enemy_all, val:0.3, animation:enemy_heal]</t>
    <phoneticPr fontId="5"/>
  </si>
  <si>
    <t>[effect:damage_gravity, val:0.5, animation:fevergauge_down]</t>
    <phoneticPr fontId="5"/>
  </si>
  <si>
    <t>[effect:critical, val:1.5, animation:enemy_critical]</t>
    <phoneticPr fontId="5"/>
  </si>
  <si>
    <t>[effect:degrade_unit, target:unit_all, turn:3, status:attack, val:0.8, calc:mul]</t>
    <phoneticPr fontId="5"/>
  </si>
  <si>
    <t>[effect:damage_abnormal, target:unit_one, val:0.5, status:virus, turn:-1, rate:1, val_abnormal:0.1, animation:enemy_virus],[effect:damage_abnormal, target:unit_one, val:0.5, status:virus, turn:-1, rate:1, val_abnormal:0.1, animation:enemy_virus],[effect:damage_abnormal, target:unit_one, val:0.5, status:virus, turn:-1, rate:1, val_abnormal:0.1, animation:enemy_virus],[effect:damage_abnormal, target:unit_one, val:0.5, status:virus, turn:-1, rate:1, val_abnormal:0.1, animation:enemy_virus]</t>
    <phoneticPr fontId="5"/>
  </si>
  <si>
    <t>[effect:rush, count:6, val:0.2]</t>
    <phoneticPr fontId="5"/>
  </si>
  <si>
    <t>3ゲージ目：4連続攻撃</t>
    <phoneticPr fontId="5"/>
  </si>
  <si>
    <t xml:space="preserve">[effect:rush, count:4, val:0.4]    </t>
    <phoneticPr fontId="5"/>
  </si>
  <si>
    <t>[effect:dis_heart, turn:2, animation:enemy_dis_heart]</t>
    <phoneticPr fontId="5"/>
  </si>
  <si>
    <t>null</t>
  </si>
  <si>
    <t>2ゲージ目：30%の確率でクリティカル</t>
    <phoneticPr fontId="5"/>
  </si>
  <si>
    <t>1ゲージ目：30%の確率でクリティカル</t>
    <phoneticPr fontId="5"/>
  </si>
  <si>
    <t>2floorで敗北</t>
    <rPh sb="7" eb="9">
      <t>ハイボk</t>
    </rPh>
    <phoneticPr fontId="5"/>
  </si>
  <si>
    <t>3floorで敗北</t>
    <rPh sb="7" eb="9">
      <t>ハイボk</t>
    </rPh>
    <phoneticPr fontId="5"/>
  </si>
  <si>
    <t>link</t>
  </si>
  <si>
    <t>unit</t>
  </si>
  <si>
    <t>[effect:sleep, target:unit_one/unit_one/or, turn:2, rate:0.8, calc_type:target_one, animation:sleep02]</t>
    <phoneticPr fontId="5"/>
  </si>
  <si>
    <t>[effect:damage_abnormal, target:unit_all, val:0.3, status:virus, turn:-1, rate:1, val_abnormal:0.1, animation:enemy_virus]</t>
    <phoneticPr fontId="5"/>
  </si>
  <si>
    <t>old</t>
    <phoneticPr fontId="5"/>
  </si>
  <si>
    <t>skip</t>
    <phoneticPr fontId="5"/>
  </si>
  <si>
    <t>[effect:virus, turn:-1, rate:1, val:0.3, animation:enemy_virus]</t>
    <phoneticPr fontId="5"/>
  </si>
  <si>
    <t>[effect:virus, turn:-1, rate:1, val:0.4, animation:enemy_virus]</t>
    <phoneticPr fontId="5"/>
  </si>
  <si>
    <t>お前を消す方法</t>
    <phoneticPr fontId="5"/>
  </si>
  <si>
    <t>クリティカル！</t>
    <phoneticPr fontId="5"/>
  </si>
  <si>
    <t>[effect:enhance_enemy, target:enemy_all, turn:5, status:attack, val:0.5, calc:mul, animation:enemy_enhance_attack]</t>
    <phoneticPr fontId="5"/>
  </si>
  <si>
    <t>[effect:dis_heart, turn:2, animation:enemy_dis_heart]</t>
    <phoneticPr fontId="5"/>
  </si>
  <si>
    <t>[effect:enemy_counter, target:enemy_all, invoke_condition:unit_all, counter_target:attacker, turn:5, val:0.2, animation:enemy_counter]</t>
  </si>
  <si>
    <t xml:space="preserve">[effect:rush, count:3, val:0.5]    </t>
    <phoneticPr fontId="5"/>
  </si>
  <si>
    <t>[effect:rush, count:4, val:0.3]</t>
    <phoneticPr fontId="5"/>
  </si>
  <si>
    <t>[effect:freq_turn, target:myself, turn:-1, val:1, animation:enemy_freq_turn]</t>
    <phoneticPr fontId="5"/>
  </si>
  <si>
    <t>[effect:heal, target:enemy_all, val:0.15, animation:enemy_heal]</t>
    <phoneticPr fontId="5"/>
  </si>
  <si>
    <t>全体攻撃！</t>
    <rPh sb="0" eb="4">
      <t>ゼンタ</t>
    </rPh>
    <phoneticPr fontId="5"/>
  </si>
  <si>
    <t>[effect:spread, val:0.5]</t>
    <phoneticPr fontId="5"/>
  </si>
  <si>
    <t>[effect:degrade_unit, target:unit_green, turn:2, status:attack, val:0.5, calc:mul]</t>
    <phoneticPr fontId="5"/>
  </si>
  <si>
    <t>[effect:virus, turn:-1, rate:1, val:0.2, animation:enemy_virus]</t>
    <phoneticPr fontId="5"/>
  </si>
  <si>
    <t>[effect:critical, val:2.0, animation:enemy_critical]</t>
    <phoneticPr fontId="5"/>
  </si>
  <si>
    <t>アキレス2</t>
    <phoneticPr fontId="5"/>
  </si>
  <si>
    <t>ヘラクレス2</t>
    <phoneticPr fontId="5"/>
  </si>
  <si>
    <t>[effect:break_enchance_enemy, target:myself, val:0.15, lowest_val:0.01, count:-1, status:defense, turn:3, block01:block_heart, calc:add, animation:enemy_enhance_defense]</t>
    <phoneticPr fontId="5"/>
  </si>
  <si>
    <t>[effect:spread, val:0.4]</t>
    <phoneticPr fontId="5"/>
  </si>
  <si>
    <t>[effect:kamikaze, val:5]</t>
    <phoneticPr fontId="5"/>
  </si>
  <si>
    <t>古池や　蛙飛び込む　池の音</t>
    <rPh sb="0" eb="2">
      <t>フル</t>
    </rPh>
    <rPh sb="4" eb="6">
      <t>カワズトビk</t>
    </rPh>
    <rPh sb="10" eb="11">
      <t>イケn</t>
    </rPh>
    <phoneticPr fontId="5"/>
  </si>
  <si>
    <t>5ターン敵全体の攻撃力UP</t>
    <phoneticPr fontId="5"/>
  </si>
  <si>
    <t>4回連続攻撃</t>
    <rPh sb="1" eb="2">
      <t>k</t>
    </rPh>
    <phoneticPr fontId="5"/>
  </si>
  <si>
    <t>3回連続攻撃</t>
    <rPh sb="1" eb="2">
      <t>k</t>
    </rPh>
    <phoneticPr fontId="5"/>
  </si>
  <si>
    <t>2ターン緑属性のユニットの攻撃力をDOWN</t>
    <rPh sb="4" eb="5">
      <t>ミドr</t>
    </rPh>
    <phoneticPr fontId="5"/>
  </si>
  <si>
    <t>ハートパネルを吸収して敵全体の防御力UP</t>
    <rPh sb="11" eb="12">
      <t>テキ</t>
    </rPh>
    <rPh sb="15" eb="17">
      <t>ボウギョリョk</t>
    </rPh>
    <rPh sb="17" eb="18">
      <t>リョk</t>
    </rPh>
    <phoneticPr fontId="5"/>
  </si>
  <si>
    <t>4回連続攻撃+解除するまでウィルス</t>
    <rPh sb="1" eb="2">
      <t>k</t>
    </rPh>
    <rPh sb="4" eb="6">
      <t>コウゲk</t>
    </rPh>
    <rPh sb="7" eb="9">
      <t>カイj</t>
    </rPh>
    <phoneticPr fontId="5"/>
  </si>
  <si>
    <t>ケロッ</t>
    <phoneticPr fontId="5"/>
  </si>
  <si>
    <t>ケロケロケ</t>
    <phoneticPr fontId="5"/>
  </si>
  <si>
    <t>ケロッケロ</t>
    <phoneticPr fontId="5"/>
  </si>
  <si>
    <t>にゃ〜〜〜</t>
    <phoneticPr fontId="5"/>
  </si>
  <si>
    <t>ゲッゲロゲロ♪</t>
    <phoneticPr fontId="5"/>
  </si>
  <si>
    <t>ゲコッ</t>
    <phoneticPr fontId="5"/>
  </si>
  <si>
    <t>ゲロゲロ！</t>
    <phoneticPr fontId="5"/>
  </si>
  <si>
    <t>弱肉強食</t>
    <rPh sb="0" eb="4">
      <t>ジャk</t>
    </rPh>
    <phoneticPr fontId="5"/>
  </si>
  <si>
    <t>3ターン待ってやる！</t>
    <rPh sb="4" eb="5">
      <t>マッt</t>
    </rPh>
    <phoneticPr fontId="5"/>
  </si>
  <si>
    <t>全体回復</t>
    <phoneticPr fontId="5"/>
  </si>
  <si>
    <t>4ターン攻撃をカウンター</t>
    <phoneticPr fontId="5"/>
  </si>
  <si>
    <t>自爆攻撃</t>
    <rPh sb="0" eb="4">
      <t>ジバk</t>
    </rPh>
    <phoneticPr fontId="5"/>
  </si>
  <si>
    <t>解除するまでウィルス</t>
    <rPh sb="0" eb="2">
      <t>カイj</t>
    </rPh>
    <phoneticPr fontId="5"/>
  </si>
  <si>
    <t>自己回復</t>
  </si>
  <si>
    <t>2ターンウィルス</t>
    <phoneticPr fontId="5"/>
  </si>
  <si>
    <t>2ターンハートパネル無効</t>
    <phoneticPr fontId="5"/>
  </si>
  <si>
    <t>5ターン自身の攻撃頻度UP</t>
    <rPh sb="4" eb="6">
      <t>ジシn</t>
    </rPh>
    <rPh sb="7" eb="11">
      <t>コウゲk</t>
    </rPh>
    <phoneticPr fontId="5"/>
  </si>
  <si>
    <t>[effect:critical, val:1.2, animation:enemy_critical]</t>
    <phoneticPr fontId="5"/>
  </si>
  <si>
    <t>サンドバッグにしてやる！</t>
    <phoneticPr fontId="5"/>
  </si>
  <si>
    <t>痛い目見るよ・・・</t>
    <rPh sb="0" eb="1">
      <t>イタイ</t>
    </rPh>
    <rPh sb="2" eb="3">
      <t>メ</t>
    </rPh>
    <phoneticPr fontId="5"/>
  </si>
  <si>
    <t>シュッ！シュッ！</t>
    <phoneticPr fontId="5"/>
  </si>
  <si>
    <t>貧弱貧弱ゥ！</t>
    <rPh sb="0" eb="2">
      <t>ヒンジャk</t>
    </rPh>
    <rPh sb="2" eb="4">
      <t>ヒンジャk</t>
    </rPh>
    <phoneticPr fontId="5"/>
  </si>
  <si>
    <t>ライオンパンチ！</t>
    <phoneticPr fontId="5"/>
  </si>
  <si>
    <t>ライオンキック！</t>
    <phoneticPr fontId="5"/>
  </si>
  <si>
    <t>バルス！！！</t>
    <phoneticPr fontId="5"/>
  </si>
  <si>
    <t>[effect:damage_abnormal, target:unit_one, val:0.4, status:virus, turn:-1, rate:1, val_abnormal:0.2, animation:enemy_virus],[effect:damage_abnormal, target:unit_one, val:0.4, status:virus, turn:-1, rate:1, val_abnormal:0.2, animation:enemy_virus],[effect:damage_abnormal, target:unit_one, val:0.4, status:virus, turn:-1, rate:1, val_abnormal:0.2, animation:enemy_virus],[effect:damage_abnormal, target:unit_one, val:0.4, status:virus, turn:-1, rate:1, val_abnormal:0.2, animation:enemy_virus]</t>
    <phoneticPr fontId="5"/>
  </si>
  <si>
    <t>[effect:damage_abnormal, target:unit_one, val:0.4, status:virus, turn:-1, rate:1, val_abnormal:0.2, animation:enemy_virus],[effect:damage_abnormal, target:unit_one, val:0.4, status:virus, turn:-1, rate:1, val_abnormal:0.2, animation:enemy_virus]</t>
    <phoneticPr fontId="5"/>
  </si>
  <si>
    <t>2回連続攻撃+2ターンウィルス</t>
    <rPh sb="1" eb="6">
      <t>カイレn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</si>
</sst>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2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9" fontId="16" fillId="0" borderId="2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top"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top" wrapText="1"/>
    </xf>
    <xf numFmtId="0" fontId="16" fillId="33" borderId="7" xfId="0" applyFont="1" applyFill="1" applyBorder="1" applyAlignment="1">
      <alignment horizontal="left" vertical="top" wrapText="1"/>
    </xf>
    <xf numFmtId="0" fontId="16" fillId="32" borderId="7" xfId="0" applyFont="1" applyFill="1" applyBorder="1" applyAlignment="1">
      <alignment horizontal="left" vertical="top" wrapText="1"/>
    </xf>
    <xf numFmtId="0" fontId="16" fillId="34" borderId="7" xfId="0" applyFont="1" applyFill="1" applyBorder="1" applyAlignment="1">
      <alignment horizontal="left" vertical="top" wrapText="1"/>
    </xf>
    <xf numFmtId="0" fontId="16" fillId="35" borderId="7" xfId="0" applyFont="1" applyFill="1" applyBorder="1" applyAlignment="1">
      <alignment horizontal="left" vertical="top" wrapText="1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1" fontId="32" fillId="31" borderId="32" xfId="0" applyNumberFormat="1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12" fillId="7" borderId="38" xfId="0" applyFont="1" applyFill="1" applyBorder="1" applyAlignment="1">
      <alignment vertical="center"/>
    </xf>
    <xf numFmtId="0" fontId="12" fillId="7" borderId="39" xfId="0" applyFont="1" applyFill="1" applyBorder="1" applyAlignment="1">
      <alignment vertical="center"/>
    </xf>
    <xf numFmtId="0" fontId="4" fillId="0" borderId="40" xfId="0" applyFont="1" applyFill="1" applyBorder="1" applyAlignment="1">
      <alignment vertical="center"/>
    </xf>
    <xf numFmtId="0" fontId="6" fillId="5" borderId="40" xfId="0" applyFont="1" applyFill="1" applyBorder="1" applyAlignment="1">
      <alignment vertical="center"/>
    </xf>
    <xf numFmtId="0" fontId="4" fillId="0" borderId="40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vertical="center"/>
    </xf>
    <xf numFmtId="0" fontId="4" fillId="3" borderId="40" xfId="0" applyFont="1" applyFill="1" applyBorder="1" applyAlignment="1">
      <alignment horizontal="center" vertical="center"/>
    </xf>
    <xf numFmtId="0" fontId="6" fillId="0" borderId="40" xfId="0" applyFont="1" applyFill="1" applyBorder="1" applyAlignment="1">
      <alignment vertical="center"/>
    </xf>
    <xf numFmtId="0" fontId="6" fillId="0" borderId="41" xfId="0" applyFont="1" applyFill="1" applyBorder="1" applyAlignment="1">
      <alignment vertical="center"/>
    </xf>
    <xf numFmtId="0" fontId="12" fillId="7" borderId="4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43" xfId="0" applyFont="1" applyFill="1" applyBorder="1" applyAlignment="1">
      <alignment vertical="center"/>
    </xf>
    <xf numFmtId="0" fontId="12" fillId="7" borderId="44" xfId="0" applyFont="1" applyFill="1" applyBorder="1" applyAlignment="1">
      <alignment vertical="center"/>
    </xf>
    <xf numFmtId="0" fontId="12" fillId="7" borderId="45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3" borderId="32" xfId="0" applyFont="1" applyFill="1" applyBorder="1" applyAlignment="1">
      <alignment vertical="center"/>
    </xf>
    <xf numFmtId="0" fontId="6" fillId="0" borderId="46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vertical="center"/>
    </xf>
    <xf numFmtId="0" fontId="4" fillId="0" borderId="48" xfId="0" applyFont="1" applyFill="1" applyBorder="1" applyAlignment="1">
      <alignment vertical="center"/>
    </xf>
    <xf numFmtId="0" fontId="4" fillId="0" borderId="49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4" fillId="7" borderId="45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6" fillId="3" borderId="32" xfId="0" applyFont="1" applyFill="1" applyBorder="1" applyAlignment="1">
      <alignment horizontal="left" vertical="center"/>
    </xf>
    <xf numFmtId="0" fontId="16" fillId="3" borderId="32" xfId="0" applyFont="1" applyFill="1" applyBorder="1" applyAlignment="1">
      <alignment vertical="center"/>
    </xf>
    <xf numFmtId="0" fontId="16" fillId="0" borderId="32" xfId="0" applyFont="1" applyFill="1" applyBorder="1" applyAlignment="1">
      <alignment horizontal="left" vertical="center"/>
    </xf>
    <xf numFmtId="0" fontId="16" fillId="3" borderId="32" xfId="0" applyFont="1" applyFill="1" applyBorder="1" applyAlignment="1">
      <alignment horizontal="left" vertical="center" wrapText="1"/>
    </xf>
    <xf numFmtId="14" fontId="16" fillId="0" borderId="32" xfId="0" applyNumberFormat="1" applyFont="1" applyFill="1" applyBorder="1" applyAlignment="1">
      <alignment horizontal="left" vertical="center"/>
    </xf>
    <xf numFmtId="0" fontId="16" fillId="35" borderId="32" xfId="0" applyFont="1" applyFill="1" applyBorder="1" applyAlignment="1">
      <alignment horizontal="left" vertical="top" wrapText="1"/>
    </xf>
    <xf numFmtId="0" fontId="16" fillId="0" borderId="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47" xfId="0" applyFont="1" applyFill="1" applyBorder="1" applyAlignment="1">
      <alignment vertical="center"/>
    </xf>
    <xf numFmtId="0" fontId="16" fillId="0" borderId="40" xfId="0" applyFont="1" applyFill="1" applyBorder="1" applyAlignment="1">
      <alignment vertical="center"/>
    </xf>
    <xf numFmtId="0" fontId="16" fillId="3" borderId="40" xfId="0" applyFont="1" applyFill="1" applyBorder="1" applyAlignment="1">
      <alignment vertical="center"/>
    </xf>
    <xf numFmtId="0" fontId="14" fillId="7" borderId="39" xfId="0" applyFont="1" applyFill="1" applyBorder="1" applyAlignment="1">
      <alignment vertical="center"/>
    </xf>
    <xf numFmtId="0" fontId="16" fillId="0" borderId="40" xfId="0" applyFont="1" applyFill="1" applyBorder="1" applyAlignment="1">
      <alignment horizontal="left" vertical="top" wrapText="1"/>
    </xf>
    <xf numFmtId="0" fontId="16" fillId="0" borderId="41" xfId="0" applyFont="1" applyFill="1" applyBorder="1" applyAlignment="1">
      <alignment horizontal="left" vertical="top" wrapText="1"/>
    </xf>
    <xf numFmtId="0" fontId="16" fillId="0" borderId="48" xfId="0" applyFont="1" applyFill="1" applyBorder="1" applyAlignment="1">
      <alignment vertical="center"/>
    </xf>
    <xf numFmtId="0" fontId="16" fillId="0" borderId="43" xfId="0" applyFont="1" applyFill="1" applyBorder="1" applyAlignment="1">
      <alignment horizontal="left" vertical="top" wrapText="1"/>
    </xf>
    <xf numFmtId="0" fontId="16" fillId="36" borderId="43" xfId="0" applyFont="1" applyFill="1" applyBorder="1" applyAlignment="1">
      <alignment horizontal="left" vertical="top" wrapText="1"/>
    </xf>
    <xf numFmtId="0" fontId="16" fillId="33" borderId="43" xfId="0" applyFont="1" applyFill="1" applyBorder="1" applyAlignment="1">
      <alignment horizontal="left" vertical="top" wrapText="1"/>
    </xf>
    <xf numFmtId="0" fontId="16" fillId="34" borderId="43" xfId="0" applyFont="1" applyFill="1" applyBorder="1" applyAlignment="1">
      <alignment horizontal="left" vertical="top" wrapText="1"/>
    </xf>
    <xf numFmtId="0" fontId="16" fillId="32" borderId="43" xfId="0" applyFont="1" applyFill="1" applyBorder="1" applyAlignment="1">
      <alignment horizontal="left" vertical="top" wrapText="1"/>
    </xf>
    <xf numFmtId="0" fontId="16" fillId="35" borderId="43" xfId="0" applyFont="1" applyFill="1" applyBorder="1" applyAlignment="1">
      <alignment horizontal="left" vertical="top" wrapText="1"/>
    </xf>
    <xf numFmtId="0" fontId="16" fillId="0" borderId="49" xfId="0" applyFont="1" applyFill="1" applyBorder="1" applyAlignment="1">
      <alignment vertical="center"/>
    </xf>
    <xf numFmtId="0" fontId="16" fillId="35" borderId="32" xfId="0" applyFont="1" applyFill="1" applyBorder="1" applyAlignment="1">
      <alignment vertical="center"/>
    </xf>
    <xf numFmtId="0" fontId="16" fillId="35" borderId="46" xfId="0" applyFont="1" applyFill="1" applyBorder="1" applyAlignment="1">
      <alignment horizontal="left" vertical="top" wrapText="1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16" fillId="0" borderId="32" xfId="0" applyFont="1" applyFill="1" applyBorder="1" applyAlignment="1">
      <alignment horizontal="left" vertical="top" wrapText="1"/>
    </xf>
    <xf numFmtId="0" fontId="16" fillId="41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39010</v>
          </cell>
        </row>
        <row r="183">
          <cell r="A183">
            <v>39011</v>
          </cell>
        </row>
        <row r="184">
          <cell r="A184">
            <v>40001</v>
          </cell>
        </row>
        <row r="185">
          <cell r="A185">
            <v>40002</v>
          </cell>
        </row>
        <row r="186">
          <cell r="A186">
            <v>40003</v>
          </cell>
        </row>
        <row r="187">
          <cell r="A187">
            <v>40004</v>
          </cell>
        </row>
        <row r="188">
          <cell r="A188">
            <v>40005</v>
          </cell>
        </row>
        <row r="189">
          <cell r="A189">
            <v>40006</v>
          </cell>
        </row>
        <row r="190">
          <cell r="A190">
            <v>40007</v>
          </cell>
        </row>
        <row r="191">
          <cell r="A191">
            <v>40008</v>
          </cell>
        </row>
        <row r="192">
          <cell r="A192">
            <v>40009</v>
          </cell>
        </row>
        <row r="193">
          <cell r="A193">
            <v>40010</v>
          </cell>
        </row>
        <row r="194">
          <cell r="A194">
            <v>40011</v>
          </cell>
        </row>
        <row r="195">
          <cell r="A195">
            <v>40012</v>
          </cell>
        </row>
        <row r="196">
          <cell r="A196">
            <v>40013</v>
          </cell>
        </row>
        <row r="197">
          <cell r="A197">
            <v>40014</v>
          </cell>
        </row>
        <row r="198">
          <cell r="A198">
            <v>40015</v>
          </cell>
        </row>
        <row r="199">
          <cell r="A199">
            <v>40016</v>
          </cell>
        </row>
        <row r="200">
          <cell r="A200">
            <v>40017</v>
          </cell>
        </row>
        <row r="201">
          <cell r="A201">
            <v>40018</v>
          </cell>
        </row>
        <row r="202">
          <cell r="A202">
            <v>40019</v>
          </cell>
        </row>
        <row r="203">
          <cell r="A203">
            <v>40021</v>
          </cell>
        </row>
        <row r="204">
          <cell r="A204">
            <v>40022</v>
          </cell>
        </row>
        <row r="205">
          <cell r="A205">
            <v>40023</v>
          </cell>
        </row>
        <row r="206">
          <cell r="A206">
            <v>40024</v>
          </cell>
        </row>
        <row r="207">
          <cell r="A207">
            <v>40025</v>
          </cell>
        </row>
        <row r="208">
          <cell r="A208">
            <v>40026</v>
          </cell>
        </row>
        <row r="209">
          <cell r="A209">
            <v>40027</v>
          </cell>
        </row>
        <row r="210">
          <cell r="A210">
            <v>40028</v>
          </cell>
        </row>
        <row r="211">
          <cell r="A211">
            <v>40029</v>
          </cell>
        </row>
        <row r="212">
          <cell r="A212">
            <v>40030</v>
          </cell>
        </row>
        <row r="213">
          <cell r="A213">
            <v>40031</v>
          </cell>
        </row>
        <row r="214">
          <cell r="A214">
            <v>40032</v>
          </cell>
        </row>
        <row r="215">
          <cell r="A215">
            <v>40033</v>
          </cell>
        </row>
        <row r="216">
          <cell r="A216">
            <v>40034</v>
          </cell>
        </row>
        <row r="217">
          <cell r="A217">
            <v>40035</v>
          </cell>
        </row>
        <row r="218">
          <cell r="A218">
            <v>40036</v>
          </cell>
        </row>
        <row r="219">
          <cell r="A219">
            <v>40037</v>
          </cell>
        </row>
        <row r="220">
          <cell r="A220">
            <v>40038</v>
          </cell>
        </row>
        <row r="221">
          <cell r="A221">
            <v>40039</v>
          </cell>
        </row>
        <row r="222">
          <cell r="A222">
            <v>40040</v>
          </cell>
        </row>
        <row r="223">
          <cell r="A223">
            <v>40041</v>
          </cell>
        </row>
        <row r="224">
          <cell r="A224">
            <v>48001</v>
          </cell>
        </row>
        <row r="225">
          <cell r="A225">
            <v>48002</v>
          </cell>
        </row>
        <row r="226">
          <cell r="A226">
            <v>48003</v>
          </cell>
        </row>
        <row r="227">
          <cell r="A227">
            <v>48004</v>
          </cell>
        </row>
        <row r="228">
          <cell r="A228">
            <v>48005</v>
          </cell>
        </row>
        <row r="229">
          <cell r="A229">
            <v>48006</v>
          </cell>
        </row>
        <row r="230">
          <cell r="A230">
            <v>48007</v>
          </cell>
        </row>
        <row r="231">
          <cell r="A231">
            <v>48008</v>
          </cell>
        </row>
        <row r="232">
          <cell r="A232">
            <v>48009</v>
          </cell>
        </row>
        <row r="233">
          <cell r="A233">
            <v>48010</v>
          </cell>
        </row>
        <row r="234">
          <cell r="A234">
            <v>48501</v>
          </cell>
        </row>
        <row r="235">
          <cell r="A235">
            <v>41001</v>
          </cell>
        </row>
        <row r="236">
          <cell r="A236">
            <v>41002</v>
          </cell>
        </row>
        <row r="237">
          <cell r="A237">
            <v>41003</v>
          </cell>
        </row>
        <row r="238">
          <cell r="A238">
            <v>41004</v>
          </cell>
        </row>
        <row r="239">
          <cell r="A239">
            <v>41005</v>
          </cell>
        </row>
        <row r="240">
          <cell r="A240">
            <v>41006</v>
          </cell>
        </row>
        <row r="241">
          <cell r="A241">
            <v>41007</v>
          </cell>
        </row>
        <row r="242">
          <cell r="A242">
            <v>41008</v>
          </cell>
        </row>
        <row r="243">
          <cell r="A243">
            <v>41009</v>
          </cell>
        </row>
        <row r="244">
          <cell r="A244">
            <v>41010</v>
          </cell>
        </row>
        <row r="245">
          <cell r="A245">
            <v>41011</v>
          </cell>
        </row>
        <row r="246">
          <cell r="A246">
            <v>41012</v>
          </cell>
        </row>
        <row r="247">
          <cell r="A247">
            <v>41013</v>
          </cell>
        </row>
        <row r="248">
          <cell r="A248">
            <v>41014</v>
          </cell>
        </row>
        <row r="249">
          <cell r="A249">
            <v>41015</v>
          </cell>
        </row>
        <row r="250">
          <cell r="A250">
            <v>47001</v>
          </cell>
        </row>
        <row r="251">
          <cell r="A251">
            <v>47002</v>
          </cell>
        </row>
        <row r="252">
          <cell r="A252">
            <v>47003</v>
          </cell>
        </row>
        <row r="253">
          <cell r="A253">
            <v>47004</v>
          </cell>
        </row>
        <row r="254">
          <cell r="A254">
            <v>47005</v>
          </cell>
        </row>
        <row r="255">
          <cell r="A255">
            <v>47006</v>
          </cell>
        </row>
        <row r="256">
          <cell r="A256">
            <v>49001</v>
          </cell>
        </row>
        <row r="257">
          <cell r="A257">
            <v>49002</v>
          </cell>
        </row>
        <row r="258">
          <cell r="A258">
            <v>49003</v>
          </cell>
        </row>
        <row r="259">
          <cell r="A259">
            <v>49004</v>
          </cell>
        </row>
        <row r="260">
          <cell r="A260">
            <v>49005</v>
          </cell>
        </row>
        <row r="261">
          <cell r="A261">
            <v>49006</v>
          </cell>
        </row>
        <row r="262">
          <cell r="A262">
            <v>49007</v>
          </cell>
        </row>
        <row r="263">
          <cell r="A263">
            <v>49008</v>
          </cell>
        </row>
        <row r="264">
          <cell r="A264">
            <v>49009</v>
          </cell>
        </row>
        <row r="265">
          <cell r="A265">
            <v>49010</v>
          </cell>
        </row>
        <row r="266">
          <cell r="A266">
            <v>49011</v>
          </cell>
        </row>
        <row r="267">
          <cell r="A267">
            <v>49012</v>
          </cell>
        </row>
        <row r="268">
          <cell r="A268">
            <v>49013</v>
          </cell>
        </row>
        <row r="269">
          <cell r="A269">
            <v>50001</v>
          </cell>
        </row>
        <row r="270">
          <cell r="A270">
            <v>50002</v>
          </cell>
        </row>
        <row r="271">
          <cell r="A271">
            <v>50003</v>
          </cell>
        </row>
        <row r="272">
          <cell r="A272">
            <v>50004</v>
          </cell>
        </row>
        <row r="273">
          <cell r="A273">
            <v>50005</v>
          </cell>
        </row>
        <row r="274">
          <cell r="A274">
            <v>50006</v>
          </cell>
        </row>
        <row r="275">
          <cell r="A275">
            <v>50007</v>
          </cell>
        </row>
        <row r="276">
          <cell r="A276">
            <v>50008</v>
          </cell>
        </row>
        <row r="277">
          <cell r="A277">
            <v>50009</v>
          </cell>
        </row>
        <row r="278">
          <cell r="A278">
            <v>50010</v>
          </cell>
        </row>
        <row r="279">
          <cell r="A279">
            <v>50011</v>
          </cell>
        </row>
        <row r="280">
          <cell r="A280">
            <v>50012</v>
          </cell>
        </row>
        <row r="281">
          <cell r="A281">
            <v>51001</v>
          </cell>
        </row>
        <row r="282">
          <cell r="A282">
            <v>51002</v>
          </cell>
        </row>
        <row r="283">
          <cell r="A283">
            <v>59001</v>
          </cell>
        </row>
        <row r="284">
          <cell r="A284">
            <v>60001</v>
          </cell>
        </row>
        <row r="285">
          <cell r="A285">
            <v>60002</v>
          </cell>
        </row>
        <row r="286">
          <cell r="A286">
            <v>60003</v>
          </cell>
        </row>
        <row r="287">
          <cell r="A287">
            <v>60004</v>
          </cell>
        </row>
        <row r="288">
          <cell r="A288">
            <v>60005</v>
          </cell>
        </row>
        <row r="289">
          <cell r="A289">
            <v>60006</v>
          </cell>
        </row>
        <row r="290">
          <cell r="A290">
            <v>60007</v>
          </cell>
        </row>
        <row r="291">
          <cell r="A291">
            <v>60010</v>
          </cell>
        </row>
        <row r="292">
          <cell r="A292">
            <v>60011</v>
          </cell>
        </row>
        <row r="293">
          <cell r="A293">
            <v>61011</v>
          </cell>
        </row>
        <row r="294">
          <cell r="A294">
            <v>60012</v>
          </cell>
        </row>
        <row r="295">
          <cell r="A295">
            <v>60013</v>
          </cell>
        </row>
        <row r="296">
          <cell r="A296">
            <v>60014</v>
          </cell>
        </row>
        <row r="297">
          <cell r="A297">
            <v>60015</v>
          </cell>
        </row>
        <row r="298">
          <cell r="A298">
            <v>60016</v>
          </cell>
        </row>
        <row r="299">
          <cell r="A299">
            <v>60017</v>
          </cell>
        </row>
        <row r="300">
          <cell r="A300">
            <v>60018</v>
          </cell>
        </row>
        <row r="301">
          <cell r="A301">
            <v>60019</v>
          </cell>
        </row>
        <row r="302">
          <cell r="A302">
            <v>60020</v>
          </cell>
        </row>
        <row r="303">
          <cell r="A303">
            <v>60025</v>
          </cell>
        </row>
        <row r="304">
          <cell r="A304">
            <v>65525</v>
          </cell>
        </row>
        <row r="305">
          <cell r="A305">
            <v>65526</v>
          </cell>
        </row>
        <row r="306">
          <cell r="A306">
            <v>65527</v>
          </cell>
        </row>
        <row r="307">
          <cell r="A307">
            <v>65531</v>
          </cell>
        </row>
        <row r="308">
          <cell r="A308">
            <v>65532</v>
          </cell>
        </row>
        <row r="309">
          <cell r="A309">
            <v>65533</v>
          </cell>
        </row>
        <row r="310">
          <cell r="A310">
            <v>65534</v>
          </cell>
        </row>
        <row r="311">
          <cell r="A311">
            <v>65535</v>
          </cell>
        </row>
        <row r="312">
          <cell r="A312">
            <v>60021</v>
          </cell>
        </row>
        <row r="313">
          <cell r="A313">
            <v>60022</v>
          </cell>
        </row>
        <row r="314">
          <cell r="A314">
            <v>60023</v>
          </cell>
        </row>
        <row r="315">
          <cell r="A3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39010_1</v>
          </cell>
        </row>
        <row r="674">
          <cell r="A674" t="str">
            <v>39010_2</v>
          </cell>
        </row>
        <row r="675">
          <cell r="A675" t="str">
            <v>39010_3</v>
          </cell>
        </row>
        <row r="676">
          <cell r="A676" t="str">
            <v>39010_4</v>
          </cell>
        </row>
        <row r="677">
          <cell r="A677" t="str">
            <v>39011_1</v>
          </cell>
        </row>
        <row r="678">
          <cell r="A678" t="str">
            <v>39011_2</v>
          </cell>
        </row>
        <row r="679">
          <cell r="A679" t="str">
            <v>39011_3</v>
          </cell>
        </row>
        <row r="680">
          <cell r="A680" t="str">
            <v>39011_4</v>
          </cell>
        </row>
        <row r="681">
          <cell r="A681" t="str">
            <v>40001_1</v>
          </cell>
        </row>
        <row r="682">
          <cell r="A682" t="str">
            <v>40002_1</v>
          </cell>
        </row>
        <row r="683">
          <cell r="A683" t="str">
            <v>40002_2</v>
          </cell>
        </row>
        <row r="684">
          <cell r="A684" t="str">
            <v>40002_3</v>
          </cell>
        </row>
        <row r="685">
          <cell r="A685" t="str">
            <v>40003_1</v>
          </cell>
        </row>
        <row r="686">
          <cell r="A686" t="str">
            <v>40004_1</v>
          </cell>
        </row>
        <row r="687">
          <cell r="A687" t="str">
            <v>40005_1</v>
          </cell>
        </row>
        <row r="688">
          <cell r="A688" t="str">
            <v>40006_1</v>
          </cell>
        </row>
        <row r="689">
          <cell r="A689" t="str">
            <v>40007_1</v>
          </cell>
        </row>
        <row r="690">
          <cell r="A690" t="str">
            <v>40008_1</v>
          </cell>
        </row>
        <row r="691">
          <cell r="A691" t="str">
            <v>40009_1</v>
          </cell>
        </row>
        <row r="692">
          <cell r="A692" t="str">
            <v>40010_1</v>
          </cell>
        </row>
        <row r="693">
          <cell r="A693" t="str">
            <v>40011_1</v>
          </cell>
        </row>
        <row r="694">
          <cell r="A694" t="str">
            <v>40012_1</v>
          </cell>
        </row>
        <row r="695">
          <cell r="A695" t="str">
            <v>40013_1</v>
          </cell>
        </row>
        <row r="696">
          <cell r="A696" t="str">
            <v>40014_1</v>
          </cell>
        </row>
        <row r="697">
          <cell r="A697" t="str">
            <v>40015_1</v>
          </cell>
        </row>
        <row r="698">
          <cell r="A698" t="str">
            <v>40016_1</v>
          </cell>
        </row>
        <row r="699">
          <cell r="A699" t="str">
            <v>40016_2</v>
          </cell>
        </row>
        <row r="700">
          <cell r="A700" t="str">
            <v>40017_1</v>
          </cell>
        </row>
        <row r="701">
          <cell r="A701" t="str">
            <v>40017_2</v>
          </cell>
        </row>
        <row r="702">
          <cell r="A702" t="str">
            <v>40017_3</v>
          </cell>
        </row>
        <row r="703">
          <cell r="A703" t="str">
            <v>40018_1</v>
          </cell>
        </row>
        <row r="704">
          <cell r="A704" t="str">
            <v>40018_2</v>
          </cell>
        </row>
        <row r="705">
          <cell r="A705" t="str">
            <v>40018_3</v>
          </cell>
        </row>
        <row r="706">
          <cell r="A706" t="str">
            <v>40019_1</v>
          </cell>
        </row>
        <row r="707">
          <cell r="A707" t="str">
            <v>40019_2</v>
          </cell>
        </row>
        <row r="708">
          <cell r="A708" t="str">
            <v>40019_3</v>
          </cell>
        </row>
        <row r="709">
          <cell r="A709" t="str">
            <v>40021_1</v>
          </cell>
        </row>
        <row r="710">
          <cell r="A710" t="str">
            <v>40021_2</v>
          </cell>
        </row>
        <row r="711">
          <cell r="A711" t="str">
            <v>40022_1</v>
          </cell>
        </row>
        <row r="712">
          <cell r="A712" t="str">
            <v>40022_2</v>
          </cell>
        </row>
        <row r="713">
          <cell r="A713" t="str">
            <v>40023_1</v>
          </cell>
        </row>
        <row r="714">
          <cell r="A714" t="str">
            <v>40023_2</v>
          </cell>
        </row>
        <row r="715">
          <cell r="A715" t="str">
            <v>40024_1</v>
          </cell>
        </row>
        <row r="716">
          <cell r="A716" t="str">
            <v>40024_2</v>
          </cell>
        </row>
        <row r="717">
          <cell r="A717" t="str">
            <v>40025_1</v>
          </cell>
        </row>
        <row r="718">
          <cell r="A718" t="str">
            <v>40025_2</v>
          </cell>
        </row>
        <row r="719">
          <cell r="A719" t="str">
            <v>40026_1</v>
          </cell>
        </row>
        <row r="720">
          <cell r="A720" t="str">
            <v>40026_2</v>
          </cell>
        </row>
        <row r="721">
          <cell r="A721" t="str">
            <v>40027_1</v>
          </cell>
        </row>
        <row r="722">
          <cell r="A722" t="str">
            <v>40027_2</v>
          </cell>
        </row>
        <row r="723">
          <cell r="A723" t="str">
            <v>40028_1</v>
          </cell>
        </row>
        <row r="724">
          <cell r="A724" t="str">
            <v>40028_2</v>
          </cell>
        </row>
        <row r="725">
          <cell r="A725" t="str">
            <v>40029_1</v>
          </cell>
        </row>
        <row r="726">
          <cell r="A726" t="str">
            <v>40029_2</v>
          </cell>
        </row>
        <row r="727">
          <cell r="A727" t="str">
            <v>40030_1</v>
          </cell>
        </row>
        <row r="728">
          <cell r="A728" t="str">
            <v>40030_2</v>
          </cell>
        </row>
        <row r="729">
          <cell r="A729" t="str">
            <v>40031_1</v>
          </cell>
        </row>
        <row r="730">
          <cell r="A730" t="str">
            <v>40031_2</v>
          </cell>
        </row>
        <row r="731">
          <cell r="A731" t="str">
            <v>40032_1</v>
          </cell>
        </row>
        <row r="732">
          <cell r="A732" t="str">
            <v>40032_2</v>
          </cell>
        </row>
        <row r="733">
          <cell r="A733" t="str">
            <v>40033_1</v>
          </cell>
        </row>
        <row r="734">
          <cell r="A734" t="str">
            <v>40033_2</v>
          </cell>
        </row>
        <row r="735">
          <cell r="A735" t="str">
            <v>40034_1</v>
          </cell>
        </row>
        <row r="736">
          <cell r="A736" t="str">
            <v>40034_2</v>
          </cell>
        </row>
        <row r="737">
          <cell r="A737" t="str">
            <v>40035_1</v>
          </cell>
        </row>
        <row r="738">
          <cell r="A738" t="str">
            <v>40035_2</v>
          </cell>
        </row>
        <row r="739">
          <cell r="A739" t="str">
            <v>40036_1</v>
          </cell>
        </row>
        <row r="740">
          <cell r="A740" t="str">
            <v>40036_2</v>
          </cell>
        </row>
        <row r="741">
          <cell r="A741" t="str">
            <v>40037_1</v>
          </cell>
        </row>
        <row r="742">
          <cell r="A742" t="str">
            <v>40037_2</v>
          </cell>
        </row>
        <row r="743">
          <cell r="A743" t="str">
            <v>40038_1</v>
          </cell>
        </row>
        <row r="744">
          <cell r="A744" t="str">
            <v>40038_2</v>
          </cell>
        </row>
        <row r="745">
          <cell r="A745" t="str">
            <v>40039_1</v>
          </cell>
        </row>
        <row r="746">
          <cell r="A746" t="str">
            <v>40039_2</v>
          </cell>
        </row>
        <row r="747">
          <cell r="A747" t="str">
            <v>40040_1</v>
          </cell>
        </row>
        <row r="748">
          <cell r="A748" t="str">
            <v>40040_2</v>
          </cell>
        </row>
        <row r="749">
          <cell r="A749" t="str">
            <v>40041_1</v>
          </cell>
        </row>
        <row r="750">
          <cell r="A750" t="str">
            <v>40041_2</v>
          </cell>
        </row>
        <row r="751">
          <cell r="A751" t="str">
            <v>41001_1</v>
          </cell>
        </row>
        <row r="752">
          <cell r="A752" t="str">
            <v>41001_2</v>
          </cell>
        </row>
        <row r="753">
          <cell r="A753" t="str">
            <v>41001_3</v>
          </cell>
        </row>
        <row r="754">
          <cell r="A754" t="str">
            <v>41002_1</v>
          </cell>
        </row>
        <row r="755">
          <cell r="A755" t="str">
            <v>41002_2</v>
          </cell>
        </row>
        <row r="756">
          <cell r="A756" t="str">
            <v>41002_3</v>
          </cell>
        </row>
        <row r="757">
          <cell r="A757" t="str">
            <v>41003_1</v>
          </cell>
        </row>
        <row r="758">
          <cell r="A758" t="str">
            <v>41003_2</v>
          </cell>
        </row>
        <row r="759">
          <cell r="A759" t="str">
            <v>41003_3</v>
          </cell>
        </row>
        <row r="760">
          <cell r="A760" t="str">
            <v>41004_1</v>
          </cell>
        </row>
        <row r="761">
          <cell r="A761" t="str">
            <v>41004_2</v>
          </cell>
        </row>
        <row r="762">
          <cell r="A762" t="str">
            <v>41004_3</v>
          </cell>
        </row>
        <row r="763">
          <cell r="A763" t="str">
            <v>41005_1</v>
          </cell>
        </row>
        <row r="764">
          <cell r="A764" t="str">
            <v>41005_2</v>
          </cell>
        </row>
        <row r="765">
          <cell r="A765" t="str">
            <v>41005_3</v>
          </cell>
        </row>
        <row r="766">
          <cell r="A766" t="str">
            <v>41006_1</v>
          </cell>
        </row>
        <row r="767">
          <cell r="A767" t="str">
            <v>41006_2</v>
          </cell>
        </row>
        <row r="768">
          <cell r="A768" t="str">
            <v>41006_3</v>
          </cell>
        </row>
        <row r="769">
          <cell r="A769" t="str">
            <v>41007_1</v>
          </cell>
        </row>
        <row r="770">
          <cell r="A770" t="str">
            <v>41007_2</v>
          </cell>
        </row>
        <row r="771">
          <cell r="A771" t="str">
            <v>41007_3</v>
          </cell>
        </row>
        <row r="772">
          <cell r="A772" t="str">
            <v>41008_1</v>
          </cell>
        </row>
        <row r="773">
          <cell r="A773" t="str">
            <v>41008_2</v>
          </cell>
        </row>
        <row r="774">
          <cell r="A774" t="str">
            <v>41008_3</v>
          </cell>
        </row>
        <row r="775">
          <cell r="A775" t="str">
            <v>41009_1</v>
          </cell>
        </row>
        <row r="776">
          <cell r="A776" t="str">
            <v>41009_2</v>
          </cell>
        </row>
        <row r="777">
          <cell r="A777" t="str">
            <v>41009_3</v>
          </cell>
        </row>
        <row r="778">
          <cell r="A778" t="str">
            <v>41010_1</v>
          </cell>
        </row>
        <row r="779">
          <cell r="A779" t="str">
            <v>41010_2</v>
          </cell>
        </row>
        <row r="780">
          <cell r="A780" t="str">
            <v>41010_3</v>
          </cell>
        </row>
        <row r="781">
          <cell r="A781" t="str">
            <v>41011_1</v>
          </cell>
        </row>
        <row r="782">
          <cell r="A782" t="str">
            <v>41011_2</v>
          </cell>
        </row>
        <row r="783">
          <cell r="A783" t="str">
            <v>41012_1</v>
          </cell>
        </row>
        <row r="784">
          <cell r="A784" t="str">
            <v>41012_2</v>
          </cell>
        </row>
        <row r="785">
          <cell r="A785" t="str">
            <v>41013_1</v>
          </cell>
        </row>
        <row r="786">
          <cell r="A786" t="str">
            <v>41013_2</v>
          </cell>
        </row>
        <row r="787">
          <cell r="A787" t="str">
            <v>41014_1</v>
          </cell>
        </row>
        <row r="788">
          <cell r="A788" t="str">
            <v>41014_2</v>
          </cell>
        </row>
        <row r="789">
          <cell r="A789" t="str">
            <v>41015_1</v>
          </cell>
        </row>
        <row r="790">
          <cell r="A790" t="str">
            <v>41015_2</v>
          </cell>
        </row>
        <row r="791">
          <cell r="A791" t="str">
            <v>47001_1</v>
          </cell>
        </row>
        <row r="792">
          <cell r="A792" t="str">
            <v>47001_2</v>
          </cell>
        </row>
        <row r="793">
          <cell r="A793" t="str">
            <v>47002_1</v>
          </cell>
        </row>
        <row r="794">
          <cell r="A794" t="str">
            <v>47002_2</v>
          </cell>
        </row>
        <row r="795">
          <cell r="A795" t="str">
            <v>47003_1</v>
          </cell>
        </row>
        <row r="796">
          <cell r="A796" t="str">
            <v>47003_2</v>
          </cell>
        </row>
        <row r="797">
          <cell r="A797" t="str">
            <v>47003_3</v>
          </cell>
        </row>
        <row r="798">
          <cell r="A798" t="str">
            <v>47003_4</v>
          </cell>
        </row>
        <row r="799">
          <cell r="A799" t="str">
            <v>47004_1</v>
          </cell>
        </row>
        <row r="800">
          <cell r="A800" t="str">
            <v>47004_2</v>
          </cell>
        </row>
        <row r="801">
          <cell r="A801" t="str">
            <v>47004_3</v>
          </cell>
        </row>
        <row r="802">
          <cell r="A802" t="str">
            <v>47004_4</v>
          </cell>
        </row>
        <row r="803">
          <cell r="A803" t="str">
            <v>47005_1</v>
          </cell>
        </row>
        <row r="804">
          <cell r="A804" t="str">
            <v>47006_1</v>
          </cell>
        </row>
        <row r="805">
          <cell r="A805" t="str">
            <v>48001_1</v>
          </cell>
        </row>
        <row r="806">
          <cell r="A806" t="str">
            <v>48002_1</v>
          </cell>
        </row>
        <row r="807">
          <cell r="A807" t="str">
            <v>48002_2</v>
          </cell>
        </row>
        <row r="808">
          <cell r="A808" t="str">
            <v>48002_3</v>
          </cell>
        </row>
        <row r="809">
          <cell r="A809" t="str">
            <v>48003_1</v>
          </cell>
        </row>
        <row r="810">
          <cell r="A810" t="str">
            <v>48003_2</v>
          </cell>
        </row>
        <row r="811">
          <cell r="A811" t="str">
            <v>48003_3</v>
          </cell>
        </row>
        <row r="812">
          <cell r="A812" t="str">
            <v>48004_1</v>
          </cell>
        </row>
        <row r="813">
          <cell r="A813" t="str">
            <v>48004_2</v>
          </cell>
        </row>
        <row r="814">
          <cell r="A814" t="str">
            <v>48005_1</v>
          </cell>
        </row>
        <row r="815">
          <cell r="A815" t="str">
            <v>48005_2</v>
          </cell>
        </row>
        <row r="816">
          <cell r="A816" t="str">
            <v>48006_1</v>
          </cell>
        </row>
        <row r="817">
          <cell r="A817" t="str">
            <v>48006_2</v>
          </cell>
        </row>
        <row r="818">
          <cell r="A818" t="str">
            <v>48007_1</v>
          </cell>
        </row>
        <row r="819">
          <cell r="A819" t="str">
            <v>48007_2</v>
          </cell>
        </row>
        <row r="820">
          <cell r="A820" t="str">
            <v>48008_1</v>
          </cell>
        </row>
        <row r="821">
          <cell r="A821" t="str">
            <v>48008_2</v>
          </cell>
        </row>
        <row r="822">
          <cell r="A822" t="str">
            <v>48009_1</v>
          </cell>
        </row>
        <row r="823">
          <cell r="A823" t="str">
            <v>48009_2</v>
          </cell>
        </row>
        <row r="824">
          <cell r="A824" t="str">
            <v>48010_1</v>
          </cell>
        </row>
        <row r="825">
          <cell r="A825" t="str">
            <v>48501_1</v>
          </cell>
        </row>
        <row r="826">
          <cell r="A826" t="str">
            <v>48501_2</v>
          </cell>
        </row>
        <row r="827">
          <cell r="A827" t="str">
            <v>49001_1</v>
          </cell>
        </row>
        <row r="828">
          <cell r="A828" t="str">
            <v>49002_1</v>
          </cell>
        </row>
        <row r="829">
          <cell r="A829" t="str">
            <v>49002_2</v>
          </cell>
        </row>
        <row r="830">
          <cell r="A830" t="str">
            <v>49003_1</v>
          </cell>
        </row>
        <row r="831">
          <cell r="A831" t="str">
            <v>49003_2</v>
          </cell>
        </row>
        <row r="832">
          <cell r="A832" t="str">
            <v>49004_1</v>
          </cell>
        </row>
        <row r="833">
          <cell r="A833" t="str">
            <v>49004_2</v>
          </cell>
        </row>
        <row r="834">
          <cell r="A834" t="str">
            <v>49004_3</v>
          </cell>
        </row>
        <row r="835">
          <cell r="A835" t="str">
            <v>49005_1</v>
          </cell>
        </row>
        <row r="836">
          <cell r="A836" t="str">
            <v>49006_1</v>
          </cell>
        </row>
        <row r="837">
          <cell r="A837" t="str">
            <v>49006_2</v>
          </cell>
        </row>
        <row r="838">
          <cell r="A838" t="str">
            <v>49007_1</v>
          </cell>
        </row>
        <row r="839">
          <cell r="A839" t="str">
            <v>49007_2</v>
          </cell>
        </row>
        <row r="840">
          <cell r="A840" t="str">
            <v>49007_3</v>
          </cell>
        </row>
        <row r="841">
          <cell r="A841" t="str">
            <v>49008_1</v>
          </cell>
        </row>
        <row r="842">
          <cell r="A842" t="str">
            <v>49009_1</v>
          </cell>
        </row>
        <row r="843">
          <cell r="A843" t="str">
            <v>49010_1</v>
          </cell>
        </row>
        <row r="844">
          <cell r="A844" t="str">
            <v>49011_1</v>
          </cell>
        </row>
        <row r="845">
          <cell r="A845" t="str">
            <v>49012_1</v>
          </cell>
        </row>
        <row r="846">
          <cell r="A846" t="str">
            <v>49013_1</v>
          </cell>
        </row>
        <row r="847">
          <cell r="A847" t="str">
            <v>50001_1</v>
          </cell>
        </row>
        <row r="848">
          <cell r="A848" t="str">
            <v>50002_1</v>
          </cell>
        </row>
        <row r="849">
          <cell r="A849" t="str">
            <v>50003_1</v>
          </cell>
        </row>
        <row r="850">
          <cell r="A850" t="str">
            <v>50004_1</v>
          </cell>
        </row>
        <row r="851">
          <cell r="A851" t="str">
            <v>50005_1</v>
          </cell>
        </row>
        <row r="852">
          <cell r="A852" t="str">
            <v>50006_1</v>
          </cell>
        </row>
        <row r="853">
          <cell r="A853" t="str">
            <v>50007_1</v>
          </cell>
        </row>
        <row r="854">
          <cell r="A854" t="str">
            <v>50008_1</v>
          </cell>
        </row>
        <row r="855">
          <cell r="A855" t="str">
            <v>50009_1</v>
          </cell>
        </row>
        <row r="856">
          <cell r="A856" t="str">
            <v>50010_1</v>
          </cell>
        </row>
        <row r="857">
          <cell r="A857" t="str">
            <v>50011_1</v>
          </cell>
        </row>
        <row r="858">
          <cell r="A858" t="str">
            <v>50012_1</v>
          </cell>
        </row>
        <row r="859">
          <cell r="A859" t="str">
            <v>51001_1</v>
          </cell>
        </row>
        <row r="860">
          <cell r="A860" t="str">
            <v>51002_1</v>
          </cell>
        </row>
        <row r="861">
          <cell r="A861" t="str">
            <v>59001_1</v>
          </cell>
        </row>
        <row r="862">
          <cell r="A862" t="str">
            <v>60001_1</v>
          </cell>
        </row>
        <row r="863">
          <cell r="A863" t="str">
            <v>60002_1</v>
          </cell>
        </row>
        <row r="864">
          <cell r="A864" t="str">
            <v>60002_2</v>
          </cell>
        </row>
        <row r="865">
          <cell r="A865" t="str">
            <v>60003_1</v>
          </cell>
        </row>
        <row r="866">
          <cell r="A866" t="str">
            <v>60003_2</v>
          </cell>
        </row>
        <row r="867">
          <cell r="A867" t="str">
            <v>60003_3</v>
          </cell>
        </row>
        <row r="868">
          <cell r="A868" t="str">
            <v>60004_1</v>
          </cell>
        </row>
        <row r="869">
          <cell r="A869" t="str">
            <v>60005_1</v>
          </cell>
        </row>
        <row r="870">
          <cell r="A870" t="str">
            <v>60006_1</v>
          </cell>
        </row>
        <row r="871">
          <cell r="A871" t="str">
            <v>60006_2</v>
          </cell>
        </row>
        <row r="872">
          <cell r="A872" t="str">
            <v>60006_3</v>
          </cell>
        </row>
        <row r="873">
          <cell r="A873" t="str">
            <v>60007_1</v>
          </cell>
        </row>
        <row r="874">
          <cell r="A874" t="str">
            <v>60007_2</v>
          </cell>
        </row>
        <row r="875">
          <cell r="A875" t="str">
            <v>60007_3</v>
          </cell>
        </row>
        <row r="876">
          <cell r="A876" t="str">
            <v>60010_1</v>
          </cell>
        </row>
        <row r="877">
          <cell r="A877" t="str">
            <v>60011_1</v>
          </cell>
        </row>
        <row r="878">
          <cell r="A878" t="str">
            <v>60011_2</v>
          </cell>
        </row>
        <row r="879">
          <cell r="A879" t="str">
            <v>60012_1</v>
          </cell>
        </row>
        <row r="880">
          <cell r="A880" t="str">
            <v>60013_1</v>
          </cell>
        </row>
        <row r="881">
          <cell r="A881" t="str">
            <v>60013_2</v>
          </cell>
        </row>
        <row r="882">
          <cell r="A882" t="str">
            <v>60013_3</v>
          </cell>
        </row>
        <row r="883">
          <cell r="A883" t="str">
            <v>60014_1</v>
          </cell>
        </row>
        <row r="884">
          <cell r="A884" t="str">
            <v>60015_1</v>
          </cell>
        </row>
        <row r="885">
          <cell r="A885" t="str">
            <v>60016_1</v>
          </cell>
        </row>
        <row r="886">
          <cell r="A886" t="str">
            <v>60017_1</v>
          </cell>
        </row>
        <row r="887">
          <cell r="A887" t="str">
            <v>60018_1</v>
          </cell>
        </row>
        <row r="888">
          <cell r="A888" t="str">
            <v>60019_1</v>
          </cell>
        </row>
        <row r="889">
          <cell r="A889" t="str">
            <v>60020_1</v>
          </cell>
        </row>
        <row r="890">
          <cell r="A890" t="str">
            <v>60021_3</v>
          </cell>
        </row>
        <row r="891">
          <cell r="A891" t="str">
            <v>60022_3</v>
          </cell>
        </row>
        <row r="892">
          <cell r="A892" t="str">
            <v>60023_3</v>
          </cell>
        </row>
        <row r="893">
          <cell r="A893" t="str">
            <v>60024_3</v>
          </cell>
        </row>
        <row r="894">
          <cell r="A894" t="str">
            <v>60025_1</v>
          </cell>
        </row>
        <row r="895">
          <cell r="A895" t="str">
            <v>61011_1</v>
          </cell>
        </row>
        <row r="896">
          <cell r="A896" t="str">
            <v>65525_1</v>
          </cell>
        </row>
        <row r="897">
          <cell r="A897" t="str">
            <v>65526_1</v>
          </cell>
        </row>
        <row r="898">
          <cell r="A898" t="str">
            <v>65527_1</v>
          </cell>
        </row>
        <row r="899">
          <cell r="A899" t="str">
            <v>65531_1</v>
          </cell>
        </row>
        <row r="900">
          <cell r="A900" t="str">
            <v>65531_2</v>
          </cell>
        </row>
        <row r="901">
          <cell r="A901" t="str">
            <v>65532_1</v>
          </cell>
        </row>
        <row r="902">
          <cell r="A902" t="str">
            <v>65532_2</v>
          </cell>
        </row>
        <row r="903">
          <cell r="A903" t="str">
            <v>65533_1</v>
          </cell>
        </row>
        <row r="904">
          <cell r="A904" t="str">
            <v>65533_2</v>
          </cell>
        </row>
        <row r="905">
          <cell r="A905" t="str">
            <v>65534_1</v>
          </cell>
        </row>
        <row r="906">
          <cell r="A906" t="str">
            <v>65535_1</v>
          </cell>
        </row>
        <row r="907">
          <cell r="A907" t="str">
            <v>65535_2</v>
          </cell>
        </row>
        <row r="908">
          <cell r="A908" t="str">
            <v>65535_3</v>
          </cell>
        </row>
        <row r="909">
          <cell r="A909" t="str">
            <v>65535_4</v>
          </cell>
        </row>
        <row r="910">
          <cell r="A910" t="str">
            <v>65535_5</v>
          </cell>
        </row>
        <row r="911">
          <cell r="A911" t="str">
            <v>65535_6</v>
          </cell>
        </row>
        <row r="912">
          <cell r="A912" t="str">
            <v>65535_7</v>
          </cell>
        </row>
        <row r="913">
          <cell r="A913" t="str">
            <v>65535_8</v>
          </cell>
        </row>
        <row r="914">
          <cell r="A914" t="str">
            <v>65535_9</v>
          </cell>
        </row>
        <row r="915">
          <cell r="A91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8077</v>
          </cell>
        </row>
        <row r="1474">
          <cell r="A1474">
            <v>8078</v>
          </cell>
        </row>
        <row r="1475">
          <cell r="A1475">
            <v>8079</v>
          </cell>
        </row>
        <row r="1476">
          <cell r="A1476">
            <v>8080</v>
          </cell>
        </row>
        <row r="1477">
          <cell r="A1477">
            <v>8095</v>
          </cell>
        </row>
        <row r="1478">
          <cell r="A1478">
            <v>8096</v>
          </cell>
        </row>
        <row r="1479">
          <cell r="A1479">
            <v>8097</v>
          </cell>
        </row>
        <row r="1480">
          <cell r="A1480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2" sqref="E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131</v>
      </c>
      <c r="B1" s="53" t="s">
        <v>101</v>
      </c>
      <c r="C1" s="53" t="s">
        <v>102</v>
      </c>
      <c r="D1" s="53" t="s">
        <v>103</v>
      </c>
      <c r="E1" s="53" t="s">
        <v>104</v>
      </c>
      <c r="F1" s="53" t="s">
        <v>105</v>
      </c>
      <c r="G1" s="53" t="s">
        <v>106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295</v>
      </c>
      <c r="B2" s="55" t="s">
        <v>107</v>
      </c>
      <c r="C2" s="60">
        <v>65531</v>
      </c>
      <c r="D2" s="55" t="s">
        <v>108</v>
      </c>
      <c r="E2" s="54" t="str">
        <f>B2&amp;C2&amp;D2</f>
        <v>floors_65531.tmp</v>
      </c>
      <c r="F2" s="55" t="s">
        <v>109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295</v>
      </c>
      <c r="B3" s="55" t="s">
        <v>110</v>
      </c>
      <c r="C3" s="60">
        <v>65531</v>
      </c>
      <c r="D3" s="55" t="s">
        <v>108</v>
      </c>
      <c r="E3" s="54" t="str">
        <f>B3&amp;C3&amp;D3</f>
        <v>enemy_habitats_65531.tmp</v>
      </c>
      <c r="F3" s="55" t="s">
        <v>111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180</v>
      </c>
    </row>
    <row r="4" spans="1:30" x14ac:dyDescent="0.15">
      <c r="A4" s="59" t="s">
        <v>295</v>
      </c>
      <c r="B4" s="55" t="s">
        <v>112</v>
      </c>
      <c r="C4" s="60">
        <v>65531</v>
      </c>
      <c r="D4" s="55" t="s">
        <v>108</v>
      </c>
      <c r="E4" s="54" t="str">
        <f>B4&amp;C4&amp;D4</f>
        <v>enemy_habitat_S_65531.tmp</v>
      </c>
      <c r="F4" s="55" t="s">
        <v>113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295</v>
      </c>
      <c r="B5" s="55" t="s">
        <v>114</v>
      </c>
      <c r="C5" s="60">
        <v>65531</v>
      </c>
      <c r="D5" s="55" t="s">
        <v>108</v>
      </c>
      <c r="E5" s="54" t="str">
        <f>B5&amp;C5&amp;D5</f>
        <v>enemy_skill_sets_65531.tmp</v>
      </c>
      <c r="F5" s="55" t="s">
        <v>115</v>
      </c>
      <c r="G5" s="57" t="s">
        <v>22</v>
      </c>
      <c r="H5" s="57" t="s">
        <v>100</v>
      </c>
      <c r="I5" s="57" t="s">
        <v>95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295</v>
      </c>
      <c r="B6" s="55" t="s">
        <v>116</v>
      </c>
      <c r="C6" s="60">
        <v>65531</v>
      </c>
      <c r="D6" s="55" t="s">
        <v>117</v>
      </c>
      <c r="E6" s="54" t="str">
        <f t="shared" ref="E6:E10" si="0">B6&amp;C6&amp;D6</f>
        <v>enemy_skills_tmp_65531.tmp</v>
      </c>
      <c r="F6" s="55" t="s">
        <v>91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295</v>
      </c>
      <c r="B7" s="55" t="s">
        <v>118</v>
      </c>
      <c r="C7" s="60">
        <v>65531</v>
      </c>
      <c r="D7" s="55" t="s">
        <v>108</v>
      </c>
      <c r="E7" s="54" t="str">
        <f>B7&amp;C7&amp;D7</f>
        <v>enemy_skills_i18n_65531.tmp</v>
      </c>
      <c r="F7" s="55" t="s">
        <v>119</v>
      </c>
      <c r="G7" s="56" t="s">
        <v>79</v>
      </c>
      <c r="H7" s="56" t="s">
        <v>92</v>
      </c>
      <c r="I7" s="56" t="s">
        <v>93</v>
      </c>
      <c r="J7" s="56" t="s">
        <v>94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295</v>
      </c>
      <c r="B8" s="55" t="s">
        <v>120</v>
      </c>
      <c r="C8" s="60">
        <v>65531</v>
      </c>
      <c r="D8" s="55" t="s">
        <v>121</v>
      </c>
      <c r="E8" s="54" t="str">
        <f t="shared" si="0"/>
        <v>enemy_skill_triggers_65531.tmp</v>
      </c>
      <c r="F8" s="55" t="s">
        <v>122</v>
      </c>
      <c r="G8" s="56" t="s">
        <v>95</v>
      </c>
      <c r="H8" s="56" t="s">
        <v>96</v>
      </c>
      <c r="I8" s="56" t="s">
        <v>97</v>
      </c>
      <c r="J8" s="56" t="s">
        <v>98</v>
      </c>
      <c r="K8" s="56" t="s">
        <v>123</v>
      </c>
      <c r="L8" s="56" t="s">
        <v>99</v>
      </c>
      <c r="M8" s="56" t="s">
        <v>124</v>
      </c>
      <c r="N8" s="56" t="s">
        <v>125</v>
      </c>
      <c r="O8" s="56" t="s">
        <v>126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296</v>
      </c>
      <c r="B9" s="65" t="s">
        <v>179</v>
      </c>
      <c r="C9" s="60">
        <v>65531</v>
      </c>
      <c r="D9" s="65" t="s">
        <v>173</v>
      </c>
      <c r="E9" s="66" t="str">
        <f t="shared" si="0"/>
        <v>stage_bug_bonuses_65531.tmp</v>
      </c>
      <c r="F9" s="65" t="s">
        <v>174</v>
      </c>
      <c r="G9" s="62" t="s">
        <v>151</v>
      </c>
      <c r="H9" s="62" t="s">
        <v>175</v>
      </c>
      <c r="I9" s="62" t="s">
        <v>176</v>
      </c>
      <c r="J9" s="64" t="s">
        <v>177</v>
      </c>
      <c r="K9" s="62" t="s">
        <v>178</v>
      </c>
      <c r="L9" s="62" t="s">
        <v>157</v>
      </c>
      <c r="M9" s="62" t="s">
        <v>158</v>
      </c>
      <c r="N9" s="62" t="s">
        <v>159</v>
      </c>
      <c r="O9" s="62" t="s">
        <v>160</v>
      </c>
      <c r="P9" s="62" t="s">
        <v>161</v>
      </c>
      <c r="Q9" s="62" t="s">
        <v>162</v>
      </c>
      <c r="R9" s="62" t="s">
        <v>163</v>
      </c>
      <c r="S9" s="62" t="s">
        <v>164</v>
      </c>
      <c r="T9" s="62" t="s">
        <v>165</v>
      </c>
      <c r="U9" s="62" t="s">
        <v>166</v>
      </c>
      <c r="V9" s="62" t="s">
        <v>167</v>
      </c>
      <c r="W9" s="62" t="s">
        <v>168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296</v>
      </c>
      <c r="B10" s="65" t="s">
        <v>204</v>
      </c>
      <c r="C10" s="60">
        <v>65531</v>
      </c>
      <c r="D10" s="65" t="s">
        <v>182</v>
      </c>
      <c r="E10" s="66" t="str">
        <f t="shared" si="0"/>
        <v>stage_hints_data_c_65531.tmp</v>
      </c>
      <c r="F10" s="65" t="s">
        <v>212</v>
      </c>
      <c r="G10" s="71" t="s">
        <v>183</v>
      </c>
      <c r="H10" s="71" t="s">
        <v>175</v>
      </c>
      <c r="I10" s="72" t="s">
        <v>184</v>
      </c>
      <c r="J10" s="64" t="s">
        <v>185</v>
      </c>
      <c r="K10" s="64" t="s">
        <v>186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3" customFormat="1" x14ac:dyDescent="0.15">
      <c r="A11" s="59" t="s">
        <v>296</v>
      </c>
      <c r="B11" s="65" t="s">
        <v>205</v>
      </c>
      <c r="C11" s="60">
        <v>65531</v>
      </c>
      <c r="D11" s="65" t="s">
        <v>173</v>
      </c>
      <c r="E11" s="66" t="str">
        <f t="shared" ref="E11:E13" si="1">B11&amp;C11&amp;D11</f>
        <v>stage_hints_data_f_65531.tmp</v>
      </c>
      <c r="F11" s="65" t="s">
        <v>214</v>
      </c>
      <c r="G11" s="71" t="s">
        <v>183</v>
      </c>
      <c r="H11" s="71" t="s">
        <v>175</v>
      </c>
      <c r="I11" s="72" t="s">
        <v>184</v>
      </c>
      <c r="J11" s="64" t="s">
        <v>185</v>
      </c>
      <c r="K11" s="64" t="s">
        <v>186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3" customFormat="1" x14ac:dyDescent="0.15">
      <c r="A12" s="59" t="s">
        <v>296</v>
      </c>
      <c r="B12" s="65" t="s">
        <v>206</v>
      </c>
      <c r="C12" s="60">
        <v>65531</v>
      </c>
      <c r="D12" s="65" t="s">
        <v>173</v>
      </c>
      <c r="E12" s="66" t="str">
        <f t="shared" si="1"/>
        <v>stage_hints_i18n_65531.tmp</v>
      </c>
      <c r="F12" s="65" t="s">
        <v>215</v>
      </c>
      <c r="G12" s="72" t="s">
        <v>207</v>
      </c>
      <c r="H12" s="94" t="s">
        <v>208</v>
      </c>
      <c r="I12" s="71" t="s">
        <v>209</v>
      </c>
      <c r="J12" s="102" t="s">
        <v>210</v>
      </c>
      <c r="K12" s="64" t="s">
        <v>211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3" customFormat="1" x14ac:dyDescent="0.15">
      <c r="A13" s="65" t="s">
        <v>257</v>
      </c>
      <c r="B13" s="65" t="s">
        <v>256</v>
      </c>
      <c r="C13" s="60">
        <v>65531</v>
      </c>
      <c r="D13" s="65" t="s">
        <v>237</v>
      </c>
      <c r="E13" s="66" t="str">
        <f t="shared" si="1"/>
        <v>stage_bonuses_65531.tmp</v>
      </c>
      <c r="F13" s="65" t="s">
        <v>236</v>
      </c>
      <c r="G13" s="71" t="s">
        <v>238</v>
      </c>
      <c r="H13" s="71" t="s">
        <v>239</v>
      </c>
      <c r="I13" s="71" t="s">
        <v>240</v>
      </c>
      <c r="J13" s="71" t="s">
        <v>241</v>
      </c>
      <c r="K13" s="71" t="s">
        <v>242</v>
      </c>
      <c r="L13" s="71" t="s">
        <v>243</v>
      </c>
      <c r="M13" s="71" t="s">
        <v>244</v>
      </c>
      <c r="N13" s="71" t="s">
        <v>245</v>
      </c>
      <c r="O13" s="71" t="s">
        <v>246</v>
      </c>
      <c r="P13" s="71" t="s">
        <v>247</v>
      </c>
      <c r="Q13" s="71" t="s">
        <v>248</v>
      </c>
      <c r="R13" s="71" t="s">
        <v>249</v>
      </c>
      <c r="S13" s="71" t="s">
        <v>250</v>
      </c>
      <c r="T13" s="71" t="s">
        <v>251</v>
      </c>
      <c r="U13" s="71" t="s">
        <v>252</v>
      </c>
      <c r="V13" s="71" t="s">
        <v>253</v>
      </c>
      <c r="W13" s="71" t="s">
        <v>254</v>
      </c>
      <c r="X13" s="71" t="s">
        <v>255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"/>
  <sheetViews>
    <sheetView showGridLines="0" workbookViewId="0">
      <pane ySplit="1" topLeftCell="A2" activePane="bottomLeft" state="frozen"/>
      <selection activeCell="V2" sqref="V2:X34"/>
      <selection pane="bottomLeft" activeCell="F12" sqref="F12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7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4" t="s">
        <v>30</v>
      </c>
      <c r="B1" s="14" t="s">
        <v>36</v>
      </c>
      <c r="C1" s="185" t="s">
        <v>0</v>
      </c>
      <c r="D1" s="120" t="s">
        <v>18</v>
      </c>
      <c r="E1" s="120" t="s">
        <v>33</v>
      </c>
      <c r="F1" s="185" t="s">
        <v>1</v>
      </c>
      <c r="G1" s="165" t="s">
        <v>32</v>
      </c>
      <c r="H1" s="120" t="s">
        <v>34</v>
      </c>
      <c r="I1" s="185" t="s">
        <v>13</v>
      </c>
      <c r="J1" s="185" t="s">
        <v>14</v>
      </c>
      <c r="K1" s="185" t="s">
        <v>15</v>
      </c>
    </row>
    <row r="2" spans="1:11" ht="21" customHeight="1" x14ac:dyDescent="0.15">
      <c r="A2" s="14" t="str">
        <f>G2&amp;"-"&amp;I2</f>
        <v>65531_1-1</v>
      </c>
      <c r="B2" s="14" t="str">
        <f>IF(COUNTIF(enemy_habitats!$H:$H,A2),"OK","NG")</f>
        <v>OK</v>
      </c>
      <c r="C2" s="186">
        <v>65531</v>
      </c>
      <c r="D2" s="169" t="str">
        <f ca="1">VLOOKUP($C2,OFFSET([2]quests!$A$1,0,0,COUNTA([2]quests!$A:$A),MATCH(D$1,[2]quests!$1:$1,0)-MATCH($C$1,[2]quests!$1:$1,0)+1),MATCH(D$1,[2]quests!$1:$1,0)-MATCH($C$1,[2]quests!$1:$1,0)+1,FALSE)</f>
        <v>【LB塚本】検証クエスト</v>
      </c>
      <c r="E2" s="169" t="str">
        <f ca="1">VLOOKUP($C2,OFFSET([2]quests!$A$1,0,0,COUNTA([2]quests!$A:$A),MATCH(E$1,[2]quests!$1:$1,0)-MATCH($C$1,[2]quests!$1:$1,0)+1),MATCH(E$1,[2]quests!$1:$1,0)-MATCH($C$1,[2]quests!$1:$1,0)+1,FALSE)</f>
        <v>検証</v>
      </c>
      <c r="F2" s="170">
        <v>1</v>
      </c>
      <c r="G2" s="171" t="str">
        <f>C2&amp;"_"&amp;F2</f>
        <v>65531_1</v>
      </c>
      <c r="H2" s="172" t="str">
        <f ca="1">VLOOKUP($G2,OFFSET([2]stages!$A$1,0,0,COUNTA([2]stages!$A:$A),MATCH(H$1,[2]stages!$2:$2,0)-MATCH($G$1,[2]stages!$2:$2,0)+1),MATCH(H$1,[2]stages!$2:$2,0)-MATCH($G$1,[2]stages!$2:$2,0)+1,FALSE)</f>
        <v>【LB塚本】検証</v>
      </c>
      <c r="I2" s="170">
        <v>1</v>
      </c>
      <c r="J2" s="173">
        <v>40</v>
      </c>
      <c r="K2" s="174">
        <v>40</v>
      </c>
    </row>
    <row r="3" spans="1:11" ht="21" customHeight="1" x14ac:dyDescent="0.15">
      <c r="A3" s="14" t="str">
        <f t="shared" ref="A3:A4" si="0">G3&amp;"-"&amp;I3</f>
        <v>65531_1-2</v>
      </c>
      <c r="B3" s="14" t="str">
        <f>IF(COUNTIF(enemy_habitats!$H:$H,A3),"OK","NG")</f>
        <v>OK</v>
      </c>
      <c r="C3" s="187">
        <v>65531</v>
      </c>
      <c r="D3" s="16" t="str">
        <f ca="1">VLOOKUP($C3,OFFSET([2]quests!$A$1,0,0,COUNTA([2]quests!$A:$A),MATCH(D$1,[2]quests!$1:$1,0)-MATCH($C$1,[2]quests!$1:$1,0)+1),MATCH(D$1,[2]quests!$1:$1,0)-MATCH($C$1,[2]quests!$1:$1,0)+1,FALSE)</f>
        <v>【LB塚本】検証クエスト</v>
      </c>
      <c r="E3" s="16" t="str">
        <f ca="1">VLOOKUP($C3,OFFSET([2]quests!$A$1,0,0,COUNTA([2]quests!$A:$A),MATCH(E$1,[2]quests!$1:$1,0)-MATCH($C$1,[2]quests!$1:$1,0)+1),MATCH(E$1,[2]quests!$1:$1,0)-MATCH($C$1,[2]quests!$1:$1,0)+1,FALSE)</f>
        <v>検証</v>
      </c>
      <c r="F3" s="178">
        <v>1</v>
      </c>
      <c r="G3" s="21" t="str">
        <f t="shared" ref="G3:G4" si="1">C3&amp;"_"&amp;F3</f>
        <v>65531_1</v>
      </c>
      <c r="H3" s="13" t="str">
        <f ca="1">VLOOKUP($G3,OFFSET([2]stages!$A$1,0,0,COUNTA([2]stages!$A:$A),MATCH(H$1,[2]stages!$2:$2,0)-MATCH($G$1,[2]stages!$2:$2,0)+1),MATCH(H$1,[2]stages!$2:$2,0)-MATCH($G$1,[2]stages!$2:$2,0)+1,FALSE)</f>
        <v>【LB塚本】検証</v>
      </c>
      <c r="I3" s="178">
        <v>2</v>
      </c>
      <c r="J3" s="36">
        <v>60</v>
      </c>
      <c r="K3" s="179">
        <v>60</v>
      </c>
    </row>
    <row r="4" spans="1:11" ht="21" customHeight="1" thickBot="1" x14ac:dyDescent="0.2">
      <c r="A4" s="14" t="str">
        <f t="shared" si="0"/>
        <v>65531_1-3</v>
      </c>
      <c r="B4" s="14" t="str">
        <f>IF(COUNTIF(enemy_habitats!$H:$H,A4),"OK","NG")</f>
        <v>OK</v>
      </c>
      <c r="C4" s="188">
        <v>65531</v>
      </c>
      <c r="D4" s="182" t="str">
        <f ca="1">VLOOKUP($C4,OFFSET([2]quests!$A$1,0,0,COUNTA([2]quests!$A:$A),MATCH(D$1,[2]quests!$1:$1,0)-MATCH($C$1,[2]quests!$1:$1,0)+1),MATCH(D$1,[2]quests!$1:$1,0)-MATCH($C$1,[2]quests!$1:$1,0)+1,FALSE)</f>
        <v>【LB塚本】検証クエスト</v>
      </c>
      <c r="E4" s="182" t="str">
        <f ca="1">VLOOKUP($C4,OFFSET([2]quests!$A$1,0,0,COUNTA([2]quests!$A:$A),MATCH(E$1,[2]quests!$1:$1,0)-MATCH($C$1,[2]quests!$1:$1,0)+1),MATCH(E$1,[2]quests!$1:$1,0)-MATCH($C$1,[2]quests!$1:$1,0)+1,FALSE)</f>
        <v>検証</v>
      </c>
      <c r="F4" s="147">
        <v>1</v>
      </c>
      <c r="G4" s="183" t="str">
        <f t="shared" si="1"/>
        <v>65531_1</v>
      </c>
      <c r="H4" s="148" t="str">
        <f ca="1">VLOOKUP($G4,OFFSET([2]stages!$A$1,0,0,COUNTA([2]stages!$A:$A),MATCH(H$1,[2]stages!$2:$2,0)-MATCH($G$1,[2]stages!$2:$2,0)+1),MATCH(H$1,[2]stages!$2:$2,0)-MATCH($G$1,[2]stages!$2:$2,0)+1,FALSE)</f>
        <v>【LB塚本】検証</v>
      </c>
      <c r="I4" s="147">
        <v>3</v>
      </c>
      <c r="J4" s="150">
        <v>60</v>
      </c>
      <c r="K4" s="184">
        <v>60</v>
      </c>
    </row>
    <row r="5" spans="1:11" ht="21" customHeight="1" x14ac:dyDescent="0.15">
      <c r="A5" s="166" t="str">
        <f>G5&amp;"-"&amp;I5</f>
        <v>65531_2-1</v>
      </c>
      <c r="B5" s="167" t="str">
        <f>IF(COUNTIF(enemy_habitats!$H:$H,A5),"OK","NG")</f>
        <v>OK</v>
      </c>
      <c r="C5" s="168">
        <v>65531</v>
      </c>
      <c r="D5" s="169" t="str">
        <f ca="1">VLOOKUP($C5,OFFSET([2]quests!$A$1,0,0,COUNTA([2]quests!$A:$A),MATCH(D$1,[2]quests!$1:$1,0)-MATCH($C$1,[2]quests!$1:$1,0)+1),MATCH(D$1,[2]quests!$1:$1,0)-MATCH($C$1,[2]quests!$1:$1,0)+1,FALSE)</f>
        <v>【LB塚本】検証クエスト</v>
      </c>
      <c r="E5" s="169" t="str">
        <f ca="1">VLOOKUP($C5,OFFSET([2]quests!$A$1,0,0,COUNTA([2]quests!$A:$A),MATCH(E$1,[2]quests!$1:$1,0)-MATCH($C$1,[2]quests!$1:$1,0)+1),MATCH(E$1,[2]quests!$1:$1,0)-MATCH($C$1,[2]quests!$1:$1,0)+1,FALSE)</f>
        <v>検証</v>
      </c>
      <c r="F5" s="170">
        <v>2</v>
      </c>
      <c r="G5" s="171" t="str">
        <f>C5&amp;"_"&amp;F5</f>
        <v>65531_2</v>
      </c>
      <c r="H5" s="172" t="str">
        <f ca="1">VLOOKUP($G5,OFFSET([2]stages!$A$1,0,0,COUNTA([2]stages!$A:$A),MATCH(H$1,[2]stages!$2:$2,0)-MATCH($G$1,[2]stages!$2:$2,0)+1),MATCH(H$1,[2]stages!$2:$2,0)-MATCH($G$1,[2]stages!$2:$2,0)+1,FALSE)</f>
        <v>【LB塚本】検証プレイ用</v>
      </c>
      <c r="I5" s="170">
        <v>1</v>
      </c>
      <c r="J5" s="173">
        <v>40</v>
      </c>
      <c r="K5" s="174">
        <v>40</v>
      </c>
    </row>
    <row r="6" spans="1:11" ht="21" customHeight="1" x14ac:dyDescent="0.15">
      <c r="A6" s="175" t="str">
        <f t="shared" ref="A6:A7" si="2">G6&amp;"-"&amp;I6</f>
        <v>65531_2-2</v>
      </c>
      <c r="B6" s="176" t="str">
        <f>IF(COUNTIF(enemy_habitats!$H:$H,A6),"OK","NG")</f>
        <v>OK</v>
      </c>
      <c r="C6" s="177">
        <v>65531</v>
      </c>
      <c r="D6" s="16" t="str">
        <f ca="1">VLOOKUP($C6,OFFSET([2]quests!$A$1,0,0,COUNTA([2]quests!$A:$A),MATCH(D$1,[2]quests!$1:$1,0)-MATCH($C$1,[2]quests!$1:$1,0)+1),MATCH(D$1,[2]quests!$1:$1,0)-MATCH($C$1,[2]quests!$1:$1,0)+1,FALSE)</f>
        <v>【LB塚本】検証クエスト</v>
      </c>
      <c r="E6" s="16" t="str">
        <f ca="1">VLOOKUP($C6,OFFSET([2]quests!$A$1,0,0,COUNTA([2]quests!$A:$A),MATCH(E$1,[2]quests!$1:$1,0)-MATCH($C$1,[2]quests!$1:$1,0)+1),MATCH(E$1,[2]quests!$1:$1,0)-MATCH($C$1,[2]quests!$1:$1,0)+1,FALSE)</f>
        <v>検証</v>
      </c>
      <c r="F6" s="178">
        <v>2</v>
      </c>
      <c r="G6" s="21" t="str">
        <f t="shared" ref="G6:G7" si="3">C6&amp;"_"&amp;F6</f>
        <v>65531_2</v>
      </c>
      <c r="H6" s="13" t="str">
        <f ca="1">VLOOKUP($G6,OFFSET([2]stages!$A$1,0,0,COUNTA([2]stages!$A:$A),MATCH(H$1,[2]stages!$2:$2,0)-MATCH($G$1,[2]stages!$2:$2,0)+1),MATCH(H$1,[2]stages!$2:$2,0)-MATCH($G$1,[2]stages!$2:$2,0)+1,FALSE)</f>
        <v>【LB塚本】検証プレイ用</v>
      </c>
      <c r="I6" s="178">
        <v>2</v>
      </c>
      <c r="J6" s="36">
        <v>60</v>
      </c>
      <c r="K6" s="179">
        <v>60</v>
      </c>
    </row>
    <row r="7" spans="1:11" ht="21" customHeight="1" x14ac:dyDescent="0.15">
      <c r="A7" s="175" t="str">
        <f t="shared" si="2"/>
        <v>65531_2-3</v>
      </c>
      <c r="B7" s="176" t="str">
        <f>IF(COUNTIF(enemy_habitats!$H:$H,A7),"OK","NG")</f>
        <v>OK</v>
      </c>
      <c r="C7" s="177">
        <v>65531</v>
      </c>
      <c r="D7" s="16" t="str">
        <f ca="1">VLOOKUP($C7,OFFSET([2]quests!$A$1,0,0,COUNTA([2]quests!$A:$A),MATCH(D$1,[2]quests!$1:$1,0)-MATCH($C$1,[2]quests!$1:$1,0)+1),MATCH(D$1,[2]quests!$1:$1,0)-MATCH($C$1,[2]quests!$1:$1,0)+1,FALSE)</f>
        <v>【LB塚本】検証クエスト</v>
      </c>
      <c r="E7" s="16" t="str">
        <f ca="1">VLOOKUP($C7,OFFSET([2]quests!$A$1,0,0,COUNTA([2]quests!$A:$A),MATCH(E$1,[2]quests!$1:$1,0)-MATCH($C$1,[2]quests!$1:$1,0)+1),MATCH(E$1,[2]quests!$1:$1,0)-MATCH($C$1,[2]quests!$1:$1,0)+1,FALSE)</f>
        <v>検証</v>
      </c>
      <c r="F7" s="178">
        <v>2</v>
      </c>
      <c r="G7" s="21" t="str">
        <f t="shared" si="3"/>
        <v>65531_2</v>
      </c>
      <c r="H7" s="13" t="str">
        <f ca="1">VLOOKUP($G7,OFFSET([2]stages!$A$1,0,0,COUNTA([2]stages!$A:$A),MATCH(H$1,[2]stages!$2:$2,0)-MATCH($G$1,[2]stages!$2:$2,0)+1),MATCH(H$1,[2]stages!$2:$2,0)-MATCH($G$1,[2]stages!$2:$2,0)+1,FALSE)</f>
        <v>【LB塚本】検証プレイ用</v>
      </c>
      <c r="I7" s="178">
        <v>3</v>
      </c>
      <c r="J7" s="36">
        <v>50</v>
      </c>
      <c r="K7" s="179">
        <v>50</v>
      </c>
    </row>
    <row r="8" spans="1:11" ht="21" customHeight="1" thickBot="1" x14ac:dyDescent="0.2">
      <c r="A8" s="180" t="str">
        <f t="shared" ref="A8" si="4">G8&amp;"-"&amp;I8</f>
        <v>65531_2-4</v>
      </c>
      <c r="B8" s="181" t="str">
        <f>IF(COUNTIF(enemy_habitats!$H:$H,A8),"OK","NG")</f>
        <v>OK</v>
      </c>
      <c r="C8" s="158">
        <v>65531</v>
      </c>
      <c r="D8" s="182" t="str">
        <f ca="1">VLOOKUP($C8,OFFSET([2]quests!$A$1,0,0,COUNTA([2]quests!$A:$A),MATCH(D$1,[2]quests!$1:$1,0)-MATCH($C$1,[2]quests!$1:$1,0)+1),MATCH(D$1,[2]quests!$1:$1,0)-MATCH($C$1,[2]quests!$1:$1,0)+1,FALSE)</f>
        <v>【LB塚本】検証クエスト</v>
      </c>
      <c r="E8" s="182" t="str">
        <f ca="1">VLOOKUP($C8,OFFSET([2]quests!$A$1,0,0,COUNTA([2]quests!$A:$A),MATCH(E$1,[2]quests!$1:$1,0)-MATCH($C$1,[2]quests!$1:$1,0)+1),MATCH(E$1,[2]quests!$1:$1,0)-MATCH($C$1,[2]quests!$1:$1,0)+1,FALSE)</f>
        <v>検証</v>
      </c>
      <c r="F8" s="147">
        <v>2</v>
      </c>
      <c r="G8" s="183" t="str">
        <f t="shared" ref="G8" si="5">C8&amp;"_"&amp;F8</f>
        <v>65531_2</v>
      </c>
      <c r="H8" s="148" t="str">
        <f ca="1">VLOOKUP($G8,OFFSET([2]stages!$A$1,0,0,COUNTA([2]stages!$A:$A),MATCH(H$1,[2]stages!$2:$2,0)-MATCH($G$1,[2]stages!$2:$2,0)+1),MATCH(H$1,[2]stages!$2:$2,0)-MATCH($G$1,[2]stages!$2:$2,0)+1,FALSE)</f>
        <v>【LB塚本】検証プレイ用</v>
      </c>
      <c r="I8" s="147">
        <v>4</v>
      </c>
      <c r="J8" s="150">
        <v>60</v>
      </c>
      <c r="K8" s="184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2"/>
  <sheetViews>
    <sheetView showGridLines="0" tabSelected="1" workbookViewId="0">
      <pane xSplit="13" topLeftCell="O1" activePane="topRight" state="frozen"/>
      <selection pane="topRight" activeCell="T24" sqref="T24"/>
    </sheetView>
  </sheetViews>
  <sheetFormatPr baseColWidth="12" defaultColWidth="13" defaultRowHeight="21" customHeight="1" outlineLevelCol="1" x14ac:dyDescent="0.15"/>
  <cols>
    <col min="1" max="1" width="17.5" style="17" customWidth="1"/>
    <col min="2" max="2" width="10.83203125" style="2" bestFit="1" customWidth="1"/>
    <col min="3" max="3" width="10.6640625" style="2" bestFit="1" customWidth="1" collapsed="1"/>
    <col min="4" max="4" width="13" style="12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/>
    <col min="13" max="13" width="11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4.83203125" style="105" customWidth="1"/>
    <col min="21" max="21" width="17.5" style="2" bestFit="1" customWidth="1"/>
    <col min="22" max="22" width="17.5" style="2" customWidth="1"/>
    <col min="23" max="23" width="18.33203125" style="2" bestFit="1" customWidth="1"/>
    <col min="24" max="24" width="10" style="2" customWidth="1"/>
    <col min="25" max="25" width="12.1640625" style="2" customWidth="1" outlineLevel="1"/>
    <col min="26" max="26" width="11.33203125" style="2" bestFit="1" customWidth="1"/>
    <col min="27" max="27" width="11.6640625" style="2" bestFit="1" customWidth="1"/>
    <col min="28" max="28" width="10.6640625" style="2" bestFit="1" customWidth="1"/>
    <col min="29" max="29" width="9.33203125" style="2" bestFit="1" customWidth="1"/>
    <col min="30" max="30" width="13" style="2" bestFit="1" customWidth="1"/>
    <col min="31" max="31" width="11.5" style="1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2" bestFit="1" customWidth="1"/>
    <col min="37" max="37" width="6.6640625" style="2" bestFit="1" customWidth="1"/>
    <col min="38" max="38" width="9.33203125" style="2" bestFit="1" customWidth="1"/>
    <col min="39" max="39" width="10.33203125" style="2" bestFit="1" customWidth="1"/>
    <col min="40" max="40" width="7.6640625" style="2" bestFit="1" customWidth="1"/>
    <col min="41" max="41" width="4" style="2" bestFit="1" customWidth="1"/>
    <col min="42" max="16384" width="13" style="2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3" t="s">
        <v>258</v>
      </c>
      <c r="U1" s="24" t="s">
        <v>50</v>
      </c>
      <c r="V1" s="103" t="s">
        <v>259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181</v>
      </c>
    </row>
    <row r="2" spans="1:42" ht="21" customHeight="1" x14ac:dyDescent="0.15">
      <c r="A2" s="14" t="str">
        <f>B2&amp;"_"&amp;C2&amp;"-"&amp;G2&amp;"/"&amp;L2&amp;"&lt;lv"&amp;R2&amp;"&gt;s"&amp;AC2</f>
        <v>65531_1-1/373&lt;lv40&gt;s2</v>
      </c>
      <c r="B2" s="20">
        <v>65531</v>
      </c>
      <c r="C2" s="19">
        <v>1</v>
      </c>
      <c r="D2" s="1" t="str">
        <f>B2&amp;"_"&amp;C2</f>
        <v>65531_1</v>
      </c>
      <c r="E2" s="3" t="str">
        <f ca="1">VLOOKUP($B2,OFFSET([2]quests!$A$1,0,0,COUNTA([2]quests!$A:$A),MATCH(E$1,[2]quests!$1:$1,0)-MATCH($B$1,[2]quests!$1:$1,0)+1),MATCH(E$1,[2]quests!$1:$1,0)-MATCH($B$1,[2]quests!$1:$1,0)+1,FALSE)</f>
        <v>【LB塚本】検証クエスト</v>
      </c>
      <c r="F2" s="3" t="str">
        <f ca="1">VLOOKUP($D2,OFFSET([2]stages!$A$1,0,0,COUNTA([2]stages!$A:$A),MATCH(F$1,[2]stages!$2:$2,0)-MATCH($D$1,[2]stages!$2:$2,0)+1),MATCH(F$1,[2]stages!$2:$2,0)-MATCH($D$1,[2]stages!$2:$2,0)+1,FALSE)</f>
        <v>【LB塚本】検証</v>
      </c>
      <c r="G2" s="19">
        <v>1</v>
      </c>
      <c r="H2" s="13" t="str">
        <f>B2&amp;"_"&amp;C2&amp;"-"&amp;G2</f>
        <v>65531_1-1</v>
      </c>
      <c r="I2" s="3">
        <f ca="1">VLOOKUP($H2,OFFSET(floors!$A$1,0,0,COUNTA(floors!$A:$A),MATCH(I$1,floors!$1:$1,0)-MATCH($H$1,floors!$1:$1,0)+1),MATCH(I$1,floors!$1:$1,0)-MATCH($H$1,floors!$1:$1,0)+1,FALSE)</f>
        <v>40</v>
      </c>
      <c r="J2" s="3">
        <f ca="1">VLOOKUP($H2,OFFSET(floors!$A$1,0,0,COUNTA(floors!$A:$A),MATCH(J$1,floors!$1:$1,0)-MATCH($H$1,floors!$1:$1,0)+1),MATCH(J$1,floors!$1:$1,0)-MATCH($H$1,floors!$1:$1,0)+1,FALSE)</f>
        <v>40</v>
      </c>
      <c r="K2" s="36" t="s">
        <v>53</v>
      </c>
      <c r="L2" s="18">
        <v>373</v>
      </c>
      <c r="M2" s="15" t="str">
        <f ca="1">VLOOKUP($L2,OFFSET([3]enemies!$A$1,0,0,COUNTA([3]enemies!$A:$A),MATCH(M$1,[3]enemies!$1:$1,0)-MATCH($L$1,[3]enemies!$1:$1,0)+1),MATCH(M$1,[3]enemies!$1:$1,0)-MATCH($L$1,[3]enemies!$1:$1,0)+1,FALSE)</f>
        <v>夢幻俳聖 バショー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5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5">
        <f ca="1">VLOOKUP($L2,OFFSET([3]enemies!$A$1,0,0,COUNTA([3]enemies!$A:$A),MATCH(Q$1,[3]enemies!$1:$1,0)-MATCH($L$1,[3]enemies!$1:$1,0)+1),MATCH(Q$1,[3]enemies!$1:$1,0)-MATCH($L$1,[3]enemies!$1:$1,0)+1,FALSE)</f>
        <v>20</v>
      </c>
      <c r="R2" s="4">
        <v>40</v>
      </c>
      <c r="S2" s="23">
        <v>3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27939</v>
      </c>
      <c r="U2" s="23">
        <v>0.6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1756.8</v>
      </c>
      <c r="W2" s="4">
        <v>0</v>
      </c>
      <c r="X2" s="3" t="str">
        <f ca="1">VLOOKUP($Y2,OFFSET(enemy_skill_sets!$B$1,0,0,COUNTA(enemy_skill_sets!$B:$B),MATCH(M$1,enemy_skill_sets!$1:$1,0)-MATCH($Y$1,enemy_skill_sets!$1:$1,0)+2),MATCH(M$1,enemy_skill_sets!$1:$1,0)-MATCH($Y$1,enemy_skill_sets!$1:$1,0)+2,FALSE)</f>
        <v>最大HPの30%を全体回復</v>
      </c>
      <c r="Y2" s="3">
        <v>65531001</v>
      </c>
      <c r="Z2" s="5">
        <v>1</v>
      </c>
      <c r="AA2" s="5">
        <v>100</v>
      </c>
      <c r="AB2" s="5">
        <v>0</v>
      </c>
      <c r="AC2" s="15">
        <v>2</v>
      </c>
      <c r="AD2" s="22">
        <v>372</v>
      </c>
      <c r="AE2" s="3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2" s="3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3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6">
        <v>1</v>
      </c>
      <c r="AI2" s="22">
        <v>2</v>
      </c>
      <c r="AJ2" s="7">
        <v>10</v>
      </c>
      <c r="AK2" s="6">
        <v>0</v>
      </c>
      <c r="AL2" s="6">
        <v>0</v>
      </c>
      <c r="AM2" s="6">
        <v>0</v>
      </c>
      <c r="AN2" s="6">
        <v>0</v>
      </c>
      <c r="AO2" s="6">
        <v>1</v>
      </c>
      <c r="AP2" s="67">
        <v>1</v>
      </c>
    </row>
    <row r="3" spans="1:42" ht="21" customHeight="1" x14ac:dyDescent="0.15">
      <c r="A3" s="14" t="str">
        <f t="shared" ref="A3:A5" si="0">B3&amp;"_"&amp;C3&amp;"-"&amp;G3&amp;"/"&amp;L3&amp;"&lt;lv"&amp;R3&amp;"&gt;s"&amp;AC3</f>
        <v>65531_1-1/46&lt;lv40&gt;s2</v>
      </c>
      <c r="B3" s="20">
        <v>65531</v>
      </c>
      <c r="C3" s="19">
        <v>1</v>
      </c>
      <c r="D3" s="1" t="str">
        <f t="shared" ref="D3:D5" si="1">B3&amp;"_"&amp;C3</f>
        <v>65531_1</v>
      </c>
      <c r="E3" s="3" t="str">
        <f ca="1">VLOOKUP($B3,OFFSET([2]quests!$A$1,0,0,COUNTA([2]quests!$A:$A),MATCH(E$1,[2]quests!$1:$1,0)-MATCH($B$1,[2]quests!$1:$1,0)+1),MATCH(E$1,[2]quests!$1:$1,0)-MATCH($B$1,[2]quests!$1:$1,0)+1,FALSE)</f>
        <v>【LB塚本】検証クエスト</v>
      </c>
      <c r="F3" s="3" t="str">
        <f ca="1">VLOOKUP($D3,OFFSET([2]stages!$A$1,0,0,COUNTA([2]stages!$A:$A),MATCH(F$1,[2]stages!$2:$2,0)-MATCH($D$1,[2]stages!$2:$2,0)+1),MATCH(F$1,[2]stages!$2:$2,0)-MATCH($D$1,[2]stages!$2:$2,0)+1,FALSE)</f>
        <v>【LB塚本】検証</v>
      </c>
      <c r="G3" s="19">
        <v>1</v>
      </c>
      <c r="H3" s="13" t="str">
        <f t="shared" ref="H3:H5" si="2">B3&amp;"_"&amp;C3&amp;"-"&amp;G3</f>
        <v>65531_1-1</v>
      </c>
      <c r="I3" s="3">
        <f ca="1">VLOOKUP($H3,OFFSET(floors!$A$1,0,0,COUNTA(floors!$A:$A),MATCH(I$1,floors!$1:$1,0)-MATCH($H$1,floors!$1:$1,0)+1),MATCH(I$1,floors!$1:$1,0)-MATCH($H$1,floors!$1:$1,0)+1,FALSE)</f>
        <v>40</v>
      </c>
      <c r="J3" s="3">
        <f ca="1">VLOOKUP($H3,OFFSET(floors!$A$1,0,0,COUNTA(floors!$A:$A),MATCH(J$1,floors!$1:$1,0)-MATCH($H$1,floors!$1:$1,0)+1),MATCH(J$1,floors!$1:$1,0)-MATCH($H$1,floors!$1:$1,0)+1,FALSE)</f>
        <v>40</v>
      </c>
      <c r="K3" s="36" t="s">
        <v>53</v>
      </c>
      <c r="L3" s="18">
        <v>46</v>
      </c>
      <c r="M3" s="15" t="str">
        <f ca="1">VLOOKUP($L3,OFFSET([3]enemies!$A$1,0,0,COUNTA([3]enemies!$A:$A),MATCH(M$1,[3]enemies!$1:$1,0)-MATCH($L$1,[3]enemies!$1:$1,0)+1),MATCH(M$1,[3]enemies!$1:$1,0)-MATCH($L$1,[3]enemies!$1:$1,0)+1,FALSE)</f>
        <v>微笑みの筆跡 ショウイン</v>
      </c>
      <c r="N3" s="15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5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5">
        <f ca="1">VLOOKUP($L3,OFFSET([3]enemies!$A$1,0,0,COUNTA([3]enemies!$A:$A),MATCH(Q$1,[3]enemies!$1:$1,0)-MATCH($L$1,[3]enemies!$1:$1,0)+1),MATCH(Q$1,[3]enemies!$1:$1,0)-MATCH($L$1,[3]enemies!$1:$1,0)+1,FALSE)</f>
        <v>20</v>
      </c>
      <c r="R3" s="4">
        <v>40</v>
      </c>
      <c r="S3" s="23">
        <v>1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39716</v>
      </c>
      <c r="U3" s="23">
        <v>0.6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2299.7999999999997</v>
      </c>
      <c r="W3" s="4">
        <v>0</v>
      </c>
      <c r="X3" s="3" t="str">
        <f ca="1">VLOOKUP($Y3,OFFSET(enemy_skill_sets!$B$1,0,0,COUNTA(enemy_skill_sets!$B:$B),MATCH(M$1,enemy_skill_sets!$1:$1,0)-MATCH($Y$1,enemy_skill_sets!$1:$1,0)+2),MATCH(M$1,enemy_skill_sets!$1:$1,0)-MATCH($Y$1,enemy_skill_sets!$1:$1,0)+2,FALSE)</f>
        <v>初回行動時に味方2体を80％の確率で眠らせる</v>
      </c>
      <c r="Y3" s="3">
        <v>65531002</v>
      </c>
      <c r="Z3" s="5">
        <v>1</v>
      </c>
      <c r="AA3" s="5">
        <v>100</v>
      </c>
      <c r="AB3" s="5">
        <v>0</v>
      </c>
      <c r="AC3" s="15">
        <v>2</v>
      </c>
      <c r="AD3" s="22">
        <v>45</v>
      </c>
      <c r="AE3" s="3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3" s="3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3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6">
        <v>1</v>
      </c>
      <c r="AI3" s="22">
        <v>2</v>
      </c>
      <c r="AJ3" s="7">
        <v>10</v>
      </c>
      <c r="AK3" s="6">
        <v>0</v>
      </c>
      <c r="AL3" s="6">
        <v>0</v>
      </c>
      <c r="AM3" s="6">
        <v>0</v>
      </c>
      <c r="AN3" s="6">
        <v>0</v>
      </c>
      <c r="AO3" s="6">
        <v>1</v>
      </c>
      <c r="AP3" s="67">
        <v>1</v>
      </c>
    </row>
    <row r="4" spans="1:42" ht="21" customHeight="1" x14ac:dyDescent="0.15">
      <c r="A4" s="14" t="str">
        <f t="shared" si="0"/>
        <v>65531_1-2/567&lt;lv40&gt;s2</v>
      </c>
      <c r="B4" s="118">
        <v>65531</v>
      </c>
      <c r="C4" s="119">
        <v>1</v>
      </c>
      <c r="D4" s="120" t="str">
        <f t="shared" si="1"/>
        <v>65531_1</v>
      </c>
      <c r="E4" s="121" t="str">
        <f ca="1">VLOOKUP($B4,OFFSET([2]quests!$A$1,0,0,COUNTA([2]quests!$A:$A),MATCH(E$1,[2]quests!$1:$1,0)-MATCH($B$1,[2]quests!$1:$1,0)+1),MATCH(E$1,[2]quests!$1:$1,0)-MATCH($B$1,[2]quests!$1:$1,0)+1,FALSE)</f>
        <v>【LB塚本】検証クエスト</v>
      </c>
      <c r="F4" s="121" t="str">
        <f ca="1">VLOOKUP($D4,OFFSET([2]stages!$A$1,0,0,COUNTA([2]stages!$A:$A),MATCH(F$1,[2]stages!$2:$2,0)-MATCH($D$1,[2]stages!$2:$2,0)+1),MATCH(F$1,[2]stages!$2:$2,0)-MATCH($D$1,[2]stages!$2:$2,0)+1,FALSE)</f>
        <v>【LB塚本】検証</v>
      </c>
      <c r="G4" s="119">
        <v>2</v>
      </c>
      <c r="H4" s="120" t="str">
        <f t="shared" si="2"/>
        <v>65531_1-2</v>
      </c>
      <c r="I4" s="121">
        <f ca="1">VLOOKUP($H4,OFFSET(floors!$A$1,0,0,COUNTA(floors!$A:$A),MATCH(I$1,floors!$1:$1,0)-MATCH($H$1,floors!$1:$1,0)+1),MATCH(I$1,floors!$1:$1,0)-MATCH($H$1,floors!$1:$1,0)+1,FALSE)</f>
        <v>60</v>
      </c>
      <c r="J4" s="121">
        <f ca="1">VLOOKUP($H4,OFFSET(floors!$A$1,0,0,COUNTA(floors!$A:$A),MATCH(J$1,floors!$1:$1,0)-MATCH($H$1,floors!$1:$1,0)+1),MATCH(J$1,floors!$1:$1,0)-MATCH($H$1,floors!$1:$1,0)+1,FALSE)</f>
        <v>60</v>
      </c>
      <c r="K4" s="122">
        <v>1</v>
      </c>
      <c r="L4" s="123">
        <v>567</v>
      </c>
      <c r="M4" s="124" t="str">
        <f ca="1">VLOOKUP($L4,OFFSET([3]enemies!$A$1,0,0,COUNTA([3]enemies!$A:$A),MATCH(M$1,[3]enemies!$1:$1,0)-MATCH($L$1,[3]enemies!$1:$1,0)+1),MATCH(M$1,[3]enemies!$1:$1,0)-MATCH($L$1,[3]enemies!$1:$1,0)+1,FALSE)</f>
        <v>紅揚の祭狐宴舞 タマモ</v>
      </c>
      <c r="N4" s="124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24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24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24">
        <f ca="1">VLOOKUP($L4,OFFSET([3]enemies!$A$1,0,0,COUNTA([3]enemies!$A:$A),MATCH(Q$1,[3]enemies!$1:$1,0)-MATCH($L$1,[3]enemies!$1:$1,0)+1),MATCH(Q$1,[3]enemies!$1:$1,0)-MATCH($L$1,[3]enemies!$1:$1,0)+1,FALSE)</f>
        <v>60</v>
      </c>
      <c r="R4" s="125">
        <v>40</v>
      </c>
      <c r="S4" s="126">
        <v>2</v>
      </c>
      <c r="T4" s="12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138278</v>
      </c>
      <c r="U4" s="126">
        <v>0.7</v>
      </c>
      <c r="V4" s="12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3524.5</v>
      </c>
      <c r="W4" s="125">
        <v>0</v>
      </c>
      <c r="X4" s="121" t="str">
        <f ca="1">VLOOKUP($Y4,OFFSET(enemy_skill_sets!$B$1,0,0,COUNTA(enemy_skill_sets!$B:$B),MATCH(M$1,enemy_skill_sets!$1:$1,0)-MATCH($Y$1,enemy_skill_sets!$1:$1,0)+2),MATCH(M$1,enemy_skill_sets!$1:$1,0)-MATCH($Y$1,enemy_skill_sets!$1:$1,0)+2,FALSE)</f>
        <v>1ゲージ目：全体攻撃（100%ウィルス付与[解除するまで]）</v>
      </c>
      <c r="Y4" s="121">
        <v>65531003</v>
      </c>
      <c r="Z4" s="128">
        <v>1</v>
      </c>
      <c r="AA4" s="128">
        <v>100</v>
      </c>
      <c r="AB4" s="128">
        <v>0</v>
      </c>
      <c r="AC4" s="124">
        <v>2</v>
      </c>
      <c r="AD4" s="129">
        <f t="shared" ref="AD4" si="3">L4</f>
        <v>567</v>
      </c>
      <c r="AE4" s="121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紅揚の祭狐宴舞 タマモ</v>
      </c>
      <c r="AF4" s="121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121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130">
        <v>1</v>
      </c>
      <c r="AI4" s="129">
        <v>3</v>
      </c>
      <c r="AJ4" s="131">
        <v>0</v>
      </c>
      <c r="AK4" s="130">
        <v>0</v>
      </c>
      <c r="AL4" s="130">
        <v>0</v>
      </c>
      <c r="AM4" s="130">
        <v>0</v>
      </c>
      <c r="AN4" s="130">
        <v>0</v>
      </c>
      <c r="AO4" s="130">
        <v>1</v>
      </c>
      <c r="AP4" s="132">
        <v>1</v>
      </c>
    </row>
    <row r="5" spans="1:42" s="161" customFormat="1" ht="21" customHeight="1" thickBot="1" x14ac:dyDescent="0.2">
      <c r="A5" s="145" t="str">
        <f t="shared" si="0"/>
        <v>65531_1-3/1237&lt;lv40&gt;s2</v>
      </c>
      <c r="B5" s="146">
        <v>65531</v>
      </c>
      <c r="C5" s="147">
        <v>1</v>
      </c>
      <c r="D5" s="148" t="str">
        <f t="shared" si="1"/>
        <v>65531_1</v>
      </c>
      <c r="E5" s="149" t="str">
        <f ca="1">VLOOKUP($B5,OFFSET([2]quests!$A$1,0,0,COUNTA([2]quests!$A:$A),MATCH(E$1,[2]quests!$1:$1,0)-MATCH($B$1,[2]quests!$1:$1,0)+1),MATCH(E$1,[2]quests!$1:$1,0)-MATCH($B$1,[2]quests!$1:$1,0)+1,FALSE)</f>
        <v>【LB塚本】検証クエスト</v>
      </c>
      <c r="F5" s="149" t="str">
        <f ca="1">VLOOKUP($D5,OFFSET([2]stages!$A$1,0,0,COUNTA([2]stages!$A:$A),MATCH(F$1,[2]stages!$2:$2,0)-MATCH($D$1,[2]stages!$2:$2,0)+1),MATCH(F$1,[2]stages!$2:$2,0)-MATCH($D$1,[2]stages!$2:$2,0)+1,FALSE)</f>
        <v>【LB塚本】検証</v>
      </c>
      <c r="G5" s="147">
        <v>3</v>
      </c>
      <c r="H5" s="148" t="str">
        <f t="shared" si="2"/>
        <v>65531_1-3</v>
      </c>
      <c r="I5" s="149">
        <f ca="1">VLOOKUP($H5,OFFSET(floors!$A$1,0,0,COUNTA(floors!$A:$A),MATCH(I$1,floors!$1:$1,0)-MATCH($H$1,floors!$1:$1,0)+1),MATCH(I$1,floors!$1:$1,0)-MATCH($H$1,floors!$1:$1,0)+1,FALSE)</f>
        <v>60</v>
      </c>
      <c r="J5" s="149">
        <f ca="1">VLOOKUP($H5,OFFSET(floors!$A$1,0,0,COUNTA(floors!$A:$A),MATCH(J$1,floors!$1:$1,0)-MATCH($H$1,floors!$1:$1,0)+1),MATCH(J$1,floors!$1:$1,0)-MATCH($H$1,floors!$1:$1,0)+1,FALSE)</f>
        <v>60</v>
      </c>
      <c r="K5" s="150">
        <v>2</v>
      </c>
      <c r="L5" s="151">
        <v>1237</v>
      </c>
      <c r="M5" s="152" t="str">
        <f ca="1">VLOOKUP($L5,OFFSET([3]enemies!$A$1,0,0,COUNTA([3]enemies!$A:$A),MATCH(M$1,[3]enemies!$1:$1,0)-MATCH($L$1,[3]enemies!$1:$1,0)+1),MATCH(M$1,[3]enemies!$1:$1,0)-MATCH($L$1,[3]enemies!$1:$1,0)+1,FALSE)</f>
        <v>夢茶の目付役 千利休</v>
      </c>
      <c r="N5" s="152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52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52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52">
        <f ca="1">VLOOKUP($L5,OFFSET([3]enemies!$A$1,0,0,COUNTA([3]enemies!$A:$A),MATCH(Q$1,[3]enemies!$1:$1,0)-MATCH($L$1,[3]enemies!$1:$1,0)+1),MATCH(Q$1,[3]enemies!$1:$1,0)-MATCH($L$1,[3]enemies!$1:$1,0)+1,FALSE)</f>
        <v>60</v>
      </c>
      <c r="R5" s="153">
        <v>40</v>
      </c>
      <c r="S5" s="154">
        <v>1.5</v>
      </c>
      <c r="T5" s="15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103708.5</v>
      </c>
      <c r="U5" s="154">
        <v>0.5</v>
      </c>
      <c r="V5" s="15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2288.5</v>
      </c>
      <c r="W5" s="153">
        <v>0</v>
      </c>
      <c r="X5" s="149" t="str">
        <f ca="1">VLOOKUP($Y5,OFFSET(enemy_skill_sets!$B$1,0,0,COUNTA(enemy_skill_sets!$B:$B),MATCH(M$1,enemy_skill_sets!$1:$1,0)-MATCH($Y$1,enemy_skill_sets!$1:$1,0)+2),MATCH(M$1,enemy_skill_sets!$1:$1,0)-MATCH($Y$1,enemy_skill_sets!$1:$1,0)+2,FALSE)</f>
        <v>開幕でウィルス（解除するまで）</v>
      </c>
      <c r="Y5" s="149">
        <v>65531005</v>
      </c>
      <c r="Z5" s="156">
        <v>1</v>
      </c>
      <c r="AA5" s="156">
        <v>100</v>
      </c>
      <c r="AB5" s="156">
        <v>0</v>
      </c>
      <c r="AC5" s="152">
        <v>2</v>
      </c>
      <c r="AD5" s="157">
        <v>1236</v>
      </c>
      <c r="AE5" s="149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5" s="149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149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58">
        <v>1</v>
      </c>
      <c r="AI5" s="157">
        <v>4</v>
      </c>
      <c r="AJ5" s="159">
        <v>80</v>
      </c>
      <c r="AK5" s="158">
        <v>0</v>
      </c>
      <c r="AL5" s="158">
        <v>0</v>
      </c>
      <c r="AM5" s="158">
        <v>0</v>
      </c>
      <c r="AN5" s="158">
        <v>0</v>
      </c>
      <c r="AO5" s="158">
        <v>1</v>
      </c>
      <c r="AP5" s="160">
        <v>1</v>
      </c>
    </row>
    <row r="6" spans="1:42" ht="21" customHeight="1" x14ac:dyDescent="0.15">
      <c r="A6" s="14" t="str">
        <f>B6&amp;"_"&amp;C6&amp;"-"&amp;G6&amp;"/"&amp;L6&amp;"&lt;lv"&amp;R6&amp;"&gt;s"&amp;AC6</f>
        <v>65531_2-1/373&lt;lv40&gt;s2</v>
      </c>
      <c r="B6" s="20">
        <v>65531</v>
      </c>
      <c r="C6" s="133">
        <v>2</v>
      </c>
      <c r="D6" s="134" t="str">
        <f>B6&amp;"_"&amp;C6</f>
        <v>65531_2</v>
      </c>
      <c r="E6" s="3" t="str">
        <f ca="1">VLOOKUP($B6,OFFSET([2]quests!$A$1,0,0,COUNTA([2]quests!$A:$A),MATCH(E$1,[2]quests!$1:$1,0)-MATCH($B$1,[2]quests!$1:$1,0)+1),MATCH(E$1,[2]quests!$1:$1,0)-MATCH($B$1,[2]quests!$1:$1,0)+1,FALSE)</f>
        <v>【LB塚本】検証クエスト</v>
      </c>
      <c r="F6" s="3" t="str">
        <f ca="1">VLOOKUP($D6,OFFSET([2]stages!$A$1,0,0,COUNTA([2]stages!$A:$A),MATCH(F$1,[2]stages!$2:$2,0)-MATCH($D$1,[2]stages!$2:$2,0)+1),MATCH(F$1,[2]stages!$2:$2,0)-MATCH($D$1,[2]stages!$2:$2,0)+1,FALSE)</f>
        <v>【LB塚本】検証プレイ用</v>
      </c>
      <c r="G6" s="133">
        <v>1</v>
      </c>
      <c r="H6" s="134" t="str">
        <f>B6&amp;"_"&amp;C6&amp;"-"&amp;G6</f>
        <v>65531_2-1</v>
      </c>
      <c r="I6" s="3">
        <f ca="1">VLOOKUP($H6,OFFSET(floors!$A$1,0,0,COUNTA(floors!$A:$A),MATCH(I$1,floors!$1:$1,0)-MATCH($H$1,floors!$1:$1,0)+1),MATCH(I$1,floors!$1:$1,0)-MATCH($H$1,floors!$1:$1,0)+1,FALSE)</f>
        <v>40</v>
      </c>
      <c r="J6" s="3">
        <f ca="1">VLOOKUP($H6,OFFSET(floors!$A$1,0,0,COUNTA(floors!$A:$A),MATCH(J$1,floors!$1:$1,0)-MATCH($H$1,floors!$1:$1,0)+1),MATCH(J$1,floors!$1:$1,0)-MATCH($H$1,floors!$1:$1,0)+1,FALSE)</f>
        <v>40</v>
      </c>
      <c r="K6" s="135" t="s">
        <v>53</v>
      </c>
      <c r="L6" s="136">
        <v>373</v>
      </c>
      <c r="M6" s="15" t="str">
        <f ca="1">VLOOKUP($L6,OFFSET([3]enemies!$A$1,0,0,COUNTA([3]enemies!$A:$A),MATCH(M$1,[3]enemies!$1:$1,0)-MATCH($L$1,[3]enemies!$1:$1,0)+1),MATCH(M$1,[3]enemies!$1:$1,0)-MATCH($L$1,[3]enemies!$1:$1,0)+1,FALSE)</f>
        <v>夢幻俳聖 バショー</v>
      </c>
      <c r="N6" s="15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5">
        <f ca="1">VLOOKUP($L6,OFFSET([3]enemies!$A$1,0,0,COUNTA([3]enemies!$A:$A),MATCH(Q$1,[3]enemies!$1:$1,0)-MATCH($L$1,[3]enemies!$1:$1,0)+1),MATCH(Q$1,[3]enemies!$1:$1,0)-MATCH($L$1,[3]enemies!$1:$1,0)+1,FALSE)</f>
        <v>20</v>
      </c>
      <c r="R6" s="137">
        <v>40</v>
      </c>
      <c r="S6" s="23">
        <v>1</v>
      </c>
      <c r="T6" s="13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9313</v>
      </c>
      <c r="U6" s="23">
        <v>0.8</v>
      </c>
      <c r="V6" s="13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2342.4</v>
      </c>
      <c r="W6" s="137">
        <v>0</v>
      </c>
      <c r="X6" s="3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全体回復</v>
      </c>
      <c r="Y6" s="46">
        <v>65531100</v>
      </c>
      <c r="Z6" s="140">
        <v>1</v>
      </c>
      <c r="AA6" s="140">
        <v>100</v>
      </c>
      <c r="AB6" s="140">
        <v>0</v>
      </c>
      <c r="AC6" s="15">
        <v>2</v>
      </c>
      <c r="AD6" s="141">
        <v>372</v>
      </c>
      <c r="AE6" s="3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6" s="3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3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142">
        <v>1</v>
      </c>
      <c r="AI6" s="141">
        <v>2</v>
      </c>
      <c r="AJ6" s="143">
        <v>10</v>
      </c>
      <c r="AK6" s="142">
        <v>0</v>
      </c>
      <c r="AL6" s="142">
        <v>0</v>
      </c>
      <c r="AM6" s="142">
        <v>0</v>
      </c>
      <c r="AN6" s="142">
        <v>0</v>
      </c>
      <c r="AO6" s="142">
        <v>1</v>
      </c>
      <c r="AP6" s="144">
        <v>1</v>
      </c>
    </row>
    <row r="7" spans="1:42" ht="21" customHeight="1" x14ac:dyDescent="0.15">
      <c r="A7" s="14" t="str">
        <f t="shared" ref="A7:A9" si="4">B7&amp;"_"&amp;C7&amp;"-"&amp;G7&amp;"/"&amp;L7&amp;"&lt;lv"&amp;R7&amp;"&gt;s"&amp;AC7</f>
        <v>65531_2-1/46&lt;lv40&gt;s2</v>
      </c>
      <c r="B7" s="20">
        <v>65531</v>
      </c>
      <c r="C7" s="19">
        <v>2</v>
      </c>
      <c r="D7" s="1" t="str">
        <f t="shared" ref="D7:D9" si="5">B7&amp;"_"&amp;C7</f>
        <v>65531_2</v>
      </c>
      <c r="E7" s="3" t="str">
        <f ca="1">VLOOKUP($B7,OFFSET([2]quests!$A$1,0,0,COUNTA([2]quests!$A:$A),MATCH(E$1,[2]quests!$1:$1,0)-MATCH($B$1,[2]quests!$1:$1,0)+1),MATCH(E$1,[2]quests!$1:$1,0)-MATCH($B$1,[2]quests!$1:$1,0)+1,FALSE)</f>
        <v>【LB塚本】検証クエスト</v>
      </c>
      <c r="F7" s="3" t="str">
        <f ca="1">VLOOKUP($D7,OFFSET([2]stages!$A$1,0,0,COUNTA([2]stages!$A:$A),MATCH(F$1,[2]stages!$2:$2,0)-MATCH($D$1,[2]stages!$2:$2,0)+1),MATCH(F$1,[2]stages!$2:$2,0)-MATCH($D$1,[2]stages!$2:$2,0)+1,FALSE)</f>
        <v>【LB塚本】検証プレイ用</v>
      </c>
      <c r="G7" s="19">
        <v>1</v>
      </c>
      <c r="H7" s="13" t="str">
        <f t="shared" ref="H7:H9" si="6">B7&amp;"_"&amp;C7&amp;"-"&amp;G7</f>
        <v>65531_2-1</v>
      </c>
      <c r="I7" s="3">
        <f ca="1">VLOOKUP($H7,OFFSET(floors!$A$1,0,0,COUNTA(floors!$A:$A),MATCH(I$1,floors!$1:$1,0)-MATCH($H$1,floors!$1:$1,0)+1),MATCH(I$1,floors!$1:$1,0)-MATCH($H$1,floors!$1:$1,0)+1,FALSE)</f>
        <v>40</v>
      </c>
      <c r="J7" s="3">
        <f ca="1">VLOOKUP($H7,OFFSET(floors!$A$1,0,0,COUNTA(floors!$A:$A),MATCH(J$1,floors!$1:$1,0)-MATCH($H$1,floors!$1:$1,0)+1),MATCH(J$1,floors!$1:$1,0)-MATCH($H$1,floors!$1:$1,0)+1,FALSE)</f>
        <v>40</v>
      </c>
      <c r="K7" s="36" t="s">
        <v>53</v>
      </c>
      <c r="L7" s="18">
        <v>46</v>
      </c>
      <c r="M7" s="15" t="str">
        <f ca="1">VLOOKUP($L7,OFFSET([3]enemies!$A$1,0,0,COUNTA([3]enemies!$A:$A),MATCH(M$1,[3]enemies!$1:$1,0)-MATCH($L$1,[3]enemies!$1:$1,0)+1),MATCH(M$1,[3]enemies!$1:$1,0)-MATCH($L$1,[3]enemies!$1:$1,0)+1,FALSE)</f>
        <v>微笑みの筆跡 ショウイン</v>
      </c>
      <c r="N7" s="15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5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5">
        <f ca="1">VLOOKUP($L7,OFFSET([3]enemies!$A$1,0,0,COUNTA([3]enemies!$A:$A),MATCH(Q$1,[3]enemies!$1:$1,0)-MATCH($L$1,[3]enemies!$1:$1,0)+1),MATCH(Q$1,[3]enemies!$1:$1,0)-MATCH($L$1,[3]enemies!$1:$1,0)+1,FALSE)</f>
        <v>20</v>
      </c>
      <c r="R7" s="4">
        <v>40</v>
      </c>
      <c r="S7" s="23">
        <v>0.5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19858</v>
      </c>
      <c r="U7" s="23">
        <v>0.6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2299.7999999999997</v>
      </c>
      <c r="W7" s="4">
        <v>0</v>
      </c>
      <c r="X7" s="3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46">
        <v>65531101</v>
      </c>
      <c r="Z7" s="5">
        <v>1</v>
      </c>
      <c r="AA7" s="5">
        <v>100</v>
      </c>
      <c r="AB7" s="5">
        <v>0</v>
      </c>
      <c r="AC7" s="15">
        <v>2</v>
      </c>
      <c r="AD7" s="22">
        <v>45</v>
      </c>
      <c r="AE7" s="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7" s="3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6">
        <v>1</v>
      </c>
      <c r="AI7" s="22">
        <v>2</v>
      </c>
      <c r="AJ7" s="7">
        <v>10</v>
      </c>
      <c r="AK7" s="6">
        <v>0</v>
      </c>
      <c r="AL7" s="6">
        <v>0</v>
      </c>
      <c r="AM7" s="6">
        <v>0</v>
      </c>
      <c r="AN7" s="6">
        <v>0</v>
      </c>
      <c r="AO7" s="6">
        <v>1</v>
      </c>
      <c r="AP7" s="67">
        <v>1</v>
      </c>
    </row>
    <row r="8" spans="1:42" ht="21" customHeight="1" x14ac:dyDescent="0.15">
      <c r="A8" s="14" t="str">
        <f t="shared" si="4"/>
        <v>65531_2-2/197&lt;lv60&gt;s2</v>
      </c>
      <c r="B8" s="20">
        <v>65531</v>
      </c>
      <c r="C8" s="19">
        <v>2</v>
      </c>
      <c r="D8" s="1" t="str">
        <f t="shared" si="5"/>
        <v>65531_2</v>
      </c>
      <c r="E8" s="3" t="str">
        <f ca="1">VLOOKUP($B8,OFFSET([2]quests!$A$1,0,0,COUNTA([2]quests!$A:$A),MATCH(E$1,[2]quests!$1:$1,0)-MATCH($B$1,[2]quests!$1:$1,0)+1),MATCH(E$1,[2]quests!$1:$1,0)-MATCH($B$1,[2]quests!$1:$1,0)+1,FALSE)</f>
        <v>【LB塚本】検証クエスト</v>
      </c>
      <c r="F8" s="3" t="str">
        <f ca="1">VLOOKUP($D8,OFFSET([2]stages!$A$1,0,0,COUNTA([2]stages!$A:$A),MATCH(F$1,[2]stages!$2:$2,0)-MATCH($D$1,[2]stages!$2:$2,0)+1),MATCH(F$1,[2]stages!$2:$2,0)-MATCH($D$1,[2]stages!$2:$2,0)+1,FALSE)</f>
        <v>【LB塚本】検証プレイ用</v>
      </c>
      <c r="G8" s="19">
        <v>2</v>
      </c>
      <c r="H8" s="13" t="str">
        <f t="shared" si="6"/>
        <v>65531_2-2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36" t="s">
        <v>90</v>
      </c>
      <c r="L8" s="18">
        <v>197</v>
      </c>
      <c r="M8" s="15" t="str">
        <f ca="1">VLOOKUP($L8,OFFSET([3]enemies!$A$1,0,0,COUNTA([3]enemies!$A:$A),MATCH(M$1,[3]enemies!$1:$1,0)-MATCH($L$1,[3]enemies!$1:$1,0)+1),MATCH(M$1,[3]enemies!$1:$1,0)-MATCH($L$1,[3]enemies!$1:$1,0)+1,FALSE)</f>
        <v>鉄腕 アキレス</v>
      </c>
      <c r="N8" s="15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5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5">
        <f ca="1">VLOOKUP($L8,OFFSET([3]enemies!$A$1,0,0,COUNTA([3]enemies!$A:$A),MATCH(Q$1,[3]enemies!$1:$1,0)-MATCH($L$1,[3]enemies!$1:$1,0)+1),MATCH(Q$1,[3]enemies!$1:$1,0)-MATCH($L$1,[3]enemies!$1:$1,0)+1,FALSE)</f>
        <v>30</v>
      </c>
      <c r="R8" s="4">
        <v>60</v>
      </c>
      <c r="S8" s="23">
        <v>0.5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55237.5</v>
      </c>
      <c r="U8" s="23">
        <v>0.8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3837.6000000000004</v>
      </c>
      <c r="W8" s="4">
        <v>0</v>
      </c>
      <c r="X8" s="3" t="str">
        <f ca="1">VLOOKUP($Y8,OFFSET(enemy_skill_sets!$B$1,0,0,COUNTA(enemy_skill_sets!$B:$B),MATCH(M$1,enemy_skill_sets!$1:$1,0)-MATCH($Y$1,enemy_skill_sets!$1:$1,0)+2),MATCH(M$1,enemy_skill_sets!$1:$1,0)-MATCH($Y$1,enemy_skill_sets!$1:$1,0)+2,FALSE)</f>
        <v>5ターン敵全体の攻撃力UP</v>
      </c>
      <c r="Y8" s="46">
        <v>65531102</v>
      </c>
      <c r="Z8" s="5">
        <v>1</v>
      </c>
      <c r="AA8" s="5">
        <v>100</v>
      </c>
      <c r="AB8" s="5">
        <v>0</v>
      </c>
      <c r="AC8" s="15">
        <v>2</v>
      </c>
      <c r="AD8" s="22">
        <v>196</v>
      </c>
      <c r="AE8" s="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アキレス</v>
      </c>
      <c r="AF8" s="3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3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6">
        <v>1</v>
      </c>
      <c r="AI8" s="22">
        <v>3</v>
      </c>
      <c r="AJ8" s="7">
        <v>30</v>
      </c>
      <c r="AK8" s="6">
        <v>0</v>
      </c>
      <c r="AL8" s="6">
        <v>0</v>
      </c>
      <c r="AM8" s="6">
        <v>0</v>
      </c>
      <c r="AN8" s="6">
        <v>0</v>
      </c>
      <c r="AO8" s="6">
        <v>1</v>
      </c>
      <c r="AP8" s="67">
        <v>1</v>
      </c>
    </row>
    <row r="9" spans="1:42" ht="21" customHeight="1" x14ac:dyDescent="0.15">
      <c r="A9" s="14" t="str">
        <f t="shared" si="4"/>
        <v>65531_2-2/224&lt;lv60&gt;s2</v>
      </c>
      <c r="B9" s="20">
        <v>65531</v>
      </c>
      <c r="C9" s="19">
        <v>2</v>
      </c>
      <c r="D9" s="1" t="str">
        <f t="shared" si="5"/>
        <v>65531_2</v>
      </c>
      <c r="E9" s="3" t="str">
        <f ca="1">VLOOKUP($B9,OFFSET([2]quests!$A$1,0,0,COUNTA([2]quests!$A:$A),MATCH(E$1,[2]quests!$1:$1,0)-MATCH($B$1,[2]quests!$1:$1,0)+1),MATCH(E$1,[2]quests!$1:$1,0)-MATCH($B$1,[2]quests!$1:$1,0)+1,FALSE)</f>
        <v>【LB塚本】検証クエスト</v>
      </c>
      <c r="F9" s="3" t="str">
        <f ca="1">VLOOKUP($D9,OFFSET([2]stages!$A$1,0,0,COUNTA([2]stages!$A:$A),MATCH(F$1,[2]stages!$2:$2,0)-MATCH($D$1,[2]stages!$2:$2,0)+1),MATCH(F$1,[2]stages!$2:$2,0)-MATCH($D$1,[2]stages!$2:$2,0)+1,FALSE)</f>
        <v>【LB塚本】検証プレイ用</v>
      </c>
      <c r="G9" s="19">
        <v>2</v>
      </c>
      <c r="H9" s="13" t="str">
        <f t="shared" si="6"/>
        <v>65531_2-2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36" t="s">
        <v>90</v>
      </c>
      <c r="L9" s="18">
        <v>224</v>
      </c>
      <c r="M9" s="15" t="str">
        <f ca="1">VLOOKUP($L9,OFFSET([3]enemies!$A$1,0,0,COUNTA([3]enemies!$A:$A),MATCH(M$1,[3]enemies!$1:$1,0)-MATCH($L$1,[3]enemies!$1:$1,0)+1),MATCH(M$1,[3]enemies!$1:$1,0)-MATCH($L$1,[3]enemies!$1:$1,0)+1,FALSE)</f>
        <v>巨腕 ヘラクレス</v>
      </c>
      <c r="N9" s="15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5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">
        <f ca="1">VLOOKUP($L9,OFFSET([3]enemies!$A$1,0,0,COUNTA([3]enemies!$A:$A),MATCH(Q$1,[3]enemies!$1:$1,0)-MATCH($L$1,[3]enemies!$1:$1,0)+1),MATCH(Q$1,[3]enemies!$1:$1,0)-MATCH($L$1,[3]enemies!$1:$1,0)+1,FALSE)</f>
        <v>30</v>
      </c>
      <c r="R9" s="4">
        <v>60</v>
      </c>
      <c r="S9" s="23">
        <v>0.8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58920</v>
      </c>
      <c r="U9" s="23">
        <v>0.6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3741</v>
      </c>
      <c r="W9" s="4">
        <v>0</v>
      </c>
      <c r="X9" s="3" t="str">
        <f ca="1">VLOOKUP($Y9,OFFSET(enemy_skill_sets!$B$1,0,0,COUNTA(enemy_skill_sets!$B:$B),MATCH(M$1,enemy_skill_sets!$1:$1,0)-MATCH($Y$1,enemy_skill_sets!$1:$1,0)+2),MATCH(M$1,enemy_skill_sets!$1:$1,0)-MATCH($Y$1,enemy_skill_sets!$1:$1,0)+2,FALSE)</f>
        <v>2ターン緑属性のユニットの攻撃力をDOWN</v>
      </c>
      <c r="Y9" s="46">
        <v>65531104</v>
      </c>
      <c r="Z9" s="5">
        <v>1</v>
      </c>
      <c r="AA9" s="5">
        <v>100</v>
      </c>
      <c r="AB9" s="5">
        <v>0</v>
      </c>
      <c r="AC9" s="15">
        <v>2</v>
      </c>
      <c r="AD9" s="22">
        <v>223</v>
      </c>
      <c r="AE9" s="3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ヘラクレス</v>
      </c>
      <c r="AF9" s="3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3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9" s="6">
        <v>1</v>
      </c>
      <c r="AI9" s="22">
        <v>4</v>
      </c>
      <c r="AJ9" s="7">
        <v>30</v>
      </c>
      <c r="AK9" s="6">
        <v>0</v>
      </c>
      <c r="AL9" s="6">
        <v>0</v>
      </c>
      <c r="AM9" s="6">
        <v>0</v>
      </c>
      <c r="AN9" s="6">
        <v>0</v>
      </c>
      <c r="AO9" s="6">
        <v>1</v>
      </c>
      <c r="AP9" s="67">
        <v>1</v>
      </c>
    </row>
    <row r="10" spans="1:42" ht="21" customHeight="1" x14ac:dyDescent="0.15">
      <c r="A10" s="14" t="str">
        <f t="shared" ref="A10" si="7">B10&amp;"_"&amp;C10&amp;"-"&amp;G10&amp;"/"&amp;L10&amp;"&lt;lv"&amp;R10&amp;"&gt;s"&amp;AC10</f>
        <v>65531_2-3/36&lt;lv60&gt;s2</v>
      </c>
      <c r="B10" s="20">
        <v>65531</v>
      </c>
      <c r="C10" s="19">
        <v>2</v>
      </c>
      <c r="D10" s="1" t="str">
        <f t="shared" ref="D10" si="8">B10&amp;"_"&amp;C10</f>
        <v>65531_2</v>
      </c>
      <c r="E10" s="3" t="str">
        <f ca="1">VLOOKUP($B10,OFFSET([2]quests!$A$1,0,0,COUNTA([2]quests!$A:$A),MATCH(E$1,[2]quests!$1:$1,0)-MATCH($B$1,[2]quests!$1:$1,0)+1),MATCH(E$1,[2]quests!$1:$1,0)-MATCH($B$1,[2]quests!$1:$1,0)+1,FALSE)</f>
        <v>【LB塚本】検証クエスト</v>
      </c>
      <c r="F10" s="3" t="str">
        <f ca="1">VLOOKUP($D10,OFFSET([2]stages!$A$1,0,0,COUNTA([2]stages!$A:$A),MATCH(F$1,[2]stages!$2:$2,0)-MATCH($D$1,[2]stages!$2:$2,0)+1),MATCH(F$1,[2]stages!$2:$2,0)-MATCH($D$1,[2]stages!$2:$2,0)+1,FALSE)</f>
        <v>【LB塚本】検証プレイ用</v>
      </c>
      <c r="G10" s="19">
        <v>3</v>
      </c>
      <c r="H10" s="13" t="str">
        <f t="shared" ref="H10" si="9">B10&amp;"_"&amp;C10&amp;"-"&amp;G10</f>
        <v>65531_2-3</v>
      </c>
      <c r="I10" s="3">
        <f ca="1">VLOOKUP($H10,OFFSET(floors!$A$1,0,0,COUNTA(floors!$A:$A),MATCH(I$1,floors!$1:$1,0)-MATCH($H$1,floors!$1:$1,0)+1),MATCH(I$1,floors!$1:$1,0)-MATCH($H$1,floors!$1:$1,0)+1,FALSE)</f>
        <v>50</v>
      </c>
      <c r="J10" s="3">
        <f ca="1">VLOOKUP($H10,OFFSET(floors!$A$1,0,0,COUNTA(floors!$A:$A),MATCH(J$1,floors!$1:$1,0)-MATCH($H$1,floors!$1:$1,0)+1),MATCH(J$1,floors!$1:$1,0)-MATCH($H$1,floors!$1:$1,0)+1,FALSE)</f>
        <v>50</v>
      </c>
      <c r="K10" s="36" t="s">
        <v>53</v>
      </c>
      <c r="L10" s="18">
        <v>36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オフィス追尾型移動地雷F3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5">
        <f ca="1">VLOOKUP($L10,OFFSET([3]enemies!$A$1,0,0,COUNTA([3]enemies!$A:$A),MATCH(Q$1,[3]enemies!$1:$1,0)-MATCH($L$1,[3]enemies!$1:$1,0)+1),MATCH(Q$1,[3]enemies!$1:$1,0)-MATCH($L$1,[3]enemies!$1:$1,0)+1,FALSE)</f>
        <v>20</v>
      </c>
      <c r="R10" s="4">
        <v>60</v>
      </c>
      <c r="S10" s="23">
        <v>0.6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22357.200000000001</v>
      </c>
      <c r="U10" s="23">
        <v>0.5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2734</v>
      </c>
      <c r="W10" s="4">
        <v>0</v>
      </c>
      <c r="X10" s="3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解除するまでウィルス</v>
      </c>
      <c r="Y10" s="46">
        <v>65531106</v>
      </c>
      <c r="Z10" s="5">
        <v>1</v>
      </c>
      <c r="AA10" s="5">
        <v>100</v>
      </c>
      <c r="AB10" s="5">
        <v>1</v>
      </c>
      <c r="AC10" s="15">
        <v>2</v>
      </c>
      <c r="AD10" s="22">
        <v>35</v>
      </c>
      <c r="AE10" s="3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F2</v>
      </c>
      <c r="AF10" s="3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3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6">
        <v>1</v>
      </c>
      <c r="AI10" s="22">
        <v>4</v>
      </c>
      <c r="AJ10" s="7">
        <v>10</v>
      </c>
      <c r="AK10" s="6">
        <v>0</v>
      </c>
      <c r="AL10" s="6">
        <v>0</v>
      </c>
      <c r="AM10" s="6">
        <v>0</v>
      </c>
      <c r="AN10" s="6">
        <v>0</v>
      </c>
      <c r="AO10" s="6">
        <v>1</v>
      </c>
      <c r="AP10" s="67">
        <v>1</v>
      </c>
    </row>
    <row r="11" spans="1:42" ht="21" customHeight="1" x14ac:dyDescent="0.15">
      <c r="A11" s="14" t="str">
        <f t="shared" ref="A11" si="10">B11&amp;"_"&amp;C11&amp;"-"&amp;G11&amp;"/"&amp;L11&amp;"&lt;lv"&amp;R11&amp;"&gt;s"&amp;AC11</f>
        <v>65531_2-3/37&lt;lv60&gt;s2</v>
      </c>
      <c r="B11" s="20">
        <v>65531</v>
      </c>
      <c r="C11" s="19">
        <v>2</v>
      </c>
      <c r="D11" s="1" t="str">
        <f t="shared" ref="D11" si="11">B11&amp;"_"&amp;C11</f>
        <v>65531_2</v>
      </c>
      <c r="E11" s="3" t="str">
        <f ca="1">VLOOKUP($B11,OFFSET([2]quests!$A$1,0,0,COUNTA([2]quests!$A:$A),MATCH(E$1,[2]quests!$1:$1,0)-MATCH($B$1,[2]quests!$1:$1,0)+1),MATCH(E$1,[2]quests!$1:$1,0)-MATCH($B$1,[2]quests!$1:$1,0)+1,FALSE)</f>
        <v>【LB塚本】検証クエスト</v>
      </c>
      <c r="F11" s="3" t="str">
        <f ca="1">VLOOKUP($D11,OFFSET([2]stages!$A$1,0,0,COUNTA([2]stages!$A:$A),MATCH(F$1,[2]stages!$2:$2,0)-MATCH($D$1,[2]stages!$2:$2,0)+1),MATCH(F$1,[2]stages!$2:$2,0)-MATCH($D$1,[2]stages!$2:$2,0)+1,FALSE)</f>
        <v>【LB塚本】検証プレイ用</v>
      </c>
      <c r="G11" s="19">
        <v>3</v>
      </c>
      <c r="H11" s="13" t="str">
        <f t="shared" ref="H11" si="12">B11&amp;"_"&amp;C11&amp;"-"&amp;G11</f>
        <v>65531_2-3</v>
      </c>
      <c r="I11" s="3">
        <f ca="1">VLOOKUP($H11,OFFSET(floors!$A$1,0,0,COUNTA(floors!$A:$A),MATCH(I$1,floors!$1:$1,0)-MATCH($H$1,floors!$1:$1,0)+1),MATCH(I$1,floors!$1:$1,0)-MATCH($H$1,floors!$1:$1,0)+1,FALSE)</f>
        <v>50</v>
      </c>
      <c r="J11" s="3">
        <f ca="1">VLOOKUP($H11,OFFSET(floors!$A$1,0,0,COUNTA(floors!$A:$A),MATCH(J$1,floors!$1:$1,0)-MATCH($H$1,floors!$1:$1,0)+1),MATCH(J$1,floors!$1:$1,0)-MATCH($H$1,floors!$1:$1,0)+1,FALSE)</f>
        <v>50</v>
      </c>
      <c r="K11" s="36" t="s">
        <v>53</v>
      </c>
      <c r="L11" s="18">
        <v>37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ガイル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5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60</v>
      </c>
      <c r="S11" s="23">
        <v>2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24600</v>
      </c>
      <c r="U11" s="23">
        <v>0.5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1989</v>
      </c>
      <c r="W11" s="4">
        <v>0</v>
      </c>
      <c r="X11" s="3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1" s="46">
        <v>65531107</v>
      </c>
      <c r="Z11" s="5">
        <v>1</v>
      </c>
      <c r="AA11" s="5">
        <v>100</v>
      </c>
      <c r="AB11" s="5">
        <v>0</v>
      </c>
      <c r="AC11" s="15">
        <v>2</v>
      </c>
      <c r="AD11" s="22">
        <v>37</v>
      </c>
      <c r="AE11" s="3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ガイル</v>
      </c>
      <c r="AF11" s="3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3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6">
        <v>1</v>
      </c>
      <c r="AI11" s="22">
        <v>4</v>
      </c>
      <c r="AJ11" s="7">
        <v>10</v>
      </c>
      <c r="AK11" s="6">
        <v>0</v>
      </c>
      <c r="AL11" s="6">
        <v>0</v>
      </c>
      <c r="AM11" s="6">
        <v>0</v>
      </c>
      <c r="AN11" s="6">
        <v>0</v>
      </c>
      <c r="AO11" s="6">
        <v>1</v>
      </c>
      <c r="AP11" s="67">
        <v>1</v>
      </c>
    </row>
    <row r="12" spans="1:42" ht="21" customHeight="1" x14ac:dyDescent="0.15">
      <c r="A12" s="14" t="str">
        <f t="shared" ref="A12" si="13">B12&amp;"_"&amp;C12&amp;"-"&amp;G12&amp;"/"&amp;L12&amp;"&lt;lv"&amp;R12&amp;"&gt;s"&amp;AC12</f>
        <v>65531_2-4/1237&lt;lv60&gt;s2</v>
      </c>
      <c r="B12" s="20">
        <v>65531</v>
      </c>
      <c r="C12" s="19">
        <v>2</v>
      </c>
      <c r="D12" s="1" t="str">
        <f t="shared" ref="D12" si="14">B12&amp;"_"&amp;C12</f>
        <v>65531_2</v>
      </c>
      <c r="E12" s="3" t="str">
        <f ca="1">VLOOKUP($B12,OFFSET([2]quests!$A$1,0,0,COUNTA([2]quests!$A:$A),MATCH(E$1,[2]quests!$1:$1,0)-MATCH($B$1,[2]quests!$1:$1,0)+1),MATCH(E$1,[2]quests!$1:$1,0)-MATCH($B$1,[2]quests!$1:$1,0)+1,FALSE)</f>
        <v>【LB塚本】検証クエスト</v>
      </c>
      <c r="F12" s="3" t="str">
        <f ca="1">VLOOKUP($D12,OFFSET([2]stages!$A$1,0,0,COUNTA([2]stages!$A:$A),MATCH(F$1,[2]stages!$2:$2,0)-MATCH($D$1,[2]stages!$2:$2,0)+1),MATCH(F$1,[2]stages!$2:$2,0)-MATCH($D$1,[2]stages!$2:$2,0)+1,FALSE)</f>
        <v>【LB塚本】検証プレイ用</v>
      </c>
      <c r="G12" s="19">
        <v>4</v>
      </c>
      <c r="H12" s="13" t="str">
        <f t="shared" ref="H12" si="15">B12&amp;"_"&amp;C12&amp;"-"&amp;G12</f>
        <v>65531_2-4</v>
      </c>
      <c r="I12" s="3">
        <f ca="1">VLOOKUP($H12,OFFSET(floors!$A$1,0,0,COUNTA(floors!$A:$A),MATCH(I$1,floors!$1:$1,0)-MATCH($H$1,floors!$1:$1,0)+1),MATCH(I$1,floors!$1:$1,0)-MATCH($H$1,floors!$1:$1,0)+1,FALSE)</f>
        <v>60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36">
        <v>5</v>
      </c>
      <c r="L12" s="18">
        <v>1237</v>
      </c>
      <c r="M12" s="15" t="str">
        <f ca="1">VLOOKUP($L12,OFFSET([3]enemies!$A$1,0,0,COUNTA([3]enemies!$A:$A),MATCH(M$1,[3]enemies!$1:$1,0)-MATCH($L$1,[3]enemies!$1:$1,0)+1),MATCH(M$1,[3]enemies!$1:$1,0)-MATCH($L$1,[3]enemies!$1:$1,0)+1,FALSE)</f>
        <v>夢茶の目付役 千利休</v>
      </c>
      <c r="N12" s="15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5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5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5">
        <f ca="1">VLOOKUP($L12,OFFSET([3]enemies!$A$1,0,0,COUNTA([3]enemies!$A:$A),MATCH(Q$1,[3]enemies!$1:$1,0)-MATCH($L$1,[3]enemies!$1:$1,0)+1),MATCH(Q$1,[3]enemies!$1:$1,0)-MATCH($L$1,[3]enemies!$1:$1,0)+1,FALSE)</f>
        <v>60</v>
      </c>
      <c r="R12" s="4">
        <v>60</v>
      </c>
      <c r="S12" s="23">
        <v>1.6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163934.40000000002</v>
      </c>
      <c r="U12" s="23">
        <v>0.5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3391.5</v>
      </c>
      <c r="W12" s="4">
        <v>0</v>
      </c>
      <c r="X12" s="3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2回連続攻撃+2ターンウィルス</v>
      </c>
      <c r="Y12" s="46">
        <v>65531108</v>
      </c>
      <c r="Z12" s="5">
        <v>1</v>
      </c>
      <c r="AA12" s="5">
        <v>100</v>
      </c>
      <c r="AB12" s="5">
        <v>0</v>
      </c>
      <c r="AC12" s="15">
        <v>2</v>
      </c>
      <c r="AD12" s="22">
        <v>1236</v>
      </c>
      <c r="AE12" s="3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12" s="3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3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6">
        <v>1</v>
      </c>
      <c r="AI12" s="22">
        <v>4</v>
      </c>
      <c r="AJ12" s="7">
        <v>80</v>
      </c>
      <c r="AK12" s="6">
        <v>0</v>
      </c>
      <c r="AL12" s="6">
        <v>0</v>
      </c>
      <c r="AM12" s="6">
        <v>0</v>
      </c>
      <c r="AN12" s="6">
        <v>0</v>
      </c>
      <c r="AO12" s="6">
        <v>1</v>
      </c>
      <c r="AP12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8" sqref="T8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2" bestFit="1" customWidth="1"/>
    <col min="3" max="3" width="10.6640625" style="2" bestFit="1" customWidth="1" collapsed="1"/>
    <col min="4" max="4" width="13" style="12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4.83203125" style="2" customWidth="1"/>
    <col min="22" max="22" width="17.5" style="2" bestFit="1" customWidth="1"/>
    <col min="23" max="23" width="17.5" style="2" customWidth="1"/>
    <col min="24" max="24" width="18.33203125" style="2" bestFit="1" customWidth="1"/>
    <col min="25" max="25" width="16.6640625" style="2" customWidth="1"/>
    <col min="26" max="26" width="10" style="2" bestFit="1" customWidth="1" outlineLevel="1"/>
    <col min="27" max="27" width="9.33203125" style="2" bestFit="1" customWidth="1"/>
    <col min="28" max="16384" width="13" style="2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3" t="s">
        <v>258</v>
      </c>
      <c r="V1" s="24" t="s">
        <v>50</v>
      </c>
      <c r="W1" s="103" t="s">
        <v>259</v>
      </c>
      <c r="X1" s="24" t="s">
        <v>52</v>
      </c>
      <c r="Y1" s="26" t="s">
        <v>130</v>
      </c>
      <c r="Z1" s="27" t="s">
        <v>129</v>
      </c>
      <c r="AA1" s="26" t="s">
        <v>8</v>
      </c>
    </row>
    <row r="2" spans="1:27" ht="21" customHeight="1" x14ac:dyDescent="0.15">
      <c r="A2" s="14" t="str">
        <f t="shared" ref="A2:A7" si="0">B2&amp;"_"&amp;C2&amp;"-"&amp;G2&amp;"/"&amp;M2&amp;"&lt;lv"&amp;S2&amp;"&gt;sq"&amp;K2&amp;"st"&amp;L2</f>
        <v>65531_1-2/567&lt;lv80&gt;sq1st2</v>
      </c>
      <c r="B2" s="20">
        <v>65531</v>
      </c>
      <c r="C2" s="19">
        <v>1</v>
      </c>
      <c r="D2" s="1" t="str">
        <f t="shared" ref="D2:D7" si="1">B2&amp;"_"&amp;C2</f>
        <v>65531_1</v>
      </c>
      <c r="E2" s="3" t="str">
        <f ca="1">VLOOKUP($B2,OFFSET([2]quests!$A$1,0,0,COUNTA([2]quests!$A:$A),MATCH(E$1,[2]quests!$1:$1,0)-MATCH($B$1,[2]quests!$1:$1,0)+1),MATCH(E$1,[2]quests!$1:$1,0)-MATCH($B$1,[2]quests!$1:$1,0)+1,FALSE)</f>
        <v>【LB塚本】検証クエスト</v>
      </c>
      <c r="F2" s="3" t="str">
        <f ca="1">VLOOKUP($D2,OFFSET([2]stages!$A$1,0,0,COUNTA([2]stages!$A:$A),MATCH(F$1,[2]stages!$2:$2,0)-MATCH($D$1,[2]stages!$2:$2,0)+1),MATCH(F$1,[2]stages!$2:$2,0)-MATCH($D$1,[2]stages!$2:$2,0)+1,FALSE)</f>
        <v>【LB塚本】検証</v>
      </c>
      <c r="G2" s="19">
        <v>2</v>
      </c>
      <c r="H2" s="13" t="str">
        <f t="shared" ref="H2:H7" si="2">B2&amp;"_"&amp;C2&amp;"-"&amp;G2</f>
        <v>65531_1-2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8">
        <v>567</v>
      </c>
      <c r="N2" s="15" t="str">
        <f ca="1">VLOOKUP($M2,OFFSET([3]enemies!$A$1,0,0,COUNTA([3]enemies!$A:$A),MATCH(N$1,[3]enemies!$1:$1,0)-MATCH($M$1,[3]enemies!$1:$1,0)+1),MATCH(N$1,[3]enemies!$1:$1,0)-MATCH($M$1,[3]enemies!$1:$1,0)+1,FALSE)</f>
        <v>紅揚の祭狐宴舞 タマモ</v>
      </c>
      <c r="O2" s="15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5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4">
        <v>80</v>
      </c>
      <c r="T2" s="23">
        <v>1.2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162934.79999999999</v>
      </c>
      <c r="V2" s="23">
        <v>0.3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2966.4</v>
      </c>
      <c r="X2" s="4">
        <v>0</v>
      </c>
      <c r="Y2" s="3" t="str">
        <f ca="1">VLOOKUP($Z2,OFFSET(enemy_skill_sets!$B$1,0,0,COUNTA(enemy_skill_sets!$B:$B),MATCH(N$1,enemy_skill_sets!$1:$1,0)-MATCH($Z$1,enemy_skill_sets!$1:$1,0)+2),MATCH(N$1,enemy_skill_sets!$1:$1,0)-MATCH($Z$1,enemy_skill_sets!$1:$1,0)+2,FALSE)</f>
        <v>2ゲージ目：開幕で割合ダメージ（現HPの50%）</v>
      </c>
      <c r="Z2" s="3">
        <v>65531004</v>
      </c>
      <c r="AA2" s="68">
        <v>1</v>
      </c>
    </row>
    <row r="3" spans="1:27" ht="21" customHeight="1" x14ac:dyDescent="0.15">
      <c r="A3" s="14" t="str">
        <f t="shared" si="0"/>
        <v>65531_1-3/1237&lt;lv60&gt;sq2st2</v>
      </c>
      <c r="B3" s="118">
        <v>65531</v>
      </c>
      <c r="C3" s="119">
        <v>1</v>
      </c>
      <c r="D3" s="120" t="str">
        <f t="shared" si="1"/>
        <v>65531_1</v>
      </c>
      <c r="E3" s="121" t="str">
        <f ca="1">VLOOKUP($B3,OFFSET([2]quests!$A$1,0,0,COUNTA([2]quests!$A:$A),MATCH(E$1,[2]quests!$1:$1,0)-MATCH($B$1,[2]quests!$1:$1,0)+1),MATCH(E$1,[2]quests!$1:$1,0)-MATCH($B$1,[2]quests!$1:$1,0)+1,FALSE)</f>
        <v>【LB塚本】検証クエスト</v>
      </c>
      <c r="F3" s="121" t="str">
        <f ca="1">VLOOKUP($D3,OFFSET([2]stages!$A$1,0,0,COUNTA([2]stages!$A:$A),MATCH(F$1,[2]stages!$2:$2,0)-MATCH($D$1,[2]stages!$2:$2,0)+1),MATCH(F$1,[2]stages!$2:$2,0)-MATCH($D$1,[2]stages!$2:$2,0)+1,FALSE)</f>
        <v>【LB塚本】検証</v>
      </c>
      <c r="G3" s="119">
        <v>3</v>
      </c>
      <c r="H3" s="120" t="str">
        <f t="shared" si="2"/>
        <v>65531_1-3</v>
      </c>
      <c r="I3" s="121">
        <f ca="1">VLOOKUP($H3,OFFSET(floors!$A$1,0,0,COUNTA(floors!$A:$A),MATCH(I$1,floors!$1:$1,0)-MATCH($H$1,floors!$1:$1,0)+1),MATCH(I$1,floors!$1:$1,0)-MATCH($H$1,floors!$1:$1,0)+1,FALSE)</f>
        <v>60</v>
      </c>
      <c r="J3" s="121">
        <f ca="1">VLOOKUP($H3,OFFSET(floors!$A$1,0,0,COUNTA(floors!$A:$A),MATCH(J$1,floors!$1:$1,0)-MATCH($H$1,floors!$1:$1,0)+1),MATCH(J$1,floors!$1:$1,0)-MATCH($H$1,floors!$1:$1,0)+1,FALSE)</f>
        <v>60</v>
      </c>
      <c r="K3" s="122">
        <v>2</v>
      </c>
      <c r="L3" s="122">
        <v>2</v>
      </c>
      <c r="M3" s="123">
        <v>1237</v>
      </c>
      <c r="N3" s="124" t="str">
        <f ca="1">VLOOKUP($M3,OFFSET([3]enemies!$A$1,0,0,COUNTA([3]enemies!$A:$A),MATCH(N$1,[3]enemies!$1:$1,0)-MATCH($M$1,[3]enemies!$1:$1,0)+1),MATCH(N$1,[3]enemies!$1:$1,0)-MATCH($M$1,[3]enemies!$1:$1,0)+1,FALSE)</f>
        <v>夢茶の目付役 千利休</v>
      </c>
      <c r="O3" s="124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24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24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24">
        <f ca="1">VLOOKUP($M3,OFFSET([3]enemies!$A$1,0,0,COUNTA([3]enemies!$A:$A),MATCH(R$1,[3]enemies!$1:$1,0)-MATCH($M$1,[3]enemies!$1:$1,0)+1),MATCH(R$1,[3]enemies!$1:$1,0)-MATCH($M$1,[3]enemies!$1:$1,0)+1,FALSE)</f>
        <v>60</v>
      </c>
      <c r="S3" s="125">
        <v>60</v>
      </c>
      <c r="T3" s="126">
        <v>1.8</v>
      </c>
      <c r="U3" s="12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184426.2</v>
      </c>
      <c r="V3" s="126">
        <v>0.5</v>
      </c>
      <c r="W3" s="12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3391.5</v>
      </c>
      <c r="X3" s="125">
        <v>0</v>
      </c>
      <c r="Y3" s="121" t="str">
        <f ca="1">VLOOKUP($Z3,OFFSET(enemy_skill_sets!$B$1,0,0,COUNTA(enemy_skill_sets!$B:$B),MATCH(N$1,enemy_skill_sets!$1:$1,0)-MATCH($Z$1,enemy_skill_sets!$1:$1,0)+2),MATCH(N$1,enemy_skill_sets!$1:$1,0)-MATCH($Z$1,enemy_skill_sets!$1:$1,0)+2,FALSE)</f>
        <v>2ゲージ目：6連続攻撃</v>
      </c>
      <c r="Z3" s="121">
        <v>65531006</v>
      </c>
      <c r="AA3" s="162">
        <v>2</v>
      </c>
    </row>
    <row r="4" spans="1:27" s="161" customFormat="1" ht="21" customHeight="1" thickBot="1" x14ac:dyDescent="0.2">
      <c r="A4" s="145" t="str">
        <f t="shared" si="0"/>
        <v>65531_1-3/1237&lt;lv60&gt;sq2st3</v>
      </c>
      <c r="B4" s="146">
        <v>65531</v>
      </c>
      <c r="C4" s="147">
        <v>1</v>
      </c>
      <c r="D4" s="148" t="str">
        <f t="shared" si="1"/>
        <v>65531_1</v>
      </c>
      <c r="E4" s="149" t="str">
        <f ca="1">VLOOKUP($B4,OFFSET([2]quests!$A$1,0,0,COUNTA([2]quests!$A:$A),MATCH(E$1,[2]quests!$1:$1,0)-MATCH($B$1,[2]quests!$1:$1,0)+1),MATCH(E$1,[2]quests!$1:$1,0)-MATCH($B$1,[2]quests!$1:$1,0)+1,FALSE)</f>
        <v>【LB塚本】検証クエスト</v>
      </c>
      <c r="F4" s="149" t="str">
        <f ca="1">VLOOKUP($D4,OFFSET([2]stages!$A$1,0,0,COUNTA([2]stages!$A:$A),MATCH(F$1,[2]stages!$2:$2,0)-MATCH($D$1,[2]stages!$2:$2,0)+1),MATCH(F$1,[2]stages!$2:$2,0)-MATCH($D$1,[2]stages!$2:$2,0)+1,FALSE)</f>
        <v>【LB塚本】検証</v>
      </c>
      <c r="G4" s="147">
        <v>3</v>
      </c>
      <c r="H4" s="148" t="str">
        <f t="shared" si="2"/>
        <v>65531_1-3</v>
      </c>
      <c r="I4" s="149">
        <f ca="1">VLOOKUP($H4,OFFSET(floors!$A$1,0,0,COUNTA(floors!$A:$A),MATCH(I$1,floors!$1:$1,0)-MATCH($H$1,floors!$1:$1,0)+1),MATCH(I$1,floors!$1:$1,0)-MATCH($H$1,floors!$1:$1,0)+1,FALSE)</f>
        <v>60</v>
      </c>
      <c r="J4" s="149">
        <f ca="1">VLOOKUP($H4,OFFSET(floors!$A$1,0,0,COUNTA(floors!$A:$A),MATCH(J$1,floors!$1:$1,0)-MATCH($H$1,floors!$1:$1,0)+1),MATCH(J$1,floors!$1:$1,0)-MATCH($H$1,floors!$1:$1,0)+1,FALSE)</f>
        <v>60</v>
      </c>
      <c r="K4" s="150">
        <v>2</v>
      </c>
      <c r="L4" s="150">
        <v>3</v>
      </c>
      <c r="M4" s="151">
        <v>1237</v>
      </c>
      <c r="N4" s="152" t="str">
        <f ca="1">VLOOKUP($M4,OFFSET([3]enemies!$A$1,0,0,COUNTA([3]enemies!$A:$A),MATCH(N$1,[3]enemies!$1:$1,0)-MATCH($M$1,[3]enemies!$1:$1,0)+1),MATCH(N$1,[3]enemies!$1:$1,0)-MATCH($M$1,[3]enemies!$1:$1,0)+1,FALSE)</f>
        <v>夢茶の目付役 千利休</v>
      </c>
      <c r="O4" s="152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52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52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52">
        <f ca="1">VLOOKUP($M4,OFFSET([3]enemies!$A$1,0,0,COUNTA([3]enemies!$A:$A),MATCH(R$1,[3]enemies!$1:$1,0)-MATCH($M$1,[3]enemies!$1:$1,0)+1),MATCH(R$1,[3]enemies!$1:$1,0)-MATCH($M$1,[3]enemies!$1:$1,0)+1,FALSE)</f>
        <v>60</v>
      </c>
      <c r="S4" s="153">
        <v>60</v>
      </c>
      <c r="T4" s="154">
        <v>2</v>
      </c>
      <c r="U4" s="15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204918</v>
      </c>
      <c r="V4" s="154">
        <v>0.5</v>
      </c>
      <c r="W4" s="15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3391.5</v>
      </c>
      <c r="X4" s="153">
        <v>0</v>
      </c>
      <c r="Y4" s="149" t="str">
        <f ca="1">VLOOKUP($Z4,OFFSET(enemy_skill_sets!$B$1,0,0,COUNTA(enemy_skill_sets!$B:$B),MATCH(N$1,enemy_skill_sets!$1:$1,0)-MATCH($Z$1,enemy_skill_sets!$1:$1,0)+2),MATCH(N$1,enemy_skill_sets!$1:$1,0)-MATCH($Z$1,enemy_skill_sets!$1:$1,0)+2,FALSE)</f>
        <v>開幕でウィルス（解除するまで）</v>
      </c>
      <c r="Z4" s="149">
        <v>65531007</v>
      </c>
      <c r="AA4" s="164">
        <v>1</v>
      </c>
    </row>
    <row r="5" spans="1:27" ht="21" customHeight="1" x14ac:dyDescent="0.15">
      <c r="A5" s="14" t="str">
        <f t="shared" si="0"/>
        <v>65531_2-2/197&lt;lv60&gt;sq3st2</v>
      </c>
      <c r="B5" s="20">
        <v>65531</v>
      </c>
      <c r="C5" s="133">
        <v>2</v>
      </c>
      <c r="D5" s="134" t="str">
        <f t="shared" si="1"/>
        <v>65531_2</v>
      </c>
      <c r="E5" s="3" t="str">
        <f ca="1">VLOOKUP($B5,OFFSET([2]quests!$A$1,0,0,COUNTA([2]quests!$A:$A),MATCH(E$1,[2]quests!$1:$1,0)-MATCH($B$1,[2]quests!$1:$1,0)+1),MATCH(E$1,[2]quests!$1:$1,0)-MATCH($B$1,[2]quests!$1:$1,0)+1,FALSE)</f>
        <v>【LB塚本】検証クエスト</v>
      </c>
      <c r="F5" s="3" t="str">
        <f ca="1">VLOOKUP($D5,OFFSET([2]stages!$A$1,0,0,COUNTA([2]stages!$A:$A),MATCH(F$1,[2]stages!$2:$2,0)-MATCH($D$1,[2]stages!$2:$2,0)+1),MATCH(F$1,[2]stages!$2:$2,0)-MATCH($D$1,[2]stages!$2:$2,0)+1,FALSE)</f>
        <v>【LB塚本】検証プレイ用</v>
      </c>
      <c r="G5" s="133">
        <v>2</v>
      </c>
      <c r="H5" s="134" t="str">
        <f t="shared" si="2"/>
        <v>65531_2-2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135">
        <v>3</v>
      </c>
      <c r="L5" s="135">
        <v>2</v>
      </c>
      <c r="M5" s="18">
        <v>197</v>
      </c>
      <c r="N5" s="15" t="str">
        <f ca="1">VLOOKUP($M5,OFFSET([3]enemies!$A$1,0,0,COUNTA([3]enemies!$A:$A),MATCH(N$1,[3]enemies!$1:$1,0)-MATCH($M$1,[3]enemies!$1:$1,0)+1),MATCH(N$1,[3]enemies!$1:$1,0)-MATCH($M$1,[3]enemies!$1:$1,0)+1,FALSE)</f>
        <v>鉄腕 アキレス</v>
      </c>
      <c r="O5" s="15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5" t="str">
        <f ca="1">VLOOKUP($M5,OFFSET([4]characters!$A$1,0,0,COUNTA([4]characters!$A:$A),MATCH(P$1,[4]characters!$1:$1,0)-MATCH($M$1,[4]characters!$1:$1,0)+1),MATCH(P$1,[4]characters!$1:$1,0)-MATCH($M$1,[4]characters!$1:$1,0)+1,FALSE)</f>
        <v>PremiumN</v>
      </c>
      <c r="Q5" s="15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5">
        <f ca="1">VLOOKUP($M5,OFFSET([3]enemies!$A$1,0,0,COUNTA([3]enemies!$A:$A),MATCH(R$1,[3]enemies!$1:$1,0)-MATCH($M$1,[3]enemies!$1:$1,0)+1),MATCH(R$1,[3]enemies!$1:$1,0)-MATCH($M$1,[3]enemies!$1:$1,0)+1,FALSE)</f>
        <v>30</v>
      </c>
      <c r="S5" s="137">
        <v>60</v>
      </c>
      <c r="T5" s="138">
        <v>1.2</v>
      </c>
      <c r="U5" s="13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132570</v>
      </c>
      <c r="V5" s="138">
        <v>0.5</v>
      </c>
      <c r="W5" s="13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2398.5</v>
      </c>
      <c r="X5" s="137">
        <v>0</v>
      </c>
      <c r="Y5" s="3" t="str">
        <f ca="1">VLOOKUP($Z5,OFFSET(enemy_skill_sets!$B$1,0,0,COUNTA(enemy_skill_sets!$B:$B),MATCH(N$1,enemy_skill_sets!$1:$1,0)-MATCH($Z$1,enemy_skill_sets!$1:$1,0)+2),MATCH(N$1,enemy_skill_sets!$1:$1,0)-MATCH($Z$1,enemy_skill_sets!$1:$1,0)+2,FALSE)</f>
        <v>3回連続攻撃</v>
      </c>
      <c r="Z5" s="46">
        <v>65531103</v>
      </c>
      <c r="AA5" s="163">
        <v>1</v>
      </c>
    </row>
    <row r="6" spans="1:27" ht="21" customHeight="1" x14ac:dyDescent="0.15">
      <c r="A6" s="14" t="str">
        <f t="shared" si="0"/>
        <v>65531_2-2/224&lt;lv60&gt;sq4st2</v>
      </c>
      <c r="B6" s="20">
        <v>65531</v>
      </c>
      <c r="C6" s="19">
        <v>2</v>
      </c>
      <c r="D6" s="1" t="str">
        <f t="shared" si="1"/>
        <v>65531_2</v>
      </c>
      <c r="E6" s="3" t="str">
        <f ca="1">VLOOKUP($B6,OFFSET([2]quests!$A$1,0,0,COUNTA([2]quests!$A:$A),MATCH(E$1,[2]quests!$1:$1,0)-MATCH($B$1,[2]quests!$1:$1,0)+1),MATCH(E$1,[2]quests!$1:$1,0)-MATCH($B$1,[2]quests!$1:$1,0)+1,FALSE)</f>
        <v>【LB塚本】検証クエスト</v>
      </c>
      <c r="F6" s="3" t="str">
        <f ca="1">VLOOKUP($D6,OFFSET([2]stages!$A$1,0,0,COUNTA([2]stages!$A:$A),MATCH(F$1,[2]stages!$2:$2,0)-MATCH($D$1,[2]stages!$2:$2,0)+1),MATCH(F$1,[2]stages!$2:$2,0)-MATCH($D$1,[2]stages!$2:$2,0)+1,FALSE)</f>
        <v>【LB塚本】検証プレイ用</v>
      </c>
      <c r="G6" s="19">
        <v>2</v>
      </c>
      <c r="H6" s="13" t="str">
        <f t="shared" si="2"/>
        <v>65531_2-2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6">
        <v>4</v>
      </c>
      <c r="L6" s="36">
        <v>2</v>
      </c>
      <c r="M6" s="18">
        <v>224</v>
      </c>
      <c r="N6" s="15" t="str">
        <f ca="1">VLOOKUP($M6,OFFSET([3]enemies!$A$1,0,0,COUNTA([3]enemies!$A:$A),MATCH(N$1,[3]enemies!$1:$1,0)-MATCH($M$1,[3]enemies!$1:$1,0)+1),MATCH(N$1,[3]enemies!$1:$1,0)-MATCH($M$1,[3]enemies!$1:$1,0)+1,FALSE)</f>
        <v>巨腕 ヘラクレス</v>
      </c>
      <c r="O6" s="15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5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5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5">
        <f ca="1">VLOOKUP($M6,OFFSET([3]enemies!$A$1,0,0,COUNTA([3]enemies!$A:$A),MATCH(R$1,[3]enemies!$1:$1,0)-MATCH($M$1,[3]enemies!$1:$1,0)+1),MATCH(R$1,[3]enemies!$1:$1,0)-MATCH($M$1,[3]enemies!$1:$1,0)+1,FALSE)</f>
        <v>30</v>
      </c>
      <c r="S6" s="4">
        <v>60</v>
      </c>
      <c r="T6" s="23">
        <v>1.8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132570</v>
      </c>
      <c r="V6" s="23">
        <v>0.5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3117.5</v>
      </c>
      <c r="X6" s="4">
        <v>0</v>
      </c>
      <c r="Y6" s="3" t="str">
        <f ca="1">VLOOKUP($Z6,OFFSET(enemy_skill_sets!$B$1,0,0,COUNTA(enemy_skill_sets!$B:$B),MATCH(N$1,enemy_skill_sets!$1:$1,0)-MATCH($Z$1,enemy_skill_sets!$1:$1,0)+2),MATCH(N$1,enemy_skill_sets!$1:$1,0)-MATCH($Z$1,enemy_skill_sets!$1:$1,0)+2,FALSE)</f>
        <v>ハートパネルを吸収して敵全体の防御力UP</v>
      </c>
      <c r="Z6" s="46">
        <v>65531105</v>
      </c>
      <c r="AA6" s="68">
        <v>2</v>
      </c>
    </row>
    <row r="7" spans="1:27" ht="21" customHeight="1" x14ac:dyDescent="0.15">
      <c r="A7" s="14" t="str">
        <f t="shared" si="0"/>
        <v>65531_2-4/1237&lt;lv60&gt;sq5st2</v>
      </c>
      <c r="B7" s="20">
        <v>65531</v>
      </c>
      <c r="C7" s="19">
        <v>2</v>
      </c>
      <c r="D7" s="1" t="str">
        <f t="shared" si="1"/>
        <v>65531_2</v>
      </c>
      <c r="E7" s="3" t="str">
        <f ca="1">VLOOKUP($B7,OFFSET([2]quests!$A$1,0,0,COUNTA([2]quests!$A:$A),MATCH(E$1,[2]quests!$1:$1,0)-MATCH($B$1,[2]quests!$1:$1,0)+1),MATCH(E$1,[2]quests!$1:$1,0)-MATCH($B$1,[2]quests!$1:$1,0)+1,FALSE)</f>
        <v>【LB塚本】検証クエスト</v>
      </c>
      <c r="F7" s="3" t="str">
        <f ca="1">VLOOKUP($D7,OFFSET([2]stages!$A$1,0,0,COUNTA([2]stages!$A:$A),MATCH(F$1,[2]stages!$2:$2,0)-MATCH($D$1,[2]stages!$2:$2,0)+1),MATCH(F$1,[2]stages!$2:$2,0)-MATCH($D$1,[2]stages!$2:$2,0)+1,FALSE)</f>
        <v>【LB塚本】検証プレイ用</v>
      </c>
      <c r="G7" s="19">
        <v>4</v>
      </c>
      <c r="H7" s="13" t="str">
        <f t="shared" si="2"/>
        <v>65531_2-4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36">
        <v>5</v>
      </c>
      <c r="L7" s="36">
        <v>2</v>
      </c>
      <c r="M7" s="18">
        <v>1237</v>
      </c>
      <c r="N7" s="15" t="str">
        <f ca="1">VLOOKUP($M7,OFFSET([3]enemies!$A$1,0,0,COUNTA([3]enemies!$A:$A),MATCH(N$1,[3]enemies!$1:$1,0)-MATCH($M$1,[3]enemies!$1:$1,0)+1),MATCH(N$1,[3]enemies!$1:$1,0)-MATCH($M$1,[3]enemies!$1:$1,0)+1,FALSE)</f>
        <v>夢茶の目付役 千利休</v>
      </c>
      <c r="O7" s="15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5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5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5">
        <f ca="1">VLOOKUP($M7,OFFSET([3]enemies!$A$1,0,0,COUNTA([3]enemies!$A:$A),MATCH(R$1,[3]enemies!$1:$1,0)-MATCH($M$1,[3]enemies!$1:$1,0)+1),MATCH(R$1,[3]enemies!$1:$1,0)-MATCH($M$1,[3]enemies!$1:$1,0)+1,FALSE)</f>
        <v>60</v>
      </c>
      <c r="S7" s="4">
        <v>60</v>
      </c>
      <c r="T7" s="23">
        <v>1.8</v>
      </c>
      <c r="U7" s="10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184426.2</v>
      </c>
      <c r="V7" s="23">
        <v>0.5</v>
      </c>
      <c r="W7" s="10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3391.5</v>
      </c>
      <c r="X7" s="4">
        <v>0</v>
      </c>
      <c r="Y7" s="3" t="str">
        <f ca="1">VLOOKUP($Z7,OFFSET(enemy_skill_sets!$B$1,0,0,COUNTA(enemy_skill_sets!$B:$B),MATCH(N$1,enemy_skill_sets!$1:$1,0)-MATCH($Z$1,enemy_skill_sets!$1:$1,0)+2),MATCH(N$1,enemy_skill_sets!$1:$1,0)-MATCH($Z$1,enemy_skill_sets!$1:$1,0)+2,FALSE)</f>
        <v>4回連続攻撃+解除するまでウィルス</v>
      </c>
      <c r="Z7" s="46">
        <v>65531109</v>
      </c>
      <c r="AA7" s="6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7"/>
  <sheetViews>
    <sheetView showGridLines="0" workbookViewId="0">
      <pane xSplit="5" ySplit="1" topLeftCell="F3" activePane="bottomRight" state="frozen"/>
      <selection pane="topRight"/>
      <selection pane="bottomLeft"/>
      <selection pane="bottomRight" activeCell="E30" sqref="E30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189" t="str">
        <f t="shared" ref="A2" si="0">B2&amp;"_"&amp;C2</f>
        <v>65531001_65531001</v>
      </c>
      <c r="B2" s="45">
        <v>65531001</v>
      </c>
      <c r="C2" s="45">
        <v>65531001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バショー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最大HPの30%を全体回復</v>
      </c>
      <c r="F2" s="45">
        <v>65531001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6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5"/>
      <c r="Q2" s="45"/>
      <c r="R2" s="45"/>
    </row>
    <row r="3" spans="1:18" ht="21" customHeight="1" x14ac:dyDescent="0.15">
      <c r="A3" s="189" t="str">
        <f t="shared" ref="A3:A11" si="1">B3&amp;"_"&amp;C3</f>
        <v>65531002_65531002</v>
      </c>
      <c r="B3" s="45">
        <v>65531002</v>
      </c>
      <c r="C3" s="45">
        <v>65531002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ショウイン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初回行動時に味方2体を80％の確率で眠らせる</v>
      </c>
      <c r="F3" s="45">
        <v>65531002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189" t="str">
        <f t="shared" si="1"/>
        <v>65531003_65531003</v>
      </c>
      <c r="B4" s="45">
        <v>65531003</v>
      </c>
      <c r="C4" s="45">
        <v>65531003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1ゲージ目:タマモ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1ゲージ目：全体攻撃（100%ウィルス付与[解除するまで]）</v>
      </c>
      <c r="F4" s="45">
        <v>65531003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5"/>
      <c r="Q4" s="45"/>
      <c r="R4" s="45"/>
    </row>
    <row r="5" spans="1:18" ht="21" customHeight="1" x14ac:dyDescent="0.15">
      <c r="A5" s="189" t="str">
        <f t="shared" si="1"/>
        <v>65531004_65531004</v>
      </c>
      <c r="B5" s="45">
        <v>65531004</v>
      </c>
      <c r="C5" s="45">
        <v>65531004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2ゲージ目:タマモ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2ゲージ目：開幕で割合ダメージ（現HPの50%）</v>
      </c>
      <c r="F5" s="45">
        <v>65531004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189" t="str">
        <f t="shared" si="1"/>
        <v>65531004_65531005</v>
      </c>
      <c r="B6" s="45">
        <v>65531004</v>
      </c>
      <c r="C6" s="45">
        <v>65531005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2ゲージ目:タマモ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2ゲージ目：30%の確率でクリティカル</v>
      </c>
      <c r="F6" s="45">
        <v>65531005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5"/>
      <c r="Q6" s="45"/>
      <c r="R6" s="45"/>
    </row>
    <row r="7" spans="1:18" ht="21" customHeight="1" x14ac:dyDescent="0.15">
      <c r="A7" s="189" t="str">
        <f t="shared" si="1"/>
        <v>65531005_65531006</v>
      </c>
      <c r="B7" s="45">
        <v>65531005</v>
      </c>
      <c r="C7" s="45">
        <v>65531006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千利休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開幕でウィルス（解除するまで）</v>
      </c>
      <c r="F7" s="45">
        <v>65531006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189" t="str">
        <f t="shared" si="1"/>
        <v>65531005_65531007</v>
      </c>
      <c r="B8" s="45">
        <v>65531005</v>
      </c>
      <c r="C8" s="45">
        <v>65531007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1ゲージ目:千利休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1ゲージ目：20%の確率で攻撃力低下(3ターン程度)</v>
      </c>
      <c r="F8" s="45">
        <v>65531007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5"/>
      <c r="Q8" s="45"/>
      <c r="R8" s="45"/>
    </row>
    <row r="9" spans="1:18" ht="21" customHeight="1" x14ac:dyDescent="0.15">
      <c r="A9" s="189" t="str">
        <f t="shared" si="1"/>
        <v>65531005_65531008</v>
      </c>
      <c r="B9" s="45">
        <v>65531005</v>
      </c>
      <c r="C9" s="45">
        <v>65531008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1ゲージ目:千利休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1ゲージ目：30%の確率でクリティカル</v>
      </c>
      <c r="F9" s="45">
        <v>65531008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" s="45"/>
      <c r="Q9" s="45"/>
      <c r="R9" s="45"/>
    </row>
    <row r="10" spans="1:18" ht="21" customHeight="1" x14ac:dyDescent="0.15">
      <c r="A10" s="189" t="str">
        <f t="shared" si="1"/>
        <v>65531006_65531009</v>
      </c>
      <c r="B10" s="45">
        <v>65531006</v>
      </c>
      <c r="C10" s="45">
        <v>65531009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2ゲージ目:千利休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2ゲージ目：6連続攻撃</v>
      </c>
      <c r="F10" s="45">
        <v>65531009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189" t="str">
        <f t="shared" si="1"/>
        <v>65531006_65531010</v>
      </c>
      <c r="B11" s="45">
        <v>65531006</v>
      </c>
      <c r="C11" s="45">
        <v>65531010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2ゲージ目:千利休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2ゲージ目：30%の確率で4連続攻撃_x000D_(HIT毎に100%ウィルス付与[解除するまで])</v>
      </c>
      <c r="F11" s="45">
        <v>65531010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5"/>
      <c r="Q11" s="45"/>
      <c r="R11" s="45"/>
    </row>
    <row r="12" spans="1:18" ht="21" customHeight="1" x14ac:dyDescent="0.15">
      <c r="A12" s="189" t="str">
        <f t="shared" ref="A12:A14" si="2">B12&amp;"_"&amp;C12</f>
        <v>65531006_65531011</v>
      </c>
      <c r="B12" s="45">
        <v>65531006</v>
      </c>
      <c r="C12" s="45">
        <v>65531011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2ゲージ目:千利休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2ゲージ目：ハートパネル無効（2ターン）</v>
      </c>
      <c r="F12" s="45">
        <v>65531011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" s="45"/>
      <c r="Q12" s="45"/>
      <c r="R12" s="45"/>
    </row>
    <row r="13" spans="1:18" ht="21" customHeight="1" x14ac:dyDescent="0.15">
      <c r="A13" s="189" t="str">
        <f t="shared" si="2"/>
        <v>65531007_65531012</v>
      </c>
      <c r="B13" s="45">
        <v>65531007</v>
      </c>
      <c r="C13" s="45">
        <v>65531012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3ゲージ目:千利休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開幕でウィルス（解除するまで）</v>
      </c>
      <c r="F13" s="45">
        <v>65531012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thickBot="1" x14ac:dyDescent="0.2">
      <c r="A14" s="190" t="str">
        <f t="shared" si="2"/>
        <v>65531007_65531013</v>
      </c>
      <c r="B14" s="191">
        <v>65531007</v>
      </c>
      <c r="C14" s="191">
        <v>65531013</v>
      </c>
      <c r="D14" s="19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3ゲージ目:千利休</v>
      </c>
      <c r="E14" s="19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3ゲージ目：4連続攻撃</v>
      </c>
      <c r="F14" s="191">
        <v>65531013</v>
      </c>
      <c r="G14" s="193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93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193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4" s="19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93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93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93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93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9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4" s="191"/>
      <c r="Q14" s="191"/>
      <c r="R14" s="191"/>
    </row>
    <row r="15" spans="1:18" ht="21" customHeight="1" x14ac:dyDescent="0.15">
      <c r="A15" s="189" t="str">
        <f t="shared" ref="A15" si="3">B15&amp;"_"&amp;C15</f>
        <v>65531100_65531100</v>
      </c>
      <c r="B15" s="45">
        <v>65531100</v>
      </c>
      <c r="C15" s="45">
        <v>65531100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古池や　蛙飛び込む　池の音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5" s="45">
        <v>65531100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5"/>
      <c r="Q15" s="45"/>
      <c r="R15" s="45"/>
    </row>
    <row r="16" spans="1:18" ht="21" customHeight="1" x14ac:dyDescent="0.15">
      <c r="A16" s="189" t="str">
        <f t="shared" ref="A16:A37" si="4">B16&amp;"_"&amp;C16</f>
        <v>65531101_65531110</v>
      </c>
      <c r="B16" s="45">
        <v>65531101</v>
      </c>
      <c r="C16" s="45">
        <v>65531110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弱肉強食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45">
        <v>65531110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5"/>
      <c r="Q16" s="45"/>
      <c r="R16" s="45"/>
    </row>
    <row r="17" spans="1:18" ht="21" customHeight="1" x14ac:dyDescent="0.15">
      <c r="A17" s="189" t="str">
        <f t="shared" si="4"/>
        <v>65531102_65531120</v>
      </c>
      <c r="B17" s="45">
        <v>65531102</v>
      </c>
      <c r="C17" s="45">
        <v>65531120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シュッ！シュッ！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5ターン敵全体の攻撃力UP</v>
      </c>
      <c r="F17" s="45">
        <v>65531120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7" s="45"/>
      <c r="Q17" s="45"/>
      <c r="R17" s="45"/>
    </row>
    <row r="18" spans="1:18" ht="21" customHeight="1" x14ac:dyDescent="0.15">
      <c r="A18" s="189" t="str">
        <f t="shared" si="4"/>
        <v>65531102_65531121</v>
      </c>
      <c r="B18" s="45">
        <v>65531102</v>
      </c>
      <c r="C18" s="45">
        <v>65531121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痛い目見るよ・・・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4ターン攻撃をカウンター</v>
      </c>
      <c r="F18" s="45">
        <v>65531121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8" s="45"/>
      <c r="Q18" s="45"/>
      <c r="R18" s="45"/>
    </row>
    <row r="19" spans="1:18" ht="21" customHeight="1" x14ac:dyDescent="0.15">
      <c r="A19" s="189" t="str">
        <f t="shared" si="4"/>
        <v>65531102_65531122</v>
      </c>
      <c r="B19" s="45">
        <v>65531102</v>
      </c>
      <c r="C19" s="45">
        <v>65531122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サンドバッグにしてやる！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9" s="45">
        <v>65531122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5"/>
      <c r="Q19" s="45"/>
      <c r="R19" s="45"/>
    </row>
    <row r="20" spans="1:18" ht="21" customHeight="1" x14ac:dyDescent="0.15">
      <c r="A20" s="189" t="str">
        <f t="shared" si="4"/>
        <v>65531103_65531123</v>
      </c>
      <c r="B20" s="45">
        <v>65531103</v>
      </c>
      <c r="C20" s="45">
        <v>65531123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アキレス2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45">
        <v>65531123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5"/>
      <c r="Q20" s="45"/>
      <c r="R20" s="45"/>
    </row>
    <row r="21" spans="1:18" ht="21" customHeight="1" x14ac:dyDescent="0.15">
      <c r="A21" s="189" t="str">
        <f t="shared" si="4"/>
        <v>65531104_65531130</v>
      </c>
      <c r="B21" s="45">
        <v>65531104</v>
      </c>
      <c r="C21" s="45">
        <v>65531130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貧弱貧弱ゥ！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2ターン緑属性のユニットの攻撃力をDOWN</v>
      </c>
      <c r="F21" s="45">
        <v>65531130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189" t="str">
        <f t="shared" si="4"/>
        <v>65531104_65531131</v>
      </c>
      <c r="B22" s="45">
        <v>65531104</v>
      </c>
      <c r="C22" s="45">
        <v>65531131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ライオンパンチ！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5">
        <v>65531131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5"/>
      <c r="Q22" s="45"/>
      <c r="R22" s="45"/>
    </row>
    <row r="23" spans="1:18" ht="21" customHeight="1" x14ac:dyDescent="0.15">
      <c r="A23" s="189" t="str">
        <f t="shared" si="4"/>
        <v>65531104_65531132</v>
      </c>
      <c r="B23" s="45">
        <v>65531104</v>
      </c>
      <c r="C23" s="45">
        <v>65531132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ライオンキック！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全体攻撃！</v>
      </c>
      <c r="F23" s="45">
        <v>65531132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189" t="str">
        <f t="shared" si="4"/>
        <v>65531105_65531133</v>
      </c>
      <c r="B24" s="45">
        <v>65531105</v>
      </c>
      <c r="C24" s="45">
        <v>65531133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ヘラクレス2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ハートパネルを吸収して敵全体の防御力UP</v>
      </c>
      <c r="F24" s="45">
        <v>65531133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189" t="str">
        <f t="shared" si="4"/>
        <v>65531105_65531134</v>
      </c>
      <c r="B25" s="45">
        <v>65531105</v>
      </c>
      <c r="C25" s="45">
        <v>65531134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ヘラクレス2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全体攻撃！</v>
      </c>
      <c r="F25" s="45">
        <v>65531134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5"/>
      <c r="Q25" s="45"/>
      <c r="R25" s="45"/>
    </row>
    <row r="26" spans="1:18" ht="21" customHeight="1" x14ac:dyDescent="0.15">
      <c r="A26" s="189" t="str">
        <f t="shared" si="4"/>
        <v>65531105_65531135</v>
      </c>
      <c r="B26" s="45">
        <v>65531105</v>
      </c>
      <c r="C26" s="45">
        <v>65531135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ヘラクレス2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45">
        <v>65531135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189" t="str">
        <f t="shared" si="4"/>
        <v>65531106_65531140</v>
      </c>
      <c r="B27" s="45">
        <v>65531106</v>
      </c>
      <c r="C27" s="45">
        <v>65531140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3ターン待ってやる！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27" s="45">
        <v>65531140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189" t="str">
        <f t="shared" si="4"/>
        <v>65531106_65531141</v>
      </c>
      <c r="B28" s="45">
        <v>65531106</v>
      </c>
      <c r="C28" s="45">
        <v>65531141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バルス！！！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自爆攻撃</v>
      </c>
      <c r="F28" s="45">
        <v>65531141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28" s="45"/>
      <c r="Q28" s="45"/>
      <c r="R28" s="45"/>
    </row>
    <row r="29" spans="1:18" ht="21" customHeight="1" x14ac:dyDescent="0.15">
      <c r="A29" s="189" t="str">
        <f t="shared" si="4"/>
        <v>65531107_65531150</v>
      </c>
      <c r="B29" s="45">
        <v>65531107</v>
      </c>
      <c r="C29" s="45">
        <v>65531150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お前を消す方法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9" s="45">
        <v>65531150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9" s="45"/>
      <c r="Q29" s="45"/>
      <c r="R29" s="45"/>
    </row>
    <row r="30" spans="1:18" ht="21" customHeight="1" x14ac:dyDescent="0.15">
      <c r="A30" s="189" t="str">
        <f t="shared" ref="A30" si="5">B30&amp;"_"&amp;C30</f>
        <v>65531108_65531160</v>
      </c>
      <c r="B30" s="45">
        <v>65531108</v>
      </c>
      <c r="C30" s="45">
        <v>65531160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ケロッ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2回連続攻撃+2ターンウィルス</v>
      </c>
      <c r="F30" s="45">
        <v>65531160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189" t="str">
        <f t="shared" si="4"/>
        <v>65531108_65531160</v>
      </c>
      <c r="B31" s="45">
        <v>65531108</v>
      </c>
      <c r="C31" s="45">
        <v>65531160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ケロッ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2回連続攻撃+2ターンウィルス</v>
      </c>
      <c r="F31" s="45">
        <v>65531161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5"/>
      <c r="Q31" s="45"/>
      <c r="R31" s="45"/>
    </row>
    <row r="32" spans="1:18" ht="21" customHeight="1" x14ac:dyDescent="0.15">
      <c r="A32" s="189" t="str">
        <f t="shared" si="4"/>
        <v>65531108_65531161</v>
      </c>
      <c r="B32" s="45">
        <v>65531108</v>
      </c>
      <c r="C32" s="45">
        <v>65531161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ケロケロケ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2" s="45">
        <v>65531162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2" s="45"/>
      <c r="Q32" s="45"/>
      <c r="R32" s="45"/>
    </row>
    <row r="33" spans="1:18" ht="21" customHeight="1" x14ac:dyDescent="0.15">
      <c r="A33" s="189" t="str">
        <f t="shared" si="4"/>
        <v>65531108_65531162</v>
      </c>
      <c r="B33" s="45">
        <v>65531108</v>
      </c>
      <c r="C33" s="45">
        <v>65531162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ケロッケロ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自己回復</v>
      </c>
      <c r="F33" s="45">
        <v>65531163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3" s="46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3" s="45"/>
      <c r="Q33" s="45"/>
      <c r="R33" s="45"/>
    </row>
    <row r="34" spans="1:18" ht="21" customHeight="1" x14ac:dyDescent="0.15">
      <c r="A34" s="189" t="str">
        <f t="shared" si="4"/>
        <v>65531109_65531170</v>
      </c>
      <c r="B34" s="45">
        <v>65531109</v>
      </c>
      <c r="C34" s="45">
        <v>65531170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ゲコッ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4回連続攻撃+解除するまでウィルス</v>
      </c>
      <c r="F34" s="45">
        <v>65531170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5"/>
      <c r="Q34" s="45"/>
      <c r="R34" s="45"/>
    </row>
    <row r="35" spans="1:18" ht="21" customHeight="1" x14ac:dyDescent="0.15">
      <c r="A35" s="189" t="str">
        <f t="shared" si="4"/>
        <v>65531109_65531171</v>
      </c>
      <c r="B35" s="45">
        <v>65531109</v>
      </c>
      <c r="C35" s="45">
        <v>65531171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ゲロゲロ！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5" s="45">
        <v>65531171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5" s="45"/>
      <c r="Q35" s="45"/>
      <c r="R35" s="45"/>
    </row>
    <row r="36" spans="1:18" ht="21" customHeight="1" x14ac:dyDescent="0.15">
      <c r="A36" s="189" t="str">
        <f t="shared" si="4"/>
        <v>65531109_65531172</v>
      </c>
      <c r="B36" s="45">
        <v>65531109</v>
      </c>
      <c r="C36" s="45">
        <v>65531172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にゃ〜〜〜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36" s="45">
        <v>65531172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5"/>
      <c r="Q36" s="45"/>
      <c r="R36" s="45"/>
    </row>
    <row r="37" spans="1:18" ht="21" customHeight="1" x14ac:dyDescent="0.15">
      <c r="A37" s="189" t="str">
        <f t="shared" si="4"/>
        <v>65531109_65531173</v>
      </c>
      <c r="B37" s="45">
        <v>65531109</v>
      </c>
      <c r="C37" s="45">
        <v>65531173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ゲッゲロゲロ♪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5ターン自身の攻撃頻度UP</v>
      </c>
      <c r="F37" s="45">
        <v>65531173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5"/>
      <c r="Q37" s="45"/>
      <c r="R3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6"/>
  <sheetViews>
    <sheetView showGridLines="0" workbookViewId="0">
      <pane ySplit="1" topLeftCell="A3" activePane="bottomLeft" state="frozenSplit"/>
      <selection pane="bottomLeft" activeCell="B18" sqref="B18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21.3320312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127</v>
      </c>
      <c r="E1" s="38" t="s">
        <v>82</v>
      </c>
      <c r="F1" s="38" t="s">
        <v>83</v>
      </c>
      <c r="G1" s="39" t="s">
        <v>133</v>
      </c>
      <c r="H1" s="39" t="s">
        <v>139</v>
      </c>
      <c r="I1" s="39" t="s">
        <v>141</v>
      </c>
      <c r="J1" s="39" t="s">
        <v>140</v>
      </c>
      <c r="K1" s="39" t="s">
        <v>142</v>
      </c>
      <c r="L1" s="39" t="s">
        <v>134</v>
      </c>
      <c r="M1" s="39" t="s">
        <v>132</v>
      </c>
      <c r="N1" s="39" t="s">
        <v>135</v>
      </c>
      <c r="O1" s="39" t="s">
        <v>143</v>
      </c>
      <c r="P1" s="39" t="s">
        <v>144</v>
      </c>
      <c r="Q1" s="39" t="s">
        <v>145</v>
      </c>
      <c r="R1" s="39" t="s">
        <v>146</v>
      </c>
      <c r="S1" s="39" t="s">
        <v>136</v>
      </c>
      <c r="T1" s="39" t="s">
        <v>137</v>
      </c>
      <c r="U1" s="39" t="s">
        <v>147</v>
      </c>
      <c r="V1" s="39" t="s">
        <v>148</v>
      </c>
      <c r="W1" s="39" t="s">
        <v>149</v>
      </c>
      <c r="X1" s="39" t="s">
        <v>150</v>
      </c>
      <c r="Y1" s="39" t="s">
        <v>138</v>
      </c>
      <c r="Z1" s="39" t="s">
        <v>76</v>
      </c>
      <c r="AA1" s="39" t="s">
        <v>77</v>
      </c>
      <c r="AB1" s="39" t="s">
        <v>78</v>
      </c>
    </row>
    <row r="2" spans="1:28" ht="21" customHeight="1" x14ac:dyDescent="0.15">
      <c r="A2" s="45">
        <v>65531001</v>
      </c>
      <c r="B2" s="106" t="s">
        <v>277</v>
      </c>
      <c r="C2" s="48">
        <v>1</v>
      </c>
      <c r="D2" s="48" t="s">
        <v>128</v>
      </c>
      <c r="E2" s="49" t="s">
        <v>260</v>
      </c>
      <c r="F2" s="107" t="s">
        <v>261</v>
      </c>
      <c r="G2" s="61" t="str">
        <f>IFERROR(LEFT(B2,FIND("],",B2)),B2)</f>
        <v>[effect:heal, target:enemy_all, val:0.3, animation:enemy_heal]</v>
      </c>
      <c r="H2" s="61">
        <f>FIND("effect:",G2)+7</f>
        <v>9</v>
      </c>
      <c r="I2" s="61">
        <f>IFERROR(FIND(",",G2),LEN(G2))</f>
        <v>13</v>
      </c>
      <c r="J2" s="61">
        <f>FIND("target:",G2)+7</f>
        <v>22</v>
      </c>
      <c r="K2" s="61">
        <f>FIND(",",G2,I2+1)</f>
        <v>31</v>
      </c>
      <c r="L2" s="61" t="str">
        <f>IFERROR(VLOOKUP(MID(G2,J2,K2-J2),[5]skilldef!$C:$D,2,FALSE),"-") &amp; " / " &amp; IFERROR(VLOOKUP(MID(G2,H2,I2-H2),[5]skilldef!$A:$B,2,FALSE),"-")</f>
        <v>敵全体に / 回復</v>
      </c>
      <c r="M2" s="61" t="str">
        <f>IFERROR(RIGHT(B2,LEN(B2)-FIND("],",B2)-1),"none")</f>
        <v>none</v>
      </c>
      <c r="N2" s="46" t="str">
        <f>IFERROR(LEFT(M2,FIND("],",M2)+S12),M2)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107"/>
    </row>
    <row r="3" spans="1:28" ht="21" customHeight="1" x14ac:dyDescent="0.15">
      <c r="A3" s="45">
        <v>65531002</v>
      </c>
      <c r="B3" s="45" t="s">
        <v>293</v>
      </c>
      <c r="C3" s="48">
        <v>1</v>
      </c>
      <c r="D3" s="48" t="s">
        <v>128</v>
      </c>
      <c r="E3" s="49" t="s">
        <v>262</v>
      </c>
      <c r="F3" s="107" t="s">
        <v>266</v>
      </c>
      <c r="G3" s="61" t="str">
        <f t="shared" ref="G3:G12" si="0">IFERROR(LEFT(B3,FIND("],",B3)),B3)</f>
        <v>[effect:sleep, target:unit_one/unit_one/or, turn:2, rate:0.8, calc_type:target_one, animation:sleep02]</v>
      </c>
      <c r="H3" s="61">
        <f t="shared" ref="H3:H14" si="1">FIND("effect:",G3)+7</f>
        <v>9</v>
      </c>
      <c r="I3" s="61">
        <f t="shared" ref="I3:I12" si="2">IFERROR(FIND(",",G3),LEN(G3))</f>
        <v>14</v>
      </c>
      <c r="J3" s="61">
        <f t="shared" ref="J3:J12" si="3">FIND("target:",G3)+7</f>
        <v>23</v>
      </c>
      <c r="K3" s="61">
        <f t="shared" ref="K3:K12" si="4">FIND(",",G3,I3+1)</f>
        <v>43</v>
      </c>
      <c r="L3" s="61" t="str">
        <f>IFERROR(VLOOKUP(MID(G3,J3,K3-J3),[5]skilldef!$C:$D,2,FALSE),"-") &amp; " / " &amp; IFERROR(VLOOKUP(MID(G3,H3,I3-H3),[5]skilldef!$A:$B,2,FALSE),"-")</f>
        <v>- / スリープ</v>
      </c>
      <c r="M3" s="61" t="str">
        <f t="shared" ref="M3:M12" si="5">IFERROR(RIGHT(B3,LEN(B3)-FIND("],",B3)-1),"none")</f>
        <v>none</v>
      </c>
      <c r="N3" s="46" t="str">
        <f>IFERROR(LEFT(M3,FIND("],",M3)+#REF!),M3)</f>
        <v>none</v>
      </c>
      <c r="O3" s="61" t="e">
        <f t="shared" ref="O3:O14" si="6">FIND("effect:",N3)+7</f>
        <v>#VALUE!</v>
      </c>
      <c r="P3" s="61">
        <f t="shared" ref="P3:P12" si="7">IFERROR(FIND(",",N3),LEN(N3))</f>
        <v>4</v>
      </c>
      <c r="Q3" s="61" t="e">
        <f t="shared" ref="Q3:Q12" si="8">FIND("target:",N3)+7</f>
        <v>#VALUE!</v>
      </c>
      <c r="R3" s="61" t="e">
        <f t="shared" ref="R3:R12" si="9"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12" si="10">IFERROR(RIGHT(M3,LEN(M3)-FIND("],",M3)-1),"none")</f>
        <v>none</v>
      </c>
      <c r="U3" s="61" t="e">
        <f t="shared" ref="U3:U14" si="11">FIND("effect:",T3)+7</f>
        <v>#VALUE!</v>
      </c>
      <c r="V3" s="61">
        <f t="shared" ref="V3:V12" si="12">IFERROR(FIND(",",T3),LEN(T3))</f>
        <v>4</v>
      </c>
      <c r="W3" s="61" t="e">
        <f t="shared" ref="W3:W12" si="13">FIND("target:",T3)+7</f>
        <v>#VALUE!</v>
      </c>
      <c r="X3" s="61" t="e">
        <f t="shared" ref="X3:X12" si="14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107"/>
    </row>
    <row r="4" spans="1:28" ht="21" customHeight="1" x14ac:dyDescent="0.15">
      <c r="A4" s="45">
        <v>65531003</v>
      </c>
      <c r="B4" s="45" t="s">
        <v>294</v>
      </c>
      <c r="C4" s="48">
        <v>1</v>
      </c>
      <c r="D4" s="48" t="s">
        <v>128</v>
      </c>
      <c r="E4" s="113" t="s">
        <v>269</v>
      </c>
      <c r="F4" s="113" t="s">
        <v>264</v>
      </c>
      <c r="G4" s="61" t="str">
        <f t="shared" si="0"/>
        <v>[effect:damage_abnormal, target:unit_all, val:0.3, status:virus, turn:-1, rate:1, val_abnormal:0.1, animation:enemy_virus]</v>
      </c>
      <c r="H4" s="61">
        <f t="shared" si="1"/>
        <v>9</v>
      </c>
      <c r="I4" s="61">
        <f t="shared" si="2"/>
        <v>24</v>
      </c>
      <c r="J4" s="61">
        <f t="shared" si="3"/>
        <v>33</v>
      </c>
      <c r="K4" s="61">
        <f t="shared" si="4"/>
        <v>41</v>
      </c>
      <c r="L4" s="61" t="str">
        <f>IFERROR(VLOOKUP(MID(G4,J4,K4-J4),[5]skilldef!$C:$D,2,FALSE),"-") &amp; " / " &amp; IFERROR(VLOOKUP(MID(G4,H4,I4-H4),[5]skilldef!$A:$B,2,FALSE),"-")</f>
        <v>味方全体に / -</v>
      </c>
      <c r="M4" s="61" t="str">
        <f t="shared" si="5"/>
        <v>none</v>
      </c>
      <c r="N4" s="46" t="str">
        <f>IFERROR(LEFT(M4,FIND("],",M4)+S14),M4)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107"/>
    </row>
    <row r="5" spans="1:28" ht="21" customHeight="1" x14ac:dyDescent="0.15">
      <c r="A5" s="45">
        <v>65531004</v>
      </c>
      <c r="B5" s="45" t="s">
        <v>278</v>
      </c>
      <c r="C5" s="48">
        <v>1</v>
      </c>
      <c r="D5" s="48" t="s">
        <v>128</v>
      </c>
      <c r="E5" s="114" t="s">
        <v>271</v>
      </c>
      <c r="F5" s="114" t="s">
        <v>265</v>
      </c>
      <c r="G5" s="61" t="str">
        <f t="shared" si="0"/>
        <v>[effect:damage_gravity, val:0.5, animation:fevergauge_down]</v>
      </c>
      <c r="H5" s="61">
        <f t="shared" si="1"/>
        <v>9</v>
      </c>
      <c r="I5" s="61">
        <f t="shared" si="2"/>
        <v>23</v>
      </c>
      <c r="J5" s="61" t="e">
        <f t="shared" si="3"/>
        <v>#VALUE!</v>
      </c>
      <c r="K5" s="61">
        <f t="shared" si="4"/>
        <v>32</v>
      </c>
      <c r="L5" s="61" t="str">
        <f>IFERROR(VLOOKUP(MID(G5,J5,K5-J5),[5]skilldef!$C:$D,2,FALSE),"-") &amp; " / " &amp; IFERROR(VLOOKUP(MID(G5,H5,I5-H5),[5]skilldef!$A:$B,2,FALSE),"-")</f>
        <v>- / 割合ダメージ</v>
      </c>
      <c r="M5" s="61" t="str">
        <f t="shared" si="5"/>
        <v>none</v>
      </c>
      <c r="N5" s="46" t="str">
        <f>IFERROR(LEFT(M5,FIND("],",M5)+S15),M5)</f>
        <v>none</v>
      </c>
      <c r="O5" s="61" t="e">
        <f t="shared" si="6"/>
        <v>#VALUE!</v>
      </c>
      <c r="P5" s="61">
        <f t="shared" si="7"/>
        <v>4</v>
      </c>
      <c r="Q5" s="61" t="e">
        <f t="shared" si="8"/>
        <v>#VALUE!</v>
      </c>
      <c r="R5" s="61" t="e">
        <f t="shared" si="9"/>
        <v>#VALUE!</v>
      </c>
      <c r="S5" s="61" t="str">
        <f>IFERROR(VLOOKUP(MID(N5,Q5,R5-Q5),[5]skilldef!$C:$D,2,FALSE),"-") &amp; " / " &amp; IFERROR(VLOOKUP(MID(N5,O5,P5-O5),[5]skilldef!$A:$B,2,FALSE),"-")</f>
        <v>- / -</v>
      </c>
      <c r="T5" s="46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107"/>
    </row>
    <row r="6" spans="1:28" ht="21" customHeight="1" x14ac:dyDescent="0.15">
      <c r="A6" s="45">
        <v>65531005</v>
      </c>
      <c r="B6" s="45" t="s">
        <v>279</v>
      </c>
      <c r="C6" s="48">
        <v>1</v>
      </c>
      <c r="D6" s="48" t="s">
        <v>128</v>
      </c>
      <c r="E6" s="114" t="s">
        <v>271</v>
      </c>
      <c r="F6" s="114" t="s">
        <v>287</v>
      </c>
      <c r="G6" s="61" t="str">
        <f t="shared" si="0"/>
        <v>[effect:critical, val:1.5, animation:enemy_critical]</v>
      </c>
      <c r="H6" s="61">
        <f t="shared" si="1"/>
        <v>9</v>
      </c>
      <c r="I6" s="61">
        <f t="shared" si="2"/>
        <v>17</v>
      </c>
      <c r="J6" s="61" t="e">
        <f t="shared" si="3"/>
        <v>#VALUE!</v>
      </c>
      <c r="K6" s="61">
        <f t="shared" si="4"/>
        <v>26</v>
      </c>
      <c r="L6" s="61" t="str">
        <f>IFERROR(VLOOKUP(MID(G6,J6,K6-J6),[5]skilldef!$C:$D,2,FALSE),"-") &amp; " / " &amp; IFERROR(VLOOKUP(MID(G6,H6,I6-H6),[5]skilldef!$A:$B,2,FALSE),"-")</f>
        <v>- / 大攻撃</v>
      </c>
      <c r="M6" s="61" t="str">
        <f t="shared" si="5"/>
        <v>none</v>
      </c>
      <c r="N6" s="46" t="str">
        <f>IFERROR(LEFT(M6,FIND("],",M6)+S16),M6)</f>
        <v>none</v>
      </c>
      <c r="O6" s="61" t="e">
        <f t="shared" si="6"/>
        <v>#VALUE!</v>
      </c>
      <c r="P6" s="61">
        <f t="shared" si="7"/>
        <v>4</v>
      </c>
      <c r="Q6" s="61" t="e">
        <f t="shared" si="8"/>
        <v>#VALUE!</v>
      </c>
      <c r="R6" s="61" t="e">
        <f t="shared" si="9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10"/>
        <v>none</v>
      </c>
      <c r="U6" s="61" t="e">
        <f t="shared" si="11"/>
        <v>#VALUE!</v>
      </c>
      <c r="V6" s="61">
        <f t="shared" si="12"/>
        <v>4</v>
      </c>
      <c r="W6" s="61" t="e">
        <f t="shared" si="13"/>
        <v>#VALUE!</v>
      </c>
      <c r="X6" s="61" t="e">
        <f t="shared" si="14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107"/>
    </row>
    <row r="7" spans="1:28" ht="21" customHeight="1" x14ac:dyDescent="0.15">
      <c r="A7" s="45">
        <v>65531006</v>
      </c>
      <c r="B7" s="45" t="s">
        <v>297</v>
      </c>
      <c r="C7" s="48">
        <v>1</v>
      </c>
      <c r="D7" s="48" t="s">
        <v>128</v>
      </c>
      <c r="E7" s="116" t="s">
        <v>263</v>
      </c>
      <c r="F7" s="116" t="s">
        <v>267</v>
      </c>
      <c r="G7" s="61" t="str">
        <f t="shared" si="0"/>
        <v>[effect:virus, turn:-1, rate:1, val:0.3, animation:enemy_virus]</v>
      </c>
      <c r="H7" s="61">
        <f t="shared" si="1"/>
        <v>9</v>
      </c>
      <c r="I7" s="61">
        <f t="shared" si="2"/>
        <v>14</v>
      </c>
      <c r="J7" s="61" t="e">
        <f t="shared" si="3"/>
        <v>#VALUE!</v>
      </c>
      <c r="K7" s="61">
        <f t="shared" si="4"/>
        <v>23</v>
      </c>
      <c r="L7" s="61" t="str">
        <f>IFERROR(VLOOKUP(MID(G7,J7,K7-J7),[5]skilldef!$C:$D,2,FALSE),"-") &amp; " / " &amp; IFERROR(VLOOKUP(MID(G7,H7,I7-H7),[5]skilldef!$A:$B,2,FALSE),"-")</f>
        <v>- / ウィルス</v>
      </c>
      <c r="M7" s="61" t="str">
        <f t="shared" si="5"/>
        <v>none</v>
      </c>
      <c r="N7" s="46" t="str">
        <f>IFERROR(LEFT(M7,FIND("],",M7)+S17),M7)</f>
        <v>none</v>
      </c>
      <c r="O7" s="61" t="e">
        <f t="shared" si="6"/>
        <v>#VALUE!</v>
      </c>
      <c r="P7" s="61">
        <f t="shared" si="7"/>
        <v>4</v>
      </c>
      <c r="Q7" s="61" t="e">
        <f t="shared" si="8"/>
        <v>#VALUE!</v>
      </c>
      <c r="R7" s="61" t="e">
        <f t="shared" si="9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107"/>
    </row>
    <row r="8" spans="1:28" ht="21" customHeight="1" x14ac:dyDescent="0.15">
      <c r="A8" s="45">
        <v>65531007</v>
      </c>
      <c r="B8" s="45" t="s">
        <v>280</v>
      </c>
      <c r="C8" s="48">
        <v>1</v>
      </c>
      <c r="D8" s="48" t="s">
        <v>128</v>
      </c>
      <c r="E8" s="116" t="s">
        <v>270</v>
      </c>
      <c r="F8" s="116" t="s">
        <v>268</v>
      </c>
      <c r="G8" s="61" t="str">
        <f t="shared" si="0"/>
        <v>[effect:degrade_unit, target:unit_all, turn:3, status:attack, val:0.8, calc:mul]</v>
      </c>
      <c r="H8" s="61">
        <f t="shared" si="1"/>
        <v>9</v>
      </c>
      <c r="I8" s="61">
        <f t="shared" si="2"/>
        <v>21</v>
      </c>
      <c r="J8" s="61">
        <f t="shared" si="3"/>
        <v>30</v>
      </c>
      <c r="K8" s="61">
        <f t="shared" si="4"/>
        <v>38</v>
      </c>
      <c r="L8" s="61" t="str">
        <f>IFERROR(VLOOKUP(MID(G8,J8,K8-J8),[5]skilldef!$C:$D,2,FALSE),"-") &amp; " / " &amp; IFERROR(VLOOKUP(MID(G8,H8,I8-H8),[5]skilldef!$A:$B,2,FALSE),"-")</f>
        <v>味方全体に / ステータスDOWN</v>
      </c>
      <c r="M8" s="61" t="str">
        <f t="shared" si="5"/>
        <v>none</v>
      </c>
      <c r="N8" s="46" t="str">
        <f>IFERROR(LEFT(M8,FIND("],",M8)+S20),M8)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6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107"/>
    </row>
    <row r="9" spans="1:28" ht="21" customHeight="1" x14ac:dyDescent="0.15">
      <c r="A9" s="45">
        <v>65531008</v>
      </c>
      <c r="B9" s="45" t="s">
        <v>279</v>
      </c>
      <c r="C9" s="48">
        <v>1</v>
      </c>
      <c r="D9" s="48" t="s">
        <v>128</v>
      </c>
      <c r="E9" s="116" t="s">
        <v>270</v>
      </c>
      <c r="F9" s="116" t="s">
        <v>288</v>
      </c>
      <c r="G9" s="61" t="str">
        <f t="shared" ref="G9" si="15">IFERROR(LEFT(B9,FIND("],",B9)),B9)</f>
        <v>[effect:critical, val:1.5, animation:enemy_critical]</v>
      </c>
      <c r="H9" s="61">
        <f t="shared" si="1"/>
        <v>9</v>
      </c>
      <c r="I9" s="61">
        <f t="shared" ref="I9" si="16">IFERROR(FIND(",",G9),LEN(G9))</f>
        <v>17</v>
      </c>
      <c r="J9" s="61" t="e">
        <f t="shared" ref="J9" si="17">FIND("target:",G9)+7</f>
        <v>#VALUE!</v>
      </c>
      <c r="K9" s="61">
        <f t="shared" ref="K9" si="18">FIND(",",G9,I9+1)</f>
        <v>26</v>
      </c>
      <c r="L9" s="61" t="str">
        <f>IFERROR(VLOOKUP(MID(G9,J9,K9-J9),[5]skilldef!$C:$D,2,FALSE),"-") &amp; " / " &amp; IFERROR(VLOOKUP(MID(G9,H9,I9-H9),[5]skilldef!$A:$B,2,FALSE),"-")</f>
        <v>- / 大攻撃</v>
      </c>
      <c r="M9" s="61" t="str">
        <f t="shared" ref="M9" si="19">IFERROR(RIGHT(B9,LEN(B9)-FIND("],",B9)-1),"none")</f>
        <v>none</v>
      </c>
      <c r="N9" s="46" t="str">
        <f>IFERROR(LEFT(M9,FIND("],",M9)+S20),M9)</f>
        <v>none</v>
      </c>
      <c r="O9" s="61" t="e">
        <f t="shared" si="6"/>
        <v>#VALUE!</v>
      </c>
      <c r="P9" s="61">
        <f t="shared" ref="P9" si="20">IFERROR(FIND(",",N9),LEN(N9))</f>
        <v>4</v>
      </c>
      <c r="Q9" s="61" t="e">
        <f t="shared" ref="Q9" si="21">FIND("target:",N9)+7</f>
        <v>#VALUE!</v>
      </c>
      <c r="R9" s="61" t="e">
        <f t="shared" ref="R9" si="22">FIND(",",N9,P9+1)</f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ref="T9" si="23">IFERROR(RIGHT(M9,LEN(M9)-FIND("],",M9)-1),"none")</f>
        <v>none</v>
      </c>
      <c r="U9" s="61" t="e">
        <f t="shared" si="11"/>
        <v>#VALUE!</v>
      </c>
      <c r="V9" s="61">
        <f t="shared" ref="V9" si="24">IFERROR(FIND(",",T9),LEN(T9))</f>
        <v>4</v>
      </c>
      <c r="W9" s="61" t="e">
        <f t="shared" ref="W9" si="25">FIND("target:",T9)+7</f>
        <v>#VALUE!</v>
      </c>
      <c r="X9" s="61" t="e">
        <f t="shared" ref="X9" si="26">FIND(",",T9,V9+1)</f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107"/>
    </row>
    <row r="10" spans="1:28" ht="28" customHeight="1" x14ac:dyDescent="0.15">
      <c r="A10" s="45">
        <v>65531009</v>
      </c>
      <c r="B10" s="45" t="s">
        <v>281</v>
      </c>
      <c r="C10" s="48">
        <v>1</v>
      </c>
      <c r="D10" s="48" t="s">
        <v>128</v>
      </c>
      <c r="E10" s="115" t="s">
        <v>272</v>
      </c>
      <c r="F10" s="115" t="s">
        <v>275</v>
      </c>
      <c r="G10" s="61" t="str">
        <f t="shared" si="0"/>
        <v>[effect:damage_abnormal, target:unit_one, val:0.5, status:virus, turn:-1, rate:1, val_abnormal:0.1, animation:enemy_virus]</v>
      </c>
      <c r="H10" s="61">
        <f t="shared" si="1"/>
        <v>9</v>
      </c>
      <c r="I10" s="61">
        <f t="shared" si="2"/>
        <v>24</v>
      </c>
      <c r="J10" s="61">
        <f t="shared" si="3"/>
        <v>33</v>
      </c>
      <c r="K10" s="61">
        <f t="shared" si="4"/>
        <v>41</v>
      </c>
      <c r="L10" s="61" t="str">
        <f>IFERROR(VLOOKUP(MID(G10,J10,K10-J10),[5]skilldef!$C:$D,2,FALSE),"-") &amp; " / " &amp; IFERROR(VLOOKUP(MID(G10,H10,I10-H10),[5]skilldef!$A:$B,2,FALSE),"-")</f>
        <v>味方単体に / -</v>
      </c>
      <c r="M10" s="61" t="str">
        <f t="shared" si="5"/>
        <v>[effect:damage_abnormal, target:unit_one, val:0.5, status:virus, turn:-1, rate:1, val_abnormal:0.1, animation:enemy_virus],[effect:damage_abnormal, target:unit_one, val:0.5, status:virus, turn:-1, rate:1, val_abnormal:0.1, animation:enemy_virus],[effect:damage_abnormal, target:unit_one, val:0.5, status:virus, turn:-1, rate:1, val_abnormal:0.1, animation:enemy_virus]</v>
      </c>
      <c r="N10" s="46" t="str">
        <f>IFERROR(LEFT(M10,FIND("],",M10)+S21),M10)</f>
        <v>[effect:damage_abnormal, target:unit_one, val:0.5, status:virus, turn:-1, rate:1, val_abnormal:0.1, animation:enemy_virus],[effect:damage_abnormal, target:unit_one, val:0.5, status:virus, turn:-1, rate:1, val_abnormal:0.1, animation:enemy_virus],[effect:damage_abnormal, target:unit_one, val:0.5, status:virus, turn:-1, rate:1, val_abnormal:0.1, animation:enemy_virus]</v>
      </c>
      <c r="O10" s="61">
        <f t="shared" si="6"/>
        <v>9</v>
      </c>
      <c r="P10" s="61">
        <f t="shared" si="7"/>
        <v>24</v>
      </c>
      <c r="Q10" s="61">
        <f t="shared" si="8"/>
        <v>33</v>
      </c>
      <c r="R10" s="61">
        <f t="shared" si="9"/>
        <v>41</v>
      </c>
      <c r="S10" s="61" t="str">
        <f>IFERROR(VLOOKUP(MID(N10,Q10,R10-Q10),[5]skilldef!$C:$D,2,FALSE),"-") &amp; " / " &amp; IFERROR(VLOOKUP(MID(N10,O10,P10-O10),[5]skilldef!$A:$B,2,FALSE),"-")</f>
        <v>味方単体に / -</v>
      </c>
      <c r="T10" s="46" t="str">
        <f t="shared" si="10"/>
        <v>[effect:damage_abnormal, target:unit_one, val:0.5, status:virus, turn:-1, rate:1, val_abnormal:0.1, animation:enemy_virus],[effect:damage_abnormal, target:unit_one, val:0.5, status:virus, turn:-1, rate:1, val_abnormal:0.1, animation:enemy_virus]</v>
      </c>
      <c r="U10" s="61">
        <f t="shared" si="11"/>
        <v>9</v>
      </c>
      <c r="V10" s="61">
        <f t="shared" si="12"/>
        <v>24</v>
      </c>
      <c r="W10" s="61">
        <f t="shared" si="13"/>
        <v>33</v>
      </c>
      <c r="X10" s="61">
        <f t="shared" si="14"/>
        <v>41</v>
      </c>
      <c r="Y10" s="61" t="str">
        <f>IFERROR(VLOOKUP(MID(T10,W10,X10-W10),[5]skilldef!$C:$D,2,FALSE),"-") &amp; " / " &amp; IFERROR(VLOOKUP(MID(T10,U10,V10-U10),[5]skilldef!$A:$B,2,FALSE),"-")</f>
        <v>味方単体に / -</v>
      </c>
      <c r="Z10" s="48"/>
      <c r="AA10" s="50"/>
      <c r="AB10" s="107"/>
    </row>
    <row r="11" spans="1:28" ht="21" customHeight="1" x14ac:dyDescent="0.15">
      <c r="A11" s="45">
        <v>65531010</v>
      </c>
      <c r="B11" s="45" t="s">
        <v>285</v>
      </c>
      <c r="C11" s="48">
        <v>1</v>
      </c>
      <c r="D11" s="48" t="s">
        <v>128</v>
      </c>
      <c r="E11" s="115" t="s">
        <v>272</v>
      </c>
      <c r="F11" s="115" t="s">
        <v>273</v>
      </c>
      <c r="G11" s="61" t="str">
        <f t="shared" si="0"/>
        <v>[effect:dis_heart, turn:2, animation:enemy_dis_heart]</v>
      </c>
      <c r="H11" s="61">
        <f t="shared" si="1"/>
        <v>9</v>
      </c>
      <c r="I11" s="61">
        <f t="shared" si="2"/>
        <v>18</v>
      </c>
      <c r="J11" s="61" t="e">
        <f t="shared" si="3"/>
        <v>#VALUE!</v>
      </c>
      <c r="K11" s="61">
        <f t="shared" si="4"/>
        <v>26</v>
      </c>
      <c r="L11" s="61" t="str">
        <f>IFERROR(VLOOKUP(MID(G11,J11,K11-J11),[5]skilldef!$C:$D,2,FALSE),"-") &amp; " / " &amp; IFERROR(VLOOKUP(MID(G11,H11,I11-H11),[5]skilldef!$A:$B,2,FALSE),"-")</f>
        <v>- / ディスハート</v>
      </c>
      <c r="M11" s="61" t="str">
        <f t="shared" si="5"/>
        <v>none</v>
      </c>
      <c r="N11" s="46" t="str">
        <f>IFERROR(LEFT(M11,FIND("],",M11)+S22),M11)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107"/>
    </row>
    <row r="12" spans="1:28" ht="21" customHeight="1" x14ac:dyDescent="0.15">
      <c r="A12" s="45">
        <v>65531011</v>
      </c>
      <c r="B12" s="45" t="s">
        <v>282</v>
      </c>
      <c r="C12" s="48">
        <v>1</v>
      </c>
      <c r="D12" s="48" t="s">
        <v>128</v>
      </c>
      <c r="E12" s="115" t="s">
        <v>272</v>
      </c>
      <c r="F12" s="115" t="s">
        <v>274</v>
      </c>
      <c r="G12" s="61" t="str">
        <f t="shared" si="0"/>
        <v>[effect:rush, count:6, val:0.2]</v>
      </c>
      <c r="H12" s="61">
        <f t="shared" si="1"/>
        <v>9</v>
      </c>
      <c r="I12" s="61">
        <f t="shared" si="2"/>
        <v>13</v>
      </c>
      <c r="J12" s="61" t="e">
        <f t="shared" si="3"/>
        <v>#VALUE!</v>
      </c>
      <c r="K12" s="61">
        <f t="shared" si="4"/>
        <v>22</v>
      </c>
      <c r="L12" s="61" t="str">
        <f>IFERROR(VLOOKUP(MID(G12,J12,K12-J12),[5]skilldef!$C:$D,2,FALSE),"-") &amp; " / " &amp; IFERROR(VLOOKUP(MID(G12,H12,I12-H12),[5]skilldef!$A:$B,2,FALSE),"-")</f>
        <v>- / 連続攻撃</v>
      </c>
      <c r="M12" s="61" t="str">
        <f t="shared" si="5"/>
        <v>none</v>
      </c>
      <c r="N12" s="46" t="str">
        <f>IFERROR(LEFT(M12,FIND("],",M12)+S23),M12)</f>
        <v>none</v>
      </c>
      <c r="O12" s="61" t="e">
        <f t="shared" si="6"/>
        <v>#VALUE!</v>
      </c>
      <c r="P12" s="61">
        <f t="shared" si="7"/>
        <v>4</v>
      </c>
      <c r="Q12" s="61" t="e">
        <f t="shared" si="8"/>
        <v>#VALUE!</v>
      </c>
      <c r="R12" s="61" t="e">
        <f t="shared" si="9"/>
        <v>#VALUE!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107"/>
    </row>
    <row r="13" spans="1:28" ht="21" customHeight="1" x14ac:dyDescent="0.15">
      <c r="A13" s="45">
        <v>65531012</v>
      </c>
      <c r="B13" s="45" t="s">
        <v>298</v>
      </c>
      <c r="C13" s="48">
        <v>1</v>
      </c>
      <c r="D13" s="48" t="s">
        <v>128</v>
      </c>
      <c r="E13" s="117" t="s">
        <v>276</v>
      </c>
      <c r="F13" s="117" t="s">
        <v>267</v>
      </c>
      <c r="G13" s="61" t="str">
        <f t="shared" ref="G13" si="27">IFERROR(LEFT(B13,FIND("],",B13)),B13)</f>
        <v>[effect:virus, turn:-1, rate:1, val:0.4, animation:enemy_virus]</v>
      </c>
      <c r="H13" s="61">
        <f t="shared" si="1"/>
        <v>9</v>
      </c>
      <c r="I13" s="61">
        <f t="shared" ref="I13" si="28">IFERROR(FIND(",",G13),LEN(G13))</f>
        <v>14</v>
      </c>
      <c r="J13" s="61" t="e">
        <f t="shared" ref="J13" si="29">FIND("target:",G13)+7</f>
        <v>#VALUE!</v>
      </c>
      <c r="K13" s="61">
        <f t="shared" ref="K13" si="30">FIND(",",G13,I13+1)</f>
        <v>23</v>
      </c>
      <c r="L13" s="61" t="str">
        <f>IFERROR(VLOOKUP(MID(G13,J13,K13-J13),[5]skilldef!$C:$D,2,FALSE),"-") &amp; " / " &amp; IFERROR(VLOOKUP(MID(G13,H13,I13-H13),[5]skilldef!$A:$B,2,FALSE),"-")</f>
        <v>- / ウィルス</v>
      </c>
      <c r="M13" s="61" t="str">
        <f t="shared" ref="M13" si="31">IFERROR(RIGHT(B13,LEN(B13)-FIND("],",B13)-1),"none")</f>
        <v>none</v>
      </c>
      <c r="N13" s="46" t="str">
        <f>IFERROR(LEFT(M13,FIND("],",M13)+S27),M13)</f>
        <v>none</v>
      </c>
      <c r="O13" s="61" t="e">
        <f t="shared" si="6"/>
        <v>#VALUE!</v>
      </c>
      <c r="P13" s="61">
        <f t="shared" ref="P13" si="32">IFERROR(FIND(",",N13),LEN(N13))</f>
        <v>4</v>
      </c>
      <c r="Q13" s="61" t="e">
        <f t="shared" ref="Q13" si="33">FIND("target:",N13)+7</f>
        <v>#VALUE!</v>
      </c>
      <c r="R13" s="61" t="e">
        <f t="shared" ref="R13" si="34">FIND(",",N13,P13+1)</f>
        <v>#VALUE!</v>
      </c>
      <c r="S13" s="61" t="str">
        <f>IFERROR(VLOOKUP(MID(N13,Q13,R13-Q13),[5]skilldef!$C:$D,2,FALSE),"-") &amp; " / " &amp; IFERROR(VLOOKUP(MID(N13,O13,P13-O13),[5]skilldef!$A:$B,2,FALSE),"-")</f>
        <v>- / -</v>
      </c>
      <c r="T13" s="46" t="str">
        <f t="shared" ref="T13" si="35">IFERROR(RIGHT(M13,LEN(M13)-FIND("],",M13)-1),"none")</f>
        <v>none</v>
      </c>
      <c r="U13" s="61" t="e">
        <f t="shared" si="11"/>
        <v>#VALUE!</v>
      </c>
      <c r="V13" s="61">
        <f t="shared" ref="V13" si="36">IFERROR(FIND(",",T13),LEN(T13))</f>
        <v>4</v>
      </c>
      <c r="W13" s="61" t="e">
        <f t="shared" ref="W13" si="37">FIND("target:",T13)+7</f>
        <v>#VALUE!</v>
      </c>
      <c r="X13" s="61" t="e">
        <f t="shared" ref="X13" si="38">FIND(",",T13,V13+1)</f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107"/>
    </row>
    <row r="14" spans="1:28" ht="21" customHeight="1" thickBot="1" x14ac:dyDescent="0.2">
      <c r="A14" s="191">
        <v>65531013</v>
      </c>
      <c r="B14" s="191" t="s">
        <v>284</v>
      </c>
      <c r="C14" s="194">
        <v>1</v>
      </c>
      <c r="D14" s="194" t="s">
        <v>128</v>
      </c>
      <c r="E14" s="197" t="s">
        <v>276</v>
      </c>
      <c r="F14" s="197" t="s">
        <v>283</v>
      </c>
      <c r="G14" s="195" t="str">
        <f t="shared" ref="G14" si="39">IFERROR(LEFT(B14,FIND("],",B14)),B14)</f>
        <v xml:space="preserve">[effect:rush, count:4, val:0.4]    </v>
      </c>
      <c r="H14" s="195">
        <f t="shared" si="1"/>
        <v>9</v>
      </c>
      <c r="I14" s="195">
        <f t="shared" ref="I14" si="40">IFERROR(FIND(",",G14),LEN(G14))</f>
        <v>13</v>
      </c>
      <c r="J14" s="195" t="e">
        <f t="shared" ref="J14" si="41">FIND("target:",G14)+7</f>
        <v>#VALUE!</v>
      </c>
      <c r="K14" s="195">
        <f t="shared" ref="K14" si="42">FIND(",",G14,I14+1)</f>
        <v>22</v>
      </c>
      <c r="L14" s="195" t="str">
        <f>IFERROR(VLOOKUP(MID(G14,J14,K14-J14),[5]skilldef!$C:$D,2,FALSE),"-") &amp; " / " &amp; IFERROR(VLOOKUP(MID(G14,H14,I14-H14),[5]skilldef!$A:$B,2,FALSE),"-")</f>
        <v>- / 連続攻撃</v>
      </c>
      <c r="M14" s="195" t="str">
        <f t="shared" ref="M14" si="43">IFERROR(RIGHT(B14,LEN(B14)-FIND("],",B14)-1),"none")</f>
        <v>none</v>
      </c>
      <c r="N14" s="193" t="str">
        <f t="shared" ref="N14" si="44">IFERROR(LEFT(M14,FIND("],",M14)+S28),M14)</f>
        <v>none</v>
      </c>
      <c r="O14" s="195" t="e">
        <f t="shared" si="6"/>
        <v>#VALUE!</v>
      </c>
      <c r="P14" s="195">
        <f t="shared" ref="P14" si="45">IFERROR(FIND(",",N14),LEN(N14))</f>
        <v>4</v>
      </c>
      <c r="Q14" s="195" t="e">
        <f t="shared" ref="Q14" si="46">FIND("target:",N14)+7</f>
        <v>#VALUE!</v>
      </c>
      <c r="R14" s="195" t="e">
        <f t="shared" ref="R14" si="47">FIND(",",N14,P14+1)</f>
        <v>#VALUE!</v>
      </c>
      <c r="S14" s="195" t="str">
        <f>IFERROR(VLOOKUP(MID(N14,Q14,R14-Q14),[5]skilldef!$C:$D,2,FALSE),"-") &amp; " / " &amp; IFERROR(VLOOKUP(MID(N14,O14,P14-O14),[5]skilldef!$A:$B,2,FALSE),"-")</f>
        <v>- / -</v>
      </c>
      <c r="T14" s="193" t="str">
        <f t="shared" ref="T14" si="48">IFERROR(RIGHT(M14,LEN(M14)-FIND("],",M14)-1),"none")</f>
        <v>none</v>
      </c>
      <c r="U14" s="195" t="e">
        <f t="shared" si="11"/>
        <v>#VALUE!</v>
      </c>
      <c r="V14" s="195">
        <f t="shared" ref="V14" si="49">IFERROR(FIND(",",T14),LEN(T14))</f>
        <v>4</v>
      </c>
      <c r="W14" s="195" t="e">
        <f t="shared" ref="W14" si="50">FIND("target:",T14)+7</f>
        <v>#VALUE!</v>
      </c>
      <c r="X14" s="195" t="e">
        <f t="shared" ref="X14" si="51">FIND(",",T14,V14+1)</f>
        <v>#VALUE!</v>
      </c>
      <c r="Y14" s="195" t="str">
        <f>IFERROR(VLOOKUP(MID(T14,W14,X14-W14),[5]skilldef!$C:$D,2,FALSE),"-") &amp; " / " &amp; IFERROR(VLOOKUP(MID(T14,U14,V14-U14),[5]skilldef!$A:$B,2,FALSE),"-")</f>
        <v>- / -</v>
      </c>
      <c r="Z14" s="194"/>
      <c r="AA14" s="196"/>
      <c r="AB14" s="224"/>
    </row>
    <row r="15" spans="1:28" ht="21" customHeight="1" x14ac:dyDescent="0.15">
      <c r="A15" s="45">
        <v>65531100</v>
      </c>
      <c r="B15" s="106" t="s">
        <v>277</v>
      </c>
      <c r="C15" s="48">
        <v>1</v>
      </c>
      <c r="D15" s="48" t="s">
        <v>128</v>
      </c>
      <c r="E15" s="49" t="s">
        <v>318</v>
      </c>
      <c r="F15" s="49" t="s">
        <v>334</v>
      </c>
      <c r="G15" s="61" t="str">
        <f>IFERROR(LEFT(B15,FIND("],",B15)),B15)</f>
        <v>[effect:heal, target:enemy_all, val:0.3, animation:enemy_heal]</v>
      </c>
      <c r="H15" s="61">
        <f>FIND("effect:",G15)+7</f>
        <v>9</v>
      </c>
      <c r="I15" s="61">
        <f>IFERROR(FIND(",",G15),LEN(G15))</f>
        <v>13</v>
      </c>
      <c r="J15" s="61">
        <f>FIND("target:",G15)+7</f>
        <v>22</v>
      </c>
      <c r="K15" s="61">
        <f>FIND(",",G15,I15+1)</f>
        <v>31</v>
      </c>
      <c r="L15" s="61" t="str">
        <f>IFERROR(VLOOKUP(MID(G15,J15,K15-J15),[5]skilldef!$C:$D,2,FALSE),"-") &amp; " / " &amp; IFERROR(VLOOKUP(MID(G15,H15,I15-H15),[5]skilldef!$A:$B,2,FALSE),"-")</f>
        <v>敵全体に / 回復</v>
      </c>
      <c r="M15" s="61" t="str">
        <f>IFERROR(RIGHT(B15,LEN(B15)-FIND("],",B15)-1),"none")</f>
        <v>none</v>
      </c>
      <c r="N15" s="46" t="str">
        <f>IFERROR(LEFT(M15,FIND("],",M15)+S29),M15)</f>
        <v>none</v>
      </c>
      <c r="O15" s="61" t="e">
        <f>FIND("effect:",N15)+7</f>
        <v>#VALUE!</v>
      </c>
      <c r="P15" s="61">
        <f>IFERROR(FIND(",",N15),LEN(N15))</f>
        <v>4</v>
      </c>
      <c r="Q15" s="61" t="e">
        <f>FIND("target:",N15)+7</f>
        <v>#VALUE!</v>
      </c>
      <c r="R15" s="61" t="e">
        <f>FIND(",",N15,P15+1)</f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>IFERROR(RIGHT(M15,LEN(M15)-FIND("],",M15)-1),"none")</f>
        <v>none</v>
      </c>
      <c r="U15" s="61" t="e">
        <f>FIND("effect:",T15)+7</f>
        <v>#VALUE!</v>
      </c>
      <c r="V15" s="61">
        <f>IFERROR(FIND(",",T15),LEN(T15))</f>
        <v>4</v>
      </c>
      <c r="W15" s="61" t="e">
        <f>FIND("target:",T15)+7</f>
        <v>#VALUE!</v>
      </c>
      <c r="X15" s="61" t="e">
        <f>FIND(",",T15,V15+1)</f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107"/>
    </row>
    <row r="16" spans="1:28" ht="21" customHeight="1" x14ac:dyDescent="0.15">
      <c r="A16" s="45">
        <v>65531110</v>
      </c>
      <c r="B16" s="45" t="s">
        <v>342</v>
      </c>
      <c r="C16" s="48">
        <v>1</v>
      </c>
      <c r="D16" s="48" t="s">
        <v>128</v>
      </c>
      <c r="E16" s="49" t="s">
        <v>332</v>
      </c>
      <c r="F16" s="49" t="s">
        <v>300</v>
      </c>
      <c r="G16" s="61" t="str">
        <f>IFERROR(LEFT(B16,FIND("],",B16)),B16)</f>
        <v>[effect:critical, val:1.2, animation:enemy_critical]</v>
      </c>
      <c r="H16" s="61">
        <f>FIND("effect:",G16)+7</f>
        <v>9</v>
      </c>
      <c r="I16" s="61">
        <f>IFERROR(FIND(",",G16),LEN(G16))</f>
        <v>17</v>
      </c>
      <c r="J16" s="61" t="e">
        <f>FIND("target:",G16)+7</f>
        <v>#VALUE!</v>
      </c>
      <c r="K16" s="61">
        <f>FIND(",",G16,I16+1)</f>
        <v>26</v>
      </c>
      <c r="L16" s="61" t="str">
        <f>IFERROR(VLOOKUP(MID(G16,J16,K16-J16),[5]skilldef!$C:$D,2,FALSE),"-") &amp; " / " &amp; IFERROR(VLOOKUP(MID(G16,H16,I16-H16),[5]skilldef!$A:$B,2,FALSE),"-")</f>
        <v>- / 大攻撃</v>
      </c>
      <c r="M16" s="61" t="str">
        <f>IFERROR(RIGHT(B16,LEN(B16)-FIND("],",B16)-1),"none")</f>
        <v>none</v>
      </c>
      <c r="N16" s="46" t="str">
        <f>IFERROR(LEFT(M16,FIND("],",M16)+S30),M16)</f>
        <v>none</v>
      </c>
      <c r="O16" s="61" t="e">
        <f>FIND("effect:",N16)+7</f>
        <v>#VALUE!</v>
      </c>
      <c r="P16" s="61">
        <f>IFERROR(FIND(",",N16),LEN(N16))</f>
        <v>4</v>
      </c>
      <c r="Q16" s="61" t="e">
        <f>FIND("target:",N16)+7</f>
        <v>#VALUE!</v>
      </c>
      <c r="R16" s="61" t="e">
        <f>FIND(",",N16,P16+1)</f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6" t="str">
        <f>IFERROR(RIGHT(M16,LEN(M16)-FIND("],",M16)-1),"none")</f>
        <v>none</v>
      </c>
      <c r="U16" s="61" t="e">
        <f>FIND("effect:",T16)+7</f>
        <v>#VALUE!</v>
      </c>
      <c r="V16" s="61">
        <f>IFERROR(FIND(",",T16),LEN(T16))</f>
        <v>4</v>
      </c>
      <c r="W16" s="61" t="e">
        <f>FIND("target:",T16)+7</f>
        <v>#VALUE!</v>
      </c>
      <c r="X16" s="61" t="e">
        <f>FIND(",",T16,V16+1)</f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107"/>
    </row>
    <row r="17" spans="1:28" ht="21" customHeight="1" x14ac:dyDescent="0.15">
      <c r="A17" s="45">
        <v>65531120</v>
      </c>
      <c r="B17" s="45" t="s">
        <v>301</v>
      </c>
      <c r="C17" s="48">
        <v>1</v>
      </c>
      <c r="D17" s="48" t="s">
        <v>128</v>
      </c>
      <c r="E17" s="223" t="s">
        <v>345</v>
      </c>
      <c r="F17" s="223" t="s">
        <v>319</v>
      </c>
      <c r="G17" s="61" t="str">
        <f t="shared" ref="G17:G22" si="52">IFERROR(LEFT(B17,FIND("],",B17)),B17)</f>
        <v>[effect:enhance_enemy, target:enemy_all, turn:5, status:attack, val:0.5, calc:mul, animation:enemy_enhance_attack]</v>
      </c>
      <c r="H17" s="61">
        <f t="shared" ref="H17:H36" si="53">FIND("effect:",G17)+7</f>
        <v>9</v>
      </c>
      <c r="I17" s="61">
        <f t="shared" ref="I17:I22" si="54">IFERROR(FIND(",",G17),LEN(G17))</f>
        <v>22</v>
      </c>
      <c r="J17" s="61">
        <f t="shared" ref="J17:J22" si="55">FIND("target:",G17)+7</f>
        <v>31</v>
      </c>
      <c r="K17" s="61">
        <f t="shared" ref="K17:K22" si="56">FIND(",",G17,I17+1)</f>
        <v>40</v>
      </c>
      <c r="L17" s="61" t="str">
        <f>IFERROR(VLOOKUP(MID(G17,J17,K17-J17),[5]skilldef!$C:$D,2,FALSE),"-") &amp; " / " &amp; IFERROR(VLOOKUP(MID(G17,H17,I17-H17),[5]skilldef!$A:$B,2,FALSE),"-")</f>
        <v>敵全体に / ステータス強化</v>
      </c>
      <c r="M17" s="61" t="str">
        <f t="shared" ref="M17:M22" si="57">IFERROR(RIGHT(B17,LEN(B17)-FIND("],",B17)-1),"none")</f>
        <v>none</v>
      </c>
      <c r="N17" s="46" t="str">
        <f>IFERROR(LEFT(M17,FIND("],",M17)+S31),M17)</f>
        <v>none</v>
      </c>
      <c r="O17" s="61" t="e">
        <f t="shared" ref="O17:O36" si="58">FIND("effect:",N17)+7</f>
        <v>#VALUE!</v>
      </c>
      <c r="P17" s="61">
        <f t="shared" ref="P17:P22" si="59">IFERROR(FIND(",",N17),LEN(N17))</f>
        <v>4</v>
      </c>
      <c r="Q17" s="61" t="e">
        <f t="shared" ref="Q17:Q22" si="60">FIND("target:",N17)+7</f>
        <v>#VALUE!</v>
      </c>
      <c r="R17" s="61" t="e">
        <f t="shared" ref="R17:R22" si="61">FIND(",",N17,P17+1)</f>
        <v>#VALUE!</v>
      </c>
      <c r="S17" s="61" t="str">
        <f>IFERROR(VLOOKUP(MID(N17,Q17,R17-Q17),[5]skilldef!$C:$D,2,FALSE),"-") &amp; " / " &amp; IFERROR(VLOOKUP(MID(N17,O17,P17-O17),[5]skilldef!$A:$B,2,FALSE),"-")</f>
        <v>- / -</v>
      </c>
      <c r="T17" s="46" t="str">
        <f t="shared" ref="T17:T22" si="62">IFERROR(RIGHT(M17,LEN(M17)-FIND("],",M17)-1),"none")</f>
        <v>none</v>
      </c>
      <c r="U17" s="61" t="e">
        <f t="shared" ref="U17:U36" si="63">FIND("effect:",T17)+7</f>
        <v>#VALUE!</v>
      </c>
      <c r="V17" s="61">
        <f t="shared" ref="V17:V22" si="64">IFERROR(FIND(",",T17),LEN(T17))</f>
        <v>4</v>
      </c>
      <c r="W17" s="61" t="e">
        <f t="shared" ref="W17:W22" si="65">FIND("target:",T17)+7</f>
        <v>#VALUE!</v>
      </c>
      <c r="X17" s="61" t="e">
        <f t="shared" ref="X17:X22" si="66">FIND(",",T17,V17+1)</f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107"/>
    </row>
    <row r="18" spans="1:28" ht="21" customHeight="1" x14ac:dyDescent="0.15">
      <c r="A18" s="45">
        <v>65531121</v>
      </c>
      <c r="B18" s="45" t="s">
        <v>303</v>
      </c>
      <c r="C18" s="48">
        <v>1</v>
      </c>
      <c r="D18" s="48" t="s">
        <v>128</v>
      </c>
      <c r="E18" s="223" t="s">
        <v>344</v>
      </c>
      <c r="F18" s="223" t="s">
        <v>335</v>
      </c>
      <c r="G18" s="61" t="str">
        <f t="shared" ref="G18" si="67">IFERROR(LEFT(B18,FIND("],",B18)),B18)</f>
        <v>[effect:enemy_counter, target:enemy_all, invoke_condition:unit_all, counter_target:attacker, turn:5, val:0.2, animation:enemy_counter]</v>
      </c>
      <c r="H18" s="61">
        <f t="shared" si="53"/>
        <v>9</v>
      </c>
      <c r="I18" s="61">
        <f t="shared" ref="I18" si="68">IFERROR(FIND(",",G18),LEN(G18))</f>
        <v>22</v>
      </c>
      <c r="J18" s="61">
        <f t="shared" ref="J18" si="69">FIND("target:",G18)+7</f>
        <v>31</v>
      </c>
      <c r="K18" s="61">
        <f t="shared" ref="K18" si="70">FIND(",",G18,I18+1)</f>
        <v>40</v>
      </c>
      <c r="L18" s="61" t="str">
        <f>IFERROR(VLOOKUP(MID(G18,J18,K18-J18),[5]skilldef!$C:$D,2,FALSE),"-") &amp; " / " &amp; IFERROR(VLOOKUP(MID(G18,H18,I18-H18),[5]skilldef!$A:$B,2,FALSE),"-")</f>
        <v>敵全体に / カウンター</v>
      </c>
      <c r="M18" s="61" t="str">
        <f t="shared" ref="M18" si="71">IFERROR(RIGHT(B18,LEN(B18)-FIND("],",B18)-1),"none")</f>
        <v>none</v>
      </c>
      <c r="N18" s="46" t="str">
        <f>IFERROR(LEFT(M18,FIND("],",M18)+S32),M18)</f>
        <v>none</v>
      </c>
      <c r="O18" s="61" t="e">
        <f t="shared" si="58"/>
        <v>#VALUE!</v>
      </c>
      <c r="P18" s="61">
        <f t="shared" ref="P18" si="72">IFERROR(FIND(",",N18),LEN(N18))</f>
        <v>4</v>
      </c>
      <c r="Q18" s="61" t="e">
        <f t="shared" ref="Q18" si="73">FIND("target:",N18)+7</f>
        <v>#VALUE!</v>
      </c>
      <c r="R18" s="61" t="e">
        <f t="shared" ref="R18" si="74">FIND(",",N18,P18+1)</f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6" t="str">
        <f t="shared" ref="T18" si="75">IFERROR(RIGHT(M18,LEN(M18)-FIND("],",M18)-1),"none")</f>
        <v>none</v>
      </c>
      <c r="U18" s="61" t="e">
        <f t="shared" si="63"/>
        <v>#VALUE!</v>
      </c>
      <c r="V18" s="61">
        <f t="shared" ref="V18" si="76">IFERROR(FIND(",",T18),LEN(T18))</f>
        <v>4</v>
      </c>
      <c r="W18" s="61" t="e">
        <f t="shared" ref="W18" si="77">FIND("target:",T18)+7</f>
        <v>#VALUE!</v>
      </c>
      <c r="X18" s="61" t="e">
        <f t="shared" ref="X18" si="78">FIND(",",T18,V18+1)</f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107"/>
    </row>
    <row r="19" spans="1:28" ht="21" customHeight="1" x14ac:dyDescent="0.15">
      <c r="A19" s="45">
        <v>65531122</v>
      </c>
      <c r="B19" s="198" t="s">
        <v>305</v>
      </c>
      <c r="C19" s="48">
        <v>1</v>
      </c>
      <c r="D19" s="48" t="s">
        <v>128</v>
      </c>
      <c r="E19" s="223" t="s">
        <v>343</v>
      </c>
      <c r="F19" s="223" t="s">
        <v>320</v>
      </c>
      <c r="G19" s="61" t="str">
        <f t="shared" si="52"/>
        <v>[effect:rush, count:4, val:0.3]</v>
      </c>
      <c r="H19" s="61">
        <f t="shared" si="53"/>
        <v>9</v>
      </c>
      <c r="I19" s="61">
        <f t="shared" si="54"/>
        <v>13</v>
      </c>
      <c r="J19" s="61" t="e">
        <f t="shared" si="55"/>
        <v>#VALUE!</v>
      </c>
      <c r="K19" s="61">
        <f t="shared" si="56"/>
        <v>22</v>
      </c>
      <c r="L19" s="61" t="str">
        <f>IFERROR(VLOOKUP(MID(G19,J19,K19-J19),[5]skilldef!$C:$D,2,FALSE),"-") &amp; " / " &amp; IFERROR(VLOOKUP(MID(G19,H19,I19-H19),[5]skilldef!$A:$B,2,FALSE),"-")</f>
        <v>- / 連続攻撃</v>
      </c>
      <c r="M19" s="61" t="str">
        <f t="shared" si="57"/>
        <v>none</v>
      </c>
      <c r="N19" s="46" t="str">
        <f>IFERROR(LEFT(M19,FIND("],",M19)+S32),M19)</f>
        <v>none</v>
      </c>
      <c r="O19" s="61" t="e">
        <f t="shared" si="58"/>
        <v>#VALUE!</v>
      </c>
      <c r="P19" s="61">
        <f t="shared" si="59"/>
        <v>4</v>
      </c>
      <c r="Q19" s="61" t="e">
        <f t="shared" si="60"/>
        <v>#VALUE!</v>
      </c>
      <c r="R19" s="61" t="e">
        <f t="shared" si="61"/>
        <v>#VALUE!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62"/>
        <v>none</v>
      </c>
      <c r="U19" s="61" t="e">
        <f t="shared" si="63"/>
        <v>#VALUE!</v>
      </c>
      <c r="V19" s="61">
        <f t="shared" si="64"/>
        <v>4</v>
      </c>
      <c r="W19" s="61" t="e">
        <f t="shared" si="65"/>
        <v>#VALUE!</v>
      </c>
      <c r="X19" s="61" t="e">
        <f t="shared" si="66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107"/>
    </row>
    <row r="20" spans="1:28" ht="21" customHeight="1" x14ac:dyDescent="0.15">
      <c r="A20" s="45">
        <v>65531123</v>
      </c>
      <c r="B20" s="45" t="s">
        <v>304</v>
      </c>
      <c r="C20" s="48">
        <v>1</v>
      </c>
      <c r="D20" s="48" t="s">
        <v>128</v>
      </c>
      <c r="E20" s="221" t="s">
        <v>313</v>
      </c>
      <c r="F20" s="221" t="s">
        <v>321</v>
      </c>
      <c r="G20" s="61" t="str">
        <f t="shared" si="52"/>
        <v xml:space="preserve">[effect:rush, count:3, val:0.5]    </v>
      </c>
      <c r="H20" s="61">
        <f t="shared" si="53"/>
        <v>9</v>
      </c>
      <c r="I20" s="61">
        <f t="shared" si="54"/>
        <v>13</v>
      </c>
      <c r="J20" s="61" t="e">
        <f t="shared" si="55"/>
        <v>#VALUE!</v>
      </c>
      <c r="K20" s="61">
        <f t="shared" si="56"/>
        <v>22</v>
      </c>
      <c r="L20" s="61" t="str">
        <f>IFERROR(VLOOKUP(MID(G20,J20,K20-J20),[5]skilldef!$C:$D,2,FALSE),"-") &amp; " / " &amp; IFERROR(VLOOKUP(MID(G20,H20,I20-H20),[5]skilldef!$A:$B,2,FALSE),"-")</f>
        <v>- / 連続攻撃</v>
      </c>
      <c r="M20" s="61" t="str">
        <f t="shared" si="57"/>
        <v>none</v>
      </c>
      <c r="N20" s="46" t="str">
        <f>IFERROR(LEFT(M20,FIND("],",M20)+S33),M20)</f>
        <v>none</v>
      </c>
      <c r="O20" s="61" t="e">
        <f t="shared" si="58"/>
        <v>#VALUE!</v>
      </c>
      <c r="P20" s="61">
        <f t="shared" si="59"/>
        <v>4</v>
      </c>
      <c r="Q20" s="61" t="e">
        <f t="shared" si="60"/>
        <v>#VALUE!</v>
      </c>
      <c r="R20" s="61" t="e">
        <f t="shared" si="61"/>
        <v>#VALUE!</v>
      </c>
      <c r="S20" s="61" t="str">
        <f>IFERROR(VLOOKUP(MID(N20,Q20,R20-Q20),[5]skilldef!$C:$D,2,FALSE),"-") &amp; " / " &amp; IFERROR(VLOOKUP(MID(N20,O20,P20-O20),[5]skilldef!$A:$B,2,FALSE),"-")</f>
        <v>- / -</v>
      </c>
      <c r="T20" s="46" t="str">
        <f t="shared" si="62"/>
        <v>none</v>
      </c>
      <c r="U20" s="61" t="e">
        <f t="shared" si="63"/>
        <v>#VALUE!</v>
      </c>
      <c r="V20" s="61">
        <f t="shared" si="64"/>
        <v>4</v>
      </c>
      <c r="W20" s="61" t="e">
        <f t="shared" si="65"/>
        <v>#VALUE!</v>
      </c>
      <c r="X20" s="61" t="e">
        <f t="shared" si="66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107"/>
    </row>
    <row r="21" spans="1:28" ht="21" customHeight="1" x14ac:dyDescent="0.15">
      <c r="A21" s="45">
        <v>65531130</v>
      </c>
      <c r="B21" s="199" t="s">
        <v>310</v>
      </c>
      <c r="C21" s="48">
        <v>1</v>
      </c>
      <c r="D21" s="48" t="s">
        <v>128</v>
      </c>
      <c r="E21" s="222" t="s">
        <v>346</v>
      </c>
      <c r="F21" s="222" t="s">
        <v>322</v>
      </c>
      <c r="G21" s="61" t="str">
        <f t="shared" si="52"/>
        <v>[effect:degrade_unit, target:unit_green, turn:2, status:attack, val:0.5, calc:mul]</v>
      </c>
      <c r="H21" s="61">
        <f t="shared" si="53"/>
        <v>9</v>
      </c>
      <c r="I21" s="61">
        <f t="shared" si="54"/>
        <v>21</v>
      </c>
      <c r="J21" s="61">
        <f t="shared" si="55"/>
        <v>30</v>
      </c>
      <c r="K21" s="61">
        <f t="shared" si="56"/>
        <v>40</v>
      </c>
      <c r="L21" s="61" t="str">
        <f>IFERROR(VLOOKUP(MID(G21,J21,K21-J21),[5]skilldef!$C:$D,2,FALSE),"-") &amp; " / " &amp; IFERROR(VLOOKUP(MID(G21,H21,I21-H21),[5]skilldef!$A:$B,2,FALSE),"-")</f>
        <v>緑の味方に / ステータスDOWN</v>
      </c>
      <c r="M21" s="61" t="str">
        <f t="shared" si="57"/>
        <v>none</v>
      </c>
      <c r="N21" s="46" t="str">
        <f>IFERROR(LEFT(M21,FIND("],",M21)+S34),M21)</f>
        <v>none</v>
      </c>
      <c r="O21" s="61" t="e">
        <f t="shared" si="58"/>
        <v>#VALUE!</v>
      </c>
      <c r="P21" s="61">
        <f t="shared" si="59"/>
        <v>4</v>
      </c>
      <c r="Q21" s="61" t="e">
        <f t="shared" si="60"/>
        <v>#VALUE!</v>
      </c>
      <c r="R21" s="61" t="e">
        <f t="shared" si="61"/>
        <v>#VALUE!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62"/>
        <v>none</v>
      </c>
      <c r="U21" s="61" t="e">
        <f t="shared" si="63"/>
        <v>#VALUE!</v>
      </c>
      <c r="V21" s="61">
        <f t="shared" si="64"/>
        <v>4</v>
      </c>
      <c r="W21" s="61" t="e">
        <f t="shared" si="65"/>
        <v>#VALUE!</v>
      </c>
      <c r="X21" s="61" t="e">
        <f t="shared" si="66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107"/>
    </row>
    <row r="22" spans="1:28" ht="21" customHeight="1" x14ac:dyDescent="0.15">
      <c r="A22" s="45">
        <v>65531131</v>
      </c>
      <c r="B22" s="45" t="s">
        <v>279</v>
      </c>
      <c r="C22" s="48">
        <v>1</v>
      </c>
      <c r="D22" s="48" t="s">
        <v>128</v>
      </c>
      <c r="E22" s="222" t="s">
        <v>347</v>
      </c>
      <c r="F22" s="222" t="s">
        <v>300</v>
      </c>
      <c r="G22" s="61" t="str">
        <f t="shared" si="52"/>
        <v>[effect:critical, val:1.5, animation:enemy_critical]</v>
      </c>
      <c r="H22" s="61">
        <f t="shared" si="53"/>
        <v>9</v>
      </c>
      <c r="I22" s="61">
        <f t="shared" si="54"/>
        <v>17</v>
      </c>
      <c r="J22" s="61" t="e">
        <f t="shared" si="55"/>
        <v>#VALUE!</v>
      </c>
      <c r="K22" s="61">
        <f t="shared" si="56"/>
        <v>26</v>
      </c>
      <c r="L22" s="61" t="str">
        <f>IFERROR(VLOOKUP(MID(G22,J22,K22-J22),[5]skilldef!$C:$D,2,FALSE),"-") &amp; " / " &amp; IFERROR(VLOOKUP(MID(G22,H22,I22-H22),[5]skilldef!$A:$B,2,FALSE),"-")</f>
        <v>- / 大攻撃</v>
      </c>
      <c r="M22" s="61" t="str">
        <f t="shared" si="57"/>
        <v>none</v>
      </c>
      <c r="N22" s="46" t="str">
        <f>IFERROR(LEFT(M22,FIND("],",M22)+S35),M22)</f>
        <v>none</v>
      </c>
      <c r="O22" s="61" t="e">
        <f t="shared" si="58"/>
        <v>#VALUE!</v>
      </c>
      <c r="P22" s="61">
        <f t="shared" si="59"/>
        <v>4</v>
      </c>
      <c r="Q22" s="61" t="e">
        <f t="shared" si="60"/>
        <v>#VALUE!</v>
      </c>
      <c r="R22" s="61" t="e">
        <f t="shared" si="61"/>
        <v>#VALUE!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62"/>
        <v>none</v>
      </c>
      <c r="U22" s="61" t="e">
        <f t="shared" si="63"/>
        <v>#VALUE!</v>
      </c>
      <c r="V22" s="61">
        <f t="shared" si="64"/>
        <v>4</v>
      </c>
      <c r="W22" s="61" t="e">
        <f t="shared" si="65"/>
        <v>#VALUE!</v>
      </c>
      <c r="X22" s="61" t="e">
        <f t="shared" si="66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107"/>
    </row>
    <row r="23" spans="1:28" ht="21" customHeight="1" x14ac:dyDescent="0.15">
      <c r="A23" s="45">
        <v>65531132</v>
      </c>
      <c r="B23" s="45" t="s">
        <v>316</v>
      </c>
      <c r="C23" s="48">
        <v>1</v>
      </c>
      <c r="D23" s="48" t="s">
        <v>128</v>
      </c>
      <c r="E23" s="222" t="s">
        <v>348</v>
      </c>
      <c r="F23" s="222" t="s">
        <v>308</v>
      </c>
      <c r="G23" s="61" t="str">
        <f t="shared" ref="G23:G25" si="79">IFERROR(LEFT(B23,FIND("],",B23)),B23)</f>
        <v>[effect:spread, val:0.4]</v>
      </c>
      <c r="H23" s="61">
        <f t="shared" si="53"/>
        <v>9</v>
      </c>
      <c r="I23" s="61">
        <f t="shared" ref="I23:I25" si="80">IFERROR(FIND(",",G23),LEN(G23))</f>
        <v>15</v>
      </c>
      <c r="J23" s="61" t="e">
        <f t="shared" ref="J23:J25" si="81">FIND("target:",G23)+7</f>
        <v>#VALUE!</v>
      </c>
      <c r="K23" s="61" t="e">
        <f t="shared" ref="K23:K25" si="82">FIND(",",G23,I23+1)</f>
        <v>#VALUE!</v>
      </c>
      <c r="L23" s="61" t="str">
        <f>IFERROR(VLOOKUP(MID(G23,J23,K23-J23),[5]skilldef!$C:$D,2,FALSE),"-") &amp; " / " &amp; IFERROR(VLOOKUP(MID(G23,H23,I23-H23),[5]skilldef!$A:$B,2,FALSE),"-")</f>
        <v>- / 全体攻撃</v>
      </c>
      <c r="M23" s="61" t="str">
        <f t="shared" ref="M23:M25" si="83">IFERROR(RIGHT(B23,LEN(B23)-FIND("],",B23)-1),"none")</f>
        <v>none</v>
      </c>
      <c r="N23" s="46" t="str">
        <f t="shared" ref="N23" si="84">IFERROR(LEFT(M23,FIND("],",M23)+S36),M23)</f>
        <v>none</v>
      </c>
      <c r="O23" s="61" t="e">
        <f t="shared" si="58"/>
        <v>#VALUE!</v>
      </c>
      <c r="P23" s="61">
        <f t="shared" ref="P23:P25" si="85">IFERROR(FIND(",",N23),LEN(N23))</f>
        <v>4</v>
      </c>
      <c r="Q23" s="61" t="e">
        <f t="shared" ref="Q23:Q25" si="86">FIND("target:",N23)+7</f>
        <v>#VALUE!</v>
      </c>
      <c r="R23" s="61" t="e">
        <f t="shared" ref="R23:R25" si="87">FIND(",",N23,P23+1)</f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ref="T23:T25" si="88">IFERROR(RIGHT(M23,LEN(M23)-FIND("],",M23)-1),"none")</f>
        <v>none</v>
      </c>
      <c r="U23" s="61" t="e">
        <f t="shared" si="63"/>
        <v>#VALUE!</v>
      </c>
      <c r="V23" s="61">
        <f t="shared" ref="V23:V25" si="89">IFERROR(FIND(",",T23),LEN(T23))</f>
        <v>4</v>
      </c>
      <c r="W23" s="61" t="e">
        <f t="shared" ref="W23:W25" si="90">FIND("target:",T23)+7</f>
        <v>#VALUE!</v>
      </c>
      <c r="X23" s="61" t="e">
        <f t="shared" ref="X23:X25" si="91">FIND(",",T23,V23+1)</f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107"/>
    </row>
    <row r="24" spans="1:28" ht="21" customHeight="1" x14ac:dyDescent="0.15">
      <c r="A24" s="45">
        <v>65531133</v>
      </c>
      <c r="B24" s="199" t="s">
        <v>315</v>
      </c>
      <c r="C24" s="48">
        <v>1</v>
      </c>
      <c r="D24" s="48" t="s">
        <v>128</v>
      </c>
      <c r="E24" s="220" t="s">
        <v>314</v>
      </c>
      <c r="F24" s="220" t="s">
        <v>323</v>
      </c>
      <c r="G24" s="61" t="str">
        <f t="shared" si="79"/>
        <v>[effect:break_enchance_enemy, target:myself, val:0.15, lowest_val:0.01, count:-1, status:defense, turn:3, block01:block_heart, calc:add, animation:enemy_enhance_defense]</v>
      </c>
      <c r="H24" s="61">
        <f t="shared" si="53"/>
        <v>9</v>
      </c>
      <c r="I24" s="61">
        <f t="shared" si="80"/>
        <v>29</v>
      </c>
      <c r="J24" s="61">
        <f t="shared" si="81"/>
        <v>38</v>
      </c>
      <c r="K24" s="61">
        <f t="shared" si="82"/>
        <v>44</v>
      </c>
      <c r="L24" s="61" t="str">
        <f>IFERROR(VLOOKUP(MID(G24,J24,K24-J24),[5]skilldef!$C:$D,2,FALSE),"-") &amp; " / " &amp; IFERROR(VLOOKUP(MID(G24,H24,I24-H24),[5]skilldef!$A:$B,2,FALSE),"-")</f>
        <v>自分自身に / -</v>
      </c>
      <c r="M24" s="61" t="str">
        <f t="shared" si="83"/>
        <v>none</v>
      </c>
      <c r="N24" s="46" t="str">
        <f>IFERROR(LEFT(M24,FIND("],",M24)+S37),M24)</f>
        <v>none</v>
      </c>
      <c r="O24" s="61" t="e">
        <f t="shared" si="58"/>
        <v>#VALUE!</v>
      </c>
      <c r="P24" s="61">
        <f t="shared" si="85"/>
        <v>4</v>
      </c>
      <c r="Q24" s="61" t="e">
        <f t="shared" si="86"/>
        <v>#VALUE!</v>
      </c>
      <c r="R24" s="61" t="e">
        <f t="shared" si="87"/>
        <v>#VALUE!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88"/>
        <v>none</v>
      </c>
      <c r="U24" s="61" t="e">
        <f t="shared" si="63"/>
        <v>#VALUE!</v>
      </c>
      <c r="V24" s="61">
        <f t="shared" si="89"/>
        <v>4</v>
      </c>
      <c r="W24" s="61" t="e">
        <f t="shared" si="90"/>
        <v>#VALUE!</v>
      </c>
      <c r="X24" s="61" t="e">
        <f t="shared" si="91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107"/>
    </row>
    <row r="25" spans="1:28" ht="21" customHeight="1" x14ac:dyDescent="0.15">
      <c r="A25" s="45">
        <v>65531134</v>
      </c>
      <c r="B25" s="45" t="s">
        <v>309</v>
      </c>
      <c r="C25" s="48">
        <v>1</v>
      </c>
      <c r="D25" s="48" t="s">
        <v>128</v>
      </c>
      <c r="E25" s="220" t="s">
        <v>314</v>
      </c>
      <c r="F25" s="220" t="s">
        <v>308</v>
      </c>
      <c r="G25" s="61" t="str">
        <f t="shared" si="79"/>
        <v>[effect:spread, val:0.5]</v>
      </c>
      <c r="H25" s="61">
        <f t="shared" si="53"/>
        <v>9</v>
      </c>
      <c r="I25" s="61">
        <f t="shared" si="80"/>
        <v>15</v>
      </c>
      <c r="J25" s="61" t="e">
        <f t="shared" si="81"/>
        <v>#VALUE!</v>
      </c>
      <c r="K25" s="61" t="e">
        <f t="shared" si="82"/>
        <v>#VALUE!</v>
      </c>
      <c r="L25" s="61" t="str">
        <f>IFERROR(VLOOKUP(MID(G25,J25,K25-J25),[5]skilldef!$C:$D,2,FALSE),"-") &amp; " / " &amp; IFERROR(VLOOKUP(MID(G25,H25,I25-H25),[5]skilldef!$A:$B,2,FALSE),"-")</f>
        <v>- / 全体攻撃</v>
      </c>
      <c r="M25" s="61" t="str">
        <f t="shared" si="83"/>
        <v>none</v>
      </c>
      <c r="N25" s="46" t="str">
        <f>IFERROR(LEFT(M25,FIND("],",M25)+S38),M25)</f>
        <v>none</v>
      </c>
      <c r="O25" s="61" t="e">
        <f t="shared" si="58"/>
        <v>#VALUE!</v>
      </c>
      <c r="P25" s="61">
        <f t="shared" si="85"/>
        <v>4</v>
      </c>
      <c r="Q25" s="61" t="e">
        <f t="shared" si="86"/>
        <v>#VALUE!</v>
      </c>
      <c r="R25" s="61" t="e">
        <f t="shared" si="87"/>
        <v>#VALUE!</v>
      </c>
      <c r="S25" s="61" t="str">
        <f>IFERROR(VLOOKUP(MID(N25,Q25,R25-Q25),[5]skilldef!$C:$D,2,FALSE),"-") &amp; " / " &amp; IFERROR(VLOOKUP(MID(N25,O25,P25-O25),[5]skilldef!$A:$B,2,FALSE),"-")</f>
        <v>- / -</v>
      </c>
      <c r="T25" s="46" t="str">
        <f t="shared" si="88"/>
        <v>none</v>
      </c>
      <c r="U25" s="61" t="e">
        <f t="shared" si="63"/>
        <v>#VALUE!</v>
      </c>
      <c r="V25" s="61">
        <f t="shared" si="89"/>
        <v>4</v>
      </c>
      <c r="W25" s="61" t="e">
        <f t="shared" si="90"/>
        <v>#VALUE!</v>
      </c>
      <c r="X25" s="61" t="e">
        <f t="shared" si="91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107"/>
    </row>
    <row r="26" spans="1:28" ht="21" customHeight="1" x14ac:dyDescent="0.15">
      <c r="A26" s="45">
        <v>65531135</v>
      </c>
      <c r="B26" s="45" t="s">
        <v>312</v>
      </c>
      <c r="C26" s="48">
        <v>1</v>
      </c>
      <c r="D26" s="48" t="s">
        <v>128</v>
      </c>
      <c r="E26" s="220" t="s">
        <v>314</v>
      </c>
      <c r="F26" s="220" t="s">
        <v>300</v>
      </c>
      <c r="G26" s="61" t="str">
        <f t="shared" ref="G26" si="92">IFERROR(LEFT(B26,FIND("],",B26)),B26)</f>
        <v>[effect:critical, val:2.0, animation:enemy_critical]</v>
      </c>
      <c r="H26" s="61">
        <f t="shared" si="53"/>
        <v>9</v>
      </c>
      <c r="I26" s="61">
        <f t="shared" ref="I26" si="93">IFERROR(FIND(",",G26),LEN(G26))</f>
        <v>17</v>
      </c>
      <c r="J26" s="61" t="e">
        <f t="shared" ref="J26" si="94">FIND("target:",G26)+7</f>
        <v>#VALUE!</v>
      </c>
      <c r="K26" s="61">
        <f t="shared" ref="K26" si="95">FIND(",",G26,I26+1)</f>
        <v>26</v>
      </c>
      <c r="L26" s="61" t="str">
        <f>IFERROR(VLOOKUP(MID(G26,J26,K26-J26),[5]skilldef!$C:$D,2,FALSE),"-") &amp; " / " &amp; IFERROR(VLOOKUP(MID(G26,H26,I26-H26),[5]skilldef!$A:$B,2,FALSE),"-")</f>
        <v>- / 大攻撃</v>
      </c>
      <c r="M26" s="61" t="str">
        <f t="shared" ref="M26" si="96">IFERROR(RIGHT(B26,LEN(B26)-FIND("],",B26)-1),"none")</f>
        <v>none</v>
      </c>
      <c r="N26" s="46" t="str">
        <f t="shared" ref="N26" si="97">IFERROR(LEFT(M26,FIND("],",M26)+S39),M26)</f>
        <v>none</v>
      </c>
      <c r="O26" s="61" t="e">
        <f t="shared" si="58"/>
        <v>#VALUE!</v>
      </c>
      <c r="P26" s="61">
        <f t="shared" ref="P26" si="98">IFERROR(FIND(",",N26),LEN(N26))</f>
        <v>4</v>
      </c>
      <c r="Q26" s="61" t="e">
        <f t="shared" ref="Q26" si="99">FIND("target:",N26)+7</f>
        <v>#VALUE!</v>
      </c>
      <c r="R26" s="61" t="e">
        <f t="shared" ref="R26" si="100">FIND(",",N26,P26+1)</f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ref="T26" si="101">IFERROR(RIGHT(M26,LEN(M26)-FIND("],",M26)-1),"none")</f>
        <v>none</v>
      </c>
      <c r="U26" s="61" t="e">
        <f t="shared" si="63"/>
        <v>#VALUE!</v>
      </c>
      <c r="V26" s="61">
        <f t="shared" ref="V26" si="102">IFERROR(FIND(",",T26),LEN(T26))</f>
        <v>4</v>
      </c>
      <c r="W26" s="61" t="e">
        <f t="shared" ref="W26" si="103">FIND("target:",T26)+7</f>
        <v>#VALUE!</v>
      </c>
      <c r="X26" s="61" t="e">
        <f t="shared" ref="X26" si="104">FIND(",",T26,V26+1)</f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107"/>
    </row>
    <row r="27" spans="1:28" ht="21" customHeight="1" x14ac:dyDescent="0.15">
      <c r="A27" s="45">
        <v>65531140</v>
      </c>
      <c r="B27" s="45" t="s">
        <v>311</v>
      </c>
      <c r="C27" s="48">
        <v>1</v>
      </c>
      <c r="D27" s="48" t="s">
        <v>128</v>
      </c>
      <c r="E27" s="49" t="s">
        <v>333</v>
      </c>
      <c r="F27" s="49" t="s">
        <v>337</v>
      </c>
      <c r="G27" s="61" t="str">
        <f t="shared" ref="G27:G28" si="105">IFERROR(LEFT(B27,FIND("],",B27)),B27)</f>
        <v>[effect:virus, turn:-1, rate:1, val:0.2, animation:enemy_virus]</v>
      </c>
      <c r="H27" s="61">
        <f t="shared" si="53"/>
        <v>9</v>
      </c>
      <c r="I27" s="61">
        <f t="shared" ref="I27:I28" si="106">IFERROR(FIND(",",G27),LEN(G27))</f>
        <v>14</v>
      </c>
      <c r="J27" s="61" t="e">
        <f t="shared" ref="J27:J28" si="107">FIND("target:",G27)+7</f>
        <v>#VALUE!</v>
      </c>
      <c r="K27" s="61">
        <f t="shared" ref="K27:K28" si="108">FIND(",",G27,I27+1)</f>
        <v>23</v>
      </c>
      <c r="L27" s="61" t="str">
        <f>IFERROR(VLOOKUP(MID(G27,J27,K27-J27),[5]skilldef!$C:$D,2,FALSE),"-") &amp; " / " &amp; IFERROR(VLOOKUP(MID(G27,H27,I27-H27),[5]skilldef!$A:$B,2,FALSE),"-")</f>
        <v>- / ウィルス</v>
      </c>
      <c r="M27" s="61" t="str">
        <f t="shared" ref="M27:M28" si="109">IFERROR(RIGHT(B27,LEN(B27)-FIND("],",B27)-1),"none")</f>
        <v>none</v>
      </c>
      <c r="N27" s="46" t="str">
        <f t="shared" ref="N27:N28" si="110">IFERROR(LEFT(M27,FIND("],",M27)+S37),M27)</f>
        <v>none</v>
      </c>
      <c r="O27" s="61" t="e">
        <f t="shared" si="58"/>
        <v>#VALUE!</v>
      </c>
      <c r="P27" s="61">
        <f t="shared" ref="P27:P28" si="111">IFERROR(FIND(",",N27),LEN(N27))</f>
        <v>4</v>
      </c>
      <c r="Q27" s="61" t="e">
        <f t="shared" ref="Q27:Q28" si="112">FIND("target:",N27)+7</f>
        <v>#VALUE!</v>
      </c>
      <c r="R27" s="61" t="e">
        <f t="shared" ref="R27:R28" si="113">FIND(",",N27,P27+1)</f>
        <v>#VALUE!</v>
      </c>
      <c r="S27" s="61" t="str">
        <f>IFERROR(VLOOKUP(MID(N27,Q27,R27-Q27),[5]skilldef!$C:$D,2,FALSE),"-") &amp; " / " &amp; IFERROR(VLOOKUP(MID(N27,O27,P27-O27),[5]skilldef!$A:$B,2,FALSE),"-")</f>
        <v>- / -</v>
      </c>
      <c r="T27" s="46" t="str">
        <f t="shared" ref="T27:T28" si="114">IFERROR(RIGHT(M27,LEN(M27)-FIND("],",M27)-1),"none")</f>
        <v>none</v>
      </c>
      <c r="U27" s="61" t="e">
        <f t="shared" si="63"/>
        <v>#VALUE!</v>
      </c>
      <c r="V27" s="61">
        <f t="shared" ref="V27:V28" si="115">IFERROR(FIND(",",T27),LEN(T27))</f>
        <v>4</v>
      </c>
      <c r="W27" s="61" t="e">
        <f t="shared" ref="W27:W28" si="116">FIND("target:",T27)+7</f>
        <v>#VALUE!</v>
      </c>
      <c r="X27" s="61" t="e">
        <f t="shared" ref="X27:X28" si="117">FIND(",",T27,V27+1)</f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8"/>
      <c r="AA27" s="50"/>
      <c r="AB27" s="107"/>
    </row>
    <row r="28" spans="1:28" ht="21" customHeight="1" x14ac:dyDescent="0.15">
      <c r="A28" s="45">
        <v>65531141</v>
      </c>
      <c r="B28" s="45" t="s">
        <v>317</v>
      </c>
      <c r="C28" s="48">
        <v>1</v>
      </c>
      <c r="D28" s="48" t="s">
        <v>128</v>
      </c>
      <c r="E28" s="49" t="s">
        <v>349</v>
      </c>
      <c r="F28" s="49" t="s">
        <v>336</v>
      </c>
      <c r="G28" s="61" t="str">
        <f t="shared" si="105"/>
        <v>[effect:kamikaze, val:5]</v>
      </c>
      <c r="H28" s="61">
        <f t="shared" si="53"/>
        <v>9</v>
      </c>
      <c r="I28" s="61">
        <f t="shared" si="106"/>
        <v>17</v>
      </c>
      <c r="J28" s="61" t="e">
        <f t="shared" si="107"/>
        <v>#VALUE!</v>
      </c>
      <c r="K28" s="61" t="e">
        <f t="shared" si="108"/>
        <v>#VALUE!</v>
      </c>
      <c r="L28" s="61" t="str">
        <f>IFERROR(VLOOKUP(MID(G28,J28,K28-J28),[5]skilldef!$C:$D,2,FALSE),"-") &amp; " / " &amp; IFERROR(VLOOKUP(MID(G28,H28,I28-H28),[5]skilldef!$A:$B,2,FALSE),"-")</f>
        <v>- / 自爆</v>
      </c>
      <c r="M28" s="61" t="str">
        <f t="shared" si="109"/>
        <v>none</v>
      </c>
      <c r="N28" s="46" t="str">
        <f t="shared" si="110"/>
        <v>none</v>
      </c>
      <c r="O28" s="61" t="e">
        <f t="shared" si="58"/>
        <v>#VALUE!</v>
      </c>
      <c r="P28" s="61">
        <f t="shared" si="111"/>
        <v>4</v>
      </c>
      <c r="Q28" s="61" t="e">
        <f t="shared" si="112"/>
        <v>#VALUE!</v>
      </c>
      <c r="R28" s="61" t="e">
        <f t="shared" si="113"/>
        <v>#VALUE!</v>
      </c>
      <c r="S28" s="61" t="str">
        <f>IFERROR(VLOOKUP(MID(N28,Q28,R28-Q28),[5]skilldef!$C:$D,2,FALSE),"-") &amp; " / " &amp; IFERROR(VLOOKUP(MID(N28,O28,P28-O28),[5]skilldef!$A:$B,2,FALSE),"-")</f>
        <v>- / -</v>
      </c>
      <c r="T28" s="46" t="str">
        <f t="shared" si="114"/>
        <v>none</v>
      </c>
      <c r="U28" s="61" t="e">
        <f t="shared" si="63"/>
        <v>#VALUE!</v>
      </c>
      <c r="V28" s="61">
        <f t="shared" si="115"/>
        <v>4</v>
      </c>
      <c r="W28" s="61" t="e">
        <f t="shared" si="116"/>
        <v>#VALUE!</v>
      </c>
      <c r="X28" s="61" t="e">
        <f t="shared" si="117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107"/>
    </row>
    <row r="29" spans="1:28" ht="21" customHeight="1" x14ac:dyDescent="0.15">
      <c r="A29" s="45">
        <v>65531150</v>
      </c>
      <c r="B29" s="45" t="s">
        <v>312</v>
      </c>
      <c r="C29" s="48">
        <v>1</v>
      </c>
      <c r="D29" s="48" t="s">
        <v>128</v>
      </c>
      <c r="E29" s="49" t="s">
        <v>299</v>
      </c>
      <c r="F29" s="49" t="s">
        <v>300</v>
      </c>
      <c r="G29" s="61" t="str">
        <f t="shared" ref="G29" si="118">IFERROR(LEFT(B29,FIND("],",B29)),B29)</f>
        <v>[effect:critical, val:2.0, animation:enemy_critical]</v>
      </c>
      <c r="H29" s="61">
        <f t="shared" si="53"/>
        <v>9</v>
      </c>
      <c r="I29" s="61">
        <f t="shared" ref="I29" si="119">IFERROR(FIND(",",G29),LEN(G29))</f>
        <v>17</v>
      </c>
      <c r="J29" s="61" t="e">
        <f t="shared" ref="J29" si="120">FIND("target:",G29)+7</f>
        <v>#VALUE!</v>
      </c>
      <c r="K29" s="61">
        <f t="shared" ref="K29" si="121">FIND(",",G29,I29+1)</f>
        <v>26</v>
      </c>
      <c r="L29" s="61" t="str">
        <f>IFERROR(VLOOKUP(MID(G29,J29,K29-J29),[5]skilldef!$C:$D,2,FALSE),"-") &amp; " / " &amp; IFERROR(VLOOKUP(MID(G29,H29,I29-H29),[5]skilldef!$A:$B,2,FALSE),"-")</f>
        <v>- / 大攻撃</v>
      </c>
      <c r="M29" s="61" t="str">
        <f t="shared" ref="M29" si="122">IFERROR(RIGHT(B29,LEN(B29)-FIND("],",B29)-1),"none")</f>
        <v>none</v>
      </c>
      <c r="N29" s="46" t="str">
        <f t="shared" ref="N29" si="123">IFERROR(LEFT(M29,FIND("],",M29)+S39),M29)</f>
        <v>none</v>
      </c>
      <c r="O29" s="61" t="e">
        <f t="shared" si="58"/>
        <v>#VALUE!</v>
      </c>
      <c r="P29" s="61">
        <f t="shared" ref="P29" si="124">IFERROR(FIND(",",N29),LEN(N29))</f>
        <v>4</v>
      </c>
      <c r="Q29" s="61" t="e">
        <f t="shared" ref="Q29" si="125">FIND("target:",N29)+7</f>
        <v>#VALUE!</v>
      </c>
      <c r="R29" s="61" t="e">
        <f t="shared" ref="R29" si="126">FIND(",",N29,P29+1)</f>
        <v>#VALUE!</v>
      </c>
      <c r="S29" s="61" t="str">
        <f>IFERROR(VLOOKUP(MID(N29,Q29,R29-Q29),[5]skilldef!$C:$D,2,FALSE),"-") &amp; " / " &amp; IFERROR(VLOOKUP(MID(N29,O29,P29-O29),[5]skilldef!$A:$B,2,FALSE),"-")</f>
        <v>- / -</v>
      </c>
      <c r="T29" s="46" t="str">
        <f t="shared" ref="T29" si="127">IFERROR(RIGHT(M29,LEN(M29)-FIND("],",M29)-1),"none")</f>
        <v>none</v>
      </c>
      <c r="U29" s="61" t="e">
        <f t="shared" si="63"/>
        <v>#VALUE!</v>
      </c>
      <c r="V29" s="61">
        <f t="shared" ref="V29" si="128">IFERROR(FIND(",",T29),LEN(T29))</f>
        <v>4</v>
      </c>
      <c r="W29" s="61" t="e">
        <f t="shared" ref="W29" si="129">FIND("target:",T29)+7</f>
        <v>#VALUE!</v>
      </c>
      <c r="X29" s="61" t="e">
        <f t="shared" ref="X29" si="130">FIND(",",T29,V29+1)</f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8"/>
      <c r="AA29" s="50"/>
      <c r="AB29" s="107"/>
    </row>
    <row r="30" spans="1:28" ht="21" customHeight="1" x14ac:dyDescent="0.15">
      <c r="A30" s="45">
        <v>65531160</v>
      </c>
      <c r="B30" s="45" t="s">
        <v>351</v>
      </c>
      <c r="C30" s="48">
        <v>1</v>
      </c>
      <c r="D30" s="48" t="s">
        <v>128</v>
      </c>
      <c r="E30" s="227" t="s">
        <v>325</v>
      </c>
      <c r="F30" s="227" t="s">
        <v>352</v>
      </c>
      <c r="G30" s="61" t="str">
        <f t="shared" ref="G30" si="131">IFERROR(LEFT(B30,FIND("],",B30)),B30)</f>
        <v>[effect:damage_abnormal, target:unit_one, val:0.4, status:virus, turn:-1, rate:1, val_abnormal:0.2, animation:enemy_virus]</v>
      </c>
      <c r="H30" s="61">
        <f t="shared" si="53"/>
        <v>9</v>
      </c>
      <c r="I30" s="61">
        <f t="shared" ref="I30" si="132">IFERROR(FIND(",",G30),LEN(G30))</f>
        <v>24</v>
      </c>
      <c r="J30" s="61">
        <f t="shared" ref="J30" si="133">FIND("target:",G30)+7</f>
        <v>33</v>
      </c>
      <c r="K30" s="61">
        <f t="shared" ref="K30" si="134">FIND(",",G30,I30+1)</f>
        <v>41</v>
      </c>
      <c r="L30" s="61" t="str">
        <f>IFERROR(VLOOKUP(MID(G30,J30,K30-J30),[5]skilldef!$C:$D,2,FALSE),"-") &amp; " / " &amp; IFERROR(VLOOKUP(MID(G30,H30,I30-H30),[5]skilldef!$A:$B,2,FALSE),"-")</f>
        <v>味方単体に / -</v>
      </c>
      <c r="M30" s="61" t="str">
        <f t="shared" ref="M30" si="135">IFERROR(RIGHT(B30,LEN(B30)-FIND("],",B30)-1),"none")</f>
        <v>[effect:damage_abnormal, target:unit_one, val:0.4, status:virus, turn:-1, rate:1, val_abnormal:0.2, animation:enemy_virus]</v>
      </c>
      <c r="N30" s="46" t="str">
        <f t="shared" ref="N30" si="136">IFERROR(LEFT(M30,FIND("],",M30)+S40),M30)</f>
        <v>[effect:damage_abnormal, target:unit_one, val:0.4, status:virus, turn:-1, rate:1, val_abnormal:0.2, animation:enemy_virus]</v>
      </c>
      <c r="O30" s="61">
        <f t="shared" si="58"/>
        <v>9</v>
      </c>
      <c r="P30" s="61">
        <f t="shared" ref="P30" si="137">IFERROR(FIND(",",N30),LEN(N30))</f>
        <v>24</v>
      </c>
      <c r="Q30" s="61">
        <f t="shared" ref="Q30" si="138">FIND("target:",N30)+7</f>
        <v>33</v>
      </c>
      <c r="R30" s="61">
        <f t="shared" ref="R30" si="139">FIND(",",N30,P30+1)</f>
        <v>41</v>
      </c>
      <c r="S30" s="61" t="str">
        <f>IFERROR(VLOOKUP(MID(N30,Q30,R30-Q30),[5]skilldef!$C:$D,2,FALSE),"-") &amp; " / " &amp; IFERROR(VLOOKUP(MID(N30,O30,P30-O30),[5]skilldef!$A:$B,2,FALSE),"-")</f>
        <v>味方単体に / -</v>
      </c>
      <c r="T30" s="46" t="str">
        <f t="shared" ref="T30" si="140">IFERROR(RIGHT(M30,LEN(M30)-FIND("],",M30)-1),"none")</f>
        <v>none</v>
      </c>
      <c r="U30" s="61" t="e">
        <f t="shared" si="63"/>
        <v>#VALUE!</v>
      </c>
      <c r="V30" s="61">
        <f t="shared" ref="V30" si="141">IFERROR(FIND(",",T30),LEN(T30))</f>
        <v>4</v>
      </c>
      <c r="W30" s="61" t="e">
        <f t="shared" ref="W30" si="142">FIND("target:",T30)+7</f>
        <v>#VALUE!</v>
      </c>
      <c r="X30" s="61" t="e">
        <f t="shared" ref="X30" si="143">FIND(",",T30,V30+1)</f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107"/>
    </row>
    <row r="31" spans="1:28" ht="21" customHeight="1" x14ac:dyDescent="0.15">
      <c r="A31" s="45">
        <v>65531161</v>
      </c>
      <c r="B31" s="45" t="s">
        <v>279</v>
      </c>
      <c r="C31" s="48">
        <v>1</v>
      </c>
      <c r="D31" s="48" t="s">
        <v>128</v>
      </c>
      <c r="E31" s="227" t="s">
        <v>326</v>
      </c>
      <c r="F31" s="227" t="s">
        <v>300</v>
      </c>
      <c r="G31" s="61" t="str">
        <f t="shared" ref="G31:G32" si="144">IFERROR(LEFT(B31,FIND("],",B31)),B31)</f>
        <v>[effect:critical, val:1.5, animation:enemy_critical]</v>
      </c>
      <c r="H31" s="61">
        <f t="shared" si="53"/>
        <v>9</v>
      </c>
      <c r="I31" s="61">
        <f t="shared" ref="I31:I32" si="145">IFERROR(FIND(",",G31),LEN(G31))</f>
        <v>17</v>
      </c>
      <c r="J31" s="61" t="e">
        <f t="shared" ref="J31:J32" si="146">FIND("target:",G31)+7</f>
        <v>#VALUE!</v>
      </c>
      <c r="K31" s="61">
        <f t="shared" ref="K31:K32" si="147">FIND(",",G31,I31+1)</f>
        <v>26</v>
      </c>
      <c r="L31" s="61" t="str">
        <f>IFERROR(VLOOKUP(MID(G31,J31,K31-J31),[5]skilldef!$C:$D,2,FALSE),"-") &amp; " / " &amp; IFERROR(VLOOKUP(MID(G31,H31,I31-H31),[5]skilldef!$A:$B,2,FALSE),"-")</f>
        <v>- / 大攻撃</v>
      </c>
      <c r="M31" s="61" t="str">
        <f t="shared" ref="M31:M32" si="148">IFERROR(RIGHT(B31,LEN(B31)-FIND("],",B31)-1),"none")</f>
        <v>none</v>
      </c>
      <c r="N31" s="46" t="str">
        <f t="shared" ref="N31:N32" si="149">IFERROR(LEFT(M31,FIND("],",M31)+S41),M31)</f>
        <v>none</v>
      </c>
      <c r="O31" s="61" t="e">
        <f t="shared" si="58"/>
        <v>#VALUE!</v>
      </c>
      <c r="P31" s="61">
        <f t="shared" ref="P31:P32" si="150">IFERROR(FIND(",",N31),LEN(N31))</f>
        <v>4</v>
      </c>
      <c r="Q31" s="61" t="e">
        <f t="shared" ref="Q31:Q32" si="151">FIND("target:",N31)+7</f>
        <v>#VALUE!</v>
      </c>
      <c r="R31" s="61" t="e">
        <f t="shared" ref="R31:R32" si="152">FIND(",",N31,P31+1)</f>
        <v>#VALUE!</v>
      </c>
      <c r="S31" s="61" t="str">
        <f>IFERROR(VLOOKUP(MID(N31,Q31,R31-Q31),[5]skilldef!$C:$D,2,FALSE),"-") &amp; " / " &amp; IFERROR(VLOOKUP(MID(N31,O31,P31-O31),[5]skilldef!$A:$B,2,FALSE),"-")</f>
        <v>- / -</v>
      </c>
      <c r="T31" s="46" t="str">
        <f t="shared" ref="T31:T32" si="153">IFERROR(RIGHT(M31,LEN(M31)-FIND("],",M31)-1),"none")</f>
        <v>none</v>
      </c>
      <c r="U31" s="61" t="e">
        <f t="shared" si="63"/>
        <v>#VALUE!</v>
      </c>
      <c r="V31" s="61">
        <f t="shared" ref="V31:V32" si="154">IFERROR(FIND(",",T31),LEN(T31))</f>
        <v>4</v>
      </c>
      <c r="W31" s="61" t="e">
        <f t="shared" ref="W31:W32" si="155">FIND("target:",T31)+7</f>
        <v>#VALUE!</v>
      </c>
      <c r="X31" s="61" t="e">
        <f t="shared" ref="X31:X32" si="156">FIND(",",T31,V31+1)</f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8"/>
      <c r="AA31" s="50"/>
      <c r="AB31" s="107"/>
    </row>
    <row r="32" spans="1:28" ht="21" customHeight="1" x14ac:dyDescent="0.15">
      <c r="A32" s="45">
        <v>65531162</v>
      </c>
      <c r="B32" s="106" t="s">
        <v>307</v>
      </c>
      <c r="C32" s="48">
        <v>1</v>
      </c>
      <c r="D32" s="48" t="s">
        <v>128</v>
      </c>
      <c r="E32" s="227" t="s">
        <v>327</v>
      </c>
      <c r="F32" s="227" t="s">
        <v>338</v>
      </c>
      <c r="G32" s="61" t="str">
        <f t="shared" si="144"/>
        <v>[effect:heal, target:enemy_all, val:0.15, animation:enemy_heal]</v>
      </c>
      <c r="H32" s="61">
        <f t="shared" si="53"/>
        <v>9</v>
      </c>
      <c r="I32" s="61">
        <f t="shared" si="145"/>
        <v>13</v>
      </c>
      <c r="J32" s="61">
        <f t="shared" si="146"/>
        <v>22</v>
      </c>
      <c r="K32" s="61">
        <f t="shared" si="147"/>
        <v>31</v>
      </c>
      <c r="L32" s="61" t="str">
        <f>IFERROR(VLOOKUP(MID(G32,J32,K32-J32),[5]skilldef!$C:$D,2,FALSE),"-") &amp; " / " &amp; IFERROR(VLOOKUP(MID(G32,H32,I32-H32),[5]skilldef!$A:$B,2,FALSE),"-")</f>
        <v>敵全体に / 回復</v>
      </c>
      <c r="M32" s="61" t="str">
        <f t="shared" si="148"/>
        <v>none</v>
      </c>
      <c r="N32" s="46" t="str">
        <f t="shared" si="149"/>
        <v>none</v>
      </c>
      <c r="O32" s="61" t="e">
        <f t="shared" si="58"/>
        <v>#VALUE!</v>
      </c>
      <c r="P32" s="61">
        <f t="shared" si="150"/>
        <v>4</v>
      </c>
      <c r="Q32" s="61" t="e">
        <f t="shared" si="151"/>
        <v>#VALUE!</v>
      </c>
      <c r="R32" s="61" t="e">
        <f t="shared" si="152"/>
        <v>#VALUE!</v>
      </c>
      <c r="S32" s="61" t="str">
        <f>IFERROR(VLOOKUP(MID(N32,Q32,R32-Q32),[5]skilldef!$C:$D,2,FALSE),"-") &amp; " / " &amp; IFERROR(VLOOKUP(MID(N32,O32,P32-O32),[5]skilldef!$A:$B,2,FALSE),"-")</f>
        <v>- / -</v>
      </c>
      <c r="T32" s="46" t="str">
        <f t="shared" si="153"/>
        <v>none</v>
      </c>
      <c r="U32" s="61" t="e">
        <f t="shared" si="63"/>
        <v>#VALUE!</v>
      </c>
      <c r="V32" s="61">
        <f t="shared" si="154"/>
        <v>4</v>
      </c>
      <c r="W32" s="61" t="e">
        <f t="shared" si="155"/>
        <v>#VALUE!</v>
      </c>
      <c r="X32" s="61" t="e">
        <f t="shared" si="156"/>
        <v>#VALUE!</v>
      </c>
      <c r="Y32" s="61" t="str">
        <f>IFERROR(VLOOKUP(MID(T32,W32,X32-W32),[5]skilldef!$C:$D,2,FALSE),"-") &amp; " / " &amp; IFERROR(VLOOKUP(MID(T32,U32,V32-U32),[5]skilldef!$A:$B,2,FALSE),"-")</f>
        <v>- / -</v>
      </c>
      <c r="Z32" s="48"/>
      <c r="AA32" s="50"/>
      <c r="AB32" s="107"/>
    </row>
    <row r="33" spans="1:28" ht="21" customHeight="1" x14ac:dyDescent="0.15">
      <c r="A33" s="45">
        <v>65531170</v>
      </c>
      <c r="B33" s="45" t="s">
        <v>350</v>
      </c>
      <c r="C33" s="48">
        <v>1</v>
      </c>
      <c r="D33" s="48" t="s">
        <v>128</v>
      </c>
      <c r="E33" s="226" t="s">
        <v>330</v>
      </c>
      <c r="F33" s="226" t="s">
        <v>324</v>
      </c>
      <c r="G33" s="61" t="str">
        <f t="shared" ref="G33" si="157">IFERROR(LEFT(B33,FIND("],",B33)),B33)</f>
        <v>[effect:damage_abnormal, target:unit_one, val:0.4, status:virus, turn:-1, rate:1, val_abnormal:0.2, animation:enemy_virus]</v>
      </c>
      <c r="H33" s="61">
        <f t="shared" si="53"/>
        <v>9</v>
      </c>
      <c r="I33" s="61">
        <f t="shared" ref="I33" si="158">IFERROR(FIND(",",G33),LEN(G33))</f>
        <v>24</v>
      </c>
      <c r="J33" s="61">
        <f t="shared" ref="J33" si="159">FIND("target:",G33)+7</f>
        <v>33</v>
      </c>
      <c r="K33" s="61">
        <f t="shared" ref="K33" si="160">FIND(",",G33,I33+1)</f>
        <v>41</v>
      </c>
      <c r="L33" s="61" t="str">
        <f>IFERROR(VLOOKUP(MID(G33,J33,K33-J33),[5]skilldef!$C:$D,2,FALSE),"-") &amp; " / " &amp; IFERROR(VLOOKUP(MID(G33,H33,I33-H33),[5]skilldef!$A:$B,2,FALSE),"-")</f>
        <v>味方単体に / -</v>
      </c>
      <c r="M33" s="61" t="str">
        <f t="shared" ref="M33" si="161">IFERROR(RIGHT(B33,LEN(B33)-FIND("],",B33)-1),"none")</f>
        <v>[effect:damage_abnormal, target:unit_one, val:0.4, status:virus, turn:-1, rate:1, val_abnormal:0.2, animation:enemy_virus],[effect:damage_abnormal, target:unit_one, val:0.4, status:virus, turn:-1, rate:1, val_abnormal:0.2, animation:enemy_virus],[effect:damage_abnormal, target:unit_one, val:0.4, status:virus, turn:-1, rate:1, val_abnormal:0.2, animation:enemy_virus]</v>
      </c>
      <c r="N33" s="46" t="str">
        <f t="shared" ref="N33" si="162">IFERROR(LEFT(M33,FIND("],",M33)+S43),M33)</f>
        <v>[effect:damage_abnormal, target:unit_one, val:0.4, status:virus, turn:-1, rate:1, val_abnormal:0.2, animation:enemy_virus]</v>
      </c>
      <c r="O33" s="61">
        <f t="shared" si="58"/>
        <v>9</v>
      </c>
      <c r="P33" s="61">
        <f t="shared" ref="P33" si="163">IFERROR(FIND(",",N33),LEN(N33))</f>
        <v>24</v>
      </c>
      <c r="Q33" s="61">
        <f t="shared" ref="Q33" si="164">FIND("target:",N33)+7</f>
        <v>33</v>
      </c>
      <c r="R33" s="61">
        <f t="shared" ref="R33" si="165">FIND(",",N33,P33+1)</f>
        <v>41</v>
      </c>
      <c r="S33" s="61" t="str">
        <f>IFERROR(VLOOKUP(MID(N33,Q33,R33-Q33),[5]skilldef!$C:$D,2,FALSE),"-") &amp; " / " &amp; IFERROR(VLOOKUP(MID(N33,O33,P33-O33),[5]skilldef!$A:$B,2,FALSE),"-")</f>
        <v>味方単体に / -</v>
      </c>
      <c r="T33" s="46" t="str">
        <f t="shared" ref="T33" si="166">IFERROR(RIGHT(M33,LEN(M33)-FIND("],",M33)-1),"none")</f>
        <v>[effect:damage_abnormal, target:unit_one, val:0.4, status:virus, turn:-1, rate:1, val_abnormal:0.2, animation:enemy_virus],[effect:damage_abnormal, target:unit_one, val:0.4, status:virus, turn:-1, rate:1, val_abnormal:0.2, animation:enemy_virus]</v>
      </c>
      <c r="U33" s="61">
        <f t="shared" si="63"/>
        <v>9</v>
      </c>
      <c r="V33" s="61">
        <f t="shared" ref="V33" si="167">IFERROR(FIND(",",T33),LEN(T33))</f>
        <v>24</v>
      </c>
      <c r="W33" s="61">
        <f t="shared" ref="W33" si="168">FIND("target:",T33)+7</f>
        <v>33</v>
      </c>
      <c r="X33" s="61">
        <f t="shared" ref="X33" si="169">FIND(",",T33,V33+1)</f>
        <v>41</v>
      </c>
      <c r="Y33" s="61" t="str">
        <f>IFERROR(VLOOKUP(MID(T33,W33,X33-W33),[5]skilldef!$C:$D,2,FALSE),"-") &amp; " / " &amp; IFERROR(VLOOKUP(MID(T33,U33,V33-U33),[5]skilldef!$A:$B,2,FALSE),"-")</f>
        <v>味方単体に / -</v>
      </c>
      <c r="Z33" s="48"/>
      <c r="AA33" s="50"/>
      <c r="AB33" s="107"/>
    </row>
    <row r="34" spans="1:28" ht="21" customHeight="1" x14ac:dyDescent="0.15">
      <c r="A34" s="45">
        <v>65531171</v>
      </c>
      <c r="B34" s="45" t="s">
        <v>279</v>
      </c>
      <c r="C34" s="48">
        <v>1</v>
      </c>
      <c r="D34" s="48" t="s">
        <v>128</v>
      </c>
      <c r="E34" s="226" t="s">
        <v>331</v>
      </c>
      <c r="F34" s="226" t="s">
        <v>300</v>
      </c>
      <c r="G34" s="61" t="str">
        <f t="shared" ref="G34:G36" si="170">IFERROR(LEFT(B34,FIND("],",B34)),B34)</f>
        <v>[effect:critical, val:1.5, animation:enemy_critical]</v>
      </c>
      <c r="H34" s="61">
        <f t="shared" si="53"/>
        <v>9</v>
      </c>
      <c r="I34" s="61">
        <f t="shared" ref="I34:I36" si="171">IFERROR(FIND(",",G34),LEN(G34))</f>
        <v>17</v>
      </c>
      <c r="J34" s="61" t="e">
        <f t="shared" ref="J34:J36" si="172">FIND("target:",G34)+7</f>
        <v>#VALUE!</v>
      </c>
      <c r="K34" s="61">
        <f t="shared" ref="K34:K36" si="173">FIND(",",G34,I34+1)</f>
        <v>26</v>
      </c>
      <c r="L34" s="61" t="str">
        <f>IFERROR(VLOOKUP(MID(G34,J34,K34-J34),[5]skilldef!$C:$D,2,FALSE),"-") &amp; " / " &amp; IFERROR(VLOOKUP(MID(G34,H34,I34-H34),[5]skilldef!$A:$B,2,FALSE),"-")</f>
        <v>- / 大攻撃</v>
      </c>
      <c r="M34" s="61" t="str">
        <f t="shared" ref="M34:M36" si="174">IFERROR(RIGHT(B34,LEN(B34)-FIND("],",B34)-1),"none")</f>
        <v>none</v>
      </c>
      <c r="N34" s="46" t="str">
        <f t="shared" ref="N34:N36" si="175">IFERROR(LEFT(M34,FIND("],",M34)+S44),M34)</f>
        <v>none</v>
      </c>
      <c r="O34" s="61" t="e">
        <f t="shared" si="58"/>
        <v>#VALUE!</v>
      </c>
      <c r="P34" s="61">
        <f t="shared" ref="P34:P36" si="176">IFERROR(FIND(",",N34),LEN(N34))</f>
        <v>4</v>
      </c>
      <c r="Q34" s="61" t="e">
        <f t="shared" ref="Q34:Q36" si="177">FIND("target:",N34)+7</f>
        <v>#VALUE!</v>
      </c>
      <c r="R34" s="61" t="e">
        <f t="shared" ref="R34:R36" si="178">FIND(",",N34,P34+1)</f>
        <v>#VALUE!</v>
      </c>
      <c r="S34" s="61" t="str">
        <f>IFERROR(VLOOKUP(MID(N34,Q34,R34-Q34),[5]skilldef!$C:$D,2,FALSE),"-") &amp; " / " &amp; IFERROR(VLOOKUP(MID(N34,O34,P34-O34),[5]skilldef!$A:$B,2,FALSE),"-")</f>
        <v>- / -</v>
      </c>
      <c r="T34" s="46" t="str">
        <f t="shared" ref="T34:T36" si="179">IFERROR(RIGHT(M34,LEN(M34)-FIND("],",M34)-1),"none")</f>
        <v>none</v>
      </c>
      <c r="U34" s="61" t="e">
        <f t="shared" si="63"/>
        <v>#VALUE!</v>
      </c>
      <c r="V34" s="61">
        <f t="shared" ref="V34:V36" si="180">IFERROR(FIND(",",T34),LEN(T34))</f>
        <v>4</v>
      </c>
      <c r="W34" s="61" t="e">
        <f t="shared" ref="W34:W36" si="181">FIND("target:",T34)+7</f>
        <v>#VALUE!</v>
      </c>
      <c r="X34" s="61" t="e">
        <f t="shared" ref="X34:X36" si="182">FIND(",",T34,V34+1)</f>
        <v>#VALUE!</v>
      </c>
      <c r="Y34" s="61" t="str">
        <f>IFERROR(VLOOKUP(MID(T34,W34,X34-W34),[5]skilldef!$C:$D,2,FALSE),"-") &amp; " / " &amp; IFERROR(VLOOKUP(MID(T34,U34,V34-U34),[5]skilldef!$A:$B,2,FALSE),"-")</f>
        <v>- / -</v>
      </c>
      <c r="Z34" s="48"/>
      <c r="AA34" s="50"/>
      <c r="AB34" s="107"/>
    </row>
    <row r="35" spans="1:28" ht="21" customHeight="1" x14ac:dyDescent="0.15">
      <c r="A35" s="45">
        <v>65531172</v>
      </c>
      <c r="B35" s="45" t="s">
        <v>302</v>
      </c>
      <c r="C35" s="48">
        <v>1</v>
      </c>
      <c r="D35" s="48" t="s">
        <v>128</v>
      </c>
      <c r="E35" s="226" t="s">
        <v>328</v>
      </c>
      <c r="F35" s="226" t="s">
        <v>340</v>
      </c>
      <c r="G35" s="61" t="str">
        <f t="shared" si="170"/>
        <v>[effect:dis_heart, turn:2, animation:enemy_dis_heart]</v>
      </c>
      <c r="H35" s="61">
        <f t="shared" si="53"/>
        <v>9</v>
      </c>
      <c r="I35" s="61">
        <f t="shared" si="171"/>
        <v>18</v>
      </c>
      <c r="J35" s="61" t="e">
        <f t="shared" si="172"/>
        <v>#VALUE!</v>
      </c>
      <c r="K35" s="61">
        <f t="shared" si="173"/>
        <v>26</v>
      </c>
      <c r="L35" s="61" t="str">
        <f>IFERROR(VLOOKUP(MID(G35,J35,K35-J35),[5]skilldef!$C:$D,2,FALSE),"-") &amp; " / " &amp; IFERROR(VLOOKUP(MID(G35,H35,I35-H35),[5]skilldef!$A:$B,2,FALSE),"-")</f>
        <v>- / ディスハート</v>
      </c>
      <c r="M35" s="61" t="str">
        <f t="shared" si="174"/>
        <v>none</v>
      </c>
      <c r="N35" s="46" t="str">
        <f t="shared" si="175"/>
        <v>none</v>
      </c>
      <c r="O35" s="61" t="e">
        <f t="shared" si="58"/>
        <v>#VALUE!</v>
      </c>
      <c r="P35" s="61">
        <f t="shared" si="176"/>
        <v>4</v>
      </c>
      <c r="Q35" s="61" t="e">
        <f t="shared" si="177"/>
        <v>#VALUE!</v>
      </c>
      <c r="R35" s="61" t="e">
        <f t="shared" si="178"/>
        <v>#VALUE!</v>
      </c>
      <c r="S35" s="61" t="str">
        <f>IFERROR(VLOOKUP(MID(N35,Q35,R35-Q35),[5]skilldef!$C:$D,2,FALSE),"-") &amp; " / " &amp; IFERROR(VLOOKUP(MID(N35,O35,P35-O35),[5]skilldef!$A:$B,2,FALSE),"-")</f>
        <v>- / -</v>
      </c>
      <c r="T35" s="46" t="str">
        <f t="shared" si="179"/>
        <v>none</v>
      </c>
      <c r="U35" s="61" t="e">
        <f t="shared" si="63"/>
        <v>#VALUE!</v>
      </c>
      <c r="V35" s="61">
        <f t="shared" si="180"/>
        <v>4</v>
      </c>
      <c r="W35" s="61" t="e">
        <f t="shared" si="181"/>
        <v>#VALUE!</v>
      </c>
      <c r="X35" s="61" t="e">
        <f t="shared" si="182"/>
        <v>#VALUE!</v>
      </c>
      <c r="Y35" s="61" t="str">
        <f>IFERROR(VLOOKUP(MID(T35,W35,X35-W35),[5]skilldef!$C:$D,2,FALSE),"-") &amp; " / " &amp; IFERROR(VLOOKUP(MID(T35,U35,V35-U35),[5]skilldef!$A:$B,2,FALSE),"-")</f>
        <v>- / -</v>
      </c>
      <c r="Z35" s="48"/>
      <c r="AA35" s="50"/>
      <c r="AB35" s="107"/>
    </row>
    <row r="36" spans="1:28" ht="21" customHeight="1" x14ac:dyDescent="0.15">
      <c r="A36" s="45">
        <v>65531173</v>
      </c>
      <c r="B36" s="45" t="s">
        <v>306</v>
      </c>
      <c r="C36" s="48">
        <v>1</v>
      </c>
      <c r="D36" s="48" t="s">
        <v>128</v>
      </c>
      <c r="E36" s="226" t="s">
        <v>329</v>
      </c>
      <c r="F36" s="226" t="s">
        <v>341</v>
      </c>
      <c r="G36" s="61" t="str">
        <f t="shared" si="170"/>
        <v>[effect:freq_turn, target:myself, turn:-1, val:1, animation:enemy_freq_turn]</v>
      </c>
      <c r="H36" s="61">
        <f t="shared" si="53"/>
        <v>9</v>
      </c>
      <c r="I36" s="61">
        <f t="shared" si="171"/>
        <v>18</v>
      </c>
      <c r="J36" s="61">
        <f t="shared" si="172"/>
        <v>27</v>
      </c>
      <c r="K36" s="61">
        <f t="shared" si="173"/>
        <v>33</v>
      </c>
      <c r="L36" s="61" t="str">
        <f>IFERROR(VLOOKUP(MID(G36,J36,K36-J36),[5]skilldef!$C:$D,2,FALSE),"-") &amp; " / " &amp; IFERROR(VLOOKUP(MID(G36,H36,I36-H36),[5]skilldef!$A:$B,2,FALSE),"-")</f>
        <v>自分自身に / 攻撃頻度がUP</v>
      </c>
      <c r="M36" s="61" t="str">
        <f t="shared" si="174"/>
        <v>none</v>
      </c>
      <c r="N36" s="46" t="str">
        <f t="shared" si="175"/>
        <v>none</v>
      </c>
      <c r="O36" s="61" t="e">
        <f t="shared" si="58"/>
        <v>#VALUE!</v>
      </c>
      <c r="P36" s="61">
        <f t="shared" si="176"/>
        <v>4</v>
      </c>
      <c r="Q36" s="61" t="e">
        <f t="shared" si="177"/>
        <v>#VALUE!</v>
      </c>
      <c r="R36" s="61" t="e">
        <f t="shared" si="178"/>
        <v>#VALUE!</v>
      </c>
      <c r="S36" s="61" t="str">
        <f>IFERROR(VLOOKUP(MID(N36,Q36,R36-Q36),[5]skilldef!$C:$D,2,FALSE),"-") &amp; " / " &amp; IFERROR(VLOOKUP(MID(N36,O36,P36-O36),[5]skilldef!$A:$B,2,FALSE),"-")</f>
        <v>- / -</v>
      </c>
      <c r="T36" s="46" t="str">
        <f t="shared" si="179"/>
        <v>none</v>
      </c>
      <c r="U36" s="61" t="e">
        <f t="shared" si="63"/>
        <v>#VALUE!</v>
      </c>
      <c r="V36" s="61">
        <f t="shared" si="180"/>
        <v>4</v>
      </c>
      <c r="W36" s="61" t="e">
        <f t="shared" si="181"/>
        <v>#VALUE!</v>
      </c>
      <c r="X36" s="61" t="e">
        <f t="shared" si="182"/>
        <v>#VALUE!</v>
      </c>
      <c r="Y36" s="61" t="str">
        <f>IFERROR(VLOOKUP(MID(T36,W36,X36-W36),[5]skilldef!$C:$D,2,FALSE),"-") &amp; " / " &amp; IFERROR(VLOOKUP(MID(T36,U36,V36-U36),[5]skilldef!$A:$B,2,FALSE),"-")</f>
        <v>- / -</v>
      </c>
      <c r="Z36" s="48"/>
      <c r="AA36" s="50"/>
      <c r="AB36" s="10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38"/>
  <sheetViews>
    <sheetView showGridLines="0" workbookViewId="0">
      <pane ySplit="1" topLeftCell="A2" activePane="bottomLeft" state="frozenSplit"/>
      <selection pane="bottomLeft" activeCell="H33" sqref="H33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9.33203125" style="37" customWidth="1"/>
    <col min="12" max="12" width="18.6640625" style="43" customWidth="1"/>
    <col min="13" max="13" width="53" style="43" customWidth="1"/>
    <col min="14" max="16384" width="12.83203125" style="43"/>
  </cols>
  <sheetData>
    <row r="1" spans="1:13" ht="21" customHeight="1" thickBot="1" x14ac:dyDescent="0.2">
      <c r="A1" s="51" t="s">
        <v>84</v>
      </c>
      <c r="B1" s="51" t="s">
        <v>85</v>
      </c>
      <c r="C1" s="51" t="s">
        <v>86</v>
      </c>
      <c r="D1" s="51" t="s">
        <v>87</v>
      </c>
      <c r="E1" s="51" t="s">
        <v>70</v>
      </c>
      <c r="F1" s="51" t="s">
        <v>71</v>
      </c>
      <c r="G1" s="51" t="s">
        <v>72</v>
      </c>
      <c r="H1" s="51" t="s">
        <v>73</v>
      </c>
      <c r="I1" s="51" t="s">
        <v>74</v>
      </c>
      <c r="J1" s="51" t="s">
        <v>75</v>
      </c>
      <c r="K1" s="52" t="s">
        <v>88</v>
      </c>
    </row>
    <row r="2" spans="1:13" ht="21" customHeight="1" x14ac:dyDescent="0.15">
      <c r="A2" s="200">
        <v>65531001</v>
      </c>
      <c r="B2" s="201">
        <v>0</v>
      </c>
      <c r="C2" s="201">
        <v>100</v>
      </c>
      <c r="D2" s="201">
        <v>50</v>
      </c>
      <c r="E2" s="201">
        <v>80</v>
      </c>
      <c r="F2" s="201" t="s">
        <v>90</v>
      </c>
      <c r="G2" s="201" t="s">
        <v>89</v>
      </c>
      <c r="H2" s="201">
        <v>2</v>
      </c>
      <c r="I2" s="201" t="s">
        <v>90</v>
      </c>
      <c r="J2" s="202">
        <f t="shared" ref="J2" si="0">D2</f>
        <v>50</v>
      </c>
      <c r="K2" s="203"/>
      <c r="L2" s="204" t="s">
        <v>260</v>
      </c>
      <c r="M2" s="205" t="s">
        <v>261</v>
      </c>
    </row>
    <row r="3" spans="1:13" ht="21" customHeight="1" x14ac:dyDescent="0.15">
      <c r="A3" s="206">
        <v>65531002</v>
      </c>
      <c r="B3" s="45">
        <v>1</v>
      </c>
      <c r="C3" s="45">
        <v>100</v>
      </c>
      <c r="D3" s="45">
        <v>100</v>
      </c>
      <c r="E3" s="45" t="s">
        <v>89</v>
      </c>
      <c r="F3" s="45" t="s">
        <v>89</v>
      </c>
      <c r="G3" s="45">
        <v>1</v>
      </c>
      <c r="H3" s="45" t="s">
        <v>89</v>
      </c>
      <c r="I3" s="45" t="s">
        <v>89</v>
      </c>
      <c r="J3" s="46">
        <f t="shared" ref="J3:J4" si="1">D3</f>
        <v>100</v>
      </c>
      <c r="K3" s="189"/>
      <c r="L3" s="107" t="s">
        <v>262</v>
      </c>
      <c r="M3" s="207" t="s">
        <v>266</v>
      </c>
    </row>
    <row r="4" spans="1:13" ht="21" customHeight="1" x14ac:dyDescent="0.15">
      <c r="A4" s="206">
        <v>65531003</v>
      </c>
      <c r="B4" s="112">
        <v>0</v>
      </c>
      <c r="C4" s="112">
        <v>100</v>
      </c>
      <c r="D4" s="112">
        <v>30</v>
      </c>
      <c r="E4" s="112" t="s">
        <v>89</v>
      </c>
      <c r="F4" s="112" t="s">
        <v>89</v>
      </c>
      <c r="G4" s="112" t="s">
        <v>89</v>
      </c>
      <c r="H4" s="112" t="s">
        <v>89</v>
      </c>
      <c r="I4" s="112" t="s">
        <v>89</v>
      </c>
      <c r="J4" s="46">
        <f t="shared" si="1"/>
        <v>30</v>
      </c>
      <c r="K4" s="189"/>
      <c r="L4" s="113" t="s">
        <v>269</v>
      </c>
      <c r="M4" s="208" t="s">
        <v>264</v>
      </c>
    </row>
    <row r="5" spans="1:13" ht="21" customHeight="1" x14ac:dyDescent="0.15">
      <c r="A5" s="206">
        <v>65531004</v>
      </c>
      <c r="B5" s="109">
        <v>1</v>
      </c>
      <c r="C5" s="109">
        <v>100</v>
      </c>
      <c r="D5" s="109">
        <v>100</v>
      </c>
      <c r="E5" s="109" t="s">
        <v>89</v>
      </c>
      <c r="F5" s="109" t="s">
        <v>89</v>
      </c>
      <c r="G5" s="109">
        <v>1</v>
      </c>
      <c r="H5" s="109" t="s">
        <v>89</v>
      </c>
      <c r="I5" s="109" t="s">
        <v>89</v>
      </c>
      <c r="J5" s="46">
        <f t="shared" ref="J5:J13" si="2">D5</f>
        <v>100</v>
      </c>
      <c r="K5" s="189"/>
      <c r="L5" s="114" t="s">
        <v>271</v>
      </c>
      <c r="M5" s="209" t="s">
        <v>265</v>
      </c>
    </row>
    <row r="6" spans="1:13" ht="21" customHeight="1" x14ac:dyDescent="0.15">
      <c r="A6" s="206">
        <v>65531005</v>
      </c>
      <c r="B6" s="109">
        <v>0</v>
      </c>
      <c r="C6" s="109">
        <v>90</v>
      </c>
      <c r="D6" s="109">
        <v>30</v>
      </c>
      <c r="E6" s="109" t="s">
        <v>89</v>
      </c>
      <c r="F6" s="109" t="s">
        <v>89</v>
      </c>
      <c r="G6" s="109" t="s">
        <v>89</v>
      </c>
      <c r="H6" s="109" t="s">
        <v>89</v>
      </c>
      <c r="I6" s="109" t="s">
        <v>89</v>
      </c>
      <c r="J6" s="46">
        <f t="shared" ref="J6" si="3">D6</f>
        <v>30</v>
      </c>
      <c r="K6" s="189"/>
      <c r="L6" s="114" t="s">
        <v>271</v>
      </c>
      <c r="M6" s="209" t="s">
        <v>287</v>
      </c>
    </row>
    <row r="7" spans="1:13" ht="21" customHeight="1" x14ac:dyDescent="0.15">
      <c r="A7" s="206">
        <v>65531006</v>
      </c>
      <c r="B7" s="110">
        <v>1</v>
      </c>
      <c r="C7" s="110">
        <v>100</v>
      </c>
      <c r="D7" s="110">
        <v>100</v>
      </c>
      <c r="E7" s="110" t="s">
        <v>89</v>
      </c>
      <c r="F7" s="110" t="s">
        <v>89</v>
      </c>
      <c r="G7" s="110">
        <v>1</v>
      </c>
      <c r="H7" s="110" t="s">
        <v>89</v>
      </c>
      <c r="I7" s="110" t="s">
        <v>89</v>
      </c>
      <c r="J7" s="46">
        <f t="shared" si="2"/>
        <v>100</v>
      </c>
      <c r="K7" s="189"/>
      <c r="L7" s="116" t="s">
        <v>263</v>
      </c>
      <c r="M7" s="210" t="s">
        <v>267</v>
      </c>
    </row>
    <row r="8" spans="1:13" ht="21" customHeight="1" x14ac:dyDescent="0.15">
      <c r="A8" s="206">
        <v>65531007</v>
      </c>
      <c r="B8" s="110">
        <v>0</v>
      </c>
      <c r="C8" s="110">
        <v>90</v>
      </c>
      <c r="D8" s="110">
        <v>20</v>
      </c>
      <c r="E8" s="110" t="s">
        <v>89</v>
      </c>
      <c r="F8" s="110" t="s">
        <v>89</v>
      </c>
      <c r="G8" s="110" t="s">
        <v>89</v>
      </c>
      <c r="H8" s="110" t="s">
        <v>89</v>
      </c>
      <c r="I8" s="110" t="s">
        <v>89</v>
      </c>
      <c r="J8" s="46">
        <f t="shared" si="2"/>
        <v>20</v>
      </c>
      <c r="K8" s="189"/>
      <c r="L8" s="116" t="s">
        <v>270</v>
      </c>
      <c r="M8" s="210" t="s">
        <v>268</v>
      </c>
    </row>
    <row r="9" spans="1:13" ht="21" customHeight="1" x14ac:dyDescent="0.15">
      <c r="A9" s="206">
        <v>65531008</v>
      </c>
      <c r="B9" s="110">
        <v>0</v>
      </c>
      <c r="C9" s="110">
        <v>80</v>
      </c>
      <c r="D9" s="110">
        <v>40</v>
      </c>
      <c r="E9" s="110" t="s">
        <v>89</v>
      </c>
      <c r="F9" s="110" t="s">
        <v>89</v>
      </c>
      <c r="G9" s="110" t="s">
        <v>89</v>
      </c>
      <c r="H9" s="110" t="s">
        <v>89</v>
      </c>
      <c r="I9" s="110" t="s">
        <v>89</v>
      </c>
      <c r="J9" s="46">
        <f t="shared" si="2"/>
        <v>40</v>
      </c>
      <c r="K9" s="189"/>
      <c r="L9" s="116" t="s">
        <v>270</v>
      </c>
      <c r="M9" s="210" t="s">
        <v>288</v>
      </c>
    </row>
    <row r="10" spans="1:13" ht="21" customHeight="1" x14ac:dyDescent="0.15">
      <c r="A10" s="206">
        <v>65531009</v>
      </c>
      <c r="B10" s="108">
        <v>0</v>
      </c>
      <c r="C10" s="108">
        <v>100</v>
      </c>
      <c r="D10" s="108">
        <v>100</v>
      </c>
      <c r="E10" s="108">
        <v>50</v>
      </c>
      <c r="F10" s="108" t="s">
        <v>89</v>
      </c>
      <c r="G10" s="108">
        <v>1</v>
      </c>
      <c r="H10" s="108" t="s">
        <v>89</v>
      </c>
      <c r="I10" s="108" t="s">
        <v>89</v>
      </c>
      <c r="J10" s="46">
        <f>D10</f>
        <v>100</v>
      </c>
      <c r="K10" s="189"/>
      <c r="L10" s="115" t="s">
        <v>272</v>
      </c>
      <c r="M10" s="211" t="s">
        <v>275</v>
      </c>
    </row>
    <row r="11" spans="1:13" ht="21" customHeight="1" x14ac:dyDescent="0.15">
      <c r="A11" s="206">
        <v>65531010</v>
      </c>
      <c r="B11" s="108">
        <v>0</v>
      </c>
      <c r="C11" s="108">
        <v>90</v>
      </c>
      <c r="D11" s="108">
        <v>30</v>
      </c>
      <c r="E11" s="108" t="s">
        <v>89</v>
      </c>
      <c r="F11" s="108" t="s">
        <v>89</v>
      </c>
      <c r="G11" s="108" t="s">
        <v>89</v>
      </c>
      <c r="H11" s="108" t="s">
        <v>89</v>
      </c>
      <c r="I11" s="108" t="s">
        <v>89</v>
      </c>
      <c r="J11" s="46">
        <f t="shared" si="2"/>
        <v>30</v>
      </c>
      <c r="K11" s="189"/>
      <c r="L11" s="115" t="s">
        <v>272</v>
      </c>
      <c r="M11" s="211" t="s">
        <v>273</v>
      </c>
    </row>
    <row r="12" spans="1:13" ht="21" customHeight="1" x14ac:dyDescent="0.15">
      <c r="A12" s="206">
        <v>65531011</v>
      </c>
      <c r="B12" s="108">
        <v>0</v>
      </c>
      <c r="C12" s="108">
        <v>80</v>
      </c>
      <c r="D12" s="108">
        <v>30</v>
      </c>
      <c r="E12" s="108" t="s">
        <v>89</v>
      </c>
      <c r="F12" s="108" t="s">
        <v>89</v>
      </c>
      <c r="G12" s="108" t="s">
        <v>89</v>
      </c>
      <c r="H12" s="108" t="s">
        <v>89</v>
      </c>
      <c r="I12" s="108" t="s">
        <v>89</v>
      </c>
      <c r="J12" s="46">
        <f t="shared" si="2"/>
        <v>30</v>
      </c>
      <c r="K12" s="189"/>
      <c r="L12" s="115" t="s">
        <v>272</v>
      </c>
      <c r="M12" s="211" t="s">
        <v>274</v>
      </c>
    </row>
    <row r="13" spans="1:13" ht="21" customHeight="1" x14ac:dyDescent="0.15">
      <c r="A13" s="206">
        <v>65531012</v>
      </c>
      <c r="B13" s="111">
        <v>1</v>
      </c>
      <c r="C13" s="111">
        <v>100</v>
      </c>
      <c r="D13" s="111">
        <v>100</v>
      </c>
      <c r="E13" s="111" t="s">
        <v>286</v>
      </c>
      <c r="F13" s="111" t="s">
        <v>286</v>
      </c>
      <c r="G13" s="111">
        <v>1</v>
      </c>
      <c r="H13" s="111" t="s">
        <v>286</v>
      </c>
      <c r="I13" s="111" t="s">
        <v>286</v>
      </c>
      <c r="J13" s="46">
        <f t="shared" si="2"/>
        <v>100</v>
      </c>
      <c r="K13" s="189"/>
      <c r="L13" s="117" t="s">
        <v>276</v>
      </c>
      <c r="M13" s="212" t="s">
        <v>267</v>
      </c>
    </row>
    <row r="14" spans="1:13" ht="21" customHeight="1" thickBot="1" x14ac:dyDescent="0.2">
      <c r="A14" s="213">
        <v>65531013</v>
      </c>
      <c r="B14" s="214">
        <v>0</v>
      </c>
      <c r="C14" s="214">
        <v>90</v>
      </c>
      <c r="D14" s="214">
        <v>35</v>
      </c>
      <c r="E14" s="214" t="s">
        <v>89</v>
      </c>
      <c r="F14" s="214" t="s">
        <v>89</v>
      </c>
      <c r="G14" s="214" t="s">
        <v>89</v>
      </c>
      <c r="H14" s="214" t="s">
        <v>89</v>
      </c>
      <c r="I14" s="214" t="s">
        <v>89</v>
      </c>
      <c r="J14" s="193">
        <f t="shared" ref="J14:J34" si="4">D14</f>
        <v>35</v>
      </c>
      <c r="K14" s="190"/>
      <c r="L14" s="197" t="s">
        <v>276</v>
      </c>
      <c r="M14" s="215" t="s">
        <v>283</v>
      </c>
    </row>
    <row r="15" spans="1:13" ht="21" customHeight="1" x14ac:dyDescent="0.15">
      <c r="A15" s="45">
        <v>65531100</v>
      </c>
      <c r="B15" s="45">
        <v>0</v>
      </c>
      <c r="C15" s="45">
        <v>100</v>
      </c>
      <c r="D15" s="45">
        <v>50</v>
      </c>
      <c r="E15" s="45">
        <v>70</v>
      </c>
      <c r="F15" s="45" t="s">
        <v>53</v>
      </c>
      <c r="G15" s="45" t="s">
        <v>53</v>
      </c>
      <c r="H15" s="45" t="s">
        <v>53</v>
      </c>
      <c r="I15" s="45" t="s">
        <v>53</v>
      </c>
      <c r="J15" s="46">
        <f t="shared" si="4"/>
        <v>50</v>
      </c>
      <c r="L15" s="49" t="s">
        <v>318</v>
      </c>
      <c r="M15" s="49" t="s">
        <v>334</v>
      </c>
    </row>
    <row r="16" spans="1:13" ht="21" customHeight="1" x14ac:dyDescent="0.15">
      <c r="A16" s="45">
        <v>65531110</v>
      </c>
      <c r="B16" s="45">
        <v>0</v>
      </c>
      <c r="C16" s="45">
        <v>100</v>
      </c>
      <c r="D16" s="45">
        <v>50</v>
      </c>
      <c r="E16" s="45" t="s">
        <v>53</v>
      </c>
      <c r="F16" s="45" t="s">
        <v>53</v>
      </c>
      <c r="G16" s="45" t="s">
        <v>53</v>
      </c>
      <c r="H16" s="45" t="s">
        <v>53</v>
      </c>
      <c r="I16" s="45" t="s">
        <v>53</v>
      </c>
      <c r="J16" s="46">
        <f t="shared" si="4"/>
        <v>50</v>
      </c>
      <c r="L16" s="49" t="s">
        <v>332</v>
      </c>
      <c r="M16" s="49" t="s">
        <v>300</v>
      </c>
    </row>
    <row r="17" spans="1:13" ht="21" customHeight="1" x14ac:dyDescent="0.15">
      <c r="A17" s="45">
        <v>65531120</v>
      </c>
      <c r="B17" s="216">
        <v>0</v>
      </c>
      <c r="C17" s="216">
        <v>80</v>
      </c>
      <c r="D17" s="216">
        <v>80</v>
      </c>
      <c r="E17" s="216" t="s">
        <v>53</v>
      </c>
      <c r="F17" s="216" t="s">
        <v>53</v>
      </c>
      <c r="G17" s="216" t="s">
        <v>53</v>
      </c>
      <c r="H17" s="216" t="s">
        <v>53</v>
      </c>
      <c r="I17" s="216" t="s">
        <v>53</v>
      </c>
      <c r="J17" s="46">
        <f t="shared" si="4"/>
        <v>80</v>
      </c>
      <c r="L17" s="223" t="s">
        <v>345</v>
      </c>
      <c r="M17" s="223" t="s">
        <v>319</v>
      </c>
    </row>
    <row r="18" spans="1:13" ht="21" customHeight="1" x14ac:dyDescent="0.15">
      <c r="A18" s="45">
        <v>65531121</v>
      </c>
      <c r="B18" s="216">
        <v>0</v>
      </c>
      <c r="C18" s="216">
        <v>90</v>
      </c>
      <c r="D18" s="216">
        <v>80</v>
      </c>
      <c r="E18" s="216" t="s">
        <v>53</v>
      </c>
      <c r="F18" s="216" t="s">
        <v>53</v>
      </c>
      <c r="G18" s="216" t="s">
        <v>53</v>
      </c>
      <c r="H18" s="216" t="s">
        <v>53</v>
      </c>
      <c r="I18" s="216" t="s">
        <v>53</v>
      </c>
      <c r="J18" s="46">
        <f t="shared" si="4"/>
        <v>80</v>
      </c>
      <c r="L18" s="223" t="s">
        <v>344</v>
      </c>
      <c r="M18" s="223" t="s">
        <v>335</v>
      </c>
    </row>
    <row r="19" spans="1:13" ht="21" customHeight="1" x14ac:dyDescent="0.15">
      <c r="A19" s="45">
        <v>65531122</v>
      </c>
      <c r="B19" s="216">
        <v>0</v>
      </c>
      <c r="C19" s="216">
        <v>100</v>
      </c>
      <c r="D19" s="216">
        <v>50</v>
      </c>
      <c r="E19" s="216" t="s">
        <v>53</v>
      </c>
      <c r="F19" s="216" t="s">
        <v>53</v>
      </c>
      <c r="G19" s="216" t="s">
        <v>53</v>
      </c>
      <c r="H19" s="216" t="s">
        <v>53</v>
      </c>
      <c r="I19" s="216" t="s">
        <v>53</v>
      </c>
      <c r="J19" s="46">
        <f t="shared" si="4"/>
        <v>50</v>
      </c>
      <c r="L19" s="223" t="s">
        <v>343</v>
      </c>
      <c r="M19" s="223" t="s">
        <v>320</v>
      </c>
    </row>
    <row r="20" spans="1:13" ht="21" customHeight="1" x14ac:dyDescent="0.15">
      <c r="A20" s="45">
        <v>65531123</v>
      </c>
      <c r="B20" s="218">
        <v>0</v>
      </c>
      <c r="C20" s="218">
        <v>100</v>
      </c>
      <c r="D20" s="218">
        <v>50</v>
      </c>
      <c r="E20" s="218" t="s">
        <v>53</v>
      </c>
      <c r="F20" s="218" t="s">
        <v>53</v>
      </c>
      <c r="G20" s="218" t="s">
        <v>53</v>
      </c>
      <c r="H20" s="218" t="s">
        <v>53</v>
      </c>
      <c r="I20" s="218" t="s">
        <v>53</v>
      </c>
      <c r="J20" s="46">
        <f t="shared" si="4"/>
        <v>50</v>
      </c>
      <c r="L20" s="221" t="s">
        <v>313</v>
      </c>
      <c r="M20" s="221" t="s">
        <v>321</v>
      </c>
    </row>
    <row r="21" spans="1:13" ht="21" customHeight="1" x14ac:dyDescent="0.15">
      <c r="A21" s="45">
        <v>65531130</v>
      </c>
      <c r="B21" s="217">
        <v>1</v>
      </c>
      <c r="C21" s="217">
        <v>100</v>
      </c>
      <c r="D21" s="217">
        <v>100</v>
      </c>
      <c r="E21" s="217" t="s">
        <v>53</v>
      </c>
      <c r="F21" s="217" t="s">
        <v>53</v>
      </c>
      <c r="G21" s="217">
        <v>1</v>
      </c>
      <c r="H21" s="217" t="s">
        <v>53</v>
      </c>
      <c r="I21" s="217" t="s">
        <v>53</v>
      </c>
      <c r="J21" s="46">
        <f t="shared" si="4"/>
        <v>100</v>
      </c>
      <c r="L21" s="222" t="s">
        <v>346</v>
      </c>
      <c r="M21" s="222" t="s">
        <v>322</v>
      </c>
    </row>
    <row r="22" spans="1:13" ht="21" customHeight="1" x14ac:dyDescent="0.15">
      <c r="A22" s="45">
        <v>65531131</v>
      </c>
      <c r="B22" s="217">
        <v>0</v>
      </c>
      <c r="C22" s="217">
        <v>90</v>
      </c>
      <c r="D22" s="217">
        <v>50</v>
      </c>
      <c r="E22" s="217" t="s">
        <v>53</v>
      </c>
      <c r="F22" s="217" t="s">
        <v>53</v>
      </c>
      <c r="G22" s="217" t="s">
        <v>53</v>
      </c>
      <c r="H22" s="217" t="s">
        <v>53</v>
      </c>
      <c r="I22" s="217" t="s">
        <v>53</v>
      </c>
      <c r="J22" s="46">
        <f t="shared" si="4"/>
        <v>50</v>
      </c>
      <c r="L22" s="222" t="s">
        <v>347</v>
      </c>
      <c r="M22" s="222" t="s">
        <v>300</v>
      </c>
    </row>
    <row r="23" spans="1:13" ht="21" customHeight="1" x14ac:dyDescent="0.15">
      <c r="A23" s="45">
        <v>65531132</v>
      </c>
      <c r="B23" s="217">
        <v>0</v>
      </c>
      <c r="C23" s="217">
        <v>80</v>
      </c>
      <c r="D23" s="217">
        <v>100</v>
      </c>
      <c r="E23" s="217" t="s">
        <v>53</v>
      </c>
      <c r="F23" s="217" t="s">
        <v>53</v>
      </c>
      <c r="G23" s="217" t="s">
        <v>53</v>
      </c>
      <c r="H23" s="217" t="s">
        <v>53</v>
      </c>
      <c r="I23" s="217" t="s">
        <v>53</v>
      </c>
      <c r="J23" s="46">
        <f t="shared" si="4"/>
        <v>100</v>
      </c>
      <c r="L23" s="222" t="s">
        <v>348</v>
      </c>
      <c r="M23" s="222" t="s">
        <v>308</v>
      </c>
    </row>
    <row r="24" spans="1:13" ht="21" customHeight="1" x14ac:dyDescent="0.15">
      <c r="A24" s="45">
        <v>65531133</v>
      </c>
      <c r="B24" s="219">
        <v>1</v>
      </c>
      <c r="C24" s="219">
        <v>100</v>
      </c>
      <c r="D24" s="219">
        <v>100</v>
      </c>
      <c r="E24" s="219" t="s">
        <v>53</v>
      </c>
      <c r="F24" s="219" t="s">
        <v>53</v>
      </c>
      <c r="G24" s="219">
        <v>1</v>
      </c>
      <c r="H24" s="219" t="s">
        <v>53</v>
      </c>
      <c r="I24" s="219" t="s">
        <v>53</v>
      </c>
      <c r="J24" s="46">
        <f t="shared" ref="J24" si="5">D24</f>
        <v>100</v>
      </c>
      <c r="L24" s="220" t="s">
        <v>314</v>
      </c>
      <c r="M24" s="220" t="s">
        <v>323</v>
      </c>
    </row>
    <row r="25" spans="1:13" ht="21" customHeight="1" x14ac:dyDescent="0.15">
      <c r="A25" s="45">
        <v>65531134</v>
      </c>
      <c r="B25" s="219">
        <v>0</v>
      </c>
      <c r="C25" s="219">
        <v>90</v>
      </c>
      <c r="D25" s="219">
        <v>50</v>
      </c>
      <c r="E25" s="219" t="s">
        <v>53</v>
      </c>
      <c r="F25" s="219" t="s">
        <v>53</v>
      </c>
      <c r="G25" s="219" t="s">
        <v>53</v>
      </c>
      <c r="H25" s="219" t="s">
        <v>53</v>
      </c>
      <c r="I25" s="219" t="s">
        <v>53</v>
      </c>
      <c r="J25" s="46">
        <f t="shared" ref="J25" si="6">D25</f>
        <v>50</v>
      </c>
      <c r="L25" s="220" t="s">
        <v>314</v>
      </c>
      <c r="M25" s="220" t="s">
        <v>308</v>
      </c>
    </row>
    <row r="26" spans="1:13" ht="21" customHeight="1" x14ac:dyDescent="0.15">
      <c r="A26" s="45">
        <v>65531135</v>
      </c>
      <c r="B26" s="219">
        <v>0</v>
      </c>
      <c r="C26" s="219">
        <v>80</v>
      </c>
      <c r="D26" s="219">
        <v>100</v>
      </c>
      <c r="E26" s="219" t="s">
        <v>53</v>
      </c>
      <c r="F26" s="219" t="s">
        <v>53</v>
      </c>
      <c r="G26" s="219" t="s">
        <v>53</v>
      </c>
      <c r="H26" s="219" t="s">
        <v>53</v>
      </c>
      <c r="I26" s="219" t="s">
        <v>53</v>
      </c>
      <c r="J26" s="46">
        <f t="shared" ref="J26" si="7">D26</f>
        <v>100</v>
      </c>
      <c r="L26" s="220" t="s">
        <v>314</v>
      </c>
      <c r="M26" s="220" t="s">
        <v>300</v>
      </c>
    </row>
    <row r="27" spans="1:13" ht="21" customHeight="1" x14ac:dyDescent="0.15">
      <c r="A27" s="45">
        <v>65531140</v>
      </c>
      <c r="B27" s="45">
        <v>1</v>
      </c>
      <c r="C27" s="45">
        <v>100</v>
      </c>
      <c r="D27" s="45">
        <v>100</v>
      </c>
      <c r="E27" s="45" t="s">
        <v>53</v>
      </c>
      <c r="F27" s="45" t="s">
        <v>53</v>
      </c>
      <c r="G27" s="45">
        <v>1</v>
      </c>
      <c r="H27" s="45" t="s">
        <v>53</v>
      </c>
      <c r="I27" s="45" t="s">
        <v>53</v>
      </c>
      <c r="J27" s="46">
        <f t="shared" si="4"/>
        <v>100</v>
      </c>
      <c r="L27" s="49" t="s">
        <v>333</v>
      </c>
      <c r="M27" s="49" t="s">
        <v>337</v>
      </c>
    </row>
    <row r="28" spans="1:13" ht="21" customHeight="1" x14ac:dyDescent="0.15">
      <c r="A28" s="45">
        <v>65531141</v>
      </c>
      <c r="B28" s="45">
        <v>0</v>
      </c>
      <c r="C28" s="45">
        <v>90</v>
      </c>
      <c r="D28" s="45">
        <v>90</v>
      </c>
      <c r="E28" s="45" t="s">
        <v>53</v>
      </c>
      <c r="F28" s="45" t="s">
        <v>53</v>
      </c>
      <c r="G28" s="45">
        <v>1</v>
      </c>
      <c r="H28" s="45" t="s">
        <v>53</v>
      </c>
      <c r="I28" s="45" t="s">
        <v>53</v>
      </c>
      <c r="J28" s="46">
        <f t="shared" si="4"/>
        <v>90</v>
      </c>
      <c r="L28" s="49" t="s">
        <v>349</v>
      </c>
      <c r="M28" s="49" t="s">
        <v>336</v>
      </c>
    </row>
    <row r="29" spans="1:13" ht="21" customHeight="1" x14ac:dyDescent="0.15">
      <c r="A29" s="45">
        <v>65531150</v>
      </c>
      <c r="B29" s="45">
        <v>0</v>
      </c>
      <c r="C29" s="45">
        <v>100</v>
      </c>
      <c r="D29" s="45">
        <v>80</v>
      </c>
      <c r="E29" s="45" t="s">
        <v>53</v>
      </c>
      <c r="F29" s="45" t="s">
        <v>53</v>
      </c>
      <c r="G29" s="45" t="s">
        <v>53</v>
      </c>
      <c r="H29" s="45" t="s">
        <v>53</v>
      </c>
      <c r="I29" s="45" t="s">
        <v>53</v>
      </c>
      <c r="J29" s="46">
        <f t="shared" si="4"/>
        <v>80</v>
      </c>
      <c r="L29" s="49" t="s">
        <v>299</v>
      </c>
      <c r="M29" s="49" t="s">
        <v>300</v>
      </c>
    </row>
    <row r="30" spans="1:13" ht="21" customHeight="1" x14ac:dyDescent="0.15">
      <c r="A30" s="45">
        <v>65531160</v>
      </c>
      <c r="B30" s="109">
        <v>0</v>
      </c>
      <c r="C30" s="109">
        <v>100</v>
      </c>
      <c r="D30" s="109">
        <v>100</v>
      </c>
      <c r="E30" s="109" t="s">
        <v>53</v>
      </c>
      <c r="F30" s="109" t="s">
        <v>53</v>
      </c>
      <c r="G30" s="109">
        <v>1</v>
      </c>
      <c r="H30" s="109" t="s">
        <v>53</v>
      </c>
      <c r="I30" s="109" t="s">
        <v>53</v>
      </c>
      <c r="J30" s="46">
        <f t="shared" ref="J30" si="8">D30</f>
        <v>100</v>
      </c>
      <c r="L30" s="227" t="s">
        <v>326</v>
      </c>
      <c r="M30" s="227" t="s">
        <v>339</v>
      </c>
    </row>
    <row r="31" spans="1:13" ht="21" customHeight="1" x14ac:dyDescent="0.15">
      <c r="A31" s="45">
        <v>65531161</v>
      </c>
      <c r="B31" s="109">
        <v>0</v>
      </c>
      <c r="C31" s="109">
        <v>90</v>
      </c>
      <c r="D31" s="109">
        <v>50</v>
      </c>
      <c r="E31" s="109" t="s">
        <v>53</v>
      </c>
      <c r="F31" s="109" t="s">
        <v>53</v>
      </c>
      <c r="G31" s="109" t="s">
        <v>53</v>
      </c>
      <c r="H31" s="109">
        <v>4</v>
      </c>
      <c r="I31" s="109" t="s">
        <v>53</v>
      </c>
      <c r="J31" s="46">
        <f t="shared" si="4"/>
        <v>50</v>
      </c>
      <c r="L31" s="227" t="s">
        <v>326</v>
      </c>
      <c r="M31" s="227" t="s">
        <v>339</v>
      </c>
    </row>
    <row r="32" spans="1:13" ht="21" customHeight="1" x14ac:dyDescent="0.15">
      <c r="A32" s="45">
        <v>65531162</v>
      </c>
      <c r="B32" s="109">
        <v>0</v>
      </c>
      <c r="C32" s="109">
        <v>80</v>
      </c>
      <c r="D32" s="109">
        <v>70</v>
      </c>
      <c r="E32" s="109" t="s">
        <v>53</v>
      </c>
      <c r="F32" s="109" t="s">
        <v>53</v>
      </c>
      <c r="G32" s="109" t="s">
        <v>53</v>
      </c>
      <c r="H32" s="109" t="s">
        <v>53</v>
      </c>
      <c r="I32" s="109" t="s">
        <v>53</v>
      </c>
      <c r="J32" s="46">
        <f t="shared" si="4"/>
        <v>70</v>
      </c>
      <c r="L32" s="227" t="s">
        <v>325</v>
      </c>
      <c r="M32" s="227" t="s">
        <v>300</v>
      </c>
    </row>
    <row r="33" spans="1:13" ht="21" customHeight="1" x14ac:dyDescent="0.15">
      <c r="A33" s="45">
        <v>65531163</v>
      </c>
      <c r="B33" s="109">
        <v>0</v>
      </c>
      <c r="C33" s="109">
        <v>70</v>
      </c>
      <c r="D33" s="109">
        <v>80</v>
      </c>
      <c r="E33" s="109">
        <v>70</v>
      </c>
      <c r="F33" s="109" t="s">
        <v>53</v>
      </c>
      <c r="G33" s="109" t="s">
        <v>53</v>
      </c>
      <c r="H33" s="109">
        <v>3</v>
      </c>
      <c r="I33" s="109" t="s">
        <v>53</v>
      </c>
      <c r="J33" s="46">
        <f t="shared" si="4"/>
        <v>80</v>
      </c>
      <c r="L33" s="227" t="s">
        <v>327</v>
      </c>
      <c r="M33" s="227" t="s">
        <v>338</v>
      </c>
    </row>
    <row r="34" spans="1:13" ht="21" customHeight="1" x14ac:dyDescent="0.15">
      <c r="A34" s="45">
        <v>65531170</v>
      </c>
      <c r="B34" s="225">
        <v>0</v>
      </c>
      <c r="C34" s="225">
        <v>90</v>
      </c>
      <c r="D34" s="225">
        <v>50</v>
      </c>
      <c r="E34" s="225" t="s">
        <v>53</v>
      </c>
      <c r="F34" s="225" t="s">
        <v>53</v>
      </c>
      <c r="G34" s="225" t="s">
        <v>53</v>
      </c>
      <c r="H34" s="225" t="s">
        <v>53</v>
      </c>
      <c r="I34" s="225" t="s">
        <v>53</v>
      </c>
      <c r="J34" s="46">
        <f t="shared" si="4"/>
        <v>50</v>
      </c>
      <c r="L34" s="226" t="s">
        <v>330</v>
      </c>
      <c r="M34" s="226" t="s">
        <v>324</v>
      </c>
    </row>
    <row r="35" spans="1:13" ht="21" customHeight="1" x14ac:dyDescent="0.15">
      <c r="A35" s="45">
        <v>65531171</v>
      </c>
      <c r="B35" s="225">
        <v>0</v>
      </c>
      <c r="C35" s="225">
        <v>80</v>
      </c>
      <c r="D35" s="225">
        <v>50</v>
      </c>
      <c r="E35" s="225" t="s">
        <v>53</v>
      </c>
      <c r="F35" s="225" t="s">
        <v>53</v>
      </c>
      <c r="G35" s="225" t="s">
        <v>53</v>
      </c>
      <c r="H35" s="225" t="s">
        <v>53</v>
      </c>
      <c r="I35" s="225" t="s">
        <v>53</v>
      </c>
      <c r="J35" s="46">
        <f>D36</f>
        <v>80</v>
      </c>
      <c r="L35" s="226" t="s">
        <v>331</v>
      </c>
      <c r="M35" s="226" t="s">
        <v>300</v>
      </c>
    </row>
    <row r="36" spans="1:13" ht="21" customHeight="1" x14ac:dyDescent="0.15">
      <c r="A36" s="45">
        <v>65531172</v>
      </c>
      <c r="B36" s="225">
        <v>0</v>
      </c>
      <c r="C36" s="225">
        <v>70</v>
      </c>
      <c r="D36" s="225">
        <v>80</v>
      </c>
      <c r="E36" s="225" t="s">
        <v>53</v>
      </c>
      <c r="F36" s="225" t="s">
        <v>53</v>
      </c>
      <c r="G36" s="225" t="s">
        <v>53</v>
      </c>
      <c r="H36" s="225">
        <v>4</v>
      </c>
      <c r="I36" s="225" t="s">
        <v>53</v>
      </c>
      <c r="J36" s="46">
        <f>D37</f>
        <v>50</v>
      </c>
      <c r="L36" s="226" t="s">
        <v>328</v>
      </c>
      <c r="M36" s="226" t="s">
        <v>340</v>
      </c>
    </row>
    <row r="37" spans="1:13" ht="21" customHeight="1" x14ac:dyDescent="0.15">
      <c r="A37" s="45">
        <v>65531173</v>
      </c>
      <c r="B37" s="225">
        <v>0</v>
      </c>
      <c r="C37" s="225">
        <v>100</v>
      </c>
      <c r="D37" s="225">
        <v>50</v>
      </c>
      <c r="E37" s="225" t="s">
        <v>53</v>
      </c>
      <c r="F37" s="225" t="s">
        <v>53</v>
      </c>
      <c r="G37" s="225">
        <v>1</v>
      </c>
      <c r="H37" s="225" t="s">
        <v>53</v>
      </c>
      <c r="I37" s="225" t="s">
        <v>53</v>
      </c>
      <c r="J37" s="46">
        <f>D35</f>
        <v>50</v>
      </c>
      <c r="L37" s="226" t="s">
        <v>329</v>
      </c>
      <c r="M37" s="226" t="s">
        <v>341</v>
      </c>
    </row>
    <row r="38" spans="1:13" ht="21" customHeight="1" x14ac:dyDescent="0.15">
      <c r="B38" s="43"/>
      <c r="C38" s="43"/>
      <c r="D38" s="43"/>
      <c r="E38" s="43"/>
      <c r="F38" s="43"/>
      <c r="G38" s="43"/>
      <c r="H38" s="43"/>
      <c r="I38" s="43"/>
    </row>
  </sheetData>
  <autoFilter ref="A1:G1"/>
  <phoneticPr fontId="5"/>
  <conditionalFormatting sqref="K27:K29 K14:K23 K10:K12 K1:K5 K7:K8 K38:K1048576 K31:K36">
    <cfRule type="duplicateValues" dxfId="8" priority="9"/>
  </conditionalFormatting>
  <conditionalFormatting sqref="K6">
    <cfRule type="duplicateValues" dxfId="7" priority="8"/>
  </conditionalFormatting>
  <conditionalFormatting sqref="K9">
    <cfRule type="duplicateValues" dxfId="6" priority="7"/>
  </conditionalFormatting>
  <conditionalFormatting sqref="K13">
    <cfRule type="duplicateValues" dxfId="5" priority="6"/>
  </conditionalFormatting>
  <conditionalFormatting sqref="K25">
    <cfRule type="duplicateValues" dxfId="4" priority="5"/>
  </conditionalFormatting>
  <conditionalFormatting sqref="K24">
    <cfRule type="duplicateValues" dxfId="3" priority="4"/>
  </conditionalFormatting>
  <conditionalFormatting sqref="K26">
    <cfRule type="duplicateValues" dxfId="2" priority="3"/>
  </conditionalFormatting>
  <conditionalFormatting sqref="K30">
    <cfRule type="duplicateValues" dxfId="1" priority="2"/>
  </conditionalFormatting>
  <conditionalFormatting sqref="K3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E13" sqref="E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151</v>
      </c>
      <c r="B1" s="62" t="s">
        <v>152</v>
      </c>
      <c r="C1" s="63" t="s">
        <v>153</v>
      </c>
      <c r="D1" s="70" t="s">
        <v>154</v>
      </c>
      <c r="E1" s="64" t="s">
        <v>155</v>
      </c>
      <c r="F1" s="62" t="s">
        <v>156</v>
      </c>
      <c r="G1" s="62" t="s">
        <v>157</v>
      </c>
      <c r="H1" s="62" t="s">
        <v>158</v>
      </c>
      <c r="I1" s="62" t="s">
        <v>159</v>
      </c>
      <c r="J1" s="62" t="s">
        <v>160</v>
      </c>
      <c r="K1" s="62" t="s">
        <v>161</v>
      </c>
      <c r="L1" s="62" t="s">
        <v>162</v>
      </c>
      <c r="M1" s="62" t="s">
        <v>163</v>
      </c>
      <c r="N1" s="62" t="s">
        <v>164</v>
      </c>
      <c r="O1" s="62" t="s">
        <v>165</v>
      </c>
      <c r="P1" s="62" t="s">
        <v>166</v>
      </c>
      <c r="Q1" s="62" t="s">
        <v>167</v>
      </c>
      <c r="R1" s="62" t="s">
        <v>168</v>
      </c>
    </row>
    <row r="2" spans="1:18" x14ac:dyDescent="0.15">
      <c r="A2" s="55">
        <v>65531</v>
      </c>
      <c r="B2" s="55">
        <v>1</v>
      </c>
      <c r="C2" s="69" t="str">
        <f>A2&amp; "_"&amp;B2</f>
        <v>65531_1</v>
      </c>
      <c r="D2" s="10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169</v>
      </c>
      <c r="G2" s="55">
        <v>6500</v>
      </c>
      <c r="H2" s="55" t="s">
        <v>170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171</v>
      </c>
      <c r="R2" s="55" t="s">
        <v>172</v>
      </c>
    </row>
    <row r="3" spans="1:18" x14ac:dyDescent="0.15">
      <c r="A3" s="55">
        <v>65531</v>
      </c>
      <c r="B3" s="55">
        <v>1</v>
      </c>
      <c r="C3" s="69" t="str">
        <f>A3&amp; "_"&amp;B3</f>
        <v>65531_1</v>
      </c>
      <c r="D3" s="10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1</v>
      </c>
      <c r="F3" s="55" t="s">
        <v>291</v>
      </c>
      <c r="G3" s="55">
        <v>25</v>
      </c>
      <c r="H3" s="55" t="s">
        <v>170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100</v>
      </c>
      <c r="Q3" s="55" t="s">
        <v>171</v>
      </c>
      <c r="R3" s="55" t="s">
        <v>172</v>
      </c>
    </row>
    <row r="4" spans="1:18" x14ac:dyDescent="0.15">
      <c r="A4" s="55">
        <v>65531</v>
      </c>
      <c r="B4" s="55">
        <v>1</v>
      </c>
      <c r="C4" s="69" t="str">
        <f>A4&amp; "_"&amp;B4</f>
        <v>65531_1</v>
      </c>
      <c r="D4" s="10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1</v>
      </c>
      <c r="F4" s="55" t="s">
        <v>292</v>
      </c>
      <c r="G4" s="55">
        <v>1236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100</v>
      </c>
      <c r="Q4" s="55" t="s">
        <v>171</v>
      </c>
      <c r="R4" s="55" t="s">
        <v>172</v>
      </c>
    </row>
    <row r="5" spans="1:18" x14ac:dyDescent="0.15">
      <c r="A5" s="55">
        <v>65531</v>
      </c>
      <c r="B5" s="55">
        <v>1</v>
      </c>
      <c r="C5" s="69" t="str">
        <f>A5&amp; "_"&amp;B5</f>
        <v>65531_1</v>
      </c>
      <c r="D5" s="10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1</v>
      </c>
      <c r="F5" s="55" t="s">
        <v>169</v>
      </c>
      <c r="G5" s="55">
        <v>6500</v>
      </c>
      <c r="H5" s="55" t="s">
        <v>170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100</v>
      </c>
      <c r="Q5" s="55" t="s">
        <v>171</v>
      </c>
      <c r="R5" s="55" t="s">
        <v>172</v>
      </c>
    </row>
    <row r="6" spans="1:18" x14ac:dyDescent="0.15">
      <c r="A6" s="55">
        <v>65531</v>
      </c>
      <c r="B6" s="55">
        <v>1</v>
      </c>
      <c r="C6" s="69" t="str">
        <f t="shared" ref="C6:C11" si="0">A6&amp; "_"&amp;B6</f>
        <v>65531_1</v>
      </c>
      <c r="D6" s="10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1</v>
      </c>
      <c r="F6" s="55" t="s">
        <v>169</v>
      </c>
      <c r="G6" s="55">
        <v>6500</v>
      </c>
      <c r="H6" s="55" t="s">
        <v>170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100</v>
      </c>
      <c r="Q6" s="55" t="s">
        <v>171</v>
      </c>
      <c r="R6" s="55" t="s">
        <v>172</v>
      </c>
    </row>
    <row r="7" spans="1:18" x14ac:dyDescent="0.15">
      <c r="A7" s="55">
        <v>65531</v>
      </c>
      <c r="B7" s="55">
        <v>1</v>
      </c>
      <c r="C7" s="69" t="str">
        <f t="shared" si="0"/>
        <v>65531_1</v>
      </c>
      <c r="D7" s="10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1</v>
      </c>
      <c r="F7" s="55" t="s">
        <v>169</v>
      </c>
      <c r="G7" s="55">
        <v>6500</v>
      </c>
      <c r="H7" s="55" t="s">
        <v>170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100</v>
      </c>
      <c r="Q7" s="55" t="s">
        <v>171</v>
      </c>
      <c r="R7" s="55" t="s">
        <v>172</v>
      </c>
    </row>
    <row r="8" spans="1:18" x14ac:dyDescent="0.15">
      <c r="A8" s="55">
        <v>65531</v>
      </c>
      <c r="B8" s="55">
        <v>1</v>
      </c>
      <c r="C8" s="69" t="str">
        <f t="shared" si="0"/>
        <v>65531_1</v>
      </c>
      <c r="D8" s="10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1</v>
      </c>
      <c r="F8" s="55" t="s">
        <v>169</v>
      </c>
      <c r="G8" s="55">
        <v>6500</v>
      </c>
      <c r="H8" s="55" t="s">
        <v>170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100</v>
      </c>
      <c r="Q8" s="55" t="s">
        <v>171</v>
      </c>
      <c r="R8" s="55" t="s">
        <v>172</v>
      </c>
    </row>
    <row r="9" spans="1:18" x14ac:dyDescent="0.15">
      <c r="A9" s="55">
        <v>65531</v>
      </c>
      <c r="B9" s="55">
        <v>1</v>
      </c>
      <c r="C9" s="69" t="str">
        <f t="shared" si="0"/>
        <v>65531_1</v>
      </c>
      <c r="D9" s="10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1</v>
      </c>
      <c r="F9" s="55" t="s">
        <v>169</v>
      </c>
      <c r="G9" s="55">
        <v>6500</v>
      </c>
      <c r="H9" s="55" t="s">
        <v>170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100</v>
      </c>
      <c r="Q9" s="55" t="s">
        <v>171</v>
      </c>
      <c r="R9" s="55" t="s">
        <v>172</v>
      </c>
    </row>
    <row r="10" spans="1:18" x14ac:dyDescent="0.15">
      <c r="A10" s="55">
        <v>65531</v>
      </c>
      <c r="B10" s="55">
        <v>1</v>
      </c>
      <c r="C10" s="69" t="str">
        <f t="shared" si="0"/>
        <v>65531_1</v>
      </c>
      <c r="D10" s="10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1</v>
      </c>
      <c r="F10" s="55" t="s">
        <v>169</v>
      </c>
      <c r="G10" s="55">
        <v>6500</v>
      </c>
      <c r="H10" s="55" t="s">
        <v>170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100</v>
      </c>
      <c r="Q10" s="55" t="s">
        <v>171</v>
      </c>
      <c r="R10" s="55" t="s">
        <v>172</v>
      </c>
    </row>
    <row r="11" spans="1:18" x14ac:dyDescent="0.15">
      <c r="A11" s="55">
        <v>65531</v>
      </c>
      <c r="B11" s="55">
        <v>1</v>
      </c>
      <c r="C11" s="69" t="str">
        <f t="shared" si="0"/>
        <v>65531_1</v>
      </c>
      <c r="D11" s="10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5">
        <v>1</v>
      </c>
      <c r="F11" s="55" t="s">
        <v>169</v>
      </c>
      <c r="G11" s="55">
        <v>6500</v>
      </c>
      <c r="H11" s="55" t="s">
        <v>170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100</v>
      </c>
      <c r="Q11" s="55" t="s">
        <v>171</v>
      </c>
      <c r="R11" s="55" t="s">
        <v>172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6"/>
  <sheetViews>
    <sheetView showGridLines="0" workbookViewId="0">
      <pane ySplit="1" topLeftCell="A2" activePane="bottomLeft" state="frozen"/>
      <selection pane="bottomLeft" activeCell="H8" sqref="H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90" t="s">
        <v>196</v>
      </c>
      <c r="J1" s="77" t="s">
        <v>127</v>
      </c>
      <c r="K1" s="76" t="s">
        <v>188</v>
      </c>
      <c r="L1" s="91" t="s">
        <v>187</v>
      </c>
      <c r="M1" s="78" t="s">
        <v>197</v>
      </c>
    </row>
    <row r="2" spans="1:13" x14ac:dyDescent="0.15">
      <c r="A2" s="79" t="s">
        <v>202</v>
      </c>
      <c r="B2" s="80">
        <v>65531</v>
      </c>
      <c r="C2" s="81" t="str">
        <f ca="1">VLOOKUP($B2,OFFSET([2]quests!$A$1,0,0,COUNTA([2]quests!$A:$A),MATCH(C$1,[2]quests!$1:$1,0)-MATCH($B$1,[2]quests!$1:$1,0)+1),MATCH(C$1,[2]quests!$1:$1,0)-MATCH($B$1,[2]quests!$1:$1,0)+1,FALSE)</f>
        <v>【LB塚本】検証クエスト</v>
      </c>
      <c r="D2" s="81" t="str">
        <f ca="1">VLOOKUP($B2,OFFSET([2]quests!$A$1,0,0,COUNTA([2]quests!$A:$A),MATCH(D$1,[2]quests!$1:$1,0)-MATCH($B$1,[2]quests!$1:$1,0)+1),MATCH(D$1,[2]quests!$1:$1,0)-MATCH($B$1,[2]quests!$1:$1,0)+1,FALSE)</f>
        <v>検証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【LB塚本】検証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3">
        <v>0</v>
      </c>
      <c r="I2">
        <v>12</v>
      </c>
      <c r="J2" s="82" t="s">
        <v>199</v>
      </c>
      <c r="K2" s="92" t="str">
        <f>VLOOKUP(I2,[6]stage_hints!$A:$C,3,FALSE)</f>
        <v>ユニットのお気に入り登録</v>
      </c>
      <c r="L2" s="93" t="str">
        <f>VLOOKUP(I2,[6]stage_hints!$A:$D,4,FALSE)</f>
        <v>大事なユニットを誤って消さないように_x000D_フォルダから「お気に入り登録」しましょう</v>
      </c>
      <c r="M2" s="55" t="s">
        <v>213</v>
      </c>
    </row>
    <row r="3" spans="1:13" x14ac:dyDescent="0.15">
      <c r="A3" s="79" t="s">
        <v>202</v>
      </c>
      <c r="B3" s="80">
        <v>65531</v>
      </c>
      <c r="C3" s="81" t="str">
        <f ca="1">VLOOKUP($B3,OFFSET([2]quests!$A$1,0,0,COUNTA([2]quests!$A:$A),MATCH(C$1,[2]quests!$1:$1,0)-MATCH($B$1,[2]quests!$1:$1,0)+1),MATCH(C$1,[2]quests!$1:$1,0)-MATCH($B$1,[2]quests!$1:$1,0)+1,FALSE)</f>
        <v>【LB塚本】検証クエスト</v>
      </c>
      <c r="D3" s="81" t="str">
        <f ca="1">VLOOKUP($B3,OFFSET([2]quests!$A$1,0,0,COUNTA([2]quests!$A:$A),MATCH(D$1,[2]quests!$1:$1,0)-MATCH($B$1,[2]quests!$1:$1,0)+1),MATCH(D$1,[2]quests!$1:$1,0)-MATCH($B$1,[2]quests!$1:$1,0)+1,FALSE)</f>
        <v>検証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【LB塚本】検証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3">
        <v>0</v>
      </c>
      <c r="I3">
        <v>17</v>
      </c>
      <c r="J3" s="82" t="s">
        <v>199</v>
      </c>
      <c r="K3" s="92" t="str">
        <f>VLOOKUP(I3,[6]stage_hints!$A:$C,3,FALSE)</f>
        <v>リンクガチャ</v>
      </c>
      <c r="L3" s="93" t="str">
        <f>VLOOKUP(I3,[6]stage_hints!$A:$D,4,FALSE)</f>
        <v>無料のリンクガチャを回して_x000D_経験値素材や売却素材を獲得しましょう</v>
      </c>
      <c r="M3" s="55" t="s">
        <v>213</v>
      </c>
    </row>
    <row r="4" spans="1:13" x14ac:dyDescent="0.15">
      <c r="A4" s="79" t="s">
        <v>202</v>
      </c>
      <c r="B4" s="80">
        <v>65531</v>
      </c>
      <c r="C4" s="81" t="str">
        <f ca="1">VLOOKUP($B4,OFFSET([2]quests!$A$1,0,0,COUNTA([2]quests!$A:$A),MATCH(C$1,[2]quests!$1:$1,0)-MATCH($B$1,[2]quests!$1:$1,0)+1),MATCH(C$1,[2]quests!$1:$1,0)-MATCH($B$1,[2]quests!$1:$1,0)+1,FALSE)</f>
        <v>【LB塚本】検証クエスト</v>
      </c>
      <c r="D4" s="81" t="str">
        <f ca="1">VLOOKUP($B4,OFFSET([2]quests!$A$1,0,0,COUNTA([2]quests!$A:$A),MATCH(D$1,[2]quests!$1:$1,0)-MATCH($B$1,[2]quests!$1:$1,0)+1),MATCH(D$1,[2]quests!$1:$1,0)-MATCH($B$1,[2]quests!$1:$1,0)+1,FALSE)</f>
        <v>検証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【LB塚本】検証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3">
        <v>0</v>
      </c>
      <c r="I4">
        <v>19</v>
      </c>
      <c r="J4" s="82" t="s">
        <v>199</v>
      </c>
      <c r="K4" s="92" t="str">
        <f>VLOOKUP(I4,[6]stage_hints!$A:$C,3,FALSE)</f>
        <v>ソロ専用タワーオブザクイーン</v>
      </c>
      <c r="L4" s="93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5" t="s">
        <v>213</v>
      </c>
    </row>
    <row r="5" spans="1:13" x14ac:dyDescent="0.15">
      <c r="A5" s="79" t="s">
        <v>202</v>
      </c>
      <c r="B5" s="80">
        <v>65531</v>
      </c>
      <c r="C5" s="81" t="str">
        <f ca="1">VLOOKUP($B5,OFFSET([2]quests!$A$1,0,0,COUNTA([2]quests!$A:$A),MATCH(C$1,[2]quests!$1:$1,0)-MATCH($B$1,[2]quests!$1:$1,0)+1),MATCH(C$1,[2]quests!$1:$1,0)-MATCH($B$1,[2]quests!$1:$1,0)+1,FALSE)</f>
        <v>【LB塚本】検証クエスト</v>
      </c>
      <c r="D5" s="81" t="str">
        <f ca="1">VLOOKUP($B5,OFFSET([2]quests!$A$1,0,0,COUNTA([2]quests!$A:$A),MATCH(D$1,[2]quests!$1:$1,0)-MATCH($B$1,[2]quests!$1:$1,0)+1),MATCH(D$1,[2]quests!$1:$1,0)-MATCH($B$1,[2]quests!$1:$1,0)+1,FALSE)</f>
        <v>検証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【LB塚本】検証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3">
        <v>0</v>
      </c>
      <c r="I5">
        <v>21</v>
      </c>
      <c r="J5" s="82" t="s">
        <v>199</v>
      </c>
      <c r="K5" s="92" t="str">
        <f>VLOOKUP(I5,[6]stage_hints!$A:$C,3,FALSE)</f>
        <v>スキルを有効に</v>
      </c>
      <c r="L5" s="93" t="str">
        <f>VLOOKUP(I5,[6]stage_hints!$A:$D,4,FALSE)</f>
        <v>ターン経過でユニットのスキルが使えます_x000D_強力スキルでバトルを有利に進めましょう</v>
      </c>
      <c r="M5" s="55" t="s">
        <v>213</v>
      </c>
    </row>
    <row r="6" spans="1:13" x14ac:dyDescent="0.15">
      <c r="A6" s="79" t="s">
        <v>202</v>
      </c>
      <c r="B6" s="80">
        <v>65531</v>
      </c>
      <c r="C6" s="81" t="str">
        <f ca="1">VLOOKUP($B6,OFFSET([2]quests!$A$1,0,0,COUNTA([2]quests!$A:$A),MATCH(C$1,[2]quests!$1:$1,0)-MATCH($B$1,[2]quests!$1:$1,0)+1),MATCH(C$1,[2]quests!$1:$1,0)-MATCH($B$1,[2]quests!$1:$1,0)+1,FALSE)</f>
        <v>【LB塚本】検証クエスト</v>
      </c>
      <c r="D6" s="81" t="str">
        <f ca="1">VLOOKUP($B6,OFFSET([2]quests!$A$1,0,0,COUNTA([2]quests!$A:$A),MATCH(D$1,[2]quests!$1:$1,0)-MATCH($B$1,[2]quests!$1:$1,0)+1),MATCH(D$1,[2]quests!$1:$1,0)-MATCH($B$1,[2]quests!$1:$1,0)+1,FALSE)</f>
        <v>検証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【LB塚本】検証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3">
        <v>0</v>
      </c>
      <c r="I6">
        <v>27</v>
      </c>
      <c r="J6" s="82" t="s">
        <v>199</v>
      </c>
      <c r="K6" s="92" t="str">
        <f>VLOOKUP(I6,[6]stage_hints!$A:$C,3,FALSE)</f>
        <v>ホーム画面からデッキを編成</v>
      </c>
      <c r="L6" s="93" t="str">
        <f>VLOOKUP(I6,[6]stage_hints!$A:$D,4,FALSE)</f>
        <v>ホーム画面でユニットを長押しすると_x000D_すぐにパーティ編成に移動できます</v>
      </c>
      <c r="M6" s="55" t="s">
        <v>213</v>
      </c>
    </row>
    <row r="7" spans="1:13" x14ac:dyDescent="0.15">
      <c r="A7" s="79" t="s">
        <v>202</v>
      </c>
      <c r="B7" s="80">
        <v>65531</v>
      </c>
      <c r="C7" s="81" t="str">
        <f ca="1">VLOOKUP($B7,OFFSET([2]quests!$A$1,0,0,COUNTA([2]quests!$A:$A),MATCH(C$1,[2]quests!$1:$1,0)-MATCH($B$1,[2]quests!$1:$1,0)+1),MATCH(C$1,[2]quests!$1:$1,0)-MATCH($B$1,[2]quests!$1:$1,0)+1,FALSE)</f>
        <v>【LB塚本】検証クエスト</v>
      </c>
      <c r="D7" s="81" t="str">
        <f ca="1">VLOOKUP($B7,OFFSET([2]quests!$A$1,0,0,COUNTA([2]quests!$A:$A),MATCH(D$1,[2]quests!$1:$1,0)-MATCH($B$1,[2]quests!$1:$1,0)+1),MATCH(D$1,[2]quests!$1:$1,0)-MATCH($B$1,[2]quests!$1:$1,0)+1,FALSE)</f>
        <v>検証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【LB塚本】検証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3">
        <v>0</v>
      </c>
      <c r="I7">
        <v>28</v>
      </c>
      <c r="J7" s="82" t="s">
        <v>199</v>
      </c>
      <c r="K7" s="92" t="str">
        <f>VLOOKUP(I7,[6]stage_hints!$A:$C,3,FALSE)</f>
        <v>ステータス情報は長押しで</v>
      </c>
      <c r="L7" s="93" t="str">
        <f>VLOOKUP(I7,[6]stage_hints!$A:$D,4,FALSE)</f>
        <v>ユニットのアイコンを長押しすると_x000D_ステータス情報を確認することができます</v>
      </c>
      <c r="M7" s="55" t="s">
        <v>213</v>
      </c>
    </row>
    <row r="8" spans="1:13" x14ac:dyDescent="0.15">
      <c r="A8" s="79" t="s">
        <v>202</v>
      </c>
      <c r="B8" s="80">
        <v>65531</v>
      </c>
      <c r="C8" s="81" t="str">
        <f ca="1">VLOOKUP($B8,OFFSET([2]quests!$A$1,0,0,COUNTA([2]quests!$A:$A),MATCH(C$1,[2]quests!$1:$1,0)-MATCH($B$1,[2]quests!$1:$1,0)+1),MATCH(C$1,[2]quests!$1:$1,0)-MATCH($B$1,[2]quests!$1:$1,0)+1,FALSE)</f>
        <v>【LB塚本】検証クエスト</v>
      </c>
      <c r="D8" s="81" t="str">
        <f ca="1">VLOOKUP($B8,OFFSET([2]quests!$A$1,0,0,COUNTA([2]quests!$A:$A),MATCH(D$1,[2]quests!$1:$1,0)-MATCH($B$1,[2]quests!$1:$1,0)+1),MATCH(D$1,[2]quests!$1:$1,0)-MATCH($B$1,[2]quests!$1:$1,0)+1,FALSE)</f>
        <v>検証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【LB塚本】検証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3">
        <v>0</v>
      </c>
      <c r="I8">
        <v>29</v>
      </c>
      <c r="J8" s="82" t="s">
        <v>199</v>
      </c>
      <c r="K8" s="92" t="str">
        <f>VLOOKUP(I8,[6]stage_hints!$A:$C,3,FALSE)</f>
        <v>「バグ」のメリット</v>
      </c>
      <c r="L8" s="93" t="str">
        <f>VLOOKUP(I8,[6]stage_hints!$A:$D,4,FALSE)</f>
        <v>ユニットの「バグ」を増やすと_x000D_報酬をもらえる確率がアップします</v>
      </c>
      <c r="M8" s="55" t="s">
        <v>213</v>
      </c>
    </row>
    <row r="9" spans="1:13" x14ac:dyDescent="0.15">
      <c r="A9" s="79" t="s">
        <v>202</v>
      </c>
      <c r="B9" s="80">
        <v>65531</v>
      </c>
      <c r="C9" s="81" t="str">
        <f ca="1">VLOOKUP($B9,OFFSET([2]quests!$A$1,0,0,COUNTA([2]quests!$A:$A),MATCH(C$1,[2]quests!$1:$1,0)-MATCH($B$1,[2]quests!$1:$1,0)+1),MATCH(C$1,[2]quests!$1:$1,0)-MATCH($B$1,[2]quests!$1:$1,0)+1,FALSE)</f>
        <v>【LB塚本】検証クエスト</v>
      </c>
      <c r="D9" s="81" t="str">
        <f ca="1">VLOOKUP($B9,OFFSET([2]quests!$A$1,0,0,COUNTA([2]quests!$A:$A),MATCH(D$1,[2]quests!$1:$1,0)-MATCH($B$1,[2]quests!$1:$1,0)+1),MATCH(D$1,[2]quests!$1:$1,0)-MATCH($B$1,[2]quests!$1:$1,0)+1,FALSE)</f>
        <v>検証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【LB塚本】検証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検証</v>
      </c>
      <c r="H9" s="83">
        <v>0</v>
      </c>
      <c r="I9">
        <v>30</v>
      </c>
      <c r="J9" s="82" t="s">
        <v>199</v>
      </c>
      <c r="K9" s="92" t="str">
        <f>VLOOKUP(I9,[6]stage_hints!$A:$C,3,FALSE)</f>
        <v>「バグ」の増やし方</v>
      </c>
      <c r="L9" s="93" t="str">
        <f>VLOOKUP(I9,[6]stage_hints!$A:$D,4,FALSE)</f>
        <v>同じユニット同士を強化で合成すると_x000D_「バグ」を増やすことができます</v>
      </c>
      <c r="M9" s="55" t="s">
        <v>213</v>
      </c>
    </row>
    <row r="10" spans="1:13" x14ac:dyDescent="0.15">
      <c r="A10" s="79" t="s">
        <v>202</v>
      </c>
      <c r="B10" s="80">
        <v>65531</v>
      </c>
      <c r="C10" s="81" t="str">
        <f ca="1">VLOOKUP($B10,OFFSET([2]quests!$A$1,0,0,COUNTA([2]quests!$A:$A),MATCH(C$1,[2]quests!$1:$1,0)-MATCH($B$1,[2]quests!$1:$1,0)+1),MATCH(C$1,[2]quests!$1:$1,0)-MATCH($B$1,[2]quests!$1:$1,0)+1,FALSE)</f>
        <v>【LB塚本】検証クエスト</v>
      </c>
      <c r="D10" s="81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【LB塚本】検証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検証</v>
      </c>
      <c r="H10" s="83">
        <v>0</v>
      </c>
      <c r="I10">
        <v>32</v>
      </c>
      <c r="J10" s="82" t="s">
        <v>199</v>
      </c>
      <c r="K10" s="92" t="str">
        <f>VLOOKUP(I10,[6]stage_hints!$A:$C,3,FALSE)</f>
        <v>敵の連続攻撃には</v>
      </c>
      <c r="L10" s="93" t="str">
        <f>VLOOKUP(I10,[6]stage_hints!$A:$D,4,FALSE)</f>
        <v>カウンタースキルを持つユニットがいれば_x000D_ダメージ回数分の反撃ができます</v>
      </c>
      <c r="M10" s="55" t="s">
        <v>213</v>
      </c>
    </row>
    <row r="11" spans="1:13" x14ac:dyDescent="0.15">
      <c r="A11" s="79" t="s">
        <v>202</v>
      </c>
      <c r="B11" s="80">
        <v>65531</v>
      </c>
      <c r="C11" s="81" t="str">
        <f ca="1">VLOOKUP($B11,OFFSET([2]quests!$A$1,0,0,COUNTA([2]quests!$A:$A),MATCH(C$1,[2]quests!$1:$1,0)-MATCH($B$1,[2]quests!$1:$1,0)+1),MATCH(C$1,[2]quests!$1:$1,0)-MATCH($B$1,[2]quests!$1:$1,0)+1,FALSE)</f>
        <v>【LB塚本】検証クエスト</v>
      </c>
      <c r="D11" s="81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【LB塚本】検証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検証</v>
      </c>
      <c r="H11" s="83">
        <v>0</v>
      </c>
      <c r="I11">
        <v>33</v>
      </c>
      <c r="J11" s="82" t="s">
        <v>199</v>
      </c>
      <c r="K11" s="92" t="str">
        <f>VLOOKUP(I11,[6]stage_hints!$A:$C,3,FALSE)</f>
        <v>敵のカウンター攻撃には</v>
      </c>
      <c r="L11" s="93" t="str">
        <f>VLOOKUP(I11,[6]stage_hints!$A:$D,4,FALSE)</f>
        <v>カウンターブレイクスキルを持っていれば_x000D_敵のカウンターを解除して攻撃ができます</v>
      </c>
      <c r="M11" s="55" t="s">
        <v>213</v>
      </c>
    </row>
    <row r="12" spans="1:13" x14ac:dyDescent="0.15">
      <c r="A12" s="79" t="s">
        <v>202</v>
      </c>
      <c r="B12" s="80">
        <v>65531</v>
      </c>
      <c r="C12" s="81" t="str">
        <f ca="1">VLOOKUP($B12,OFFSET([2]quests!$A$1,0,0,COUNTA([2]quests!$A:$A),MATCH(C$1,[2]quests!$1:$1,0)-MATCH($B$1,[2]quests!$1:$1,0)+1),MATCH(C$1,[2]quests!$1:$1,0)-MATCH($B$1,[2]quests!$1:$1,0)+1,FALSE)</f>
        <v>【LB塚本】検証クエスト</v>
      </c>
      <c r="D12" s="81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【LB塚本】検証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検証</v>
      </c>
      <c r="H12" s="83">
        <v>0</v>
      </c>
      <c r="I12">
        <v>34</v>
      </c>
      <c r="J12" s="82" t="s">
        <v>199</v>
      </c>
      <c r="K12" s="92" t="str">
        <f>VLOOKUP(I12,[6]stage_hints!$A:$C,3,FALSE)</f>
        <v>ステータスをスキルで下げられたら</v>
      </c>
      <c r="L12" s="93" t="str">
        <f>VLOOKUP(I12,[6]stage_hints!$A:$D,4,FALSE)</f>
        <v>ステータスダウンのスキルを受けたら_x000D_ステータスアップスキルで上書きしましょう</v>
      </c>
      <c r="M12" s="55" t="s">
        <v>213</v>
      </c>
    </row>
    <row r="13" spans="1:13" x14ac:dyDescent="0.15">
      <c r="A13" s="79" t="s">
        <v>202</v>
      </c>
      <c r="B13" s="80">
        <v>65531</v>
      </c>
      <c r="C13" s="81" t="str">
        <f ca="1">VLOOKUP($B13,OFFSET([2]quests!$A$1,0,0,COUNTA([2]quests!$A:$A),MATCH(C$1,[2]quests!$1:$1,0)-MATCH($B$1,[2]quests!$1:$1,0)+1),MATCH(C$1,[2]quests!$1:$1,0)-MATCH($B$1,[2]quests!$1:$1,0)+1,FALSE)</f>
        <v>【LB塚本】検証クエスト</v>
      </c>
      <c r="D13" s="81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【LB塚本】検証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検証</v>
      </c>
      <c r="H13" s="83">
        <v>0</v>
      </c>
      <c r="I13">
        <v>35</v>
      </c>
      <c r="J13" s="82" t="s">
        <v>199</v>
      </c>
      <c r="K13" s="92" t="str">
        <f>VLOOKUP(I13,[6]stage_hints!$A:$C,3,FALSE)</f>
        <v>敵のステータスがスキルで上がったら</v>
      </c>
      <c r="L13" s="93" t="str">
        <f>VLOOKUP(I13,[6]stage_hints!$A:$D,4,FALSE)</f>
        <v>敵のステータスがスキルでアップしたときは_x000D_ステータスダウンスキルで上書きしましょう</v>
      </c>
      <c r="M13" s="55" t="s">
        <v>213</v>
      </c>
    </row>
    <row r="14" spans="1:13" x14ac:dyDescent="0.15">
      <c r="A14" s="79" t="s">
        <v>202</v>
      </c>
      <c r="B14" s="80">
        <v>65531</v>
      </c>
      <c r="C14" s="81" t="str">
        <f ca="1">VLOOKUP($B14,OFFSET([2]quests!$A$1,0,0,COUNTA([2]quests!$A:$A),MATCH(C$1,[2]quests!$1:$1,0)-MATCH($B$1,[2]quests!$1:$1,0)+1),MATCH(C$1,[2]quests!$1:$1,0)-MATCH($B$1,[2]quests!$1:$1,0)+1,FALSE)</f>
        <v>【LB塚本】検証クエスト</v>
      </c>
      <c r="D14" s="81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【LB塚本】検証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検証</v>
      </c>
      <c r="H14" s="83">
        <v>0</v>
      </c>
      <c r="I14">
        <v>36</v>
      </c>
      <c r="J14" s="82" t="s">
        <v>199</v>
      </c>
      <c r="K14" s="92" t="str">
        <f>VLOOKUP(I14,[6]stage_hints!$A:$C,3,FALSE)</f>
        <v>タワーオブザクイーンのボス</v>
      </c>
      <c r="L14" s="93" t="str">
        <f>VLOOKUP(I14,[6]stage_hints!$A:$D,4,FALSE)</f>
        <v>「タワーオブザクイーン」最上階のボスは_x000D_15階の初回クリア報酬で獲得できるほか_x000D_その階にて低確率でドロップもします</v>
      </c>
      <c r="M14" s="55" t="s">
        <v>213</v>
      </c>
    </row>
    <row r="15" spans="1:13" x14ac:dyDescent="0.15">
      <c r="A15" s="79" t="s">
        <v>202</v>
      </c>
      <c r="B15" s="80">
        <v>65531</v>
      </c>
      <c r="C15" s="81" t="str">
        <f ca="1">VLOOKUP($B15,OFFSET([2]quests!$A$1,0,0,COUNTA([2]quests!$A:$A),MATCH(C$1,[2]quests!$1:$1,0)-MATCH($B$1,[2]quests!$1:$1,0)+1),MATCH(C$1,[2]quests!$1:$1,0)-MATCH($B$1,[2]quests!$1:$1,0)+1,FALSE)</f>
        <v>【LB塚本】検証クエスト</v>
      </c>
      <c r="D15" s="81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【LB塚本】検証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検証</v>
      </c>
      <c r="H15" s="83">
        <v>0</v>
      </c>
      <c r="I15">
        <v>37</v>
      </c>
      <c r="J15" s="82" t="s">
        <v>199</v>
      </c>
      <c r="K15" s="92" t="str">
        <f>VLOOKUP(I15,[6]stage_hints!$A:$C,3,FALSE)</f>
        <v>限界突破値の引き継ぎ</v>
      </c>
      <c r="L15" s="93" t="str">
        <f>VLOOKUP(I15,[6]stage_hints!$A:$D,4,FALSE)</f>
        <v>同じユニットを強化で合成すると_x000D_限界突破値を引き継げます（覚醒前後も可）</v>
      </c>
      <c r="M15" s="55" t="s">
        <v>213</v>
      </c>
    </row>
    <row r="16" spans="1:13" x14ac:dyDescent="0.15">
      <c r="A16" s="79" t="s">
        <v>202</v>
      </c>
      <c r="B16" s="80">
        <v>65531</v>
      </c>
      <c r="C16" s="81" t="str">
        <f ca="1">VLOOKUP($B16,OFFSET([2]quests!$A$1,0,0,COUNTA([2]quests!$A:$A),MATCH(C$1,[2]quests!$1:$1,0)-MATCH($B$1,[2]quests!$1:$1,0)+1),MATCH(C$1,[2]quests!$1:$1,0)-MATCH($B$1,[2]quests!$1:$1,0)+1,FALSE)</f>
        <v>【LB塚本】検証クエスト</v>
      </c>
      <c r="D16" s="81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【LB塚本】検証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検証</v>
      </c>
      <c r="H16" s="83">
        <v>0</v>
      </c>
      <c r="I16">
        <v>39</v>
      </c>
      <c r="J16" s="82" t="s">
        <v>199</v>
      </c>
      <c r="K16" s="92" t="str">
        <f>VLOOKUP(I16,[6]stage_hints!$A:$C,3,FALSE)</f>
        <v>システム適合者を確認</v>
      </c>
      <c r="L16" s="93" t="str">
        <f>VLOOKUP(I16,[6]stage_hints!$A:$D,4,FALSE)</f>
        <v>ALICEが 「アナタ」を呼んでいます</v>
      </c>
      <c r="M16" s="55" t="s">
        <v>213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4"/>
  <sheetViews>
    <sheetView showGridLines="0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189</v>
      </c>
      <c r="B1" s="71" t="s">
        <v>151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8" t="s">
        <v>195</v>
      </c>
      <c r="J1" s="90" t="s">
        <v>196</v>
      </c>
      <c r="K1" s="77" t="s">
        <v>127</v>
      </c>
      <c r="L1" s="76" t="s">
        <v>188</v>
      </c>
      <c r="M1" s="91" t="s">
        <v>187</v>
      </c>
      <c r="N1" s="78" t="s">
        <v>197</v>
      </c>
    </row>
    <row r="2" spans="1:14" x14ac:dyDescent="0.15">
      <c r="A2" s="79" t="s">
        <v>198</v>
      </c>
      <c r="B2" s="80">
        <v>65531</v>
      </c>
      <c r="C2" s="81" t="str">
        <f ca="1">VLOOKUP($B2,OFFSET([2]quests!$A$1,0,0,COUNTA([2]quests!$A:$A),MATCH(C$1,[2]quests!$1:$1,0)-MATCH($B$1,[2]quests!$1:$1,0)+1),MATCH(C$1,[2]quests!$1:$1,0)-MATCH($B$1,[2]quests!$1:$1,0)+1,FALSE)</f>
        <v>【LB塚本】検証クエスト</v>
      </c>
      <c r="D2" s="81" t="str">
        <f ca="1">VLOOKUP($B2,OFFSET([2]quests!$A$1,0,0,COUNTA([2]quests!$A:$A),MATCH(D$1,[2]quests!$1:$1,0)-MATCH($B$1,[2]quests!$1:$1,0)+1),MATCH(D$1,[2]quests!$1:$1,0)-MATCH($B$1,[2]quests!$1:$1,0)+1,FALSE)</f>
        <v>検証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【LB塚本】検証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3">
        <v>1</v>
      </c>
      <c r="I2" s="89">
        <f>ROW()-1</f>
        <v>1</v>
      </c>
      <c r="J2" s="84" t="str">
        <f>B2&amp;TEXT(I2,"00")</f>
        <v>6553101</v>
      </c>
      <c r="K2" s="82" t="s">
        <v>199</v>
      </c>
      <c r="L2" s="85" t="s">
        <v>200</v>
      </c>
      <c r="M2" s="86" t="s">
        <v>203</v>
      </c>
      <c r="N2" s="55" t="s">
        <v>201</v>
      </c>
    </row>
    <row r="3" spans="1:14" x14ac:dyDescent="0.15">
      <c r="A3" s="79" t="s">
        <v>198</v>
      </c>
      <c r="B3" s="80">
        <v>65531</v>
      </c>
      <c r="C3" s="81" t="str">
        <f ca="1">VLOOKUP($B3,OFFSET([2]quests!$A$1,0,0,COUNTA([2]quests!$A:$A),MATCH(C$1,[2]quests!$1:$1,0)-MATCH($B$1,[2]quests!$1:$1,0)+1),MATCH(C$1,[2]quests!$1:$1,0)-MATCH($B$1,[2]quests!$1:$1,0)+1,FALSE)</f>
        <v>【LB塚本】検証クエスト</v>
      </c>
      <c r="D3" s="81" t="str">
        <f ca="1">VLOOKUP($B3,OFFSET([2]quests!$A$1,0,0,COUNTA([2]quests!$A:$A),MATCH(D$1,[2]quests!$1:$1,0)-MATCH($B$1,[2]quests!$1:$1,0)+1),MATCH(D$1,[2]quests!$1:$1,0)-MATCH($B$1,[2]quests!$1:$1,0)+1,FALSE)</f>
        <v>検証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【LB塚本】検証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3">
        <v>2</v>
      </c>
      <c r="I3" s="89">
        <f t="shared" ref="I3:I4" si="0">ROW()-1</f>
        <v>2</v>
      </c>
      <c r="J3" s="84" t="str">
        <f t="shared" ref="J3:J4" si="1">B3&amp;TEXT(I3,"00")</f>
        <v>6553102</v>
      </c>
      <c r="K3" s="82" t="s">
        <v>199</v>
      </c>
      <c r="L3" s="85" t="s">
        <v>200</v>
      </c>
      <c r="M3" s="86" t="s">
        <v>289</v>
      </c>
      <c r="N3" s="55" t="s">
        <v>201</v>
      </c>
    </row>
    <row r="4" spans="1:14" x14ac:dyDescent="0.15">
      <c r="A4" s="79" t="s">
        <v>198</v>
      </c>
      <c r="B4" s="80">
        <v>65531</v>
      </c>
      <c r="C4" s="81" t="str">
        <f ca="1">VLOOKUP($B4,OFFSET([2]quests!$A$1,0,0,COUNTA([2]quests!$A:$A),MATCH(C$1,[2]quests!$1:$1,0)-MATCH($B$1,[2]quests!$1:$1,0)+1),MATCH(C$1,[2]quests!$1:$1,0)-MATCH($B$1,[2]quests!$1:$1,0)+1,FALSE)</f>
        <v>【LB塚本】検証クエスト</v>
      </c>
      <c r="D4" s="81" t="str">
        <f ca="1">VLOOKUP($B4,OFFSET([2]quests!$A$1,0,0,COUNTA([2]quests!$A:$A),MATCH(D$1,[2]quests!$1:$1,0)-MATCH($B$1,[2]quests!$1:$1,0)+1),MATCH(D$1,[2]quests!$1:$1,0)-MATCH($B$1,[2]quests!$1:$1,0)+1,FALSE)</f>
        <v>検証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【LB塚本】検証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3">
        <v>3</v>
      </c>
      <c r="I4" s="89">
        <f t="shared" si="0"/>
        <v>3</v>
      </c>
      <c r="J4" s="84" t="str">
        <f t="shared" si="1"/>
        <v>6553103</v>
      </c>
      <c r="K4" s="82" t="s">
        <v>199</v>
      </c>
      <c r="L4" s="85" t="s">
        <v>200</v>
      </c>
      <c r="M4" s="86" t="s">
        <v>290</v>
      </c>
      <c r="N4" s="55" t="s">
        <v>201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3" sqref="C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216</v>
      </c>
      <c r="B1" s="96" t="s">
        <v>217</v>
      </c>
      <c r="C1" s="75" t="s">
        <v>218</v>
      </c>
      <c r="D1" s="75" t="s">
        <v>33</v>
      </c>
      <c r="E1" s="96" t="s">
        <v>219</v>
      </c>
      <c r="F1" s="75" t="s">
        <v>220</v>
      </c>
      <c r="G1" s="75" t="s">
        <v>33</v>
      </c>
      <c r="H1" s="96" t="s">
        <v>221</v>
      </c>
      <c r="I1" s="96" t="s">
        <v>222</v>
      </c>
      <c r="J1" s="96" t="s">
        <v>223</v>
      </c>
      <c r="K1" s="71" t="s">
        <v>224</v>
      </c>
      <c r="L1" s="71" t="s">
        <v>225</v>
      </c>
      <c r="M1" s="71" t="s">
        <v>157</v>
      </c>
      <c r="N1" s="75" t="s">
        <v>16</v>
      </c>
      <c r="O1" s="71" t="s">
        <v>226</v>
      </c>
      <c r="P1" s="71" t="s">
        <v>57</v>
      </c>
      <c r="Q1" s="71" t="s">
        <v>227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228</v>
      </c>
      <c r="X1" s="71" t="s">
        <v>229</v>
      </c>
    </row>
    <row r="2" spans="1:24" x14ac:dyDescent="0.15">
      <c r="A2" s="97" t="str">
        <f>B2&amp;"_"&amp;E2&amp;"_"&amp;H2&amp;"_"&amp;I2&amp;"_"&amp;J2</f>
        <v>65531_1_everyone_clear_1</v>
      </c>
      <c r="B2" s="80">
        <v>65531</v>
      </c>
      <c r="C2" s="81" t="str">
        <f ca="1">VLOOKUP($B2,OFFSET([2]quests!$A$1,0,0,COUNTA([2]quests!$A:$A),MATCH(C$1,[2]quests!$1:$1,0)-MATCH($B$1,[2]quests!$1:$1,0)+1),MATCH(C$1,[2]quests!$1:$1,0)-MATCH($B$1,[2]quests!$1:$1,0)+1,FALSE)</f>
        <v>【LB塚本】検証クエスト</v>
      </c>
      <c r="D2" s="81" t="str">
        <f ca="1">VLOOKUP($B2,OFFSET([2]quests!$A$1,0,0,COUNTA([2]quests!$A:$A),MATCH(D$1,[2]quests!$1:$1,0)-MATCH($B$1,[2]quests!$1:$1,0)+1),MATCH(D$1,[2]quests!$1:$1,0)-MATCH($B$1,[2]quests!$1:$1,0)+1,FALSE)</f>
        <v>検証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【LB塚本】検証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3" t="s">
        <v>230</v>
      </c>
      <c r="I2" s="82" t="s">
        <v>231</v>
      </c>
      <c r="J2" s="82">
        <v>1</v>
      </c>
      <c r="K2" s="82">
        <v>610</v>
      </c>
      <c r="L2" s="82" t="s">
        <v>232</v>
      </c>
      <c r="M2" s="82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9" t="s">
        <v>233</v>
      </c>
      <c r="X2" s="100" t="s">
        <v>234</v>
      </c>
    </row>
    <row r="3" spans="1:24" x14ac:dyDescent="0.15">
      <c r="A3" s="97" t="str">
        <f>B3&amp;"_"&amp;E3&amp;"_"&amp;H3&amp;"_"&amp;I3&amp;"_"&amp;J3</f>
        <v>65531_1_everyone_no_continue_1</v>
      </c>
      <c r="B3" s="80">
        <v>65531</v>
      </c>
      <c r="C3" s="81" t="str">
        <f ca="1">VLOOKUP($B3,OFFSET([2]quests!$A$1,0,0,COUNTA([2]quests!$A:$A),MATCH(C$1,[2]quests!$1:$1,0)-MATCH($B$1,[2]quests!$1:$1,0)+1),MATCH(C$1,[2]quests!$1:$1,0)-MATCH($B$1,[2]quests!$1:$1,0)+1,FALSE)</f>
        <v>【LB塚本】検証クエスト</v>
      </c>
      <c r="D3" s="81" t="str">
        <f ca="1">VLOOKUP($B3,OFFSET([2]quests!$A$1,0,0,COUNTA([2]quests!$A:$A),MATCH(D$1,[2]quests!$1:$1,0)-MATCH($B$1,[2]quests!$1:$1,0)+1),MATCH(D$1,[2]quests!$1:$1,0)-MATCH($B$1,[2]quests!$1:$1,0)+1,FALSE)</f>
        <v>検証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【LB塚本】検証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3" t="s">
        <v>230</v>
      </c>
      <c r="I3" s="82" t="s">
        <v>235</v>
      </c>
      <c r="J3" s="82">
        <v>1</v>
      </c>
      <c r="K3" s="82">
        <v>610</v>
      </c>
      <c r="L3" s="82" t="s">
        <v>232</v>
      </c>
      <c r="M3" s="82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9" t="s">
        <v>233</v>
      </c>
      <c r="X3" s="100" t="s">
        <v>234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2016-12-15T07:08:59Z</dcterms:modified>
</cp:coreProperties>
</file>