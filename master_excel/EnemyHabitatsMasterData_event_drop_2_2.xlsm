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0" yWindow="0" windowWidth="38400" windowHeight="21520" activeTab="3"/>
  </bookViews>
  <sheets>
    <sheet name="floors_drop_2_2" sheetId="2" r:id="rId1"/>
    <sheet name="enemy_habitats_drop_2_2" sheetId="1" r:id="rId2"/>
    <sheet name="floors_drop_2_2.tmp" sheetId="5" r:id="rId3"/>
    <sheet name="enemy_habitats_drop_2_2.tmp" sheetId="6" r:id="rId4"/>
  </sheets>
  <externalReferences>
    <externalReference r:id="rId5"/>
    <externalReference r:id="rId6"/>
    <externalReference r:id="rId7"/>
    <externalReference r:id="rId8"/>
  </externalReferences>
  <definedNames>
    <definedName name="_xlnm._FilterDatabase" localSheetId="1" hidden="1">enemy_habitats_drop_2_2!$B$1:$AE$2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8" i="6" l="1"/>
  <c r="R41" i="6"/>
  <c r="L15" i="6"/>
  <c r="L26" i="6"/>
  <c r="L27" i="6"/>
  <c r="L28" i="6"/>
  <c r="L29" i="6"/>
  <c r="L30" i="6"/>
  <c r="L31" i="6"/>
  <c r="L32" i="6"/>
  <c r="L33" i="6"/>
  <c r="L34" i="6"/>
  <c r="L35" i="6"/>
  <c r="R15" i="6"/>
  <c r="AA40" i="1"/>
  <c r="AD40" i="1"/>
  <c r="AA39" i="1"/>
  <c r="AD39" i="1"/>
  <c r="AA38" i="1"/>
  <c r="AD38" i="1"/>
  <c r="AA37" i="1"/>
  <c r="AD37" i="1"/>
  <c r="AA36" i="1"/>
  <c r="AD36" i="1"/>
  <c r="AA35" i="1"/>
  <c r="AD35" i="1"/>
  <c r="AA34" i="1"/>
  <c r="AD34" i="1"/>
  <c r="AA33" i="1"/>
  <c r="AD33" i="1"/>
  <c r="AA32" i="1"/>
  <c r="AD32" i="1"/>
  <c r="AA31" i="1"/>
  <c r="AD31" i="1"/>
  <c r="AA30" i="1"/>
  <c r="AD30" i="1"/>
  <c r="AA29" i="1"/>
  <c r="AD29" i="1"/>
  <c r="AA28" i="1"/>
  <c r="AD28" i="1"/>
  <c r="AA27" i="1"/>
  <c r="AD27" i="1"/>
  <c r="AA26" i="1"/>
  <c r="AD26" i="1"/>
  <c r="AA25" i="1"/>
  <c r="AD25" i="1"/>
  <c r="AA24" i="1"/>
  <c r="AD24" i="1"/>
  <c r="AA23" i="1"/>
  <c r="AD23" i="1"/>
  <c r="AA22" i="1"/>
  <c r="AD22" i="1"/>
  <c r="AA21" i="1"/>
  <c r="AD21" i="1"/>
  <c r="AA20" i="1"/>
  <c r="AD20" i="1"/>
  <c r="AA19" i="1"/>
  <c r="AD19" i="1"/>
  <c r="AA18" i="1"/>
  <c r="AD18" i="1"/>
  <c r="AA17" i="1"/>
  <c r="AD17" i="1"/>
  <c r="AA16" i="1"/>
  <c r="AD16" i="1"/>
  <c r="AA15" i="1"/>
  <c r="AD15" i="1"/>
  <c r="AA14" i="1"/>
  <c r="AD14" i="1"/>
  <c r="AA13" i="1"/>
  <c r="AD13" i="1"/>
  <c r="AA12" i="1"/>
  <c r="AD12" i="1"/>
  <c r="AA11" i="1"/>
  <c r="AD11" i="1"/>
  <c r="AA10" i="1"/>
  <c r="AD10" i="1"/>
  <c r="AA9" i="1"/>
  <c r="AD9" i="1"/>
  <c r="AA8" i="1"/>
  <c r="AD8" i="1"/>
  <c r="AA7" i="1"/>
  <c r="AD7" i="1"/>
  <c r="AA6" i="1"/>
  <c r="AD6" i="1"/>
  <c r="AA5" i="1"/>
  <c r="AD5" i="1"/>
  <c r="AA4" i="1"/>
  <c r="AD4" i="1"/>
  <c r="AA3" i="1"/>
  <c r="AD3" i="1"/>
  <c r="AA2" i="1"/>
  <c r="AD2" i="1"/>
  <c r="Z31" i="1"/>
  <c r="AB40" i="1"/>
  <c r="Z40" i="1"/>
  <c r="AB39" i="1"/>
  <c r="Z39" i="1"/>
  <c r="AB38" i="1"/>
  <c r="Z38" i="1"/>
  <c r="AB37" i="1"/>
  <c r="Z37" i="1"/>
  <c r="AB36" i="1"/>
  <c r="Z36" i="1"/>
  <c r="AB35" i="1"/>
  <c r="Z35" i="1"/>
  <c r="AB34" i="1"/>
  <c r="Z34" i="1"/>
  <c r="AB33" i="1"/>
  <c r="Z33" i="1"/>
  <c r="AB32" i="1"/>
  <c r="Z32" i="1"/>
  <c r="AB31" i="1"/>
  <c r="AB30" i="1"/>
  <c r="Z30" i="1"/>
  <c r="AB29" i="1"/>
  <c r="Z29" i="1"/>
  <c r="AB28" i="1"/>
  <c r="Z28" i="1"/>
  <c r="AB27" i="1"/>
  <c r="Z27" i="1"/>
  <c r="AB26" i="1"/>
  <c r="Z26" i="1"/>
  <c r="AB25" i="1"/>
  <c r="Z25" i="1"/>
  <c r="AB24" i="1"/>
  <c r="Z24" i="1"/>
  <c r="AB23" i="1"/>
  <c r="Z23" i="1"/>
  <c r="AB22" i="1"/>
  <c r="Z22" i="1"/>
  <c r="AB21" i="1"/>
  <c r="Z21" i="1"/>
  <c r="AB20" i="1"/>
  <c r="Z20" i="1"/>
  <c r="AB19" i="1"/>
  <c r="Z19" i="1"/>
  <c r="AB18" i="1"/>
  <c r="Z18" i="1"/>
  <c r="AB17" i="1"/>
  <c r="Z17" i="1"/>
  <c r="AB16" i="1"/>
  <c r="Z16" i="1"/>
  <c r="AB15" i="1"/>
  <c r="Z15" i="1"/>
  <c r="AB14" i="1"/>
  <c r="Z14" i="1"/>
  <c r="AB13" i="1"/>
  <c r="Z13" i="1"/>
  <c r="AB12" i="1"/>
  <c r="Z12" i="1"/>
  <c r="AB11" i="1"/>
  <c r="Z11" i="1"/>
  <c r="AB10" i="1"/>
  <c r="Z10" i="1"/>
  <c r="AB9" i="1"/>
  <c r="Z9" i="1"/>
  <c r="AB8" i="1"/>
  <c r="Z8" i="1"/>
  <c r="AB7" i="1"/>
  <c r="Z7" i="1"/>
  <c r="AB6" i="1"/>
  <c r="Z6" i="1"/>
  <c r="AB5" i="1"/>
  <c r="Z5" i="1"/>
  <c r="AB4" i="1"/>
  <c r="Z4" i="1"/>
  <c r="AB3" i="1"/>
  <c r="Z3" i="1"/>
  <c r="AB2" i="1"/>
  <c r="Z2" i="1"/>
  <c r="X39" i="1"/>
  <c r="X38" i="1"/>
  <c r="X37" i="1"/>
  <c r="X36" i="1"/>
  <c r="X35" i="1"/>
  <c r="X34" i="1"/>
  <c r="X33" i="1"/>
  <c r="X32" i="1"/>
  <c r="X31" i="1"/>
  <c r="X30" i="1"/>
  <c r="X29" i="1"/>
  <c r="X26" i="1"/>
  <c r="X25" i="1"/>
  <c r="X24" i="1"/>
  <c r="X23" i="1"/>
  <c r="X22" i="1"/>
  <c r="X21" i="1"/>
  <c r="X20" i="1"/>
  <c r="X19" i="1"/>
  <c r="X18" i="1"/>
  <c r="X17" i="1"/>
  <c r="X16" i="1"/>
  <c r="X15" i="1"/>
  <c r="X13" i="1"/>
  <c r="X12" i="1"/>
  <c r="X11" i="1"/>
  <c r="X10" i="1"/>
  <c r="X9" i="1"/>
  <c r="X8" i="1"/>
  <c r="X7" i="1"/>
  <c r="X6" i="1"/>
  <c r="X5" i="1"/>
  <c r="X4" i="1"/>
  <c r="X3" i="1"/>
  <c r="X2" i="1"/>
  <c r="T39" i="1"/>
  <c r="T38" i="1"/>
  <c r="T37" i="1"/>
  <c r="T36" i="1"/>
  <c r="T35" i="1"/>
  <c r="T34" i="1"/>
  <c r="T33" i="1"/>
  <c r="T32" i="1"/>
  <c r="T31" i="1"/>
  <c r="T30" i="1"/>
  <c r="T29" i="1"/>
  <c r="T28" i="1"/>
  <c r="T26" i="1"/>
  <c r="T25" i="1"/>
  <c r="T24" i="1"/>
  <c r="T23" i="1"/>
  <c r="T22" i="1"/>
  <c r="T21" i="1"/>
  <c r="T20" i="1"/>
  <c r="T19" i="1"/>
  <c r="T18" i="1"/>
  <c r="T17" i="1"/>
  <c r="T16" i="1"/>
  <c r="T15" i="1"/>
  <c r="T13" i="1"/>
  <c r="T12" i="1"/>
  <c r="T11" i="1"/>
  <c r="T10" i="1"/>
  <c r="T9" i="1"/>
  <c r="T8" i="1"/>
  <c r="T7" i="1"/>
  <c r="T6" i="1"/>
  <c r="T5" i="1"/>
  <c r="T4" i="1"/>
  <c r="T3" i="1"/>
  <c r="T2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T27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T14" i="1"/>
  <c r="S14" i="1"/>
  <c r="S13" i="1"/>
  <c r="S12" i="1"/>
  <c r="S11" i="1"/>
  <c r="S10" i="1"/>
  <c r="S9" i="1"/>
  <c r="S8" i="1"/>
  <c r="S7" i="1"/>
  <c r="S6" i="1"/>
  <c r="S5" i="1"/>
  <c r="S4" i="1"/>
  <c r="N40" i="1"/>
  <c r="M40" i="1"/>
  <c r="L40" i="1"/>
  <c r="K40" i="1"/>
  <c r="J40" i="1"/>
  <c r="N39" i="1"/>
  <c r="M39" i="1"/>
  <c r="L39" i="1"/>
  <c r="K39" i="1"/>
  <c r="J39" i="1"/>
  <c r="N38" i="1"/>
  <c r="M38" i="1"/>
  <c r="L38" i="1"/>
  <c r="K38" i="1"/>
  <c r="J38" i="1"/>
  <c r="N37" i="1"/>
  <c r="M37" i="1"/>
  <c r="L37" i="1"/>
  <c r="K37" i="1"/>
  <c r="J37" i="1"/>
  <c r="N36" i="1"/>
  <c r="M36" i="1"/>
  <c r="L36" i="1"/>
  <c r="K36" i="1"/>
  <c r="J36" i="1"/>
  <c r="N35" i="1"/>
  <c r="M35" i="1"/>
  <c r="L35" i="1"/>
  <c r="K35" i="1"/>
  <c r="J35" i="1"/>
  <c r="N34" i="1"/>
  <c r="M34" i="1"/>
  <c r="L34" i="1"/>
  <c r="K34" i="1"/>
  <c r="J34" i="1"/>
  <c r="N33" i="1"/>
  <c r="M33" i="1"/>
  <c r="L33" i="1"/>
  <c r="K33" i="1"/>
  <c r="J33" i="1"/>
  <c r="N32" i="1"/>
  <c r="M32" i="1"/>
  <c r="L32" i="1"/>
  <c r="K32" i="1"/>
  <c r="J32" i="1"/>
  <c r="N31" i="1"/>
  <c r="M31" i="1"/>
  <c r="L31" i="1"/>
  <c r="K31" i="1"/>
  <c r="J31" i="1"/>
  <c r="N30" i="1"/>
  <c r="M30" i="1"/>
  <c r="L30" i="1"/>
  <c r="K30" i="1"/>
  <c r="J30" i="1"/>
  <c r="N29" i="1"/>
  <c r="M29" i="1"/>
  <c r="L29" i="1"/>
  <c r="K29" i="1"/>
  <c r="J29" i="1"/>
  <c r="N28" i="1"/>
  <c r="M28" i="1"/>
  <c r="L28" i="1"/>
  <c r="K28" i="1"/>
  <c r="J28" i="1"/>
  <c r="N27" i="1"/>
  <c r="M27" i="1"/>
  <c r="L27" i="1"/>
  <c r="K27" i="1"/>
  <c r="J27" i="1"/>
  <c r="N26" i="1"/>
  <c r="M26" i="1"/>
  <c r="L26" i="1"/>
  <c r="K26" i="1"/>
  <c r="J26" i="1"/>
  <c r="N25" i="1"/>
  <c r="M25" i="1"/>
  <c r="L25" i="1"/>
  <c r="K25" i="1"/>
  <c r="J25" i="1"/>
  <c r="N24" i="1"/>
  <c r="M24" i="1"/>
  <c r="L24" i="1"/>
  <c r="K24" i="1"/>
  <c r="J24" i="1"/>
  <c r="N23" i="1"/>
  <c r="M23" i="1"/>
  <c r="L23" i="1"/>
  <c r="K23" i="1"/>
  <c r="J23" i="1"/>
  <c r="N22" i="1"/>
  <c r="M22" i="1"/>
  <c r="L22" i="1"/>
  <c r="K22" i="1"/>
  <c r="J22" i="1"/>
  <c r="N21" i="1"/>
  <c r="M21" i="1"/>
  <c r="L21" i="1"/>
  <c r="K21" i="1"/>
  <c r="J21" i="1"/>
  <c r="N20" i="1"/>
  <c r="M20" i="1"/>
  <c r="L20" i="1"/>
  <c r="K20" i="1"/>
  <c r="J20" i="1"/>
  <c r="N19" i="1"/>
  <c r="M19" i="1"/>
  <c r="L19" i="1"/>
  <c r="K19" i="1"/>
  <c r="J19" i="1"/>
  <c r="N18" i="1"/>
  <c r="M18" i="1"/>
  <c r="L18" i="1"/>
  <c r="K18" i="1"/>
  <c r="J18" i="1"/>
  <c r="N17" i="1"/>
  <c r="M17" i="1"/>
  <c r="L17" i="1"/>
  <c r="K17" i="1"/>
  <c r="J17" i="1"/>
  <c r="N16" i="1"/>
  <c r="M16" i="1"/>
  <c r="L16" i="1"/>
  <c r="K16" i="1"/>
  <c r="J16" i="1"/>
  <c r="N15" i="1"/>
  <c r="M15" i="1"/>
  <c r="L15" i="1"/>
  <c r="K15" i="1"/>
  <c r="J15" i="1"/>
  <c r="N14" i="1"/>
  <c r="M14" i="1"/>
  <c r="L14" i="1"/>
  <c r="K14" i="1"/>
  <c r="J14" i="1"/>
  <c r="N13" i="1"/>
  <c r="M13" i="1"/>
  <c r="L13" i="1"/>
  <c r="K13" i="1"/>
  <c r="J13" i="1"/>
  <c r="N12" i="1"/>
  <c r="M12" i="1"/>
  <c r="L12" i="1"/>
  <c r="K12" i="1"/>
  <c r="J12" i="1"/>
  <c r="N11" i="1"/>
  <c r="M11" i="1"/>
  <c r="L11" i="1"/>
  <c r="K11" i="1"/>
  <c r="J11" i="1"/>
  <c r="N10" i="1"/>
  <c r="M10" i="1"/>
  <c r="L10" i="1"/>
  <c r="K10" i="1"/>
  <c r="J10" i="1"/>
  <c r="N9" i="1"/>
  <c r="M9" i="1"/>
  <c r="L9" i="1"/>
  <c r="K9" i="1"/>
  <c r="J9" i="1"/>
  <c r="N8" i="1"/>
  <c r="M8" i="1"/>
  <c r="L8" i="1"/>
  <c r="K8" i="1"/>
  <c r="J8" i="1"/>
  <c r="N7" i="1"/>
  <c r="M7" i="1"/>
  <c r="L7" i="1"/>
  <c r="K7" i="1"/>
  <c r="J7" i="1"/>
  <c r="N6" i="1"/>
  <c r="M6" i="1"/>
  <c r="L6" i="1"/>
  <c r="K6" i="1"/>
  <c r="J6" i="1"/>
  <c r="N5" i="1"/>
  <c r="M5" i="1"/>
  <c r="L5" i="1"/>
  <c r="K5" i="1"/>
  <c r="J5" i="1"/>
  <c r="N4" i="1"/>
  <c r="M4" i="1"/>
  <c r="L4" i="1"/>
  <c r="K4" i="1"/>
  <c r="J4" i="1"/>
  <c r="N3" i="1"/>
  <c r="M3" i="1"/>
  <c r="L3" i="1"/>
  <c r="K3" i="1"/>
  <c r="J3" i="1"/>
  <c r="N2" i="1"/>
  <c r="M2" i="1"/>
  <c r="L2" i="1"/>
  <c r="K2" i="1"/>
  <c r="J2" i="1"/>
  <c r="A2" i="1"/>
  <c r="E2" i="1"/>
  <c r="H35" i="1"/>
  <c r="D35" i="1"/>
  <c r="F35" i="1"/>
  <c r="E35" i="1"/>
  <c r="A35" i="1"/>
  <c r="H22" i="1"/>
  <c r="D22" i="1"/>
  <c r="F22" i="1"/>
  <c r="E22" i="1"/>
  <c r="A22" i="1"/>
  <c r="C1" i="6"/>
  <c r="A1" i="6"/>
  <c r="A41" i="6"/>
  <c r="A3" i="1"/>
  <c r="A4" i="1"/>
  <c r="A5" i="1"/>
  <c r="A6" i="1"/>
  <c r="A7" i="1"/>
  <c r="A8" i="1"/>
  <c r="A9" i="1"/>
  <c r="A10" i="1"/>
  <c r="A11" i="1"/>
  <c r="A12" i="1"/>
  <c r="A13" i="1"/>
  <c r="A15" i="1"/>
  <c r="A16" i="1"/>
  <c r="A17" i="1"/>
  <c r="A18" i="1"/>
  <c r="A19" i="1"/>
  <c r="A20" i="1"/>
  <c r="A21" i="1"/>
  <c r="A23" i="1"/>
  <c r="A24" i="1"/>
  <c r="A25" i="1"/>
  <c r="A26" i="1"/>
  <c r="A28" i="1"/>
  <c r="A29" i="1"/>
  <c r="A30" i="1"/>
  <c r="A31" i="1"/>
  <c r="A32" i="1"/>
  <c r="A33" i="1"/>
  <c r="A34" i="1"/>
  <c r="A36" i="1"/>
  <c r="A37" i="1"/>
  <c r="A38" i="1"/>
  <c r="A39" i="1"/>
  <c r="B1" i="6"/>
  <c r="W41" i="6"/>
  <c r="V41" i="6"/>
  <c r="U41" i="6"/>
  <c r="T41" i="6"/>
  <c r="S41" i="6"/>
  <c r="Q41" i="6"/>
  <c r="P41" i="6"/>
  <c r="O41" i="6"/>
  <c r="N41" i="6"/>
  <c r="M41" i="6"/>
  <c r="K41" i="6"/>
  <c r="J41" i="6"/>
  <c r="I41" i="6"/>
  <c r="H41" i="6"/>
  <c r="G41" i="6"/>
  <c r="F41" i="6"/>
  <c r="E41" i="6"/>
  <c r="D41" i="6"/>
  <c r="C41" i="6"/>
  <c r="B41" i="6"/>
  <c r="A40" i="6"/>
  <c r="W40" i="6"/>
  <c r="V40" i="6"/>
  <c r="U40" i="6"/>
  <c r="T40" i="6"/>
  <c r="S40" i="6"/>
  <c r="R40" i="6"/>
  <c r="Q40" i="6"/>
  <c r="P40" i="6"/>
  <c r="O40" i="6"/>
  <c r="N40" i="6"/>
  <c r="M40" i="6"/>
  <c r="K40" i="6"/>
  <c r="J40" i="6"/>
  <c r="I40" i="6"/>
  <c r="H40" i="6"/>
  <c r="G40" i="6"/>
  <c r="F40" i="6"/>
  <c r="E40" i="6"/>
  <c r="D40" i="6"/>
  <c r="C40" i="6"/>
  <c r="B40" i="6"/>
  <c r="A39" i="6"/>
  <c r="W39" i="6"/>
  <c r="V39" i="6"/>
  <c r="U39" i="6"/>
  <c r="T39" i="6"/>
  <c r="S39" i="6"/>
  <c r="R39" i="6"/>
  <c r="Q39" i="6"/>
  <c r="P39" i="6"/>
  <c r="O39" i="6"/>
  <c r="N39" i="6"/>
  <c r="M39" i="6"/>
  <c r="K39" i="6"/>
  <c r="J39" i="6"/>
  <c r="I39" i="6"/>
  <c r="H39" i="6"/>
  <c r="G39" i="6"/>
  <c r="F39" i="6"/>
  <c r="E39" i="6"/>
  <c r="D39" i="6"/>
  <c r="C39" i="6"/>
  <c r="B39" i="6"/>
  <c r="A38" i="6"/>
  <c r="W38" i="6"/>
  <c r="V38" i="6"/>
  <c r="U38" i="6"/>
  <c r="T38" i="6"/>
  <c r="S38" i="6"/>
  <c r="R38" i="6"/>
  <c r="Q38" i="6"/>
  <c r="P38" i="6"/>
  <c r="O38" i="6"/>
  <c r="N38" i="6"/>
  <c r="M38" i="6"/>
  <c r="K38" i="6"/>
  <c r="J38" i="6"/>
  <c r="I38" i="6"/>
  <c r="H38" i="6"/>
  <c r="G38" i="6"/>
  <c r="F38" i="6"/>
  <c r="E38" i="6"/>
  <c r="D38" i="6"/>
  <c r="C38" i="6"/>
  <c r="B38" i="6"/>
  <c r="A37" i="6"/>
  <c r="W37" i="6"/>
  <c r="V37" i="6"/>
  <c r="U37" i="6"/>
  <c r="T37" i="6"/>
  <c r="S37" i="6"/>
  <c r="R37" i="6"/>
  <c r="Q37" i="6"/>
  <c r="P37" i="6"/>
  <c r="O37" i="6"/>
  <c r="N37" i="6"/>
  <c r="M37" i="6"/>
  <c r="K37" i="6"/>
  <c r="J37" i="6"/>
  <c r="I37" i="6"/>
  <c r="H37" i="6"/>
  <c r="G37" i="6"/>
  <c r="F37" i="6"/>
  <c r="E37" i="6"/>
  <c r="D37" i="6"/>
  <c r="C37" i="6"/>
  <c r="B37" i="6"/>
  <c r="A36" i="6"/>
  <c r="W36" i="6"/>
  <c r="V36" i="6"/>
  <c r="U36" i="6"/>
  <c r="T36" i="6"/>
  <c r="S36" i="6"/>
  <c r="R36" i="6"/>
  <c r="Q36" i="6"/>
  <c r="P36" i="6"/>
  <c r="O36" i="6"/>
  <c r="N36" i="6"/>
  <c r="M36" i="6"/>
  <c r="K36" i="6"/>
  <c r="J36" i="6"/>
  <c r="I36" i="6"/>
  <c r="H36" i="6"/>
  <c r="G36" i="6"/>
  <c r="F36" i="6"/>
  <c r="E36" i="6"/>
  <c r="D36" i="6"/>
  <c r="C36" i="6"/>
  <c r="B36" i="6"/>
  <c r="A35" i="6"/>
  <c r="W35" i="6"/>
  <c r="V35" i="6"/>
  <c r="U35" i="6"/>
  <c r="T35" i="6"/>
  <c r="S35" i="6"/>
  <c r="R35" i="6"/>
  <c r="Q35" i="6"/>
  <c r="P35" i="6"/>
  <c r="O35" i="6"/>
  <c r="N35" i="6"/>
  <c r="M35" i="6"/>
  <c r="K35" i="6"/>
  <c r="J35" i="6"/>
  <c r="I35" i="6"/>
  <c r="H35" i="6"/>
  <c r="G35" i="6"/>
  <c r="F35" i="6"/>
  <c r="E35" i="6"/>
  <c r="D35" i="6"/>
  <c r="C35" i="6"/>
  <c r="B35" i="6"/>
  <c r="A34" i="6"/>
  <c r="W34" i="6"/>
  <c r="V34" i="6"/>
  <c r="U34" i="6"/>
  <c r="T34" i="6"/>
  <c r="S34" i="6"/>
  <c r="R34" i="6"/>
  <c r="Q34" i="6"/>
  <c r="P34" i="6"/>
  <c r="O34" i="6"/>
  <c r="N34" i="6"/>
  <c r="M34" i="6"/>
  <c r="K34" i="6"/>
  <c r="J34" i="6"/>
  <c r="I34" i="6"/>
  <c r="H34" i="6"/>
  <c r="G34" i="6"/>
  <c r="F34" i="6"/>
  <c r="E34" i="6"/>
  <c r="D34" i="6"/>
  <c r="C34" i="6"/>
  <c r="B34" i="6"/>
  <c r="A33" i="6"/>
  <c r="W33" i="6"/>
  <c r="V33" i="6"/>
  <c r="U33" i="6"/>
  <c r="T33" i="6"/>
  <c r="S33" i="6"/>
  <c r="R33" i="6"/>
  <c r="Q33" i="6"/>
  <c r="P33" i="6"/>
  <c r="O33" i="6"/>
  <c r="N33" i="6"/>
  <c r="M33" i="6"/>
  <c r="K33" i="6"/>
  <c r="J33" i="6"/>
  <c r="I33" i="6"/>
  <c r="H33" i="6"/>
  <c r="G33" i="6"/>
  <c r="F33" i="6"/>
  <c r="E33" i="6"/>
  <c r="D33" i="6"/>
  <c r="C33" i="6"/>
  <c r="B33" i="6"/>
  <c r="A32" i="6"/>
  <c r="W32" i="6"/>
  <c r="V32" i="6"/>
  <c r="U32" i="6"/>
  <c r="T32" i="6"/>
  <c r="S32" i="6"/>
  <c r="R32" i="6"/>
  <c r="Q32" i="6"/>
  <c r="P32" i="6"/>
  <c r="O32" i="6"/>
  <c r="N32" i="6"/>
  <c r="M32" i="6"/>
  <c r="K32" i="6"/>
  <c r="J32" i="6"/>
  <c r="I32" i="6"/>
  <c r="H32" i="6"/>
  <c r="G32" i="6"/>
  <c r="F32" i="6"/>
  <c r="E32" i="6"/>
  <c r="D32" i="6"/>
  <c r="C32" i="6"/>
  <c r="B32" i="6"/>
  <c r="A31" i="6"/>
  <c r="W31" i="6"/>
  <c r="V31" i="6"/>
  <c r="U31" i="6"/>
  <c r="T31" i="6"/>
  <c r="S31" i="6"/>
  <c r="R31" i="6"/>
  <c r="Q31" i="6"/>
  <c r="P31" i="6"/>
  <c r="O31" i="6"/>
  <c r="N31" i="6"/>
  <c r="M31" i="6"/>
  <c r="K31" i="6"/>
  <c r="J31" i="6"/>
  <c r="I31" i="6"/>
  <c r="H31" i="6"/>
  <c r="G31" i="6"/>
  <c r="F31" i="6"/>
  <c r="E31" i="6"/>
  <c r="D31" i="6"/>
  <c r="C31" i="6"/>
  <c r="B31" i="6"/>
  <c r="A30" i="6"/>
  <c r="W30" i="6"/>
  <c r="V30" i="6"/>
  <c r="U30" i="6"/>
  <c r="T30" i="6"/>
  <c r="S30" i="6"/>
  <c r="R30" i="6"/>
  <c r="Q30" i="6"/>
  <c r="P30" i="6"/>
  <c r="O30" i="6"/>
  <c r="N30" i="6"/>
  <c r="M30" i="6"/>
  <c r="K30" i="6"/>
  <c r="J30" i="6"/>
  <c r="I30" i="6"/>
  <c r="H30" i="6"/>
  <c r="G30" i="6"/>
  <c r="F30" i="6"/>
  <c r="E30" i="6"/>
  <c r="D30" i="6"/>
  <c r="C30" i="6"/>
  <c r="B30" i="6"/>
  <c r="A29" i="6"/>
  <c r="W29" i="6"/>
  <c r="V29" i="6"/>
  <c r="U29" i="6"/>
  <c r="T29" i="6"/>
  <c r="S29" i="6"/>
  <c r="R29" i="6"/>
  <c r="Q29" i="6"/>
  <c r="P29" i="6"/>
  <c r="O29" i="6"/>
  <c r="N29" i="6"/>
  <c r="M29" i="6"/>
  <c r="K29" i="6"/>
  <c r="J29" i="6"/>
  <c r="I29" i="6"/>
  <c r="H29" i="6"/>
  <c r="G29" i="6"/>
  <c r="F29" i="6"/>
  <c r="E29" i="6"/>
  <c r="D29" i="6"/>
  <c r="C29" i="6"/>
  <c r="B29" i="6"/>
  <c r="A28" i="6"/>
  <c r="W28" i="6"/>
  <c r="V28" i="6"/>
  <c r="U28" i="6"/>
  <c r="T28" i="6"/>
  <c r="S28" i="6"/>
  <c r="Q28" i="6"/>
  <c r="P28" i="6"/>
  <c r="O28" i="6"/>
  <c r="N28" i="6"/>
  <c r="M28" i="6"/>
  <c r="K28" i="6"/>
  <c r="J28" i="6"/>
  <c r="I28" i="6"/>
  <c r="H28" i="6"/>
  <c r="G28" i="6"/>
  <c r="F28" i="6"/>
  <c r="E28" i="6"/>
  <c r="D28" i="6"/>
  <c r="C28" i="6"/>
  <c r="B28" i="6"/>
  <c r="A27" i="6"/>
  <c r="W27" i="6"/>
  <c r="V27" i="6"/>
  <c r="U27" i="6"/>
  <c r="T27" i="6"/>
  <c r="S27" i="6"/>
  <c r="R27" i="6"/>
  <c r="Q27" i="6"/>
  <c r="P27" i="6"/>
  <c r="O27" i="6"/>
  <c r="N27" i="6"/>
  <c r="M27" i="6"/>
  <c r="K27" i="6"/>
  <c r="J27" i="6"/>
  <c r="I27" i="6"/>
  <c r="H27" i="6"/>
  <c r="G27" i="6"/>
  <c r="F27" i="6"/>
  <c r="E27" i="6"/>
  <c r="D27" i="6"/>
  <c r="C27" i="6"/>
  <c r="B27" i="6"/>
  <c r="A26" i="6"/>
  <c r="W26" i="6"/>
  <c r="V26" i="6"/>
  <c r="U26" i="6"/>
  <c r="T26" i="6"/>
  <c r="S26" i="6"/>
  <c r="R26" i="6"/>
  <c r="Q26" i="6"/>
  <c r="P26" i="6"/>
  <c r="O26" i="6"/>
  <c r="N26" i="6"/>
  <c r="M26" i="6"/>
  <c r="K26" i="6"/>
  <c r="J26" i="6"/>
  <c r="I26" i="6"/>
  <c r="H26" i="6"/>
  <c r="G26" i="6"/>
  <c r="F26" i="6"/>
  <c r="E26" i="6"/>
  <c r="D26" i="6"/>
  <c r="C26" i="6"/>
  <c r="B26" i="6"/>
  <c r="A25" i="6"/>
  <c r="W25" i="6"/>
  <c r="V25" i="6"/>
  <c r="U25" i="6"/>
  <c r="T25" i="6"/>
  <c r="S25" i="6"/>
  <c r="R25" i="6"/>
  <c r="Q25" i="6"/>
  <c r="P25" i="6"/>
  <c r="O25" i="6"/>
  <c r="N25" i="6"/>
  <c r="M25" i="6"/>
  <c r="K25" i="6"/>
  <c r="J25" i="6"/>
  <c r="I25" i="6"/>
  <c r="H25" i="6"/>
  <c r="G25" i="6"/>
  <c r="F25" i="6"/>
  <c r="E25" i="6"/>
  <c r="D25" i="6"/>
  <c r="C25" i="6"/>
  <c r="B25" i="6"/>
  <c r="A24" i="6"/>
  <c r="W24" i="6"/>
  <c r="V24" i="6"/>
  <c r="U24" i="6"/>
  <c r="T24" i="6"/>
  <c r="S24" i="6"/>
  <c r="R24" i="6"/>
  <c r="Q24" i="6"/>
  <c r="P24" i="6"/>
  <c r="O24" i="6"/>
  <c r="N24" i="6"/>
  <c r="M24" i="6"/>
  <c r="K24" i="6"/>
  <c r="J24" i="6"/>
  <c r="I24" i="6"/>
  <c r="H24" i="6"/>
  <c r="G24" i="6"/>
  <c r="F24" i="6"/>
  <c r="E24" i="6"/>
  <c r="D24" i="6"/>
  <c r="C24" i="6"/>
  <c r="B24" i="6"/>
  <c r="A23" i="6"/>
  <c r="W23" i="6"/>
  <c r="V23" i="6"/>
  <c r="U23" i="6"/>
  <c r="T23" i="6"/>
  <c r="S23" i="6"/>
  <c r="R23" i="6"/>
  <c r="Q23" i="6"/>
  <c r="P23" i="6"/>
  <c r="O23" i="6"/>
  <c r="N23" i="6"/>
  <c r="M23" i="6"/>
  <c r="K23" i="6"/>
  <c r="J23" i="6"/>
  <c r="I23" i="6"/>
  <c r="H23" i="6"/>
  <c r="G23" i="6"/>
  <c r="F23" i="6"/>
  <c r="E23" i="6"/>
  <c r="D23" i="6"/>
  <c r="C23" i="6"/>
  <c r="B23" i="6"/>
  <c r="A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A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A20" i="6"/>
  <c r="W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A19" i="6"/>
  <c r="W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A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A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A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A15" i="6"/>
  <c r="W15" i="6"/>
  <c r="V15" i="6"/>
  <c r="U15" i="6"/>
  <c r="T15" i="6"/>
  <c r="S15" i="6"/>
  <c r="Q15" i="6"/>
  <c r="P15" i="6"/>
  <c r="O15" i="6"/>
  <c r="N15" i="6"/>
  <c r="M15" i="6"/>
  <c r="K15" i="6"/>
  <c r="J15" i="6"/>
  <c r="I15" i="6"/>
  <c r="H15" i="6"/>
  <c r="G15" i="6"/>
  <c r="F15" i="6"/>
  <c r="E15" i="6"/>
  <c r="D15" i="6"/>
  <c r="C15" i="6"/>
  <c r="B15" i="6"/>
  <c r="A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13" i="6"/>
  <c r="W13" i="6"/>
  <c r="V13" i="6"/>
  <c r="U13" i="6"/>
  <c r="T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A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A11" i="6"/>
  <c r="W11" i="6"/>
  <c r="V11" i="6"/>
  <c r="U11" i="6"/>
  <c r="T11" i="6"/>
  <c r="S11" i="6"/>
  <c r="R11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A10" i="6"/>
  <c r="W10" i="6"/>
  <c r="V10" i="6"/>
  <c r="U10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A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A8" i="6"/>
  <c r="W8" i="6"/>
  <c r="V8" i="6"/>
  <c r="U8" i="6"/>
  <c r="T8" i="6"/>
  <c r="S8" i="6"/>
  <c r="R8" i="6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A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A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A5" i="6"/>
  <c r="W5" i="6"/>
  <c r="V5" i="6"/>
  <c r="U5" i="6"/>
  <c r="T5" i="6"/>
  <c r="S5" i="6"/>
  <c r="R5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4" i="6"/>
  <c r="W4" i="6"/>
  <c r="V4" i="6"/>
  <c r="U4" i="6"/>
  <c r="T4" i="6"/>
  <c r="S4" i="6"/>
  <c r="R4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A40" i="1"/>
  <c r="A14" i="1"/>
  <c r="A27" i="1"/>
  <c r="C1" i="5"/>
  <c r="A1" i="5"/>
  <c r="A14" i="5"/>
  <c r="B1" i="5"/>
  <c r="F14" i="5"/>
  <c r="E14" i="5"/>
  <c r="D14" i="5"/>
  <c r="C14" i="5"/>
  <c r="B14" i="5"/>
  <c r="A13" i="5"/>
  <c r="F13" i="5"/>
  <c r="E13" i="5"/>
  <c r="D13" i="5"/>
  <c r="C13" i="5"/>
  <c r="B13" i="5"/>
  <c r="A12" i="5"/>
  <c r="F12" i="5"/>
  <c r="E12" i="5"/>
  <c r="D12" i="5"/>
  <c r="C12" i="5"/>
  <c r="B12" i="5"/>
  <c r="A11" i="5"/>
  <c r="F11" i="5"/>
  <c r="E11" i="5"/>
  <c r="D11" i="5"/>
  <c r="C11" i="5"/>
  <c r="B11" i="5"/>
  <c r="A10" i="5"/>
  <c r="F10" i="5"/>
  <c r="E10" i="5"/>
  <c r="D10" i="5"/>
  <c r="C10" i="5"/>
  <c r="B10" i="5"/>
  <c r="A9" i="5"/>
  <c r="F9" i="5"/>
  <c r="E9" i="5"/>
  <c r="D9" i="5"/>
  <c r="C9" i="5"/>
  <c r="B9" i="5"/>
  <c r="A8" i="5"/>
  <c r="F8" i="5"/>
  <c r="E8" i="5"/>
  <c r="D8" i="5"/>
  <c r="C8" i="5"/>
  <c r="B8" i="5"/>
  <c r="A7" i="5"/>
  <c r="F7" i="5"/>
  <c r="E7" i="5"/>
  <c r="D7" i="5"/>
  <c r="C7" i="5"/>
  <c r="B7" i="5"/>
  <c r="A6" i="5"/>
  <c r="F6" i="5"/>
  <c r="E6" i="5"/>
  <c r="D6" i="5"/>
  <c r="C6" i="5"/>
  <c r="B6" i="5"/>
  <c r="A5" i="5"/>
  <c r="F5" i="5"/>
  <c r="E5" i="5"/>
  <c r="D5" i="5"/>
  <c r="C5" i="5"/>
  <c r="B5" i="5"/>
  <c r="A4" i="5"/>
  <c r="F4" i="5"/>
  <c r="E4" i="5"/>
  <c r="D4" i="5"/>
  <c r="C4" i="5"/>
  <c r="B4" i="5"/>
  <c r="D3" i="1"/>
  <c r="E3" i="1"/>
  <c r="F3" i="1"/>
  <c r="H3" i="1"/>
  <c r="S3" i="1"/>
  <c r="D4" i="1"/>
  <c r="E4" i="1"/>
  <c r="F4" i="1"/>
  <c r="H4" i="1"/>
  <c r="D5" i="1"/>
  <c r="E5" i="1"/>
  <c r="F5" i="1"/>
  <c r="H5" i="1"/>
  <c r="D6" i="1"/>
  <c r="E6" i="1"/>
  <c r="F6" i="1"/>
  <c r="H6" i="1"/>
  <c r="D7" i="1"/>
  <c r="E7" i="1"/>
  <c r="F7" i="1"/>
  <c r="H7" i="1"/>
  <c r="D8" i="1"/>
  <c r="E8" i="1"/>
  <c r="F8" i="1"/>
  <c r="H8" i="1"/>
  <c r="D9" i="1"/>
  <c r="E9" i="1"/>
  <c r="F9" i="1"/>
  <c r="H9" i="1"/>
  <c r="D10" i="1"/>
  <c r="E10" i="1"/>
  <c r="F10" i="1"/>
  <c r="H10" i="1"/>
  <c r="D11" i="1"/>
  <c r="E11" i="1"/>
  <c r="F11" i="1"/>
  <c r="H11" i="1"/>
  <c r="D12" i="1"/>
  <c r="E12" i="1"/>
  <c r="F12" i="1"/>
  <c r="H12" i="1"/>
  <c r="D13" i="1"/>
  <c r="E13" i="1"/>
  <c r="F13" i="1"/>
  <c r="H13" i="1"/>
  <c r="D14" i="1"/>
  <c r="E14" i="1"/>
  <c r="F14" i="1"/>
  <c r="H14" i="1"/>
  <c r="D15" i="1"/>
  <c r="E15" i="1"/>
  <c r="F15" i="1"/>
  <c r="H15" i="1"/>
  <c r="D16" i="1"/>
  <c r="E16" i="1"/>
  <c r="F16" i="1"/>
  <c r="H16" i="1"/>
  <c r="D17" i="1"/>
  <c r="E17" i="1"/>
  <c r="F17" i="1"/>
  <c r="H17" i="1"/>
  <c r="D18" i="1"/>
  <c r="E18" i="1"/>
  <c r="F18" i="1"/>
  <c r="H18" i="1"/>
  <c r="D19" i="1"/>
  <c r="E19" i="1"/>
  <c r="F19" i="1"/>
  <c r="H19" i="1"/>
  <c r="D20" i="1"/>
  <c r="E20" i="1"/>
  <c r="F20" i="1"/>
  <c r="H20" i="1"/>
  <c r="D21" i="1"/>
  <c r="E21" i="1"/>
  <c r="F21" i="1"/>
  <c r="H21" i="1"/>
  <c r="D23" i="1"/>
  <c r="E23" i="1"/>
  <c r="F23" i="1"/>
  <c r="H23" i="1"/>
  <c r="D24" i="1"/>
  <c r="E24" i="1"/>
  <c r="F24" i="1"/>
  <c r="H24" i="1"/>
  <c r="D25" i="1"/>
  <c r="E25" i="1"/>
  <c r="F25" i="1"/>
  <c r="H25" i="1"/>
  <c r="D26" i="1"/>
  <c r="E26" i="1"/>
  <c r="F26" i="1"/>
  <c r="H26" i="1"/>
  <c r="D27" i="1"/>
  <c r="E27" i="1"/>
  <c r="F27" i="1"/>
  <c r="H27" i="1"/>
  <c r="D28" i="1"/>
  <c r="E28" i="1"/>
  <c r="F28" i="1"/>
  <c r="H28" i="1"/>
  <c r="D29" i="1"/>
  <c r="E29" i="1"/>
  <c r="F29" i="1"/>
  <c r="H29" i="1"/>
  <c r="D30" i="1"/>
  <c r="E30" i="1"/>
  <c r="F30" i="1"/>
  <c r="H30" i="1"/>
  <c r="D31" i="1"/>
  <c r="E31" i="1"/>
  <c r="F31" i="1"/>
  <c r="H31" i="1"/>
  <c r="D32" i="1"/>
  <c r="E32" i="1"/>
  <c r="F32" i="1"/>
  <c r="H32" i="1"/>
  <c r="D33" i="1"/>
  <c r="E33" i="1"/>
  <c r="F33" i="1"/>
  <c r="H33" i="1"/>
  <c r="D34" i="1"/>
  <c r="E34" i="1"/>
  <c r="F34" i="1"/>
  <c r="H34" i="1"/>
  <c r="D36" i="1"/>
  <c r="E36" i="1"/>
  <c r="F36" i="1"/>
  <c r="H36" i="1"/>
  <c r="D37" i="1"/>
  <c r="E37" i="1"/>
  <c r="F37" i="1"/>
  <c r="H37" i="1"/>
  <c r="D38" i="1"/>
  <c r="E38" i="1"/>
  <c r="F38" i="1"/>
  <c r="H38" i="1"/>
  <c r="D39" i="1"/>
  <c r="E39" i="1"/>
  <c r="F39" i="1"/>
  <c r="H39" i="1"/>
  <c r="D40" i="1"/>
  <c r="E40" i="1"/>
  <c r="F40" i="1"/>
  <c r="H40" i="1"/>
  <c r="G3" i="2"/>
  <c r="A3" i="2"/>
  <c r="H2" i="1"/>
  <c r="B3" i="2"/>
  <c r="D3" i="2"/>
  <c r="E3" i="2"/>
  <c r="H3" i="2"/>
  <c r="G4" i="2"/>
  <c r="A4" i="2"/>
  <c r="B4" i="2"/>
  <c r="D4" i="2"/>
  <c r="E4" i="2"/>
  <c r="H4" i="2"/>
  <c r="G5" i="2"/>
  <c r="A5" i="2"/>
  <c r="B5" i="2"/>
  <c r="D5" i="2"/>
  <c r="E5" i="2"/>
  <c r="H5" i="2"/>
  <c r="G6" i="2"/>
  <c r="A6" i="2"/>
  <c r="B6" i="2"/>
  <c r="D6" i="2"/>
  <c r="E6" i="2"/>
  <c r="H6" i="2"/>
  <c r="G7" i="2"/>
  <c r="A7" i="2"/>
  <c r="B7" i="2"/>
  <c r="D7" i="2"/>
  <c r="E7" i="2"/>
  <c r="H7" i="2"/>
  <c r="G8" i="2"/>
  <c r="A8" i="2"/>
  <c r="B8" i="2"/>
  <c r="D8" i="2"/>
  <c r="E8" i="2"/>
  <c r="H8" i="2"/>
  <c r="G9" i="2"/>
  <c r="A9" i="2"/>
  <c r="B9" i="2"/>
  <c r="D9" i="2"/>
  <c r="E9" i="2"/>
  <c r="H9" i="2"/>
  <c r="G10" i="2"/>
  <c r="A10" i="2"/>
  <c r="B10" i="2"/>
  <c r="D10" i="2"/>
  <c r="E10" i="2"/>
  <c r="H10" i="2"/>
  <c r="G11" i="2"/>
  <c r="A11" i="2"/>
  <c r="B11" i="2"/>
  <c r="D11" i="2"/>
  <c r="E11" i="2"/>
  <c r="H11" i="2"/>
  <c r="G12" i="2"/>
  <c r="A12" i="2"/>
  <c r="B12" i="2"/>
  <c r="D12" i="2"/>
  <c r="E12" i="2"/>
  <c r="H12" i="2"/>
  <c r="G13" i="2"/>
  <c r="A13" i="2"/>
  <c r="B13" i="2"/>
  <c r="D13" i="2"/>
  <c r="E13" i="2"/>
  <c r="H13" i="2"/>
  <c r="S2" i="1"/>
  <c r="A3" i="6"/>
  <c r="I3" i="6"/>
  <c r="H3" i="6"/>
  <c r="G3" i="6"/>
  <c r="D2" i="1"/>
  <c r="F2" i="1"/>
  <c r="G2" i="2"/>
  <c r="H2" i="2"/>
  <c r="W3" i="6"/>
  <c r="V3" i="6"/>
  <c r="U3" i="6"/>
  <c r="T3" i="6"/>
  <c r="S3" i="6"/>
  <c r="A2" i="2"/>
  <c r="B2" i="2"/>
  <c r="E2" i="2"/>
  <c r="D2" i="2"/>
  <c r="A3" i="5"/>
  <c r="F3" i="5"/>
  <c r="E3" i="5"/>
  <c r="D3" i="5"/>
  <c r="C3" i="5"/>
  <c r="B3" i="5"/>
  <c r="B3" i="6"/>
  <c r="C3" i="6"/>
  <c r="D3" i="6"/>
  <c r="E3" i="6"/>
  <c r="F3" i="6"/>
  <c r="J3" i="6"/>
  <c r="K3" i="6"/>
  <c r="L3" i="6"/>
  <c r="M3" i="6"/>
  <c r="N3" i="6"/>
  <c r="O3" i="6"/>
  <c r="P3" i="6"/>
  <c r="Q3" i="6"/>
  <c r="R3" i="6"/>
</calcChain>
</file>

<file path=xl/sharedStrings.xml><?xml version="1.0" encoding="utf-8"?>
<sst xmlns="http://schemas.openxmlformats.org/spreadsheetml/2006/main" count="77" uniqueCount="56">
  <si>
    <t>quest_id</t>
  </si>
  <si>
    <t>stage_id</t>
  </si>
  <si>
    <t>character_id</t>
  </si>
  <si>
    <t>level</t>
  </si>
  <si>
    <t>skill_set_id</t>
    <phoneticPr fontId="3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</si>
  <si>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</si>
  <si>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</si>
  <si>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</si>
  <si>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</si>
  <si>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</si>
  <si>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</si>
  <si>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</si>
  <si>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</si>
  <si>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</si>
  <si>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</si>
  <si>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</si>
  <si>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3"/>
  </si>
  <si>
    <t>rare</t>
    <phoneticPr fontId="3"/>
  </si>
  <si>
    <t>name</t>
    <phoneticPr fontId="3"/>
  </si>
  <si>
    <t>floor_id</t>
    <phoneticPr fontId="3"/>
  </si>
  <si>
    <t>name</t>
    <phoneticPr fontId="3"/>
  </si>
  <si>
    <t>name</t>
    <phoneticPr fontId="3"/>
  </si>
  <si>
    <t>skill_set_id</t>
  </si>
  <si>
    <t>drop_label</t>
    <phoneticPr fontId="3"/>
  </si>
  <si>
    <t>color</t>
    <phoneticPr fontId="3"/>
  </si>
  <si>
    <t>size</t>
    <phoneticPr fontId="3"/>
  </si>
  <si>
    <t>character_main_tribe_id</t>
    <phoneticPr fontId="3"/>
  </si>
  <si>
    <t>drop_label</t>
    <phoneticPr fontId="5"/>
  </si>
  <si>
    <t>temp_stage</t>
    <phoneticPr fontId="3"/>
  </si>
  <si>
    <t>temp_habitats</t>
    <phoneticPr fontId="3"/>
  </si>
  <si>
    <t>temp_habitats</t>
    <phoneticPr fontId="3"/>
  </si>
  <si>
    <t>temp_floor</t>
    <phoneticPr fontId="3"/>
  </si>
  <si>
    <t>temp_floor</t>
    <phoneticPr fontId="3"/>
  </si>
  <si>
    <t>スキル</t>
    <phoneticPr fontId="3"/>
  </si>
  <si>
    <t>temp_stage</t>
    <phoneticPr fontId="3"/>
  </si>
  <si>
    <t>位置付け</t>
    <rPh sb="0" eb="3">
      <t>イチヅ</t>
    </rPh>
    <phoneticPr fontId="3"/>
  </si>
  <si>
    <t>name</t>
    <phoneticPr fontId="3"/>
  </si>
  <si>
    <t>temp_floor</t>
    <phoneticPr fontId="3"/>
  </si>
  <si>
    <t>status</t>
    <phoneticPr fontId="3"/>
  </si>
  <si>
    <t>hp_plus</t>
  </si>
  <si>
    <t>hp_plus</t>
    <phoneticPr fontId="3"/>
  </si>
  <si>
    <t>attack_plus</t>
  </si>
  <si>
    <t>attack_plus</t>
    <phoneticPr fontId="3"/>
  </si>
  <si>
    <t>defense_plus</t>
  </si>
  <si>
    <t>defense_plus</t>
    <phoneticPr fontId="3"/>
  </si>
  <si>
    <t>heal_plus</t>
  </si>
  <si>
    <t>heal_plus</t>
    <phoneticPr fontId="3"/>
  </si>
  <si>
    <t>bug</t>
  </si>
  <si>
    <t>bug</t>
    <phoneticPr fontId="3"/>
  </si>
  <si>
    <t>hp_coefficient</t>
  </si>
  <si>
    <t>hp_coefficient</t>
    <phoneticPr fontId="3"/>
  </si>
  <si>
    <t>attack_coefficient</t>
  </si>
  <si>
    <t>attack_coefficient</t>
    <phoneticPr fontId="3"/>
  </si>
  <si>
    <t>defense_correction</t>
  </si>
  <si>
    <t>defense_correction</t>
    <phoneticPr fontId="3"/>
  </si>
  <si>
    <t>s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</si>
</sst>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&quot;$&quot;#&quot;:$&quot;#"/>
    <numFmt numFmtId="177" formatCode="0_);[Red]\(0\)"/>
    <numFmt numFmtId="178" formatCode="0.0"/>
  </numFmts>
  <fonts count="1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627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3" fillId="0" borderId="0">
      <alignment vertical="center"/>
    </xf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48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" fillId="5" borderId="3" xfId="0" applyFont="1" applyFill="1" applyBorder="1" applyAlignment="1">
      <alignment vertical="center"/>
    </xf>
    <xf numFmtId="0" fontId="6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1" fillId="6" borderId="0" xfId="11" applyFont="1" applyFill="1"/>
    <xf numFmtId="176" fontId="1" fillId="6" borderId="0" xfId="11" applyNumberFormat="1" applyFont="1" applyFill="1"/>
    <xf numFmtId="0" fontId="0" fillId="7" borderId="0" xfId="0" applyFill="1"/>
    <xf numFmtId="0" fontId="9" fillId="0" borderId="0" xfId="11" applyFont="1" applyFill="1" applyBorder="1"/>
    <xf numFmtId="0" fontId="2" fillId="3" borderId="7" xfId="0" applyFont="1" applyFill="1" applyBorder="1" applyAlignment="1">
      <alignment horizontal="center" vertical="center"/>
    </xf>
    <xf numFmtId="0" fontId="10" fillId="8" borderId="0" xfId="0" applyFont="1" applyFill="1" applyAlignment="1">
      <alignment vertical="center"/>
    </xf>
    <xf numFmtId="0" fontId="11" fillId="8" borderId="0" xfId="0" applyFont="1" applyFill="1"/>
    <xf numFmtId="0" fontId="12" fillId="8" borderId="0" xfId="11" applyFont="1" applyFill="1" applyBorder="1"/>
    <xf numFmtId="0" fontId="4" fillId="5" borderId="9" xfId="0" applyFont="1" applyFill="1" applyBorder="1" applyAlignment="1">
      <alignment vertical="center"/>
    </xf>
    <xf numFmtId="0" fontId="4" fillId="5" borderId="7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77" fontId="2" fillId="0" borderId="3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178" fontId="6" fillId="0" borderId="4" xfId="0" applyNumberFormat="1" applyFont="1" applyBorder="1" applyAlignment="1">
      <alignment vertical="center"/>
    </xf>
    <xf numFmtId="0" fontId="2" fillId="2" borderId="7" xfId="0" applyFont="1" applyFill="1" applyBorder="1" applyAlignment="1">
      <alignment horizontal="left" vertical="center"/>
    </xf>
    <xf numFmtId="0" fontId="10" fillId="8" borderId="0" xfId="0" applyFont="1" applyFill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7" xfId="406" applyFont="1" applyFill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4" fillId="9" borderId="3" xfId="0" applyFont="1" applyFill="1" applyBorder="1" applyAlignment="1">
      <alignment vertical="center"/>
    </xf>
    <xf numFmtId="0" fontId="2" fillId="10" borderId="1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vertical="center"/>
    </xf>
    <xf numFmtId="0" fontId="9" fillId="11" borderId="0" xfId="11" applyFont="1" applyFill="1" applyBorder="1"/>
  </cellXfs>
  <cellStyles count="627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標準" xfId="0" builtinId="0"/>
    <cellStyle name="標準 2 2" xfId="406"/>
    <cellStyle name="標準 4" xfId="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externalLink" Target="externalLinks/externalLink2.xml"/><Relationship Id="rId7" Type="http://schemas.openxmlformats.org/officeDocument/2006/relationships/externalLink" Target="externalLinks/externalLink3.xml"/><Relationship Id="rId8" Type="http://schemas.openxmlformats.org/officeDocument/2006/relationships/externalLink" Target="externalLinks/externalLink4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  <cell r="B2" t="str">
            <v>ジェリー</v>
          </cell>
          <cell r="C2">
            <v>1</v>
          </cell>
          <cell r="D2" t="str">
            <v>red</v>
          </cell>
          <cell r="E2">
            <v>1</v>
          </cell>
          <cell r="F2">
            <v>1.02</v>
          </cell>
          <cell r="G2">
            <v>1</v>
          </cell>
          <cell r="H2" t="str">
            <v>attack</v>
          </cell>
          <cell r="I2" t="str">
            <v>攻撃タイプ</v>
          </cell>
          <cell r="J2">
            <v>1</v>
          </cell>
          <cell r="K2">
            <v>1.33</v>
          </cell>
          <cell r="L2">
            <v>1</v>
          </cell>
          <cell r="M2" t="str">
            <v>unknown</v>
          </cell>
          <cell r="N2" t="str">
            <v>Unknown</v>
          </cell>
          <cell r="O2">
            <v>1</v>
          </cell>
          <cell r="P2">
            <v>1</v>
          </cell>
          <cell r="Q2">
            <v>1</v>
          </cell>
          <cell r="R2" t="str">
            <v>Normal</v>
          </cell>
          <cell r="S2">
            <v>1</v>
          </cell>
          <cell r="T2">
            <v>1</v>
          </cell>
          <cell r="U2">
            <v>1</v>
          </cell>
          <cell r="V2">
            <v>1</v>
          </cell>
          <cell r="W2">
            <v>0.55000000000000004</v>
          </cell>
          <cell r="X2">
            <v>15</v>
          </cell>
          <cell r="Y2">
            <v>1</v>
          </cell>
          <cell r="Z2">
            <v>1</v>
          </cell>
          <cell r="AA2">
            <v>1</v>
          </cell>
          <cell r="AB2">
            <v>0</v>
          </cell>
          <cell r="AC2" t="str">
            <v>なし</v>
          </cell>
          <cell r="AD2">
            <v>1</v>
          </cell>
          <cell r="AE2">
            <v>0.9</v>
          </cell>
          <cell r="AF2">
            <v>0</v>
          </cell>
          <cell r="AG2">
            <v>500</v>
          </cell>
          <cell r="AH2">
            <v>101</v>
          </cell>
          <cell r="AI2">
            <v>0</v>
          </cell>
          <cell r="AJ2">
            <v>20300</v>
          </cell>
          <cell r="AK2">
            <v>4090</v>
          </cell>
          <cell r="AL2">
            <v>0</v>
          </cell>
          <cell r="AM2">
            <v>340</v>
          </cell>
          <cell r="AN2">
            <v>0</v>
          </cell>
          <cell r="AO2">
            <v>0</v>
          </cell>
          <cell r="AP2" t="str">
            <v>NULL</v>
          </cell>
          <cell r="AQ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</row>
        <row r="642">
          <cell r="A642">
            <v>641</v>
          </cell>
          <cell r="B642" t="str">
            <v>ja</v>
          </cell>
          <cell r="C642" t="str">
            <v>城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</row>
        <row r="1345">
          <cell r="A1345">
            <v>1344</v>
          </cell>
          <cell r="B1345" t="str">
            <v>ja</v>
          </cell>
          <cell r="C1345" t="str">
            <v>ネセバル</v>
          </cell>
          <cell r="H1345" t="str">
            <v>blue</v>
          </cell>
          <cell r="I1345">
            <v>5</v>
          </cell>
          <cell r="J1345" t="str">
            <v>PremiumSSw</v>
          </cell>
        </row>
        <row r="1346">
          <cell r="A1346">
            <v>1345</v>
          </cell>
          <cell r="B1346" t="str">
            <v>ja</v>
          </cell>
          <cell r="C1346" t="str">
            <v>碧影の聖跡 ネセバル</v>
          </cell>
          <cell r="H1346" t="str">
            <v>blue</v>
          </cell>
          <cell r="I1346">
            <v>6</v>
          </cell>
          <cell r="J1346" t="str">
            <v>PremiumSSw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3</v>
          </cell>
          <cell r="J1402" t="str">
            <v>Material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  <cell r="D1403" t="str">
            <v>スキル進化素材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4</v>
          </cell>
          <cell r="J1403" t="str">
            <v>Material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5</v>
          </cell>
          <cell r="J1404" t="str">
            <v>Material</v>
          </cell>
        </row>
        <row r="1405">
          <cell r="A1405">
            <v>1454</v>
          </cell>
          <cell r="B1405" t="str">
            <v>ja</v>
          </cell>
          <cell r="C1405" t="str">
            <v>ストレングス</v>
          </cell>
          <cell r="D1405" t="str">
            <v>未定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red</v>
          </cell>
          <cell r="I1405">
            <v>5</v>
          </cell>
          <cell r="J1405" t="str">
            <v>PremiumSSS</v>
          </cell>
        </row>
        <row r="1406">
          <cell r="A1406">
            <v>1455</v>
          </cell>
          <cell r="B1406" t="str">
            <v>ja</v>
          </cell>
          <cell r="C1406" t="str">
            <v>豪毅なる征獣師 ストレングス</v>
          </cell>
          <cell r="D1406" t="str">
            <v>未定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red</v>
          </cell>
          <cell r="I1406">
            <v>6</v>
          </cell>
          <cell r="J1406" t="str">
            <v>PremiumSSS</v>
          </cell>
        </row>
        <row r="1407">
          <cell r="A1407">
            <v>1458</v>
          </cell>
          <cell r="B1407" t="str">
            <v>ja</v>
          </cell>
          <cell r="C1407" t="str">
            <v>diamond01</v>
          </cell>
          <cell r="H1407" t="str">
            <v>red</v>
          </cell>
          <cell r="I1407">
            <v>5</v>
          </cell>
          <cell r="J1407" t="str">
            <v>PremiumSS</v>
          </cell>
        </row>
        <row r="1408">
          <cell r="A1408">
            <v>1459</v>
          </cell>
          <cell r="B1408" t="str">
            <v>ja</v>
          </cell>
          <cell r="C1408" t="str">
            <v>diamond02</v>
          </cell>
          <cell r="H1408" t="str">
            <v>red</v>
          </cell>
          <cell r="I1408">
            <v>6</v>
          </cell>
          <cell r="J1408" t="str">
            <v>PremiumSS</v>
          </cell>
        </row>
        <row r="1409">
          <cell r="A1409">
            <v>1460</v>
          </cell>
          <cell r="B1409" t="str">
            <v>ja</v>
          </cell>
          <cell r="C1409" t="str">
            <v>opal01</v>
          </cell>
          <cell r="H1409" t="str">
            <v>blue</v>
          </cell>
          <cell r="I1409">
            <v>4</v>
          </cell>
          <cell r="J1409" t="str">
            <v>PremiumS</v>
          </cell>
        </row>
        <row r="1410">
          <cell r="A1410">
            <v>1461</v>
          </cell>
          <cell r="B1410" t="str">
            <v>ja</v>
          </cell>
          <cell r="C1410" t="str">
            <v>opal02</v>
          </cell>
          <cell r="H1410" t="str">
            <v>blue</v>
          </cell>
          <cell r="I1410">
            <v>5</v>
          </cell>
          <cell r="J1410" t="str">
            <v>PremiumS</v>
          </cell>
        </row>
        <row r="1411">
          <cell r="A1411">
            <v>1462</v>
          </cell>
          <cell r="B1411" t="str">
            <v>ja</v>
          </cell>
          <cell r="C1411" t="str">
            <v>ruby01</v>
          </cell>
          <cell r="H1411" t="str">
            <v>yellow</v>
          </cell>
          <cell r="I1411">
            <v>5</v>
          </cell>
          <cell r="J1411" t="str">
            <v>PremiumSS</v>
          </cell>
        </row>
        <row r="1412">
          <cell r="A1412">
            <v>1463</v>
          </cell>
          <cell r="B1412" t="str">
            <v>ja</v>
          </cell>
          <cell r="C1412" t="str">
            <v>ruby02</v>
          </cell>
          <cell r="H1412" t="str">
            <v>yellow</v>
          </cell>
          <cell r="I1412">
            <v>6</v>
          </cell>
          <cell r="J1412" t="str">
            <v>PremiumSS</v>
          </cell>
        </row>
        <row r="1413">
          <cell r="A1413">
            <v>1464</v>
          </cell>
          <cell r="B1413" t="str">
            <v>ja</v>
          </cell>
          <cell r="C1413" t="str">
            <v>garnet01</v>
          </cell>
          <cell r="H1413" t="str">
            <v>yellow</v>
          </cell>
          <cell r="I1413">
            <v>5</v>
          </cell>
          <cell r="J1413" t="str">
            <v>PremiumSS</v>
          </cell>
        </row>
        <row r="1414">
          <cell r="A1414">
            <v>1465</v>
          </cell>
          <cell r="B1414" t="str">
            <v>ja</v>
          </cell>
          <cell r="C1414" t="str">
            <v>garnet02</v>
          </cell>
          <cell r="H1414" t="str">
            <v>yellow</v>
          </cell>
          <cell r="I1414">
            <v>6</v>
          </cell>
          <cell r="J1414" t="str">
            <v>PremiumSS</v>
          </cell>
        </row>
        <row r="1415">
          <cell r="A1415">
            <v>1466</v>
          </cell>
          <cell r="B1415" t="str">
            <v>ja</v>
          </cell>
          <cell r="C1415" t="str">
            <v>sapphire01</v>
          </cell>
          <cell r="H1415" t="str">
            <v>blue</v>
          </cell>
          <cell r="I1415">
            <v>5</v>
          </cell>
          <cell r="J1415" t="str">
            <v>DropWizS</v>
          </cell>
        </row>
        <row r="1416">
          <cell r="A1416">
            <v>1467</v>
          </cell>
          <cell r="B1416" t="str">
            <v>ja</v>
          </cell>
          <cell r="C1416" t="str">
            <v>sapphire02</v>
          </cell>
          <cell r="H1416" t="str">
            <v>blue</v>
          </cell>
          <cell r="I1416">
            <v>6</v>
          </cell>
          <cell r="J1416" t="str">
            <v>DropWizS</v>
          </cell>
        </row>
        <row r="1417">
          <cell r="A1417">
            <v>1468</v>
          </cell>
          <cell r="B1417" t="str">
            <v>ja</v>
          </cell>
          <cell r="C1417" t="str">
            <v>emerald01</v>
          </cell>
          <cell r="H1417" t="str">
            <v>green</v>
          </cell>
          <cell r="I1417">
            <v>5</v>
          </cell>
          <cell r="J1417" t="str">
            <v>Drop2N</v>
          </cell>
        </row>
        <row r="1418">
          <cell r="A1418">
            <v>1469</v>
          </cell>
          <cell r="B1418" t="str">
            <v>ja</v>
          </cell>
          <cell r="C1418" t="str">
            <v>aquamarine01</v>
          </cell>
          <cell r="H1418" t="str">
            <v>yellow</v>
          </cell>
          <cell r="I1418">
            <v>5</v>
          </cell>
          <cell r="J1418" t="str">
            <v>Drop2N</v>
          </cell>
        </row>
        <row r="1419">
          <cell r="A1419">
            <v>1470</v>
          </cell>
          <cell r="B1419" t="str">
            <v>ja</v>
          </cell>
          <cell r="C1419" t="str">
            <v>amethyst01</v>
          </cell>
          <cell r="H1419" t="str">
            <v>red</v>
          </cell>
          <cell r="I1419">
            <v>5</v>
          </cell>
          <cell r="J1419" t="str">
            <v>Drop2N</v>
          </cell>
        </row>
        <row r="1420">
          <cell r="A1420">
            <v>1488</v>
          </cell>
          <cell r="B1420" t="str">
            <v>ja</v>
          </cell>
          <cell r="C1420" t="str">
            <v>バクR5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green</v>
          </cell>
          <cell r="I1420">
            <v>5</v>
          </cell>
          <cell r="J1420" t="str">
            <v>PremiumSSS</v>
          </cell>
        </row>
        <row r="1421">
          <cell r="A1421">
            <v>1489</v>
          </cell>
          <cell r="B1421" t="str">
            <v>ja</v>
          </cell>
          <cell r="C1421" t="str">
            <v>バクR6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6</v>
          </cell>
          <cell r="J1421" t="str">
            <v>PremiumSSS</v>
          </cell>
        </row>
        <row r="1422">
          <cell r="A1422">
            <v>1504</v>
          </cell>
          <cell r="B1422" t="str">
            <v>ja</v>
          </cell>
          <cell r="C1422" t="str">
            <v>magenta01</v>
          </cell>
          <cell r="H1422" t="str">
            <v>red</v>
          </cell>
          <cell r="I1422">
            <v>1</v>
          </cell>
          <cell r="J1422" t="str">
            <v>Drop1T</v>
          </cell>
        </row>
        <row r="1423">
          <cell r="A1423">
            <v>1505</v>
          </cell>
          <cell r="B1423" t="str">
            <v>ja</v>
          </cell>
          <cell r="C1423" t="str">
            <v>amber01</v>
          </cell>
          <cell r="H1423" t="str">
            <v>green</v>
          </cell>
          <cell r="I1423">
            <v>1</v>
          </cell>
          <cell r="J1423" t="str">
            <v>Drop1T</v>
          </cell>
        </row>
        <row r="1424">
          <cell r="A1424">
            <v>1506</v>
          </cell>
          <cell r="B1424" t="str">
            <v>ja</v>
          </cell>
          <cell r="C1424" t="str">
            <v>pumpkin01</v>
          </cell>
          <cell r="H1424" t="str">
            <v>yellow</v>
          </cell>
          <cell r="I1424">
            <v>2</v>
          </cell>
          <cell r="J1424" t="str">
            <v>Drop1S</v>
          </cell>
        </row>
        <row r="1425">
          <cell r="A1425">
            <v>1507</v>
          </cell>
          <cell r="B1425" t="str">
            <v>ja</v>
          </cell>
          <cell r="C1425" t="str">
            <v>rose01</v>
          </cell>
          <cell r="H1425" t="str">
            <v>blue</v>
          </cell>
          <cell r="I1425">
            <v>3</v>
          </cell>
          <cell r="J1425" t="str">
            <v>Drop2N</v>
          </cell>
        </row>
        <row r="1426">
          <cell r="A1426">
            <v>1508</v>
          </cell>
          <cell r="B1426" t="str">
            <v>ja</v>
          </cell>
          <cell r="C1426" t="str">
            <v>burgundy01</v>
          </cell>
          <cell r="H1426" t="str">
            <v>red</v>
          </cell>
          <cell r="I1426">
            <v>4</v>
          </cell>
          <cell r="J1426" t="str">
            <v>Drop2N</v>
          </cell>
        </row>
        <row r="1427">
          <cell r="A1427">
            <v>1509</v>
          </cell>
          <cell r="B1427" t="str">
            <v>ja</v>
          </cell>
          <cell r="C1427" t="str">
            <v>cyan01</v>
          </cell>
          <cell r="H1427" t="str">
            <v>green</v>
          </cell>
          <cell r="I1427">
            <v>5</v>
          </cell>
          <cell r="J1427" t="str">
            <v>Drop2N</v>
          </cell>
        </row>
        <row r="1428">
          <cell r="A1428">
            <v>1510</v>
          </cell>
          <cell r="B1428" t="str">
            <v>ja</v>
          </cell>
          <cell r="C1428" t="str">
            <v>scarlet01</v>
          </cell>
          <cell r="H1428" t="str">
            <v>yellow</v>
          </cell>
          <cell r="I1428">
            <v>4</v>
          </cell>
          <cell r="J1428" t="str">
            <v>DropWizS</v>
          </cell>
        </row>
        <row r="1429">
          <cell r="A1429">
            <v>1511</v>
          </cell>
          <cell r="B1429" t="str">
            <v>ja</v>
          </cell>
          <cell r="C1429" t="str">
            <v>scarlet02</v>
          </cell>
          <cell r="H1429" t="str">
            <v>yellow</v>
          </cell>
          <cell r="I1429">
            <v>5</v>
          </cell>
          <cell r="J1429" t="str">
            <v>DropWizS</v>
          </cell>
        </row>
        <row r="1430">
          <cell r="A1430">
            <v>1512</v>
          </cell>
          <cell r="B1430" t="str">
            <v>ja</v>
          </cell>
          <cell r="C1430" t="str">
            <v>scarlet03</v>
          </cell>
          <cell r="H1430" t="str">
            <v>yellow</v>
          </cell>
          <cell r="I1430">
            <v>6</v>
          </cell>
          <cell r="J1430" t="str">
            <v>DropWizS</v>
          </cell>
        </row>
        <row r="1431">
          <cell r="A1431">
            <v>1513</v>
          </cell>
          <cell r="B1431" t="str">
            <v>ja</v>
          </cell>
          <cell r="C1431" t="str">
            <v>gold01</v>
          </cell>
          <cell r="H1431" t="str">
            <v>yellow</v>
          </cell>
          <cell r="I1431">
            <v>4</v>
          </cell>
          <cell r="J1431" t="str">
            <v>Material</v>
          </cell>
        </row>
        <row r="1432">
          <cell r="A1432">
            <v>1514</v>
          </cell>
          <cell r="B1432" t="str">
            <v>ja</v>
          </cell>
          <cell r="C1432" t="str">
            <v>gold02</v>
          </cell>
          <cell r="H1432" t="str">
            <v>yellow</v>
          </cell>
          <cell r="I1432">
            <v>5</v>
          </cell>
          <cell r="J1432" t="str">
            <v>Material</v>
          </cell>
        </row>
        <row r="1433">
          <cell r="A1433">
            <v>1515</v>
          </cell>
          <cell r="B1433" t="str">
            <v>ja</v>
          </cell>
          <cell r="C1433" t="str">
            <v>red01</v>
          </cell>
          <cell r="H1433" t="str">
            <v>red</v>
          </cell>
          <cell r="I1433">
            <v>4</v>
          </cell>
          <cell r="J1433" t="str">
            <v>Material</v>
          </cell>
        </row>
        <row r="1434">
          <cell r="A1434">
            <v>1516</v>
          </cell>
          <cell r="B1434" t="str">
            <v>ja</v>
          </cell>
          <cell r="C1434" t="str">
            <v>red02</v>
          </cell>
          <cell r="H1434" t="str">
            <v>red</v>
          </cell>
          <cell r="I1434">
            <v>5</v>
          </cell>
          <cell r="J1434" t="str">
            <v>Material</v>
          </cell>
        </row>
        <row r="1435">
          <cell r="A1435">
            <v>1517</v>
          </cell>
          <cell r="B1435" t="str">
            <v>ja</v>
          </cell>
          <cell r="C1435" t="str">
            <v>blue01</v>
          </cell>
          <cell r="H1435" t="str">
            <v>blue</v>
          </cell>
          <cell r="I1435">
            <v>4</v>
          </cell>
          <cell r="J1435" t="str">
            <v>Material</v>
          </cell>
        </row>
        <row r="1436">
          <cell r="A1436">
            <v>1518</v>
          </cell>
          <cell r="B1436" t="str">
            <v>ja</v>
          </cell>
          <cell r="C1436" t="str">
            <v>blue02</v>
          </cell>
          <cell r="H1436" t="str">
            <v>blue</v>
          </cell>
          <cell r="I1436">
            <v>5</v>
          </cell>
          <cell r="J1436" t="str">
            <v>Material</v>
          </cell>
        </row>
        <row r="1437">
          <cell r="A1437">
            <v>1519</v>
          </cell>
          <cell r="B1437" t="str">
            <v>ja</v>
          </cell>
          <cell r="C1437" t="str">
            <v>green01</v>
          </cell>
          <cell r="H1437" t="str">
            <v>green</v>
          </cell>
          <cell r="I1437">
            <v>4</v>
          </cell>
          <cell r="J1437" t="str">
            <v>Material</v>
          </cell>
        </row>
        <row r="1438">
          <cell r="A1438">
            <v>1520</v>
          </cell>
          <cell r="B1438" t="str">
            <v>ja</v>
          </cell>
          <cell r="C1438" t="str">
            <v>green02</v>
          </cell>
          <cell r="H1438" t="str">
            <v>green</v>
          </cell>
          <cell r="I1438">
            <v>5</v>
          </cell>
          <cell r="J1438" t="str">
            <v>Material</v>
          </cell>
        </row>
        <row r="1439">
          <cell r="A1439">
            <v>1521</v>
          </cell>
          <cell r="B1439" t="str">
            <v>ja</v>
          </cell>
          <cell r="C1439" t="str">
            <v>yellow01</v>
          </cell>
          <cell r="H1439" t="str">
            <v>yellow</v>
          </cell>
          <cell r="I1439">
            <v>4</v>
          </cell>
          <cell r="J1439" t="str">
            <v>Material</v>
          </cell>
        </row>
        <row r="1440">
          <cell r="A1440">
            <v>1522</v>
          </cell>
          <cell r="B1440" t="str">
            <v>ja</v>
          </cell>
          <cell r="C1440" t="str">
            <v>yellow02</v>
          </cell>
          <cell r="H1440" t="str">
            <v>yellow</v>
          </cell>
          <cell r="I1440">
            <v>5</v>
          </cell>
          <cell r="J1440" t="str">
            <v>Material</v>
          </cell>
        </row>
        <row r="1441">
          <cell r="A1441">
            <v>1523</v>
          </cell>
          <cell r="B1441" t="str">
            <v>ja</v>
          </cell>
          <cell r="C1441" t="str">
            <v>olive01</v>
          </cell>
          <cell r="H1441" t="str">
            <v>blue</v>
          </cell>
          <cell r="I1441">
            <v>5</v>
          </cell>
          <cell r="J1441" t="str">
            <v>DropWizS</v>
          </cell>
        </row>
        <row r="1442">
          <cell r="A1442">
            <v>1524</v>
          </cell>
          <cell r="B1442" t="str">
            <v>ja</v>
          </cell>
          <cell r="C1442" t="str">
            <v>olive02</v>
          </cell>
          <cell r="H1442" t="str">
            <v>blue</v>
          </cell>
          <cell r="I1442">
            <v>6</v>
          </cell>
          <cell r="J1442" t="str">
            <v>DropWizS</v>
          </cell>
        </row>
        <row r="1443">
          <cell r="A1443">
            <v>1525</v>
          </cell>
          <cell r="B1443" t="str">
            <v>ja</v>
          </cell>
          <cell r="C1443" t="str">
            <v>white01</v>
          </cell>
          <cell r="H1443" t="str">
            <v>red</v>
          </cell>
          <cell r="I1443">
            <v>5</v>
          </cell>
          <cell r="J1443" t="str">
            <v>DropWizSS</v>
          </cell>
        </row>
        <row r="1444">
          <cell r="A1444">
            <v>1526</v>
          </cell>
          <cell r="B1444" t="str">
            <v>ja</v>
          </cell>
          <cell r="C1444" t="str">
            <v>white02</v>
          </cell>
          <cell r="H1444" t="str">
            <v>red</v>
          </cell>
          <cell r="I1444">
            <v>6</v>
          </cell>
          <cell r="J1444" t="str">
            <v>DropWizSS</v>
          </cell>
        </row>
        <row r="1445">
          <cell r="A1445">
            <v>1527</v>
          </cell>
          <cell r="B1445" t="str">
            <v>ja</v>
          </cell>
          <cell r="C1445" t="str">
            <v>violet01</v>
          </cell>
          <cell r="H1445" t="str">
            <v>red</v>
          </cell>
          <cell r="I1445">
            <v>4</v>
          </cell>
          <cell r="J1445" t="str">
            <v>PremiumS</v>
          </cell>
        </row>
        <row r="1446">
          <cell r="A1446">
            <v>1528</v>
          </cell>
          <cell r="B1446" t="str">
            <v>ja</v>
          </cell>
          <cell r="C1446" t="str">
            <v>violet02</v>
          </cell>
          <cell r="H1446" t="str">
            <v>red</v>
          </cell>
          <cell r="I1446">
            <v>5</v>
          </cell>
          <cell r="J1446" t="str">
            <v>PremiumS</v>
          </cell>
        </row>
        <row r="1447">
          <cell r="A1447">
            <v>1529</v>
          </cell>
          <cell r="B1447" t="str">
            <v>ja</v>
          </cell>
          <cell r="C1447" t="str">
            <v>mint01</v>
          </cell>
          <cell r="H1447" t="str">
            <v>blue</v>
          </cell>
          <cell r="I1447">
            <v>4</v>
          </cell>
          <cell r="J1447" t="str">
            <v>PremiumS</v>
          </cell>
        </row>
        <row r="1448">
          <cell r="A1448">
            <v>1530</v>
          </cell>
          <cell r="B1448" t="str">
            <v>ja</v>
          </cell>
          <cell r="C1448" t="str">
            <v>mint02</v>
          </cell>
          <cell r="H1448" t="str">
            <v>blue</v>
          </cell>
          <cell r="I1448">
            <v>5</v>
          </cell>
          <cell r="J1448" t="str">
            <v>PremiumS</v>
          </cell>
        </row>
        <row r="1449">
          <cell r="A1449">
            <v>1531</v>
          </cell>
          <cell r="B1449" t="str">
            <v>ja</v>
          </cell>
          <cell r="C1449" t="str">
            <v>gray01</v>
          </cell>
          <cell r="H1449" t="str">
            <v>green</v>
          </cell>
          <cell r="I1449">
            <v>4</v>
          </cell>
          <cell r="J1449" t="str">
            <v>PremiumS</v>
          </cell>
        </row>
        <row r="1450">
          <cell r="A1450">
            <v>1532</v>
          </cell>
          <cell r="B1450" t="str">
            <v>ja</v>
          </cell>
          <cell r="C1450" t="str">
            <v>gray02</v>
          </cell>
          <cell r="H1450" t="str">
            <v>green</v>
          </cell>
          <cell r="I1450">
            <v>5</v>
          </cell>
          <cell r="J1450" t="str">
            <v>PremiumS</v>
          </cell>
        </row>
        <row r="1451">
          <cell r="A1451">
            <v>1533</v>
          </cell>
          <cell r="B1451" t="str">
            <v>ja</v>
          </cell>
          <cell r="C1451" t="str">
            <v>maroon01</v>
          </cell>
          <cell r="H1451" t="str">
            <v>yellow</v>
          </cell>
          <cell r="I1451">
            <v>4</v>
          </cell>
          <cell r="J1451" t="str">
            <v>PremiumS</v>
          </cell>
        </row>
        <row r="1452">
          <cell r="A1452">
            <v>1534</v>
          </cell>
          <cell r="B1452" t="str">
            <v>ja</v>
          </cell>
          <cell r="C1452" t="str">
            <v>maroon02</v>
          </cell>
          <cell r="H1452" t="str">
            <v>yellow</v>
          </cell>
          <cell r="I1452">
            <v>5</v>
          </cell>
          <cell r="J1452" t="str">
            <v>PremiumS</v>
          </cell>
        </row>
        <row r="1453">
          <cell r="A1453">
            <v>1535</v>
          </cell>
          <cell r="B1453" t="str">
            <v>ja</v>
          </cell>
          <cell r="C1453" t="str">
            <v>pink01</v>
          </cell>
          <cell r="H1453" t="str">
            <v>red</v>
          </cell>
          <cell r="I1453">
            <v>5</v>
          </cell>
          <cell r="J1453" t="str">
            <v>PremiumSS</v>
          </cell>
        </row>
        <row r="1454">
          <cell r="A1454">
            <v>1536</v>
          </cell>
          <cell r="B1454" t="str">
            <v>ja</v>
          </cell>
          <cell r="C1454" t="str">
            <v>pink02</v>
          </cell>
          <cell r="H1454" t="str">
            <v>red</v>
          </cell>
          <cell r="I1454">
            <v>6</v>
          </cell>
          <cell r="J1454" t="str">
            <v>PremiumSS</v>
          </cell>
        </row>
        <row r="1455">
          <cell r="A1455">
            <v>1537</v>
          </cell>
          <cell r="B1455" t="str">
            <v>ja</v>
          </cell>
          <cell r="C1455" t="str">
            <v>black01</v>
          </cell>
          <cell r="H1455" t="str">
            <v>blue</v>
          </cell>
          <cell r="I1455">
            <v>5</v>
          </cell>
          <cell r="J1455" t="str">
            <v>PremiumSSS</v>
          </cell>
        </row>
        <row r="1456">
          <cell r="A1456">
            <v>1538</v>
          </cell>
          <cell r="B1456" t="str">
            <v>ja</v>
          </cell>
          <cell r="C1456" t="str">
            <v>black02</v>
          </cell>
          <cell r="H1456" t="str">
            <v>blue</v>
          </cell>
          <cell r="I1456">
            <v>6</v>
          </cell>
          <cell r="J1456" t="str">
            <v>PremiumSSS</v>
          </cell>
        </row>
        <row r="1457">
          <cell r="A1457">
            <v>1539</v>
          </cell>
          <cell r="B1457" t="str">
            <v>ja</v>
          </cell>
          <cell r="C1457" t="str">
            <v>brown01</v>
          </cell>
          <cell r="H1457" t="str">
            <v>yellow</v>
          </cell>
          <cell r="I1457">
            <v>5</v>
          </cell>
          <cell r="J1457" t="str">
            <v>PremiumSS</v>
          </cell>
        </row>
        <row r="1458">
          <cell r="A1458">
            <v>1540</v>
          </cell>
          <cell r="B1458" t="str">
            <v>ja</v>
          </cell>
          <cell r="C1458" t="str">
            <v>brown02</v>
          </cell>
          <cell r="H1458" t="str">
            <v>yellow</v>
          </cell>
          <cell r="I1458">
            <v>6</v>
          </cell>
          <cell r="J1458" t="str">
            <v>PremiumSS</v>
          </cell>
        </row>
        <row r="1459">
          <cell r="A1459">
            <v>1541</v>
          </cell>
          <cell r="B1459" t="str">
            <v>ja</v>
          </cell>
          <cell r="C1459" t="str">
            <v>purple01</v>
          </cell>
          <cell r="H1459" t="str">
            <v>red</v>
          </cell>
          <cell r="I1459">
            <v>5</v>
          </cell>
          <cell r="J1459" t="str">
            <v>PremiumSSS</v>
          </cell>
        </row>
        <row r="1460">
          <cell r="A1460">
            <v>1542</v>
          </cell>
          <cell r="B1460" t="str">
            <v>ja</v>
          </cell>
          <cell r="C1460" t="str">
            <v>purple02</v>
          </cell>
          <cell r="H1460" t="str">
            <v>red</v>
          </cell>
          <cell r="I1460">
            <v>6</v>
          </cell>
          <cell r="J1460" t="str">
            <v>PremiumSSS</v>
          </cell>
        </row>
        <row r="1461">
          <cell r="A1461">
            <v>1543</v>
          </cell>
          <cell r="B1461" t="str">
            <v>ja</v>
          </cell>
          <cell r="C1461" t="str">
            <v>vanilla01</v>
          </cell>
          <cell r="H1461" t="str">
            <v>red</v>
          </cell>
          <cell r="I1461">
            <v>5</v>
          </cell>
          <cell r="J1461" t="str">
            <v>PremiumSS</v>
          </cell>
        </row>
        <row r="1462">
          <cell r="A1462">
            <v>1544</v>
          </cell>
          <cell r="B1462" t="str">
            <v>ja</v>
          </cell>
          <cell r="C1462" t="str">
            <v>vanilla02</v>
          </cell>
          <cell r="H1462" t="str">
            <v>red</v>
          </cell>
          <cell r="I1462">
            <v>6</v>
          </cell>
          <cell r="J1462" t="str">
            <v>PremiumSS</v>
          </cell>
        </row>
        <row r="1463">
          <cell r="A1463">
            <v>1545</v>
          </cell>
          <cell r="B1463" t="str">
            <v>ja</v>
          </cell>
          <cell r="C1463" t="str">
            <v>silver01</v>
          </cell>
          <cell r="H1463" t="str">
            <v>green</v>
          </cell>
          <cell r="I1463">
            <v>5</v>
          </cell>
          <cell r="J1463" t="str">
            <v>PremiumSS</v>
          </cell>
        </row>
        <row r="1464">
          <cell r="A1464">
            <v>1546</v>
          </cell>
          <cell r="B1464" t="str">
            <v>ja</v>
          </cell>
          <cell r="C1464" t="str">
            <v>silver02</v>
          </cell>
          <cell r="H1464" t="str">
            <v>green</v>
          </cell>
          <cell r="I1464">
            <v>6</v>
          </cell>
          <cell r="J1464" t="str">
            <v>PremiumSS</v>
          </cell>
        </row>
        <row r="1465">
          <cell r="A1465">
            <v>1547</v>
          </cell>
          <cell r="B1465" t="str">
            <v>ja</v>
          </cell>
          <cell r="C1465" t="str">
            <v>mauve01</v>
          </cell>
          <cell r="H1465" t="str">
            <v>green</v>
          </cell>
          <cell r="I1465">
            <v>4</v>
          </cell>
          <cell r="J1465" t="str">
            <v>Drop2N</v>
          </cell>
        </row>
        <row r="1466">
          <cell r="A1466">
            <v>1548</v>
          </cell>
          <cell r="B1466" t="str">
            <v>ja</v>
          </cell>
          <cell r="C1466" t="str">
            <v>mauve02</v>
          </cell>
          <cell r="H1466" t="str">
            <v>green</v>
          </cell>
          <cell r="I1466">
            <v>5</v>
          </cell>
          <cell r="J1466" t="str">
            <v>Drop2N</v>
          </cell>
        </row>
        <row r="1467">
          <cell r="A1467">
            <v>1549</v>
          </cell>
          <cell r="B1467" t="str">
            <v>ja</v>
          </cell>
          <cell r="C1467" t="str">
            <v>ochre01</v>
          </cell>
          <cell r="H1467" t="str">
            <v>green</v>
          </cell>
          <cell r="I1467">
            <v>5</v>
          </cell>
          <cell r="J1467" t="str">
            <v>DropWizS</v>
          </cell>
        </row>
        <row r="1468">
          <cell r="A1468">
            <v>1550</v>
          </cell>
          <cell r="B1468" t="str">
            <v>ja</v>
          </cell>
          <cell r="C1468" t="str">
            <v>ochre02</v>
          </cell>
          <cell r="H1468" t="str">
            <v>green</v>
          </cell>
          <cell r="I1468">
            <v>6</v>
          </cell>
          <cell r="J1468" t="str">
            <v>DropWizS</v>
          </cell>
        </row>
        <row r="1469">
          <cell r="A1469">
            <v>5001</v>
          </cell>
          <cell r="B1469" t="str">
            <v>ja</v>
          </cell>
          <cell r="C1469" t="str">
            <v>ガルーダ</v>
          </cell>
          <cell r="D1469" t="str">
            <v>ノーマルクエスト</v>
          </cell>
          <cell r="E1469" t="str">
            <v>QoH</v>
          </cell>
          <cell r="F1469" t="str">
            <v>世界観</v>
          </cell>
          <cell r="G1469" t="str">
            <v>不明</v>
          </cell>
          <cell r="H1469" t="str">
            <v>red</v>
          </cell>
          <cell r="I1469">
            <v>5</v>
          </cell>
          <cell r="J1469" t="str">
            <v>PremiumSSw</v>
          </cell>
        </row>
        <row r="1470">
          <cell r="A1470">
            <v>5002</v>
          </cell>
          <cell r="B1470" t="str">
            <v>ja</v>
          </cell>
          <cell r="C1470" t="str">
            <v>ガルーダ★６</v>
          </cell>
          <cell r="D1470" t="str">
            <v>ノーマルクエスト</v>
          </cell>
          <cell r="E1470" t="str">
            <v>アバター</v>
          </cell>
          <cell r="F1470" t="str">
            <v>世界観</v>
          </cell>
          <cell r="G1470" t="str">
            <v>男性</v>
          </cell>
          <cell r="H1470" t="str">
            <v>red</v>
          </cell>
          <cell r="I1470">
            <v>6</v>
          </cell>
          <cell r="J1470" t="str">
            <v>PremiumSSw</v>
          </cell>
        </row>
        <row r="1471">
          <cell r="A1471">
            <v>5003</v>
          </cell>
          <cell r="B1471" t="str">
            <v>ja</v>
          </cell>
          <cell r="C1471" t="str">
            <v>ナーガ</v>
          </cell>
          <cell r="D1471" t="str">
            <v>リンクガチャ:4神</v>
          </cell>
          <cell r="E1471" t="str">
            <v>守護神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5</v>
          </cell>
          <cell r="J1471" t="str">
            <v>DropWizS</v>
          </cell>
        </row>
        <row r="1472">
          <cell r="A1472">
            <v>5004</v>
          </cell>
          <cell r="B1472" t="str">
            <v>ja</v>
          </cell>
          <cell r="C1472" t="str">
            <v>ナーガ★６</v>
          </cell>
          <cell r="D1472" t="str">
            <v>ノーマルクエスト</v>
          </cell>
          <cell r="E1472" t="str">
            <v>アバター</v>
          </cell>
          <cell r="F1472" t="str">
            <v>世界観</v>
          </cell>
          <cell r="G1472" t="str">
            <v>不明</v>
          </cell>
          <cell r="H1472" t="str">
            <v>green</v>
          </cell>
          <cell r="I1472">
            <v>6</v>
          </cell>
          <cell r="J1472" t="str">
            <v>DropWizS</v>
          </cell>
        </row>
        <row r="1473">
          <cell r="A1473">
            <v>5005</v>
          </cell>
          <cell r="B1473" t="str">
            <v>ja</v>
          </cell>
          <cell r="C1473" t="str">
            <v>カーミラ</v>
          </cell>
          <cell r="D1473" t="str">
            <v>ノーマルクエスト</v>
          </cell>
          <cell r="E1473" t="str">
            <v>QoH</v>
          </cell>
          <cell r="F1473" t="str">
            <v>世界観</v>
          </cell>
          <cell r="G1473" t="str">
            <v>不明</v>
          </cell>
          <cell r="H1473" t="str">
            <v>green</v>
          </cell>
          <cell r="I1473">
            <v>5</v>
          </cell>
          <cell r="J1473" t="str">
            <v>PremiumSSw</v>
          </cell>
        </row>
        <row r="1474">
          <cell r="A1474">
            <v>5006</v>
          </cell>
          <cell r="B1474" t="str">
            <v>ja</v>
          </cell>
          <cell r="C1474" t="str">
            <v>カーミラ★６</v>
          </cell>
          <cell r="D1474" t="str">
            <v>ノーマルクエスト</v>
          </cell>
          <cell r="E1474" t="str">
            <v>アバター</v>
          </cell>
          <cell r="F1474" t="str">
            <v>世界観</v>
          </cell>
          <cell r="G1474" t="str">
            <v>男性</v>
          </cell>
          <cell r="H1474" t="str">
            <v>green</v>
          </cell>
          <cell r="I1474">
            <v>6</v>
          </cell>
          <cell r="J1474" t="str">
            <v>PremiumSSw</v>
          </cell>
        </row>
        <row r="1475">
          <cell r="A1475">
            <v>5007</v>
          </cell>
          <cell r="B1475" t="str">
            <v>ja</v>
          </cell>
          <cell r="C1475" t="str">
            <v>ヘルシング</v>
          </cell>
          <cell r="D1475" t="str">
            <v>リンクガチャ:4神</v>
          </cell>
          <cell r="E1475" t="str">
            <v>守護神</v>
          </cell>
          <cell r="F1475" t="str">
            <v>格好いい</v>
          </cell>
          <cell r="G1475" t="str">
            <v>不明</v>
          </cell>
          <cell r="H1475" t="str">
            <v>yellow</v>
          </cell>
          <cell r="I1475">
            <v>5</v>
          </cell>
          <cell r="J1475" t="str">
            <v>DropWizS</v>
          </cell>
        </row>
        <row r="1476">
          <cell r="A1476">
            <v>5008</v>
          </cell>
          <cell r="B1476" t="str">
            <v>ja</v>
          </cell>
          <cell r="C1476" t="str">
            <v>ヘルシング★６</v>
          </cell>
          <cell r="D1476" t="str">
            <v>ノーマルクエスト</v>
          </cell>
          <cell r="E1476" t="str">
            <v>アバター</v>
          </cell>
          <cell r="F1476" t="str">
            <v>世界観</v>
          </cell>
          <cell r="G1476" t="str">
            <v>不明</v>
          </cell>
          <cell r="H1476" t="str">
            <v>yellow</v>
          </cell>
          <cell r="I1476">
            <v>6</v>
          </cell>
          <cell r="J1476" t="str">
            <v>DropWizS</v>
          </cell>
        </row>
        <row r="1477">
          <cell r="A1477">
            <v>6001</v>
          </cell>
          <cell r="B1477" t="str">
            <v>ja</v>
          </cell>
          <cell r="C1477" t="str">
            <v>ジェリー</v>
          </cell>
          <cell r="D1477" t="str">
            <v>ノーマルクエスト</v>
          </cell>
          <cell r="E1477" t="str">
            <v>QoH</v>
          </cell>
          <cell r="F1477" t="str">
            <v>世界観</v>
          </cell>
          <cell r="G1477" t="str">
            <v>不明</v>
          </cell>
          <cell r="H1477" t="str">
            <v>red</v>
          </cell>
          <cell r="I1477">
            <v>1</v>
          </cell>
          <cell r="J1477" t="str">
            <v>Drop1T</v>
          </cell>
        </row>
        <row r="1478">
          <cell r="A1478">
            <v>6002</v>
          </cell>
          <cell r="B1478" t="str">
            <v>ja</v>
          </cell>
          <cell r="C1478" t="str">
            <v>ヨシタカ</v>
          </cell>
          <cell r="D1478" t="str">
            <v>ノーマルクエスト</v>
          </cell>
          <cell r="E1478" t="str">
            <v>アバター</v>
          </cell>
          <cell r="F1478" t="str">
            <v>世界観</v>
          </cell>
          <cell r="G1478" t="str">
            <v>男性</v>
          </cell>
          <cell r="H1478" t="str">
            <v>red</v>
          </cell>
          <cell r="I1478">
            <v>2</v>
          </cell>
          <cell r="J1478" t="str">
            <v>Drop1N</v>
          </cell>
        </row>
        <row r="1479">
          <cell r="A1479">
            <v>6003</v>
          </cell>
          <cell r="B1479" t="str">
            <v>ja</v>
          </cell>
          <cell r="C1479" t="str">
            <v>朱雀</v>
          </cell>
          <cell r="D1479" t="str">
            <v>リンクガチャ:4神</v>
          </cell>
          <cell r="E1479" t="str">
            <v>守護神</v>
          </cell>
          <cell r="F1479" t="str">
            <v>格好いい</v>
          </cell>
          <cell r="G1479" t="str">
            <v>不明</v>
          </cell>
          <cell r="H1479" t="str">
            <v>red</v>
          </cell>
          <cell r="I1479">
            <v>3</v>
          </cell>
          <cell r="J1479" t="str">
            <v>Drop2N</v>
          </cell>
        </row>
        <row r="1480">
          <cell r="A1480">
            <v>6004</v>
          </cell>
          <cell r="B1480" t="str">
            <v>ja</v>
          </cell>
          <cell r="C1480" t="str">
            <v>ブレット</v>
          </cell>
          <cell r="D1480" t="str">
            <v>ノーマルクエスト</v>
          </cell>
          <cell r="E1480" t="str">
            <v>アバター</v>
          </cell>
          <cell r="F1480" t="str">
            <v>世界観</v>
          </cell>
          <cell r="G1480" t="str">
            <v>不明</v>
          </cell>
          <cell r="H1480" t="str">
            <v>red</v>
          </cell>
          <cell r="I1480">
            <v>1</v>
          </cell>
          <cell r="J1480" t="str">
            <v>Drop1W</v>
          </cell>
        </row>
        <row r="1481">
          <cell r="A1481">
            <v>6005</v>
          </cell>
          <cell r="B1481" t="str">
            <v>ja</v>
          </cell>
          <cell r="C1481" t="str">
            <v>孤神 テティス</v>
          </cell>
          <cell r="D1481" t="str">
            <v>初期ガチャ</v>
          </cell>
          <cell r="E1481" t="str">
            <v>管理者</v>
          </cell>
          <cell r="F1481" t="str">
            <v>美しい</v>
          </cell>
          <cell r="G1481" t="str">
            <v>女性</v>
          </cell>
          <cell r="H1481" t="str">
            <v>blue</v>
          </cell>
          <cell r="I1481">
            <v>4</v>
          </cell>
          <cell r="J1481" t="str">
            <v>PremiumN</v>
          </cell>
        </row>
        <row r="1482">
          <cell r="A1482">
            <v>6006</v>
          </cell>
          <cell r="B1482" t="str">
            <v>ja</v>
          </cell>
          <cell r="C1482" t="str">
            <v>海底の孤高神 テティス</v>
          </cell>
          <cell r="D1482" t="str">
            <v>初期ガチャ</v>
          </cell>
          <cell r="E1482" t="str">
            <v>管理者</v>
          </cell>
          <cell r="F1482" t="str">
            <v>美しい</v>
          </cell>
          <cell r="G1482" t="str">
            <v>女性</v>
          </cell>
          <cell r="H1482" t="str">
            <v>blue</v>
          </cell>
          <cell r="I1482">
            <v>5</v>
          </cell>
          <cell r="J1482" t="str">
            <v>PremiumN</v>
          </cell>
        </row>
        <row r="1483">
          <cell r="A1483">
            <v>6007</v>
          </cell>
          <cell r="B1483" t="str">
            <v>ja</v>
          </cell>
          <cell r="C1483" t="str">
            <v>番犬 ケルベロス</v>
          </cell>
          <cell r="D1483" t="str">
            <v>初期ガチャ</v>
          </cell>
          <cell r="E1483" t="str">
            <v>破界者</v>
          </cell>
          <cell r="F1483" t="str">
            <v>可愛い</v>
          </cell>
          <cell r="G1483" t="str">
            <v>女性</v>
          </cell>
          <cell r="H1483" t="str">
            <v>red</v>
          </cell>
          <cell r="I1483">
            <v>4</v>
          </cell>
          <cell r="J1483" t="str">
            <v>PremiumN</v>
          </cell>
        </row>
        <row r="1484">
          <cell r="A1484">
            <v>6008</v>
          </cell>
          <cell r="B1484" t="str">
            <v>ja</v>
          </cell>
          <cell r="C1484" t="str">
            <v>焔神 プロメテウス</v>
          </cell>
          <cell r="D1484" t="str">
            <v>初期ガチャ</v>
          </cell>
          <cell r="E1484" t="str">
            <v>管理者</v>
          </cell>
          <cell r="F1484" t="str">
            <v>格好いい</v>
          </cell>
          <cell r="G1484" t="str">
            <v>男性</v>
          </cell>
          <cell r="H1484" t="str">
            <v>red</v>
          </cell>
          <cell r="I1484">
            <v>4</v>
          </cell>
          <cell r="J1484" t="str">
            <v>PremiumN</v>
          </cell>
        </row>
        <row r="1485">
          <cell r="A1485">
            <v>6009</v>
          </cell>
          <cell r="B1485" t="str">
            <v>ja</v>
          </cell>
          <cell r="C1485" t="str">
            <v>超越自我 ラグランジュ</v>
          </cell>
          <cell r="D1485" t="str">
            <v>ガチャ:フィーバーフェス02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5</v>
          </cell>
          <cell r="J1485" t="str">
            <v>PremiumSSS</v>
          </cell>
        </row>
        <row r="1486">
          <cell r="A1486">
            <v>6010</v>
          </cell>
          <cell r="B1486" t="str">
            <v>ja</v>
          </cell>
          <cell r="C1486" t="str">
            <v>超越凌駕 ラグランジュ</v>
          </cell>
          <cell r="D1486" t="str">
            <v>ガチャ:フィーバーフェス02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red</v>
          </cell>
          <cell r="I1486">
            <v>6</v>
          </cell>
          <cell r="J1486" t="str">
            <v>PremiumSSS</v>
          </cell>
        </row>
        <row r="1487">
          <cell r="A1487">
            <v>6011</v>
          </cell>
          <cell r="B1487" t="str">
            <v>ja</v>
          </cell>
          <cell r="C1487" t="str">
            <v>パトドッグリーダー ポチ</v>
          </cell>
          <cell r="D1487" t="str">
            <v>ガチャ:フィーバーフェス02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blue</v>
          </cell>
          <cell r="I1487">
            <v>2</v>
          </cell>
          <cell r="J1487" t="str">
            <v>Drop1T</v>
          </cell>
        </row>
        <row r="1488">
          <cell r="A1488">
            <v>6012</v>
          </cell>
          <cell r="B1488" t="str">
            <v>ja</v>
          </cell>
          <cell r="C1488" t="str">
            <v>ミミ</v>
          </cell>
          <cell r="D1488" t="str">
            <v>ガチャ:フィーバーフェス02</v>
          </cell>
          <cell r="E1488" t="str">
            <v>執行者</v>
          </cell>
          <cell r="F1488" t="str">
            <v>格好いい</v>
          </cell>
          <cell r="G1488" t="str">
            <v>男性</v>
          </cell>
          <cell r="H1488" t="str">
            <v>yellow</v>
          </cell>
          <cell r="I1488">
            <v>1</v>
          </cell>
          <cell r="J1488" t="str">
            <v>Drop1W</v>
          </cell>
        </row>
        <row r="1489">
          <cell r="A1489">
            <v>6013</v>
          </cell>
          <cell r="B1489" t="str">
            <v>ja</v>
          </cell>
          <cell r="C1489" t="str">
            <v>護衛機人 スケアクロウ</v>
          </cell>
          <cell r="D1489" t="str">
            <v>ガチャ:フィーバーフェス02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blue</v>
          </cell>
          <cell r="I1489">
            <v>2</v>
          </cell>
          <cell r="J1489" t="str">
            <v>Drop1N</v>
          </cell>
        </row>
        <row r="1490">
          <cell r="A1490">
            <v>6014</v>
          </cell>
          <cell r="B1490" t="str">
            <v>ja</v>
          </cell>
          <cell r="C1490" t="str">
            <v>月下の人狼 ローレンス</v>
          </cell>
          <cell r="D1490" t="str">
            <v>ガチャ:フィーバーフェス02</v>
          </cell>
          <cell r="E1490" t="str">
            <v>執行者</v>
          </cell>
          <cell r="F1490" t="str">
            <v>格好いい</v>
          </cell>
          <cell r="G1490" t="str">
            <v>男性</v>
          </cell>
          <cell r="H1490" t="str">
            <v>blue</v>
          </cell>
          <cell r="I1490">
            <v>4</v>
          </cell>
          <cell r="J1490" t="str">
            <v>PremiumW</v>
          </cell>
        </row>
        <row r="1491">
          <cell r="A1491">
            <v>6015</v>
          </cell>
          <cell r="B1491" t="str">
            <v>ja</v>
          </cell>
          <cell r="C1491" t="str">
            <v>フレイヤ</v>
          </cell>
          <cell r="D1491" t="str">
            <v>ガチャ:フィーバーフェス02</v>
          </cell>
          <cell r="E1491" t="str">
            <v>執行者</v>
          </cell>
          <cell r="F1491" t="str">
            <v>格好いい</v>
          </cell>
          <cell r="G1491" t="str">
            <v>男性</v>
          </cell>
          <cell r="H1491" t="str">
            <v>blue</v>
          </cell>
          <cell r="I1491">
            <v>4</v>
          </cell>
          <cell r="J1491" t="str">
            <v>PremiumSS</v>
          </cell>
        </row>
        <row r="1492">
          <cell r="A1492">
            <v>6016</v>
          </cell>
          <cell r="B1492" t="str">
            <v>ja</v>
          </cell>
          <cell r="C1492" t="str">
            <v>根原論理 ユークリッド</v>
          </cell>
          <cell r="D1492" t="str">
            <v>ガチャ:フィーバーフェス02</v>
          </cell>
          <cell r="E1492" t="str">
            <v>執行者</v>
          </cell>
          <cell r="F1492" t="str">
            <v>格好いい</v>
          </cell>
          <cell r="G1492" t="str">
            <v>男性</v>
          </cell>
          <cell r="H1492" t="str">
            <v>blue</v>
          </cell>
          <cell r="I1492">
            <v>5</v>
          </cell>
          <cell r="J1492" t="str">
            <v>PremiumSSS</v>
          </cell>
        </row>
        <row r="1493">
          <cell r="A1493">
            <v>6017</v>
          </cell>
          <cell r="B1493" t="str">
            <v>ja</v>
          </cell>
          <cell r="C1493" t="str">
            <v>不朽の極論 ユークリッド</v>
          </cell>
          <cell r="D1493" t="str">
            <v>ガチャ:フィーバーフェス02</v>
          </cell>
          <cell r="E1493" t="str">
            <v>執行者</v>
          </cell>
          <cell r="F1493" t="str">
            <v>格好いい</v>
          </cell>
          <cell r="G1493" t="str">
            <v>男性</v>
          </cell>
          <cell r="H1493" t="str">
            <v>blue</v>
          </cell>
          <cell r="I1493">
            <v>6</v>
          </cell>
          <cell r="J1493" t="str">
            <v>PremiumSSS</v>
          </cell>
        </row>
        <row r="1494">
          <cell r="A1494">
            <v>6018</v>
          </cell>
          <cell r="B1494" t="str">
            <v>ja</v>
          </cell>
          <cell r="C1494" t="str">
            <v>ハヅル</v>
          </cell>
          <cell r="D1494" t="str">
            <v>ガチャ:フィーバーフェス02</v>
          </cell>
          <cell r="E1494" t="str">
            <v>執行者</v>
          </cell>
          <cell r="F1494" t="str">
            <v>格好いい</v>
          </cell>
          <cell r="G1494" t="str">
            <v>男性</v>
          </cell>
          <cell r="H1494" t="str">
            <v>red</v>
          </cell>
          <cell r="I1494">
            <v>4</v>
          </cell>
          <cell r="J1494" t="str">
            <v>PremiumSS</v>
          </cell>
        </row>
        <row r="1495">
          <cell r="A1495">
            <v>6019</v>
          </cell>
          <cell r="B1495" t="str">
            <v>ja</v>
          </cell>
          <cell r="C1495" t="str">
            <v>天織羽鶴 ハヅル</v>
          </cell>
          <cell r="D1495" t="str">
            <v>ガチャ:フィーバーフェス02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red</v>
          </cell>
          <cell r="I1495">
            <v>5</v>
          </cell>
          <cell r="J1495" t="str">
            <v>PremiumSS</v>
          </cell>
        </row>
        <row r="1496">
          <cell r="A1496">
            <v>6020</v>
          </cell>
          <cell r="B1496" t="str">
            <v>ja</v>
          </cell>
          <cell r="C1496" t="str">
            <v>ミズチ</v>
          </cell>
          <cell r="D1496" t="str">
            <v>ガチャ:フィーバーフェス02</v>
          </cell>
          <cell r="E1496" t="str">
            <v>執行者</v>
          </cell>
          <cell r="F1496" t="str">
            <v>格好いい</v>
          </cell>
          <cell r="G1496" t="str">
            <v>男性</v>
          </cell>
          <cell r="H1496" t="str">
            <v>blue</v>
          </cell>
          <cell r="I1496">
            <v>4</v>
          </cell>
          <cell r="J1496" t="str">
            <v>PremiumS</v>
          </cell>
        </row>
        <row r="1497">
          <cell r="A1497">
            <v>8001</v>
          </cell>
          <cell r="B1497" t="str">
            <v>ja</v>
          </cell>
          <cell r="C1497" t="str">
            <v>媽祖</v>
          </cell>
          <cell r="D1497" t="str">
            <v>イベント:ミクコラボ01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yellow</v>
          </cell>
          <cell r="I1497">
            <v>5</v>
          </cell>
          <cell r="J1497" t="str">
            <v>PremiumSS</v>
          </cell>
        </row>
        <row r="1498">
          <cell r="A1498">
            <v>8002</v>
          </cell>
          <cell r="B1498" t="str">
            <v>ja</v>
          </cell>
          <cell r="C1498" t="str">
            <v>宣導する天海妃 媽祖</v>
          </cell>
          <cell r="D1498" t="str">
            <v>イベント:ミクコラボ01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yellow</v>
          </cell>
          <cell r="I1498">
            <v>6</v>
          </cell>
          <cell r="J1498" t="str">
            <v>PremiumSS</v>
          </cell>
        </row>
        <row r="1499">
          <cell r="A1499">
            <v>8003</v>
          </cell>
          <cell r="B1499" t="str">
            <v>ja</v>
          </cell>
          <cell r="C1499" t="str">
            <v>蛟龍</v>
          </cell>
          <cell r="D1499" t="str">
            <v>イベント:ミクコラボ01</v>
          </cell>
          <cell r="E1499" t="str">
            <v>執行者</v>
          </cell>
          <cell r="F1499" t="str">
            <v>格好いい</v>
          </cell>
          <cell r="G1499" t="str">
            <v>不明</v>
          </cell>
          <cell r="H1499" t="str">
            <v>blue</v>
          </cell>
          <cell r="I1499">
            <v>5</v>
          </cell>
          <cell r="J1499" t="str">
            <v>DropWizS</v>
          </cell>
        </row>
        <row r="1500">
          <cell r="A1500">
            <v>8004</v>
          </cell>
          <cell r="B1500" t="str">
            <v>ja</v>
          </cell>
          <cell r="C1500" t="str">
            <v>呼嵐の蒼棲龍 蛟龍</v>
          </cell>
          <cell r="D1500" t="str">
            <v>イベント:ミクコラボ01</v>
          </cell>
          <cell r="E1500" t="str">
            <v>執行者</v>
          </cell>
          <cell r="F1500" t="str">
            <v>格好いい</v>
          </cell>
          <cell r="G1500" t="str">
            <v>不明</v>
          </cell>
          <cell r="H1500" t="str">
            <v>blue</v>
          </cell>
          <cell r="I1500">
            <v>6</v>
          </cell>
          <cell r="J1500" t="str">
            <v>DropWizS</v>
          </cell>
        </row>
        <row r="1501">
          <cell r="A1501">
            <v>8005</v>
          </cell>
          <cell r="B1501" t="str">
            <v>ja</v>
          </cell>
          <cell r="C1501" t="str">
            <v>三蔵法師</v>
          </cell>
          <cell r="D1501" t="str">
            <v>イベント:ミクコラボ01</v>
          </cell>
          <cell r="E1501" t="str">
            <v>執行者</v>
          </cell>
          <cell r="F1501" t="str">
            <v>格好いい</v>
          </cell>
          <cell r="G1501" t="str">
            <v>不明</v>
          </cell>
          <cell r="H1501" t="str">
            <v>blue</v>
          </cell>
          <cell r="I1501">
            <v>5</v>
          </cell>
          <cell r="J1501" t="str">
            <v>PremiumSS</v>
          </cell>
        </row>
        <row r="1502">
          <cell r="A1502">
            <v>8006</v>
          </cell>
          <cell r="B1502" t="str">
            <v>ja</v>
          </cell>
          <cell r="C1502" t="str">
            <v>慈戒の呪封使 三蔵法師</v>
          </cell>
          <cell r="D1502" t="str">
            <v>イベント:ミクコラボ01</v>
          </cell>
          <cell r="E1502" t="str">
            <v>執行者</v>
          </cell>
          <cell r="F1502" t="str">
            <v>格好いい</v>
          </cell>
          <cell r="G1502" t="str">
            <v>不明</v>
          </cell>
          <cell r="H1502" t="str">
            <v>blue</v>
          </cell>
          <cell r="I1502">
            <v>6</v>
          </cell>
          <cell r="J1502" t="str">
            <v>PremiumSS</v>
          </cell>
        </row>
        <row r="1503">
          <cell r="A1503">
            <v>8007</v>
          </cell>
          <cell r="B1503" t="str">
            <v>ja</v>
          </cell>
          <cell r="C1503" t="str">
            <v>孫悟空</v>
          </cell>
          <cell r="D1503" t="str">
            <v>イベント:ミクコラボ01</v>
          </cell>
          <cell r="E1503" t="str">
            <v>執行者</v>
          </cell>
          <cell r="F1503" t="str">
            <v>格好いい</v>
          </cell>
          <cell r="G1503" t="str">
            <v>不明</v>
          </cell>
          <cell r="H1503" t="str">
            <v>red</v>
          </cell>
          <cell r="I1503">
            <v>5</v>
          </cell>
          <cell r="J1503" t="str">
            <v>DropWizS</v>
          </cell>
        </row>
        <row r="1504">
          <cell r="A1504">
            <v>8008</v>
          </cell>
          <cell r="B1504" t="str">
            <v>ja</v>
          </cell>
          <cell r="C1504" t="str">
            <v>花果の天猿仙人 孫悟空</v>
          </cell>
          <cell r="D1504" t="str">
            <v>イベント:ミクコラボ01</v>
          </cell>
          <cell r="E1504" t="str">
            <v>執行者</v>
          </cell>
          <cell r="F1504" t="str">
            <v>格好いい</v>
          </cell>
          <cell r="G1504" t="str">
            <v>不明</v>
          </cell>
          <cell r="H1504" t="str">
            <v>red</v>
          </cell>
          <cell r="I1504">
            <v>6</v>
          </cell>
          <cell r="J1504" t="str">
            <v>DropWizS</v>
          </cell>
        </row>
        <row r="1505">
          <cell r="A1505">
            <v>8009</v>
          </cell>
          <cell r="B1505" t="str">
            <v>ja</v>
          </cell>
          <cell r="C1505" t="str">
            <v>西王娘娘</v>
          </cell>
          <cell r="D1505" t="str">
            <v>イベント:ミクコラボ01</v>
          </cell>
          <cell r="E1505" t="str">
            <v>執行者</v>
          </cell>
          <cell r="F1505" t="str">
            <v>格好いい</v>
          </cell>
          <cell r="G1505" t="str">
            <v>不明</v>
          </cell>
          <cell r="H1505" t="str">
            <v>green</v>
          </cell>
          <cell r="I1505">
            <v>5</v>
          </cell>
          <cell r="J1505" t="str">
            <v>PremiumSS</v>
          </cell>
        </row>
        <row r="1506">
          <cell r="A1506">
            <v>8010</v>
          </cell>
          <cell r="B1506" t="str">
            <v>ja</v>
          </cell>
          <cell r="C1506" t="str">
            <v>極楽瑶池の聖母 西王娘娘</v>
          </cell>
          <cell r="D1506" t="str">
            <v>イベント:ミクコラボ01</v>
          </cell>
          <cell r="E1506" t="str">
            <v>執行者</v>
          </cell>
          <cell r="F1506" t="str">
            <v>格好いい</v>
          </cell>
          <cell r="G1506" t="str">
            <v>不明</v>
          </cell>
          <cell r="H1506" t="str">
            <v>green</v>
          </cell>
          <cell r="I1506">
            <v>6</v>
          </cell>
          <cell r="J1506" t="str">
            <v>PremiumSS</v>
          </cell>
        </row>
        <row r="1507">
          <cell r="A1507">
            <v>8011</v>
          </cell>
          <cell r="B1507" t="str">
            <v>ja</v>
          </cell>
          <cell r="C1507" t="str">
            <v>月下老人</v>
          </cell>
          <cell r="D1507" t="str">
            <v>イベント:ミクコラボ01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DropWizS</v>
          </cell>
        </row>
        <row r="1508">
          <cell r="A1508">
            <v>8012</v>
          </cell>
          <cell r="B1508" t="str">
            <v>ja</v>
          </cell>
          <cell r="C1508" t="str">
            <v>破戀斬る縁剣 月下老人</v>
          </cell>
          <cell r="D1508" t="str">
            <v>イベント:ミクコラボ01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yellow</v>
          </cell>
          <cell r="I1508">
            <v>6</v>
          </cell>
          <cell r="J1508" t="str">
            <v>DropWizS</v>
          </cell>
        </row>
        <row r="1509">
          <cell r="A1509">
            <v>8013</v>
          </cell>
          <cell r="B1509" t="str">
            <v>ja</v>
          </cell>
          <cell r="C1509" t="str">
            <v>初音ミクV3</v>
          </cell>
          <cell r="D1509" t="str">
            <v>初音ミクV3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yellow</v>
          </cell>
          <cell r="I1509">
            <v>4</v>
          </cell>
          <cell r="J1509" t="str">
            <v>DropWizS</v>
          </cell>
        </row>
        <row r="1510">
          <cell r="A1510">
            <v>8014</v>
          </cell>
          <cell r="B1510" t="str">
            <v>ja</v>
          </cell>
          <cell r="C1510" t="str">
            <v>初音ミクV3</v>
          </cell>
          <cell r="D1510" t="str">
            <v>初音ミクV3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yellow</v>
          </cell>
          <cell r="I1510">
            <v>5</v>
          </cell>
          <cell r="J1510" t="str">
            <v>DropWizS</v>
          </cell>
        </row>
        <row r="1511">
          <cell r="A1511">
            <v>8015</v>
          </cell>
          <cell r="B1511" t="str">
            <v>ja</v>
          </cell>
          <cell r="C1511" t="str">
            <v>初音ミク・アペンド</v>
          </cell>
          <cell r="D1511" t="str">
            <v>初音ミク・アペンド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green</v>
          </cell>
          <cell r="I1511">
            <v>4</v>
          </cell>
          <cell r="J1511" t="str">
            <v>PremiumSSS</v>
          </cell>
        </row>
        <row r="1512">
          <cell r="A1512">
            <v>8016</v>
          </cell>
          <cell r="B1512" t="str">
            <v>ja</v>
          </cell>
          <cell r="C1512" t="str">
            <v>初音ミク・アペンド</v>
          </cell>
          <cell r="D1512" t="str">
            <v>初音ミク・アペンド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green</v>
          </cell>
          <cell r="I1512">
            <v>5</v>
          </cell>
          <cell r="J1512" t="str">
            <v>PremiumSSS</v>
          </cell>
        </row>
        <row r="1513">
          <cell r="A1513">
            <v>8017</v>
          </cell>
          <cell r="B1513" t="str">
            <v>ja</v>
          </cell>
          <cell r="C1513" t="str">
            <v>初音ミク</v>
          </cell>
          <cell r="D1513" t="str">
            <v>初音ミク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green</v>
          </cell>
          <cell r="I1513">
            <v>4</v>
          </cell>
          <cell r="J1513" t="str">
            <v>PremiumSSS</v>
          </cell>
        </row>
        <row r="1514">
          <cell r="A1514">
            <v>8018</v>
          </cell>
          <cell r="B1514" t="str">
            <v>ja</v>
          </cell>
          <cell r="C1514" t="str">
            <v>初音ミク</v>
          </cell>
          <cell r="D1514" t="str">
            <v>初音ミク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green</v>
          </cell>
          <cell r="I1514">
            <v>5</v>
          </cell>
          <cell r="J1514" t="str">
            <v>PremiumSSS</v>
          </cell>
        </row>
        <row r="1515">
          <cell r="A1515">
            <v>8019</v>
          </cell>
          <cell r="B1515" t="str">
            <v>ja</v>
          </cell>
          <cell r="C1515" t="str">
            <v>鏡音リン</v>
          </cell>
          <cell r="D1515" t="str">
            <v>鏡音リン</v>
          </cell>
          <cell r="E1515" t="str">
            <v>執行者</v>
          </cell>
          <cell r="F1515" t="str">
            <v>格好いい</v>
          </cell>
          <cell r="G1515" t="str">
            <v>男性</v>
          </cell>
          <cell r="H1515" t="str">
            <v>yellow</v>
          </cell>
          <cell r="I1515">
            <v>4</v>
          </cell>
          <cell r="J1515" t="str">
            <v>PremiumSS</v>
          </cell>
        </row>
        <row r="1516">
          <cell r="A1516">
            <v>8020</v>
          </cell>
          <cell r="B1516" t="str">
            <v>ja</v>
          </cell>
          <cell r="C1516" t="str">
            <v>鏡音リン</v>
          </cell>
          <cell r="D1516" t="str">
            <v>鏡音リン</v>
          </cell>
          <cell r="E1516" t="str">
            <v>執行者</v>
          </cell>
          <cell r="F1516" t="str">
            <v>格好いい</v>
          </cell>
          <cell r="G1516" t="str">
            <v>男性</v>
          </cell>
          <cell r="H1516" t="str">
            <v>yellow</v>
          </cell>
          <cell r="I1516">
            <v>5</v>
          </cell>
          <cell r="J1516" t="str">
            <v>PremiumSS</v>
          </cell>
        </row>
        <row r="1517">
          <cell r="A1517">
            <v>8021</v>
          </cell>
          <cell r="B1517" t="str">
            <v>ja</v>
          </cell>
          <cell r="C1517" t="str">
            <v>鏡音レン</v>
          </cell>
          <cell r="D1517" t="str">
            <v>鏡音レン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yellow</v>
          </cell>
          <cell r="I1517">
            <v>4</v>
          </cell>
          <cell r="J1517" t="str">
            <v>PremiumSS</v>
          </cell>
        </row>
        <row r="1518">
          <cell r="A1518">
            <v>8022</v>
          </cell>
          <cell r="B1518" t="str">
            <v>ja</v>
          </cell>
          <cell r="C1518" t="str">
            <v>鏡音レン</v>
          </cell>
          <cell r="D1518" t="str">
            <v>鏡音レン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yellow</v>
          </cell>
          <cell r="I1518">
            <v>5</v>
          </cell>
          <cell r="J1518" t="str">
            <v>PremiumSS</v>
          </cell>
        </row>
        <row r="1519">
          <cell r="A1519">
            <v>8023</v>
          </cell>
          <cell r="B1519" t="str">
            <v>ja</v>
          </cell>
          <cell r="C1519" t="str">
            <v>巡音ルカ</v>
          </cell>
          <cell r="D1519" t="str">
            <v>巡音ルカ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red</v>
          </cell>
          <cell r="I1519">
            <v>3</v>
          </cell>
          <cell r="J1519" t="str">
            <v>PremiumS</v>
          </cell>
        </row>
        <row r="1520">
          <cell r="A1520">
            <v>8024</v>
          </cell>
          <cell r="B1520" t="str">
            <v>ja</v>
          </cell>
          <cell r="C1520" t="str">
            <v>巡音ルカ</v>
          </cell>
          <cell r="D1520" t="str">
            <v>巡音ルカ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red</v>
          </cell>
          <cell r="I1520">
            <v>4</v>
          </cell>
          <cell r="J1520" t="str">
            <v>PremiumS</v>
          </cell>
        </row>
        <row r="1521">
          <cell r="A1521">
            <v>8025</v>
          </cell>
          <cell r="B1521" t="str">
            <v>ja</v>
          </cell>
          <cell r="C1521" t="str">
            <v>MEIKO</v>
          </cell>
          <cell r="D1521" t="str">
            <v>MEIKO</v>
          </cell>
          <cell r="E1521" t="str">
            <v>執行者</v>
          </cell>
          <cell r="F1521" t="str">
            <v>格好いい</v>
          </cell>
          <cell r="G1521" t="str">
            <v>男性</v>
          </cell>
          <cell r="H1521" t="str">
            <v>red</v>
          </cell>
          <cell r="I1521">
            <v>3</v>
          </cell>
          <cell r="J1521" t="str">
            <v>PremiumS</v>
          </cell>
        </row>
        <row r="1522">
          <cell r="A1522">
            <v>8026</v>
          </cell>
          <cell r="B1522" t="str">
            <v>ja</v>
          </cell>
          <cell r="C1522" t="str">
            <v>MEIKO</v>
          </cell>
          <cell r="D1522" t="str">
            <v>MEIKO</v>
          </cell>
          <cell r="E1522" t="str">
            <v>執行者</v>
          </cell>
          <cell r="F1522" t="str">
            <v>格好いい</v>
          </cell>
          <cell r="G1522" t="str">
            <v>男性</v>
          </cell>
          <cell r="H1522" t="str">
            <v>red</v>
          </cell>
          <cell r="I1522">
            <v>4</v>
          </cell>
          <cell r="J1522" t="str">
            <v>PremiumS</v>
          </cell>
        </row>
        <row r="1523">
          <cell r="A1523">
            <v>8027</v>
          </cell>
          <cell r="B1523" t="str">
            <v>ja</v>
          </cell>
          <cell r="C1523" t="str">
            <v>KAITO</v>
          </cell>
          <cell r="D1523" t="str">
            <v>KAITO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blue</v>
          </cell>
          <cell r="I1523">
            <v>3</v>
          </cell>
          <cell r="J1523" t="str">
            <v>PremiumS</v>
          </cell>
        </row>
        <row r="1524">
          <cell r="A1524">
            <v>8028</v>
          </cell>
          <cell r="B1524" t="str">
            <v>ja</v>
          </cell>
          <cell r="C1524" t="str">
            <v>KAITO</v>
          </cell>
          <cell r="D1524" t="str">
            <v>KAITO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4</v>
          </cell>
          <cell r="J1524" t="str">
            <v>PremiumS</v>
          </cell>
        </row>
        <row r="1525">
          <cell r="A1525">
            <v>8029</v>
          </cell>
          <cell r="B1525" t="str">
            <v>ja</v>
          </cell>
          <cell r="C1525" t="str">
            <v>Expoミク</v>
          </cell>
          <cell r="D1525" t="str">
            <v>Expoミク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4</v>
          </cell>
          <cell r="J1525" t="str">
            <v>Drop2N</v>
          </cell>
        </row>
        <row r="1526">
          <cell r="A1526">
            <v>8030</v>
          </cell>
          <cell r="B1526" t="str">
            <v>ja</v>
          </cell>
          <cell r="C1526" t="str">
            <v>Expoミク</v>
          </cell>
          <cell r="D1526" t="str">
            <v>Expoミク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5</v>
          </cell>
          <cell r="J1526" t="str">
            <v>Drop2N</v>
          </cell>
        </row>
        <row r="1527">
          <cell r="A1527">
            <v>8031</v>
          </cell>
          <cell r="B1527" t="str">
            <v>ja</v>
          </cell>
          <cell r="C1527" t="str">
            <v>閻羅王</v>
          </cell>
          <cell r="D1527" t="str">
            <v>Expoミク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red</v>
          </cell>
          <cell r="I1527">
            <v>5</v>
          </cell>
          <cell r="J1527" t="str">
            <v>PremiumSS</v>
          </cell>
        </row>
        <row r="1528">
          <cell r="A1528">
            <v>8032</v>
          </cell>
          <cell r="B1528" t="str">
            <v>ja</v>
          </cell>
          <cell r="C1528" t="str">
            <v>六道輪廻の絶獄 閻羅王</v>
          </cell>
          <cell r="D1528" t="str">
            <v>Expoミク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red</v>
          </cell>
          <cell r="I1528">
            <v>6</v>
          </cell>
          <cell r="J1528" t="str">
            <v>PremiumSS</v>
          </cell>
        </row>
        <row r="1529">
          <cell r="A1529">
            <v>8033</v>
          </cell>
          <cell r="B1529" t="str">
            <v>ja</v>
          </cell>
          <cell r="C1529" t="str">
            <v>牛頭馬面</v>
          </cell>
          <cell r="D1529" t="str">
            <v>Expoミク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green</v>
          </cell>
          <cell r="I1529">
            <v>5</v>
          </cell>
          <cell r="J1529" t="str">
            <v>DropWizS</v>
          </cell>
        </row>
        <row r="1530">
          <cell r="A1530">
            <v>8034</v>
          </cell>
          <cell r="B1530" t="str">
            <v>ja</v>
          </cell>
          <cell r="C1530" t="str">
            <v>冥府狩る魂使 牛頭馬面</v>
          </cell>
          <cell r="D1530" t="str">
            <v>Expoミク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green</v>
          </cell>
          <cell r="I1530">
            <v>6</v>
          </cell>
          <cell r="J1530" t="str">
            <v>DropWizS</v>
          </cell>
        </row>
        <row r="1531">
          <cell r="A1531">
            <v>8035</v>
          </cell>
          <cell r="B1531" t="str">
            <v>ja</v>
          </cell>
          <cell r="C1531" t="str">
            <v>飛衛</v>
          </cell>
          <cell r="D1531" t="str">
            <v>Expoミク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blue</v>
          </cell>
          <cell r="I1531">
            <v>5</v>
          </cell>
          <cell r="J1531" t="str">
            <v>PremiumSS</v>
          </cell>
        </row>
        <row r="1532">
          <cell r="A1532">
            <v>8036</v>
          </cell>
          <cell r="B1532" t="str">
            <v>ja</v>
          </cell>
          <cell r="C1532" t="str">
            <v>レア６飛衛</v>
          </cell>
          <cell r="D1532" t="str">
            <v>Expoミク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6</v>
          </cell>
          <cell r="J1532" t="str">
            <v>PremiumSS</v>
          </cell>
        </row>
        <row r="1533">
          <cell r="A1533">
            <v>8037</v>
          </cell>
          <cell r="B1533" t="str">
            <v>ja</v>
          </cell>
          <cell r="C1533" t="str">
            <v>紀昌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red</v>
          </cell>
          <cell r="I1533">
            <v>5</v>
          </cell>
          <cell r="J1533" t="str">
            <v>DropWizS</v>
          </cell>
        </row>
        <row r="1534">
          <cell r="A1534">
            <v>8038</v>
          </cell>
          <cell r="B1534" t="str">
            <v>ja</v>
          </cell>
          <cell r="C1534" t="str">
            <v>レア６紀昌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red</v>
          </cell>
          <cell r="I1534">
            <v>6</v>
          </cell>
          <cell r="J1534" t="str">
            <v>DropWizS</v>
          </cell>
        </row>
        <row r="1535">
          <cell r="A1535">
            <v>8039</v>
          </cell>
          <cell r="B1535" t="str">
            <v>ja</v>
          </cell>
          <cell r="C1535" t="str">
            <v>何仙姑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yellow</v>
          </cell>
          <cell r="I1535">
            <v>5</v>
          </cell>
          <cell r="J1535" t="str">
            <v>PremiumSSw</v>
          </cell>
        </row>
        <row r="1536">
          <cell r="A1536">
            <v>8040</v>
          </cell>
          <cell r="B1536" t="str">
            <v>ja</v>
          </cell>
          <cell r="C1536" t="str">
            <v>レア６何仙姑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yellow</v>
          </cell>
          <cell r="I1536">
            <v>6</v>
          </cell>
          <cell r="J1536" t="str">
            <v>PremiumSSw</v>
          </cell>
        </row>
        <row r="1537">
          <cell r="A1537">
            <v>8041</v>
          </cell>
          <cell r="B1537" t="str">
            <v>ja</v>
          </cell>
          <cell r="C1537" t="str">
            <v>藍采和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blue</v>
          </cell>
          <cell r="I1537">
            <v>5</v>
          </cell>
          <cell r="J1537" t="str">
            <v>DropWizS</v>
          </cell>
        </row>
        <row r="1538">
          <cell r="A1538">
            <v>8042</v>
          </cell>
          <cell r="B1538" t="str">
            <v>ja</v>
          </cell>
          <cell r="C1538" t="str">
            <v>レア６藍采和</v>
          </cell>
          <cell r="D1538" t="str">
            <v>Expoミク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6</v>
          </cell>
          <cell r="J1538" t="str">
            <v>DropWizS</v>
          </cell>
        </row>
        <row r="1539">
          <cell r="A1539">
            <v>8043</v>
          </cell>
          <cell r="B1539" t="str">
            <v>ja</v>
          </cell>
          <cell r="C1539" t="str">
            <v>サンリオキャラ大集合+アザゼル</v>
          </cell>
          <cell r="D1539" t="str">
            <v>サンリオキャラ大集合+アザゼル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green</v>
          </cell>
          <cell r="I1539">
            <v>5</v>
          </cell>
          <cell r="J1539" t="str">
            <v>DropWizS</v>
          </cell>
        </row>
        <row r="1540">
          <cell r="A1540">
            <v>8044</v>
          </cell>
          <cell r="B1540" t="str">
            <v>ja</v>
          </cell>
          <cell r="C1540" t="str">
            <v>サンリオキャラ大集合+アザゼル</v>
          </cell>
          <cell r="D1540" t="str">
            <v>サンリオキャラ大集合+アザゼル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green</v>
          </cell>
          <cell r="I1540">
            <v>6</v>
          </cell>
          <cell r="J1540" t="str">
            <v>DropWizS</v>
          </cell>
        </row>
        <row r="1541">
          <cell r="A1541">
            <v>8045</v>
          </cell>
          <cell r="B1541" t="str">
            <v>ja</v>
          </cell>
          <cell r="C1541" t="str">
            <v>ニムダ_サンリオキャラ混じり</v>
          </cell>
          <cell r="D1541" t="str">
            <v>ニムダ_サンリオキャラ混じり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yellow</v>
          </cell>
          <cell r="I1541">
            <v>4</v>
          </cell>
          <cell r="J1541" t="str">
            <v>Drop2N</v>
          </cell>
        </row>
        <row r="1542">
          <cell r="A1542">
            <v>8046</v>
          </cell>
          <cell r="B1542" t="str">
            <v>ja</v>
          </cell>
          <cell r="C1542" t="str">
            <v>ニムダ_サンリオキャラ混じり</v>
          </cell>
          <cell r="D1542" t="str">
            <v>ニムダ_サンリオキャラ混じり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yellow</v>
          </cell>
          <cell r="I1542">
            <v>5</v>
          </cell>
          <cell r="J1542" t="str">
            <v>Drop2N</v>
          </cell>
        </row>
        <row r="1543">
          <cell r="A1543">
            <v>8047</v>
          </cell>
          <cell r="B1543" t="str">
            <v>ja</v>
          </cell>
          <cell r="C1543" t="str">
            <v>ハローキティ</v>
          </cell>
          <cell r="D1543" t="str">
            <v>ハローキティ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4</v>
          </cell>
          <cell r="J1543" t="str">
            <v>Drop2N</v>
          </cell>
        </row>
        <row r="1544">
          <cell r="A1544">
            <v>8048</v>
          </cell>
          <cell r="B1544" t="str">
            <v>ja</v>
          </cell>
          <cell r="C1544" t="str">
            <v>ハローキティ</v>
          </cell>
          <cell r="D1544" t="str">
            <v>ハローキティ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5</v>
          </cell>
          <cell r="J1544" t="str">
            <v>Drop2N</v>
          </cell>
        </row>
        <row r="1545">
          <cell r="A1545">
            <v>8049</v>
          </cell>
          <cell r="B1545" t="str">
            <v>ja</v>
          </cell>
          <cell r="C1545" t="str">
            <v>KIRIMIちゃん</v>
          </cell>
          <cell r="D1545" t="str">
            <v>KIRIMIちゃん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red</v>
          </cell>
          <cell r="I1545">
            <v>4</v>
          </cell>
          <cell r="J1545" t="str">
            <v>Drop2N</v>
          </cell>
        </row>
        <row r="1546">
          <cell r="A1546">
            <v>8050</v>
          </cell>
          <cell r="B1546" t="str">
            <v>ja</v>
          </cell>
          <cell r="C1546" t="str">
            <v>KIRIMIちゃん</v>
          </cell>
          <cell r="D1546" t="str">
            <v>KIRIMIちゃん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red</v>
          </cell>
          <cell r="I1546">
            <v>5</v>
          </cell>
          <cell r="J1546" t="str">
            <v>Drop2N</v>
          </cell>
        </row>
        <row r="1547">
          <cell r="A1547">
            <v>8051</v>
          </cell>
          <cell r="B1547" t="str">
            <v>ja</v>
          </cell>
          <cell r="C1547" t="str">
            <v>ハローキティのリボン</v>
          </cell>
          <cell r="D1547" t="str">
            <v>ハローキティのリボン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red</v>
          </cell>
          <cell r="I1547">
            <v>5</v>
          </cell>
          <cell r="J1547" t="str">
            <v>Drop2N</v>
          </cell>
        </row>
        <row r="1548">
          <cell r="A1548">
            <v>8052</v>
          </cell>
          <cell r="B1548" t="str">
            <v>ja</v>
          </cell>
          <cell r="C1548" t="str">
            <v>ママの作ったアップルパイ</v>
          </cell>
          <cell r="D1548" t="str">
            <v>ママの作ったアップルパイ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red</v>
          </cell>
          <cell r="I1548">
            <v>4</v>
          </cell>
          <cell r="J1548" t="str">
            <v>Drop2N</v>
          </cell>
        </row>
        <row r="1549">
          <cell r="A1549">
            <v>8053</v>
          </cell>
          <cell r="B1549" t="str">
            <v>ja</v>
          </cell>
          <cell r="C1549" t="str">
            <v>D.R.T.H__キティコスプレ</v>
          </cell>
          <cell r="D1549" t="str">
            <v>D.R.T.H__キティコスプレ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5</v>
          </cell>
          <cell r="J1549" t="str">
            <v>PremiumSS</v>
          </cell>
        </row>
        <row r="1550">
          <cell r="A1550">
            <v>8054</v>
          </cell>
          <cell r="B1550" t="str">
            <v>ja</v>
          </cell>
          <cell r="C1550" t="str">
            <v>D.R.T.H__キティコスプレ</v>
          </cell>
          <cell r="D1550" t="str">
            <v>D.R.T.H__キティコスプレ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PremiumSS</v>
          </cell>
        </row>
        <row r="1551">
          <cell r="A1551">
            <v>8055</v>
          </cell>
          <cell r="B1551" t="str">
            <v>ja</v>
          </cell>
          <cell r="C1551" t="str">
            <v>マイメロディ</v>
          </cell>
          <cell r="D1551" t="str">
            <v>マイメロディ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4</v>
          </cell>
          <cell r="J1551" t="str">
            <v>PremiumS</v>
          </cell>
        </row>
        <row r="1552">
          <cell r="A1552">
            <v>8056</v>
          </cell>
          <cell r="B1552" t="str">
            <v>ja</v>
          </cell>
          <cell r="C1552" t="str">
            <v>マイメロディ</v>
          </cell>
          <cell r="D1552" t="str">
            <v>マイメロディ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5</v>
          </cell>
          <cell r="J1552" t="str">
            <v>PremiumS</v>
          </cell>
        </row>
        <row r="1553">
          <cell r="A1553">
            <v>8057</v>
          </cell>
          <cell r="B1553" t="str">
            <v>ja</v>
          </cell>
          <cell r="C1553" t="str">
            <v>ニーベルゲン_シナモロールコスプレ</v>
          </cell>
          <cell r="D1553" t="str">
            <v>ニーベルゲン_シナモロールコスプレ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green</v>
          </cell>
          <cell r="I1553">
            <v>4</v>
          </cell>
          <cell r="J1553" t="str">
            <v>PremiumS</v>
          </cell>
        </row>
        <row r="1554">
          <cell r="A1554">
            <v>8058</v>
          </cell>
          <cell r="B1554" t="str">
            <v>ja</v>
          </cell>
          <cell r="C1554" t="str">
            <v>ニーベルゲン_シナモロールコスプレ</v>
          </cell>
          <cell r="D1554" t="str">
            <v>ニーベルゲン_シナモロールコスプレ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green</v>
          </cell>
          <cell r="I1554">
            <v>5</v>
          </cell>
          <cell r="J1554" t="str">
            <v>PremiumS</v>
          </cell>
        </row>
        <row r="1555">
          <cell r="A1555">
            <v>8059</v>
          </cell>
          <cell r="B1555" t="str">
            <v>ja</v>
          </cell>
          <cell r="C1555" t="str">
            <v>カカシ_マイメロディコスプレ</v>
          </cell>
          <cell r="D1555" t="str">
            <v>カカシ_マイメロディコスプレ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green</v>
          </cell>
          <cell r="I1555">
            <v>4</v>
          </cell>
          <cell r="J1555" t="str">
            <v>PremiumS</v>
          </cell>
        </row>
        <row r="1556">
          <cell r="A1556">
            <v>8060</v>
          </cell>
          <cell r="B1556" t="str">
            <v>ja</v>
          </cell>
          <cell r="C1556" t="str">
            <v>カカシ_マイメロディコスプレ</v>
          </cell>
          <cell r="D1556" t="str">
            <v>カカシ_マイメロディコスプレ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green</v>
          </cell>
          <cell r="I1556">
            <v>5</v>
          </cell>
          <cell r="J1556" t="str">
            <v>PremiumS</v>
          </cell>
        </row>
        <row r="1557">
          <cell r="A1557">
            <v>8061</v>
          </cell>
          <cell r="B1557" t="str">
            <v>ja</v>
          </cell>
          <cell r="C1557" t="str">
            <v>ケロケロけろっぴ</v>
          </cell>
          <cell r="D1557" t="str">
            <v>ケロケロけろっぴ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green</v>
          </cell>
          <cell r="I1557">
            <v>3</v>
          </cell>
          <cell r="J1557" t="str">
            <v>PremiumS</v>
          </cell>
        </row>
        <row r="1558">
          <cell r="A1558">
            <v>8062</v>
          </cell>
          <cell r="B1558" t="str">
            <v>ja</v>
          </cell>
          <cell r="C1558" t="str">
            <v>ケロケロけろっぴ</v>
          </cell>
          <cell r="D1558" t="str">
            <v>ケロケロけろっぴ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green</v>
          </cell>
          <cell r="I1558">
            <v>4</v>
          </cell>
          <cell r="J1558" t="str">
            <v>PremiumS</v>
          </cell>
        </row>
        <row r="1559">
          <cell r="A1559">
            <v>8063</v>
          </cell>
          <cell r="B1559" t="str">
            <v>ja</v>
          </cell>
          <cell r="C1559" t="str">
            <v>モルドレッド_ポムポムプリンコスプレ</v>
          </cell>
          <cell r="D1559" t="str">
            <v>モルドレッド_ポムポムプリンコスプレ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blue</v>
          </cell>
          <cell r="I1559">
            <v>5</v>
          </cell>
          <cell r="J1559" t="str">
            <v>PremiumSS</v>
          </cell>
        </row>
        <row r="1560">
          <cell r="A1560">
            <v>8064</v>
          </cell>
          <cell r="B1560" t="str">
            <v>ja</v>
          </cell>
          <cell r="C1560" t="str">
            <v>モルドレッド_ポムポムプリンコスプレ</v>
          </cell>
          <cell r="D1560" t="str">
            <v>モルドレッド_ポムポムプリンコスプレ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blue</v>
          </cell>
          <cell r="I1560">
            <v>6</v>
          </cell>
          <cell r="J1560" t="str">
            <v>PremiumSS</v>
          </cell>
        </row>
        <row r="1561">
          <cell r="A1561">
            <v>8065</v>
          </cell>
          <cell r="B1561" t="str">
            <v>ja</v>
          </cell>
          <cell r="C1561" t="str">
            <v>クロミ</v>
          </cell>
          <cell r="D1561" t="str">
            <v>クロミ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blue</v>
          </cell>
          <cell r="I1561">
            <v>3</v>
          </cell>
          <cell r="J1561" t="str">
            <v>PremiumS</v>
          </cell>
        </row>
        <row r="1562">
          <cell r="A1562">
            <v>8066</v>
          </cell>
          <cell r="B1562" t="str">
            <v>ja</v>
          </cell>
          <cell r="C1562" t="str">
            <v>クロミ</v>
          </cell>
          <cell r="D1562" t="str">
            <v>クロミ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blue</v>
          </cell>
          <cell r="I1562">
            <v>4</v>
          </cell>
          <cell r="J1562" t="str">
            <v>PremiumS</v>
          </cell>
        </row>
        <row r="1563">
          <cell r="A1563">
            <v>8067</v>
          </cell>
          <cell r="B1563" t="str">
            <v>ja</v>
          </cell>
          <cell r="C1563" t="str">
            <v>バッドばつ丸</v>
          </cell>
          <cell r="D1563" t="str">
            <v>バッドばつ丸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blue</v>
          </cell>
          <cell r="I1563">
            <v>3</v>
          </cell>
          <cell r="J1563" t="str">
            <v>PremiumS</v>
          </cell>
        </row>
        <row r="1564">
          <cell r="A1564">
            <v>8068</v>
          </cell>
          <cell r="B1564" t="str">
            <v>ja</v>
          </cell>
          <cell r="C1564" t="str">
            <v>バッドばつ丸</v>
          </cell>
          <cell r="D1564" t="str">
            <v>バッドばつ丸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4</v>
          </cell>
          <cell r="J1564" t="str">
            <v>PremiumS</v>
          </cell>
        </row>
        <row r="1565">
          <cell r="A1565">
            <v>8069</v>
          </cell>
          <cell r="B1565" t="str">
            <v>ja</v>
          </cell>
          <cell r="C1565" t="str">
            <v>シナモロール</v>
          </cell>
          <cell r="D1565" t="str">
            <v>シナモロール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yellow</v>
          </cell>
          <cell r="I1565">
            <v>4</v>
          </cell>
          <cell r="J1565" t="str">
            <v>PremiumS</v>
          </cell>
        </row>
        <row r="1566">
          <cell r="A1566">
            <v>8070</v>
          </cell>
          <cell r="B1566" t="str">
            <v>ja</v>
          </cell>
          <cell r="C1566" t="str">
            <v>シナモロール</v>
          </cell>
          <cell r="D1566" t="str">
            <v>シナモロール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yellow</v>
          </cell>
          <cell r="I1566">
            <v>5</v>
          </cell>
          <cell r="J1566" t="str">
            <v>PremiumS</v>
          </cell>
        </row>
        <row r="1567">
          <cell r="A1567">
            <v>8071</v>
          </cell>
          <cell r="B1567" t="str">
            <v>ja</v>
          </cell>
          <cell r="C1567" t="str">
            <v>ポムポムプリン</v>
          </cell>
          <cell r="D1567" t="str">
            <v>ポムポムプリン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yellow</v>
          </cell>
          <cell r="I1567">
            <v>3</v>
          </cell>
          <cell r="J1567" t="str">
            <v>PremiumS</v>
          </cell>
        </row>
        <row r="1568">
          <cell r="A1568">
            <v>8072</v>
          </cell>
          <cell r="B1568" t="str">
            <v>ja</v>
          </cell>
          <cell r="C1568" t="str">
            <v>ポムポムプリン</v>
          </cell>
          <cell r="D1568" t="str">
            <v>ポムポムプリン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yellow</v>
          </cell>
          <cell r="I1568">
            <v>4</v>
          </cell>
          <cell r="J1568" t="str">
            <v>PremiumS</v>
          </cell>
        </row>
        <row r="1569">
          <cell r="A1569">
            <v>8073</v>
          </cell>
          <cell r="B1569" t="str">
            <v>ja</v>
          </cell>
          <cell r="C1569" t="str">
            <v>星海祈る天光妃 媽祖</v>
          </cell>
          <cell r="D1569" t="str">
            <v>Expoミク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yellow</v>
          </cell>
          <cell r="I1569">
            <v>6</v>
          </cell>
          <cell r="J1569" t="str">
            <v>PremiumSS</v>
          </cell>
        </row>
        <row r="1570">
          <cell r="A1570">
            <v>8074</v>
          </cell>
          <cell r="B1570" t="str">
            <v>ja</v>
          </cell>
          <cell r="C1570" t="str">
            <v>海戀の絶龍姫 蛟龍</v>
          </cell>
          <cell r="D1570" t="str">
            <v>Expoミク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6</v>
          </cell>
          <cell r="J1570" t="str">
            <v>DropWizS</v>
          </cell>
        </row>
        <row r="1571">
          <cell r="A1571">
            <v>8075</v>
          </cell>
          <cell r="B1571" t="str">
            <v>ja</v>
          </cell>
          <cell r="C1571" t="str">
            <v>三蔵法師_超覚醒</v>
          </cell>
          <cell r="D1571" t="str">
            <v>Expoミク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blue</v>
          </cell>
          <cell r="I1571">
            <v>6</v>
          </cell>
          <cell r="J1571" t="str">
            <v>PremiumSS</v>
          </cell>
        </row>
        <row r="1572">
          <cell r="A1572">
            <v>8076</v>
          </cell>
          <cell r="B1572" t="str">
            <v>ja</v>
          </cell>
          <cell r="C1572" t="str">
            <v>孫悟空_超覚醒</v>
          </cell>
          <cell r="D1572" t="str">
            <v>Expoミク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red</v>
          </cell>
          <cell r="I1572">
            <v>6</v>
          </cell>
          <cell r="J1572" t="str">
            <v>DropWizS</v>
          </cell>
        </row>
        <row r="1573">
          <cell r="A1573">
            <v>8077</v>
          </cell>
          <cell r="B1573" t="str">
            <v>ja</v>
          </cell>
          <cell r="C1573" t="str">
            <v>鄭成功</v>
          </cell>
          <cell r="D1573" t="str">
            <v>ポムポムプリン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blue</v>
          </cell>
          <cell r="I1573">
            <v>5</v>
          </cell>
          <cell r="J1573" t="str">
            <v>PremiumSS</v>
          </cell>
        </row>
        <row r="1574">
          <cell r="A1574">
            <v>8078</v>
          </cell>
          <cell r="B1574" t="str">
            <v>ja</v>
          </cell>
          <cell r="C1574" t="str">
            <v>レア６鄭成功</v>
          </cell>
          <cell r="D1574" t="str">
            <v>ポムポムプリン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blue</v>
          </cell>
          <cell r="I1574">
            <v>6</v>
          </cell>
          <cell r="J1574" t="str">
            <v>PremiumSS</v>
          </cell>
        </row>
        <row r="1575">
          <cell r="A1575">
            <v>8079</v>
          </cell>
          <cell r="B1575" t="str">
            <v>ja</v>
          </cell>
          <cell r="C1575" t="str">
            <v>赤鬼</v>
          </cell>
          <cell r="D1575" t="str">
            <v>ポムポムプリン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red</v>
          </cell>
          <cell r="I1575">
            <v>5</v>
          </cell>
          <cell r="J1575" t="str">
            <v>DropWizS</v>
          </cell>
        </row>
        <row r="1576">
          <cell r="A1576">
            <v>8080</v>
          </cell>
          <cell r="B1576" t="str">
            <v>ja</v>
          </cell>
          <cell r="C1576" t="str">
            <v>レア６赤鬼</v>
          </cell>
          <cell r="D1576" t="str">
            <v>ポムポムプリン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red</v>
          </cell>
          <cell r="I1576">
            <v>6</v>
          </cell>
          <cell r="J1576" t="str">
            <v>DropWizS</v>
          </cell>
        </row>
        <row r="1577">
          <cell r="A1577">
            <v>8081</v>
          </cell>
          <cell r="B1577" t="str">
            <v>ja</v>
          </cell>
          <cell r="C1577" t="str">
            <v>関羽</v>
          </cell>
          <cell r="H1577" t="str">
            <v>green</v>
          </cell>
          <cell r="I1577">
            <v>5</v>
          </cell>
          <cell r="J1577" t="str">
            <v>PremiumSSS</v>
          </cell>
        </row>
        <row r="1578">
          <cell r="A1578">
            <v>8082</v>
          </cell>
          <cell r="B1578" t="str">
            <v>ja</v>
          </cell>
          <cell r="C1578" t="str">
            <v>★６関羽</v>
          </cell>
          <cell r="H1578" t="str">
            <v>green</v>
          </cell>
          <cell r="I1578">
            <v>6</v>
          </cell>
          <cell r="J1578" t="str">
            <v>PremiumSSS</v>
          </cell>
        </row>
        <row r="1579">
          <cell r="A1579">
            <v>8083</v>
          </cell>
          <cell r="B1579" t="str">
            <v>ja</v>
          </cell>
          <cell r="C1579" t="str">
            <v>曹操</v>
          </cell>
          <cell r="H1579" t="str">
            <v>yellow</v>
          </cell>
          <cell r="I1579">
            <v>5</v>
          </cell>
          <cell r="J1579" t="str">
            <v>DropWizSS</v>
          </cell>
        </row>
        <row r="1580">
          <cell r="A1580">
            <v>8084</v>
          </cell>
          <cell r="B1580" t="str">
            <v>ja</v>
          </cell>
          <cell r="C1580" t="str">
            <v>★６曹操</v>
          </cell>
          <cell r="H1580" t="str">
            <v>yellow</v>
          </cell>
          <cell r="I1580">
            <v>6</v>
          </cell>
          <cell r="J1580" t="str">
            <v>DropWizSS</v>
          </cell>
        </row>
        <row r="1581">
          <cell r="A1581">
            <v>8087</v>
          </cell>
          <cell r="B1581" t="str">
            <v>ja</v>
          </cell>
          <cell r="C1581" t="str">
            <v>財神</v>
          </cell>
          <cell r="H1581" t="str">
            <v>red</v>
          </cell>
          <cell r="I1581">
            <v>5</v>
          </cell>
          <cell r="J1581" t="str">
            <v>PremiumSSS</v>
          </cell>
        </row>
        <row r="1582">
          <cell r="A1582">
            <v>8088</v>
          </cell>
          <cell r="B1582" t="str">
            <v>ja</v>
          </cell>
          <cell r="C1582" t="str">
            <v>★６財神</v>
          </cell>
          <cell r="H1582" t="str">
            <v>red</v>
          </cell>
          <cell r="I1582">
            <v>6</v>
          </cell>
          <cell r="J1582" t="str">
            <v>PremiumSSS</v>
          </cell>
        </row>
        <row r="1583">
          <cell r="A1583">
            <v>8089</v>
          </cell>
          <cell r="B1583" t="str">
            <v>ja</v>
          </cell>
          <cell r="C1583" t="str">
            <v>年獣</v>
          </cell>
          <cell r="H1583" t="str">
            <v>green</v>
          </cell>
          <cell r="I1583">
            <v>5</v>
          </cell>
          <cell r="J1583" t="str">
            <v>DropWizS</v>
          </cell>
        </row>
        <row r="1584">
          <cell r="A1584">
            <v>8090</v>
          </cell>
          <cell r="B1584" t="str">
            <v>ja</v>
          </cell>
          <cell r="C1584" t="str">
            <v>★６年獣</v>
          </cell>
          <cell r="H1584" t="str">
            <v>green</v>
          </cell>
          <cell r="I1584">
            <v>6</v>
          </cell>
          <cell r="J1584" t="str">
            <v>DropWizS</v>
          </cell>
        </row>
        <row r="1585">
          <cell r="A1585">
            <v>8095</v>
          </cell>
          <cell r="B1585" t="str">
            <v>ja</v>
          </cell>
          <cell r="C1585" t="str">
            <v>バハムートダック赤</v>
          </cell>
          <cell r="D1585" t="str">
            <v>ポムポムプリン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red</v>
          </cell>
          <cell r="I1585">
            <v>6</v>
          </cell>
          <cell r="J1585" t="str">
            <v>Material</v>
          </cell>
        </row>
        <row r="1586">
          <cell r="A1586">
            <v>8096</v>
          </cell>
          <cell r="B1586" t="str">
            <v>ja</v>
          </cell>
          <cell r="C1586" t="str">
            <v>バハムートダック緑</v>
          </cell>
          <cell r="D1586" t="str">
            <v>ポムポムプリン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green</v>
          </cell>
          <cell r="I1586">
            <v>6</v>
          </cell>
          <cell r="J1586" t="str">
            <v>Material</v>
          </cell>
        </row>
        <row r="1587">
          <cell r="A1587">
            <v>8097</v>
          </cell>
          <cell r="B1587" t="str">
            <v>ja</v>
          </cell>
          <cell r="C1587" t="str">
            <v>バハムートダック青</v>
          </cell>
          <cell r="D1587" t="str">
            <v>ポムポムプリン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blue</v>
          </cell>
          <cell r="I1587">
            <v>6</v>
          </cell>
          <cell r="J1587" t="str">
            <v>Material</v>
          </cell>
        </row>
        <row r="1588">
          <cell r="A1588">
            <v>8098</v>
          </cell>
          <cell r="B1588" t="str">
            <v>ja</v>
          </cell>
          <cell r="C1588" t="str">
            <v>バハムートダック黄</v>
          </cell>
          <cell r="D1588" t="str">
            <v>ポムポムプリン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yellow</v>
          </cell>
          <cell r="I1588">
            <v>6</v>
          </cell>
          <cell r="J1588" t="str">
            <v>Material</v>
          </cell>
        </row>
        <row r="1589">
          <cell r="A1589">
            <v>8099</v>
          </cell>
          <cell r="B1589" t="str">
            <v>ja</v>
          </cell>
          <cell r="C1589" t="str">
            <v>リトルハンプティ</v>
          </cell>
          <cell r="D1589" t="str">
            <v>各属性相性良3・黄・R455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green</v>
          </cell>
          <cell r="I1589">
            <v>6</v>
          </cell>
          <cell r="J1589" t="str">
            <v>Material</v>
          </cell>
        </row>
        <row r="1590">
          <cell r="A1590">
            <v>9001</v>
          </cell>
          <cell r="B1590" t="str">
            <v>ja</v>
          </cell>
          <cell r="C1590" t="str">
            <v>春香</v>
          </cell>
          <cell r="D1590" t="str">
            <v>ポムポムプリン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red</v>
          </cell>
          <cell r="I1590">
            <v>5</v>
          </cell>
          <cell r="J1590" t="str">
            <v>PremiumSSw</v>
          </cell>
        </row>
        <row r="1591">
          <cell r="A1591">
            <v>9002</v>
          </cell>
          <cell r="B1591" t="str">
            <v>ja</v>
          </cell>
          <cell r="C1591" t="str">
            <v>春香★６</v>
          </cell>
          <cell r="D1591" t="str">
            <v>ポムポムプリン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red</v>
          </cell>
          <cell r="I1591">
            <v>6</v>
          </cell>
          <cell r="J1591" t="str">
            <v>PremiumSSw</v>
          </cell>
        </row>
        <row r="1592">
          <cell r="A1592">
            <v>9003</v>
          </cell>
          <cell r="B1592" t="str">
            <v>ja</v>
          </cell>
          <cell r="C1592" t="str">
            <v>夢龍</v>
          </cell>
          <cell r="D1592" t="str">
            <v>ポムポムプリン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green</v>
          </cell>
          <cell r="I1592">
            <v>5</v>
          </cell>
          <cell r="J1592" t="str">
            <v>DropWizS</v>
          </cell>
        </row>
        <row r="1593">
          <cell r="A1593">
            <v>9004</v>
          </cell>
          <cell r="B1593" t="str">
            <v>ja</v>
          </cell>
          <cell r="C1593" t="str">
            <v>夢龍★６</v>
          </cell>
          <cell r="D1593" t="str">
            <v>各属性相性良3・黄・R455</v>
          </cell>
          <cell r="E1593" t="str">
            <v>執行者</v>
          </cell>
          <cell r="F1593" t="str">
            <v>格好いい</v>
          </cell>
          <cell r="G1593" t="str">
            <v>男性</v>
          </cell>
          <cell r="H1593" t="str">
            <v>green</v>
          </cell>
          <cell r="I1593">
            <v>6</v>
          </cell>
          <cell r="J1593" t="str">
            <v>DropWizS</v>
          </cell>
        </row>
        <row r="1594">
          <cell r="A1594">
            <v>10001</v>
          </cell>
          <cell r="B1594" t="str">
            <v>ja</v>
          </cell>
          <cell r="C1594" t="str">
            <v>テストユニット01</v>
          </cell>
          <cell r="H1594" t="str">
            <v>yellow</v>
          </cell>
          <cell r="I1594">
            <v>6</v>
          </cell>
          <cell r="J1594" t="str">
            <v>PremiumSS</v>
          </cell>
        </row>
        <row r="1595">
          <cell r="A1595">
            <v>10002</v>
          </cell>
          <cell r="B1595" t="str">
            <v>ja</v>
          </cell>
          <cell r="C1595" t="str">
            <v>テストユニット02</v>
          </cell>
          <cell r="H1595" t="str">
            <v>yellow</v>
          </cell>
          <cell r="I1595">
            <v>6</v>
          </cell>
          <cell r="J1595" t="str">
            <v>PremiumSS</v>
          </cell>
        </row>
      </sheetData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workbookViewId="0">
      <pane ySplit="1" topLeftCell="A2" activePane="bottomLeft" state="frozen"/>
      <selection activeCell="V2" sqref="V2:X34"/>
      <selection pane="bottomLeft" activeCell="J15" sqref="J15"/>
    </sheetView>
  </sheetViews>
  <sheetFormatPr baseColWidth="12" defaultColWidth="13" defaultRowHeight="21" customHeight="1" outlineLevelCol="1" x14ac:dyDescent="0.15"/>
  <cols>
    <col min="1" max="1" width="8.83203125" style="25" bestFit="1" customWidth="1"/>
    <col min="2" max="2" width="5" style="25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25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20" t="s">
        <v>31</v>
      </c>
      <c r="B1" s="20" t="s">
        <v>38</v>
      </c>
      <c r="C1" s="1" t="s">
        <v>0</v>
      </c>
      <c r="D1" s="2" t="s">
        <v>18</v>
      </c>
      <c r="E1" s="19" t="s">
        <v>35</v>
      </c>
      <c r="F1" s="1" t="s">
        <v>1</v>
      </c>
      <c r="G1" s="29" t="s">
        <v>34</v>
      </c>
      <c r="H1" s="19" t="s">
        <v>36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20" t="str">
        <f ca="1">G2&amp;"-"&amp;I2</f>
        <v>20005_1-1</v>
      </c>
      <c r="B2" s="20" t="str">
        <f ca="1">IF(COUNTIF(enemy_habitats_drop_2_2!$H:$H,A2),"OK","NG")</f>
        <v>OK</v>
      </c>
      <c r="C2" s="7">
        <v>20005</v>
      </c>
      <c r="D2" s="11" t="str">
        <f ca="1">VLOOKUP($C2,OFFSET([1]quests!$A$1,0,0,COUNTA([1]quests!$A:$A),MATCH(D$1,[1]quests!$1:$1,0)-MATCH($C$1,[1]quests!$1:$1,0)+1),MATCH(D$1,[1]quests!$1:$1,0)-MATCH($C$1,[1]quests!$1:$1,0)+1,FALSE)</f>
        <v>ザ・キャノン</v>
      </c>
      <c r="E2" s="24" t="str">
        <f ca="1">VLOOKUP($C2,OFFSET([1]quests!$A$1,0,0,COUNTA([1]quests!$A:$A),MATCH(E$1,[1]quests!$1:$1,0)-MATCH($C$1,[1]quests!$1:$1,0)+1),MATCH(E$1,[1]quests!$1:$1,0)-MATCH($C$1,[1]quests!$1:$1,0)+1,FALSE)</f>
        <v>ドロップイベント2-2</v>
      </c>
      <c r="F2" s="27">
        <v>1</v>
      </c>
      <c r="G2" s="29" t="str">
        <f ca="1">C2&amp;"_"&amp;F2</f>
        <v>20005_1</v>
      </c>
      <c r="H2" s="19" t="str">
        <f ca="1">VLOOKUP($G2,OFFSET([1]stages!$A$1,0,0,COUNTA([1]stages!$A:$A),MATCH(H$1,[1]stages!$2:$2,0)-MATCH($G$1,[1]stages!$2:$2,0)+1),MATCH(H$1,[1]stages!$2:$2,0)-MATCH($G$1,[1]stages!$2:$2,0)+1,FALSE)</f>
        <v>【初級】ザ・キャノン(4タップ）</v>
      </c>
      <c r="I2" s="27">
        <v>1</v>
      </c>
      <c r="J2" s="12">
        <v>30</v>
      </c>
      <c r="K2" s="12">
        <v>30</v>
      </c>
    </row>
    <row r="3" spans="1:11" ht="21" customHeight="1" x14ac:dyDescent="0.15">
      <c r="A3" s="20" t="str">
        <f t="shared" ref="A3:A13" ca="1" si="0">G3&amp;"-"&amp;I3</f>
        <v>20005_1-2</v>
      </c>
      <c r="B3" s="20" t="str">
        <f ca="1">IF(COUNTIF(enemy_habitats_drop_2_2!$H:$H,A3),"OK","NG")</f>
        <v>OK</v>
      </c>
      <c r="C3" s="7">
        <v>20005</v>
      </c>
      <c r="D3" s="11" t="str">
        <f ca="1">VLOOKUP($C3,OFFSET([1]quests!$A$1,0,0,COUNTA([1]quests!$A:$A),MATCH(D$1,[1]quests!$1:$1,0)-MATCH($C$1,[1]quests!$1:$1,0)+1),MATCH(D$1,[1]quests!$1:$1,0)-MATCH($C$1,[1]quests!$1:$1,0)+1,FALSE)</f>
        <v>ザ・キャノン</v>
      </c>
      <c r="E3" s="24" t="str">
        <f ca="1">VLOOKUP($C3,OFFSET([1]quests!$A$1,0,0,COUNTA([1]quests!$A:$A),MATCH(E$1,[1]quests!$1:$1,0)-MATCH($C$1,[1]quests!$1:$1,0)+1),MATCH(E$1,[1]quests!$1:$1,0)-MATCH($C$1,[1]quests!$1:$1,0)+1,FALSE)</f>
        <v>ドロップイベント2-2</v>
      </c>
      <c r="F3" s="27">
        <v>1</v>
      </c>
      <c r="G3" s="29" t="str">
        <f t="shared" ref="G3:G13" ca="1" si="1">C3&amp;"_"&amp;F3</f>
        <v>20005_1</v>
      </c>
      <c r="H3" s="19" t="str">
        <f ca="1">VLOOKUP($G3,OFFSET([1]stages!$A$1,0,0,COUNTA([1]stages!$A:$A),MATCH(H$1,[1]stages!$2:$2,0)-MATCH($G$1,[1]stages!$2:$2,0)+1),MATCH(H$1,[1]stages!$2:$2,0)-MATCH($G$1,[1]stages!$2:$2,0)+1,FALSE)</f>
        <v>【初級】ザ・キャノン(4タップ）</v>
      </c>
      <c r="I3" s="27">
        <v>2</v>
      </c>
      <c r="J3" s="12">
        <v>45</v>
      </c>
      <c r="K3" s="12">
        <v>45</v>
      </c>
    </row>
    <row r="4" spans="1:11" ht="21" customHeight="1" x14ac:dyDescent="0.15">
      <c r="A4" s="20" t="str">
        <f t="shared" ca="1" si="0"/>
        <v>20005_1-3</v>
      </c>
      <c r="B4" s="20" t="str">
        <f ca="1">IF(COUNTIF(enemy_habitats_drop_2_2!$H:$H,A4),"OK","NG")</f>
        <v>OK</v>
      </c>
      <c r="C4" s="7">
        <v>20005</v>
      </c>
      <c r="D4" s="11" t="str">
        <f ca="1">VLOOKUP($C4,OFFSET([1]quests!$A$1,0,0,COUNTA([1]quests!$A:$A),MATCH(D$1,[1]quests!$1:$1,0)-MATCH($C$1,[1]quests!$1:$1,0)+1),MATCH(D$1,[1]quests!$1:$1,0)-MATCH($C$1,[1]quests!$1:$1,0)+1,FALSE)</f>
        <v>ザ・キャノン</v>
      </c>
      <c r="E4" s="24" t="str">
        <f ca="1">VLOOKUP($C4,OFFSET([1]quests!$A$1,0,0,COUNTA([1]quests!$A:$A),MATCH(E$1,[1]quests!$1:$1,0)-MATCH($C$1,[1]quests!$1:$1,0)+1),MATCH(E$1,[1]quests!$1:$1,0)-MATCH($C$1,[1]quests!$1:$1,0)+1,FALSE)</f>
        <v>ドロップイベント2-2</v>
      </c>
      <c r="F4" s="27">
        <v>1</v>
      </c>
      <c r="G4" s="29" t="str">
        <f t="shared" ca="1" si="1"/>
        <v>20005_1</v>
      </c>
      <c r="H4" s="19" t="str">
        <f ca="1">VLOOKUP($G4,OFFSET([1]stages!$A$1,0,0,COUNTA([1]stages!$A:$A),MATCH(H$1,[1]stages!$2:$2,0)-MATCH($G$1,[1]stages!$2:$2,0)+1),MATCH(H$1,[1]stages!$2:$2,0)-MATCH($G$1,[1]stages!$2:$2,0)+1,FALSE)</f>
        <v>【初級】ザ・キャノン(4タップ）</v>
      </c>
      <c r="I4" s="27">
        <v>3</v>
      </c>
      <c r="J4" s="12">
        <v>45</v>
      </c>
      <c r="K4" s="12">
        <v>45</v>
      </c>
    </row>
    <row r="5" spans="1:11" ht="21" customHeight="1" x14ac:dyDescent="0.15">
      <c r="A5" s="20" t="str">
        <f t="shared" ca="1" si="0"/>
        <v>20005_1-4</v>
      </c>
      <c r="B5" s="20" t="str">
        <f ca="1">IF(COUNTIF(enemy_habitats_drop_2_2!$H:$H,A5),"OK","NG")</f>
        <v>OK</v>
      </c>
      <c r="C5" s="7">
        <v>20005</v>
      </c>
      <c r="D5" s="11" t="str">
        <f ca="1">VLOOKUP($C5,OFFSET([1]quests!$A$1,0,0,COUNTA([1]quests!$A:$A),MATCH(D$1,[1]quests!$1:$1,0)-MATCH($C$1,[1]quests!$1:$1,0)+1),MATCH(D$1,[1]quests!$1:$1,0)-MATCH($C$1,[1]quests!$1:$1,0)+1,FALSE)</f>
        <v>ザ・キャノン</v>
      </c>
      <c r="E5" s="24" t="str">
        <f ca="1">VLOOKUP($C5,OFFSET([1]quests!$A$1,0,0,COUNTA([1]quests!$A:$A),MATCH(E$1,[1]quests!$1:$1,0)-MATCH($C$1,[1]quests!$1:$1,0)+1),MATCH(E$1,[1]quests!$1:$1,0)-MATCH($C$1,[1]quests!$1:$1,0)+1,FALSE)</f>
        <v>ドロップイベント2-2</v>
      </c>
      <c r="F5" s="27">
        <v>1</v>
      </c>
      <c r="G5" s="29" t="str">
        <f t="shared" ca="1" si="1"/>
        <v>20005_1</v>
      </c>
      <c r="H5" s="19" t="str">
        <f ca="1">VLOOKUP($G5,OFFSET([1]stages!$A$1,0,0,COUNTA([1]stages!$A:$A),MATCH(H$1,[1]stages!$2:$2,0)-MATCH($G$1,[1]stages!$2:$2,0)+1),MATCH(H$1,[1]stages!$2:$2,0)-MATCH($G$1,[1]stages!$2:$2,0)+1,FALSE)</f>
        <v>【初級】ザ・キャノン(4タップ）</v>
      </c>
      <c r="I5" s="27">
        <v>4</v>
      </c>
      <c r="J5" s="12">
        <v>20</v>
      </c>
      <c r="K5" s="12">
        <v>20</v>
      </c>
    </row>
    <row r="6" spans="1:11" ht="21" customHeight="1" x14ac:dyDescent="0.15">
      <c r="A6" s="20" t="str">
        <f t="shared" ca="1" si="0"/>
        <v>20005_2-1</v>
      </c>
      <c r="B6" s="20" t="str">
        <f ca="1">IF(COUNTIF(enemy_habitats_drop_2_2!$H:$H,A6),"OK","NG")</f>
        <v>OK</v>
      </c>
      <c r="C6" s="7">
        <v>20005</v>
      </c>
      <c r="D6" s="11" t="str">
        <f ca="1">VLOOKUP($C6,OFFSET([1]quests!$A$1,0,0,COUNTA([1]quests!$A:$A),MATCH(D$1,[1]quests!$1:$1,0)-MATCH($C$1,[1]quests!$1:$1,0)+1),MATCH(D$1,[1]quests!$1:$1,0)-MATCH($C$1,[1]quests!$1:$1,0)+1,FALSE)</f>
        <v>ザ・キャノン</v>
      </c>
      <c r="E6" s="24" t="str">
        <f ca="1">VLOOKUP($C6,OFFSET([1]quests!$A$1,0,0,COUNTA([1]quests!$A:$A),MATCH(E$1,[1]quests!$1:$1,0)-MATCH($C$1,[1]quests!$1:$1,0)+1),MATCH(E$1,[1]quests!$1:$1,0)-MATCH($C$1,[1]quests!$1:$1,0)+1,FALSE)</f>
        <v>ドロップイベント2-2</v>
      </c>
      <c r="F6" s="27">
        <v>2</v>
      </c>
      <c r="G6" s="29" t="str">
        <f t="shared" ca="1" si="1"/>
        <v>20005_2</v>
      </c>
      <c r="H6" s="19" t="str">
        <f ca="1">VLOOKUP($G6,OFFSET([1]stages!$A$1,0,0,COUNTA([1]stages!$A:$A),MATCH(H$1,[1]stages!$2:$2,0)-MATCH($G$1,[1]stages!$2:$2,0)+1),MATCH(H$1,[1]stages!$2:$2,0)-MATCH($G$1,[1]stages!$2:$2,0)+1,FALSE)</f>
        <v>【中級】ザ・キャノン(4タップ)</v>
      </c>
      <c r="I6" s="27">
        <v>1</v>
      </c>
      <c r="J6" s="12">
        <v>30</v>
      </c>
      <c r="K6" s="12">
        <v>30</v>
      </c>
    </row>
    <row r="7" spans="1:11" ht="21" customHeight="1" x14ac:dyDescent="0.15">
      <c r="A7" s="20" t="str">
        <f t="shared" ca="1" si="0"/>
        <v>20005_2-2</v>
      </c>
      <c r="B7" s="20" t="str">
        <f ca="1">IF(COUNTIF(enemy_habitats_drop_2_2!$H:$H,A7),"OK","NG")</f>
        <v>OK</v>
      </c>
      <c r="C7" s="7">
        <v>20005</v>
      </c>
      <c r="D7" s="11" t="str">
        <f ca="1">VLOOKUP($C7,OFFSET([1]quests!$A$1,0,0,COUNTA([1]quests!$A:$A),MATCH(D$1,[1]quests!$1:$1,0)-MATCH($C$1,[1]quests!$1:$1,0)+1),MATCH(D$1,[1]quests!$1:$1,0)-MATCH($C$1,[1]quests!$1:$1,0)+1,FALSE)</f>
        <v>ザ・キャノン</v>
      </c>
      <c r="E7" s="24" t="str">
        <f ca="1">VLOOKUP($C7,OFFSET([1]quests!$A$1,0,0,COUNTA([1]quests!$A:$A),MATCH(E$1,[1]quests!$1:$1,0)-MATCH($C$1,[1]quests!$1:$1,0)+1),MATCH(E$1,[1]quests!$1:$1,0)-MATCH($C$1,[1]quests!$1:$1,0)+1,FALSE)</f>
        <v>ドロップイベント2-2</v>
      </c>
      <c r="F7" s="27">
        <v>2</v>
      </c>
      <c r="G7" s="29" t="str">
        <f t="shared" ca="1" si="1"/>
        <v>20005_2</v>
      </c>
      <c r="H7" s="19" t="str">
        <f ca="1">VLOOKUP($G7,OFFSET([1]stages!$A$1,0,0,COUNTA([1]stages!$A:$A),MATCH(H$1,[1]stages!$2:$2,0)-MATCH($G$1,[1]stages!$2:$2,0)+1),MATCH(H$1,[1]stages!$2:$2,0)-MATCH($G$1,[1]stages!$2:$2,0)+1,FALSE)</f>
        <v>【中級】ザ・キャノン(4タップ)</v>
      </c>
      <c r="I7" s="27">
        <v>2</v>
      </c>
      <c r="J7" s="12">
        <v>50</v>
      </c>
      <c r="K7" s="12">
        <v>50</v>
      </c>
    </row>
    <row r="8" spans="1:11" ht="21" customHeight="1" x14ac:dyDescent="0.15">
      <c r="A8" s="20" t="str">
        <f t="shared" ca="1" si="0"/>
        <v>20005_2-3</v>
      </c>
      <c r="B8" s="20" t="str">
        <f ca="1">IF(COUNTIF(enemy_habitats_drop_2_2!$H:$H,A8),"OK","NG")</f>
        <v>OK</v>
      </c>
      <c r="C8" s="7">
        <v>20005</v>
      </c>
      <c r="D8" s="11" t="str">
        <f ca="1">VLOOKUP($C8,OFFSET([1]quests!$A$1,0,0,COUNTA([1]quests!$A:$A),MATCH(D$1,[1]quests!$1:$1,0)-MATCH($C$1,[1]quests!$1:$1,0)+1),MATCH(D$1,[1]quests!$1:$1,0)-MATCH($C$1,[1]quests!$1:$1,0)+1,FALSE)</f>
        <v>ザ・キャノン</v>
      </c>
      <c r="E8" s="24" t="str">
        <f ca="1">VLOOKUP($C8,OFFSET([1]quests!$A$1,0,0,COUNTA([1]quests!$A:$A),MATCH(E$1,[1]quests!$1:$1,0)-MATCH($C$1,[1]quests!$1:$1,0)+1),MATCH(E$1,[1]quests!$1:$1,0)-MATCH($C$1,[1]quests!$1:$1,0)+1,FALSE)</f>
        <v>ドロップイベント2-2</v>
      </c>
      <c r="F8" s="27">
        <v>2</v>
      </c>
      <c r="G8" s="29" t="str">
        <f t="shared" ca="1" si="1"/>
        <v>20005_2</v>
      </c>
      <c r="H8" s="19" t="str">
        <f ca="1">VLOOKUP($G8,OFFSET([1]stages!$A$1,0,0,COUNTA([1]stages!$A:$A),MATCH(H$1,[1]stages!$2:$2,0)-MATCH($G$1,[1]stages!$2:$2,0)+1),MATCH(H$1,[1]stages!$2:$2,0)-MATCH($G$1,[1]stages!$2:$2,0)+1,FALSE)</f>
        <v>【中級】ザ・キャノン(4タップ)</v>
      </c>
      <c r="I8" s="27">
        <v>3</v>
      </c>
      <c r="J8" s="12">
        <v>45</v>
      </c>
      <c r="K8" s="12">
        <v>45</v>
      </c>
    </row>
    <row r="9" spans="1:11" ht="21" customHeight="1" x14ac:dyDescent="0.15">
      <c r="A9" s="20" t="str">
        <f t="shared" ca="1" si="0"/>
        <v>20005_2-4</v>
      </c>
      <c r="B9" s="20" t="str">
        <f ca="1">IF(COUNTIF(enemy_habitats_drop_2_2!$H:$H,A9),"OK","NG")</f>
        <v>OK</v>
      </c>
      <c r="C9" s="7">
        <v>20005</v>
      </c>
      <c r="D9" s="11" t="str">
        <f ca="1">VLOOKUP($C9,OFFSET([1]quests!$A$1,0,0,COUNTA([1]quests!$A:$A),MATCH(D$1,[1]quests!$1:$1,0)-MATCH($C$1,[1]quests!$1:$1,0)+1),MATCH(D$1,[1]quests!$1:$1,0)-MATCH($C$1,[1]quests!$1:$1,0)+1,FALSE)</f>
        <v>ザ・キャノン</v>
      </c>
      <c r="E9" s="24" t="str">
        <f ca="1">VLOOKUP($C9,OFFSET([1]quests!$A$1,0,0,COUNTA([1]quests!$A:$A),MATCH(E$1,[1]quests!$1:$1,0)-MATCH($C$1,[1]quests!$1:$1,0)+1),MATCH(E$1,[1]quests!$1:$1,0)-MATCH($C$1,[1]quests!$1:$1,0)+1,FALSE)</f>
        <v>ドロップイベント2-2</v>
      </c>
      <c r="F9" s="27">
        <v>2</v>
      </c>
      <c r="G9" s="29" t="str">
        <f t="shared" ca="1" si="1"/>
        <v>20005_2</v>
      </c>
      <c r="H9" s="19" t="str">
        <f ca="1">VLOOKUP($G9,OFFSET([1]stages!$A$1,0,0,COUNTA([1]stages!$A:$A),MATCH(H$1,[1]stages!$2:$2,0)-MATCH($G$1,[1]stages!$2:$2,0)+1),MATCH(H$1,[1]stages!$2:$2,0)-MATCH($G$1,[1]stages!$2:$2,0)+1,FALSE)</f>
        <v>【中級】ザ・キャノン(4タップ)</v>
      </c>
      <c r="I9" s="27">
        <v>4</v>
      </c>
      <c r="J9" s="12">
        <v>20</v>
      </c>
      <c r="K9" s="12">
        <v>20</v>
      </c>
    </row>
    <row r="10" spans="1:11" ht="21" customHeight="1" x14ac:dyDescent="0.15">
      <c r="A10" s="20" t="str">
        <f t="shared" ca="1" si="0"/>
        <v>20005_3-1</v>
      </c>
      <c r="B10" s="20" t="str">
        <f ca="1">IF(COUNTIF(enemy_habitats_drop_2_2!$H:$H,A10),"OK","NG")</f>
        <v>OK</v>
      </c>
      <c r="C10" s="7">
        <v>20005</v>
      </c>
      <c r="D10" s="11" t="str">
        <f ca="1">VLOOKUP($C10,OFFSET([1]quests!$A$1,0,0,COUNTA([1]quests!$A:$A),MATCH(D$1,[1]quests!$1:$1,0)-MATCH($C$1,[1]quests!$1:$1,0)+1),MATCH(D$1,[1]quests!$1:$1,0)-MATCH($C$1,[1]quests!$1:$1,0)+1,FALSE)</f>
        <v>ザ・キャノン</v>
      </c>
      <c r="E10" s="24" t="str">
        <f ca="1">VLOOKUP($C10,OFFSET([1]quests!$A$1,0,0,COUNTA([1]quests!$A:$A),MATCH(E$1,[1]quests!$1:$1,0)-MATCH($C$1,[1]quests!$1:$1,0)+1),MATCH(E$1,[1]quests!$1:$1,0)-MATCH($C$1,[1]quests!$1:$1,0)+1,FALSE)</f>
        <v>ドロップイベント2-2</v>
      </c>
      <c r="F10" s="27">
        <v>3</v>
      </c>
      <c r="G10" s="29" t="str">
        <f t="shared" ca="1" si="1"/>
        <v>20005_3</v>
      </c>
      <c r="H10" s="19" t="str">
        <f ca="1">VLOOKUP($G10,OFFSET([1]stages!$A$1,0,0,COUNTA([1]stages!$A:$A),MATCH(H$1,[1]stages!$2:$2,0)-MATCH($G$1,[1]stages!$2:$2,0)+1),MATCH(H$1,[1]stages!$2:$2,0)-MATCH($G$1,[1]stages!$2:$2,0)+1,FALSE)</f>
        <v>【上級】ザ・キャノン(4タップ)</v>
      </c>
      <c r="I10" s="27">
        <v>1</v>
      </c>
      <c r="J10" s="12">
        <v>30</v>
      </c>
      <c r="K10" s="12">
        <v>30</v>
      </c>
    </row>
    <row r="11" spans="1:11" ht="21" customHeight="1" x14ac:dyDescent="0.15">
      <c r="A11" s="20" t="str">
        <f t="shared" ca="1" si="0"/>
        <v>20005_3-2</v>
      </c>
      <c r="B11" s="20" t="str">
        <f ca="1">IF(COUNTIF(enemy_habitats_drop_2_2!$H:$H,A11),"OK","NG")</f>
        <v>OK</v>
      </c>
      <c r="C11" s="7">
        <v>20005</v>
      </c>
      <c r="D11" s="11" t="str">
        <f ca="1">VLOOKUP($C11,OFFSET([1]quests!$A$1,0,0,COUNTA([1]quests!$A:$A),MATCH(D$1,[1]quests!$1:$1,0)-MATCH($C$1,[1]quests!$1:$1,0)+1),MATCH(D$1,[1]quests!$1:$1,0)-MATCH($C$1,[1]quests!$1:$1,0)+1,FALSE)</f>
        <v>ザ・キャノン</v>
      </c>
      <c r="E11" s="24" t="str">
        <f ca="1">VLOOKUP($C11,OFFSET([1]quests!$A$1,0,0,COUNTA([1]quests!$A:$A),MATCH(E$1,[1]quests!$1:$1,0)-MATCH($C$1,[1]quests!$1:$1,0)+1),MATCH(E$1,[1]quests!$1:$1,0)-MATCH($C$1,[1]quests!$1:$1,0)+1,FALSE)</f>
        <v>ドロップイベント2-2</v>
      </c>
      <c r="F11" s="27">
        <v>3</v>
      </c>
      <c r="G11" s="29" t="str">
        <f t="shared" ca="1" si="1"/>
        <v>20005_3</v>
      </c>
      <c r="H11" s="19" t="str">
        <f ca="1">VLOOKUP($G11,OFFSET([1]stages!$A$1,0,0,COUNTA([1]stages!$A:$A),MATCH(H$1,[1]stages!$2:$2,0)-MATCH($G$1,[1]stages!$2:$2,0)+1),MATCH(H$1,[1]stages!$2:$2,0)-MATCH($G$1,[1]stages!$2:$2,0)+1,FALSE)</f>
        <v>【上級】ザ・キャノン(4タップ)</v>
      </c>
      <c r="I11" s="27">
        <v>2</v>
      </c>
      <c r="J11" s="12">
        <v>50</v>
      </c>
      <c r="K11" s="12">
        <v>50</v>
      </c>
    </row>
    <row r="12" spans="1:11" ht="21" customHeight="1" x14ac:dyDescent="0.15">
      <c r="A12" s="20" t="str">
        <f t="shared" ca="1" si="0"/>
        <v>20005_3-3</v>
      </c>
      <c r="B12" s="20" t="str">
        <f ca="1">IF(COUNTIF(enemy_habitats_drop_2_2!$H:$H,A12),"OK","NG")</f>
        <v>OK</v>
      </c>
      <c r="C12" s="7">
        <v>20005</v>
      </c>
      <c r="D12" s="11" t="str">
        <f ca="1">VLOOKUP($C12,OFFSET([1]quests!$A$1,0,0,COUNTA([1]quests!$A:$A),MATCH(D$1,[1]quests!$1:$1,0)-MATCH($C$1,[1]quests!$1:$1,0)+1),MATCH(D$1,[1]quests!$1:$1,0)-MATCH($C$1,[1]quests!$1:$1,0)+1,FALSE)</f>
        <v>ザ・キャノン</v>
      </c>
      <c r="E12" s="24" t="str">
        <f ca="1">VLOOKUP($C12,OFFSET([1]quests!$A$1,0,0,COUNTA([1]quests!$A:$A),MATCH(E$1,[1]quests!$1:$1,0)-MATCH($C$1,[1]quests!$1:$1,0)+1),MATCH(E$1,[1]quests!$1:$1,0)-MATCH($C$1,[1]quests!$1:$1,0)+1,FALSE)</f>
        <v>ドロップイベント2-2</v>
      </c>
      <c r="F12" s="27">
        <v>3</v>
      </c>
      <c r="G12" s="29" t="str">
        <f t="shared" ca="1" si="1"/>
        <v>20005_3</v>
      </c>
      <c r="H12" s="19" t="str">
        <f ca="1">VLOOKUP($G12,OFFSET([1]stages!$A$1,0,0,COUNTA([1]stages!$A:$A),MATCH(H$1,[1]stages!$2:$2,0)-MATCH($G$1,[1]stages!$2:$2,0)+1),MATCH(H$1,[1]stages!$2:$2,0)-MATCH($G$1,[1]stages!$2:$2,0)+1,FALSE)</f>
        <v>【上級】ザ・キャノン(4タップ)</v>
      </c>
      <c r="I12" s="27">
        <v>3</v>
      </c>
      <c r="J12" s="12">
        <v>45</v>
      </c>
      <c r="K12" s="12">
        <v>45</v>
      </c>
    </row>
    <row r="13" spans="1:11" ht="21" customHeight="1" x14ac:dyDescent="0.15">
      <c r="A13" s="20" t="str">
        <f t="shared" ca="1" si="0"/>
        <v>20005_3-4</v>
      </c>
      <c r="B13" s="20" t="str">
        <f ca="1">IF(COUNTIF(enemy_habitats_drop_2_2!$H:$H,A13),"OK","NG")</f>
        <v>OK</v>
      </c>
      <c r="C13" s="7">
        <v>20005</v>
      </c>
      <c r="D13" s="11" t="str">
        <f ca="1">VLOOKUP($C13,OFFSET([1]quests!$A$1,0,0,COUNTA([1]quests!$A:$A),MATCH(D$1,[1]quests!$1:$1,0)-MATCH($C$1,[1]quests!$1:$1,0)+1),MATCH(D$1,[1]quests!$1:$1,0)-MATCH($C$1,[1]quests!$1:$1,0)+1,FALSE)</f>
        <v>ザ・キャノン</v>
      </c>
      <c r="E13" s="24" t="str">
        <f ca="1">VLOOKUP($C13,OFFSET([1]quests!$A$1,0,0,COUNTA([1]quests!$A:$A),MATCH(E$1,[1]quests!$1:$1,0)-MATCH($C$1,[1]quests!$1:$1,0)+1),MATCH(E$1,[1]quests!$1:$1,0)-MATCH($C$1,[1]quests!$1:$1,0)+1,FALSE)</f>
        <v>ドロップイベント2-2</v>
      </c>
      <c r="F13" s="27">
        <v>3</v>
      </c>
      <c r="G13" s="29" t="str">
        <f t="shared" ca="1" si="1"/>
        <v>20005_3</v>
      </c>
      <c r="H13" s="19" t="str">
        <f ca="1">VLOOKUP($G13,OFFSET([1]stages!$A$1,0,0,COUNTA([1]stages!$A:$A),MATCH(H$1,[1]stages!$2:$2,0)-MATCH($G$1,[1]stages!$2:$2,0)+1),MATCH(H$1,[1]stages!$2:$2,0)-MATCH($G$1,[1]stages!$2:$2,0)+1,FALSE)</f>
        <v>【上級】ザ・キャノン(4タップ)</v>
      </c>
      <c r="I13" s="27">
        <v>4</v>
      </c>
      <c r="J13" s="12">
        <v>30</v>
      </c>
      <c r="K13" s="12">
        <v>30</v>
      </c>
    </row>
  </sheetData>
  <sheetProtection selectLockedCells="1" selectUnlockedCells="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J40"/>
  <sheetViews>
    <sheetView showGridLines="0" zoomScale="90" zoomScaleNormal="75" zoomScalePageLayoutView="75" workbookViewId="0">
      <pane xSplit="14" ySplit="1" topLeftCell="AC2" activePane="bottomRight" state="frozen"/>
      <selection pane="topRight" activeCell="N1" sqref="N1"/>
      <selection pane="bottomLeft" activeCell="A2" sqref="A2"/>
      <selection pane="bottomRight" activeCell="AE28" sqref="AE28"/>
    </sheetView>
  </sheetViews>
  <sheetFormatPr baseColWidth="12" defaultColWidth="13" defaultRowHeight="21" customHeight="1" outlineLevelCol="1" x14ac:dyDescent="0.15"/>
  <cols>
    <col min="1" max="1" width="12.5" style="25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8" width="12.33203125" style="3" bestFit="1" customWidth="1" outlineLevel="1"/>
    <col min="9" max="9" width="13.5" style="9" bestFit="1" customWidth="1"/>
    <col min="10" max="10" width="8.83203125" style="3" bestFit="1" customWidth="1" outlineLevel="1"/>
    <col min="11" max="11" width="8.6640625" style="3" bestFit="1" customWidth="1" outlineLevel="1"/>
    <col min="12" max="12" width="12" style="3" bestFit="1" customWidth="1" outlineLevel="1"/>
    <col min="13" max="13" width="21" style="3" bestFit="1" customWidth="1" outlineLevel="1"/>
    <col min="14" max="14" width="8" style="3" bestFit="1" customWidth="1" outlineLevel="1"/>
    <col min="15" max="15" width="8.33203125" style="3" bestFit="1" customWidth="1"/>
    <col min="16" max="16" width="14.83203125" style="3" bestFit="1" customWidth="1"/>
    <col min="17" max="17" width="17.5" style="3" bestFit="1" customWidth="1"/>
    <col min="18" max="18" width="18.33203125" style="3" bestFit="1" customWidth="1"/>
    <col min="19" max="19" width="10" style="3" bestFit="1" customWidth="1"/>
    <col min="20" max="20" width="12.1640625" style="3" bestFit="1" customWidth="1" outlineLevel="1"/>
    <col min="21" max="21" width="11.33203125" style="3" bestFit="1" customWidth="1"/>
    <col min="22" max="22" width="11.6640625" style="3" bestFit="1" customWidth="1"/>
    <col min="23" max="23" width="10.6640625" style="3" bestFit="1" customWidth="1"/>
    <col min="24" max="24" width="9.33203125" style="3" bestFit="1" customWidth="1"/>
    <col min="25" max="25" width="13" style="3" bestFit="1" customWidth="1"/>
    <col min="26" max="26" width="8.83203125" style="13" bestFit="1" customWidth="1" outlineLevel="1"/>
    <col min="27" max="27" width="8" style="14" bestFit="1" customWidth="1" outlineLevel="1"/>
    <col min="28" max="28" width="12" style="14" bestFit="1" customWidth="1" outlineLevel="1"/>
    <col min="29" max="29" width="15" style="10" bestFit="1" customWidth="1" collapsed="1"/>
    <col min="30" max="31" width="14.83203125" style="3" bestFit="1" customWidth="1"/>
    <col min="32" max="32" width="6.6640625" style="3" bestFit="1" customWidth="1"/>
    <col min="33" max="33" width="9.33203125" style="3" bestFit="1" customWidth="1"/>
    <col min="34" max="34" width="10.33203125" style="3" bestFit="1" customWidth="1"/>
    <col min="35" max="35" width="7.6640625" style="3" bestFit="1" customWidth="1"/>
    <col min="36" max="36" width="4" style="3" bestFit="1" customWidth="1"/>
    <col min="37" max="16384" width="13" style="3"/>
  </cols>
  <sheetData>
    <row r="1" spans="1:36" s="40" customFormat="1" ht="21" customHeight="1" x14ac:dyDescent="0.15">
      <c r="A1" s="32" t="s">
        <v>29</v>
      </c>
      <c r="B1" s="33" t="s">
        <v>0</v>
      </c>
      <c r="C1" s="33" t="s">
        <v>1</v>
      </c>
      <c r="D1" s="34" t="s">
        <v>28</v>
      </c>
      <c r="E1" s="35" t="s">
        <v>20</v>
      </c>
      <c r="F1" s="35" t="s">
        <v>20</v>
      </c>
      <c r="G1" s="33" t="s">
        <v>19</v>
      </c>
      <c r="H1" s="34" t="s">
        <v>37</v>
      </c>
      <c r="I1" s="33" t="s">
        <v>2</v>
      </c>
      <c r="J1" s="36" t="s">
        <v>21</v>
      </c>
      <c r="K1" s="34" t="s">
        <v>24</v>
      </c>
      <c r="L1" s="34" t="s">
        <v>23</v>
      </c>
      <c r="M1" s="37" t="s">
        <v>26</v>
      </c>
      <c r="N1" s="35" t="s">
        <v>25</v>
      </c>
      <c r="O1" s="33" t="s">
        <v>3</v>
      </c>
      <c r="P1" s="31" t="s">
        <v>50</v>
      </c>
      <c r="Q1" s="31" t="s">
        <v>52</v>
      </c>
      <c r="R1" s="31" t="s">
        <v>54</v>
      </c>
      <c r="S1" s="34" t="s">
        <v>33</v>
      </c>
      <c r="T1" s="33" t="s">
        <v>4</v>
      </c>
      <c r="U1" s="33" t="s">
        <v>5</v>
      </c>
      <c r="V1" s="33" t="s">
        <v>6</v>
      </c>
      <c r="W1" s="33" t="s">
        <v>7</v>
      </c>
      <c r="X1" s="33" t="s">
        <v>8</v>
      </c>
      <c r="Y1" s="38" t="s">
        <v>9</v>
      </c>
      <c r="Z1" s="39" t="s">
        <v>16</v>
      </c>
      <c r="AA1" s="39" t="s">
        <v>17</v>
      </c>
      <c r="AB1" s="39" t="s">
        <v>27</v>
      </c>
      <c r="AC1" s="38" t="s">
        <v>10</v>
      </c>
      <c r="AD1" s="33" t="s">
        <v>11</v>
      </c>
      <c r="AE1" s="33" t="s">
        <v>12</v>
      </c>
      <c r="AF1" s="33" t="s">
        <v>40</v>
      </c>
      <c r="AG1" s="33" t="s">
        <v>42</v>
      </c>
      <c r="AH1" s="33" t="s">
        <v>44</v>
      </c>
      <c r="AI1" s="33" t="s">
        <v>46</v>
      </c>
      <c r="AJ1" s="33" t="s">
        <v>48</v>
      </c>
    </row>
    <row r="2" spans="1:36" ht="21" customHeight="1" x14ac:dyDescent="0.15">
      <c r="A2" s="20" t="str">
        <f ca="1">B2&amp;"_"&amp;C2&amp;"-"&amp;G2&amp;"/"&amp;I2&amp;"&lt;lv"&amp;O2&amp;"&gt;s"&amp;X2</f>
        <v>20005_1-1/1&lt;lv24&gt;s1</v>
      </c>
      <c r="B2" s="28">
        <v>20005</v>
      </c>
      <c r="C2" s="27">
        <v>1</v>
      </c>
      <c r="D2" s="2" t="str">
        <f>B2&amp;"_"&amp;C2</f>
        <v>20005_1</v>
      </c>
      <c r="E2" s="4" t="str">
        <f ca="1">VLOOKUP($B2,OFFSET([1]quests!$A$1,0,0,COUNTA([1]quests!$A:$A),MATCH(E$1,[1]quests!$1:$1,0)-MATCH($B$1,[1]quests!$1:$1,0)+1),MATCH(E$1,[1]quests!$1:$1,0)-MATCH($B$1,[1]quests!$1:$1,0)+1,FALSE)</f>
        <v>ザ・キャノン</v>
      </c>
      <c r="F2" s="4" t="str">
        <f ca="1">VLOOKUP($D2,OFFSET([1]stages!$A$1,0,0,COUNTA([1]stages!$A:$A),MATCH(F$1,[1]stages!$2:$2,0)-MATCH($D$1,[1]stages!$2:$2,0)+1),MATCH(F$1,[1]stages!$2:$2,0)-MATCH($D$1,[1]stages!$2:$2,0)+1,FALSE)</f>
        <v>【初級】ザ・キャノン(4タップ）</v>
      </c>
      <c r="G2" s="27">
        <v>1</v>
      </c>
      <c r="H2" s="19" t="str">
        <f ca="1">B2&amp;"_"&amp;C2&amp;"-"&amp;G2</f>
        <v>20005_1-1</v>
      </c>
      <c r="I2" s="41">
        <v>1</v>
      </c>
      <c r="J2" s="23" t="str">
        <f ca="1">VLOOKUP($I2,OFFSET([2]enemies!$A$1,0,0,COUNTA([2]enemies!$A:$A),MATCH(J$1,[2]enemies!$1:$1,0)-MATCH($I$1,[2]enemies!$1:$1,0)+1),MATCH(J$1,[2]enemies!$1:$1,0)-MATCH($I$1,[2]enemies!$1:$1,0)+1,FALSE)</f>
        <v>ジェリー</v>
      </c>
      <c r="K2" s="23" t="str">
        <f ca="1">VLOOKUP($I2,OFFSET([2]enemies!$A$1,0,0,COUNTA([2]enemies!$A:$A),MATCH(K$1,[2]enemies!$1:$1,0)-MATCH($I$1,[2]enemies!$1:$1,0)+1),MATCH(K$1,[2]enemies!$1:$1,0)-MATCH($I$1,[2]enemies!$1:$1,0)+1,FALSE)</f>
        <v>red</v>
      </c>
      <c r="L2" s="24" t="str">
        <f ca="1">VLOOKUP(I2,[3]characters!$A:$J,10,FALSE)</f>
        <v>Drop1T</v>
      </c>
      <c r="M2" s="23" t="str">
        <f ca="1">VLOOKUP($I2,OFFSET([2]enemies!$A$1,0,0,COUNTA([2]enemies!$A:$A),MATCH(M$1,[2]enemies!$1:$1,0)-MATCH($I$1,[2]enemies!$1:$1,0)+1),MATCH(M$1,[2]enemies!$1:$1,0)-MATCH($I$1,[2]enemies!$1:$1,0)+1,FALSE)</f>
        <v>unknown</v>
      </c>
      <c r="N2" s="23">
        <f ca="1">VLOOKUP($I2,OFFSET([2]enemies!$A$1,0,0,COUNTA([2]enemies!$A:$A),MATCH(N$1,[2]enemies!$1:$1,0)-MATCH($I$1,[2]enemies!$1:$1,0)+1),MATCH(N$1,[2]enemies!$1:$1,0)-MATCH($I$1,[2]enemies!$1:$1,0)+1,FALSE)</f>
        <v>15</v>
      </c>
      <c r="O2" s="5">
        <v>24</v>
      </c>
      <c r="P2" s="30">
        <v>1</v>
      </c>
      <c r="Q2" s="30">
        <v>1</v>
      </c>
      <c r="R2" s="5">
        <v>0</v>
      </c>
      <c r="S2" s="4" t="e">
        <f ca="1">VLOOKUP($T2,OFFSET([4]enemy_skill_sets!$B$1,0,0,COUNTA([4]enemy_skill_sets!$B:$B),MATCH(J$1,[4]enemy_skill_sets!$1:$1,0)-MATCH($T$1,[4]enemy_skill_sets!$1:$1,0)+2),MATCH(J$1,[4]enemy_skill_sets!$1:$1,0)-MATCH($T$1,[4]enemy_skill_sets!$1:$1,0)+2,FALSE)</f>
        <v>#N/A</v>
      </c>
      <c r="T2" s="4" t="e">
        <f ca="1">VLOOKUP($I2,OFFSET([2]enemies!$A$1,0,0,COUNTA([2]enemies!$A:$A),MATCH(T$1,[2]enemies!$2:$2,0)-MATCH($I$1,[2]enemies!$2:$2,0)+1),MATCH(T$1,[2]enemies!$2:$2,0)-MATCH($I$1,[2]enemies!$2:$2,0)+1,FALSE)</f>
        <v>#N/A</v>
      </c>
      <c r="U2" s="6">
        <v>0</v>
      </c>
      <c r="V2" s="6">
        <v>100</v>
      </c>
      <c r="W2" s="6">
        <v>0</v>
      </c>
      <c r="X2" s="23">
        <f ca="1">VLOOKUP($I2,OFFSET([2]enemies!$A$1,0,0,COUNTA([2]enemies!$A:$A),MATCH(X$1,[2]enemies!$1:$1,0)-MATCH($I$1,[2]enemies!$1:$1,0)+1),MATCH(X$1,[2]enemies!$1:$1,0)-MATCH($I$1,[2]enemies!$1:$1,0)+1,FALSE)</f>
        <v>1</v>
      </c>
      <c r="Y2" s="41">
        <v>1</v>
      </c>
      <c r="Z2" s="4" t="str">
        <f ca="1">IFERROR(VLOOKUP($Y2,OFFSET([3]characters!$A$1,0,0,COUNTA([3]characters!$A:$A),MATCH(Z$1,[3]characters!$1:$1,0)-MATCH("character_id",[3]characters!$1:$1,0)+1),MATCH(Z$1,[3]characters!$1:$1,0)-MATCH("character_id",[3]characters!$1:$1,0)+1,FALSE),"")</f>
        <v>ジェリー</v>
      </c>
      <c r="AA2" s="4">
        <f ca="1">IFERROR(VLOOKUP($Y2,OFFSET([3]characters!$A$1,0,0,COUNTA([3]characters!$A:$A),MATCH(AA$1,[3]characters!$1:$1,0)-MATCH("character_id",[3]characters!$1:$1,0)+1),MATCH(AA$1,[3]characters!$1:$1,0)-MATCH("character_id",[3]characters!$1:$1,0)+1,FALSE),"")</f>
        <v>1</v>
      </c>
      <c r="AB2" s="4" t="str">
        <f ca="1">IFERROR(VLOOKUP($Y2,OFFSET([3]characters!$A$1,0,0,COUNTA([3]characters!$A:$A),MATCH(AB$1,[3]characters!$1:$1,0)-MATCH("character_id",[3]characters!$1:$1,0)+1),MATCH(AB$1,[3]characters!$1:$1,0)-MATCH("character_id",[3]characters!$1:$1,0)+1,FALSE),"")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2" s="7">
        <v>2</v>
      </c>
      <c r="AD2" s="46">
        <f t="shared" ref="AD2:AD40" ca="1" si="0">AA2</f>
        <v>1</v>
      </c>
      <c r="AE2" s="8">
        <v>25</v>
      </c>
      <c r="AF2" s="7">
        <v>0</v>
      </c>
      <c r="AG2" s="7">
        <v>0</v>
      </c>
      <c r="AH2" s="7">
        <v>0</v>
      </c>
      <c r="AI2" s="7">
        <v>0</v>
      </c>
      <c r="AJ2" s="7">
        <v>1</v>
      </c>
    </row>
    <row r="3" spans="1:36" ht="21" customHeight="1" x14ac:dyDescent="0.15">
      <c r="A3" s="20" t="str">
        <f t="shared" ref="A3:A40" ca="1" si="1">B3&amp;"_"&amp;C3&amp;"-"&amp;G3&amp;"/"&amp;I3&amp;"&lt;lv"&amp;O3&amp;"&gt;s"&amp;X3</f>
        <v>20005_1-1/15&lt;lv24&gt;s3</v>
      </c>
      <c r="B3" s="28">
        <v>20005</v>
      </c>
      <c r="C3" s="27">
        <v>1</v>
      </c>
      <c r="D3" s="2" t="str">
        <f t="shared" ref="D3:D40" ca="1" si="2">B3&amp;"_"&amp;C3</f>
        <v>20005_1</v>
      </c>
      <c r="E3" s="4" t="str">
        <f ca="1">VLOOKUP($B3,OFFSET([1]quests!$A$1,0,0,COUNTA([1]quests!$A:$A),MATCH(E$1,[1]quests!$1:$1,0)-MATCH($B$1,[1]quests!$1:$1,0)+1),MATCH(E$1,[1]quests!$1:$1,0)-MATCH($B$1,[1]quests!$1:$1,0)+1,FALSE)</f>
        <v>ザ・キャノン</v>
      </c>
      <c r="F3" s="4" t="str">
        <f ca="1">VLOOKUP($D3,OFFSET([1]stages!$A$1,0,0,COUNTA([1]stages!$A:$A),MATCH(F$1,[1]stages!$2:$2,0)-MATCH($D$1,[1]stages!$2:$2,0)+1),MATCH(F$1,[1]stages!$2:$2,0)-MATCH($D$1,[1]stages!$2:$2,0)+1,FALSE)</f>
        <v>【初級】ザ・キャノン(4タップ）</v>
      </c>
      <c r="G3" s="27">
        <v>1</v>
      </c>
      <c r="H3" s="19" t="str">
        <f t="shared" ref="H3:H40" ca="1" si="3">B3&amp;"_"&amp;C3&amp;"-"&amp;G3</f>
        <v>20005_1-1</v>
      </c>
      <c r="I3" s="41">
        <v>15</v>
      </c>
      <c r="J3" s="23" t="str">
        <f ca="1">VLOOKUP($I3,OFFSET([2]enemies!$A$1,0,0,COUNTA([2]enemies!$A:$A),MATCH(J$1,[2]enemies!$1:$1,0)-MATCH($I$1,[2]enemies!$1:$1,0)+1),MATCH(J$1,[2]enemies!$1:$1,0)-MATCH($I$1,[2]enemies!$1:$1,0)+1,FALSE)</f>
        <v>アカネ</v>
      </c>
      <c r="K3" s="23" t="str">
        <f ca="1">VLOOKUP($I3,OFFSET([2]enemies!$A$1,0,0,COUNTA([2]enemies!$A:$A),MATCH(K$1,[2]enemies!$1:$1,0)-MATCH($I$1,[2]enemies!$1:$1,0)+1),MATCH(K$1,[2]enemies!$1:$1,0)-MATCH($I$1,[2]enemies!$1:$1,0)+1,FALSE)</f>
        <v>red</v>
      </c>
      <c r="L3" s="24" t="str">
        <f ca="1">VLOOKUP(I3,[3]characters!$A:$J,10,FALSE)</f>
        <v>Drop1W</v>
      </c>
      <c r="M3" s="23" t="str">
        <f ca="1">VLOOKUP($I3,OFFSET([2]enemies!$A$1,0,0,COUNTA([2]enemies!$A:$A),MATCH(M$1,[2]enemies!$1:$1,0)-MATCH($I$1,[2]enemies!$1:$1,0)+1),MATCH(M$1,[2]enemies!$1:$1,0)-MATCH($I$1,[2]enemies!$1:$1,0)+1,FALSE)</f>
        <v>human</v>
      </c>
      <c r="N3" s="23">
        <f ca="1">VLOOKUP($I3,OFFSET([2]enemies!$A$1,0,0,COUNTA([2]enemies!$A:$A),MATCH(N$1,[2]enemies!$1:$1,0)-MATCH($I$1,[2]enemies!$1:$1,0)+1),MATCH(N$1,[2]enemies!$1:$1,0)-MATCH($I$1,[2]enemies!$1:$1,0)+1,FALSE)</f>
        <v>15</v>
      </c>
      <c r="O3" s="5">
        <v>24</v>
      </c>
      <c r="P3" s="30">
        <v>1</v>
      </c>
      <c r="Q3" s="30">
        <v>1</v>
      </c>
      <c r="R3" s="5">
        <v>0</v>
      </c>
      <c r="S3" s="4" t="e">
        <f ca="1">VLOOKUP($T3,OFFSET([4]enemy_skill_sets!$B$1,0,0,COUNTA([4]enemy_skill_sets!$B:$B),MATCH(J$1,[4]enemy_skill_sets!$1:$1,0)-MATCH($T$1,[4]enemy_skill_sets!$1:$1,0)+2),MATCH(J$1,[4]enemy_skill_sets!$1:$1,0)-MATCH($T$1,[4]enemy_skill_sets!$1:$1,0)+2,FALSE)</f>
        <v>#N/A</v>
      </c>
      <c r="T3" s="4" t="e">
        <f ca="1">VLOOKUP($I3,OFFSET([2]enemies!$A$1,0,0,COUNTA([2]enemies!$A:$A),MATCH(T$1,[2]enemies!$2:$2,0)-MATCH($I$1,[2]enemies!$2:$2,0)+1),MATCH(T$1,[2]enemies!$2:$2,0)-MATCH($I$1,[2]enemies!$2:$2,0)+1,FALSE)</f>
        <v>#N/A</v>
      </c>
      <c r="U3" s="6">
        <v>0</v>
      </c>
      <c r="V3" s="6">
        <v>100</v>
      </c>
      <c r="W3" s="6">
        <v>0</v>
      </c>
      <c r="X3" s="23">
        <f ca="1">VLOOKUP($I3,OFFSET([2]enemies!$A$1,0,0,COUNTA([2]enemies!$A:$A),MATCH(X$1,[2]enemies!$1:$1,0)-MATCH($I$1,[2]enemies!$1:$1,0)+1),MATCH(X$1,[2]enemies!$1:$1,0)-MATCH($I$1,[2]enemies!$1:$1,0)+1,FALSE)</f>
        <v>3</v>
      </c>
      <c r="Y3" s="41">
        <v>15</v>
      </c>
      <c r="Z3" s="4" t="str">
        <f ca="1">IFERROR(VLOOKUP($Y3,OFFSET([3]characters!$A$1,0,0,COUNTA([3]characters!$A:$A),MATCH(Z$1,[3]characters!$1:$1,0)-MATCH("character_id",[3]characters!$1:$1,0)+1),MATCH(Z$1,[3]characters!$1:$1,0)-MATCH("character_id",[3]characters!$1:$1,0)+1,FALSE),"")</f>
        <v>アカネ</v>
      </c>
      <c r="AA3" s="4">
        <f ca="1">IFERROR(VLOOKUP($Y3,OFFSET([3]characters!$A$1,0,0,COUNTA([3]characters!$A:$A),MATCH(AA$1,[3]characters!$1:$1,0)-MATCH("character_id",[3]characters!$1:$1,0)+1),MATCH(AA$1,[3]characters!$1:$1,0)-MATCH("character_id",[3]characters!$1:$1,0)+1,FALSE),"")</f>
        <v>1</v>
      </c>
      <c r="AB3" s="4" t="str">
        <f ca="1">IFERROR(VLOOKUP($Y3,OFFSET([3]characters!$A$1,0,0,COUNTA([3]characters!$A:$A),MATCH(AB$1,[3]characters!$1:$1,0)-MATCH("character_id",[3]characters!$1:$1,0)+1),MATCH(AB$1,[3]characters!$1:$1,0)-MATCH("character_id",[3]characters!$1:$1,0)+1,FALSE),"")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3" s="7">
        <v>1</v>
      </c>
      <c r="AD3" s="46">
        <f t="shared" ca="1" si="0"/>
        <v>1</v>
      </c>
      <c r="AE3" s="8">
        <v>25</v>
      </c>
      <c r="AF3" s="7">
        <v>0</v>
      </c>
      <c r="AG3" s="7">
        <v>0</v>
      </c>
      <c r="AH3" s="7">
        <v>0</v>
      </c>
      <c r="AI3" s="7">
        <v>0</v>
      </c>
      <c r="AJ3" s="7">
        <v>1</v>
      </c>
    </row>
    <row r="4" spans="1:36" ht="21" customHeight="1" x14ac:dyDescent="0.15">
      <c r="A4" s="20" t="str">
        <f t="shared" ca="1" si="1"/>
        <v>20005_1-1/21&lt;lv24&gt;s2</v>
      </c>
      <c r="B4" s="28">
        <v>20005</v>
      </c>
      <c r="C4" s="27">
        <v>1</v>
      </c>
      <c r="D4" s="2" t="str">
        <f t="shared" ca="1" si="2"/>
        <v>20005_1</v>
      </c>
      <c r="E4" s="4" t="str">
        <f ca="1">VLOOKUP($B4,OFFSET([1]quests!$A$1,0,0,COUNTA([1]quests!$A:$A),MATCH(E$1,[1]quests!$1:$1,0)-MATCH($B$1,[1]quests!$1:$1,0)+1),MATCH(E$1,[1]quests!$1:$1,0)-MATCH($B$1,[1]quests!$1:$1,0)+1,FALSE)</f>
        <v>ザ・キャノン</v>
      </c>
      <c r="F4" s="4" t="str">
        <f ca="1">VLOOKUP($D4,OFFSET([1]stages!$A$1,0,0,COUNTA([1]stages!$A:$A),MATCH(F$1,[1]stages!$2:$2,0)-MATCH($D$1,[1]stages!$2:$2,0)+1),MATCH(F$1,[1]stages!$2:$2,0)-MATCH($D$1,[1]stages!$2:$2,0)+1,FALSE)</f>
        <v>【初級】ザ・キャノン(4タップ）</v>
      </c>
      <c r="G4" s="27">
        <v>1</v>
      </c>
      <c r="H4" s="19" t="str">
        <f t="shared" ca="1" si="3"/>
        <v>20005_1-1</v>
      </c>
      <c r="I4" s="41">
        <v>21</v>
      </c>
      <c r="J4" s="23" t="str">
        <f ca="1">VLOOKUP($I4,OFFSET([2]enemies!$A$1,0,0,COUNTA([2]enemies!$A:$A),MATCH(J$1,[2]enemies!$1:$1,0)-MATCH($I$1,[2]enemies!$1:$1,0)+1),MATCH(J$1,[2]enemies!$1:$1,0)-MATCH($I$1,[2]enemies!$1:$1,0)+1,FALSE)</f>
        <v>ヴェロキー</v>
      </c>
      <c r="K4" s="23" t="str">
        <f ca="1">VLOOKUP($I4,OFFSET([2]enemies!$A$1,0,0,COUNTA([2]enemies!$A:$A),MATCH(K$1,[2]enemies!$1:$1,0)-MATCH($I$1,[2]enemies!$1:$1,0)+1),MATCH(K$1,[2]enemies!$1:$1,0)-MATCH($I$1,[2]enemies!$1:$1,0)+1,FALSE)</f>
        <v>red</v>
      </c>
      <c r="L4" s="24" t="str">
        <f ca="1">VLOOKUP(I4,[3]characters!$A:$J,10,FALSE)</f>
        <v>Drop1N</v>
      </c>
      <c r="M4" s="23" t="str">
        <f ca="1">VLOOKUP($I4,OFFSET([2]enemies!$A$1,0,0,COUNTA([2]enemies!$A:$A),MATCH(M$1,[2]enemies!$1:$1,0)-MATCH($I$1,[2]enemies!$1:$1,0)+1),MATCH(M$1,[2]enemies!$1:$1,0)-MATCH($I$1,[2]enemies!$1:$1,0)+1,FALSE)</f>
        <v>dragon</v>
      </c>
      <c r="N4" s="23">
        <f ca="1">VLOOKUP($I4,OFFSET([2]enemies!$A$1,0,0,COUNTA([2]enemies!$A:$A),MATCH(N$1,[2]enemies!$1:$1,0)-MATCH($I$1,[2]enemies!$1:$1,0)+1),MATCH(N$1,[2]enemies!$1:$1,0)-MATCH($I$1,[2]enemies!$1:$1,0)+1,FALSE)</f>
        <v>15</v>
      </c>
      <c r="O4" s="5">
        <v>24</v>
      </c>
      <c r="P4" s="30">
        <v>1</v>
      </c>
      <c r="Q4" s="30">
        <v>1</v>
      </c>
      <c r="R4" s="5">
        <v>0</v>
      </c>
      <c r="S4" s="4" t="str">
        <f ca="1">VLOOKUP($T4,OFFSET([4]enemy_skill_sets!$B$1,0,0,COUNTA([4]enemy_skill_sets!$B:$B),MATCH(J$1,[4]enemy_skill_sets!$1:$1,0)-MATCH($T$1,[4]enemy_skill_sets!$1:$1,0)+2),MATCH(J$1,[4]enemy_skill_sets!$1:$1,0)-MATCH($T$1,[4]enemy_skill_sets!$1:$1,0)+2,FALSE)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" s="23">
        <f ca="1">VLOOKUP($I4,OFFSET([2]enemies!$A$1,0,0,COUNTA([2]enemies!$A:$A),MATCH(T$1,[2]enemies!$1:$1,0)-MATCH($I$1,[2]enemies!$1:$1,0)+1),MATCH(T$1,[2]enemies!$1:$1,0)-MATCH($I$1,[2]enemies!$1:$1,0)+1,FALSE)</f>
        <v>0</v>
      </c>
      <c r="U4" s="6">
        <v>0</v>
      </c>
      <c r="V4" s="6">
        <v>100</v>
      </c>
      <c r="W4" s="6">
        <v>0</v>
      </c>
      <c r="X4" s="23">
        <f ca="1">VLOOKUP($I4,OFFSET([2]enemies!$A$1,0,0,COUNTA([2]enemies!$A:$A),MATCH(X$1,[2]enemies!$1:$1,0)-MATCH($I$1,[2]enemies!$1:$1,0)+1),MATCH(X$1,[2]enemies!$1:$1,0)-MATCH($I$1,[2]enemies!$1:$1,0)+1,FALSE)</f>
        <v>2</v>
      </c>
      <c r="Y4" s="41">
        <v>21</v>
      </c>
      <c r="Z4" s="4" t="str">
        <f ca="1">IFERROR(VLOOKUP($Y4,OFFSET([3]characters!$A$1,0,0,COUNTA([3]characters!$A:$A),MATCH(Z$1,[3]characters!$1:$1,0)-MATCH("character_id",[3]characters!$1:$1,0)+1),MATCH(Z$1,[3]characters!$1:$1,0)-MATCH("character_id",[3]characters!$1:$1,0)+1,FALSE),"")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4" s="4">
        <f ca="1">IFERROR(VLOOKUP($Y4,OFFSET([3]characters!$A$1,0,0,COUNTA([3]characters!$A:$A),MATCH(AA$1,[3]characters!$1:$1,0)-MATCH("character_id",[3]characters!$1:$1,0)+1),MATCH(AA$1,[3]characters!$1:$1,0)-MATCH("character_id",[3]characters!$1:$1,0)+1,FALSE),"")</f>
        <v>1</v>
      </c>
      <c r="AB4" s="4" t="str">
        <f ca="1">IFERROR(VLOOKUP($Y4,OFFSET([3]characters!$A$1,0,0,COUNTA([3]characters!$A:$A),MATCH(AB$1,[3]characters!$1:$1,0)-MATCH("character_id",[3]characters!$1:$1,0)+1),MATCH(AB$1,[3]characters!$1:$1,0)-MATCH("character_id",[3]characters!$1:$1,0)+1,FALSE),"")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" s="7">
        <v>1</v>
      </c>
      <c r="AD4" s="46">
        <f t="shared" ca="1" si="0"/>
        <v>1</v>
      </c>
      <c r="AE4" s="8">
        <v>25</v>
      </c>
      <c r="AF4" s="7">
        <v>0</v>
      </c>
      <c r="AG4" s="7">
        <v>0</v>
      </c>
      <c r="AH4" s="7">
        <v>0</v>
      </c>
      <c r="AI4" s="7">
        <v>0</v>
      </c>
      <c r="AJ4" s="7">
        <v>1</v>
      </c>
    </row>
    <row r="5" spans="1:36" ht="21" customHeight="1" x14ac:dyDescent="0.15">
      <c r="A5" s="20" t="str">
        <f t="shared" ca="1" si="1"/>
        <v>20005_1-1/41&lt;lv24&gt;s1</v>
      </c>
      <c r="B5" s="28">
        <v>20005</v>
      </c>
      <c r="C5" s="27">
        <v>1</v>
      </c>
      <c r="D5" s="2" t="str">
        <f t="shared" ca="1" si="2"/>
        <v>20005_1</v>
      </c>
      <c r="E5" s="4" t="str">
        <f ca="1">VLOOKUP($B5,OFFSET([1]quests!$A$1,0,0,COUNTA([1]quests!$A:$A),MATCH(E$1,[1]quests!$1:$1,0)-MATCH($B$1,[1]quests!$1:$1,0)+1),MATCH(E$1,[1]quests!$1:$1,0)-MATCH($B$1,[1]quests!$1:$1,0)+1,FALSE)</f>
        <v>ザ・キャノン</v>
      </c>
      <c r="F5" s="4" t="str">
        <f ca="1">VLOOKUP($D5,OFFSET([1]stages!$A$1,0,0,COUNTA([1]stages!$A:$A),MATCH(F$1,[1]stages!$2:$2,0)-MATCH($D$1,[1]stages!$2:$2,0)+1),MATCH(F$1,[1]stages!$2:$2,0)-MATCH($D$1,[1]stages!$2:$2,0)+1,FALSE)</f>
        <v>【初級】ザ・キャノン(4タップ）</v>
      </c>
      <c r="G5" s="27">
        <v>1</v>
      </c>
      <c r="H5" s="19" t="str">
        <f t="shared" ca="1" si="3"/>
        <v>20005_1-1</v>
      </c>
      <c r="I5" s="41">
        <v>41</v>
      </c>
      <c r="J5" s="23" t="str">
        <f ca="1">VLOOKUP($I5,OFFSET([2]enemies!$A$1,0,0,COUNTA([2]enemies!$A:$A),MATCH(J$1,[2]enemies!$1:$1,0)-MATCH($I$1,[2]enemies!$1:$1,0)+1),MATCH(J$1,[2]enemies!$1:$1,0)-MATCH($I$1,[2]enemies!$1:$1,0)+1,FALSE)</f>
        <v>ヒュウガ</v>
      </c>
      <c r="K5" s="23" t="str">
        <f ca="1">VLOOKUP($I5,OFFSET([2]enemies!$A$1,0,0,COUNTA([2]enemies!$A:$A),MATCH(K$1,[2]enemies!$1:$1,0)-MATCH($I$1,[2]enemies!$1:$1,0)+1),MATCH(K$1,[2]enemies!$1:$1,0)-MATCH($I$1,[2]enemies!$1:$1,0)+1,FALSE)</f>
        <v>red</v>
      </c>
      <c r="L5" s="24" t="str">
        <f ca="1">VLOOKUP(I5,[3]characters!$A:$J,10,FALSE)</f>
        <v>Drop1N</v>
      </c>
      <c r="M5" s="23" t="str">
        <f ca="1">VLOOKUP($I5,OFFSET([2]enemies!$A$1,0,0,COUNTA([2]enemies!$A:$A),MATCH(M$1,[2]enemies!$1:$1,0)-MATCH($I$1,[2]enemies!$1:$1,0)+1),MATCH(M$1,[2]enemies!$1:$1,0)-MATCH($I$1,[2]enemies!$1:$1,0)+1,FALSE)</f>
        <v>dragon</v>
      </c>
      <c r="N5" s="23">
        <f ca="1">VLOOKUP($I5,OFFSET([2]enemies!$A$1,0,0,COUNTA([2]enemies!$A:$A),MATCH(N$1,[2]enemies!$1:$1,0)-MATCH($I$1,[2]enemies!$1:$1,0)+1),MATCH(N$1,[2]enemies!$1:$1,0)-MATCH($I$1,[2]enemies!$1:$1,0)+1,FALSE)</f>
        <v>15</v>
      </c>
      <c r="O5" s="5">
        <v>24</v>
      </c>
      <c r="P5" s="30">
        <v>1</v>
      </c>
      <c r="Q5" s="30">
        <v>1</v>
      </c>
      <c r="R5" s="5">
        <v>0</v>
      </c>
      <c r="S5" s="4" t="str">
        <f ca="1">VLOOKUP($T5,OFFSET([4]enemy_skill_sets!$B$1,0,0,COUNTA([4]enemy_skill_sets!$B:$B),MATCH(J$1,[4]enemy_skill_sets!$1:$1,0)-MATCH($T$1,[4]enemy_skill_sets!$1:$1,0)+2),MATCH(J$1,[4]enemy_skill_sets!$1:$1,0)-MATCH($T$1,[4]enemy_skill_sets!$1:$1,0)+2,FALSE)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" s="23">
        <f ca="1">VLOOKUP($I5,OFFSET([2]enemies!$A$1,0,0,COUNTA([2]enemies!$A:$A),MATCH(T$1,[2]enemies!$1:$1,0)-MATCH($I$1,[2]enemies!$1:$1,0)+1),MATCH(T$1,[2]enemies!$1:$1,0)-MATCH($I$1,[2]enemies!$1:$1,0)+1,FALSE)</f>
        <v>0</v>
      </c>
      <c r="U5" s="6">
        <v>0</v>
      </c>
      <c r="V5" s="6">
        <v>100</v>
      </c>
      <c r="W5" s="6">
        <v>0</v>
      </c>
      <c r="X5" s="23">
        <f ca="1">VLOOKUP($I5,OFFSET([2]enemies!$A$1,0,0,COUNTA([2]enemies!$A:$A),MATCH(X$1,[2]enemies!$1:$1,0)-MATCH($I$1,[2]enemies!$1:$1,0)+1),MATCH(X$1,[2]enemies!$1:$1,0)-MATCH($I$1,[2]enemies!$1:$1,0)+1,FALSE)</f>
        <v>1</v>
      </c>
      <c r="Y5" s="41">
        <v>41</v>
      </c>
      <c r="Z5" s="4" t="str">
        <f ca="1">IFERROR(VLOOKUP($Y5,OFFSET([3]characters!$A$1,0,0,COUNTA([3]characters!$A:$A),MATCH(Z$1,[3]characters!$1:$1,0)-MATCH("character_id",[3]characters!$1:$1,0)+1),MATCH(Z$1,[3]characters!$1:$1,0)-MATCH("character_id",[3]characters!$1:$1,0)+1,FALSE),"")</f>
        <v>ヒュウガ</v>
      </c>
      <c r="AA5" s="4">
        <f ca="1">IFERROR(VLOOKUP($Y5,OFFSET([3]characters!$A$1,0,0,COUNTA([3]characters!$A:$A),MATCH(AA$1,[3]characters!$1:$1,0)-MATCH("character_id",[3]characters!$1:$1,0)+1),MATCH(AA$1,[3]characters!$1:$1,0)-MATCH("character_id",[3]characters!$1:$1,0)+1,FALSE),"")</f>
        <v>2</v>
      </c>
      <c r="AB5" s="4" t="str">
        <f ca="1">IFERROR(VLOOKUP($Y5,OFFSET([3]characters!$A$1,0,0,COUNTA([3]characters!$A:$A),MATCH(AB$1,[3]characters!$1:$1,0)-MATCH("character_id",[3]characters!$1:$1,0)+1),MATCH(AB$1,[3]characters!$1:$1,0)-MATCH("character_id",[3]characters!$1:$1,0)+1,FALSE),"")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" s="7">
        <v>1</v>
      </c>
      <c r="AD5" s="46">
        <f t="shared" ca="1" si="0"/>
        <v>2</v>
      </c>
      <c r="AE5" s="8">
        <v>25</v>
      </c>
      <c r="AF5" s="7">
        <v>0</v>
      </c>
      <c r="AG5" s="7">
        <v>0</v>
      </c>
      <c r="AH5" s="7">
        <v>0</v>
      </c>
      <c r="AI5" s="7">
        <v>0</v>
      </c>
      <c r="AJ5" s="7">
        <v>1</v>
      </c>
    </row>
    <row r="6" spans="1:36" ht="21" customHeight="1" x14ac:dyDescent="0.15">
      <c r="A6" s="20" t="str">
        <f t="shared" ca="1" si="1"/>
        <v>20005_1-2/1&lt;lv24&gt;s1</v>
      </c>
      <c r="B6" s="28">
        <v>20005</v>
      </c>
      <c r="C6" s="27">
        <v>1</v>
      </c>
      <c r="D6" s="2" t="str">
        <f t="shared" ca="1" si="2"/>
        <v>20005_1</v>
      </c>
      <c r="E6" s="4" t="str">
        <f ca="1">VLOOKUP($B6,OFFSET([1]quests!$A$1,0,0,COUNTA([1]quests!$A:$A),MATCH(E$1,[1]quests!$1:$1,0)-MATCH($B$1,[1]quests!$1:$1,0)+1),MATCH(E$1,[1]quests!$1:$1,0)-MATCH($B$1,[1]quests!$1:$1,0)+1,FALSE)</f>
        <v>ザ・キャノン</v>
      </c>
      <c r="F6" s="4" t="str">
        <f ca="1">VLOOKUP($D6,OFFSET([1]stages!$A$1,0,0,COUNTA([1]stages!$A:$A),MATCH(F$1,[1]stages!$2:$2,0)-MATCH($D$1,[1]stages!$2:$2,0)+1),MATCH(F$1,[1]stages!$2:$2,0)-MATCH($D$1,[1]stages!$2:$2,0)+1,FALSE)</f>
        <v>【初級】ザ・キャノン(4タップ）</v>
      </c>
      <c r="G6" s="27">
        <v>2</v>
      </c>
      <c r="H6" s="19" t="str">
        <f t="shared" ca="1" si="3"/>
        <v>20005_1-2</v>
      </c>
      <c r="I6" s="41">
        <v>1</v>
      </c>
      <c r="J6" s="23" t="str">
        <f ca="1">VLOOKUP($I6,OFFSET([2]enemies!$A$1,0,0,COUNTA([2]enemies!$A:$A),MATCH(J$1,[2]enemies!$1:$1,0)-MATCH($I$1,[2]enemies!$1:$1,0)+1),MATCH(J$1,[2]enemies!$1:$1,0)-MATCH($I$1,[2]enemies!$1:$1,0)+1,FALSE)</f>
        <v>ジェリー</v>
      </c>
      <c r="K6" s="23" t="str">
        <f ca="1">VLOOKUP($I6,OFFSET([2]enemies!$A$1,0,0,COUNTA([2]enemies!$A:$A),MATCH(K$1,[2]enemies!$1:$1,0)-MATCH($I$1,[2]enemies!$1:$1,0)+1),MATCH(K$1,[2]enemies!$1:$1,0)-MATCH($I$1,[2]enemies!$1:$1,0)+1,FALSE)</f>
        <v>red</v>
      </c>
      <c r="L6" s="24" t="str">
        <f ca="1">VLOOKUP(I6,[3]characters!$A:$J,10,FALSE)</f>
        <v>Drop1T</v>
      </c>
      <c r="M6" s="23" t="str">
        <f ca="1">VLOOKUP($I6,OFFSET([2]enemies!$A$1,0,0,COUNTA([2]enemies!$A:$A),MATCH(M$1,[2]enemies!$1:$1,0)-MATCH($I$1,[2]enemies!$1:$1,0)+1),MATCH(M$1,[2]enemies!$1:$1,0)-MATCH($I$1,[2]enemies!$1:$1,0)+1,FALSE)</f>
        <v>unknown</v>
      </c>
      <c r="N6" s="23">
        <f ca="1">VLOOKUP($I6,OFFSET([2]enemies!$A$1,0,0,COUNTA([2]enemies!$A:$A),MATCH(N$1,[2]enemies!$1:$1,0)-MATCH($I$1,[2]enemies!$1:$1,0)+1),MATCH(N$1,[2]enemies!$1:$1,0)-MATCH($I$1,[2]enemies!$1:$1,0)+1,FALSE)</f>
        <v>15</v>
      </c>
      <c r="O6" s="5">
        <v>24</v>
      </c>
      <c r="P6" s="30">
        <v>1</v>
      </c>
      <c r="Q6" s="30">
        <v>1</v>
      </c>
      <c r="R6" s="5">
        <v>0</v>
      </c>
      <c r="S6" s="4" t="str">
        <f ca="1">VLOOKUP($T6,OFFSET([4]enemy_skill_sets!$B$1,0,0,COUNTA([4]enemy_skill_sets!$B:$B),MATCH(J$1,[4]enemy_skill_sets!$1:$1,0)-MATCH($T$1,[4]enemy_skill_sets!$1:$1,0)+2),MATCH(J$1,[4]enemy_skill_sets!$1:$1,0)-MATCH($T$1,[4]enemy_skill_sets!$1:$1,0)+2,FALSE)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" s="23">
        <f ca="1">VLOOKUP($I6,OFFSET([2]enemies!$A$1,0,0,COUNTA([2]enemies!$A:$A),MATCH(T$1,[2]enemies!$1:$1,0)-MATCH($I$1,[2]enemies!$1:$1,0)+1),MATCH(T$1,[2]enemies!$1:$1,0)-MATCH($I$1,[2]enemies!$1:$1,0)+1,FALSE)</f>
        <v>0</v>
      </c>
      <c r="U6" s="6">
        <v>0</v>
      </c>
      <c r="V6" s="6">
        <v>100</v>
      </c>
      <c r="W6" s="6">
        <v>0</v>
      </c>
      <c r="X6" s="23">
        <f ca="1">VLOOKUP($I6,OFFSET([2]enemies!$A$1,0,0,COUNTA([2]enemies!$A:$A),MATCH(X$1,[2]enemies!$1:$1,0)-MATCH($I$1,[2]enemies!$1:$1,0)+1),MATCH(X$1,[2]enemies!$1:$1,0)-MATCH($I$1,[2]enemies!$1:$1,0)+1,FALSE)</f>
        <v>1</v>
      </c>
      <c r="Y6" s="41">
        <v>1</v>
      </c>
      <c r="Z6" s="4" t="str">
        <f ca="1">IFERROR(VLOOKUP($Y6,OFFSET([3]characters!$A$1,0,0,COUNTA([3]characters!$A:$A),MATCH(Z$1,[3]characters!$1:$1,0)-MATCH("character_id",[3]characters!$1:$1,0)+1),MATCH(Z$1,[3]characters!$1:$1,0)-MATCH("character_id",[3]characters!$1:$1,0)+1,FALSE),"")</f>
        <v>ジェリー</v>
      </c>
      <c r="AA6" s="4">
        <f ca="1">IFERROR(VLOOKUP($Y6,OFFSET([3]characters!$A$1,0,0,COUNTA([3]characters!$A:$A),MATCH(AA$1,[3]characters!$1:$1,0)-MATCH("character_id",[3]characters!$1:$1,0)+1),MATCH(AA$1,[3]characters!$1:$1,0)-MATCH("character_id",[3]characters!$1:$1,0)+1,FALSE),"")</f>
        <v>1</v>
      </c>
      <c r="AB6" s="4" t="str">
        <f ca="1">IFERROR(VLOOKUP($Y6,OFFSET([3]characters!$A$1,0,0,COUNTA([3]characters!$A:$A),MATCH(AB$1,[3]characters!$1:$1,0)-MATCH("character_id",[3]characters!$1:$1,0)+1),MATCH(AB$1,[3]characters!$1:$1,0)-MATCH("character_id",[3]characters!$1:$1,0)+1,FALSE),"")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6" s="7">
        <v>2</v>
      </c>
      <c r="AD6" s="46">
        <f t="shared" ca="1" si="0"/>
        <v>1</v>
      </c>
      <c r="AE6" s="8">
        <v>25</v>
      </c>
      <c r="AF6" s="7">
        <v>0</v>
      </c>
      <c r="AG6" s="7">
        <v>0</v>
      </c>
      <c r="AH6" s="7">
        <v>0</v>
      </c>
      <c r="AI6" s="7">
        <v>0</v>
      </c>
      <c r="AJ6" s="7">
        <v>1</v>
      </c>
    </row>
    <row r="7" spans="1:36" ht="21" customHeight="1" x14ac:dyDescent="0.15">
      <c r="A7" s="20" t="str">
        <f t="shared" ca="1" si="1"/>
        <v>20005_1-2/15&lt;lv24&gt;s3</v>
      </c>
      <c r="B7" s="28">
        <v>20005</v>
      </c>
      <c r="C7" s="27">
        <v>1</v>
      </c>
      <c r="D7" s="2" t="str">
        <f t="shared" ca="1" si="2"/>
        <v>20005_1</v>
      </c>
      <c r="E7" s="4" t="str">
        <f ca="1">VLOOKUP($B7,OFFSET([1]quests!$A$1,0,0,COUNTA([1]quests!$A:$A),MATCH(E$1,[1]quests!$1:$1,0)-MATCH($B$1,[1]quests!$1:$1,0)+1),MATCH(E$1,[1]quests!$1:$1,0)-MATCH($B$1,[1]quests!$1:$1,0)+1,FALSE)</f>
        <v>ザ・キャノン</v>
      </c>
      <c r="F7" s="4" t="str">
        <f ca="1">VLOOKUP($D7,OFFSET([1]stages!$A$1,0,0,COUNTA([1]stages!$A:$A),MATCH(F$1,[1]stages!$2:$2,0)-MATCH($D$1,[1]stages!$2:$2,0)+1),MATCH(F$1,[1]stages!$2:$2,0)-MATCH($D$1,[1]stages!$2:$2,0)+1,FALSE)</f>
        <v>【初級】ザ・キャノン(4タップ）</v>
      </c>
      <c r="G7" s="27">
        <v>2</v>
      </c>
      <c r="H7" s="19" t="str">
        <f t="shared" ca="1" si="3"/>
        <v>20005_1-2</v>
      </c>
      <c r="I7" s="41">
        <v>15</v>
      </c>
      <c r="J7" s="23" t="str">
        <f ca="1">VLOOKUP($I7,OFFSET([2]enemies!$A$1,0,0,COUNTA([2]enemies!$A:$A),MATCH(J$1,[2]enemies!$1:$1,0)-MATCH($I$1,[2]enemies!$1:$1,0)+1),MATCH(J$1,[2]enemies!$1:$1,0)-MATCH($I$1,[2]enemies!$1:$1,0)+1,FALSE)</f>
        <v>アカネ</v>
      </c>
      <c r="K7" s="23" t="str">
        <f ca="1">VLOOKUP($I7,OFFSET([2]enemies!$A$1,0,0,COUNTA([2]enemies!$A:$A),MATCH(K$1,[2]enemies!$1:$1,0)-MATCH($I$1,[2]enemies!$1:$1,0)+1),MATCH(K$1,[2]enemies!$1:$1,0)-MATCH($I$1,[2]enemies!$1:$1,0)+1,FALSE)</f>
        <v>red</v>
      </c>
      <c r="L7" s="24" t="str">
        <f ca="1">VLOOKUP(I7,[3]characters!$A:$J,10,FALSE)</f>
        <v>Drop1W</v>
      </c>
      <c r="M7" s="23" t="str">
        <f ca="1">VLOOKUP($I7,OFFSET([2]enemies!$A$1,0,0,COUNTA([2]enemies!$A:$A),MATCH(M$1,[2]enemies!$1:$1,0)-MATCH($I$1,[2]enemies!$1:$1,0)+1),MATCH(M$1,[2]enemies!$1:$1,0)-MATCH($I$1,[2]enemies!$1:$1,0)+1,FALSE)</f>
        <v>human</v>
      </c>
      <c r="N7" s="23">
        <f ca="1">VLOOKUP($I7,OFFSET([2]enemies!$A$1,0,0,COUNTA([2]enemies!$A:$A),MATCH(N$1,[2]enemies!$1:$1,0)-MATCH($I$1,[2]enemies!$1:$1,0)+1),MATCH(N$1,[2]enemies!$1:$1,0)-MATCH($I$1,[2]enemies!$1:$1,0)+1,FALSE)</f>
        <v>15</v>
      </c>
      <c r="O7" s="5">
        <v>24</v>
      </c>
      <c r="P7" s="30">
        <v>1</v>
      </c>
      <c r="Q7" s="30">
        <v>1</v>
      </c>
      <c r="R7" s="5">
        <v>0</v>
      </c>
      <c r="S7" s="4" t="str">
        <f ca="1">VLOOKUP($T7,OFFSET([4]enemy_skill_sets!$B$1,0,0,COUNTA([4]enemy_skill_sets!$B:$B),MATCH(J$1,[4]enemy_skill_sets!$1:$1,0)-MATCH($T$1,[4]enemy_skill_sets!$1:$1,0)+2),MATCH(J$1,[4]enemy_skill_sets!$1:$1,0)-MATCH($T$1,[4]enemy_skill_sets!$1:$1,0)+2,FALSE)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" s="23">
        <f ca="1">VLOOKUP($I7,OFFSET([2]enemies!$A$1,0,0,COUNTA([2]enemies!$A:$A),MATCH(T$1,[2]enemies!$1:$1,0)-MATCH($I$1,[2]enemies!$1:$1,0)+1),MATCH(T$1,[2]enemies!$1:$1,0)-MATCH($I$1,[2]enemies!$1:$1,0)+1,FALSE)</f>
        <v>0</v>
      </c>
      <c r="U7" s="6">
        <v>0</v>
      </c>
      <c r="V7" s="6">
        <v>100</v>
      </c>
      <c r="W7" s="6">
        <v>0</v>
      </c>
      <c r="X7" s="23">
        <f ca="1">VLOOKUP($I7,OFFSET([2]enemies!$A$1,0,0,COUNTA([2]enemies!$A:$A),MATCH(X$1,[2]enemies!$1:$1,0)-MATCH($I$1,[2]enemies!$1:$1,0)+1),MATCH(X$1,[2]enemies!$1:$1,0)-MATCH($I$1,[2]enemies!$1:$1,0)+1,FALSE)</f>
        <v>3</v>
      </c>
      <c r="Y7" s="41">
        <v>15</v>
      </c>
      <c r="Z7" s="4" t="str">
        <f ca="1">IFERROR(VLOOKUP($Y7,OFFSET([3]characters!$A$1,0,0,COUNTA([3]characters!$A:$A),MATCH(Z$1,[3]characters!$1:$1,0)-MATCH("character_id",[3]characters!$1:$1,0)+1),MATCH(Z$1,[3]characters!$1:$1,0)-MATCH("character_id",[3]characters!$1:$1,0)+1,FALSE),"")</f>
        <v>アカネ</v>
      </c>
      <c r="AA7" s="4">
        <f ca="1">IFERROR(VLOOKUP($Y7,OFFSET([3]characters!$A$1,0,0,COUNTA([3]characters!$A:$A),MATCH(AA$1,[3]characters!$1:$1,0)-MATCH("character_id",[3]characters!$1:$1,0)+1),MATCH(AA$1,[3]characters!$1:$1,0)-MATCH("character_id",[3]characters!$1:$1,0)+1,FALSE),"")</f>
        <v>1</v>
      </c>
      <c r="AB7" s="4" t="str">
        <f ca="1">IFERROR(VLOOKUP($Y7,OFFSET([3]characters!$A$1,0,0,COUNTA([3]characters!$A:$A),MATCH(AB$1,[3]characters!$1:$1,0)-MATCH("character_id",[3]characters!$1:$1,0)+1),MATCH(AB$1,[3]characters!$1:$1,0)-MATCH("character_id",[3]characters!$1:$1,0)+1,FALSE),"")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7" s="7">
        <v>1</v>
      </c>
      <c r="AD7" s="46">
        <f t="shared" ca="1" si="0"/>
        <v>1</v>
      </c>
      <c r="AE7" s="8">
        <v>25</v>
      </c>
      <c r="AF7" s="7">
        <v>0</v>
      </c>
      <c r="AG7" s="7">
        <v>0</v>
      </c>
      <c r="AH7" s="7">
        <v>0</v>
      </c>
      <c r="AI7" s="7">
        <v>0</v>
      </c>
      <c r="AJ7" s="7">
        <v>1</v>
      </c>
    </row>
    <row r="8" spans="1:36" ht="21" customHeight="1" x14ac:dyDescent="0.15">
      <c r="A8" s="20" t="str">
        <f t="shared" ca="1" si="1"/>
        <v>20005_1-2/21&lt;lv24&gt;s2</v>
      </c>
      <c r="B8" s="28">
        <v>20005</v>
      </c>
      <c r="C8" s="27">
        <v>1</v>
      </c>
      <c r="D8" s="2" t="str">
        <f t="shared" ca="1" si="2"/>
        <v>20005_1</v>
      </c>
      <c r="E8" s="4" t="str">
        <f ca="1">VLOOKUP($B8,OFFSET([1]quests!$A$1,0,0,COUNTA([1]quests!$A:$A),MATCH(E$1,[1]quests!$1:$1,0)-MATCH($B$1,[1]quests!$1:$1,0)+1),MATCH(E$1,[1]quests!$1:$1,0)-MATCH($B$1,[1]quests!$1:$1,0)+1,FALSE)</f>
        <v>ザ・キャノン</v>
      </c>
      <c r="F8" s="4" t="str">
        <f ca="1">VLOOKUP($D8,OFFSET([1]stages!$A$1,0,0,COUNTA([1]stages!$A:$A),MATCH(F$1,[1]stages!$2:$2,0)-MATCH($D$1,[1]stages!$2:$2,0)+1),MATCH(F$1,[1]stages!$2:$2,0)-MATCH($D$1,[1]stages!$2:$2,0)+1,FALSE)</f>
        <v>【初級】ザ・キャノン(4タップ）</v>
      </c>
      <c r="G8" s="27">
        <v>2</v>
      </c>
      <c r="H8" s="19" t="str">
        <f t="shared" ca="1" si="3"/>
        <v>20005_1-2</v>
      </c>
      <c r="I8" s="41">
        <v>21</v>
      </c>
      <c r="J8" s="23" t="str">
        <f ca="1">VLOOKUP($I8,OFFSET([2]enemies!$A$1,0,0,COUNTA([2]enemies!$A:$A),MATCH(J$1,[2]enemies!$1:$1,0)-MATCH($I$1,[2]enemies!$1:$1,0)+1),MATCH(J$1,[2]enemies!$1:$1,0)-MATCH($I$1,[2]enemies!$1:$1,0)+1,FALSE)</f>
        <v>ヴェロキー</v>
      </c>
      <c r="K8" s="23" t="str">
        <f ca="1">VLOOKUP($I8,OFFSET([2]enemies!$A$1,0,0,COUNTA([2]enemies!$A:$A),MATCH(K$1,[2]enemies!$1:$1,0)-MATCH($I$1,[2]enemies!$1:$1,0)+1),MATCH(K$1,[2]enemies!$1:$1,0)-MATCH($I$1,[2]enemies!$1:$1,0)+1,FALSE)</f>
        <v>red</v>
      </c>
      <c r="L8" s="24" t="str">
        <f ca="1">VLOOKUP(I8,[3]characters!$A:$J,10,FALSE)</f>
        <v>Drop1N</v>
      </c>
      <c r="M8" s="23" t="str">
        <f ca="1">VLOOKUP($I8,OFFSET([2]enemies!$A$1,0,0,COUNTA([2]enemies!$A:$A),MATCH(M$1,[2]enemies!$1:$1,0)-MATCH($I$1,[2]enemies!$1:$1,0)+1),MATCH(M$1,[2]enemies!$1:$1,0)-MATCH($I$1,[2]enemies!$1:$1,0)+1,FALSE)</f>
        <v>dragon</v>
      </c>
      <c r="N8" s="23">
        <f ca="1">VLOOKUP($I8,OFFSET([2]enemies!$A$1,0,0,COUNTA([2]enemies!$A:$A),MATCH(N$1,[2]enemies!$1:$1,0)-MATCH($I$1,[2]enemies!$1:$1,0)+1),MATCH(N$1,[2]enemies!$1:$1,0)-MATCH($I$1,[2]enemies!$1:$1,0)+1,FALSE)</f>
        <v>15</v>
      </c>
      <c r="O8" s="5">
        <v>24</v>
      </c>
      <c r="P8" s="30">
        <v>1</v>
      </c>
      <c r="Q8" s="30">
        <v>1</v>
      </c>
      <c r="R8" s="5">
        <v>0</v>
      </c>
      <c r="S8" s="4" t="str">
        <f ca="1">VLOOKUP($T8,OFFSET([4]enemy_skill_sets!$B$1,0,0,COUNTA([4]enemy_skill_sets!$B:$B),MATCH(J$1,[4]enemy_skill_sets!$1:$1,0)-MATCH($T$1,[4]enemy_skill_sets!$1:$1,0)+2),MATCH(J$1,[4]enemy_skill_sets!$1:$1,0)-MATCH($T$1,[4]enemy_skill_sets!$1:$1,0)+2,FALSE)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" s="23">
        <f ca="1">VLOOKUP($I8,OFFSET([2]enemies!$A$1,0,0,COUNTA([2]enemies!$A:$A),MATCH(T$1,[2]enemies!$1:$1,0)-MATCH($I$1,[2]enemies!$1:$1,0)+1),MATCH(T$1,[2]enemies!$1:$1,0)-MATCH($I$1,[2]enemies!$1:$1,0)+1,FALSE)</f>
        <v>0</v>
      </c>
      <c r="U8" s="6">
        <v>0</v>
      </c>
      <c r="V8" s="6">
        <v>100</v>
      </c>
      <c r="W8" s="6">
        <v>0</v>
      </c>
      <c r="X8" s="23">
        <f ca="1">VLOOKUP($I8,OFFSET([2]enemies!$A$1,0,0,COUNTA([2]enemies!$A:$A),MATCH(X$1,[2]enemies!$1:$1,0)-MATCH($I$1,[2]enemies!$1:$1,0)+1),MATCH(X$1,[2]enemies!$1:$1,0)-MATCH($I$1,[2]enemies!$1:$1,0)+1,FALSE)</f>
        <v>2</v>
      </c>
      <c r="Y8" s="41">
        <v>21</v>
      </c>
      <c r="Z8" s="4" t="str">
        <f ca="1">IFERROR(VLOOKUP($Y8,OFFSET([3]characters!$A$1,0,0,COUNTA([3]characters!$A:$A),MATCH(Z$1,[3]characters!$1:$1,0)-MATCH("character_id",[3]characters!$1:$1,0)+1),MATCH(Z$1,[3]characters!$1:$1,0)-MATCH("character_id",[3]characters!$1:$1,0)+1,FALSE),"")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8" s="4">
        <f ca="1">IFERROR(VLOOKUP($Y8,OFFSET([3]characters!$A$1,0,0,COUNTA([3]characters!$A:$A),MATCH(AA$1,[3]characters!$1:$1,0)-MATCH("character_id",[3]characters!$1:$1,0)+1),MATCH(AA$1,[3]characters!$1:$1,0)-MATCH("character_id",[3]characters!$1:$1,0)+1,FALSE),"")</f>
        <v>1</v>
      </c>
      <c r="AB8" s="4" t="str">
        <f ca="1">IFERROR(VLOOKUP($Y8,OFFSET([3]characters!$A$1,0,0,COUNTA([3]characters!$A:$A),MATCH(AB$1,[3]characters!$1:$1,0)-MATCH("character_id",[3]characters!$1:$1,0)+1),MATCH(AB$1,[3]characters!$1:$1,0)-MATCH("character_id",[3]characters!$1:$1,0)+1,FALSE),"")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8" s="7">
        <v>1</v>
      </c>
      <c r="AD8" s="46">
        <f t="shared" ca="1" si="0"/>
        <v>1</v>
      </c>
      <c r="AE8" s="8">
        <v>25</v>
      </c>
      <c r="AF8" s="7">
        <v>0</v>
      </c>
      <c r="AG8" s="7">
        <v>0</v>
      </c>
      <c r="AH8" s="7">
        <v>0</v>
      </c>
      <c r="AI8" s="7">
        <v>0</v>
      </c>
      <c r="AJ8" s="7">
        <v>1</v>
      </c>
    </row>
    <row r="9" spans="1:36" ht="21" customHeight="1" x14ac:dyDescent="0.15">
      <c r="A9" s="20" t="str">
        <f t="shared" ca="1" si="1"/>
        <v>20005_1-2/41&lt;lv24&gt;s1</v>
      </c>
      <c r="B9" s="28">
        <v>20005</v>
      </c>
      <c r="C9" s="27">
        <v>1</v>
      </c>
      <c r="D9" s="2" t="str">
        <f t="shared" ca="1" si="2"/>
        <v>20005_1</v>
      </c>
      <c r="E9" s="4" t="str">
        <f ca="1">VLOOKUP($B9,OFFSET([1]quests!$A$1,0,0,COUNTA([1]quests!$A:$A),MATCH(E$1,[1]quests!$1:$1,0)-MATCH($B$1,[1]quests!$1:$1,0)+1),MATCH(E$1,[1]quests!$1:$1,0)-MATCH($B$1,[1]quests!$1:$1,0)+1,FALSE)</f>
        <v>ザ・キャノン</v>
      </c>
      <c r="F9" s="4" t="str">
        <f ca="1">VLOOKUP($D9,OFFSET([1]stages!$A$1,0,0,COUNTA([1]stages!$A:$A),MATCH(F$1,[1]stages!$2:$2,0)-MATCH($D$1,[1]stages!$2:$2,0)+1),MATCH(F$1,[1]stages!$2:$2,0)-MATCH($D$1,[1]stages!$2:$2,0)+1,FALSE)</f>
        <v>【初級】ザ・キャノン(4タップ）</v>
      </c>
      <c r="G9" s="27">
        <v>2</v>
      </c>
      <c r="H9" s="19" t="str">
        <f t="shared" ca="1" si="3"/>
        <v>20005_1-2</v>
      </c>
      <c r="I9" s="41">
        <v>41</v>
      </c>
      <c r="J9" s="23" t="str">
        <f ca="1">VLOOKUP($I9,OFFSET([2]enemies!$A$1,0,0,COUNTA([2]enemies!$A:$A),MATCH(J$1,[2]enemies!$1:$1,0)-MATCH($I$1,[2]enemies!$1:$1,0)+1),MATCH(J$1,[2]enemies!$1:$1,0)-MATCH($I$1,[2]enemies!$1:$1,0)+1,FALSE)</f>
        <v>ヒュウガ</v>
      </c>
      <c r="K9" s="23" t="str">
        <f ca="1">VLOOKUP($I9,OFFSET([2]enemies!$A$1,0,0,COUNTA([2]enemies!$A:$A),MATCH(K$1,[2]enemies!$1:$1,0)-MATCH($I$1,[2]enemies!$1:$1,0)+1),MATCH(K$1,[2]enemies!$1:$1,0)-MATCH($I$1,[2]enemies!$1:$1,0)+1,FALSE)</f>
        <v>red</v>
      </c>
      <c r="L9" s="24" t="str">
        <f ca="1">VLOOKUP(I9,[3]characters!$A:$J,10,FALSE)</f>
        <v>Drop1N</v>
      </c>
      <c r="M9" s="23" t="str">
        <f ca="1">VLOOKUP($I9,OFFSET([2]enemies!$A$1,0,0,COUNTA([2]enemies!$A:$A),MATCH(M$1,[2]enemies!$1:$1,0)-MATCH($I$1,[2]enemies!$1:$1,0)+1),MATCH(M$1,[2]enemies!$1:$1,0)-MATCH($I$1,[2]enemies!$1:$1,0)+1,FALSE)</f>
        <v>dragon</v>
      </c>
      <c r="N9" s="23">
        <f ca="1">VLOOKUP($I9,OFFSET([2]enemies!$A$1,0,0,COUNTA([2]enemies!$A:$A),MATCH(N$1,[2]enemies!$1:$1,0)-MATCH($I$1,[2]enemies!$1:$1,0)+1),MATCH(N$1,[2]enemies!$1:$1,0)-MATCH($I$1,[2]enemies!$1:$1,0)+1,FALSE)</f>
        <v>15</v>
      </c>
      <c r="O9" s="5">
        <v>24</v>
      </c>
      <c r="P9" s="30">
        <v>1</v>
      </c>
      <c r="Q9" s="30">
        <v>1</v>
      </c>
      <c r="R9" s="5">
        <v>0</v>
      </c>
      <c r="S9" s="4" t="str">
        <f ca="1">VLOOKUP($T9,OFFSET([4]enemy_skill_sets!$B$1,0,0,COUNTA([4]enemy_skill_sets!$B:$B),MATCH(J$1,[4]enemy_skill_sets!$1:$1,0)-MATCH($T$1,[4]enemy_skill_sets!$1:$1,0)+2),MATCH(J$1,[4]enemy_skill_sets!$1:$1,0)-MATCH($T$1,[4]enemy_skill_sets!$1:$1,0)+2,FALSE)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" s="23">
        <f ca="1">VLOOKUP($I9,OFFSET([2]enemies!$A$1,0,0,COUNTA([2]enemies!$A:$A),MATCH(T$1,[2]enemies!$1:$1,0)-MATCH($I$1,[2]enemies!$1:$1,0)+1),MATCH(T$1,[2]enemies!$1:$1,0)-MATCH($I$1,[2]enemies!$1:$1,0)+1,FALSE)</f>
        <v>0</v>
      </c>
      <c r="U9" s="6">
        <v>0</v>
      </c>
      <c r="V9" s="6">
        <v>100</v>
      </c>
      <c r="W9" s="6">
        <v>0</v>
      </c>
      <c r="X9" s="23">
        <f ca="1">VLOOKUP($I9,OFFSET([2]enemies!$A$1,0,0,COUNTA([2]enemies!$A:$A),MATCH(X$1,[2]enemies!$1:$1,0)-MATCH($I$1,[2]enemies!$1:$1,0)+1),MATCH(X$1,[2]enemies!$1:$1,0)-MATCH($I$1,[2]enemies!$1:$1,0)+1,FALSE)</f>
        <v>1</v>
      </c>
      <c r="Y9" s="41">
        <v>41</v>
      </c>
      <c r="Z9" s="4" t="str">
        <f ca="1">IFERROR(VLOOKUP($Y9,OFFSET([3]characters!$A$1,0,0,COUNTA([3]characters!$A:$A),MATCH(Z$1,[3]characters!$1:$1,0)-MATCH("character_id",[3]characters!$1:$1,0)+1),MATCH(Z$1,[3]characters!$1:$1,0)-MATCH("character_id",[3]characters!$1:$1,0)+1,FALSE),"")</f>
        <v>ヒュウガ</v>
      </c>
      <c r="AA9" s="4">
        <f ca="1">IFERROR(VLOOKUP($Y9,OFFSET([3]characters!$A$1,0,0,COUNTA([3]characters!$A:$A),MATCH(AA$1,[3]characters!$1:$1,0)-MATCH("character_id",[3]characters!$1:$1,0)+1),MATCH(AA$1,[3]characters!$1:$1,0)-MATCH("character_id",[3]characters!$1:$1,0)+1,FALSE),"")</f>
        <v>2</v>
      </c>
      <c r="AB9" s="4" t="str">
        <f ca="1">IFERROR(VLOOKUP($Y9,OFFSET([3]characters!$A$1,0,0,COUNTA([3]characters!$A:$A),MATCH(AB$1,[3]characters!$1:$1,0)-MATCH("character_id",[3]characters!$1:$1,0)+1),MATCH(AB$1,[3]characters!$1:$1,0)-MATCH("character_id",[3]characters!$1:$1,0)+1,FALSE),"")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9" s="7">
        <v>1</v>
      </c>
      <c r="AD9" s="46">
        <f t="shared" ca="1" si="0"/>
        <v>2</v>
      </c>
      <c r="AE9" s="8">
        <v>25</v>
      </c>
      <c r="AF9" s="7">
        <v>0</v>
      </c>
      <c r="AG9" s="7">
        <v>0</v>
      </c>
      <c r="AH9" s="7">
        <v>0</v>
      </c>
      <c r="AI9" s="7">
        <v>0</v>
      </c>
      <c r="AJ9" s="7">
        <v>1</v>
      </c>
    </row>
    <row r="10" spans="1:36" ht="21" customHeight="1" x14ac:dyDescent="0.15">
      <c r="A10" s="20" t="str">
        <f t="shared" ca="1" si="1"/>
        <v>20005_1-3/1&lt;lv24&gt;s1</v>
      </c>
      <c r="B10" s="28">
        <v>20005</v>
      </c>
      <c r="C10" s="27">
        <v>1</v>
      </c>
      <c r="D10" s="2" t="str">
        <f t="shared" ca="1" si="2"/>
        <v>20005_1</v>
      </c>
      <c r="E10" s="4" t="str">
        <f ca="1">VLOOKUP($B10,OFFSET([1]quests!$A$1,0,0,COUNTA([1]quests!$A:$A),MATCH(E$1,[1]quests!$1:$1,0)-MATCH($B$1,[1]quests!$1:$1,0)+1),MATCH(E$1,[1]quests!$1:$1,0)-MATCH($B$1,[1]quests!$1:$1,0)+1,FALSE)</f>
        <v>ザ・キャノン</v>
      </c>
      <c r="F10" s="4" t="str">
        <f ca="1">VLOOKUP($D10,OFFSET([1]stages!$A$1,0,0,COUNTA([1]stages!$A:$A),MATCH(F$1,[1]stages!$2:$2,0)-MATCH($D$1,[1]stages!$2:$2,0)+1),MATCH(F$1,[1]stages!$2:$2,0)-MATCH($D$1,[1]stages!$2:$2,0)+1,FALSE)</f>
        <v>【初級】ザ・キャノン(4タップ）</v>
      </c>
      <c r="G10" s="27">
        <v>3</v>
      </c>
      <c r="H10" s="19" t="str">
        <f t="shared" ca="1" si="3"/>
        <v>20005_1-3</v>
      </c>
      <c r="I10" s="42">
        <v>1</v>
      </c>
      <c r="J10" s="23" t="str">
        <f ca="1">VLOOKUP($I10,OFFSET([2]enemies!$A$1,0,0,COUNTA([2]enemies!$A:$A),MATCH(J$1,[2]enemies!$1:$1,0)-MATCH($I$1,[2]enemies!$1:$1,0)+1),MATCH(J$1,[2]enemies!$1:$1,0)-MATCH($I$1,[2]enemies!$1:$1,0)+1,FALSE)</f>
        <v>ジェリー</v>
      </c>
      <c r="K10" s="23" t="str">
        <f ca="1">VLOOKUP($I10,OFFSET([2]enemies!$A$1,0,0,COUNTA([2]enemies!$A:$A),MATCH(K$1,[2]enemies!$1:$1,0)-MATCH($I$1,[2]enemies!$1:$1,0)+1),MATCH(K$1,[2]enemies!$1:$1,0)-MATCH($I$1,[2]enemies!$1:$1,0)+1,FALSE)</f>
        <v>red</v>
      </c>
      <c r="L10" s="24" t="str">
        <f ca="1">VLOOKUP(I10,[3]characters!$A:$J,10,FALSE)</f>
        <v>Drop1T</v>
      </c>
      <c r="M10" s="23" t="str">
        <f ca="1">VLOOKUP($I10,OFFSET([2]enemies!$A$1,0,0,COUNTA([2]enemies!$A:$A),MATCH(M$1,[2]enemies!$1:$1,0)-MATCH($I$1,[2]enemies!$1:$1,0)+1),MATCH(M$1,[2]enemies!$1:$1,0)-MATCH($I$1,[2]enemies!$1:$1,0)+1,FALSE)</f>
        <v>unknown</v>
      </c>
      <c r="N10" s="23">
        <f ca="1">VLOOKUP($I10,OFFSET([2]enemies!$A$1,0,0,COUNTA([2]enemies!$A:$A),MATCH(N$1,[2]enemies!$1:$1,0)-MATCH($I$1,[2]enemies!$1:$1,0)+1),MATCH(N$1,[2]enemies!$1:$1,0)-MATCH($I$1,[2]enemies!$1:$1,0)+1,FALSE)</f>
        <v>15</v>
      </c>
      <c r="O10" s="5">
        <v>24</v>
      </c>
      <c r="P10" s="30">
        <v>1</v>
      </c>
      <c r="Q10" s="30">
        <v>1</v>
      </c>
      <c r="R10" s="5">
        <v>0</v>
      </c>
      <c r="S10" s="4" t="str">
        <f ca="1">VLOOKUP($T10,OFFSET([4]enemy_skill_sets!$B$1,0,0,COUNTA([4]enemy_skill_sets!$B:$B),MATCH(J$1,[4]enemy_skill_sets!$1:$1,0)-MATCH($T$1,[4]enemy_skill_sets!$1:$1,0)+2),MATCH(J$1,[4]enemy_skill_sets!$1:$1,0)-MATCH($T$1,[4]enemy_skill_sets!$1:$1,0)+2,FALSE)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" s="23">
        <f ca="1">VLOOKUP($I10,OFFSET([2]enemies!$A$1,0,0,COUNTA([2]enemies!$A:$A),MATCH(T$1,[2]enemies!$1:$1,0)-MATCH($I$1,[2]enemies!$1:$1,0)+1),MATCH(T$1,[2]enemies!$1:$1,0)-MATCH($I$1,[2]enemies!$1:$1,0)+1,FALSE)</f>
        <v>0</v>
      </c>
      <c r="U10" s="6">
        <v>0</v>
      </c>
      <c r="V10" s="6">
        <v>100</v>
      </c>
      <c r="W10" s="6">
        <v>0</v>
      </c>
      <c r="X10" s="23">
        <f ca="1">VLOOKUP($I10,OFFSET([2]enemies!$A$1,0,0,COUNTA([2]enemies!$A:$A),MATCH(X$1,[2]enemies!$1:$1,0)-MATCH($I$1,[2]enemies!$1:$1,0)+1),MATCH(X$1,[2]enemies!$1:$1,0)-MATCH($I$1,[2]enemies!$1:$1,0)+1,FALSE)</f>
        <v>1</v>
      </c>
      <c r="Y10" s="42">
        <v>1</v>
      </c>
      <c r="Z10" s="4" t="str">
        <f ca="1">IFERROR(VLOOKUP($Y10,OFFSET([3]characters!$A$1,0,0,COUNTA([3]characters!$A:$A),MATCH(Z$1,[3]characters!$1:$1,0)-MATCH("character_id",[3]characters!$1:$1,0)+1),MATCH(Z$1,[3]characters!$1:$1,0)-MATCH("character_id",[3]characters!$1:$1,0)+1,FALSE),"")</f>
        <v>ジェリー</v>
      </c>
      <c r="AA10" s="4">
        <f ca="1">IFERROR(VLOOKUP($Y10,OFFSET([3]characters!$A$1,0,0,COUNTA([3]characters!$A:$A),MATCH(AA$1,[3]characters!$1:$1,0)-MATCH("character_id",[3]characters!$1:$1,0)+1),MATCH(AA$1,[3]characters!$1:$1,0)-MATCH("character_id",[3]characters!$1:$1,0)+1,FALSE),"")</f>
        <v>1</v>
      </c>
      <c r="AB10" s="4" t="str">
        <f ca="1">IFERROR(VLOOKUP($Y10,OFFSET([3]characters!$A$1,0,0,COUNTA([3]characters!$A:$A),MATCH(AB$1,[3]characters!$1:$1,0)-MATCH("character_id",[3]characters!$1:$1,0)+1),MATCH(AB$1,[3]characters!$1:$1,0)-MATCH("character_id",[3]characters!$1:$1,0)+1,FALSE),"")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10" s="7">
        <v>2</v>
      </c>
      <c r="AD10" s="46">
        <f t="shared" ca="1" si="0"/>
        <v>1</v>
      </c>
      <c r="AE10" s="8">
        <v>25</v>
      </c>
      <c r="AF10" s="7">
        <v>0</v>
      </c>
      <c r="AG10" s="7">
        <v>0</v>
      </c>
      <c r="AH10" s="7">
        <v>0</v>
      </c>
      <c r="AI10" s="7">
        <v>0</v>
      </c>
      <c r="AJ10" s="7">
        <v>1</v>
      </c>
    </row>
    <row r="11" spans="1:36" ht="21" customHeight="1" x14ac:dyDescent="0.15">
      <c r="A11" s="20" t="str">
        <f t="shared" ca="1" si="1"/>
        <v>20005_1-3/15&lt;lv24&gt;s3</v>
      </c>
      <c r="B11" s="28">
        <v>20005</v>
      </c>
      <c r="C11" s="27">
        <v>1</v>
      </c>
      <c r="D11" s="2" t="str">
        <f t="shared" ca="1" si="2"/>
        <v>20005_1</v>
      </c>
      <c r="E11" s="4" t="str">
        <f ca="1">VLOOKUP($B11,OFFSET([1]quests!$A$1,0,0,COUNTA([1]quests!$A:$A),MATCH(E$1,[1]quests!$1:$1,0)-MATCH($B$1,[1]quests!$1:$1,0)+1),MATCH(E$1,[1]quests!$1:$1,0)-MATCH($B$1,[1]quests!$1:$1,0)+1,FALSE)</f>
        <v>ザ・キャノン</v>
      </c>
      <c r="F11" s="4" t="str">
        <f ca="1">VLOOKUP($D11,OFFSET([1]stages!$A$1,0,0,COUNTA([1]stages!$A:$A),MATCH(F$1,[1]stages!$2:$2,0)-MATCH($D$1,[1]stages!$2:$2,0)+1),MATCH(F$1,[1]stages!$2:$2,0)-MATCH($D$1,[1]stages!$2:$2,0)+1,FALSE)</f>
        <v>【初級】ザ・キャノン(4タップ）</v>
      </c>
      <c r="G11" s="27">
        <v>3</v>
      </c>
      <c r="H11" s="19" t="str">
        <f t="shared" ca="1" si="3"/>
        <v>20005_1-3</v>
      </c>
      <c r="I11" s="43">
        <v>15</v>
      </c>
      <c r="J11" s="23" t="str">
        <f ca="1">VLOOKUP($I11,OFFSET([2]enemies!$A$1,0,0,COUNTA([2]enemies!$A:$A),MATCH(J$1,[2]enemies!$1:$1,0)-MATCH($I$1,[2]enemies!$1:$1,0)+1),MATCH(J$1,[2]enemies!$1:$1,0)-MATCH($I$1,[2]enemies!$1:$1,0)+1,FALSE)</f>
        <v>アカネ</v>
      </c>
      <c r="K11" s="23" t="str">
        <f ca="1">VLOOKUP($I11,OFFSET([2]enemies!$A$1,0,0,COUNTA([2]enemies!$A:$A),MATCH(K$1,[2]enemies!$1:$1,0)-MATCH($I$1,[2]enemies!$1:$1,0)+1),MATCH(K$1,[2]enemies!$1:$1,0)-MATCH($I$1,[2]enemies!$1:$1,0)+1,FALSE)</f>
        <v>red</v>
      </c>
      <c r="L11" s="24" t="str">
        <f ca="1">VLOOKUP(I11,[3]characters!$A:$J,10,FALSE)</f>
        <v>Drop1W</v>
      </c>
      <c r="M11" s="23" t="str">
        <f ca="1">VLOOKUP($I11,OFFSET([2]enemies!$A$1,0,0,COUNTA([2]enemies!$A:$A),MATCH(M$1,[2]enemies!$1:$1,0)-MATCH($I$1,[2]enemies!$1:$1,0)+1),MATCH(M$1,[2]enemies!$1:$1,0)-MATCH($I$1,[2]enemies!$1:$1,0)+1,FALSE)</f>
        <v>human</v>
      </c>
      <c r="N11" s="23">
        <f ca="1">VLOOKUP($I11,OFFSET([2]enemies!$A$1,0,0,COUNTA([2]enemies!$A:$A),MATCH(N$1,[2]enemies!$1:$1,0)-MATCH($I$1,[2]enemies!$1:$1,0)+1),MATCH(N$1,[2]enemies!$1:$1,0)-MATCH($I$1,[2]enemies!$1:$1,0)+1,FALSE)</f>
        <v>15</v>
      </c>
      <c r="O11" s="5">
        <v>24</v>
      </c>
      <c r="P11" s="30">
        <v>1</v>
      </c>
      <c r="Q11" s="30">
        <v>1</v>
      </c>
      <c r="R11" s="5">
        <v>0</v>
      </c>
      <c r="S11" s="4" t="str">
        <f ca="1">VLOOKUP($T11,OFFSET([4]enemy_skill_sets!$B$1,0,0,COUNTA([4]enemy_skill_sets!$B:$B),MATCH(J$1,[4]enemy_skill_sets!$1:$1,0)-MATCH($T$1,[4]enemy_skill_sets!$1:$1,0)+2),MATCH(J$1,[4]enemy_skill_sets!$1:$1,0)-MATCH($T$1,[4]enemy_skill_sets!$1:$1,0)+2,FALSE)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" s="23">
        <f ca="1">VLOOKUP($I11,OFFSET([2]enemies!$A$1,0,0,COUNTA([2]enemies!$A:$A),MATCH(T$1,[2]enemies!$1:$1,0)-MATCH($I$1,[2]enemies!$1:$1,0)+1),MATCH(T$1,[2]enemies!$1:$1,0)-MATCH($I$1,[2]enemies!$1:$1,0)+1,FALSE)</f>
        <v>0</v>
      </c>
      <c r="U11" s="6">
        <v>0</v>
      </c>
      <c r="V11" s="6">
        <v>100</v>
      </c>
      <c r="W11" s="6">
        <v>0</v>
      </c>
      <c r="X11" s="23">
        <f ca="1">VLOOKUP($I11,OFFSET([2]enemies!$A$1,0,0,COUNTA([2]enemies!$A:$A),MATCH(X$1,[2]enemies!$1:$1,0)-MATCH($I$1,[2]enemies!$1:$1,0)+1),MATCH(X$1,[2]enemies!$1:$1,0)-MATCH($I$1,[2]enemies!$1:$1,0)+1,FALSE)</f>
        <v>3</v>
      </c>
      <c r="Y11" s="43">
        <v>15</v>
      </c>
      <c r="Z11" s="4" t="str">
        <f ca="1">IFERROR(VLOOKUP($Y11,OFFSET([3]characters!$A$1,0,0,COUNTA([3]characters!$A:$A),MATCH(Z$1,[3]characters!$1:$1,0)-MATCH("character_id",[3]characters!$1:$1,0)+1),MATCH(Z$1,[3]characters!$1:$1,0)-MATCH("character_id",[3]characters!$1:$1,0)+1,FALSE),"")</f>
        <v>アカネ</v>
      </c>
      <c r="AA11" s="4">
        <f ca="1">IFERROR(VLOOKUP($Y11,OFFSET([3]characters!$A$1,0,0,COUNTA([3]characters!$A:$A),MATCH(AA$1,[3]characters!$1:$1,0)-MATCH("character_id",[3]characters!$1:$1,0)+1),MATCH(AA$1,[3]characters!$1:$1,0)-MATCH("character_id",[3]characters!$1:$1,0)+1,FALSE),"")</f>
        <v>1</v>
      </c>
      <c r="AB11" s="4" t="str">
        <f ca="1">IFERROR(VLOOKUP($Y11,OFFSET([3]characters!$A$1,0,0,COUNTA([3]characters!$A:$A),MATCH(AB$1,[3]characters!$1:$1,0)-MATCH("character_id",[3]characters!$1:$1,0)+1),MATCH(AB$1,[3]characters!$1:$1,0)-MATCH("character_id",[3]characters!$1:$1,0)+1,FALSE),"")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1" s="7">
        <v>1</v>
      </c>
      <c r="AD11" s="46">
        <f t="shared" ca="1" si="0"/>
        <v>1</v>
      </c>
      <c r="AE11" s="8">
        <v>25</v>
      </c>
      <c r="AF11" s="7">
        <v>0</v>
      </c>
      <c r="AG11" s="7">
        <v>0</v>
      </c>
      <c r="AH11" s="7">
        <v>0</v>
      </c>
      <c r="AI11" s="7">
        <v>0</v>
      </c>
      <c r="AJ11" s="7">
        <v>1</v>
      </c>
    </row>
    <row r="12" spans="1:36" ht="21" customHeight="1" x14ac:dyDescent="0.15">
      <c r="A12" s="20" t="str">
        <f t="shared" ca="1" si="1"/>
        <v>20005_1-3/21&lt;lv24&gt;s2</v>
      </c>
      <c r="B12" s="28">
        <v>20005</v>
      </c>
      <c r="C12" s="27">
        <v>1</v>
      </c>
      <c r="D12" s="2" t="str">
        <f t="shared" ca="1" si="2"/>
        <v>20005_1</v>
      </c>
      <c r="E12" s="4" t="str">
        <f ca="1">VLOOKUP($B12,OFFSET([1]quests!$A$1,0,0,COUNTA([1]quests!$A:$A),MATCH(E$1,[1]quests!$1:$1,0)-MATCH($B$1,[1]quests!$1:$1,0)+1),MATCH(E$1,[1]quests!$1:$1,0)-MATCH($B$1,[1]quests!$1:$1,0)+1,FALSE)</f>
        <v>ザ・キャノン</v>
      </c>
      <c r="F12" s="4" t="str">
        <f ca="1">VLOOKUP($D12,OFFSET([1]stages!$A$1,0,0,COUNTA([1]stages!$A:$A),MATCH(F$1,[1]stages!$2:$2,0)-MATCH($D$1,[1]stages!$2:$2,0)+1),MATCH(F$1,[1]stages!$2:$2,0)-MATCH($D$1,[1]stages!$2:$2,0)+1,FALSE)</f>
        <v>【初級】ザ・キャノン(4タップ）</v>
      </c>
      <c r="G12" s="27">
        <v>3</v>
      </c>
      <c r="H12" s="19" t="str">
        <f t="shared" ca="1" si="3"/>
        <v>20005_1-3</v>
      </c>
      <c r="I12" s="43">
        <v>21</v>
      </c>
      <c r="J12" s="23" t="str">
        <f ca="1">VLOOKUP($I12,OFFSET([2]enemies!$A$1,0,0,COUNTA([2]enemies!$A:$A),MATCH(J$1,[2]enemies!$1:$1,0)-MATCH($I$1,[2]enemies!$1:$1,0)+1),MATCH(J$1,[2]enemies!$1:$1,0)-MATCH($I$1,[2]enemies!$1:$1,0)+1,FALSE)</f>
        <v>ヴェロキー</v>
      </c>
      <c r="K12" s="23" t="str">
        <f ca="1">VLOOKUP($I12,OFFSET([2]enemies!$A$1,0,0,COUNTA([2]enemies!$A:$A),MATCH(K$1,[2]enemies!$1:$1,0)-MATCH($I$1,[2]enemies!$1:$1,0)+1),MATCH(K$1,[2]enemies!$1:$1,0)-MATCH($I$1,[2]enemies!$1:$1,0)+1,FALSE)</f>
        <v>red</v>
      </c>
      <c r="L12" s="24" t="str">
        <f ca="1">VLOOKUP(I12,[3]characters!$A:$J,10,FALSE)</f>
        <v>Drop1N</v>
      </c>
      <c r="M12" s="23" t="str">
        <f ca="1">VLOOKUP($I12,OFFSET([2]enemies!$A$1,0,0,COUNTA([2]enemies!$A:$A),MATCH(M$1,[2]enemies!$1:$1,0)-MATCH($I$1,[2]enemies!$1:$1,0)+1),MATCH(M$1,[2]enemies!$1:$1,0)-MATCH($I$1,[2]enemies!$1:$1,0)+1,FALSE)</f>
        <v>dragon</v>
      </c>
      <c r="N12" s="23">
        <f ca="1">VLOOKUP($I12,OFFSET([2]enemies!$A$1,0,0,COUNTA([2]enemies!$A:$A),MATCH(N$1,[2]enemies!$1:$1,0)-MATCH($I$1,[2]enemies!$1:$1,0)+1),MATCH(N$1,[2]enemies!$1:$1,0)-MATCH($I$1,[2]enemies!$1:$1,0)+1,FALSE)</f>
        <v>15</v>
      </c>
      <c r="O12" s="5">
        <v>24</v>
      </c>
      <c r="P12" s="30">
        <v>1</v>
      </c>
      <c r="Q12" s="30">
        <v>1</v>
      </c>
      <c r="R12" s="5">
        <v>0</v>
      </c>
      <c r="S12" s="4" t="str">
        <f ca="1">VLOOKUP($T12,OFFSET([4]enemy_skill_sets!$B$1,0,0,COUNTA([4]enemy_skill_sets!$B:$B),MATCH(J$1,[4]enemy_skill_sets!$1:$1,0)-MATCH($T$1,[4]enemy_skill_sets!$1:$1,0)+2),MATCH(J$1,[4]enemy_skill_sets!$1:$1,0)-MATCH($T$1,[4]enemy_skill_sets!$1:$1,0)+2,FALSE)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" s="23">
        <f ca="1">VLOOKUP($I12,OFFSET([2]enemies!$A$1,0,0,COUNTA([2]enemies!$A:$A),MATCH(T$1,[2]enemies!$1:$1,0)-MATCH($I$1,[2]enemies!$1:$1,0)+1),MATCH(T$1,[2]enemies!$1:$1,0)-MATCH($I$1,[2]enemies!$1:$1,0)+1,FALSE)</f>
        <v>0</v>
      </c>
      <c r="U12" s="6">
        <v>0</v>
      </c>
      <c r="V12" s="6">
        <v>100</v>
      </c>
      <c r="W12" s="6">
        <v>0</v>
      </c>
      <c r="X12" s="23">
        <f ca="1">VLOOKUP($I12,OFFSET([2]enemies!$A$1,0,0,COUNTA([2]enemies!$A:$A),MATCH(X$1,[2]enemies!$1:$1,0)-MATCH($I$1,[2]enemies!$1:$1,0)+1),MATCH(X$1,[2]enemies!$1:$1,0)-MATCH($I$1,[2]enemies!$1:$1,0)+1,FALSE)</f>
        <v>2</v>
      </c>
      <c r="Y12" s="43">
        <v>21</v>
      </c>
      <c r="Z12" s="4" t="str">
        <f ca="1">IFERROR(VLOOKUP($Y12,OFFSET([3]characters!$A$1,0,0,COUNTA([3]characters!$A:$A),MATCH(Z$1,[3]characters!$1:$1,0)-MATCH("character_id",[3]characters!$1:$1,0)+1),MATCH(Z$1,[3]characters!$1:$1,0)-MATCH("character_id",[3]characters!$1:$1,0)+1,FALSE),"")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12" s="4">
        <f ca="1">IFERROR(VLOOKUP($Y12,OFFSET([3]characters!$A$1,0,0,COUNTA([3]characters!$A:$A),MATCH(AA$1,[3]characters!$1:$1,0)-MATCH("character_id",[3]characters!$1:$1,0)+1),MATCH(AA$1,[3]characters!$1:$1,0)-MATCH("character_id",[3]characters!$1:$1,0)+1,FALSE),"")</f>
        <v>1</v>
      </c>
      <c r="AB12" s="4" t="str">
        <f ca="1">IFERROR(VLOOKUP($Y12,OFFSET([3]characters!$A$1,0,0,COUNTA([3]characters!$A:$A),MATCH(AB$1,[3]characters!$1:$1,0)-MATCH("character_id",[3]characters!$1:$1,0)+1),MATCH(AB$1,[3]characters!$1:$1,0)-MATCH("character_id",[3]characters!$1:$1,0)+1,FALSE),"")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2" s="7">
        <v>1</v>
      </c>
      <c r="AD12" s="46">
        <f t="shared" ca="1" si="0"/>
        <v>1</v>
      </c>
      <c r="AE12" s="8">
        <v>25</v>
      </c>
      <c r="AF12" s="7">
        <v>0</v>
      </c>
      <c r="AG12" s="7">
        <v>0</v>
      </c>
      <c r="AH12" s="7">
        <v>0</v>
      </c>
      <c r="AI12" s="7">
        <v>0</v>
      </c>
      <c r="AJ12" s="7">
        <v>1</v>
      </c>
    </row>
    <row r="13" spans="1:36" ht="21" customHeight="1" x14ac:dyDescent="0.15">
      <c r="A13" s="20" t="str">
        <f t="shared" ca="1" si="1"/>
        <v>20005_1-3/41&lt;lv24&gt;s1</v>
      </c>
      <c r="B13" s="28">
        <v>20005</v>
      </c>
      <c r="C13" s="27">
        <v>1</v>
      </c>
      <c r="D13" s="2" t="str">
        <f t="shared" ca="1" si="2"/>
        <v>20005_1</v>
      </c>
      <c r="E13" s="4" t="str">
        <f ca="1">VLOOKUP($B13,OFFSET([1]quests!$A$1,0,0,COUNTA([1]quests!$A:$A),MATCH(E$1,[1]quests!$1:$1,0)-MATCH($B$1,[1]quests!$1:$1,0)+1),MATCH(E$1,[1]quests!$1:$1,0)-MATCH($B$1,[1]quests!$1:$1,0)+1,FALSE)</f>
        <v>ザ・キャノン</v>
      </c>
      <c r="F13" s="4" t="str">
        <f ca="1">VLOOKUP($D13,OFFSET([1]stages!$A$1,0,0,COUNTA([1]stages!$A:$A),MATCH(F$1,[1]stages!$2:$2,0)-MATCH($D$1,[1]stages!$2:$2,0)+1),MATCH(F$1,[1]stages!$2:$2,0)-MATCH($D$1,[1]stages!$2:$2,0)+1,FALSE)</f>
        <v>【初級】ザ・キャノン(4タップ）</v>
      </c>
      <c r="G13" s="27">
        <v>3</v>
      </c>
      <c r="H13" s="19" t="str">
        <f t="shared" ca="1" si="3"/>
        <v>20005_1-3</v>
      </c>
      <c r="I13" s="43">
        <v>41</v>
      </c>
      <c r="J13" s="23" t="str">
        <f ca="1">VLOOKUP($I13,OFFSET([2]enemies!$A$1,0,0,COUNTA([2]enemies!$A:$A),MATCH(J$1,[2]enemies!$1:$1,0)-MATCH($I$1,[2]enemies!$1:$1,0)+1),MATCH(J$1,[2]enemies!$1:$1,0)-MATCH($I$1,[2]enemies!$1:$1,0)+1,FALSE)</f>
        <v>ヒュウガ</v>
      </c>
      <c r="K13" s="23" t="str">
        <f ca="1">VLOOKUP($I13,OFFSET([2]enemies!$A$1,0,0,COUNTA([2]enemies!$A:$A),MATCH(K$1,[2]enemies!$1:$1,0)-MATCH($I$1,[2]enemies!$1:$1,0)+1),MATCH(K$1,[2]enemies!$1:$1,0)-MATCH($I$1,[2]enemies!$1:$1,0)+1,FALSE)</f>
        <v>red</v>
      </c>
      <c r="L13" s="24" t="str">
        <f ca="1">VLOOKUP(I13,[3]characters!$A:$J,10,FALSE)</f>
        <v>Drop1N</v>
      </c>
      <c r="M13" s="23" t="str">
        <f ca="1">VLOOKUP($I13,OFFSET([2]enemies!$A$1,0,0,COUNTA([2]enemies!$A:$A),MATCH(M$1,[2]enemies!$1:$1,0)-MATCH($I$1,[2]enemies!$1:$1,0)+1),MATCH(M$1,[2]enemies!$1:$1,0)-MATCH($I$1,[2]enemies!$1:$1,0)+1,FALSE)</f>
        <v>dragon</v>
      </c>
      <c r="N13" s="23">
        <f ca="1">VLOOKUP($I13,OFFSET([2]enemies!$A$1,0,0,COUNTA([2]enemies!$A:$A),MATCH(N$1,[2]enemies!$1:$1,0)-MATCH($I$1,[2]enemies!$1:$1,0)+1),MATCH(N$1,[2]enemies!$1:$1,0)-MATCH($I$1,[2]enemies!$1:$1,0)+1,FALSE)</f>
        <v>15</v>
      </c>
      <c r="O13" s="5">
        <v>24</v>
      </c>
      <c r="P13" s="30">
        <v>1</v>
      </c>
      <c r="Q13" s="30">
        <v>1</v>
      </c>
      <c r="R13" s="5">
        <v>0</v>
      </c>
      <c r="S13" s="4" t="str">
        <f ca="1">VLOOKUP($T13,OFFSET([4]enemy_skill_sets!$B$1,0,0,COUNTA([4]enemy_skill_sets!$B:$B),MATCH(J$1,[4]enemy_skill_sets!$1:$1,0)-MATCH($T$1,[4]enemy_skill_sets!$1:$1,0)+2),MATCH(J$1,[4]enemy_skill_sets!$1:$1,0)-MATCH($T$1,[4]enemy_skill_sets!$1:$1,0)+2,FALSE)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" s="23">
        <f ca="1">VLOOKUP($I13,OFFSET([2]enemies!$A$1,0,0,COUNTA([2]enemies!$A:$A),MATCH(T$1,[2]enemies!$1:$1,0)-MATCH($I$1,[2]enemies!$1:$1,0)+1),MATCH(T$1,[2]enemies!$1:$1,0)-MATCH($I$1,[2]enemies!$1:$1,0)+1,FALSE)</f>
        <v>0</v>
      </c>
      <c r="U13" s="6">
        <v>0</v>
      </c>
      <c r="V13" s="6">
        <v>100</v>
      </c>
      <c r="W13" s="6">
        <v>0</v>
      </c>
      <c r="X13" s="23">
        <f ca="1">VLOOKUP($I13,OFFSET([2]enemies!$A$1,0,0,COUNTA([2]enemies!$A:$A),MATCH(X$1,[2]enemies!$1:$1,0)-MATCH($I$1,[2]enemies!$1:$1,0)+1),MATCH(X$1,[2]enemies!$1:$1,0)-MATCH($I$1,[2]enemies!$1:$1,0)+1,FALSE)</f>
        <v>1</v>
      </c>
      <c r="Y13" s="43">
        <v>41</v>
      </c>
      <c r="Z13" s="4" t="str">
        <f ca="1">IFERROR(VLOOKUP($Y13,OFFSET([3]characters!$A$1,0,0,COUNTA([3]characters!$A:$A),MATCH(Z$1,[3]characters!$1:$1,0)-MATCH("character_id",[3]characters!$1:$1,0)+1),MATCH(Z$1,[3]characters!$1:$1,0)-MATCH("character_id",[3]characters!$1:$1,0)+1,FALSE),"")</f>
        <v>ヒュウガ</v>
      </c>
      <c r="AA13" s="4">
        <f ca="1">IFERROR(VLOOKUP($Y13,OFFSET([3]characters!$A$1,0,0,COUNTA([3]characters!$A:$A),MATCH(AA$1,[3]characters!$1:$1,0)-MATCH("character_id",[3]characters!$1:$1,0)+1),MATCH(AA$1,[3]characters!$1:$1,0)-MATCH("character_id",[3]characters!$1:$1,0)+1,FALSE),"")</f>
        <v>2</v>
      </c>
      <c r="AB13" s="4" t="str">
        <f ca="1">IFERROR(VLOOKUP($Y13,OFFSET([3]characters!$A$1,0,0,COUNTA([3]characters!$A:$A),MATCH(AB$1,[3]characters!$1:$1,0)-MATCH("character_id",[3]characters!$1:$1,0)+1),MATCH(AB$1,[3]characters!$1:$1,0)-MATCH("character_id",[3]characters!$1:$1,0)+1,FALSE),"")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3" s="7">
        <v>1</v>
      </c>
      <c r="AD13" s="46">
        <f t="shared" ca="1" si="0"/>
        <v>2</v>
      </c>
      <c r="AE13" s="8">
        <v>25</v>
      </c>
      <c r="AF13" s="7">
        <v>0</v>
      </c>
      <c r="AG13" s="7">
        <v>0</v>
      </c>
      <c r="AH13" s="7">
        <v>0</v>
      </c>
      <c r="AI13" s="7">
        <v>0</v>
      </c>
      <c r="AJ13" s="7">
        <v>1</v>
      </c>
    </row>
    <row r="14" spans="1:36" ht="21" customHeight="1" x14ac:dyDescent="0.15">
      <c r="A14" s="20" t="str">
        <f t="shared" si="1"/>
        <v>20005_1-4/286&lt;lv20&gt;s3</v>
      </c>
      <c r="B14" s="28">
        <v>20005</v>
      </c>
      <c r="C14" s="27">
        <v>1</v>
      </c>
      <c r="D14" s="2" t="str">
        <f t="shared" ca="1" si="2"/>
        <v>20005_1</v>
      </c>
      <c r="E14" s="4" t="str">
        <f ca="1">VLOOKUP($B14,OFFSET([1]quests!$A$1,0,0,COUNTA([1]quests!$A:$A),MATCH(E$1,[1]quests!$1:$1,0)-MATCH($B$1,[1]quests!$1:$1,0)+1),MATCH(E$1,[1]quests!$1:$1,0)-MATCH($B$1,[1]quests!$1:$1,0)+1,FALSE)</f>
        <v>ザ・キャノン</v>
      </c>
      <c r="F14" s="4" t="str">
        <f ca="1">VLOOKUP($D14,OFFSET([1]stages!$A$1,0,0,COUNTA([1]stages!$A:$A),MATCH(F$1,[1]stages!$2:$2,0)-MATCH($D$1,[1]stages!$2:$2,0)+1),MATCH(F$1,[1]stages!$2:$2,0)-MATCH($D$1,[1]stages!$2:$2,0)+1,FALSE)</f>
        <v>【初級】ザ・キャノン(4タップ）</v>
      </c>
      <c r="G14" s="45">
        <v>4</v>
      </c>
      <c r="H14" s="19" t="str">
        <f t="shared" ca="1" si="3"/>
        <v>20005_1-4</v>
      </c>
      <c r="I14" s="26">
        <v>286</v>
      </c>
      <c r="J14" s="23" t="str">
        <f ca="1">VLOOKUP($I14,OFFSET([2]enemies!$A$1,0,0,COUNTA([2]enemies!$A:$A),MATCH(J$1,[2]enemies!$1:$1,0)-MATCH($I$1,[2]enemies!$1:$1,0)+1),MATCH(J$1,[2]enemies!$1:$1,0)-MATCH($I$1,[2]enemies!$1:$1,0)+1,FALSE)</f>
        <v>ヒュドラ</v>
      </c>
      <c r="K14" s="23" t="str">
        <f ca="1">VLOOKUP($I14,OFFSET([2]enemies!$A$1,0,0,COUNTA([2]enemies!$A:$A),MATCH(K$1,[2]enemies!$1:$1,0)-MATCH($I$1,[2]enemies!$1:$1,0)+1),MATCH(K$1,[2]enemies!$1:$1,0)-MATCH($I$1,[2]enemies!$1:$1,0)+1,FALSE)</f>
        <v>red</v>
      </c>
      <c r="L14" s="24" t="str">
        <f ca="1">VLOOKUP(I14,[3]characters!$A:$J,10,FALSE)</f>
        <v>Drop2W</v>
      </c>
      <c r="M14" s="23" t="str">
        <f ca="1">VLOOKUP($I14,OFFSET([2]enemies!$A$1,0,0,COUNTA([2]enemies!$A:$A),MATCH(M$1,[2]enemies!$1:$1,0)-MATCH($I$1,[2]enemies!$1:$1,0)+1),MATCH(M$1,[2]enemies!$1:$1,0)-MATCH($I$1,[2]enemies!$1:$1,0)+1,FALSE)</f>
        <v>dragon</v>
      </c>
      <c r="N14" s="23">
        <f ca="1">VLOOKUP($I14,OFFSET([2]enemies!$A$1,0,0,COUNTA([2]enemies!$A:$A),MATCH(N$1,[2]enemies!$1:$1,0)-MATCH($I$1,[2]enemies!$1:$1,0)+1),MATCH(N$1,[2]enemies!$1:$1,0)-MATCH($I$1,[2]enemies!$1:$1,0)+1,FALSE)</f>
        <v>20</v>
      </c>
      <c r="O14" s="5">
        <v>20</v>
      </c>
      <c r="P14" s="30">
        <v>2.5</v>
      </c>
      <c r="Q14" s="30">
        <v>1.2</v>
      </c>
      <c r="R14" s="5">
        <v>0</v>
      </c>
      <c r="S14" s="4" t="str">
        <f ca="1">VLOOKUP($T14,OFFSET([4]enemy_skill_sets!$B$1,0,0,COUNTA([4]enemy_skill_sets!$B:$B),MATCH(J$1,[4]enemy_skill_sets!$1:$1,0)-MATCH($T$1,[4]enemy_skill_sets!$1:$1,0)+2),MATCH(J$1,[4]enemy_skill_sets!$1:$1,0)-MATCH($T$1,[4]enemy_skill_sets!$1:$1,0)+2,FALSE)</f>
        <v>発射準備開始</v>
      </c>
      <c r="T14" s="23">
        <f ca="1">VLOOKUP($I14,OFFSET([2]enemies!$A$1,0,0,COUNTA([2]enemies!$A:$A),MATCH(T$1,[2]enemies!$1:$1,0)-MATCH($I$1,[2]enemies!$1:$1,0)+1),MATCH(T$1,[2]enemies!$1:$1,0)-MATCH($I$1,[2]enemies!$1:$1,0)+1,FALSE)</f>
        <v>286</v>
      </c>
      <c r="U14" s="6">
        <v>1</v>
      </c>
      <c r="V14" s="6">
        <v>100</v>
      </c>
      <c r="W14" s="6">
        <v>1</v>
      </c>
      <c r="X14" s="44">
        <v>3</v>
      </c>
      <c r="Y14" s="26">
        <v>286</v>
      </c>
      <c r="Z14" s="4" t="str">
        <f ca="1">IFERROR(VLOOKUP($Y14,OFFSET([3]characters!$A$1,0,0,COUNTA([3]characters!$A:$A),MATCH(Z$1,[3]characters!$1:$1,0)-MATCH("character_id",[3]characters!$1:$1,0)+1),MATCH(Z$1,[3]characters!$1:$1,0)-MATCH("character_id",[3]characters!$1:$1,0)+1,FALSE),"")</f>
        <v>ヒュドラ</v>
      </c>
      <c r="AA14" s="4">
        <f ca="1">IFERROR(VLOOKUP($Y14,OFFSET([3]characters!$A$1,0,0,COUNTA([3]characters!$A:$A),MATCH(AA$1,[3]characters!$1:$1,0)-MATCH("character_id",[3]characters!$1:$1,0)+1),MATCH(AA$1,[3]characters!$1:$1,0)-MATCH("character_id",[3]characters!$1:$1,0)+1,FALSE),"")</f>
        <v>3</v>
      </c>
      <c r="AB14" s="4" t="str">
        <f ca="1">IFERROR(VLOOKUP($Y14,OFFSET([3]characters!$A$1,0,0,COUNTA([3]characters!$A:$A),MATCH(AB$1,[3]characters!$1:$1,0)-MATCH("character_id",[3]characters!$1:$1,0)+1),MATCH(AB$1,[3]characters!$1:$1,0)-MATCH("character_id",[3]characters!$1:$1,0)+1,FALSE),"")</f>
        <v>Drop2W</v>
      </c>
      <c r="AC14" s="7">
        <v>1</v>
      </c>
      <c r="AD14" s="46">
        <f t="shared" ca="1" si="0"/>
        <v>3</v>
      </c>
      <c r="AE14" s="8">
        <v>20</v>
      </c>
      <c r="AF14" s="7">
        <v>0</v>
      </c>
      <c r="AG14" s="7">
        <v>0</v>
      </c>
      <c r="AH14" s="7">
        <v>0</v>
      </c>
      <c r="AI14" s="7">
        <v>0</v>
      </c>
      <c r="AJ14" s="7">
        <v>1</v>
      </c>
    </row>
    <row r="15" spans="1:36" ht="21" customHeight="1" x14ac:dyDescent="0.15">
      <c r="A15" s="20" t="str">
        <f t="shared" ca="1" si="1"/>
        <v>20005_2-1/15&lt;lv42&gt;s3</v>
      </c>
      <c r="B15" s="28">
        <v>20005</v>
      </c>
      <c r="C15" s="27">
        <v>2</v>
      </c>
      <c r="D15" s="2" t="str">
        <f t="shared" ca="1" si="2"/>
        <v>20005_2</v>
      </c>
      <c r="E15" s="4" t="str">
        <f ca="1">VLOOKUP($B15,OFFSET([1]quests!$A$1,0,0,COUNTA([1]quests!$A:$A),MATCH(E$1,[1]quests!$1:$1,0)-MATCH($B$1,[1]quests!$1:$1,0)+1),MATCH(E$1,[1]quests!$1:$1,0)-MATCH($B$1,[1]quests!$1:$1,0)+1,FALSE)</f>
        <v>ザ・キャノン</v>
      </c>
      <c r="F15" s="4" t="str">
        <f ca="1">VLOOKUP($D15,OFFSET([1]stages!$A$1,0,0,COUNTA([1]stages!$A:$A),MATCH(F$1,[1]stages!$2:$2,0)-MATCH($D$1,[1]stages!$2:$2,0)+1),MATCH(F$1,[1]stages!$2:$2,0)-MATCH($D$1,[1]stages!$2:$2,0)+1,FALSE)</f>
        <v>【中級】ザ・キャノン(4タップ)</v>
      </c>
      <c r="G15" s="27">
        <v>1</v>
      </c>
      <c r="H15" s="19" t="str">
        <f t="shared" ca="1" si="3"/>
        <v>20005_2-1</v>
      </c>
      <c r="I15" s="41">
        <v>15</v>
      </c>
      <c r="J15" s="23" t="str">
        <f ca="1">VLOOKUP($I15,OFFSET([2]enemies!$A$1,0,0,COUNTA([2]enemies!$A:$A),MATCH(J$1,[2]enemies!$1:$1,0)-MATCH($I$1,[2]enemies!$1:$1,0)+1),MATCH(J$1,[2]enemies!$1:$1,0)-MATCH($I$1,[2]enemies!$1:$1,0)+1,FALSE)</f>
        <v>アカネ</v>
      </c>
      <c r="K15" s="23" t="str">
        <f ca="1">VLOOKUP($I15,OFFSET([2]enemies!$A$1,0,0,COUNTA([2]enemies!$A:$A),MATCH(K$1,[2]enemies!$1:$1,0)-MATCH($I$1,[2]enemies!$1:$1,0)+1),MATCH(K$1,[2]enemies!$1:$1,0)-MATCH($I$1,[2]enemies!$1:$1,0)+1,FALSE)</f>
        <v>red</v>
      </c>
      <c r="L15" s="24" t="str">
        <f ca="1">VLOOKUP(I15,[3]characters!$A:$J,10,FALSE)</f>
        <v>Drop1W</v>
      </c>
      <c r="M15" s="23" t="str">
        <f ca="1">VLOOKUP($I15,OFFSET([2]enemies!$A$1,0,0,COUNTA([2]enemies!$A:$A),MATCH(M$1,[2]enemies!$1:$1,0)-MATCH($I$1,[2]enemies!$1:$1,0)+1),MATCH(M$1,[2]enemies!$1:$1,0)-MATCH($I$1,[2]enemies!$1:$1,0)+1,FALSE)</f>
        <v>human</v>
      </c>
      <c r="N15" s="23">
        <f ca="1">VLOOKUP($I15,OFFSET([2]enemies!$A$1,0,0,COUNTA([2]enemies!$A:$A),MATCH(N$1,[2]enemies!$1:$1,0)-MATCH($I$1,[2]enemies!$1:$1,0)+1),MATCH(N$1,[2]enemies!$1:$1,0)-MATCH($I$1,[2]enemies!$1:$1,0)+1,FALSE)</f>
        <v>15</v>
      </c>
      <c r="O15" s="5">
        <v>42</v>
      </c>
      <c r="P15" s="30">
        <v>1</v>
      </c>
      <c r="Q15" s="30">
        <v>1</v>
      </c>
      <c r="R15" s="5">
        <v>0</v>
      </c>
      <c r="S15" s="4" t="str">
        <f ca="1">VLOOKUP($T15,OFFSET([4]enemy_skill_sets!$B$1,0,0,COUNTA([4]enemy_skill_sets!$B:$B),MATCH(J$1,[4]enemy_skill_sets!$1:$1,0)-MATCH($T$1,[4]enemy_skill_sets!$1:$1,0)+2),MATCH(J$1,[4]enemy_skill_sets!$1:$1,0)-MATCH($T$1,[4]enemy_skill_sets!$1:$1,0)+2,FALSE)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" s="23">
        <f ca="1">VLOOKUP($I15,OFFSET([2]enemies!$A$1,0,0,COUNTA([2]enemies!$A:$A),MATCH(T$1,[2]enemies!$1:$1,0)-MATCH($I$1,[2]enemies!$1:$1,0)+1),MATCH(T$1,[2]enemies!$1:$1,0)-MATCH($I$1,[2]enemies!$1:$1,0)+1,FALSE)</f>
        <v>0</v>
      </c>
      <c r="U15" s="6">
        <v>0</v>
      </c>
      <c r="V15" s="6">
        <v>100</v>
      </c>
      <c r="W15" s="6">
        <v>0</v>
      </c>
      <c r="X15" s="23">
        <f ca="1">VLOOKUP($I15,OFFSET([2]enemies!$A$1,0,0,COUNTA([2]enemies!$A:$A),MATCH(X$1,[2]enemies!$1:$1,0)-MATCH($I$1,[2]enemies!$1:$1,0)+1),MATCH(X$1,[2]enemies!$1:$1,0)-MATCH($I$1,[2]enemies!$1:$1,0)+1,FALSE)</f>
        <v>3</v>
      </c>
      <c r="Y15" s="41">
        <v>15</v>
      </c>
      <c r="Z15" s="4" t="str">
        <f ca="1">IFERROR(VLOOKUP($Y15,OFFSET([3]characters!$A$1,0,0,COUNTA([3]characters!$A:$A),MATCH(Z$1,[3]characters!$1:$1,0)-MATCH("character_id",[3]characters!$1:$1,0)+1),MATCH(Z$1,[3]characters!$1:$1,0)-MATCH("character_id",[3]characters!$1:$1,0)+1,FALSE),"")</f>
        <v>アカネ</v>
      </c>
      <c r="AA15" s="4">
        <f ca="1">IFERROR(VLOOKUP($Y15,OFFSET([3]characters!$A$1,0,0,COUNTA([3]characters!$A:$A),MATCH(AA$1,[3]characters!$1:$1,0)-MATCH("character_id",[3]characters!$1:$1,0)+1),MATCH(AA$1,[3]characters!$1:$1,0)-MATCH("character_id",[3]characters!$1:$1,0)+1,FALSE),"")</f>
        <v>1</v>
      </c>
      <c r="AB15" s="4" t="str">
        <f ca="1">IFERROR(VLOOKUP($Y15,OFFSET([3]characters!$A$1,0,0,COUNTA([3]characters!$A:$A),MATCH(AB$1,[3]characters!$1:$1,0)-MATCH("character_id",[3]characters!$1:$1,0)+1),MATCH(AB$1,[3]characters!$1:$1,0)-MATCH("character_id",[3]characters!$1:$1,0)+1,FALSE),"")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5" s="7">
        <v>4</v>
      </c>
      <c r="AD15" s="46">
        <f t="shared" ca="1" si="0"/>
        <v>1</v>
      </c>
      <c r="AE15" s="8">
        <v>15</v>
      </c>
      <c r="AF15" s="7">
        <v>0</v>
      </c>
      <c r="AG15" s="7">
        <v>0</v>
      </c>
      <c r="AH15" s="7">
        <v>0</v>
      </c>
      <c r="AI15" s="7">
        <v>0</v>
      </c>
      <c r="AJ15" s="7">
        <v>1</v>
      </c>
    </row>
    <row r="16" spans="1:36" ht="21" customHeight="1" x14ac:dyDescent="0.15">
      <c r="A16" s="20" t="str">
        <f t="shared" ca="1" si="1"/>
        <v>20005_2-1/21&lt;lv42&gt;s2</v>
      </c>
      <c r="B16" s="28">
        <v>20005</v>
      </c>
      <c r="C16" s="27">
        <v>2</v>
      </c>
      <c r="D16" s="2" t="str">
        <f t="shared" ca="1" si="2"/>
        <v>20005_2</v>
      </c>
      <c r="E16" s="4" t="str">
        <f ca="1">VLOOKUP($B16,OFFSET([1]quests!$A$1,0,0,COUNTA([1]quests!$A:$A),MATCH(E$1,[1]quests!$1:$1,0)-MATCH($B$1,[1]quests!$1:$1,0)+1),MATCH(E$1,[1]quests!$1:$1,0)-MATCH($B$1,[1]quests!$1:$1,0)+1,FALSE)</f>
        <v>ザ・キャノン</v>
      </c>
      <c r="F16" s="4" t="str">
        <f ca="1">VLOOKUP($D16,OFFSET([1]stages!$A$1,0,0,COUNTA([1]stages!$A:$A),MATCH(F$1,[1]stages!$2:$2,0)-MATCH($D$1,[1]stages!$2:$2,0)+1),MATCH(F$1,[1]stages!$2:$2,0)-MATCH($D$1,[1]stages!$2:$2,0)+1,FALSE)</f>
        <v>【中級】ザ・キャノン(4タップ)</v>
      </c>
      <c r="G16" s="27">
        <v>1</v>
      </c>
      <c r="H16" s="19" t="str">
        <f t="shared" ca="1" si="3"/>
        <v>20005_2-1</v>
      </c>
      <c r="I16" s="41">
        <v>21</v>
      </c>
      <c r="J16" s="23" t="str">
        <f ca="1">VLOOKUP($I16,OFFSET([2]enemies!$A$1,0,0,COUNTA([2]enemies!$A:$A),MATCH(J$1,[2]enemies!$1:$1,0)-MATCH($I$1,[2]enemies!$1:$1,0)+1),MATCH(J$1,[2]enemies!$1:$1,0)-MATCH($I$1,[2]enemies!$1:$1,0)+1,FALSE)</f>
        <v>ヴェロキー</v>
      </c>
      <c r="K16" s="23" t="str">
        <f ca="1">VLOOKUP($I16,OFFSET([2]enemies!$A$1,0,0,COUNTA([2]enemies!$A:$A),MATCH(K$1,[2]enemies!$1:$1,0)-MATCH($I$1,[2]enemies!$1:$1,0)+1),MATCH(K$1,[2]enemies!$1:$1,0)-MATCH($I$1,[2]enemies!$1:$1,0)+1,FALSE)</f>
        <v>red</v>
      </c>
      <c r="L16" s="24" t="str">
        <f ca="1">VLOOKUP(I16,[3]characters!$A:$J,10,FALSE)</f>
        <v>Drop1N</v>
      </c>
      <c r="M16" s="23" t="str">
        <f ca="1">VLOOKUP($I16,OFFSET([2]enemies!$A$1,0,0,COUNTA([2]enemies!$A:$A),MATCH(M$1,[2]enemies!$1:$1,0)-MATCH($I$1,[2]enemies!$1:$1,0)+1),MATCH(M$1,[2]enemies!$1:$1,0)-MATCH($I$1,[2]enemies!$1:$1,0)+1,FALSE)</f>
        <v>dragon</v>
      </c>
      <c r="N16" s="23">
        <f ca="1">VLOOKUP($I16,OFFSET([2]enemies!$A$1,0,0,COUNTA([2]enemies!$A:$A),MATCH(N$1,[2]enemies!$1:$1,0)-MATCH($I$1,[2]enemies!$1:$1,0)+1),MATCH(N$1,[2]enemies!$1:$1,0)-MATCH($I$1,[2]enemies!$1:$1,0)+1,FALSE)</f>
        <v>15</v>
      </c>
      <c r="O16" s="5">
        <v>42</v>
      </c>
      <c r="P16" s="30">
        <v>1</v>
      </c>
      <c r="Q16" s="30">
        <v>1</v>
      </c>
      <c r="R16" s="5">
        <v>0</v>
      </c>
      <c r="S16" s="4" t="str">
        <f ca="1">VLOOKUP($T16,OFFSET([4]enemy_skill_sets!$B$1,0,0,COUNTA([4]enemy_skill_sets!$B:$B),MATCH(J$1,[4]enemy_skill_sets!$1:$1,0)-MATCH($T$1,[4]enemy_skill_sets!$1:$1,0)+2),MATCH(J$1,[4]enemy_skill_sets!$1:$1,0)-MATCH($T$1,[4]enemy_skill_sets!$1:$1,0)+2,FALSE)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" s="23">
        <f ca="1">VLOOKUP($I16,OFFSET([2]enemies!$A$1,0,0,COUNTA([2]enemies!$A:$A),MATCH(T$1,[2]enemies!$1:$1,0)-MATCH($I$1,[2]enemies!$1:$1,0)+1),MATCH(T$1,[2]enemies!$1:$1,0)-MATCH($I$1,[2]enemies!$1:$1,0)+1,FALSE)</f>
        <v>0</v>
      </c>
      <c r="U16" s="6">
        <v>0</v>
      </c>
      <c r="V16" s="6">
        <v>100</v>
      </c>
      <c r="W16" s="6">
        <v>0</v>
      </c>
      <c r="X16" s="23">
        <f ca="1">VLOOKUP($I16,OFFSET([2]enemies!$A$1,0,0,COUNTA([2]enemies!$A:$A),MATCH(X$1,[2]enemies!$1:$1,0)-MATCH($I$1,[2]enemies!$1:$1,0)+1),MATCH(X$1,[2]enemies!$1:$1,0)-MATCH($I$1,[2]enemies!$1:$1,0)+1,FALSE)</f>
        <v>2</v>
      </c>
      <c r="Y16" s="41">
        <v>21</v>
      </c>
      <c r="Z16" s="4" t="str">
        <f ca="1">IFERROR(VLOOKUP($Y16,OFFSET([3]characters!$A$1,0,0,COUNTA([3]characters!$A:$A),MATCH(Z$1,[3]characters!$1:$1,0)-MATCH("character_id",[3]characters!$1:$1,0)+1),MATCH(Z$1,[3]characters!$1:$1,0)-MATCH("character_id",[3]characters!$1:$1,0)+1,FALSE),"")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16" s="4">
        <f ca="1">IFERROR(VLOOKUP($Y16,OFFSET([3]characters!$A$1,0,0,COUNTA([3]characters!$A:$A),MATCH(AA$1,[3]characters!$1:$1,0)-MATCH("character_id",[3]characters!$1:$1,0)+1),MATCH(AA$1,[3]characters!$1:$1,0)-MATCH("character_id",[3]characters!$1:$1,0)+1,FALSE),"")</f>
        <v>1</v>
      </c>
      <c r="AB16" s="4" t="str">
        <f ca="1">IFERROR(VLOOKUP($Y16,OFFSET([3]characters!$A$1,0,0,COUNTA([3]characters!$A:$A),MATCH(AB$1,[3]characters!$1:$1,0)-MATCH("character_id",[3]characters!$1:$1,0)+1),MATCH(AB$1,[3]characters!$1:$1,0)-MATCH("character_id",[3]characters!$1:$1,0)+1,FALSE),"")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6" s="7">
        <v>2</v>
      </c>
      <c r="AD16" s="46">
        <f t="shared" ca="1" si="0"/>
        <v>1</v>
      </c>
      <c r="AE16" s="8">
        <v>15</v>
      </c>
      <c r="AF16" s="7">
        <v>0</v>
      </c>
      <c r="AG16" s="7">
        <v>0</v>
      </c>
      <c r="AH16" s="7">
        <v>0</v>
      </c>
      <c r="AI16" s="7">
        <v>0</v>
      </c>
      <c r="AJ16" s="7">
        <v>1</v>
      </c>
    </row>
    <row r="17" spans="1:36" ht="21" customHeight="1" x14ac:dyDescent="0.15">
      <c r="A17" s="20" t="str">
        <f t="shared" ca="1" si="1"/>
        <v>20005_2-1/41&lt;lv42&gt;s1</v>
      </c>
      <c r="B17" s="28">
        <v>20005</v>
      </c>
      <c r="C17" s="27">
        <v>2</v>
      </c>
      <c r="D17" s="2" t="str">
        <f t="shared" ca="1" si="2"/>
        <v>20005_2</v>
      </c>
      <c r="E17" s="4" t="str">
        <f ca="1">VLOOKUP($B17,OFFSET([1]quests!$A$1,0,0,COUNTA([1]quests!$A:$A),MATCH(E$1,[1]quests!$1:$1,0)-MATCH($B$1,[1]quests!$1:$1,0)+1),MATCH(E$1,[1]quests!$1:$1,0)-MATCH($B$1,[1]quests!$1:$1,0)+1,FALSE)</f>
        <v>ザ・キャノン</v>
      </c>
      <c r="F17" s="4" t="str">
        <f ca="1">VLOOKUP($D17,OFFSET([1]stages!$A$1,0,0,COUNTA([1]stages!$A:$A),MATCH(F$1,[1]stages!$2:$2,0)-MATCH($D$1,[1]stages!$2:$2,0)+1),MATCH(F$1,[1]stages!$2:$2,0)-MATCH($D$1,[1]stages!$2:$2,0)+1,FALSE)</f>
        <v>【中級】ザ・キャノン(4タップ)</v>
      </c>
      <c r="G17" s="27">
        <v>1</v>
      </c>
      <c r="H17" s="19" t="str">
        <f t="shared" ca="1" si="3"/>
        <v>20005_2-1</v>
      </c>
      <c r="I17" s="41">
        <v>41</v>
      </c>
      <c r="J17" s="23" t="str">
        <f ca="1">VLOOKUP($I17,OFFSET([2]enemies!$A$1,0,0,COUNTA([2]enemies!$A:$A),MATCH(J$1,[2]enemies!$1:$1,0)-MATCH($I$1,[2]enemies!$1:$1,0)+1),MATCH(J$1,[2]enemies!$1:$1,0)-MATCH($I$1,[2]enemies!$1:$1,0)+1,FALSE)</f>
        <v>ヒュウガ</v>
      </c>
      <c r="K17" s="23" t="str">
        <f ca="1">VLOOKUP($I17,OFFSET([2]enemies!$A$1,0,0,COUNTA([2]enemies!$A:$A),MATCH(K$1,[2]enemies!$1:$1,0)-MATCH($I$1,[2]enemies!$1:$1,0)+1),MATCH(K$1,[2]enemies!$1:$1,0)-MATCH($I$1,[2]enemies!$1:$1,0)+1,FALSE)</f>
        <v>red</v>
      </c>
      <c r="L17" s="24" t="str">
        <f ca="1">VLOOKUP(I17,[3]characters!$A:$J,10,FALSE)</f>
        <v>Drop1N</v>
      </c>
      <c r="M17" s="23" t="str">
        <f ca="1">VLOOKUP($I17,OFFSET([2]enemies!$A$1,0,0,COUNTA([2]enemies!$A:$A),MATCH(M$1,[2]enemies!$1:$1,0)-MATCH($I$1,[2]enemies!$1:$1,0)+1),MATCH(M$1,[2]enemies!$1:$1,0)-MATCH($I$1,[2]enemies!$1:$1,0)+1,FALSE)</f>
        <v>dragon</v>
      </c>
      <c r="N17" s="23">
        <f ca="1">VLOOKUP($I17,OFFSET([2]enemies!$A$1,0,0,COUNTA([2]enemies!$A:$A),MATCH(N$1,[2]enemies!$1:$1,0)-MATCH($I$1,[2]enemies!$1:$1,0)+1),MATCH(N$1,[2]enemies!$1:$1,0)-MATCH($I$1,[2]enemies!$1:$1,0)+1,FALSE)</f>
        <v>15</v>
      </c>
      <c r="O17" s="5">
        <v>42</v>
      </c>
      <c r="P17" s="30">
        <v>1</v>
      </c>
      <c r="Q17" s="30">
        <v>1</v>
      </c>
      <c r="R17" s="5">
        <v>0</v>
      </c>
      <c r="S17" s="4" t="str">
        <f ca="1">VLOOKUP($T17,OFFSET([4]enemy_skill_sets!$B$1,0,0,COUNTA([4]enemy_skill_sets!$B:$B),MATCH(J$1,[4]enemy_skill_sets!$1:$1,0)-MATCH($T$1,[4]enemy_skill_sets!$1:$1,0)+2),MATCH(J$1,[4]enemy_skill_sets!$1:$1,0)-MATCH($T$1,[4]enemy_skill_sets!$1:$1,0)+2,FALSE)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" s="23">
        <f ca="1">VLOOKUP($I17,OFFSET([2]enemies!$A$1,0,0,COUNTA([2]enemies!$A:$A),MATCH(T$1,[2]enemies!$1:$1,0)-MATCH($I$1,[2]enemies!$1:$1,0)+1),MATCH(T$1,[2]enemies!$1:$1,0)-MATCH($I$1,[2]enemies!$1:$1,0)+1,FALSE)</f>
        <v>0</v>
      </c>
      <c r="U17" s="6">
        <v>0</v>
      </c>
      <c r="V17" s="6">
        <v>100</v>
      </c>
      <c r="W17" s="6">
        <v>0</v>
      </c>
      <c r="X17" s="23">
        <f ca="1">VLOOKUP($I17,OFFSET([2]enemies!$A$1,0,0,COUNTA([2]enemies!$A:$A),MATCH(X$1,[2]enemies!$1:$1,0)-MATCH($I$1,[2]enemies!$1:$1,0)+1),MATCH(X$1,[2]enemies!$1:$1,0)-MATCH($I$1,[2]enemies!$1:$1,0)+1,FALSE)</f>
        <v>1</v>
      </c>
      <c r="Y17" s="41">
        <v>41</v>
      </c>
      <c r="Z17" s="4" t="str">
        <f ca="1">IFERROR(VLOOKUP($Y17,OFFSET([3]characters!$A$1,0,0,COUNTA([3]characters!$A:$A),MATCH(Z$1,[3]characters!$1:$1,0)-MATCH("character_id",[3]characters!$1:$1,0)+1),MATCH(Z$1,[3]characters!$1:$1,0)-MATCH("character_id",[3]characters!$1:$1,0)+1,FALSE),"")</f>
        <v>ヒュウガ</v>
      </c>
      <c r="AA17" s="4">
        <f ca="1">IFERROR(VLOOKUP($Y17,OFFSET([3]characters!$A$1,0,0,COUNTA([3]characters!$A:$A),MATCH(AA$1,[3]characters!$1:$1,0)-MATCH("character_id",[3]characters!$1:$1,0)+1),MATCH(AA$1,[3]characters!$1:$1,0)-MATCH("character_id",[3]characters!$1:$1,0)+1,FALSE),"")</f>
        <v>2</v>
      </c>
      <c r="AB17" s="4" t="str">
        <f ca="1">IFERROR(VLOOKUP($Y17,OFFSET([3]characters!$A$1,0,0,COUNTA([3]characters!$A:$A),MATCH(AB$1,[3]characters!$1:$1,0)-MATCH("character_id",[3]characters!$1:$1,0)+1),MATCH(AB$1,[3]characters!$1:$1,0)-MATCH("character_id",[3]characters!$1:$1,0)+1,FALSE),"")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7" s="7">
        <v>2</v>
      </c>
      <c r="AD17" s="46">
        <f t="shared" ca="1" si="0"/>
        <v>2</v>
      </c>
      <c r="AE17" s="8">
        <v>15</v>
      </c>
      <c r="AF17" s="7">
        <v>0</v>
      </c>
      <c r="AG17" s="7">
        <v>0</v>
      </c>
      <c r="AH17" s="7">
        <v>0</v>
      </c>
      <c r="AI17" s="7">
        <v>0</v>
      </c>
      <c r="AJ17" s="7">
        <v>1</v>
      </c>
    </row>
    <row r="18" spans="1:36" ht="21" customHeight="1" x14ac:dyDescent="0.15">
      <c r="A18" s="20" t="str">
        <f t="shared" ca="1" si="1"/>
        <v>20005_2-2/15&lt;lv42&gt;s3</v>
      </c>
      <c r="B18" s="28">
        <v>20005</v>
      </c>
      <c r="C18" s="27">
        <v>2</v>
      </c>
      <c r="D18" s="2" t="str">
        <f t="shared" ca="1" si="2"/>
        <v>20005_2</v>
      </c>
      <c r="E18" s="4" t="str">
        <f ca="1">VLOOKUP($B18,OFFSET([1]quests!$A$1,0,0,COUNTA([1]quests!$A:$A),MATCH(E$1,[1]quests!$1:$1,0)-MATCH($B$1,[1]quests!$1:$1,0)+1),MATCH(E$1,[1]quests!$1:$1,0)-MATCH($B$1,[1]quests!$1:$1,0)+1,FALSE)</f>
        <v>ザ・キャノン</v>
      </c>
      <c r="F18" s="4" t="str">
        <f ca="1">VLOOKUP($D18,OFFSET([1]stages!$A$1,0,0,COUNTA([1]stages!$A:$A),MATCH(F$1,[1]stages!$2:$2,0)-MATCH($D$1,[1]stages!$2:$2,0)+1),MATCH(F$1,[1]stages!$2:$2,0)-MATCH($D$1,[1]stages!$2:$2,0)+1,FALSE)</f>
        <v>【中級】ザ・キャノン(4タップ)</v>
      </c>
      <c r="G18" s="27">
        <v>2</v>
      </c>
      <c r="H18" s="19" t="str">
        <f t="shared" ca="1" si="3"/>
        <v>20005_2-2</v>
      </c>
      <c r="I18" s="42">
        <v>15</v>
      </c>
      <c r="J18" s="23" t="str">
        <f ca="1">VLOOKUP($I18,OFFSET([2]enemies!$A$1,0,0,COUNTA([2]enemies!$A:$A),MATCH(J$1,[2]enemies!$1:$1,0)-MATCH($I$1,[2]enemies!$1:$1,0)+1),MATCH(J$1,[2]enemies!$1:$1,0)-MATCH($I$1,[2]enemies!$1:$1,0)+1,FALSE)</f>
        <v>アカネ</v>
      </c>
      <c r="K18" s="23" t="str">
        <f ca="1">VLOOKUP($I18,OFFSET([2]enemies!$A$1,0,0,COUNTA([2]enemies!$A:$A),MATCH(K$1,[2]enemies!$1:$1,0)-MATCH($I$1,[2]enemies!$1:$1,0)+1),MATCH(K$1,[2]enemies!$1:$1,0)-MATCH($I$1,[2]enemies!$1:$1,0)+1,FALSE)</f>
        <v>red</v>
      </c>
      <c r="L18" s="24" t="str">
        <f ca="1">VLOOKUP(I18,[3]characters!$A:$J,10,FALSE)</f>
        <v>Drop1W</v>
      </c>
      <c r="M18" s="23" t="str">
        <f ca="1">VLOOKUP($I18,OFFSET([2]enemies!$A$1,0,0,COUNTA([2]enemies!$A:$A),MATCH(M$1,[2]enemies!$1:$1,0)-MATCH($I$1,[2]enemies!$1:$1,0)+1),MATCH(M$1,[2]enemies!$1:$1,0)-MATCH($I$1,[2]enemies!$1:$1,0)+1,FALSE)</f>
        <v>human</v>
      </c>
      <c r="N18" s="23">
        <f ca="1">VLOOKUP($I18,OFFSET([2]enemies!$A$1,0,0,COUNTA([2]enemies!$A:$A),MATCH(N$1,[2]enemies!$1:$1,0)-MATCH($I$1,[2]enemies!$1:$1,0)+1),MATCH(N$1,[2]enemies!$1:$1,0)-MATCH($I$1,[2]enemies!$1:$1,0)+1,FALSE)</f>
        <v>15</v>
      </c>
      <c r="O18" s="5">
        <v>42</v>
      </c>
      <c r="P18" s="30">
        <v>1</v>
      </c>
      <c r="Q18" s="30">
        <v>1</v>
      </c>
      <c r="R18" s="5">
        <v>0</v>
      </c>
      <c r="S18" s="4" t="str">
        <f ca="1">VLOOKUP($T18,OFFSET([4]enemy_skill_sets!$B$1,0,0,COUNTA([4]enemy_skill_sets!$B:$B),MATCH(J$1,[4]enemy_skill_sets!$1:$1,0)-MATCH($T$1,[4]enemy_skill_sets!$1:$1,0)+2),MATCH(J$1,[4]enemy_skill_sets!$1:$1,0)-MATCH($T$1,[4]enemy_skill_sets!$1:$1,0)+2,FALSE)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" s="23">
        <f ca="1">VLOOKUP($I18,OFFSET([2]enemies!$A$1,0,0,COUNTA([2]enemies!$A:$A),MATCH(T$1,[2]enemies!$1:$1,0)-MATCH($I$1,[2]enemies!$1:$1,0)+1),MATCH(T$1,[2]enemies!$1:$1,0)-MATCH($I$1,[2]enemies!$1:$1,0)+1,FALSE)</f>
        <v>0</v>
      </c>
      <c r="U18" s="6">
        <v>0</v>
      </c>
      <c r="V18" s="6">
        <v>100</v>
      </c>
      <c r="W18" s="6">
        <v>0</v>
      </c>
      <c r="X18" s="23">
        <f ca="1">VLOOKUP($I18,OFFSET([2]enemies!$A$1,0,0,COUNTA([2]enemies!$A:$A),MATCH(X$1,[2]enemies!$1:$1,0)-MATCH($I$1,[2]enemies!$1:$1,0)+1),MATCH(X$1,[2]enemies!$1:$1,0)-MATCH($I$1,[2]enemies!$1:$1,0)+1,FALSE)</f>
        <v>3</v>
      </c>
      <c r="Y18" s="42">
        <v>15</v>
      </c>
      <c r="Z18" s="4" t="str">
        <f ca="1">IFERROR(VLOOKUP($Y18,OFFSET([3]characters!$A$1,0,0,COUNTA([3]characters!$A:$A),MATCH(Z$1,[3]characters!$1:$1,0)-MATCH("character_id",[3]characters!$1:$1,0)+1),MATCH(Z$1,[3]characters!$1:$1,0)-MATCH("character_id",[3]characters!$1:$1,0)+1,FALSE),"")</f>
        <v>アカネ</v>
      </c>
      <c r="AA18" s="4">
        <f ca="1">IFERROR(VLOOKUP($Y18,OFFSET([3]characters!$A$1,0,0,COUNTA([3]characters!$A:$A),MATCH(AA$1,[3]characters!$1:$1,0)-MATCH("character_id",[3]characters!$1:$1,0)+1),MATCH(AA$1,[3]characters!$1:$1,0)-MATCH("character_id",[3]characters!$1:$1,0)+1,FALSE),"")</f>
        <v>1</v>
      </c>
      <c r="AB18" s="4" t="str">
        <f ca="1">IFERROR(VLOOKUP($Y18,OFFSET([3]characters!$A$1,0,0,COUNTA([3]characters!$A:$A),MATCH(AB$1,[3]characters!$1:$1,0)-MATCH("character_id",[3]characters!$1:$1,0)+1),MATCH(AB$1,[3]characters!$1:$1,0)-MATCH("character_id",[3]characters!$1:$1,0)+1,FALSE),"")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8" s="7">
        <v>4</v>
      </c>
      <c r="AD18" s="46">
        <f t="shared" ca="1" si="0"/>
        <v>1</v>
      </c>
      <c r="AE18" s="8">
        <v>0</v>
      </c>
      <c r="AF18" s="7">
        <v>0</v>
      </c>
      <c r="AG18" s="7">
        <v>0</v>
      </c>
      <c r="AH18" s="7">
        <v>0</v>
      </c>
      <c r="AI18" s="7">
        <v>0</v>
      </c>
      <c r="AJ18" s="7">
        <v>1</v>
      </c>
    </row>
    <row r="19" spans="1:36" ht="21" customHeight="1" x14ac:dyDescent="0.15">
      <c r="A19" s="20" t="str">
        <f t="shared" ca="1" si="1"/>
        <v>20005_2-2/21&lt;lv42&gt;s2</v>
      </c>
      <c r="B19" s="28">
        <v>20005</v>
      </c>
      <c r="C19" s="27">
        <v>2</v>
      </c>
      <c r="D19" s="2" t="str">
        <f t="shared" ca="1" si="2"/>
        <v>20005_2</v>
      </c>
      <c r="E19" s="4" t="str">
        <f ca="1">VLOOKUP($B19,OFFSET([1]quests!$A$1,0,0,COUNTA([1]quests!$A:$A),MATCH(E$1,[1]quests!$1:$1,0)-MATCH($B$1,[1]quests!$1:$1,0)+1),MATCH(E$1,[1]quests!$1:$1,0)-MATCH($B$1,[1]quests!$1:$1,0)+1,FALSE)</f>
        <v>ザ・キャノン</v>
      </c>
      <c r="F19" s="4" t="str">
        <f ca="1">VLOOKUP($D19,OFFSET([1]stages!$A$1,0,0,COUNTA([1]stages!$A:$A),MATCH(F$1,[1]stages!$2:$2,0)-MATCH($D$1,[1]stages!$2:$2,0)+1),MATCH(F$1,[1]stages!$2:$2,0)-MATCH($D$1,[1]stages!$2:$2,0)+1,FALSE)</f>
        <v>【中級】ザ・キャノン(4タップ)</v>
      </c>
      <c r="G19" s="27">
        <v>2</v>
      </c>
      <c r="H19" s="19" t="str">
        <f t="shared" ca="1" si="3"/>
        <v>20005_2-2</v>
      </c>
      <c r="I19" s="43">
        <v>21</v>
      </c>
      <c r="J19" s="23" t="str">
        <f ca="1">VLOOKUP($I19,OFFSET([2]enemies!$A$1,0,0,COUNTA([2]enemies!$A:$A),MATCH(J$1,[2]enemies!$1:$1,0)-MATCH($I$1,[2]enemies!$1:$1,0)+1),MATCH(J$1,[2]enemies!$1:$1,0)-MATCH($I$1,[2]enemies!$1:$1,0)+1,FALSE)</f>
        <v>ヴェロキー</v>
      </c>
      <c r="K19" s="23" t="str">
        <f ca="1">VLOOKUP($I19,OFFSET([2]enemies!$A$1,0,0,COUNTA([2]enemies!$A:$A),MATCH(K$1,[2]enemies!$1:$1,0)-MATCH($I$1,[2]enemies!$1:$1,0)+1),MATCH(K$1,[2]enemies!$1:$1,0)-MATCH($I$1,[2]enemies!$1:$1,0)+1,FALSE)</f>
        <v>red</v>
      </c>
      <c r="L19" s="24" t="str">
        <f ca="1">VLOOKUP(I19,[3]characters!$A:$J,10,FALSE)</f>
        <v>Drop1N</v>
      </c>
      <c r="M19" s="23" t="str">
        <f ca="1">VLOOKUP($I19,OFFSET([2]enemies!$A$1,0,0,COUNTA([2]enemies!$A:$A),MATCH(M$1,[2]enemies!$1:$1,0)-MATCH($I$1,[2]enemies!$1:$1,0)+1),MATCH(M$1,[2]enemies!$1:$1,0)-MATCH($I$1,[2]enemies!$1:$1,0)+1,FALSE)</f>
        <v>dragon</v>
      </c>
      <c r="N19" s="23">
        <f ca="1">VLOOKUP($I19,OFFSET([2]enemies!$A$1,0,0,COUNTA([2]enemies!$A:$A),MATCH(N$1,[2]enemies!$1:$1,0)-MATCH($I$1,[2]enemies!$1:$1,0)+1),MATCH(N$1,[2]enemies!$1:$1,0)-MATCH($I$1,[2]enemies!$1:$1,0)+1,FALSE)</f>
        <v>15</v>
      </c>
      <c r="O19" s="5">
        <v>42</v>
      </c>
      <c r="P19" s="30">
        <v>1</v>
      </c>
      <c r="Q19" s="30">
        <v>1</v>
      </c>
      <c r="R19" s="5">
        <v>0</v>
      </c>
      <c r="S19" s="4" t="str">
        <f ca="1">VLOOKUP($T19,OFFSET([4]enemy_skill_sets!$B$1,0,0,COUNTA([4]enemy_skill_sets!$B:$B),MATCH(J$1,[4]enemy_skill_sets!$1:$1,0)-MATCH($T$1,[4]enemy_skill_sets!$1:$1,0)+2),MATCH(J$1,[4]enemy_skill_sets!$1:$1,0)-MATCH($T$1,[4]enemy_skill_sets!$1:$1,0)+2,FALSE)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" s="23">
        <f ca="1">VLOOKUP($I19,OFFSET([2]enemies!$A$1,0,0,COUNTA([2]enemies!$A:$A),MATCH(T$1,[2]enemies!$1:$1,0)-MATCH($I$1,[2]enemies!$1:$1,0)+1),MATCH(T$1,[2]enemies!$1:$1,0)-MATCH($I$1,[2]enemies!$1:$1,0)+1,FALSE)</f>
        <v>0</v>
      </c>
      <c r="U19" s="6">
        <v>0</v>
      </c>
      <c r="V19" s="6">
        <v>100</v>
      </c>
      <c r="W19" s="6">
        <v>0</v>
      </c>
      <c r="X19" s="23">
        <f ca="1">VLOOKUP($I19,OFFSET([2]enemies!$A$1,0,0,COUNTA([2]enemies!$A:$A),MATCH(X$1,[2]enemies!$1:$1,0)-MATCH($I$1,[2]enemies!$1:$1,0)+1),MATCH(X$1,[2]enemies!$1:$1,0)-MATCH($I$1,[2]enemies!$1:$1,0)+1,FALSE)</f>
        <v>2</v>
      </c>
      <c r="Y19" s="43">
        <v>21</v>
      </c>
      <c r="Z19" s="4" t="str">
        <f ca="1">IFERROR(VLOOKUP($Y19,OFFSET([3]characters!$A$1,0,0,COUNTA([3]characters!$A:$A),MATCH(Z$1,[3]characters!$1:$1,0)-MATCH("character_id",[3]characters!$1:$1,0)+1),MATCH(Z$1,[3]characters!$1:$1,0)-MATCH("character_id",[3]characters!$1:$1,0)+1,FALSE),"")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19" s="4">
        <f ca="1">IFERROR(VLOOKUP($Y19,OFFSET([3]characters!$A$1,0,0,COUNTA([3]characters!$A:$A),MATCH(AA$1,[3]characters!$1:$1,0)-MATCH("character_id",[3]characters!$1:$1,0)+1),MATCH(AA$1,[3]characters!$1:$1,0)-MATCH("character_id",[3]characters!$1:$1,0)+1,FALSE),"")</f>
        <v>1</v>
      </c>
      <c r="AB19" s="4" t="str">
        <f ca="1">IFERROR(VLOOKUP($Y19,OFFSET([3]characters!$A$1,0,0,COUNTA([3]characters!$A:$A),MATCH(AB$1,[3]characters!$1:$1,0)-MATCH("character_id",[3]characters!$1:$1,0)+1),MATCH(AB$1,[3]characters!$1:$1,0)-MATCH("character_id",[3]characters!$1:$1,0)+1,FALSE),"")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9" s="7">
        <v>2</v>
      </c>
      <c r="AD19" s="46">
        <f t="shared" ca="1" si="0"/>
        <v>1</v>
      </c>
      <c r="AE19" s="8">
        <v>0</v>
      </c>
      <c r="AF19" s="7">
        <v>0</v>
      </c>
      <c r="AG19" s="7">
        <v>0</v>
      </c>
      <c r="AH19" s="7">
        <v>0</v>
      </c>
      <c r="AI19" s="7">
        <v>0</v>
      </c>
      <c r="AJ19" s="7">
        <v>1</v>
      </c>
    </row>
    <row r="20" spans="1:36" ht="21" customHeight="1" x14ac:dyDescent="0.15">
      <c r="A20" s="20" t="str">
        <f t="shared" ca="1" si="1"/>
        <v>20005_2-2/41&lt;lv42&gt;s1</v>
      </c>
      <c r="B20" s="28">
        <v>20005</v>
      </c>
      <c r="C20" s="27">
        <v>2</v>
      </c>
      <c r="D20" s="2" t="str">
        <f t="shared" ca="1" si="2"/>
        <v>20005_2</v>
      </c>
      <c r="E20" s="4" t="str">
        <f ca="1">VLOOKUP($B20,OFFSET([1]quests!$A$1,0,0,COUNTA([1]quests!$A:$A),MATCH(E$1,[1]quests!$1:$1,0)-MATCH($B$1,[1]quests!$1:$1,0)+1),MATCH(E$1,[1]quests!$1:$1,0)-MATCH($B$1,[1]quests!$1:$1,0)+1,FALSE)</f>
        <v>ザ・キャノン</v>
      </c>
      <c r="F20" s="4" t="str">
        <f ca="1">VLOOKUP($D20,OFFSET([1]stages!$A$1,0,0,COUNTA([1]stages!$A:$A),MATCH(F$1,[1]stages!$2:$2,0)-MATCH($D$1,[1]stages!$2:$2,0)+1),MATCH(F$1,[1]stages!$2:$2,0)-MATCH($D$1,[1]stages!$2:$2,0)+1,FALSE)</f>
        <v>【中級】ザ・キャノン(4タップ)</v>
      </c>
      <c r="G20" s="27">
        <v>2</v>
      </c>
      <c r="H20" s="19" t="str">
        <f t="shared" ca="1" si="3"/>
        <v>20005_2-2</v>
      </c>
      <c r="I20" s="43">
        <v>41</v>
      </c>
      <c r="J20" s="23" t="str">
        <f ca="1">VLOOKUP($I20,OFFSET([2]enemies!$A$1,0,0,COUNTA([2]enemies!$A:$A),MATCH(J$1,[2]enemies!$1:$1,0)-MATCH($I$1,[2]enemies!$1:$1,0)+1),MATCH(J$1,[2]enemies!$1:$1,0)-MATCH($I$1,[2]enemies!$1:$1,0)+1,FALSE)</f>
        <v>ヒュウガ</v>
      </c>
      <c r="K20" s="23" t="str">
        <f ca="1">VLOOKUP($I20,OFFSET([2]enemies!$A$1,0,0,COUNTA([2]enemies!$A:$A),MATCH(K$1,[2]enemies!$1:$1,0)-MATCH($I$1,[2]enemies!$1:$1,0)+1),MATCH(K$1,[2]enemies!$1:$1,0)-MATCH($I$1,[2]enemies!$1:$1,0)+1,FALSE)</f>
        <v>red</v>
      </c>
      <c r="L20" s="24" t="str">
        <f ca="1">VLOOKUP(I20,[3]characters!$A:$J,10,FALSE)</f>
        <v>Drop1N</v>
      </c>
      <c r="M20" s="23" t="str">
        <f ca="1">VLOOKUP($I20,OFFSET([2]enemies!$A$1,0,0,COUNTA([2]enemies!$A:$A),MATCH(M$1,[2]enemies!$1:$1,0)-MATCH($I$1,[2]enemies!$1:$1,0)+1),MATCH(M$1,[2]enemies!$1:$1,0)-MATCH($I$1,[2]enemies!$1:$1,0)+1,FALSE)</f>
        <v>dragon</v>
      </c>
      <c r="N20" s="23">
        <f ca="1">VLOOKUP($I20,OFFSET([2]enemies!$A$1,0,0,COUNTA([2]enemies!$A:$A),MATCH(N$1,[2]enemies!$1:$1,0)-MATCH($I$1,[2]enemies!$1:$1,0)+1),MATCH(N$1,[2]enemies!$1:$1,0)-MATCH($I$1,[2]enemies!$1:$1,0)+1,FALSE)</f>
        <v>15</v>
      </c>
      <c r="O20" s="5">
        <v>42</v>
      </c>
      <c r="P20" s="30">
        <v>1</v>
      </c>
      <c r="Q20" s="30">
        <v>1</v>
      </c>
      <c r="R20" s="5">
        <v>0</v>
      </c>
      <c r="S20" s="4" t="str">
        <f ca="1">VLOOKUP($T20,OFFSET([4]enemy_skill_sets!$B$1,0,0,COUNTA([4]enemy_skill_sets!$B:$B),MATCH(J$1,[4]enemy_skill_sets!$1:$1,0)-MATCH($T$1,[4]enemy_skill_sets!$1:$1,0)+2),MATCH(J$1,[4]enemy_skill_sets!$1:$1,0)-MATCH($T$1,[4]enemy_skill_sets!$1:$1,0)+2,FALSE)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" s="23">
        <f ca="1">VLOOKUP($I20,OFFSET([2]enemies!$A$1,0,0,COUNTA([2]enemies!$A:$A),MATCH(T$1,[2]enemies!$1:$1,0)-MATCH($I$1,[2]enemies!$1:$1,0)+1),MATCH(T$1,[2]enemies!$1:$1,0)-MATCH($I$1,[2]enemies!$1:$1,0)+1,FALSE)</f>
        <v>0</v>
      </c>
      <c r="U20" s="6">
        <v>0</v>
      </c>
      <c r="V20" s="6">
        <v>100</v>
      </c>
      <c r="W20" s="6">
        <v>0</v>
      </c>
      <c r="X20" s="23">
        <f ca="1">VLOOKUP($I20,OFFSET([2]enemies!$A$1,0,0,COUNTA([2]enemies!$A:$A),MATCH(X$1,[2]enemies!$1:$1,0)-MATCH($I$1,[2]enemies!$1:$1,0)+1),MATCH(X$1,[2]enemies!$1:$1,0)-MATCH($I$1,[2]enemies!$1:$1,0)+1,FALSE)</f>
        <v>1</v>
      </c>
      <c r="Y20" s="43">
        <v>41</v>
      </c>
      <c r="Z20" s="4" t="str">
        <f ca="1">IFERROR(VLOOKUP($Y20,OFFSET([3]characters!$A$1,0,0,COUNTA([3]characters!$A:$A),MATCH(Z$1,[3]characters!$1:$1,0)-MATCH("character_id",[3]characters!$1:$1,0)+1),MATCH(Z$1,[3]characters!$1:$1,0)-MATCH("character_id",[3]characters!$1:$1,0)+1,FALSE),"")</f>
        <v>ヒュウガ</v>
      </c>
      <c r="AA20" s="4">
        <f ca="1">IFERROR(VLOOKUP($Y20,OFFSET([3]characters!$A$1,0,0,COUNTA([3]characters!$A:$A),MATCH(AA$1,[3]characters!$1:$1,0)-MATCH("character_id",[3]characters!$1:$1,0)+1),MATCH(AA$1,[3]characters!$1:$1,0)-MATCH("character_id",[3]characters!$1:$1,0)+1,FALSE),"")</f>
        <v>2</v>
      </c>
      <c r="AB20" s="4" t="str">
        <f ca="1">IFERROR(VLOOKUP($Y20,OFFSET([3]characters!$A$1,0,0,COUNTA([3]characters!$A:$A),MATCH(AB$1,[3]characters!$1:$1,0)-MATCH("character_id",[3]characters!$1:$1,0)+1),MATCH(AB$1,[3]characters!$1:$1,0)-MATCH("character_id",[3]characters!$1:$1,0)+1,FALSE),"")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0" s="7">
        <v>2</v>
      </c>
      <c r="AD20" s="46">
        <f t="shared" ca="1" si="0"/>
        <v>2</v>
      </c>
      <c r="AE20" s="8">
        <v>0</v>
      </c>
      <c r="AF20" s="7">
        <v>0</v>
      </c>
      <c r="AG20" s="7">
        <v>0</v>
      </c>
      <c r="AH20" s="7">
        <v>0</v>
      </c>
      <c r="AI20" s="7">
        <v>0</v>
      </c>
      <c r="AJ20" s="7">
        <v>1</v>
      </c>
    </row>
    <row r="21" spans="1:36" ht="21" customHeight="1" x14ac:dyDescent="0.15">
      <c r="A21" s="20" t="str">
        <f t="shared" ca="1" si="1"/>
        <v>20005_2-2/33&lt;lv42&gt;s2</v>
      </c>
      <c r="B21" s="28">
        <v>20005</v>
      </c>
      <c r="C21" s="27">
        <v>2</v>
      </c>
      <c r="D21" s="2" t="str">
        <f t="shared" ca="1" si="2"/>
        <v>20005_2</v>
      </c>
      <c r="E21" s="4" t="str">
        <f ca="1">VLOOKUP($B21,OFFSET([1]quests!$A$1,0,0,COUNTA([1]quests!$A:$A),MATCH(E$1,[1]quests!$1:$1,0)-MATCH($B$1,[1]quests!$1:$1,0)+1),MATCH(E$1,[1]quests!$1:$1,0)-MATCH($B$1,[1]quests!$1:$1,0)+1,FALSE)</f>
        <v>ザ・キャノン</v>
      </c>
      <c r="F21" s="4" t="str">
        <f ca="1">VLOOKUP($D21,OFFSET([1]stages!$A$1,0,0,COUNTA([1]stages!$A:$A),MATCH(F$1,[1]stages!$2:$2,0)-MATCH($D$1,[1]stages!$2:$2,0)+1),MATCH(F$1,[1]stages!$2:$2,0)-MATCH($D$1,[1]stages!$2:$2,0)+1,FALSE)</f>
        <v>【中級】ザ・キャノン(4タップ)</v>
      </c>
      <c r="G21" s="27">
        <v>2</v>
      </c>
      <c r="H21" s="19" t="str">
        <f t="shared" ca="1" si="3"/>
        <v>20005_2-2</v>
      </c>
      <c r="I21" s="43">
        <v>33</v>
      </c>
      <c r="J21" s="23" t="str">
        <f ca="1">VLOOKUP($I21,OFFSET([2]enemies!$A$1,0,0,COUNTA([2]enemies!$A:$A),MATCH(J$1,[2]enemies!$1:$1,0)-MATCH($I$1,[2]enemies!$1:$1,0)+1),MATCH(J$1,[2]enemies!$1:$1,0)-MATCH($I$1,[2]enemies!$1:$1,0)+1,FALSE)</f>
        <v>ゴクウ</v>
      </c>
      <c r="K21" s="23" t="str">
        <f ca="1">VLOOKUP($I21,OFFSET([2]enemies!$A$1,0,0,COUNTA([2]enemies!$A:$A),MATCH(K$1,[2]enemies!$1:$1,0)-MATCH($I$1,[2]enemies!$1:$1,0)+1),MATCH(K$1,[2]enemies!$1:$1,0)-MATCH($I$1,[2]enemies!$1:$1,0)+1,FALSE)</f>
        <v>red</v>
      </c>
      <c r="L21" s="24" t="str">
        <f ca="1">VLOOKUP(I21,[3]characters!$A:$J,10,FALSE)</f>
        <v>Drop1S</v>
      </c>
      <c r="M21" s="23" t="str">
        <f ca="1">VLOOKUP($I21,OFFSET([2]enemies!$A$1,0,0,COUNTA([2]enemies!$A:$A),MATCH(M$1,[2]enemies!$1:$1,0)-MATCH($I$1,[2]enemies!$1:$1,0)+1),MATCH(M$1,[2]enemies!$1:$1,0)-MATCH($I$1,[2]enemies!$1:$1,0)+1,FALSE)</f>
        <v>animal</v>
      </c>
      <c r="N21" s="23">
        <f ca="1">VLOOKUP($I21,OFFSET([2]enemies!$A$1,0,0,COUNTA([2]enemies!$A:$A),MATCH(N$1,[2]enemies!$1:$1,0)-MATCH($I$1,[2]enemies!$1:$1,0)+1),MATCH(N$1,[2]enemies!$1:$1,0)-MATCH($I$1,[2]enemies!$1:$1,0)+1,FALSE)</f>
        <v>15</v>
      </c>
      <c r="O21" s="5">
        <v>42</v>
      </c>
      <c r="P21" s="30">
        <v>1</v>
      </c>
      <c r="Q21" s="30">
        <v>1</v>
      </c>
      <c r="R21" s="5">
        <v>0</v>
      </c>
      <c r="S21" s="4" t="str">
        <f ca="1">VLOOKUP($T21,OFFSET([4]enemy_skill_sets!$B$1,0,0,COUNTA([4]enemy_skill_sets!$B:$B),MATCH(J$1,[4]enemy_skill_sets!$1:$1,0)-MATCH($T$1,[4]enemy_skill_sets!$1:$1,0)+2),MATCH(J$1,[4]enemy_skill_sets!$1:$1,0)-MATCH($T$1,[4]enemy_skill_sets!$1:$1,0)+2,FALSE)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21" s="23">
        <f ca="1">VLOOKUP($I21,OFFSET([2]enemies!$A$1,0,0,COUNTA([2]enemies!$A:$A),MATCH(T$1,[2]enemies!$1:$1,0)-MATCH($I$1,[2]enemies!$1:$1,0)+1),MATCH(T$1,[2]enemies!$1:$1,0)-MATCH($I$1,[2]enemies!$1:$1,0)+1,FALSE)</f>
        <v>33</v>
      </c>
      <c r="U21" s="6">
        <v>0</v>
      </c>
      <c r="V21" s="6">
        <v>100</v>
      </c>
      <c r="W21" s="6">
        <v>0</v>
      </c>
      <c r="X21" s="23">
        <f ca="1">VLOOKUP($I21,OFFSET([2]enemies!$A$1,0,0,COUNTA([2]enemies!$A:$A),MATCH(X$1,[2]enemies!$1:$1,0)-MATCH($I$1,[2]enemies!$1:$1,0)+1),MATCH(X$1,[2]enemies!$1:$1,0)-MATCH($I$1,[2]enemies!$1:$1,0)+1,FALSE)</f>
        <v>2</v>
      </c>
      <c r="Y21" s="43">
        <v>33</v>
      </c>
      <c r="Z21" s="4" t="str">
        <f ca="1">IFERROR(VLOOKUP($Y21,OFFSET([3]characters!$A$1,0,0,COUNTA([3]characters!$A:$A),MATCH(Z$1,[3]characters!$1:$1,0)-MATCH("character_id",[3]characters!$1:$1,0)+1),MATCH(Z$1,[3]characters!$1:$1,0)-MATCH("character_id",[3]characters!$1:$1,0)+1,FALSE),"")</f>
        <v>ゴクウ</v>
      </c>
      <c r="AA21" s="4">
        <f ca="1">IFERROR(VLOOKUP($Y21,OFFSET([3]characters!$A$1,0,0,COUNTA([3]characters!$A:$A),MATCH(AA$1,[3]characters!$1:$1,0)-MATCH("character_id",[3]characters!$1:$1,0)+1),MATCH(AA$1,[3]characters!$1:$1,0)-MATCH("character_id",[3]characters!$1:$1,0)+1,FALSE),"")</f>
        <v>2</v>
      </c>
      <c r="AB21" s="4" t="str">
        <f ca="1">IFERROR(VLOOKUP($Y21,OFFSET([3]characters!$A$1,0,0,COUNTA([3]characters!$A:$A),MATCH(AB$1,[3]characters!$1:$1,0)-MATCH("character_id",[3]characters!$1:$1,0)+1),MATCH(AB$1,[3]characters!$1:$1,0)-MATCH("character_id",[3]characters!$1:$1,0)+1,FALSE),"")</f>
        <v>Drop1S</v>
      </c>
      <c r="AC21" s="7">
        <v>1</v>
      </c>
      <c r="AD21" s="46">
        <f t="shared" ca="1" si="0"/>
        <v>2</v>
      </c>
      <c r="AE21" s="8">
        <v>0</v>
      </c>
      <c r="AF21" s="7">
        <v>0</v>
      </c>
      <c r="AG21" s="7">
        <v>0</v>
      </c>
      <c r="AH21" s="7">
        <v>0</v>
      </c>
      <c r="AI21" s="7">
        <v>0</v>
      </c>
      <c r="AJ21" s="7">
        <v>1</v>
      </c>
    </row>
    <row r="22" spans="1:36" ht="21" customHeight="1" x14ac:dyDescent="0.15">
      <c r="A22" s="20" t="str">
        <f t="shared" ref="A22" ca="1" si="4">B22&amp;"_"&amp;C22&amp;"-"&amp;G22&amp;"/"&amp;I22&amp;"&lt;lv"&amp;O22&amp;"&gt;s"&amp;X22</f>
        <v>20005_2-2/334&lt;lv1&gt;s3</v>
      </c>
      <c r="B22" s="28">
        <v>20005</v>
      </c>
      <c r="C22" s="27">
        <v>2</v>
      </c>
      <c r="D22" s="2" t="str">
        <f t="shared" ref="D22" ca="1" si="5">B22&amp;"_"&amp;C22</f>
        <v>20005_2</v>
      </c>
      <c r="E22" s="4" t="str">
        <f ca="1">VLOOKUP($B22,OFFSET([1]quests!$A$1,0,0,COUNTA([1]quests!$A:$A),MATCH(E$1,[1]quests!$1:$1,0)-MATCH($B$1,[1]quests!$1:$1,0)+1),MATCH(E$1,[1]quests!$1:$1,0)-MATCH($B$1,[1]quests!$1:$1,0)+1,FALSE)</f>
        <v>ザ・キャノン</v>
      </c>
      <c r="F22" s="4" t="str">
        <f ca="1">VLOOKUP($D22,OFFSET([1]stages!$A$1,0,0,COUNTA([1]stages!$A:$A),MATCH(F$1,[1]stages!$2:$2,0)-MATCH($D$1,[1]stages!$2:$2,0)+1),MATCH(F$1,[1]stages!$2:$2,0)-MATCH($D$1,[1]stages!$2:$2,0)+1,FALSE)</f>
        <v>【中級】ザ・キャノン(4タップ)</v>
      </c>
      <c r="G22" s="27">
        <v>2</v>
      </c>
      <c r="H22" s="19" t="str">
        <f t="shared" ref="H22" ca="1" si="6">B22&amp;"_"&amp;C22&amp;"-"&amp;G22</f>
        <v>20005_2-2</v>
      </c>
      <c r="I22" s="41">
        <v>334</v>
      </c>
      <c r="J22" s="23" t="str">
        <f ca="1">VLOOKUP($I22,OFFSET([2]enemies!$A$1,0,0,COUNTA([2]enemies!$A:$A),MATCH(J$1,[2]enemies!$1:$1,0)-MATCH($I$1,[2]enemies!$1:$1,0)+1),MATCH(J$1,[2]enemies!$1:$1,0)-MATCH($I$1,[2]enemies!$1:$1,0)+1,FALSE)</f>
        <v>炎のメタルダック</v>
      </c>
      <c r="K22" s="23" t="str">
        <f ca="1">VLOOKUP($I22,OFFSET([2]enemies!$A$1,0,0,COUNTA([2]enemies!$A:$A),MATCH(K$1,[2]enemies!$1:$1,0)-MATCH($I$1,[2]enemies!$1:$1,0)+1),MATCH(K$1,[2]enemies!$1:$1,0)-MATCH($I$1,[2]enemies!$1:$1,0)+1,FALSE)</f>
        <v>red</v>
      </c>
      <c r="L22" s="24" t="str">
        <f ca="1">VLOOKUP(I22,[3]characters!$A:$J,10,FALSE)</f>
        <v>Material</v>
      </c>
      <c r="M22" s="23" t="str">
        <f ca="1">VLOOKUP($I22,OFFSET([2]enemies!$A$1,0,0,COUNTA([2]enemies!$A:$A),MATCH(M$1,[2]enemies!$1:$1,0)-MATCH($I$1,[2]enemies!$1:$1,0)+1),MATCH(M$1,[2]enemies!$1:$1,0)-MATCH($I$1,[2]enemies!$1:$1,0)+1,FALSE)</f>
        <v>unknown</v>
      </c>
      <c r="N22" s="23">
        <f ca="1">VLOOKUP($I22,OFFSET([2]enemies!$A$1,0,0,COUNTA([2]enemies!$A:$A),MATCH(N$1,[2]enemies!$1:$1,0)-MATCH($I$1,[2]enemies!$1:$1,0)+1),MATCH(N$1,[2]enemies!$1:$1,0)-MATCH($I$1,[2]enemies!$1:$1,0)+1,FALSE)</f>
        <v>20</v>
      </c>
      <c r="O22" s="5">
        <v>1</v>
      </c>
      <c r="P22" s="30">
        <v>1</v>
      </c>
      <c r="Q22" s="30">
        <v>35</v>
      </c>
      <c r="R22" s="5">
        <v>0</v>
      </c>
      <c r="S22" s="4" t="str">
        <f ca="1">VLOOKUP($T22,OFFSET([4]enemy_skill_sets!$B$1,0,0,COUNTA([4]enemy_skill_sets!$B:$B),MATCH(J$1,[4]enemy_skill_sets!$1:$1,0)-MATCH($T$1,[4]enemy_skill_sets!$1:$1,0)+2),MATCH(J$1,[4]enemy_skill_sets!$1:$1,0)-MATCH($T$1,[4]enemy_skill_sets!$1:$1,0)+2,FALSE)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" s="23">
        <f ca="1">VLOOKUP($I22,OFFSET([2]enemies!$A$1,0,0,COUNTA([2]enemies!$A:$A),MATCH(T$1,[2]enemies!$1:$1,0)-MATCH($I$1,[2]enemies!$1:$1,0)+1),MATCH(T$1,[2]enemies!$1:$1,0)-MATCH($I$1,[2]enemies!$1:$1,0)+1,FALSE)</f>
        <v>0</v>
      </c>
      <c r="U22" s="6">
        <v>1</v>
      </c>
      <c r="V22" s="6">
        <v>100</v>
      </c>
      <c r="W22" s="6">
        <v>1</v>
      </c>
      <c r="X22" s="23">
        <f ca="1">VLOOKUP($I22,OFFSET([2]enemies!$A$1,0,0,COUNTA([2]enemies!$A:$A),MATCH(X$1,[2]enemies!$1:$1,0)-MATCH($I$1,[2]enemies!$1:$1,0)+1),MATCH(X$1,[2]enemies!$1:$1,0)-MATCH($I$1,[2]enemies!$1:$1,0)+1,FALSE)</f>
        <v>3</v>
      </c>
      <c r="Y22" s="41">
        <v>334</v>
      </c>
      <c r="Z22" s="4" t="str">
        <f ca="1">IFERROR(VLOOKUP($Y22,OFFSET([3]characters!$A$1,0,0,COUNTA([3]characters!$A:$A),MATCH(Z$1,[3]characters!$1:$1,0)-MATCH("character_id",[3]characters!$1:$1,0)+1),MATCH(Z$1,[3]characters!$1:$1,0)-MATCH("character_id",[3]characters!$1:$1,0)+1,FALSE),"")</f>
        <v>炎のメタルダック</v>
      </c>
      <c r="AA22" s="4">
        <f ca="1">IFERROR(VLOOKUP($Y22,OFFSET([3]characters!$A$1,0,0,COUNTA([3]characters!$A:$A),MATCH(AA$1,[3]characters!$1:$1,0)-MATCH("character_id",[3]characters!$1:$1,0)+1),MATCH(AA$1,[3]characters!$1:$1,0)-MATCH("character_id",[3]characters!$1:$1,0)+1,FALSE),"")</f>
        <v>5</v>
      </c>
      <c r="AB22" s="4" t="str">
        <f ca="1">IFERROR(VLOOKUP($Y22,OFFSET([3]characters!$A$1,0,0,COUNTA([3]characters!$A:$A),MATCH(AB$1,[3]characters!$1:$1,0)-MATCH("character_id",[3]characters!$1:$1,0)+1),MATCH(AB$1,[3]characters!$1:$1,0)-MATCH("character_id",[3]characters!$1:$1,0)+1,FALSE),"")</f>
        <v>Material</v>
      </c>
      <c r="AC22" s="7">
        <v>1</v>
      </c>
      <c r="AD22" s="46">
        <f t="shared" ca="1" si="0"/>
        <v>5</v>
      </c>
      <c r="AE22" s="8">
        <v>15</v>
      </c>
      <c r="AF22" s="7">
        <v>0</v>
      </c>
      <c r="AG22" s="7">
        <v>0</v>
      </c>
      <c r="AH22" s="7">
        <v>0</v>
      </c>
      <c r="AI22" s="7">
        <v>0</v>
      </c>
      <c r="AJ22" s="7">
        <v>1</v>
      </c>
    </row>
    <row r="23" spans="1:36" ht="21" customHeight="1" x14ac:dyDescent="0.15">
      <c r="A23" s="20" t="str">
        <f t="shared" ca="1" si="1"/>
        <v>20005_2-3/15&lt;lv42&gt;s3</v>
      </c>
      <c r="B23" s="28">
        <v>20005</v>
      </c>
      <c r="C23" s="27">
        <v>2</v>
      </c>
      <c r="D23" s="2" t="str">
        <f t="shared" ca="1" si="2"/>
        <v>20005_2</v>
      </c>
      <c r="E23" s="4" t="str">
        <f ca="1">VLOOKUP($B23,OFFSET([1]quests!$A$1,0,0,COUNTA([1]quests!$A:$A),MATCH(E$1,[1]quests!$1:$1,0)-MATCH($B$1,[1]quests!$1:$1,0)+1),MATCH(E$1,[1]quests!$1:$1,0)-MATCH($B$1,[1]quests!$1:$1,0)+1,FALSE)</f>
        <v>ザ・キャノン</v>
      </c>
      <c r="F23" s="4" t="str">
        <f ca="1">VLOOKUP($D23,OFFSET([1]stages!$A$1,0,0,COUNTA([1]stages!$A:$A),MATCH(F$1,[1]stages!$2:$2,0)-MATCH($D$1,[1]stages!$2:$2,0)+1),MATCH(F$1,[1]stages!$2:$2,0)-MATCH($D$1,[1]stages!$2:$2,0)+1,FALSE)</f>
        <v>【中級】ザ・キャノン(4タップ)</v>
      </c>
      <c r="G23" s="27">
        <v>3</v>
      </c>
      <c r="H23" s="19" t="str">
        <f t="shared" ca="1" si="3"/>
        <v>20005_2-3</v>
      </c>
      <c r="I23" s="42">
        <v>15</v>
      </c>
      <c r="J23" s="23" t="str">
        <f ca="1">VLOOKUP($I23,OFFSET([2]enemies!$A$1,0,0,COUNTA([2]enemies!$A:$A),MATCH(J$1,[2]enemies!$1:$1,0)-MATCH($I$1,[2]enemies!$1:$1,0)+1),MATCH(J$1,[2]enemies!$1:$1,0)-MATCH($I$1,[2]enemies!$1:$1,0)+1,FALSE)</f>
        <v>アカネ</v>
      </c>
      <c r="K23" s="23" t="str">
        <f ca="1">VLOOKUP($I23,OFFSET([2]enemies!$A$1,0,0,COUNTA([2]enemies!$A:$A),MATCH(K$1,[2]enemies!$1:$1,0)-MATCH($I$1,[2]enemies!$1:$1,0)+1),MATCH(K$1,[2]enemies!$1:$1,0)-MATCH($I$1,[2]enemies!$1:$1,0)+1,FALSE)</f>
        <v>red</v>
      </c>
      <c r="L23" s="24" t="str">
        <f ca="1">VLOOKUP(I23,[3]characters!$A:$J,10,FALSE)</f>
        <v>Drop1W</v>
      </c>
      <c r="M23" s="23" t="str">
        <f ca="1">VLOOKUP($I23,OFFSET([2]enemies!$A$1,0,0,COUNTA([2]enemies!$A:$A),MATCH(M$1,[2]enemies!$1:$1,0)-MATCH($I$1,[2]enemies!$1:$1,0)+1),MATCH(M$1,[2]enemies!$1:$1,0)-MATCH($I$1,[2]enemies!$1:$1,0)+1,FALSE)</f>
        <v>human</v>
      </c>
      <c r="N23" s="23">
        <f ca="1">VLOOKUP($I23,OFFSET([2]enemies!$A$1,0,0,COUNTA([2]enemies!$A:$A),MATCH(N$1,[2]enemies!$1:$1,0)-MATCH($I$1,[2]enemies!$1:$1,0)+1),MATCH(N$1,[2]enemies!$1:$1,0)-MATCH($I$1,[2]enemies!$1:$1,0)+1,FALSE)</f>
        <v>15</v>
      </c>
      <c r="O23" s="5">
        <v>42</v>
      </c>
      <c r="P23" s="30">
        <v>1</v>
      </c>
      <c r="Q23" s="30">
        <v>1</v>
      </c>
      <c r="R23" s="5">
        <v>0</v>
      </c>
      <c r="S23" s="4" t="str">
        <f ca="1">VLOOKUP($T23,OFFSET([4]enemy_skill_sets!$B$1,0,0,COUNTA([4]enemy_skill_sets!$B:$B),MATCH(J$1,[4]enemy_skill_sets!$1:$1,0)-MATCH($T$1,[4]enemy_skill_sets!$1:$1,0)+2),MATCH(J$1,[4]enemy_skill_sets!$1:$1,0)-MATCH($T$1,[4]enemy_skill_sets!$1:$1,0)+2,FALSE)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" s="23">
        <f ca="1">VLOOKUP($I23,OFFSET([2]enemies!$A$1,0,0,COUNTA([2]enemies!$A:$A),MATCH(T$1,[2]enemies!$1:$1,0)-MATCH($I$1,[2]enemies!$1:$1,0)+1),MATCH(T$1,[2]enemies!$1:$1,0)-MATCH($I$1,[2]enemies!$1:$1,0)+1,FALSE)</f>
        <v>0</v>
      </c>
      <c r="U23" s="6">
        <v>1</v>
      </c>
      <c r="V23" s="6">
        <v>100</v>
      </c>
      <c r="W23" s="6">
        <v>0</v>
      </c>
      <c r="X23" s="23">
        <f ca="1">VLOOKUP($I23,OFFSET([2]enemies!$A$1,0,0,COUNTA([2]enemies!$A:$A),MATCH(X$1,[2]enemies!$1:$1,0)-MATCH($I$1,[2]enemies!$1:$1,0)+1),MATCH(X$1,[2]enemies!$1:$1,0)-MATCH($I$1,[2]enemies!$1:$1,0)+1,FALSE)</f>
        <v>3</v>
      </c>
      <c r="Y23" s="42">
        <v>15</v>
      </c>
      <c r="Z23" s="4" t="str">
        <f ca="1">IFERROR(VLOOKUP($Y23,OFFSET([3]characters!$A$1,0,0,COUNTA([3]characters!$A:$A),MATCH(Z$1,[3]characters!$1:$1,0)-MATCH("character_id",[3]characters!$1:$1,0)+1),MATCH(Z$1,[3]characters!$1:$1,0)-MATCH("character_id",[3]characters!$1:$1,0)+1,FALSE),"")</f>
        <v>アカネ</v>
      </c>
      <c r="AA23" s="4">
        <f ca="1">IFERROR(VLOOKUP($Y23,OFFSET([3]characters!$A$1,0,0,COUNTA([3]characters!$A:$A),MATCH(AA$1,[3]characters!$1:$1,0)-MATCH("character_id",[3]characters!$1:$1,0)+1),MATCH(AA$1,[3]characters!$1:$1,0)-MATCH("character_id",[3]characters!$1:$1,0)+1,FALSE),"")</f>
        <v>1</v>
      </c>
      <c r="AB23" s="4" t="str">
        <f ca="1">IFERROR(VLOOKUP($Y23,OFFSET([3]characters!$A$1,0,0,COUNTA([3]characters!$A:$A),MATCH(AB$1,[3]characters!$1:$1,0)-MATCH("character_id",[3]characters!$1:$1,0)+1),MATCH(AB$1,[3]characters!$1:$1,0)-MATCH("character_id",[3]characters!$1:$1,0)+1,FALSE),"")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23" s="7">
        <v>4</v>
      </c>
      <c r="AD23" s="46">
        <f t="shared" ca="1" si="0"/>
        <v>1</v>
      </c>
      <c r="AE23" s="8">
        <v>15</v>
      </c>
      <c r="AF23" s="7">
        <v>0</v>
      </c>
      <c r="AG23" s="7">
        <v>0</v>
      </c>
      <c r="AH23" s="7">
        <v>0</v>
      </c>
      <c r="AI23" s="7">
        <v>0</v>
      </c>
      <c r="AJ23" s="7">
        <v>1</v>
      </c>
    </row>
    <row r="24" spans="1:36" ht="21" customHeight="1" x14ac:dyDescent="0.15">
      <c r="A24" s="20" t="str">
        <f t="shared" ca="1" si="1"/>
        <v>20005_2-3/21&lt;lv42&gt;s2</v>
      </c>
      <c r="B24" s="28">
        <v>20005</v>
      </c>
      <c r="C24" s="27">
        <v>2</v>
      </c>
      <c r="D24" s="2" t="str">
        <f t="shared" ca="1" si="2"/>
        <v>20005_2</v>
      </c>
      <c r="E24" s="4" t="str">
        <f ca="1">VLOOKUP($B24,OFFSET([1]quests!$A$1,0,0,COUNTA([1]quests!$A:$A),MATCH(E$1,[1]quests!$1:$1,0)-MATCH($B$1,[1]quests!$1:$1,0)+1),MATCH(E$1,[1]quests!$1:$1,0)-MATCH($B$1,[1]quests!$1:$1,0)+1,FALSE)</f>
        <v>ザ・キャノン</v>
      </c>
      <c r="F24" s="4" t="str">
        <f ca="1">VLOOKUP($D24,OFFSET([1]stages!$A$1,0,0,COUNTA([1]stages!$A:$A),MATCH(F$1,[1]stages!$2:$2,0)-MATCH($D$1,[1]stages!$2:$2,0)+1),MATCH(F$1,[1]stages!$2:$2,0)-MATCH($D$1,[1]stages!$2:$2,0)+1,FALSE)</f>
        <v>【中級】ザ・キャノン(4タップ)</v>
      </c>
      <c r="G24" s="27">
        <v>3</v>
      </c>
      <c r="H24" s="19" t="str">
        <f t="shared" ca="1" si="3"/>
        <v>20005_2-3</v>
      </c>
      <c r="I24" s="43">
        <v>21</v>
      </c>
      <c r="J24" s="23" t="str">
        <f ca="1">VLOOKUP($I24,OFFSET([2]enemies!$A$1,0,0,COUNTA([2]enemies!$A:$A),MATCH(J$1,[2]enemies!$1:$1,0)-MATCH($I$1,[2]enemies!$1:$1,0)+1),MATCH(J$1,[2]enemies!$1:$1,0)-MATCH($I$1,[2]enemies!$1:$1,0)+1,FALSE)</f>
        <v>ヴェロキー</v>
      </c>
      <c r="K24" s="23" t="str">
        <f ca="1">VLOOKUP($I24,OFFSET([2]enemies!$A$1,0,0,COUNTA([2]enemies!$A:$A),MATCH(K$1,[2]enemies!$1:$1,0)-MATCH($I$1,[2]enemies!$1:$1,0)+1),MATCH(K$1,[2]enemies!$1:$1,0)-MATCH($I$1,[2]enemies!$1:$1,0)+1,FALSE)</f>
        <v>red</v>
      </c>
      <c r="L24" s="24" t="str">
        <f ca="1">VLOOKUP(I24,[3]characters!$A:$J,10,FALSE)</f>
        <v>Drop1N</v>
      </c>
      <c r="M24" s="23" t="str">
        <f ca="1">VLOOKUP($I24,OFFSET([2]enemies!$A$1,0,0,COUNTA([2]enemies!$A:$A),MATCH(M$1,[2]enemies!$1:$1,0)-MATCH($I$1,[2]enemies!$1:$1,0)+1),MATCH(M$1,[2]enemies!$1:$1,0)-MATCH($I$1,[2]enemies!$1:$1,0)+1,FALSE)</f>
        <v>dragon</v>
      </c>
      <c r="N24" s="23">
        <f ca="1">VLOOKUP($I24,OFFSET([2]enemies!$A$1,0,0,COUNTA([2]enemies!$A:$A),MATCH(N$1,[2]enemies!$1:$1,0)-MATCH($I$1,[2]enemies!$1:$1,0)+1),MATCH(N$1,[2]enemies!$1:$1,0)-MATCH($I$1,[2]enemies!$1:$1,0)+1,FALSE)</f>
        <v>15</v>
      </c>
      <c r="O24" s="5">
        <v>42</v>
      </c>
      <c r="P24" s="30">
        <v>1</v>
      </c>
      <c r="Q24" s="30">
        <v>1</v>
      </c>
      <c r="R24" s="5">
        <v>0</v>
      </c>
      <c r="S24" s="4" t="str">
        <f ca="1">VLOOKUP($T24,OFFSET([4]enemy_skill_sets!$B$1,0,0,COUNTA([4]enemy_skill_sets!$B:$B),MATCH(J$1,[4]enemy_skill_sets!$1:$1,0)-MATCH($T$1,[4]enemy_skill_sets!$1:$1,0)+2),MATCH(J$1,[4]enemy_skill_sets!$1:$1,0)-MATCH($T$1,[4]enemy_skill_sets!$1:$1,0)+2,FALSE)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" s="23">
        <f ca="1">VLOOKUP($I24,OFFSET([2]enemies!$A$1,0,0,COUNTA([2]enemies!$A:$A),MATCH(T$1,[2]enemies!$1:$1,0)-MATCH($I$1,[2]enemies!$1:$1,0)+1),MATCH(T$1,[2]enemies!$1:$1,0)-MATCH($I$1,[2]enemies!$1:$1,0)+1,FALSE)</f>
        <v>0</v>
      </c>
      <c r="U24" s="6">
        <v>0</v>
      </c>
      <c r="V24" s="6">
        <v>100</v>
      </c>
      <c r="W24" s="6">
        <v>0</v>
      </c>
      <c r="X24" s="23">
        <f ca="1">VLOOKUP($I24,OFFSET([2]enemies!$A$1,0,0,COUNTA([2]enemies!$A:$A),MATCH(X$1,[2]enemies!$1:$1,0)-MATCH($I$1,[2]enemies!$1:$1,0)+1),MATCH(X$1,[2]enemies!$1:$1,0)-MATCH($I$1,[2]enemies!$1:$1,0)+1,FALSE)</f>
        <v>2</v>
      </c>
      <c r="Y24" s="43">
        <v>21</v>
      </c>
      <c r="Z24" s="4" t="str">
        <f ca="1">IFERROR(VLOOKUP($Y24,OFFSET([3]characters!$A$1,0,0,COUNTA([3]characters!$A:$A),MATCH(Z$1,[3]characters!$1:$1,0)-MATCH("character_id",[3]characters!$1:$1,0)+1),MATCH(Z$1,[3]characters!$1:$1,0)-MATCH("character_id",[3]characters!$1:$1,0)+1,FALSE),"")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24" s="4">
        <f ca="1">IFERROR(VLOOKUP($Y24,OFFSET([3]characters!$A$1,0,0,COUNTA([3]characters!$A:$A),MATCH(AA$1,[3]characters!$1:$1,0)-MATCH("character_id",[3]characters!$1:$1,0)+1),MATCH(AA$1,[3]characters!$1:$1,0)-MATCH("character_id",[3]characters!$1:$1,0)+1,FALSE),"")</f>
        <v>1</v>
      </c>
      <c r="AB24" s="4" t="str">
        <f ca="1">IFERROR(VLOOKUP($Y24,OFFSET([3]characters!$A$1,0,0,COUNTA([3]characters!$A:$A),MATCH(AB$1,[3]characters!$1:$1,0)-MATCH("character_id",[3]characters!$1:$1,0)+1),MATCH(AB$1,[3]characters!$1:$1,0)-MATCH("character_id",[3]characters!$1:$1,0)+1,FALSE),"")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4" s="7">
        <v>2</v>
      </c>
      <c r="AD24" s="46">
        <f t="shared" ca="1" si="0"/>
        <v>1</v>
      </c>
      <c r="AE24" s="8">
        <v>15</v>
      </c>
      <c r="AF24" s="7">
        <v>0</v>
      </c>
      <c r="AG24" s="7">
        <v>0</v>
      </c>
      <c r="AH24" s="7">
        <v>0</v>
      </c>
      <c r="AI24" s="7">
        <v>0</v>
      </c>
      <c r="AJ24" s="7">
        <v>1</v>
      </c>
    </row>
    <row r="25" spans="1:36" ht="21" customHeight="1" x14ac:dyDescent="0.15">
      <c r="A25" s="20" t="str">
        <f t="shared" ca="1" si="1"/>
        <v>20005_2-3/41&lt;lv42&gt;s1</v>
      </c>
      <c r="B25" s="28">
        <v>20005</v>
      </c>
      <c r="C25" s="27">
        <v>2</v>
      </c>
      <c r="D25" s="2" t="str">
        <f t="shared" ca="1" si="2"/>
        <v>20005_2</v>
      </c>
      <c r="E25" s="4" t="str">
        <f ca="1">VLOOKUP($B25,OFFSET([1]quests!$A$1,0,0,COUNTA([1]quests!$A:$A),MATCH(E$1,[1]quests!$1:$1,0)-MATCH($B$1,[1]quests!$1:$1,0)+1),MATCH(E$1,[1]quests!$1:$1,0)-MATCH($B$1,[1]quests!$1:$1,0)+1,FALSE)</f>
        <v>ザ・キャノン</v>
      </c>
      <c r="F25" s="4" t="str">
        <f ca="1">VLOOKUP($D25,OFFSET([1]stages!$A$1,0,0,COUNTA([1]stages!$A:$A),MATCH(F$1,[1]stages!$2:$2,0)-MATCH($D$1,[1]stages!$2:$2,0)+1),MATCH(F$1,[1]stages!$2:$2,0)-MATCH($D$1,[1]stages!$2:$2,0)+1,FALSE)</f>
        <v>【中級】ザ・キャノン(4タップ)</v>
      </c>
      <c r="G25" s="27">
        <v>3</v>
      </c>
      <c r="H25" s="19" t="str">
        <f t="shared" ca="1" si="3"/>
        <v>20005_2-3</v>
      </c>
      <c r="I25" s="43">
        <v>41</v>
      </c>
      <c r="J25" s="23" t="str">
        <f ca="1">VLOOKUP($I25,OFFSET([2]enemies!$A$1,0,0,COUNTA([2]enemies!$A:$A),MATCH(J$1,[2]enemies!$1:$1,0)-MATCH($I$1,[2]enemies!$1:$1,0)+1),MATCH(J$1,[2]enemies!$1:$1,0)-MATCH($I$1,[2]enemies!$1:$1,0)+1,FALSE)</f>
        <v>ヒュウガ</v>
      </c>
      <c r="K25" s="23" t="str">
        <f ca="1">VLOOKUP($I25,OFFSET([2]enemies!$A$1,0,0,COUNTA([2]enemies!$A:$A),MATCH(K$1,[2]enemies!$1:$1,0)-MATCH($I$1,[2]enemies!$1:$1,0)+1),MATCH(K$1,[2]enemies!$1:$1,0)-MATCH($I$1,[2]enemies!$1:$1,0)+1,FALSE)</f>
        <v>red</v>
      </c>
      <c r="L25" s="24" t="str">
        <f ca="1">VLOOKUP(I25,[3]characters!$A:$J,10,FALSE)</f>
        <v>Drop1N</v>
      </c>
      <c r="M25" s="23" t="str">
        <f ca="1">VLOOKUP($I25,OFFSET([2]enemies!$A$1,0,0,COUNTA([2]enemies!$A:$A),MATCH(M$1,[2]enemies!$1:$1,0)-MATCH($I$1,[2]enemies!$1:$1,0)+1),MATCH(M$1,[2]enemies!$1:$1,0)-MATCH($I$1,[2]enemies!$1:$1,0)+1,FALSE)</f>
        <v>dragon</v>
      </c>
      <c r="N25" s="23">
        <f ca="1">VLOOKUP($I25,OFFSET([2]enemies!$A$1,0,0,COUNTA([2]enemies!$A:$A),MATCH(N$1,[2]enemies!$1:$1,0)-MATCH($I$1,[2]enemies!$1:$1,0)+1),MATCH(N$1,[2]enemies!$1:$1,0)-MATCH($I$1,[2]enemies!$1:$1,0)+1,FALSE)</f>
        <v>15</v>
      </c>
      <c r="O25" s="5">
        <v>42</v>
      </c>
      <c r="P25" s="30">
        <v>1</v>
      </c>
      <c r="Q25" s="30">
        <v>1</v>
      </c>
      <c r="R25" s="5">
        <v>0</v>
      </c>
      <c r="S25" s="4" t="str">
        <f ca="1">VLOOKUP($T25,OFFSET([4]enemy_skill_sets!$B$1,0,0,COUNTA([4]enemy_skill_sets!$B:$B),MATCH(J$1,[4]enemy_skill_sets!$1:$1,0)-MATCH($T$1,[4]enemy_skill_sets!$1:$1,0)+2),MATCH(J$1,[4]enemy_skill_sets!$1:$1,0)-MATCH($T$1,[4]enemy_skill_sets!$1:$1,0)+2,FALSE)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" s="23">
        <f ca="1">VLOOKUP($I25,OFFSET([2]enemies!$A$1,0,0,COUNTA([2]enemies!$A:$A),MATCH(T$1,[2]enemies!$1:$1,0)-MATCH($I$1,[2]enemies!$1:$1,0)+1),MATCH(T$1,[2]enemies!$1:$1,0)-MATCH($I$1,[2]enemies!$1:$1,0)+1,FALSE)</f>
        <v>0</v>
      </c>
      <c r="U25" s="6">
        <v>0</v>
      </c>
      <c r="V25" s="6">
        <v>50</v>
      </c>
      <c r="W25" s="6">
        <v>0</v>
      </c>
      <c r="X25" s="23">
        <f ca="1">VLOOKUP($I25,OFFSET([2]enemies!$A$1,0,0,COUNTA([2]enemies!$A:$A),MATCH(X$1,[2]enemies!$1:$1,0)-MATCH($I$1,[2]enemies!$1:$1,0)+1),MATCH(X$1,[2]enemies!$1:$1,0)-MATCH($I$1,[2]enemies!$1:$1,0)+1,FALSE)</f>
        <v>1</v>
      </c>
      <c r="Y25" s="43">
        <v>41</v>
      </c>
      <c r="Z25" s="4" t="str">
        <f ca="1">IFERROR(VLOOKUP($Y25,OFFSET([3]characters!$A$1,0,0,COUNTA([3]characters!$A:$A),MATCH(Z$1,[3]characters!$1:$1,0)-MATCH("character_id",[3]characters!$1:$1,0)+1),MATCH(Z$1,[3]characters!$1:$1,0)-MATCH("character_id",[3]characters!$1:$1,0)+1,FALSE),"")</f>
        <v>ヒュウガ</v>
      </c>
      <c r="AA25" s="4">
        <f ca="1">IFERROR(VLOOKUP($Y25,OFFSET([3]characters!$A$1,0,0,COUNTA([3]characters!$A:$A),MATCH(AA$1,[3]characters!$1:$1,0)-MATCH("character_id",[3]characters!$1:$1,0)+1),MATCH(AA$1,[3]characters!$1:$1,0)-MATCH("character_id",[3]characters!$1:$1,0)+1,FALSE),"")</f>
        <v>2</v>
      </c>
      <c r="AB25" s="4" t="str">
        <f ca="1">IFERROR(VLOOKUP($Y25,OFFSET([3]characters!$A$1,0,0,COUNTA([3]characters!$A:$A),MATCH(AB$1,[3]characters!$1:$1,0)-MATCH("character_id",[3]characters!$1:$1,0)+1),MATCH(AB$1,[3]characters!$1:$1,0)-MATCH("character_id",[3]characters!$1:$1,0)+1,FALSE),"")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5" s="7">
        <v>2</v>
      </c>
      <c r="AD25" s="46">
        <f t="shared" ca="1" si="0"/>
        <v>2</v>
      </c>
      <c r="AE25" s="8">
        <v>15</v>
      </c>
      <c r="AF25" s="7">
        <v>0</v>
      </c>
      <c r="AG25" s="7">
        <v>0</v>
      </c>
      <c r="AH25" s="7">
        <v>0</v>
      </c>
      <c r="AI25" s="7">
        <v>0</v>
      </c>
      <c r="AJ25" s="7">
        <v>1</v>
      </c>
    </row>
    <row r="26" spans="1:36" ht="21" customHeight="1" x14ac:dyDescent="0.15">
      <c r="A26" s="20" t="str">
        <f t="shared" ca="1" si="1"/>
        <v>20005_2-3/33&lt;lv42&gt;s2</v>
      </c>
      <c r="B26" s="28">
        <v>20005</v>
      </c>
      <c r="C26" s="27">
        <v>2</v>
      </c>
      <c r="D26" s="2" t="str">
        <f t="shared" ca="1" si="2"/>
        <v>20005_2</v>
      </c>
      <c r="E26" s="4" t="str">
        <f ca="1">VLOOKUP($B26,OFFSET([1]quests!$A$1,0,0,COUNTA([1]quests!$A:$A),MATCH(E$1,[1]quests!$1:$1,0)-MATCH($B$1,[1]quests!$1:$1,0)+1),MATCH(E$1,[1]quests!$1:$1,0)-MATCH($B$1,[1]quests!$1:$1,0)+1,FALSE)</f>
        <v>ザ・キャノン</v>
      </c>
      <c r="F26" s="4" t="str">
        <f ca="1">VLOOKUP($D26,OFFSET([1]stages!$A$1,0,0,COUNTA([1]stages!$A:$A),MATCH(F$1,[1]stages!$2:$2,0)-MATCH($D$1,[1]stages!$2:$2,0)+1),MATCH(F$1,[1]stages!$2:$2,0)-MATCH($D$1,[1]stages!$2:$2,0)+1,FALSE)</f>
        <v>【中級】ザ・キャノン(4タップ)</v>
      </c>
      <c r="G26" s="27">
        <v>3</v>
      </c>
      <c r="H26" s="19" t="str">
        <f t="shared" ca="1" si="3"/>
        <v>20005_2-3</v>
      </c>
      <c r="I26" s="43">
        <v>33</v>
      </c>
      <c r="J26" s="23" t="str">
        <f ca="1">VLOOKUP($I26,OFFSET([2]enemies!$A$1,0,0,COUNTA([2]enemies!$A:$A),MATCH(J$1,[2]enemies!$1:$1,0)-MATCH($I$1,[2]enemies!$1:$1,0)+1),MATCH(J$1,[2]enemies!$1:$1,0)-MATCH($I$1,[2]enemies!$1:$1,0)+1,FALSE)</f>
        <v>ゴクウ</v>
      </c>
      <c r="K26" s="23" t="str">
        <f ca="1">VLOOKUP($I26,OFFSET([2]enemies!$A$1,0,0,COUNTA([2]enemies!$A:$A),MATCH(K$1,[2]enemies!$1:$1,0)-MATCH($I$1,[2]enemies!$1:$1,0)+1),MATCH(K$1,[2]enemies!$1:$1,0)-MATCH($I$1,[2]enemies!$1:$1,0)+1,FALSE)</f>
        <v>red</v>
      </c>
      <c r="L26" s="24" t="str">
        <f ca="1">VLOOKUP(I26,[3]characters!$A:$J,10,FALSE)</f>
        <v>Drop1S</v>
      </c>
      <c r="M26" s="23" t="str">
        <f ca="1">VLOOKUP($I26,OFFSET([2]enemies!$A$1,0,0,COUNTA([2]enemies!$A:$A),MATCH(M$1,[2]enemies!$1:$1,0)-MATCH($I$1,[2]enemies!$1:$1,0)+1),MATCH(M$1,[2]enemies!$1:$1,0)-MATCH($I$1,[2]enemies!$1:$1,0)+1,FALSE)</f>
        <v>animal</v>
      </c>
      <c r="N26" s="23">
        <f ca="1">VLOOKUP($I26,OFFSET([2]enemies!$A$1,0,0,COUNTA([2]enemies!$A:$A),MATCH(N$1,[2]enemies!$1:$1,0)-MATCH($I$1,[2]enemies!$1:$1,0)+1),MATCH(N$1,[2]enemies!$1:$1,0)-MATCH($I$1,[2]enemies!$1:$1,0)+1,FALSE)</f>
        <v>15</v>
      </c>
      <c r="O26" s="5">
        <v>42</v>
      </c>
      <c r="P26" s="30">
        <v>1</v>
      </c>
      <c r="Q26" s="30">
        <v>1</v>
      </c>
      <c r="R26" s="5">
        <v>0</v>
      </c>
      <c r="S26" s="4" t="str">
        <f ca="1">VLOOKUP($T26,OFFSET([4]enemy_skill_sets!$B$1,0,0,COUNTA([4]enemy_skill_sets!$B:$B),MATCH(J$1,[4]enemy_skill_sets!$1:$1,0)-MATCH($T$1,[4]enemy_skill_sets!$1:$1,0)+2),MATCH(J$1,[4]enemy_skill_sets!$1:$1,0)-MATCH($T$1,[4]enemy_skill_sets!$1:$1,0)+2,FALSE)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26" s="23">
        <f ca="1">VLOOKUP($I26,OFFSET([2]enemies!$A$1,0,0,COUNTA([2]enemies!$A:$A),MATCH(T$1,[2]enemies!$1:$1,0)-MATCH($I$1,[2]enemies!$1:$1,0)+1),MATCH(T$1,[2]enemies!$1:$1,0)-MATCH($I$1,[2]enemies!$1:$1,0)+1,FALSE)</f>
        <v>33</v>
      </c>
      <c r="U26" s="6">
        <v>0</v>
      </c>
      <c r="V26" s="6">
        <v>50</v>
      </c>
      <c r="W26" s="6">
        <v>0</v>
      </c>
      <c r="X26" s="23">
        <f ca="1">VLOOKUP($I26,OFFSET([2]enemies!$A$1,0,0,COUNTA([2]enemies!$A:$A),MATCH(X$1,[2]enemies!$1:$1,0)-MATCH($I$1,[2]enemies!$1:$1,0)+1),MATCH(X$1,[2]enemies!$1:$1,0)-MATCH($I$1,[2]enemies!$1:$1,0)+1,FALSE)</f>
        <v>2</v>
      </c>
      <c r="Y26" s="43">
        <v>33</v>
      </c>
      <c r="Z26" s="4" t="str">
        <f ca="1">IFERROR(VLOOKUP($Y26,OFFSET([3]characters!$A$1,0,0,COUNTA([3]characters!$A:$A),MATCH(Z$1,[3]characters!$1:$1,0)-MATCH("character_id",[3]characters!$1:$1,0)+1),MATCH(Z$1,[3]characters!$1:$1,0)-MATCH("character_id",[3]characters!$1:$1,0)+1,FALSE),"")</f>
        <v>ゴクウ</v>
      </c>
      <c r="AA26" s="4">
        <f ca="1">IFERROR(VLOOKUP($Y26,OFFSET([3]characters!$A$1,0,0,COUNTA([3]characters!$A:$A),MATCH(AA$1,[3]characters!$1:$1,0)-MATCH("character_id",[3]characters!$1:$1,0)+1),MATCH(AA$1,[3]characters!$1:$1,0)-MATCH("character_id",[3]characters!$1:$1,0)+1,FALSE),"")</f>
        <v>2</v>
      </c>
      <c r="AB26" s="4" t="str">
        <f ca="1">IFERROR(VLOOKUP($Y26,OFFSET([3]characters!$A$1,0,0,COUNTA([3]characters!$A:$A),MATCH(AB$1,[3]characters!$1:$1,0)-MATCH("character_id",[3]characters!$1:$1,0)+1),MATCH(AB$1,[3]characters!$1:$1,0)-MATCH("character_id",[3]characters!$1:$1,0)+1,FALSE),"")</f>
        <v>Drop1S</v>
      </c>
      <c r="AC26" s="7">
        <v>1</v>
      </c>
      <c r="AD26" s="46">
        <f t="shared" ca="1" si="0"/>
        <v>2</v>
      </c>
      <c r="AE26" s="8">
        <v>15</v>
      </c>
      <c r="AF26" s="7">
        <v>0</v>
      </c>
      <c r="AG26" s="7">
        <v>0</v>
      </c>
      <c r="AH26" s="7">
        <v>0</v>
      </c>
      <c r="AI26" s="7">
        <v>0</v>
      </c>
      <c r="AJ26" s="7">
        <v>1</v>
      </c>
    </row>
    <row r="27" spans="1:36" ht="21" customHeight="1" x14ac:dyDescent="0.15">
      <c r="A27" s="20" t="str">
        <f t="shared" si="1"/>
        <v>20005_2-4/286&lt;lv46&gt;s3</v>
      </c>
      <c r="B27" s="28">
        <v>20005</v>
      </c>
      <c r="C27" s="27">
        <v>2</v>
      </c>
      <c r="D27" s="2" t="str">
        <f t="shared" ca="1" si="2"/>
        <v>20005_2</v>
      </c>
      <c r="E27" s="4" t="str">
        <f ca="1">VLOOKUP($B27,OFFSET([1]quests!$A$1,0,0,COUNTA([1]quests!$A:$A),MATCH(E$1,[1]quests!$1:$1,0)-MATCH($B$1,[1]quests!$1:$1,0)+1),MATCH(E$1,[1]quests!$1:$1,0)-MATCH($B$1,[1]quests!$1:$1,0)+1,FALSE)</f>
        <v>ザ・キャノン</v>
      </c>
      <c r="F27" s="4" t="str">
        <f ca="1">VLOOKUP($D27,OFFSET([1]stages!$A$1,0,0,COUNTA([1]stages!$A:$A),MATCH(F$1,[1]stages!$2:$2,0)-MATCH($D$1,[1]stages!$2:$2,0)+1),MATCH(F$1,[1]stages!$2:$2,0)-MATCH($D$1,[1]stages!$2:$2,0)+1,FALSE)</f>
        <v>【中級】ザ・キャノン(4タップ)</v>
      </c>
      <c r="G27" s="45">
        <v>4</v>
      </c>
      <c r="H27" s="19" t="str">
        <f t="shared" ca="1" si="3"/>
        <v>20005_2-4</v>
      </c>
      <c r="I27" s="26">
        <v>286</v>
      </c>
      <c r="J27" s="23" t="str">
        <f ca="1">VLOOKUP($I27,OFFSET([2]enemies!$A$1,0,0,COUNTA([2]enemies!$A:$A),MATCH(J$1,[2]enemies!$1:$1,0)-MATCH($I$1,[2]enemies!$1:$1,0)+1),MATCH(J$1,[2]enemies!$1:$1,0)-MATCH($I$1,[2]enemies!$1:$1,0)+1,FALSE)</f>
        <v>ヒュドラ</v>
      </c>
      <c r="K27" s="23" t="str">
        <f ca="1">VLOOKUP($I27,OFFSET([2]enemies!$A$1,0,0,COUNTA([2]enemies!$A:$A),MATCH(K$1,[2]enemies!$1:$1,0)-MATCH($I$1,[2]enemies!$1:$1,0)+1),MATCH(K$1,[2]enemies!$1:$1,0)-MATCH($I$1,[2]enemies!$1:$1,0)+1,FALSE)</f>
        <v>red</v>
      </c>
      <c r="L27" s="24" t="str">
        <f ca="1">VLOOKUP(I27,[3]characters!$A:$J,10,FALSE)</f>
        <v>Drop2W</v>
      </c>
      <c r="M27" s="23" t="str">
        <f ca="1">VLOOKUP($I27,OFFSET([2]enemies!$A$1,0,0,COUNTA([2]enemies!$A:$A),MATCH(M$1,[2]enemies!$1:$1,0)-MATCH($I$1,[2]enemies!$1:$1,0)+1),MATCH(M$1,[2]enemies!$1:$1,0)-MATCH($I$1,[2]enemies!$1:$1,0)+1,FALSE)</f>
        <v>dragon</v>
      </c>
      <c r="N27" s="23">
        <f ca="1">VLOOKUP($I27,OFFSET([2]enemies!$A$1,0,0,COUNTA([2]enemies!$A:$A),MATCH(N$1,[2]enemies!$1:$1,0)-MATCH($I$1,[2]enemies!$1:$1,0)+1),MATCH(N$1,[2]enemies!$1:$1,0)-MATCH($I$1,[2]enemies!$1:$1,0)+1,FALSE)</f>
        <v>20</v>
      </c>
      <c r="O27" s="5">
        <v>46</v>
      </c>
      <c r="P27" s="30">
        <v>3.1</v>
      </c>
      <c r="Q27" s="30">
        <v>3</v>
      </c>
      <c r="R27" s="5">
        <v>0</v>
      </c>
      <c r="S27" s="4" t="str">
        <f ca="1">VLOOKUP($T27,OFFSET([4]enemy_skill_sets!$B$1,0,0,COUNTA([4]enemy_skill_sets!$B:$B),MATCH(J$1,[4]enemy_skill_sets!$1:$1,0)-MATCH($T$1,[4]enemy_skill_sets!$1:$1,0)+2),MATCH(J$1,[4]enemy_skill_sets!$1:$1,0)-MATCH($T$1,[4]enemy_skill_sets!$1:$1,0)+2,FALSE)</f>
        <v>発射準備開始</v>
      </c>
      <c r="T27" s="23">
        <f ca="1">VLOOKUP($I27,OFFSET([2]enemies!$A$1,0,0,COUNTA([2]enemies!$A:$A),MATCH(T$1,[2]enemies!$1:$1,0)-MATCH($I$1,[2]enemies!$1:$1,0)+1),MATCH(T$1,[2]enemies!$1:$1,0)-MATCH($I$1,[2]enemies!$1:$1,0)+1,FALSE)</f>
        <v>286</v>
      </c>
      <c r="U27" s="6">
        <v>1</v>
      </c>
      <c r="V27" s="6">
        <v>100</v>
      </c>
      <c r="W27" s="6">
        <v>1</v>
      </c>
      <c r="X27" s="44">
        <v>3</v>
      </c>
      <c r="Y27" s="26">
        <v>286</v>
      </c>
      <c r="Z27" s="4" t="str">
        <f ca="1">IFERROR(VLOOKUP($Y27,OFFSET([3]characters!$A$1,0,0,COUNTA([3]characters!$A:$A),MATCH(Z$1,[3]characters!$1:$1,0)-MATCH("character_id",[3]characters!$1:$1,0)+1),MATCH(Z$1,[3]characters!$1:$1,0)-MATCH("character_id",[3]characters!$1:$1,0)+1,FALSE),"")</f>
        <v>ヒュドラ</v>
      </c>
      <c r="AA27" s="4">
        <f ca="1">IFERROR(VLOOKUP($Y27,OFFSET([3]characters!$A$1,0,0,COUNTA([3]characters!$A:$A),MATCH(AA$1,[3]characters!$1:$1,0)-MATCH("character_id",[3]characters!$1:$1,0)+1),MATCH(AA$1,[3]characters!$1:$1,0)-MATCH("character_id",[3]characters!$1:$1,0)+1,FALSE),"")</f>
        <v>3</v>
      </c>
      <c r="AB27" s="4" t="str">
        <f ca="1">IFERROR(VLOOKUP($Y27,OFFSET([3]characters!$A$1,0,0,COUNTA([3]characters!$A:$A),MATCH(AB$1,[3]characters!$1:$1,0)-MATCH("character_id",[3]characters!$1:$1,0)+1),MATCH(AB$1,[3]characters!$1:$1,0)-MATCH("character_id",[3]characters!$1:$1,0)+1,FALSE),"")</f>
        <v>Drop2W</v>
      </c>
      <c r="AC27" s="7">
        <v>1</v>
      </c>
      <c r="AD27" s="46">
        <f t="shared" ca="1" si="0"/>
        <v>3</v>
      </c>
      <c r="AE27" s="8">
        <v>50</v>
      </c>
      <c r="AF27" s="7">
        <v>0</v>
      </c>
      <c r="AG27" s="7">
        <v>0</v>
      </c>
      <c r="AH27" s="7">
        <v>0</v>
      </c>
      <c r="AI27" s="7">
        <v>0</v>
      </c>
      <c r="AJ27" s="7">
        <v>1</v>
      </c>
    </row>
    <row r="28" spans="1:36" ht="21" customHeight="1" x14ac:dyDescent="0.15">
      <c r="A28" s="20" t="str">
        <f t="shared" si="1"/>
        <v>20005_3-1/21&lt;lv55&gt;ss</v>
      </c>
      <c r="B28" s="28">
        <v>20005</v>
      </c>
      <c r="C28" s="27">
        <v>3</v>
      </c>
      <c r="D28" s="2" t="str">
        <f t="shared" ca="1" si="2"/>
        <v>20005_3</v>
      </c>
      <c r="E28" s="4" t="str">
        <f ca="1">VLOOKUP($B28,OFFSET([1]quests!$A$1,0,0,COUNTA([1]quests!$A:$A),MATCH(E$1,[1]quests!$1:$1,0)-MATCH($B$1,[1]quests!$1:$1,0)+1),MATCH(E$1,[1]quests!$1:$1,0)-MATCH($B$1,[1]quests!$1:$1,0)+1,FALSE)</f>
        <v>ザ・キャノン</v>
      </c>
      <c r="F28" s="4" t="str">
        <f ca="1">VLOOKUP($D28,OFFSET([1]stages!$A$1,0,0,COUNTA([1]stages!$A:$A),MATCH(F$1,[1]stages!$2:$2,0)-MATCH($D$1,[1]stages!$2:$2,0)+1),MATCH(F$1,[1]stages!$2:$2,0)-MATCH($D$1,[1]stages!$2:$2,0)+1,FALSE)</f>
        <v>【上級】ザ・キャノン(4タップ)</v>
      </c>
      <c r="G28" s="27">
        <v>1</v>
      </c>
      <c r="H28" s="19" t="str">
        <f t="shared" ca="1" si="3"/>
        <v>20005_3-1</v>
      </c>
      <c r="I28" s="41">
        <v>21</v>
      </c>
      <c r="J28" s="23" t="str">
        <f ca="1">VLOOKUP($I28,OFFSET([2]enemies!$A$1,0,0,COUNTA([2]enemies!$A:$A),MATCH(J$1,[2]enemies!$1:$1,0)-MATCH($I$1,[2]enemies!$1:$1,0)+1),MATCH(J$1,[2]enemies!$1:$1,0)-MATCH($I$1,[2]enemies!$1:$1,0)+1,FALSE)</f>
        <v>ヴェロキー</v>
      </c>
      <c r="K28" s="23" t="str">
        <f ca="1">VLOOKUP($I28,OFFSET([2]enemies!$A$1,0,0,COUNTA([2]enemies!$A:$A),MATCH(K$1,[2]enemies!$1:$1,0)-MATCH($I$1,[2]enemies!$1:$1,0)+1),MATCH(K$1,[2]enemies!$1:$1,0)-MATCH($I$1,[2]enemies!$1:$1,0)+1,FALSE)</f>
        <v>red</v>
      </c>
      <c r="L28" s="24" t="str">
        <f ca="1">VLOOKUP(I28,[3]characters!$A:$J,10,FALSE)</f>
        <v>Drop1N</v>
      </c>
      <c r="M28" s="23" t="str">
        <f ca="1">VLOOKUP($I28,OFFSET([2]enemies!$A$1,0,0,COUNTA([2]enemies!$A:$A),MATCH(M$1,[2]enemies!$1:$1,0)-MATCH($I$1,[2]enemies!$1:$1,0)+1),MATCH(M$1,[2]enemies!$1:$1,0)-MATCH($I$1,[2]enemies!$1:$1,0)+1,FALSE)</f>
        <v>dragon</v>
      </c>
      <c r="N28" s="23">
        <f ca="1">VLOOKUP($I28,OFFSET([2]enemies!$A$1,0,0,COUNTA([2]enemies!$A:$A),MATCH(N$1,[2]enemies!$1:$1,0)-MATCH($I$1,[2]enemies!$1:$1,0)+1),MATCH(N$1,[2]enemies!$1:$1,0)-MATCH($I$1,[2]enemies!$1:$1,0)+1,FALSE)</f>
        <v>15</v>
      </c>
      <c r="O28" s="5">
        <v>55</v>
      </c>
      <c r="P28" s="30">
        <v>1.33</v>
      </c>
      <c r="Q28" s="30">
        <v>1</v>
      </c>
      <c r="R28" s="5">
        <v>0</v>
      </c>
      <c r="S28" s="4" t="str">
        <f ca="1">VLOOKUP($T28,OFFSET([4]enemy_skill_sets!$B$1,0,0,COUNTA([4]enemy_skill_sets!$B:$B),MATCH(J$1,[4]enemy_skill_sets!$1:$1,0)-MATCH($T$1,[4]enemy_skill_sets!$1:$1,0)+2),MATCH(J$1,[4]enemy_skill_sets!$1:$1,0)-MATCH($T$1,[4]enemy_skill_sets!$1:$1,0)+2,FALSE)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" s="23">
        <f ca="1">VLOOKUP($I28,OFFSET([2]enemies!$A$1,0,0,COUNTA([2]enemies!$A:$A),MATCH(T$1,[2]enemies!$1:$1,0)-MATCH($I$1,[2]enemies!$1:$1,0)+1),MATCH(T$1,[2]enemies!$1:$1,0)-MATCH($I$1,[2]enemies!$1:$1,0)+1,FALSE)</f>
        <v>0</v>
      </c>
      <c r="U28" s="6">
        <v>0</v>
      </c>
      <c r="V28" s="6">
        <v>100</v>
      </c>
      <c r="W28" s="6">
        <v>0</v>
      </c>
      <c r="X28" s="23" t="s">
        <v>55</v>
      </c>
      <c r="Y28" s="41">
        <v>21</v>
      </c>
      <c r="Z28" s="4" t="str">
        <f ca="1">IFERROR(VLOOKUP($Y28,OFFSET([3]characters!$A$1,0,0,COUNTA([3]characters!$A:$A),MATCH(Z$1,[3]characters!$1:$1,0)-MATCH("character_id",[3]characters!$1:$1,0)+1),MATCH(Z$1,[3]characters!$1:$1,0)-MATCH("character_id",[3]characters!$1:$1,0)+1,FALSE),"")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28" s="4">
        <f ca="1">IFERROR(VLOOKUP($Y28,OFFSET([3]characters!$A$1,0,0,COUNTA([3]characters!$A:$A),MATCH(AA$1,[3]characters!$1:$1,0)-MATCH("character_id",[3]characters!$1:$1,0)+1),MATCH(AA$1,[3]characters!$1:$1,0)-MATCH("character_id",[3]characters!$1:$1,0)+1,FALSE),"")</f>
        <v>1</v>
      </c>
      <c r="AB28" s="4" t="str">
        <f ca="1">IFERROR(VLOOKUP($Y28,OFFSET([3]characters!$A$1,0,0,COUNTA([3]characters!$A:$A),MATCH(AB$1,[3]characters!$1:$1,0)-MATCH("character_id",[3]characters!$1:$1,0)+1),MATCH(AB$1,[3]characters!$1:$1,0)-MATCH("character_id",[3]characters!$1:$1,0)+1,FALSE),"")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8" s="7">
        <v>5</v>
      </c>
      <c r="AD28" s="46">
        <f t="shared" ca="1" si="0"/>
        <v>1</v>
      </c>
      <c r="AE28" s="8">
        <v>15</v>
      </c>
      <c r="AF28" s="7">
        <v>0</v>
      </c>
      <c r="AG28" s="7">
        <v>0</v>
      </c>
      <c r="AH28" s="7">
        <v>0</v>
      </c>
      <c r="AI28" s="7">
        <v>0</v>
      </c>
      <c r="AJ28" s="7">
        <v>1</v>
      </c>
    </row>
    <row r="29" spans="1:36" ht="21" customHeight="1" x14ac:dyDescent="0.15">
      <c r="A29" s="20" t="str">
        <f t="shared" ca="1" si="1"/>
        <v>20005_3-1/41&lt;lv55&gt;s1</v>
      </c>
      <c r="B29" s="28">
        <v>20005</v>
      </c>
      <c r="C29" s="27">
        <v>3</v>
      </c>
      <c r="D29" s="2" t="str">
        <f t="shared" ca="1" si="2"/>
        <v>20005_3</v>
      </c>
      <c r="E29" s="4" t="str">
        <f ca="1">VLOOKUP($B29,OFFSET([1]quests!$A$1,0,0,COUNTA([1]quests!$A:$A),MATCH(E$1,[1]quests!$1:$1,0)-MATCH($B$1,[1]quests!$1:$1,0)+1),MATCH(E$1,[1]quests!$1:$1,0)-MATCH($B$1,[1]quests!$1:$1,0)+1,FALSE)</f>
        <v>ザ・キャノン</v>
      </c>
      <c r="F29" s="4" t="str">
        <f ca="1">VLOOKUP($D29,OFFSET([1]stages!$A$1,0,0,COUNTA([1]stages!$A:$A),MATCH(F$1,[1]stages!$2:$2,0)-MATCH($D$1,[1]stages!$2:$2,0)+1),MATCH(F$1,[1]stages!$2:$2,0)-MATCH($D$1,[1]stages!$2:$2,0)+1,FALSE)</f>
        <v>【上級】ザ・キャノン(4タップ)</v>
      </c>
      <c r="G29" s="27">
        <v>1</v>
      </c>
      <c r="H29" s="19" t="str">
        <f t="shared" ca="1" si="3"/>
        <v>20005_3-1</v>
      </c>
      <c r="I29" s="41">
        <v>41</v>
      </c>
      <c r="J29" s="23" t="str">
        <f ca="1">VLOOKUP($I29,OFFSET([2]enemies!$A$1,0,0,COUNTA([2]enemies!$A:$A),MATCH(J$1,[2]enemies!$1:$1,0)-MATCH($I$1,[2]enemies!$1:$1,0)+1),MATCH(J$1,[2]enemies!$1:$1,0)-MATCH($I$1,[2]enemies!$1:$1,0)+1,FALSE)</f>
        <v>ヒュウガ</v>
      </c>
      <c r="K29" s="23" t="str">
        <f ca="1">VLOOKUP($I29,OFFSET([2]enemies!$A$1,0,0,COUNTA([2]enemies!$A:$A),MATCH(K$1,[2]enemies!$1:$1,0)-MATCH($I$1,[2]enemies!$1:$1,0)+1),MATCH(K$1,[2]enemies!$1:$1,0)-MATCH($I$1,[2]enemies!$1:$1,0)+1,FALSE)</f>
        <v>red</v>
      </c>
      <c r="L29" s="24" t="str">
        <f ca="1">VLOOKUP(I29,[3]characters!$A:$J,10,FALSE)</f>
        <v>Drop1N</v>
      </c>
      <c r="M29" s="23" t="str">
        <f ca="1">VLOOKUP($I29,OFFSET([2]enemies!$A$1,0,0,COUNTA([2]enemies!$A:$A),MATCH(M$1,[2]enemies!$1:$1,0)-MATCH($I$1,[2]enemies!$1:$1,0)+1),MATCH(M$1,[2]enemies!$1:$1,0)-MATCH($I$1,[2]enemies!$1:$1,0)+1,FALSE)</f>
        <v>dragon</v>
      </c>
      <c r="N29" s="23">
        <f ca="1">VLOOKUP($I29,OFFSET([2]enemies!$A$1,0,0,COUNTA([2]enemies!$A:$A),MATCH(N$1,[2]enemies!$1:$1,0)-MATCH($I$1,[2]enemies!$1:$1,0)+1),MATCH(N$1,[2]enemies!$1:$1,0)-MATCH($I$1,[2]enemies!$1:$1,0)+1,FALSE)</f>
        <v>15</v>
      </c>
      <c r="O29" s="5">
        <v>55</v>
      </c>
      <c r="P29" s="30">
        <v>1.33</v>
      </c>
      <c r="Q29" s="30">
        <v>1</v>
      </c>
      <c r="R29" s="5">
        <v>0</v>
      </c>
      <c r="S29" s="4" t="str">
        <f ca="1">VLOOKUP($T29,OFFSET([4]enemy_skill_sets!$B$1,0,0,COUNTA([4]enemy_skill_sets!$B:$B),MATCH(J$1,[4]enemy_skill_sets!$1:$1,0)-MATCH($T$1,[4]enemy_skill_sets!$1:$1,0)+2),MATCH(J$1,[4]enemy_skill_sets!$1:$1,0)-MATCH($T$1,[4]enemy_skill_sets!$1:$1,0)+2,FALSE)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9" s="23">
        <f ca="1">VLOOKUP($I29,OFFSET([2]enemies!$A$1,0,0,COUNTA([2]enemies!$A:$A),MATCH(T$1,[2]enemies!$1:$1,0)-MATCH($I$1,[2]enemies!$1:$1,0)+1),MATCH(T$1,[2]enemies!$1:$1,0)-MATCH($I$1,[2]enemies!$1:$1,0)+1,FALSE)</f>
        <v>0</v>
      </c>
      <c r="U29" s="6">
        <v>0</v>
      </c>
      <c r="V29" s="6">
        <v>100</v>
      </c>
      <c r="W29" s="6">
        <v>0</v>
      </c>
      <c r="X29" s="23">
        <f ca="1">VLOOKUP($I29,OFFSET([2]enemies!$A$1,0,0,COUNTA([2]enemies!$A:$A),MATCH(X$1,[2]enemies!$1:$1,0)-MATCH($I$1,[2]enemies!$1:$1,0)+1),MATCH(X$1,[2]enemies!$1:$1,0)-MATCH($I$1,[2]enemies!$1:$1,0)+1,FALSE)</f>
        <v>1</v>
      </c>
      <c r="Y29" s="41">
        <v>41</v>
      </c>
      <c r="Z29" s="4" t="str">
        <f ca="1">IFERROR(VLOOKUP($Y29,OFFSET([3]characters!$A$1,0,0,COUNTA([3]characters!$A:$A),MATCH(Z$1,[3]characters!$1:$1,0)-MATCH("character_id",[3]characters!$1:$1,0)+1),MATCH(Z$1,[3]characters!$1:$1,0)-MATCH("character_id",[3]characters!$1:$1,0)+1,FALSE),"")</f>
        <v>ヒュウガ</v>
      </c>
      <c r="AA29" s="4">
        <f ca="1">IFERROR(VLOOKUP($Y29,OFFSET([3]characters!$A$1,0,0,COUNTA([3]characters!$A:$A),MATCH(AA$1,[3]characters!$1:$1,0)-MATCH("character_id",[3]characters!$1:$1,0)+1),MATCH(AA$1,[3]characters!$1:$1,0)-MATCH("character_id",[3]characters!$1:$1,0)+1,FALSE),"")</f>
        <v>2</v>
      </c>
      <c r="AB29" s="4" t="str">
        <f ca="1">IFERROR(VLOOKUP($Y29,OFFSET([3]characters!$A$1,0,0,COUNTA([3]characters!$A:$A),MATCH(AB$1,[3]characters!$1:$1,0)-MATCH("character_id",[3]characters!$1:$1,0)+1),MATCH(AB$1,[3]characters!$1:$1,0)-MATCH("character_id",[3]characters!$1:$1,0)+1,FALSE),"")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9" s="7">
        <v>5</v>
      </c>
      <c r="AD29" s="46">
        <f t="shared" ca="1" si="0"/>
        <v>2</v>
      </c>
      <c r="AE29" s="8">
        <v>15</v>
      </c>
      <c r="AF29" s="7">
        <v>0</v>
      </c>
      <c r="AG29" s="7">
        <v>0</v>
      </c>
      <c r="AH29" s="7">
        <v>0</v>
      </c>
      <c r="AI29" s="7">
        <v>0</v>
      </c>
      <c r="AJ29" s="7">
        <v>1</v>
      </c>
    </row>
    <row r="30" spans="1:36" ht="21" customHeight="1" x14ac:dyDescent="0.15">
      <c r="A30" s="20" t="str">
        <f t="shared" ca="1" si="1"/>
        <v>20005_3-1/57&lt;lv55&gt;s2</v>
      </c>
      <c r="B30" s="28">
        <v>20005</v>
      </c>
      <c r="C30" s="27">
        <v>3</v>
      </c>
      <c r="D30" s="2" t="str">
        <f t="shared" ca="1" si="2"/>
        <v>20005_3</v>
      </c>
      <c r="E30" s="4" t="str">
        <f ca="1">VLOOKUP($B30,OFFSET([1]quests!$A$1,0,0,COUNTA([1]quests!$A:$A),MATCH(E$1,[1]quests!$1:$1,0)-MATCH($B$1,[1]quests!$1:$1,0)+1),MATCH(E$1,[1]quests!$1:$1,0)-MATCH($B$1,[1]quests!$1:$1,0)+1,FALSE)</f>
        <v>ザ・キャノン</v>
      </c>
      <c r="F30" s="4" t="str">
        <f ca="1">VLOOKUP($D30,OFFSET([1]stages!$A$1,0,0,COUNTA([1]stages!$A:$A),MATCH(F$1,[1]stages!$2:$2,0)-MATCH($D$1,[1]stages!$2:$2,0)+1),MATCH(F$1,[1]stages!$2:$2,0)-MATCH($D$1,[1]stages!$2:$2,0)+1,FALSE)</f>
        <v>【上級】ザ・キャノン(4タップ)</v>
      </c>
      <c r="G30" s="27">
        <v>1</v>
      </c>
      <c r="H30" s="19" t="str">
        <f t="shared" ca="1" si="3"/>
        <v>20005_3-1</v>
      </c>
      <c r="I30" s="41">
        <v>57</v>
      </c>
      <c r="J30" s="23" t="str">
        <f ca="1">VLOOKUP($I30,OFFSET([2]enemies!$A$1,0,0,COUNTA([2]enemies!$A:$A),MATCH(J$1,[2]enemies!$1:$1,0)-MATCH($I$1,[2]enemies!$1:$1,0)+1),MATCH(J$1,[2]enemies!$1:$1,0)-MATCH($I$1,[2]enemies!$1:$1,0)+1,FALSE)</f>
        <v>チェン・リー</v>
      </c>
      <c r="K30" s="23" t="str">
        <f ca="1">VLOOKUP($I30,OFFSET([2]enemies!$A$1,0,0,COUNTA([2]enemies!$A:$A),MATCH(K$1,[2]enemies!$1:$1,0)-MATCH($I$1,[2]enemies!$1:$1,0)+1),MATCH(K$1,[2]enemies!$1:$1,0)-MATCH($I$1,[2]enemies!$1:$1,0)+1,FALSE)</f>
        <v>red</v>
      </c>
      <c r="L30" s="24" t="str">
        <f ca="1">VLOOKUP(I30,[3]characters!$A:$J,10,FALSE)</f>
        <v>Drop1N</v>
      </c>
      <c r="M30" s="23" t="str">
        <f ca="1">VLOOKUP($I30,OFFSET([2]enemies!$A$1,0,0,COUNTA([2]enemies!$A:$A),MATCH(M$1,[2]enemies!$1:$1,0)-MATCH($I$1,[2]enemies!$1:$1,0)+1),MATCH(M$1,[2]enemies!$1:$1,0)-MATCH($I$1,[2]enemies!$1:$1,0)+1,FALSE)</f>
        <v>animal</v>
      </c>
      <c r="N30" s="23">
        <f ca="1">VLOOKUP($I30,OFFSET([2]enemies!$A$1,0,0,COUNTA([2]enemies!$A:$A),MATCH(N$1,[2]enemies!$1:$1,0)-MATCH($I$1,[2]enemies!$1:$1,0)+1),MATCH(N$1,[2]enemies!$1:$1,0)-MATCH($I$1,[2]enemies!$1:$1,0)+1,FALSE)</f>
        <v>15</v>
      </c>
      <c r="O30" s="5">
        <v>55</v>
      </c>
      <c r="P30" s="30">
        <v>1.33</v>
      </c>
      <c r="Q30" s="30">
        <v>1</v>
      </c>
      <c r="R30" s="5">
        <v>0</v>
      </c>
      <c r="S30" s="4" t="str">
        <f ca="1">VLOOKUP($T30,OFFSET([4]enemy_skill_sets!$B$1,0,0,COUNTA([4]enemy_skill_sets!$B:$B),MATCH(J$1,[4]enemy_skill_sets!$1:$1,0)-MATCH($T$1,[4]enemy_skill_sets!$1:$1,0)+2),MATCH(J$1,[4]enemy_skill_sets!$1:$1,0)-MATCH($T$1,[4]enemy_skill_sets!$1:$1,0)+2,FALSE)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30" s="23">
        <f ca="1">VLOOKUP($I30,OFFSET([2]enemies!$A$1,0,0,COUNTA([2]enemies!$A:$A),MATCH(T$1,[2]enemies!$1:$1,0)-MATCH($I$1,[2]enemies!$1:$1,0)+1),MATCH(T$1,[2]enemies!$1:$1,0)-MATCH($I$1,[2]enemies!$1:$1,0)+1,FALSE)</f>
        <v>57</v>
      </c>
      <c r="U30" s="6">
        <v>0</v>
      </c>
      <c r="V30" s="6">
        <v>55</v>
      </c>
      <c r="W30" s="6">
        <v>0</v>
      </c>
      <c r="X30" s="23">
        <f ca="1">VLOOKUP($I30,OFFSET([2]enemies!$A$1,0,0,COUNTA([2]enemies!$A:$A),MATCH(X$1,[2]enemies!$1:$1,0)-MATCH($I$1,[2]enemies!$1:$1,0)+1),MATCH(X$1,[2]enemies!$1:$1,0)-MATCH($I$1,[2]enemies!$1:$1,0)+1,FALSE)</f>
        <v>2</v>
      </c>
      <c r="Y30" s="41">
        <v>57</v>
      </c>
      <c r="Z30" s="4" t="str">
        <f ca="1">IFERROR(VLOOKUP($Y30,OFFSET([3]characters!$A$1,0,0,COUNTA([3]characters!$A:$A),MATCH(Z$1,[3]characters!$1:$1,0)-MATCH("character_id",[3]characters!$1:$1,0)+1),MATCH(Z$1,[3]characters!$1:$1,0)-MATCH("character_id",[3]characters!$1:$1,0)+1,FALSE),"")</f>
        <v>チェン・リー</v>
      </c>
      <c r="AA30" s="4">
        <f ca="1">IFERROR(VLOOKUP($Y30,OFFSET([3]characters!$A$1,0,0,COUNTA([3]characters!$A:$A),MATCH(AA$1,[3]characters!$1:$1,0)-MATCH("character_id",[3]characters!$1:$1,0)+1),MATCH(AA$1,[3]characters!$1:$1,0)-MATCH("character_id",[3]characters!$1:$1,0)+1,FALSE),"")</f>
        <v>2</v>
      </c>
      <c r="AB30" s="4" t="str">
        <f ca="1">IFERROR(VLOOKUP($Y30,OFFSET([3]characters!$A$1,0,0,COUNTA([3]characters!$A:$A),MATCH(AB$1,[3]characters!$1:$1,0)-MATCH("character_id",[3]characters!$1:$1,0)+1),MATCH(AB$1,[3]characters!$1:$1,0)-MATCH("character_id",[3]characters!$1:$1,0)+1,FALSE),"")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0" s="7">
        <v>5</v>
      </c>
      <c r="AD30" s="46">
        <f t="shared" ca="1" si="0"/>
        <v>2</v>
      </c>
      <c r="AE30" s="8">
        <v>15</v>
      </c>
      <c r="AF30" s="7">
        <v>0</v>
      </c>
      <c r="AG30" s="7">
        <v>0</v>
      </c>
      <c r="AH30" s="7">
        <v>0</v>
      </c>
      <c r="AI30" s="7">
        <v>0</v>
      </c>
      <c r="AJ30" s="7">
        <v>1</v>
      </c>
    </row>
    <row r="31" spans="1:36" ht="21" customHeight="1" x14ac:dyDescent="0.15">
      <c r="A31" s="20" t="str">
        <f t="shared" ca="1" si="1"/>
        <v>20005_3-2/21&lt;lv58&gt;s2</v>
      </c>
      <c r="B31" s="28">
        <v>20005</v>
      </c>
      <c r="C31" s="27">
        <v>3</v>
      </c>
      <c r="D31" s="2" t="str">
        <f t="shared" ca="1" si="2"/>
        <v>20005_3</v>
      </c>
      <c r="E31" s="4" t="str">
        <f ca="1">VLOOKUP($B31,OFFSET([1]quests!$A$1,0,0,COUNTA([1]quests!$A:$A),MATCH(E$1,[1]quests!$1:$1,0)-MATCH($B$1,[1]quests!$1:$1,0)+1),MATCH(E$1,[1]quests!$1:$1,0)-MATCH($B$1,[1]quests!$1:$1,0)+1,FALSE)</f>
        <v>ザ・キャノン</v>
      </c>
      <c r="F31" s="4" t="str">
        <f ca="1">VLOOKUP($D31,OFFSET([1]stages!$A$1,0,0,COUNTA([1]stages!$A:$A),MATCH(F$1,[1]stages!$2:$2,0)-MATCH($D$1,[1]stages!$2:$2,0)+1),MATCH(F$1,[1]stages!$2:$2,0)-MATCH($D$1,[1]stages!$2:$2,0)+1,FALSE)</f>
        <v>【上級】ザ・キャノン(4タップ)</v>
      </c>
      <c r="G31" s="27">
        <v>2</v>
      </c>
      <c r="H31" s="19" t="str">
        <f t="shared" ca="1" si="3"/>
        <v>20005_3-2</v>
      </c>
      <c r="I31" s="41">
        <v>21</v>
      </c>
      <c r="J31" s="23" t="str">
        <f ca="1">VLOOKUP($I31,OFFSET([2]enemies!$A$1,0,0,COUNTA([2]enemies!$A:$A),MATCH(J$1,[2]enemies!$1:$1,0)-MATCH($I$1,[2]enemies!$1:$1,0)+1),MATCH(J$1,[2]enemies!$1:$1,0)-MATCH($I$1,[2]enemies!$1:$1,0)+1,FALSE)</f>
        <v>ヴェロキー</v>
      </c>
      <c r="K31" s="23" t="str">
        <f ca="1">VLOOKUP($I31,OFFSET([2]enemies!$A$1,0,0,COUNTA([2]enemies!$A:$A),MATCH(K$1,[2]enemies!$1:$1,0)-MATCH($I$1,[2]enemies!$1:$1,0)+1),MATCH(K$1,[2]enemies!$1:$1,0)-MATCH($I$1,[2]enemies!$1:$1,0)+1,FALSE)</f>
        <v>red</v>
      </c>
      <c r="L31" s="24" t="str">
        <f ca="1">VLOOKUP(I31,[3]characters!$A:$J,10,FALSE)</f>
        <v>Drop1N</v>
      </c>
      <c r="M31" s="23" t="str">
        <f ca="1">VLOOKUP($I31,OFFSET([2]enemies!$A$1,0,0,COUNTA([2]enemies!$A:$A),MATCH(M$1,[2]enemies!$1:$1,0)-MATCH($I$1,[2]enemies!$1:$1,0)+1),MATCH(M$1,[2]enemies!$1:$1,0)-MATCH($I$1,[2]enemies!$1:$1,0)+1,FALSE)</f>
        <v>dragon</v>
      </c>
      <c r="N31" s="23">
        <f ca="1">VLOOKUP($I31,OFFSET([2]enemies!$A$1,0,0,COUNTA([2]enemies!$A:$A),MATCH(N$1,[2]enemies!$1:$1,0)-MATCH($I$1,[2]enemies!$1:$1,0)+1),MATCH(N$1,[2]enemies!$1:$1,0)-MATCH($I$1,[2]enemies!$1:$1,0)+1,FALSE)</f>
        <v>15</v>
      </c>
      <c r="O31" s="5">
        <v>58</v>
      </c>
      <c r="P31" s="30">
        <v>1.33</v>
      </c>
      <c r="Q31" s="30">
        <v>1</v>
      </c>
      <c r="R31" s="5">
        <v>0</v>
      </c>
      <c r="S31" s="4" t="str">
        <f ca="1">VLOOKUP($T31,OFFSET([4]enemy_skill_sets!$B$1,0,0,COUNTA([4]enemy_skill_sets!$B:$B),MATCH(J$1,[4]enemy_skill_sets!$1:$1,0)-MATCH($T$1,[4]enemy_skill_sets!$1:$1,0)+2),MATCH(J$1,[4]enemy_skill_sets!$1:$1,0)-MATCH($T$1,[4]enemy_skill_sets!$1:$1,0)+2,FALSE)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1" s="23">
        <f ca="1">VLOOKUP($I31,OFFSET([2]enemies!$A$1,0,0,COUNTA([2]enemies!$A:$A),MATCH(T$1,[2]enemies!$1:$1,0)-MATCH($I$1,[2]enemies!$1:$1,0)+1),MATCH(T$1,[2]enemies!$1:$1,0)-MATCH($I$1,[2]enemies!$1:$1,0)+1,FALSE)</f>
        <v>0</v>
      </c>
      <c r="U31" s="6">
        <v>0</v>
      </c>
      <c r="V31" s="6">
        <v>100</v>
      </c>
      <c r="W31" s="6">
        <v>0</v>
      </c>
      <c r="X31" s="23">
        <f ca="1">VLOOKUP($I31,OFFSET([2]enemies!$A$1,0,0,COUNTA([2]enemies!$A:$A),MATCH(X$1,[2]enemies!$1:$1,0)-MATCH($I$1,[2]enemies!$1:$1,0)+1),MATCH(X$1,[2]enemies!$1:$1,0)-MATCH($I$1,[2]enemies!$1:$1,0)+1,FALSE)</f>
        <v>2</v>
      </c>
      <c r="Y31" s="41">
        <v>21</v>
      </c>
      <c r="Z31" s="4" t="str">
        <f ca="1">IFERROR(VLOOKUP($Y31,OFFSET([3]characters!$A$1,0,0,COUNTA([3]characters!$A:$A),MATCH(Z$1,[3]characters!$1:$1,0)-MATCH("character_id",[3]characters!$1:$1,0)+1),MATCH(Z$1,[3]characters!$1:$1,0)-MATCH("character_id",[3]characters!$1:$1,0)+1,FALSE),"")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31" s="4">
        <f ca="1">IFERROR(VLOOKUP($Y31,OFFSET([3]characters!$A$1,0,0,COUNTA([3]characters!$A:$A),MATCH(AA$1,[3]characters!$1:$1,0)-MATCH("character_id",[3]characters!$1:$1,0)+1),MATCH(AA$1,[3]characters!$1:$1,0)-MATCH("character_id",[3]characters!$1:$1,0)+1,FALSE),"")</f>
        <v>1</v>
      </c>
      <c r="AB31" s="4" t="str">
        <f ca="1">IFERROR(VLOOKUP($Y31,OFFSET([3]characters!$A$1,0,0,COUNTA([3]characters!$A:$A),MATCH(AB$1,[3]characters!$1:$1,0)-MATCH("character_id",[3]characters!$1:$1,0)+1),MATCH(AB$1,[3]characters!$1:$1,0)-MATCH("character_id",[3]characters!$1:$1,0)+1,FALSE),"")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1" s="7">
        <v>5</v>
      </c>
      <c r="AD31" s="46">
        <f t="shared" ca="1" si="0"/>
        <v>1</v>
      </c>
      <c r="AE31" s="8">
        <v>0</v>
      </c>
      <c r="AF31" s="7">
        <v>0</v>
      </c>
      <c r="AG31" s="7">
        <v>0</v>
      </c>
      <c r="AH31" s="7">
        <v>0</v>
      </c>
      <c r="AI31" s="7">
        <v>0</v>
      </c>
      <c r="AJ31" s="7">
        <v>1</v>
      </c>
    </row>
    <row r="32" spans="1:36" ht="21" customHeight="1" x14ac:dyDescent="0.15">
      <c r="A32" s="20" t="str">
        <f t="shared" ca="1" si="1"/>
        <v>20005_3-2/41&lt;lv58&gt;s1</v>
      </c>
      <c r="B32" s="28">
        <v>20005</v>
      </c>
      <c r="C32" s="27">
        <v>3</v>
      </c>
      <c r="D32" s="2" t="str">
        <f t="shared" ca="1" si="2"/>
        <v>20005_3</v>
      </c>
      <c r="E32" s="4" t="str">
        <f ca="1">VLOOKUP($B32,OFFSET([1]quests!$A$1,0,0,COUNTA([1]quests!$A:$A),MATCH(E$1,[1]quests!$1:$1,0)-MATCH($B$1,[1]quests!$1:$1,0)+1),MATCH(E$1,[1]quests!$1:$1,0)-MATCH($B$1,[1]quests!$1:$1,0)+1,FALSE)</f>
        <v>ザ・キャノン</v>
      </c>
      <c r="F32" s="4" t="str">
        <f ca="1">VLOOKUP($D32,OFFSET([1]stages!$A$1,0,0,COUNTA([1]stages!$A:$A),MATCH(F$1,[1]stages!$2:$2,0)-MATCH($D$1,[1]stages!$2:$2,0)+1),MATCH(F$1,[1]stages!$2:$2,0)-MATCH($D$1,[1]stages!$2:$2,0)+1,FALSE)</f>
        <v>【上級】ザ・キャノン(4タップ)</v>
      </c>
      <c r="G32" s="27">
        <v>2</v>
      </c>
      <c r="H32" s="19" t="str">
        <f t="shared" ca="1" si="3"/>
        <v>20005_3-2</v>
      </c>
      <c r="I32" s="41">
        <v>41</v>
      </c>
      <c r="J32" s="23" t="str">
        <f ca="1">VLOOKUP($I32,OFFSET([2]enemies!$A$1,0,0,COUNTA([2]enemies!$A:$A),MATCH(J$1,[2]enemies!$1:$1,0)-MATCH($I$1,[2]enemies!$1:$1,0)+1),MATCH(J$1,[2]enemies!$1:$1,0)-MATCH($I$1,[2]enemies!$1:$1,0)+1,FALSE)</f>
        <v>ヒュウガ</v>
      </c>
      <c r="K32" s="23" t="str">
        <f ca="1">VLOOKUP($I32,OFFSET([2]enemies!$A$1,0,0,COUNTA([2]enemies!$A:$A),MATCH(K$1,[2]enemies!$1:$1,0)-MATCH($I$1,[2]enemies!$1:$1,0)+1),MATCH(K$1,[2]enemies!$1:$1,0)-MATCH($I$1,[2]enemies!$1:$1,0)+1,FALSE)</f>
        <v>red</v>
      </c>
      <c r="L32" s="24" t="str">
        <f ca="1">VLOOKUP(I32,[3]characters!$A:$J,10,FALSE)</f>
        <v>Drop1N</v>
      </c>
      <c r="M32" s="23" t="str">
        <f ca="1">VLOOKUP($I32,OFFSET([2]enemies!$A$1,0,0,COUNTA([2]enemies!$A:$A),MATCH(M$1,[2]enemies!$1:$1,0)-MATCH($I$1,[2]enemies!$1:$1,0)+1),MATCH(M$1,[2]enemies!$1:$1,0)-MATCH($I$1,[2]enemies!$1:$1,0)+1,FALSE)</f>
        <v>dragon</v>
      </c>
      <c r="N32" s="23">
        <f ca="1">VLOOKUP($I32,OFFSET([2]enemies!$A$1,0,0,COUNTA([2]enemies!$A:$A),MATCH(N$1,[2]enemies!$1:$1,0)-MATCH($I$1,[2]enemies!$1:$1,0)+1),MATCH(N$1,[2]enemies!$1:$1,0)-MATCH($I$1,[2]enemies!$1:$1,0)+1,FALSE)</f>
        <v>15</v>
      </c>
      <c r="O32" s="5">
        <v>58</v>
      </c>
      <c r="P32" s="30">
        <v>1.33</v>
      </c>
      <c r="Q32" s="30">
        <v>1</v>
      </c>
      <c r="R32" s="5">
        <v>0</v>
      </c>
      <c r="S32" s="4" t="str">
        <f ca="1">VLOOKUP($T32,OFFSET([4]enemy_skill_sets!$B$1,0,0,COUNTA([4]enemy_skill_sets!$B:$B),MATCH(J$1,[4]enemy_skill_sets!$1:$1,0)-MATCH($T$1,[4]enemy_skill_sets!$1:$1,0)+2),MATCH(J$1,[4]enemy_skill_sets!$1:$1,0)-MATCH($T$1,[4]enemy_skill_sets!$1:$1,0)+2,FALSE)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" s="23">
        <f ca="1">VLOOKUP($I32,OFFSET([2]enemies!$A$1,0,0,COUNTA([2]enemies!$A:$A),MATCH(T$1,[2]enemies!$1:$1,0)-MATCH($I$1,[2]enemies!$1:$1,0)+1),MATCH(T$1,[2]enemies!$1:$1,0)-MATCH($I$1,[2]enemies!$1:$1,0)+1,FALSE)</f>
        <v>0</v>
      </c>
      <c r="U32" s="6">
        <v>0</v>
      </c>
      <c r="V32" s="6">
        <v>100</v>
      </c>
      <c r="W32" s="6">
        <v>0</v>
      </c>
      <c r="X32" s="23">
        <f ca="1">VLOOKUP($I32,OFFSET([2]enemies!$A$1,0,0,COUNTA([2]enemies!$A:$A),MATCH(X$1,[2]enemies!$1:$1,0)-MATCH($I$1,[2]enemies!$1:$1,0)+1),MATCH(X$1,[2]enemies!$1:$1,0)-MATCH($I$1,[2]enemies!$1:$1,0)+1,FALSE)</f>
        <v>1</v>
      </c>
      <c r="Y32" s="41">
        <v>41</v>
      </c>
      <c r="Z32" s="4" t="str">
        <f ca="1">IFERROR(VLOOKUP($Y32,OFFSET([3]characters!$A$1,0,0,COUNTA([3]characters!$A:$A),MATCH(Z$1,[3]characters!$1:$1,0)-MATCH("character_id",[3]characters!$1:$1,0)+1),MATCH(Z$1,[3]characters!$1:$1,0)-MATCH("character_id",[3]characters!$1:$1,0)+1,FALSE),"")</f>
        <v>ヒュウガ</v>
      </c>
      <c r="AA32" s="4">
        <f ca="1">IFERROR(VLOOKUP($Y32,OFFSET([3]characters!$A$1,0,0,COUNTA([3]characters!$A:$A),MATCH(AA$1,[3]characters!$1:$1,0)-MATCH("character_id",[3]characters!$1:$1,0)+1),MATCH(AA$1,[3]characters!$1:$1,0)-MATCH("character_id",[3]characters!$1:$1,0)+1,FALSE),"")</f>
        <v>2</v>
      </c>
      <c r="AB32" s="4" t="str">
        <f ca="1">IFERROR(VLOOKUP($Y32,OFFSET([3]characters!$A$1,0,0,COUNTA([3]characters!$A:$A),MATCH(AB$1,[3]characters!$1:$1,0)-MATCH("character_id",[3]characters!$1:$1,0)+1),MATCH(AB$1,[3]characters!$1:$1,0)-MATCH("character_id",[3]characters!$1:$1,0)+1,FALSE),"")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2" s="7">
        <v>5</v>
      </c>
      <c r="AD32" s="46">
        <f t="shared" ca="1" si="0"/>
        <v>2</v>
      </c>
      <c r="AE32" s="8">
        <v>0</v>
      </c>
      <c r="AF32" s="7">
        <v>0</v>
      </c>
      <c r="AG32" s="7">
        <v>0</v>
      </c>
      <c r="AH32" s="7">
        <v>0</v>
      </c>
      <c r="AI32" s="7">
        <v>0</v>
      </c>
      <c r="AJ32" s="7">
        <v>1</v>
      </c>
    </row>
    <row r="33" spans="1:36" ht="21" customHeight="1" x14ac:dyDescent="0.15">
      <c r="A33" s="20" t="str">
        <f t="shared" ca="1" si="1"/>
        <v>20005_3-2/65&lt;lv58&gt;s2</v>
      </c>
      <c r="B33" s="28">
        <v>20005</v>
      </c>
      <c r="C33" s="27">
        <v>3</v>
      </c>
      <c r="D33" s="2" t="str">
        <f t="shared" ca="1" si="2"/>
        <v>20005_3</v>
      </c>
      <c r="E33" s="4" t="str">
        <f ca="1">VLOOKUP($B33,OFFSET([1]quests!$A$1,0,0,COUNTA([1]quests!$A:$A),MATCH(E$1,[1]quests!$1:$1,0)-MATCH($B$1,[1]quests!$1:$1,0)+1),MATCH(E$1,[1]quests!$1:$1,0)-MATCH($B$1,[1]quests!$1:$1,0)+1,FALSE)</f>
        <v>ザ・キャノン</v>
      </c>
      <c r="F33" s="4" t="str">
        <f ca="1">VLOOKUP($D33,OFFSET([1]stages!$A$1,0,0,COUNTA([1]stages!$A:$A),MATCH(F$1,[1]stages!$2:$2,0)-MATCH($D$1,[1]stages!$2:$2,0)+1),MATCH(F$1,[1]stages!$2:$2,0)-MATCH($D$1,[1]stages!$2:$2,0)+1,FALSE)</f>
        <v>【上級】ザ・キャノン(4タップ)</v>
      </c>
      <c r="G33" s="27">
        <v>2</v>
      </c>
      <c r="H33" s="19" t="str">
        <f t="shared" ca="1" si="3"/>
        <v>20005_3-2</v>
      </c>
      <c r="I33" s="41">
        <v>65</v>
      </c>
      <c r="J33" s="23" t="str">
        <f ca="1">VLOOKUP($I33,OFFSET([2]enemies!$A$1,0,0,COUNTA([2]enemies!$A:$A),MATCH(J$1,[2]enemies!$1:$1,0)-MATCH($I$1,[2]enemies!$1:$1,0)+1),MATCH(J$1,[2]enemies!$1:$1,0)-MATCH($I$1,[2]enemies!$1:$1,0)+1,FALSE)</f>
        <v>ファイアフォックス</v>
      </c>
      <c r="K33" s="23" t="str">
        <f ca="1">VLOOKUP($I33,OFFSET([2]enemies!$A$1,0,0,COUNTA([2]enemies!$A:$A),MATCH(K$1,[2]enemies!$1:$1,0)-MATCH($I$1,[2]enemies!$1:$1,0)+1),MATCH(K$1,[2]enemies!$1:$1,0)-MATCH($I$1,[2]enemies!$1:$1,0)+1,FALSE)</f>
        <v>red</v>
      </c>
      <c r="L33" s="24" t="str">
        <f ca="1">VLOOKUP(I33,[3]characters!$A:$J,10,FALSE)</f>
        <v>Drop1S</v>
      </c>
      <c r="M33" s="23" t="str">
        <f ca="1">VLOOKUP($I33,OFFSET([2]enemies!$A$1,0,0,COUNTA([2]enemies!$A:$A),MATCH(M$1,[2]enemies!$1:$1,0)-MATCH($I$1,[2]enemies!$1:$1,0)+1),MATCH(M$1,[2]enemies!$1:$1,0)-MATCH($I$1,[2]enemies!$1:$1,0)+1,FALSE)</f>
        <v>animal</v>
      </c>
      <c r="N33" s="23">
        <f ca="1">VLOOKUP($I33,OFFSET([2]enemies!$A$1,0,0,COUNTA([2]enemies!$A:$A),MATCH(N$1,[2]enemies!$1:$1,0)-MATCH($I$1,[2]enemies!$1:$1,0)+1),MATCH(N$1,[2]enemies!$1:$1,0)-MATCH($I$1,[2]enemies!$1:$1,0)+1,FALSE)</f>
        <v>15</v>
      </c>
      <c r="O33" s="5">
        <v>58</v>
      </c>
      <c r="P33" s="30">
        <v>1.33</v>
      </c>
      <c r="Q33" s="30">
        <v>1</v>
      </c>
      <c r="R33" s="5">
        <v>0</v>
      </c>
      <c r="S33" s="4" t="str">
        <f ca="1">VLOOKUP($T33,OFFSET([4]enemy_skill_sets!$B$1,0,0,COUNTA([4]enemy_skill_sets!$B:$B),MATCH(J$1,[4]enemy_skill_sets!$1:$1,0)-MATCH($T$1,[4]enemy_skill_sets!$1:$1,0)+2),MATCH(J$1,[4]enemy_skill_sets!$1:$1,0)-MATCH($T$1,[4]enemy_skill_sets!$1:$1,0)+2,FALSE)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" s="23">
        <f ca="1">VLOOKUP($I33,OFFSET([2]enemies!$A$1,0,0,COUNTA([2]enemies!$A:$A),MATCH(T$1,[2]enemies!$1:$1,0)-MATCH($I$1,[2]enemies!$1:$1,0)+1),MATCH(T$1,[2]enemies!$1:$1,0)-MATCH($I$1,[2]enemies!$1:$1,0)+1,FALSE)</f>
        <v>0</v>
      </c>
      <c r="U33" s="6">
        <v>0</v>
      </c>
      <c r="V33" s="6">
        <v>100</v>
      </c>
      <c r="W33" s="6">
        <v>0</v>
      </c>
      <c r="X33" s="23">
        <f ca="1">VLOOKUP($I33,OFFSET([2]enemies!$A$1,0,0,COUNTA([2]enemies!$A:$A),MATCH(X$1,[2]enemies!$1:$1,0)-MATCH($I$1,[2]enemies!$1:$1,0)+1),MATCH(X$1,[2]enemies!$1:$1,0)-MATCH($I$1,[2]enemies!$1:$1,0)+1,FALSE)</f>
        <v>2</v>
      </c>
      <c r="Y33" s="41">
        <v>65</v>
      </c>
      <c r="Z33" s="4" t="str">
        <f ca="1">IFERROR(VLOOKUP($Y33,OFFSET([3]characters!$A$1,0,0,COUNTA([3]characters!$A:$A),MATCH(Z$1,[3]characters!$1:$1,0)-MATCH("character_id",[3]characters!$1:$1,0)+1),MATCH(Z$1,[3]characters!$1:$1,0)-MATCH("character_id",[3]characters!$1:$1,0)+1,FALSE),"")</f>
        <v>ファイアフォックス</v>
      </c>
      <c r="AA33" s="4">
        <f ca="1">IFERROR(VLOOKUP($Y33,OFFSET([3]characters!$A$1,0,0,COUNTA([3]characters!$A:$A),MATCH(AA$1,[3]characters!$1:$1,0)-MATCH("character_id",[3]characters!$1:$1,0)+1),MATCH(AA$1,[3]characters!$1:$1,0)-MATCH("character_id",[3]characters!$1:$1,0)+1,FALSE),"")</f>
        <v>2</v>
      </c>
      <c r="AB33" s="4" t="str">
        <f ca="1">IFERROR(VLOOKUP($Y33,OFFSET([3]characters!$A$1,0,0,COUNTA([3]characters!$A:$A),MATCH(AB$1,[3]characters!$1:$1,0)-MATCH("character_id",[3]characters!$1:$1,0)+1),MATCH(AB$1,[3]characters!$1:$1,0)-MATCH("character_id",[3]characters!$1:$1,0)+1,FALSE),"")</f>
        <v>Drop1S</v>
      </c>
      <c r="AC33" s="7">
        <v>3</v>
      </c>
      <c r="AD33" s="46">
        <f t="shared" ca="1" si="0"/>
        <v>2</v>
      </c>
      <c r="AE33" s="8">
        <v>0</v>
      </c>
      <c r="AF33" s="7">
        <v>0</v>
      </c>
      <c r="AG33" s="7">
        <v>0</v>
      </c>
      <c r="AH33" s="7">
        <v>0</v>
      </c>
      <c r="AI33" s="7">
        <v>0</v>
      </c>
      <c r="AJ33" s="7">
        <v>1</v>
      </c>
    </row>
    <row r="34" spans="1:36" ht="21" customHeight="1" x14ac:dyDescent="0.15">
      <c r="A34" s="20" t="str">
        <f t="shared" ca="1" si="1"/>
        <v>20005_3-2/57&lt;lv58&gt;s2</v>
      </c>
      <c r="B34" s="28">
        <v>20005</v>
      </c>
      <c r="C34" s="27">
        <v>3</v>
      </c>
      <c r="D34" s="2" t="str">
        <f t="shared" ca="1" si="2"/>
        <v>20005_3</v>
      </c>
      <c r="E34" s="4" t="str">
        <f ca="1">VLOOKUP($B34,OFFSET([1]quests!$A$1,0,0,COUNTA([1]quests!$A:$A),MATCH(E$1,[1]quests!$1:$1,0)-MATCH($B$1,[1]quests!$1:$1,0)+1),MATCH(E$1,[1]quests!$1:$1,0)-MATCH($B$1,[1]quests!$1:$1,0)+1,FALSE)</f>
        <v>ザ・キャノン</v>
      </c>
      <c r="F34" s="4" t="str">
        <f ca="1">VLOOKUP($D34,OFFSET([1]stages!$A$1,0,0,COUNTA([1]stages!$A:$A),MATCH(F$1,[1]stages!$2:$2,0)-MATCH($D$1,[1]stages!$2:$2,0)+1),MATCH(F$1,[1]stages!$2:$2,0)-MATCH($D$1,[1]stages!$2:$2,0)+1,FALSE)</f>
        <v>【上級】ザ・キャノン(4タップ)</v>
      </c>
      <c r="G34" s="27">
        <v>2</v>
      </c>
      <c r="H34" s="19" t="str">
        <f t="shared" ca="1" si="3"/>
        <v>20005_3-2</v>
      </c>
      <c r="I34" s="41">
        <v>57</v>
      </c>
      <c r="J34" s="23" t="str">
        <f ca="1">VLOOKUP($I34,OFFSET([2]enemies!$A$1,0,0,COUNTA([2]enemies!$A:$A),MATCH(J$1,[2]enemies!$1:$1,0)-MATCH($I$1,[2]enemies!$1:$1,0)+1),MATCH(J$1,[2]enemies!$1:$1,0)-MATCH($I$1,[2]enemies!$1:$1,0)+1,FALSE)</f>
        <v>チェン・リー</v>
      </c>
      <c r="K34" s="23" t="str">
        <f ca="1">VLOOKUP($I34,OFFSET([2]enemies!$A$1,0,0,COUNTA([2]enemies!$A:$A),MATCH(K$1,[2]enemies!$1:$1,0)-MATCH($I$1,[2]enemies!$1:$1,0)+1),MATCH(K$1,[2]enemies!$1:$1,0)-MATCH($I$1,[2]enemies!$1:$1,0)+1,FALSE)</f>
        <v>red</v>
      </c>
      <c r="L34" s="24" t="str">
        <f ca="1">VLOOKUP(I34,[3]characters!$A:$J,10,FALSE)</f>
        <v>Drop1N</v>
      </c>
      <c r="M34" s="23" t="str">
        <f ca="1">VLOOKUP($I34,OFFSET([2]enemies!$A$1,0,0,COUNTA([2]enemies!$A:$A),MATCH(M$1,[2]enemies!$1:$1,0)-MATCH($I$1,[2]enemies!$1:$1,0)+1),MATCH(M$1,[2]enemies!$1:$1,0)-MATCH($I$1,[2]enemies!$1:$1,0)+1,FALSE)</f>
        <v>animal</v>
      </c>
      <c r="N34" s="23">
        <f ca="1">VLOOKUP($I34,OFFSET([2]enemies!$A$1,0,0,COUNTA([2]enemies!$A:$A),MATCH(N$1,[2]enemies!$1:$1,0)-MATCH($I$1,[2]enemies!$1:$1,0)+1),MATCH(N$1,[2]enemies!$1:$1,0)-MATCH($I$1,[2]enemies!$1:$1,0)+1,FALSE)</f>
        <v>15</v>
      </c>
      <c r="O34" s="5">
        <v>58</v>
      </c>
      <c r="P34" s="30">
        <v>1.33</v>
      </c>
      <c r="Q34" s="30">
        <v>1</v>
      </c>
      <c r="R34" s="5">
        <v>0</v>
      </c>
      <c r="S34" s="4" t="str">
        <f ca="1">VLOOKUP($T34,OFFSET([4]enemy_skill_sets!$B$1,0,0,COUNTA([4]enemy_skill_sets!$B:$B),MATCH(J$1,[4]enemy_skill_sets!$1:$1,0)-MATCH($T$1,[4]enemy_skill_sets!$1:$1,0)+2),MATCH(J$1,[4]enemy_skill_sets!$1:$1,0)-MATCH($T$1,[4]enemy_skill_sets!$1:$1,0)+2,FALSE)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34" s="23">
        <f ca="1">VLOOKUP($I34,OFFSET([2]enemies!$A$1,0,0,COUNTA([2]enemies!$A:$A),MATCH(T$1,[2]enemies!$1:$1,0)-MATCH($I$1,[2]enemies!$1:$1,0)+1),MATCH(T$1,[2]enemies!$1:$1,0)-MATCH($I$1,[2]enemies!$1:$1,0)+1,FALSE)</f>
        <v>57</v>
      </c>
      <c r="U34" s="6">
        <v>0</v>
      </c>
      <c r="V34" s="6">
        <v>55</v>
      </c>
      <c r="W34" s="6">
        <v>0</v>
      </c>
      <c r="X34" s="23">
        <f ca="1">VLOOKUP($I34,OFFSET([2]enemies!$A$1,0,0,COUNTA([2]enemies!$A:$A),MATCH(X$1,[2]enemies!$1:$1,0)-MATCH($I$1,[2]enemies!$1:$1,0)+1),MATCH(X$1,[2]enemies!$1:$1,0)-MATCH($I$1,[2]enemies!$1:$1,0)+1,FALSE)</f>
        <v>2</v>
      </c>
      <c r="Y34" s="41">
        <v>57</v>
      </c>
      <c r="Z34" s="4" t="str">
        <f ca="1">IFERROR(VLOOKUP($Y34,OFFSET([3]characters!$A$1,0,0,COUNTA([3]characters!$A:$A),MATCH(Z$1,[3]characters!$1:$1,0)-MATCH("character_id",[3]characters!$1:$1,0)+1),MATCH(Z$1,[3]characters!$1:$1,0)-MATCH("character_id",[3]characters!$1:$1,0)+1,FALSE),"")</f>
        <v>チェン・リー</v>
      </c>
      <c r="AA34" s="4">
        <f ca="1">IFERROR(VLOOKUP($Y34,OFFSET([3]characters!$A$1,0,0,COUNTA([3]characters!$A:$A),MATCH(AA$1,[3]characters!$1:$1,0)-MATCH("character_id",[3]characters!$1:$1,0)+1),MATCH(AA$1,[3]characters!$1:$1,0)-MATCH("character_id",[3]characters!$1:$1,0)+1,FALSE),"")</f>
        <v>2</v>
      </c>
      <c r="AB34" s="4" t="str">
        <f ca="1">IFERROR(VLOOKUP($Y34,OFFSET([3]characters!$A$1,0,0,COUNTA([3]characters!$A:$A),MATCH(AB$1,[3]characters!$1:$1,0)-MATCH("character_id",[3]characters!$1:$1,0)+1),MATCH(AB$1,[3]characters!$1:$1,0)-MATCH("character_id",[3]characters!$1:$1,0)+1,FALSE),"")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4" s="7">
        <v>5</v>
      </c>
      <c r="AD34" s="46">
        <f t="shared" ca="1" si="0"/>
        <v>2</v>
      </c>
      <c r="AE34" s="8">
        <v>0</v>
      </c>
      <c r="AF34" s="7">
        <v>0</v>
      </c>
      <c r="AG34" s="7">
        <v>0</v>
      </c>
      <c r="AH34" s="7">
        <v>0</v>
      </c>
      <c r="AI34" s="7">
        <v>0</v>
      </c>
      <c r="AJ34" s="7">
        <v>1</v>
      </c>
    </row>
    <row r="35" spans="1:36" ht="21" customHeight="1" x14ac:dyDescent="0.15">
      <c r="A35" s="20" t="str">
        <f t="shared" ca="1" si="1"/>
        <v>20005_3-2/334&lt;lv3&gt;s3</v>
      </c>
      <c r="B35" s="28">
        <v>20005</v>
      </c>
      <c r="C35" s="27">
        <v>3</v>
      </c>
      <c r="D35" s="2" t="str">
        <f t="shared" ca="1" si="2"/>
        <v>20005_3</v>
      </c>
      <c r="E35" s="4" t="str">
        <f ca="1">VLOOKUP($B35,OFFSET([1]quests!$A$1,0,0,COUNTA([1]quests!$A:$A),MATCH(E$1,[1]quests!$1:$1,0)-MATCH($B$1,[1]quests!$1:$1,0)+1),MATCH(E$1,[1]quests!$1:$1,0)-MATCH($B$1,[1]quests!$1:$1,0)+1,FALSE)</f>
        <v>ザ・キャノン</v>
      </c>
      <c r="F35" s="4" t="str">
        <f ca="1">VLOOKUP($D35,OFFSET([1]stages!$A$1,0,0,COUNTA([1]stages!$A:$A),MATCH(F$1,[1]stages!$2:$2,0)-MATCH($D$1,[1]stages!$2:$2,0)+1),MATCH(F$1,[1]stages!$2:$2,0)-MATCH($D$1,[1]stages!$2:$2,0)+1,FALSE)</f>
        <v>【上級】ザ・キャノン(4タップ)</v>
      </c>
      <c r="G35" s="27">
        <v>2</v>
      </c>
      <c r="H35" s="19" t="str">
        <f t="shared" ca="1" si="3"/>
        <v>20005_3-2</v>
      </c>
      <c r="I35" s="41">
        <v>334</v>
      </c>
      <c r="J35" s="23" t="str">
        <f ca="1">VLOOKUP($I35,OFFSET([2]enemies!$A$1,0,0,COUNTA([2]enemies!$A:$A),MATCH(J$1,[2]enemies!$1:$1,0)-MATCH($I$1,[2]enemies!$1:$1,0)+1),MATCH(J$1,[2]enemies!$1:$1,0)-MATCH($I$1,[2]enemies!$1:$1,0)+1,FALSE)</f>
        <v>炎のメタルダック</v>
      </c>
      <c r="K35" s="23" t="str">
        <f ca="1">VLOOKUP($I35,OFFSET([2]enemies!$A$1,0,0,COUNTA([2]enemies!$A:$A),MATCH(K$1,[2]enemies!$1:$1,0)-MATCH($I$1,[2]enemies!$1:$1,0)+1),MATCH(K$1,[2]enemies!$1:$1,0)-MATCH($I$1,[2]enemies!$1:$1,0)+1,FALSE)</f>
        <v>red</v>
      </c>
      <c r="L35" s="24" t="str">
        <f ca="1">VLOOKUP(I35,[3]characters!$A:$J,10,FALSE)</f>
        <v>Material</v>
      </c>
      <c r="M35" s="23" t="str">
        <f ca="1">VLOOKUP($I35,OFFSET([2]enemies!$A$1,0,0,COUNTA([2]enemies!$A:$A),MATCH(M$1,[2]enemies!$1:$1,0)-MATCH($I$1,[2]enemies!$1:$1,0)+1),MATCH(M$1,[2]enemies!$1:$1,0)-MATCH($I$1,[2]enemies!$1:$1,0)+1,FALSE)</f>
        <v>unknown</v>
      </c>
      <c r="N35" s="23">
        <f ca="1">VLOOKUP($I35,OFFSET([2]enemies!$A$1,0,0,COUNTA([2]enemies!$A:$A),MATCH(N$1,[2]enemies!$1:$1,0)-MATCH($I$1,[2]enemies!$1:$1,0)+1),MATCH(N$1,[2]enemies!$1:$1,0)-MATCH($I$1,[2]enemies!$1:$1,0)+1,FALSE)</f>
        <v>20</v>
      </c>
      <c r="O35" s="5">
        <v>3</v>
      </c>
      <c r="P35" s="30">
        <v>1</v>
      </c>
      <c r="Q35" s="30">
        <v>35</v>
      </c>
      <c r="R35" s="5">
        <v>0</v>
      </c>
      <c r="S35" s="4" t="str">
        <f ca="1">VLOOKUP($T35,OFFSET([4]enemy_skill_sets!$B$1,0,0,COUNTA([4]enemy_skill_sets!$B:$B),MATCH(J$1,[4]enemy_skill_sets!$1:$1,0)-MATCH($T$1,[4]enemy_skill_sets!$1:$1,0)+2),MATCH(J$1,[4]enemy_skill_sets!$1:$1,0)-MATCH($T$1,[4]enemy_skill_sets!$1:$1,0)+2,FALSE)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5" s="23">
        <f ca="1">VLOOKUP($I35,OFFSET([2]enemies!$A$1,0,0,COUNTA([2]enemies!$A:$A),MATCH(T$1,[2]enemies!$1:$1,0)-MATCH($I$1,[2]enemies!$1:$1,0)+1),MATCH(T$1,[2]enemies!$1:$1,0)-MATCH($I$1,[2]enemies!$1:$1,0)+1,FALSE)</f>
        <v>0</v>
      </c>
      <c r="U35" s="6">
        <v>1</v>
      </c>
      <c r="V35" s="6">
        <v>100</v>
      </c>
      <c r="W35" s="6">
        <v>1</v>
      </c>
      <c r="X35" s="23">
        <f ca="1">VLOOKUP($I35,OFFSET([2]enemies!$A$1,0,0,COUNTA([2]enemies!$A:$A),MATCH(X$1,[2]enemies!$1:$1,0)-MATCH($I$1,[2]enemies!$1:$1,0)+1),MATCH(X$1,[2]enemies!$1:$1,0)-MATCH($I$1,[2]enemies!$1:$1,0)+1,FALSE)</f>
        <v>3</v>
      </c>
      <c r="Y35" s="41">
        <v>334</v>
      </c>
      <c r="Z35" s="4" t="str">
        <f ca="1">IFERROR(VLOOKUP($Y35,OFFSET([3]characters!$A$1,0,0,COUNTA([3]characters!$A:$A),MATCH(Z$1,[3]characters!$1:$1,0)-MATCH("character_id",[3]characters!$1:$1,0)+1),MATCH(Z$1,[3]characters!$1:$1,0)-MATCH("character_id",[3]characters!$1:$1,0)+1,FALSE),"")</f>
        <v>炎のメタルダック</v>
      </c>
      <c r="AA35" s="4">
        <f ca="1">IFERROR(VLOOKUP($Y35,OFFSET([3]characters!$A$1,0,0,COUNTA([3]characters!$A:$A),MATCH(AA$1,[3]characters!$1:$1,0)-MATCH("character_id",[3]characters!$1:$1,0)+1),MATCH(AA$1,[3]characters!$1:$1,0)-MATCH("character_id",[3]characters!$1:$1,0)+1,FALSE),"")</f>
        <v>5</v>
      </c>
      <c r="AB35" s="4" t="str">
        <f ca="1">IFERROR(VLOOKUP($Y35,OFFSET([3]characters!$A$1,0,0,COUNTA([3]characters!$A:$A),MATCH(AB$1,[3]characters!$1:$1,0)-MATCH("character_id",[3]characters!$1:$1,0)+1),MATCH(AB$1,[3]characters!$1:$1,0)-MATCH("character_id",[3]characters!$1:$1,0)+1,FALSE),"")</f>
        <v>Material</v>
      </c>
      <c r="AC35" s="7">
        <v>1</v>
      </c>
      <c r="AD35" s="46">
        <f t="shared" ca="1" si="0"/>
        <v>5</v>
      </c>
      <c r="AE35" s="8">
        <v>20</v>
      </c>
      <c r="AF35" s="7">
        <v>0</v>
      </c>
      <c r="AG35" s="7">
        <v>0</v>
      </c>
      <c r="AH35" s="7">
        <v>0</v>
      </c>
      <c r="AI35" s="7">
        <v>0</v>
      </c>
      <c r="AJ35" s="7">
        <v>1</v>
      </c>
    </row>
    <row r="36" spans="1:36" ht="21" customHeight="1" x14ac:dyDescent="0.15">
      <c r="A36" s="20" t="str">
        <f t="shared" ca="1" si="1"/>
        <v>20005_3-3/21&lt;lv58&gt;s2</v>
      </c>
      <c r="B36" s="28">
        <v>20005</v>
      </c>
      <c r="C36" s="27">
        <v>3</v>
      </c>
      <c r="D36" s="2" t="str">
        <f t="shared" ca="1" si="2"/>
        <v>20005_3</v>
      </c>
      <c r="E36" s="4" t="str">
        <f ca="1">VLOOKUP($B36,OFFSET([1]quests!$A$1,0,0,COUNTA([1]quests!$A:$A),MATCH(E$1,[1]quests!$1:$1,0)-MATCH($B$1,[1]quests!$1:$1,0)+1),MATCH(E$1,[1]quests!$1:$1,0)-MATCH($B$1,[1]quests!$1:$1,0)+1,FALSE)</f>
        <v>ザ・キャノン</v>
      </c>
      <c r="F36" s="4" t="str">
        <f ca="1">VLOOKUP($D36,OFFSET([1]stages!$A$1,0,0,COUNTA([1]stages!$A:$A),MATCH(F$1,[1]stages!$2:$2,0)-MATCH($D$1,[1]stages!$2:$2,0)+1),MATCH(F$1,[1]stages!$2:$2,0)-MATCH($D$1,[1]stages!$2:$2,0)+1,FALSE)</f>
        <v>【上級】ザ・キャノン(4タップ)</v>
      </c>
      <c r="G36" s="27">
        <v>3</v>
      </c>
      <c r="H36" s="19" t="str">
        <f t="shared" ca="1" si="3"/>
        <v>20005_3-3</v>
      </c>
      <c r="I36" s="41">
        <v>21</v>
      </c>
      <c r="J36" s="23" t="str">
        <f ca="1">VLOOKUP($I36,OFFSET([2]enemies!$A$1,0,0,COUNTA([2]enemies!$A:$A),MATCH(J$1,[2]enemies!$1:$1,0)-MATCH($I$1,[2]enemies!$1:$1,0)+1),MATCH(J$1,[2]enemies!$1:$1,0)-MATCH($I$1,[2]enemies!$1:$1,0)+1,FALSE)</f>
        <v>ヴェロキー</v>
      </c>
      <c r="K36" s="23" t="str">
        <f ca="1">VLOOKUP($I36,OFFSET([2]enemies!$A$1,0,0,COUNTA([2]enemies!$A:$A),MATCH(K$1,[2]enemies!$1:$1,0)-MATCH($I$1,[2]enemies!$1:$1,0)+1),MATCH(K$1,[2]enemies!$1:$1,0)-MATCH($I$1,[2]enemies!$1:$1,0)+1,FALSE)</f>
        <v>red</v>
      </c>
      <c r="L36" s="24" t="str">
        <f ca="1">VLOOKUP(I36,[3]characters!$A:$J,10,FALSE)</f>
        <v>Drop1N</v>
      </c>
      <c r="M36" s="23" t="str">
        <f ca="1">VLOOKUP($I36,OFFSET([2]enemies!$A$1,0,0,COUNTA([2]enemies!$A:$A),MATCH(M$1,[2]enemies!$1:$1,0)-MATCH($I$1,[2]enemies!$1:$1,0)+1),MATCH(M$1,[2]enemies!$1:$1,0)-MATCH($I$1,[2]enemies!$1:$1,0)+1,FALSE)</f>
        <v>dragon</v>
      </c>
      <c r="N36" s="23">
        <f ca="1">VLOOKUP($I36,OFFSET([2]enemies!$A$1,0,0,COUNTA([2]enemies!$A:$A),MATCH(N$1,[2]enemies!$1:$1,0)-MATCH($I$1,[2]enemies!$1:$1,0)+1),MATCH(N$1,[2]enemies!$1:$1,0)-MATCH($I$1,[2]enemies!$1:$1,0)+1,FALSE)</f>
        <v>15</v>
      </c>
      <c r="O36" s="5">
        <v>58</v>
      </c>
      <c r="P36" s="30">
        <v>1.33</v>
      </c>
      <c r="Q36" s="30">
        <v>1</v>
      </c>
      <c r="R36" s="5">
        <v>0</v>
      </c>
      <c r="S36" s="4" t="str">
        <f ca="1">VLOOKUP($T36,OFFSET([4]enemy_skill_sets!$B$1,0,0,COUNTA([4]enemy_skill_sets!$B:$B),MATCH(J$1,[4]enemy_skill_sets!$1:$1,0)-MATCH($T$1,[4]enemy_skill_sets!$1:$1,0)+2),MATCH(J$1,[4]enemy_skill_sets!$1:$1,0)-MATCH($T$1,[4]enemy_skill_sets!$1:$1,0)+2,FALSE)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6" s="23">
        <f ca="1">VLOOKUP($I36,OFFSET([2]enemies!$A$1,0,0,COUNTA([2]enemies!$A:$A),MATCH(T$1,[2]enemies!$1:$1,0)-MATCH($I$1,[2]enemies!$1:$1,0)+1),MATCH(T$1,[2]enemies!$1:$1,0)-MATCH($I$1,[2]enemies!$1:$1,0)+1,FALSE)</f>
        <v>0</v>
      </c>
      <c r="U36" s="6">
        <v>0</v>
      </c>
      <c r="V36" s="6">
        <v>100</v>
      </c>
      <c r="W36" s="6">
        <v>0</v>
      </c>
      <c r="X36" s="23">
        <f ca="1">VLOOKUP($I36,OFFSET([2]enemies!$A$1,0,0,COUNTA([2]enemies!$A:$A),MATCH(X$1,[2]enemies!$1:$1,0)-MATCH($I$1,[2]enemies!$1:$1,0)+1),MATCH(X$1,[2]enemies!$1:$1,0)-MATCH($I$1,[2]enemies!$1:$1,0)+1,FALSE)</f>
        <v>2</v>
      </c>
      <c r="Y36" s="41">
        <v>21</v>
      </c>
      <c r="Z36" s="4" t="str">
        <f ca="1">IFERROR(VLOOKUP($Y36,OFFSET([3]characters!$A$1,0,0,COUNTA([3]characters!$A:$A),MATCH(Z$1,[3]characters!$1:$1,0)-MATCH("character_id",[3]characters!$1:$1,0)+1),MATCH(Z$1,[3]characters!$1:$1,0)-MATCH("character_id",[3]characters!$1:$1,0)+1,FALSE),"")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36" s="4">
        <f ca="1">IFERROR(VLOOKUP($Y36,OFFSET([3]characters!$A$1,0,0,COUNTA([3]characters!$A:$A),MATCH(AA$1,[3]characters!$1:$1,0)-MATCH("character_id",[3]characters!$1:$1,0)+1),MATCH(AA$1,[3]characters!$1:$1,0)-MATCH("character_id",[3]characters!$1:$1,0)+1,FALSE),"")</f>
        <v>1</v>
      </c>
      <c r="AB36" s="4" t="str">
        <f ca="1">IFERROR(VLOOKUP($Y36,OFFSET([3]characters!$A$1,0,0,COUNTA([3]characters!$A:$A),MATCH(AB$1,[3]characters!$1:$1,0)-MATCH("character_id",[3]characters!$1:$1,0)+1),MATCH(AB$1,[3]characters!$1:$1,0)-MATCH("character_id",[3]characters!$1:$1,0)+1,FALSE),"")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6" s="7">
        <v>5</v>
      </c>
      <c r="AD36" s="46">
        <f t="shared" ca="1" si="0"/>
        <v>1</v>
      </c>
      <c r="AE36" s="8">
        <v>15</v>
      </c>
      <c r="AF36" s="7">
        <v>0</v>
      </c>
      <c r="AG36" s="7">
        <v>0</v>
      </c>
      <c r="AH36" s="7">
        <v>0</v>
      </c>
      <c r="AI36" s="7">
        <v>0</v>
      </c>
      <c r="AJ36" s="7">
        <v>1</v>
      </c>
    </row>
    <row r="37" spans="1:36" ht="21" customHeight="1" x14ac:dyDescent="0.15">
      <c r="A37" s="20" t="str">
        <f t="shared" ca="1" si="1"/>
        <v>20005_3-3/41&lt;lv58&gt;s1</v>
      </c>
      <c r="B37" s="28">
        <v>20005</v>
      </c>
      <c r="C37" s="27">
        <v>3</v>
      </c>
      <c r="D37" s="2" t="str">
        <f t="shared" ca="1" si="2"/>
        <v>20005_3</v>
      </c>
      <c r="E37" s="4" t="str">
        <f ca="1">VLOOKUP($B37,OFFSET([1]quests!$A$1,0,0,COUNTA([1]quests!$A:$A),MATCH(E$1,[1]quests!$1:$1,0)-MATCH($B$1,[1]quests!$1:$1,0)+1),MATCH(E$1,[1]quests!$1:$1,0)-MATCH($B$1,[1]quests!$1:$1,0)+1,FALSE)</f>
        <v>ザ・キャノン</v>
      </c>
      <c r="F37" s="4" t="str">
        <f ca="1">VLOOKUP($D37,OFFSET([1]stages!$A$1,0,0,COUNTA([1]stages!$A:$A),MATCH(F$1,[1]stages!$2:$2,0)-MATCH($D$1,[1]stages!$2:$2,0)+1),MATCH(F$1,[1]stages!$2:$2,0)-MATCH($D$1,[1]stages!$2:$2,0)+1,FALSE)</f>
        <v>【上級】ザ・キャノン(4タップ)</v>
      </c>
      <c r="G37" s="27">
        <v>3</v>
      </c>
      <c r="H37" s="19" t="str">
        <f t="shared" ca="1" si="3"/>
        <v>20005_3-3</v>
      </c>
      <c r="I37" s="41">
        <v>41</v>
      </c>
      <c r="J37" s="23" t="str">
        <f ca="1">VLOOKUP($I37,OFFSET([2]enemies!$A$1,0,0,COUNTA([2]enemies!$A:$A),MATCH(J$1,[2]enemies!$1:$1,0)-MATCH($I$1,[2]enemies!$1:$1,0)+1),MATCH(J$1,[2]enemies!$1:$1,0)-MATCH($I$1,[2]enemies!$1:$1,0)+1,FALSE)</f>
        <v>ヒュウガ</v>
      </c>
      <c r="K37" s="23" t="str">
        <f ca="1">VLOOKUP($I37,OFFSET([2]enemies!$A$1,0,0,COUNTA([2]enemies!$A:$A),MATCH(K$1,[2]enemies!$1:$1,0)-MATCH($I$1,[2]enemies!$1:$1,0)+1),MATCH(K$1,[2]enemies!$1:$1,0)-MATCH($I$1,[2]enemies!$1:$1,0)+1,FALSE)</f>
        <v>red</v>
      </c>
      <c r="L37" s="24" t="str">
        <f ca="1">VLOOKUP(I37,[3]characters!$A:$J,10,FALSE)</f>
        <v>Drop1N</v>
      </c>
      <c r="M37" s="23" t="str">
        <f ca="1">VLOOKUP($I37,OFFSET([2]enemies!$A$1,0,0,COUNTA([2]enemies!$A:$A),MATCH(M$1,[2]enemies!$1:$1,0)-MATCH($I$1,[2]enemies!$1:$1,0)+1),MATCH(M$1,[2]enemies!$1:$1,0)-MATCH($I$1,[2]enemies!$1:$1,0)+1,FALSE)</f>
        <v>dragon</v>
      </c>
      <c r="N37" s="23">
        <f ca="1">VLOOKUP($I37,OFFSET([2]enemies!$A$1,0,0,COUNTA([2]enemies!$A:$A),MATCH(N$1,[2]enemies!$1:$1,0)-MATCH($I$1,[2]enemies!$1:$1,0)+1),MATCH(N$1,[2]enemies!$1:$1,0)-MATCH($I$1,[2]enemies!$1:$1,0)+1,FALSE)</f>
        <v>15</v>
      </c>
      <c r="O37" s="5">
        <v>58</v>
      </c>
      <c r="P37" s="30">
        <v>1.33</v>
      </c>
      <c r="Q37" s="30">
        <v>1</v>
      </c>
      <c r="R37" s="5">
        <v>0</v>
      </c>
      <c r="S37" s="4" t="str">
        <f ca="1">VLOOKUP($T37,OFFSET([4]enemy_skill_sets!$B$1,0,0,COUNTA([4]enemy_skill_sets!$B:$B),MATCH(J$1,[4]enemy_skill_sets!$1:$1,0)-MATCH($T$1,[4]enemy_skill_sets!$1:$1,0)+2),MATCH(J$1,[4]enemy_skill_sets!$1:$1,0)-MATCH($T$1,[4]enemy_skill_sets!$1:$1,0)+2,FALSE)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" s="23">
        <f ca="1">VLOOKUP($I37,OFFSET([2]enemies!$A$1,0,0,COUNTA([2]enemies!$A:$A),MATCH(T$1,[2]enemies!$1:$1,0)-MATCH($I$1,[2]enemies!$1:$1,0)+1),MATCH(T$1,[2]enemies!$1:$1,0)-MATCH($I$1,[2]enemies!$1:$1,0)+1,FALSE)</f>
        <v>0</v>
      </c>
      <c r="U37" s="6">
        <v>1</v>
      </c>
      <c r="V37" s="6">
        <v>100</v>
      </c>
      <c r="W37" s="6">
        <v>0</v>
      </c>
      <c r="X37" s="23">
        <f ca="1">VLOOKUP($I37,OFFSET([2]enemies!$A$1,0,0,COUNTA([2]enemies!$A:$A),MATCH(X$1,[2]enemies!$1:$1,0)-MATCH($I$1,[2]enemies!$1:$1,0)+1),MATCH(X$1,[2]enemies!$1:$1,0)-MATCH($I$1,[2]enemies!$1:$1,0)+1,FALSE)</f>
        <v>1</v>
      </c>
      <c r="Y37" s="41">
        <v>41</v>
      </c>
      <c r="Z37" s="4" t="str">
        <f ca="1">IFERROR(VLOOKUP($Y37,OFFSET([3]characters!$A$1,0,0,COUNTA([3]characters!$A:$A),MATCH(Z$1,[3]characters!$1:$1,0)-MATCH("character_id",[3]characters!$1:$1,0)+1),MATCH(Z$1,[3]characters!$1:$1,0)-MATCH("character_id",[3]characters!$1:$1,0)+1,FALSE),"")</f>
        <v>ヒュウガ</v>
      </c>
      <c r="AA37" s="4">
        <f ca="1">IFERROR(VLOOKUP($Y37,OFFSET([3]characters!$A$1,0,0,COUNTA([3]characters!$A:$A),MATCH(AA$1,[3]characters!$1:$1,0)-MATCH("character_id",[3]characters!$1:$1,0)+1),MATCH(AA$1,[3]characters!$1:$1,0)-MATCH("character_id",[3]characters!$1:$1,0)+1,FALSE),"")</f>
        <v>2</v>
      </c>
      <c r="AB37" s="4" t="str">
        <f ca="1">IFERROR(VLOOKUP($Y37,OFFSET([3]characters!$A$1,0,0,COUNTA([3]characters!$A:$A),MATCH(AB$1,[3]characters!$1:$1,0)-MATCH("character_id",[3]characters!$1:$1,0)+1),MATCH(AB$1,[3]characters!$1:$1,0)-MATCH("character_id",[3]characters!$1:$1,0)+1,FALSE),"")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7" s="7">
        <v>5</v>
      </c>
      <c r="AD37" s="46">
        <f t="shared" ca="1" si="0"/>
        <v>2</v>
      </c>
      <c r="AE37" s="8">
        <v>15</v>
      </c>
      <c r="AF37" s="7">
        <v>0</v>
      </c>
      <c r="AG37" s="7">
        <v>0</v>
      </c>
      <c r="AH37" s="7">
        <v>0</v>
      </c>
      <c r="AI37" s="7">
        <v>0</v>
      </c>
      <c r="AJ37" s="7">
        <v>1</v>
      </c>
    </row>
    <row r="38" spans="1:36" ht="21" customHeight="1" x14ac:dyDescent="0.15">
      <c r="A38" s="20" t="str">
        <f t="shared" ca="1" si="1"/>
        <v>20005_3-3/65&lt;lv58&gt;s2</v>
      </c>
      <c r="B38" s="28">
        <v>20005</v>
      </c>
      <c r="C38" s="27">
        <v>3</v>
      </c>
      <c r="D38" s="2" t="str">
        <f t="shared" ca="1" si="2"/>
        <v>20005_3</v>
      </c>
      <c r="E38" s="4" t="str">
        <f ca="1">VLOOKUP($B38,OFFSET([1]quests!$A$1,0,0,COUNTA([1]quests!$A:$A),MATCH(E$1,[1]quests!$1:$1,0)-MATCH($B$1,[1]quests!$1:$1,0)+1),MATCH(E$1,[1]quests!$1:$1,0)-MATCH($B$1,[1]quests!$1:$1,0)+1,FALSE)</f>
        <v>ザ・キャノン</v>
      </c>
      <c r="F38" s="4" t="str">
        <f ca="1">VLOOKUP($D38,OFFSET([1]stages!$A$1,0,0,COUNTA([1]stages!$A:$A),MATCH(F$1,[1]stages!$2:$2,0)-MATCH($D$1,[1]stages!$2:$2,0)+1),MATCH(F$1,[1]stages!$2:$2,0)-MATCH($D$1,[1]stages!$2:$2,0)+1,FALSE)</f>
        <v>【上級】ザ・キャノン(4タップ)</v>
      </c>
      <c r="G38" s="27">
        <v>3</v>
      </c>
      <c r="H38" s="19" t="str">
        <f t="shared" ca="1" si="3"/>
        <v>20005_3-3</v>
      </c>
      <c r="I38" s="41">
        <v>65</v>
      </c>
      <c r="J38" s="23" t="str">
        <f ca="1">VLOOKUP($I38,OFFSET([2]enemies!$A$1,0,0,COUNTA([2]enemies!$A:$A),MATCH(J$1,[2]enemies!$1:$1,0)-MATCH($I$1,[2]enemies!$1:$1,0)+1),MATCH(J$1,[2]enemies!$1:$1,0)-MATCH($I$1,[2]enemies!$1:$1,0)+1,FALSE)</f>
        <v>ファイアフォックス</v>
      </c>
      <c r="K38" s="23" t="str">
        <f ca="1">VLOOKUP($I38,OFFSET([2]enemies!$A$1,0,0,COUNTA([2]enemies!$A:$A),MATCH(K$1,[2]enemies!$1:$1,0)-MATCH($I$1,[2]enemies!$1:$1,0)+1),MATCH(K$1,[2]enemies!$1:$1,0)-MATCH($I$1,[2]enemies!$1:$1,0)+1,FALSE)</f>
        <v>red</v>
      </c>
      <c r="L38" s="24" t="str">
        <f ca="1">VLOOKUP(I38,[3]characters!$A:$J,10,FALSE)</f>
        <v>Drop1S</v>
      </c>
      <c r="M38" s="23" t="str">
        <f ca="1">VLOOKUP($I38,OFFSET([2]enemies!$A$1,0,0,COUNTA([2]enemies!$A:$A),MATCH(M$1,[2]enemies!$1:$1,0)-MATCH($I$1,[2]enemies!$1:$1,0)+1),MATCH(M$1,[2]enemies!$1:$1,0)-MATCH($I$1,[2]enemies!$1:$1,0)+1,FALSE)</f>
        <v>animal</v>
      </c>
      <c r="N38" s="23">
        <f ca="1">VLOOKUP($I38,OFFSET([2]enemies!$A$1,0,0,COUNTA([2]enemies!$A:$A),MATCH(N$1,[2]enemies!$1:$1,0)-MATCH($I$1,[2]enemies!$1:$1,0)+1),MATCH(N$1,[2]enemies!$1:$1,0)-MATCH($I$1,[2]enemies!$1:$1,0)+1,FALSE)</f>
        <v>15</v>
      </c>
      <c r="O38" s="5">
        <v>58</v>
      </c>
      <c r="P38" s="30">
        <v>1.33</v>
      </c>
      <c r="Q38" s="30">
        <v>1</v>
      </c>
      <c r="R38" s="5">
        <v>0</v>
      </c>
      <c r="S38" s="4" t="str">
        <f ca="1">VLOOKUP($T38,OFFSET([4]enemy_skill_sets!$B$1,0,0,COUNTA([4]enemy_skill_sets!$B:$B),MATCH(J$1,[4]enemy_skill_sets!$1:$1,0)-MATCH($T$1,[4]enemy_skill_sets!$1:$1,0)+2),MATCH(J$1,[4]enemy_skill_sets!$1:$1,0)-MATCH($T$1,[4]enemy_skill_sets!$1:$1,0)+2,FALSE)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8" s="23">
        <f ca="1">VLOOKUP($I38,OFFSET([2]enemies!$A$1,0,0,COUNTA([2]enemies!$A:$A),MATCH(T$1,[2]enemies!$1:$1,0)-MATCH($I$1,[2]enemies!$1:$1,0)+1),MATCH(T$1,[2]enemies!$1:$1,0)-MATCH($I$1,[2]enemies!$1:$1,0)+1,FALSE)</f>
        <v>0</v>
      </c>
      <c r="U38" s="6">
        <v>0</v>
      </c>
      <c r="V38" s="6">
        <v>100</v>
      </c>
      <c r="W38" s="6">
        <v>0</v>
      </c>
      <c r="X38" s="23">
        <f ca="1">VLOOKUP($I38,OFFSET([2]enemies!$A$1,0,0,COUNTA([2]enemies!$A:$A),MATCH(X$1,[2]enemies!$1:$1,0)-MATCH($I$1,[2]enemies!$1:$1,0)+1),MATCH(X$1,[2]enemies!$1:$1,0)-MATCH($I$1,[2]enemies!$1:$1,0)+1,FALSE)</f>
        <v>2</v>
      </c>
      <c r="Y38" s="41">
        <v>65</v>
      </c>
      <c r="Z38" s="4" t="str">
        <f ca="1">IFERROR(VLOOKUP($Y38,OFFSET([3]characters!$A$1,0,0,COUNTA([3]characters!$A:$A),MATCH(Z$1,[3]characters!$1:$1,0)-MATCH("character_id",[3]characters!$1:$1,0)+1),MATCH(Z$1,[3]characters!$1:$1,0)-MATCH("character_id",[3]characters!$1:$1,0)+1,FALSE),"")</f>
        <v>ファイアフォックス</v>
      </c>
      <c r="AA38" s="4">
        <f ca="1">IFERROR(VLOOKUP($Y38,OFFSET([3]characters!$A$1,0,0,COUNTA([3]characters!$A:$A),MATCH(AA$1,[3]characters!$1:$1,0)-MATCH("character_id",[3]characters!$1:$1,0)+1),MATCH(AA$1,[3]characters!$1:$1,0)-MATCH("character_id",[3]characters!$1:$1,0)+1,FALSE),"")</f>
        <v>2</v>
      </c>
      <c r="AB38" s="4" t="str">
        <f ca="1">IFERROR(VLOOKUP($Y38,OFFSET([3]characters!$A$1,0,0,COUNTA([3]characters!$A:$A),MATCH(AB$1,[3]characters!$1:$1,0)-MATCH("character_id",[3]characters!$1:$1,0)+1),MATCH(AB$1,[3]characters!$1:$1,0)-MATCH("character_id",[3]characters!$1:$1,0)+1,FALSE),"")</f>
        <v>Drop1S</v>
      </c>
      <c r="AC38" s="7">
        <v>3</v>
      </c>
      <c r="AD38" s="46">
        <f t="shared" ca="1" si="0"/>
        <v>2</v>
      </c>
      <c r="AE38" s="8">
        <v>15</v>
      </c>
      <c r="AF38" s="7">
        <v>0</v>
      </c>
      <c r="AG38" s="7">
        <v>0</v>
      </c>
      <c r="AH38" s="7">
        <v>0</v>
      </c>
      <c r="AI38" s="7">
        <v>0</v>
      </c>
      <c r="AJ38" s="7">
        <v>1</v>
      </c>
    </row>
    <row r="39" spans="1:36" ht="21" customHeight="1" x14ac:dyDescent="0.15">
      <c r="A39" s="20" t="str">
        <f t="shared" ca="1" si="1"/>
        <v>20005_3-3/57&lt;lv58&gt;s2</v>
      </c>
      <c r="B39" s="28">
        <v>20005</v>
      </c>
      <c r="C39" s="27">
        <v>3</v>
      </c>
      <c r="D39" s="2" t="str">
        <f t="shared" ca="1" si="2"/>
        <v>20005_3</v>
      </c>
      <c r="E39" s="4" t="str">
        <f ca="1">VLOOKUP($B39,OFFSET([1]quests!$A$1,0,0,COUNTA([1]quests!$A:$A),MATCH(E$1,[1]quests!$1:$1,0)-MATCH($B$1,[1]quests!$1:$1,0)+1),MATCH(E$1,[1]quests!$1:$1,0)-MATCH($B$1,[1]quests!$1:$1,0)+1,FALSE)</f>
        <v>ザ・キャノン</v>
      </c>
      <c r="F39" s="4" t="str">
        <f ca="1">VLOOKUP($D39,OFFSET([1]stages!$A$1,0,0,COUNTA([1]stages!$A:$A),MATCH(F$1,[1]stages!$2:$2,0)-MATCH($D$1,[1]stages!$2:$2,0)+1),MATCH(F$1,[1]stages!$2:$2,0)-MATCH($D$1,[1]stages!$2:$2,0)+1,FALSE)</f>
        <v>【上級】ザ・キャノン(4タップ)</v>
      </c>
      <c r="G39" s="27">
        <v>3</v>
      </c>
      <c r="H39" s="19" t="str">
        <f t="shared" ca="1" si="3"/>
        <v>20005_3-3</v>
      </c>
      <c r="I39" s="41">
        <v>57</v>
      </c>
      <c r="J39" s="23" t="str">
        <f ca="1">VLOOKUP($I39,OFFSET([2]enemies!$A$1,0,0,COUNTA([2]enemies!$A:$A),MATCH(J$1,[2]enemies!$1:$1,0)-MATCH($I$1,[2]enemies!$1:$1,0)+1),MATCH(J$1,[2]enemies!$1:$1,0)-MATCH($I$1,[2]enemies!$1:$1,0)+1,FALSE)</f>
        <v>チェン・リー</v>
      </c>
      <c r="K39" s="23" t="str">
        <f ca="1">VLOOKUP($I39,OFFSET([2]enemies!$A$1,0,0,COUNTA([2]enemies!$A:$A),MATCH(K$1,[2]enemies!$1:$1,0)-MATCH($I$1,[2]enemies!$1:$1,0)+1),MATCH(K$1,[2]enemies!$1:$1,0)-MATCH($I$1,[2]enemies!$1:$1,0)+1,FALSE)</f>
        <v>red</v>
      </c>
      <c r="L39" s="24" t="str">
        <f ca="1">VLOOKUP(I39,[3]characters!$A:$J,10,FALSE)</f>
        <v>Drop1N</v>
      </c>
      <c r="M39" s="23" t="str">
        <f ca="1">VLOOKUP($I39,OFFSET([2]enemies!$A$1,0,0,COUNTA([2]enemies!$A:$A),MATCH(M$1,[2]enemies!$1:$1,0)-MATCH($I$1,[2]enemies!$1:$1,0)+1),MATCH(M$1,[2]enemies!$1:$1,0)-MATCH($I$1,[2]enemies!$1:$1,0)+1,FALSE)</f>
        <v>animal</v>
      </c>
      <c r="N39" s="23">
        <f ca="1">VLOOKUP($I39,OFFSET([2]enemies!$A$1,0,0,COUNTA([2]enemies!$A:$A),MATCH(N$1,[2]enemies!$1:$1,0)-MATCH($I$1,[2]enemies!$1:$1,0)+1),MATCH(N$1,[2]enemies!$1:$1,0)-MATCH($I$1,[2]enemies!$1:$1,0)+1,FALSE)</f>
        <v>15</v>
      </c>
      <c r="O39" s="5">
        <v>58</v>
      </c>
      <c r="P39" s="30">
        <v>1.33</v>
      </c>
      <c r="Q39" s="30">
        <v>1</v>
      </c>
      <c r="R39" s="5">
        <v>0</v>
      </c>
      <c r="S39" s="4" t="str">
        <f ca="1">VLOOKUP($T39,OFFSET([4]enemy_skill_sets!$B$1,0,0,COUNTA([4]enemy_skill_sets!$B:$B),MATCH(J$1,[4]enemy_skill_sets!$1:$1,0)-MATCH($T$1,[4]enemy_skill_sets!$1:$1,0)+2),MATCH(J$1,[4]enemy_skill_sets!$1:$1,0)-MATCH($T$1,[4]enemy_skill_sets!$1:$1,0)+2,FALSE)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39" s="23">
        <f ca="1">VLOOKUP($I39,OFFSET([2]enemies!$A$1,0,0,COUNTA([2]enemies!$A:$A),MATCH(T$1,[2]enemies!$1:$1,0)-MATCH($I$1,[2]enemies!$1:$1,0)+1),MATCH(T$1,[2]enemies!$1:$1,0)-MATCH($I$1,[2]enemies!$1:$1,0)+1,FALSE)</f>
        <v>57</v>
      </c>
      <c r="U39" s="6">
        <v>1</v>
      </c>
      <c r="V39" s="6">
        <v>100</v>
      </c>
      <c r="W39" s="6">
        <v>0</v>
      </c>
      <c r="X39" s="23">
        <f ca="1">VLOOKUP($I39,OFFSET([2]enemies!$A$1,0,0,COUNTA([2]enemies!$A:$A),MATCH(X$1,[2]enemies!$1:$1,0)-MATCH($I$1,[2]enemies!$1:$1,0)+1),MATCH(X$1,[2]enemies!$1:$1,0)-MATCH($I$1,[2]enemies!$1:$1,0)+1,FALSE)</f>
        <v>2</v>
      </c>
      <c r="Y39" s="41">
        <v>57</v>
      </c>
      <c r="Z39" s="4" t="str">
        <f ca="1">IFERROR(VLOOKUP($Y39,OFFSET([3]characters!$A$1,0,0,COUNTA([3]characters!$A:$A),MATCH(Z$1,[3]characters!$1:$1,0)-MATCH("character_id",[3]characters!$1:$1,0)+1),MATCH(Z$1,[3]characters!$1:$1,0)-MATCH("character_id",[3]characters!$1:$1,0)+1,FALSE),"")</f>
        <v>チェン・リー</v>
      </c>
      <c r="AA39" s="4">
        <f ca="1">IFERROR(VLOOKUP($Y39,OFFSET([3]characters!$A$1,0,0,COUNTA([3]characters!$A:$A),MATCH(AA$1,[3]characters!$1:$1,0)-MATCH("character_id",[3]characters!$1:$1,0)+1),MATCH(AA$1,[3]characters!$1:$1,0)-MATCH("character_id",[3]characters!$1:$1,0)+1,FALSE),"")</f>
        <v>2</v>
      </c>
      <c r="AB39" s="4" t="str">
        <f ca="1">IFERROR(VLOOKUP($Y39,OFFSET([3]characters!$A$1,0,0,COUNTA([3]characters!$A:$A),MATCH(AB$1,[3]characters!$1:$1,0)-MATCH("character_id",[3]characters!$1:$1,0)+1),MATCH(AB$1,[3]characters!$1:$1,0)-MATCH("character_id",[3]characters!$1:$1,0)+1,FALSE),"")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9" s="7">
        <v>5</v>
      </c>
      <c r="AD39" s="46">
        <f t="shared" ca="1" si="0"/>
        <v>2</v>
      </c>
      <c r="AE39" s="8">
        <v>15</v>
      </c>
      <c r="AF39" s="7">
        <v>0</v>
      </c>
      <c r="AG39" s="7">
        <v>0</v>
      </c>
      <c r="AH39" s="7">
        <v>0</v>
      </c>
      <c r="AI39" s="7">
        <v>0</v>
      </c>
      <c r="AJ39" s="7">
        <v>1</v>
      </c>
    </row>
    <row r="40" spans="1:36" ht="21" customHeight="1" x14ac:dyDescent="0.15">
      <c r="A40" s="20" t="str">
        <f t="shared" si="1"/>
        <v>20005_3-4/287&lt;lv60&gt;s3</v>
      </c>
      <c r="B40" s="28">
        <v>20005</v>
      </c>
      <c r="C40" s="27">
        <v>3</v>
      </c>
      <c r="D40" s="2" t="str">
        <f t="shared" ca="1" si="2"/>
        <v>20005_3</v>
      </c>
      <c r="E40" s="4" t="str">
        <f ca="1">VLOOKUP($B40,OFFSET([1]quests!$A$1,0,0,COUNTA([1]quests!$A:$A),MATCH(E$1,[1]quests!$1:$1,0)-MATCH($B$1,[1]quests!$1:$1,0)+1),MATCH(E$1,[1]quests!$1:$1,0)-MATCH($B$1,[1]quests!$1:$1,0)+1,FALSE)</f>
        <v>ザ・キャノン</v>
      </c>
      <c r="F40" s="4" t="str">
        <f ca="1">VLOOKUP($D40,OFFSET([1]stages!$A$1,0,0,COUNTA([1]stages!$A:$A),MATCH(F$1,[1]stages!$2:$2,0)-MATCH($D$1,[1]stages!$2:$2,0)+1),MATCH(F$1,[1]stages!$2:$2,0)-MATCH($D$1,[1]stages!$2:$2,0)+1,FALSE)</f>
        <v>【上級】ザ・キャノン(4タップ)</v>
      </c>
      <c r="G40" s="45">
        <v>4</v>
      </c>
      <c r="H40" s="19" t="str">
        <f t="shared" ca="1" si="3"/>
        <v>20005_3-4</v>
      </c>
      <c r="I40" s="26">
        <v>287</v>
      </c>
      <c r="J40" s="23" t="str">
        <f ca="1">VLOOKUP($I40,OFFSET([2]enemies!$A$1,0,0,COUNTA([2]enemies!$A:$A),MATCH(J$1,[2]enemies!$1:$1,0)-MATCH($I$1,[2]enemies!$1:$1,0)+1),MATCH(J$1,[2]enemies!$1:$1,0)-MATCH($I$1,[2]enemies!$1:$1,0)+1,FALSE)</f>
        <v>ヒュドラ・フルオープン</v>
      </c>
      <c r="K40" s="23" t="str">
        <f ca="1">VLOOKUP($I40,OFFSET([2]enemies!$A$1,0,0,COUNTA([2]enemies!$A:$A),MATCH(K$1,[2]enemies!$1:$1,0)-MATCH($I$1,[2]enemies!$1:$1,0)+1),MATCH(K$1,[2]enemies!$1:$1,0)-MATCH($I$1,[2]enemies!$1:$1,0)+1,FALSE)</f>
        <v>red</v>
      </c>
      <c r="L40" s="24" t="str">
        <f ca="1">VLOOKUP(I40,[3]characters!$A:$J,10,FALSE)</f>
        <v>DropWizW</v>
      </c>
      <c r="M40" s="23" t="str">
        <f ca="1">VLOOKUP($I40,OFFSET([2]enemies!$A$1,0,0,COUNTA([2]enemies!$A:$A),MATCH(M$1,[2]enemies!$1:$1,0)-MATCH($I$1,[2]enemies!$1:$1,0)+1),MATCH(M$1,[2]enemies!$1:$1,0)-MATCH($I$1,[2]enemies!$1:$1,0)+1,FALSE)</f>
        <v>dragon</v>
      </c>
      <c r="N40" s="23">
        <f ca="1">VLOOKUP($I40,OFFSET([2]enemies!$A$1,0,0,COUNTA([2]enemies!$A:$A),MATCH(N$1,[2]enemies!$1:$1,0)-MATCH($I$1,[2]enemies!$1:$1,0)+1),MATCH(N$1,[2]enemies!$1:$1,0)-MATCH($I$1,[2]enemies!$1:$1,0)+1,FALSE)</f>
        <v>30</v>
      </c>
      <c r="O40" s="5">
        <v>60</v>
      </c>
      <c r="P40" s="30">
        <v>2.6</v>
      </c>
      <c r="Q40" s="30">
        <v>4</v>
      </c>
      <c r="R40" s="5">
        <v>0</v>
      </c>
      <c r="S40" s="4" t="str">
        <f ca="1">VLOOKUP($T40,OFFSET([4]enemy_skill_sets!$B$1,0,0,COUNTA([4]enemy_skill_sets!$B:$B),MATCH(J$1,[4]enemy_skill_sets!$1:$1,0)-MATCH($T$1,[4]enemy_skill_sets!$1:$1,0)+2),MATCH(J$1,[4]enemy_skill_sets!$1:$1,0)-MATCH($T$1,[4]enemy_skill_sets!$1:$1,0)+2,FALSE)</f>
        <v>発射準備開始</v>
      </c>
      <c r="T40" s="44">
        <v>28701</v>
      </c>
      <c r="U40" s="6">
        <v>1</v>
      </c>
      <c r="V40" s="6">
        <v>100</v>
      </c>
      <c r="W40" s="6">
        <v>1</v>
      </c>
      <c r="X40" s="44">
        <v>3</v>
      </c>
      <c r="Y40" s="26">
        <v>286</v>
      </c>
      <c r="Z40" s="4" t="str">
        <f ca="1">IFERROR(VLOOKUP($Y40,OFFSET([3]characters!$A$1,0,0,COUNTA([3]characters!$A:$A),MATCH(Z$1,[3]characters!$1:$1,0)-MATCH("character_id",[3]characters!$1:$1,0)+1),MATCH(Z$1,[3]characters!$1:$1,0)-MATCH("character_id",[3]characters!$1:$1,0)+1,FALSE),"")</f>
        <v>ヒュドラ</v>
      </c>
      <c r="AA40" s="4">
        <f ca="1">IFERROR(VLOOKUP($Y40,OFFSET([3]characters!$A$1,0,0,COUNTA([3]characters!$A:$A),MATCH(AA$1,[3]characters!$1:$1,0)-MATCH("character_id",[3]characters!$1:$1,0)+1),MATCH(AA$1,[3]characters!$1:$1,0)-MATCH("character_id",[3]characters!$1:$1,0)+1,FALSE),"")</f>
        <v>3</v>
      </c>
      <c r="AB40" s="4" t="str">
        <f ca="1">IFERROR(VLOOKUP($Y40,OFFSET([3]characters!$A$1,0,0,COUNTA([3]characters!$A:$A),MATCH(AB$1,[3]characters!$1:$1,0)-MATCH("character_id",[3]characters!$1:$1,0)+1),MATCH(AB$1,[3]characters!$1:$1,0)-MATCH("character_id",[3]characters!$1:$1,0)+1,FALSE),"")</f>
        <v>Drop2W</v>
      </c>
      <c r="AC40" s="7">
        <v>1</v>
      </c>
      <c r="AD40" s="46">
        <f t="shared" ca="1" si="0"/>
        <v>3</v>
      </c>
      <c r="AE40" s="8">
        <v>100</v>
      </c>
      <c r="AF40" s="7">
        <v>0</v>
      </c>
      <c r="AG40" s="7">
        <v>0</v>
      </c>
      <c r="AH40" s="7">
        <v>0</v>
      </c>
      <c r="AI40" s="7">
        <v>0</v>
      </c>
      <c r="AJ40" s="7">
        <v>1</v>
      </c>
    </row>
  </sheetData>
  <sheetProtection selectLockedCells="1" selectUnlockedCells="1"/>
  <autoFilter ref="B1:AE2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F14"/>
  <sheetViews>
    <sheetView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G24" sqref="G24"/>
    </sheetView>
  </sheetViews>
  <sheetFormatPr baseColWidth="12" defaultRowHeight="15" x14ac:dyDescent="0.15"/>
  <cols>
    <col min="1" max="1" width="10.1640625" style="21" bestFit="1" customWidth="1"/>
    <col min="2" max="2" width="8.1640625" bestFit="1" customWidth="1"/>
    <col min="3" max="3" width="10.33203125" bestFit="1" customWidth="1"/>
    <col min="4" max="4" width="7.33203125" bestFit="1" customWidth="1"/>
    <col min="5" max="5" width="12.6640625" bestFit="1" customWidth="1"/>
    <col min="6" max="6" width="13.1640625" bestFit="1" customWidth="1"/>
  </cols>
  <sheetData>
    <row r="1" spans="1:6" s="15" customFormat="1" x14ac:dyDescent="0.15">
      <c r="A1" s="15">
        <f>MATCH(A2,INDIRECT(C1&amp;"!A:A"),0)-2</f>
        <v>-1</v>
      </c>
      <c r="B1" s="16" t="str">
        <f>"$"&amp;2+$A$1&amp;":$"&amp;2+$A$1</f>
        <v>$1:$1</v>
      </c>
      <c r="C1" s="15" t="str">
        <f>SUBSTITUTE(RIGHT(CELL("filename",$C$1),LEN(CELL("filename",$C$1))-FIND("]",CELL("filename",$C$1))),".tmp","")</f>
        <v>floors_drop_2_2</v>
      </c>
    </row>
    <row r="2" spans="1:6" s="17" customFormat="1" x14ac:dyDescent="0.15">
      <c r="A2" s="21" t="s">
        <v>32</v>
      </c>
      <c r="B2" s="17" t="s">
        <v>0</v>
      </c>
      <c r="C2" s="17" t="s">
        <v>1</v>
      </c>
      <c r="D2" s="17" t="s">
        <v>13</v>
      </c>
      <c r="E2" s="17" t="s">
        <v>14</v>
      </c>
      <c r="F2" s="17" t="s">
        <v>15</v>
      </c>
    </row>
    <row r="3" spans="1:6" x14ac:dyDescent="0.15">
      <c r="A3" s="22" t="str">
        <f t="shared" ref="A3:A14" si="0">INDIRECT(ADDRESS(ROW()+$A$1,COLUMN(),1,TRUE,$C$1))</f>
        <v>20005_1-1</v>
      </c>
      <c r="B3" s="18">
        <f t="shared" ref="B3:F14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20005</v>
      </c>
      <c r="C3" s="18">
        <f t="shared" si="1"/>
        <v>1</v>
      </c>
      <c r="D3" s="18">
        <f t="shared" si="1"/>
        <v>1</v>
      </c>
      <c r="E3" s="18">
        <f t="shared" si="1"/>
        <v>30</v>
      </c>
      <c r="F3" s="18">
        <f t="shared" si="1"/>
        <v>30</v>
      </c>
    </row>
    <row r="4" spans="1:6" x14ac:dyDescent="0.15">
      <c r="A4" s="22" t="str">
        <f t="shared" si="0"/>
        <v>20005_1-2</v>
      </c>
      <c r="B4" s="18">
        <f t="shared" si="1"/>
        <v>20005</v>
      </c>
      <c r="C4" s="18">
        <f t="shared" si="1"/>
        <v>1</v>
      </c>
      <c r="D4" s="18">
        <f t="shared" si="1"/>
        <v>2</v>
      </c>
      <c r="E4" s="18">
        <f t="shared" si="1"/>
        <v>45</v>
      </c>
      <c r="F4" s="18">
        <f t="shared" si="1"/>
        <v>45</v>
      </c>
    </row>
    <row r="5" spans="1:6" x14ac:dyDescent="0.15">
      <c r="A5" s="22" t="str">
        <f t="shared" si="0"/>
        <v>20005_1-3</v>
      </c>
      <c r="B5" s="18">
        <f t="shared" si="1"/>
        <v>20005</v>
      </c>
      <c r="C5" s="18">
        <f t="shared" si="1"/>
        <v>1</v>
      </c>
      <c r="D5" s="18">
        <f t="shared" si="1"/>
        <v>3</v>
      </c>
      <c r="E5" s="18">
        <f t="shared" si="1"/>
        <v>45</v>
      </c>
      <c r="F5" s="18">
        <f t="shared" si="1"/>
        <v>45</v>
      </c>
    </row>
    <row r="6" spans="1:6" x14ac:dyDescent="0.15">
      <c r="A6" s="22" t="str">
        <f t="shared" si="0"/>
        <v>20005_1-4</v>
      </c>
      <c r="B6" s="18">
        <f t="shared" si="1"/>
        <v>20005</v>
      </c>
      <c r="C6" s="18">
        <f t="shared" si="1"/>
        <v>1</v>
      </c>
      <c r="D6" s="18">
        <f t="shared" si="1"/>
        <v>4</v>
      </c>
      <c r="E6" s="18">
        <f t="shared" si="1"/>
        <v>20</v>
      </c>
      <c r="F6" s="18">
        <f t="shared" si="1"/>
        <v>20</v>
      </c>
    </row>
    <row r="7" spans="1:6" x14ac:dyDescent="0.15">
      <c r="A7" s="22" t="str">
        <f t="shared" si="0"/>
        <v>20005_2-1</v>
      </c>
      <c r="B7" s="18">
        <f t="shared" si="1"/>
        <v>20005</v>
      </c>
      <c r="C7" s="18">
        <f t="shared" si="1"/>
        <v>2</v>
      </c>
      <c r="D7" s="18">
        <f t="shared" si="1"/>
        <v>1</v>
      </c>
      <c r="E7" s="18">
        <f t="shared" si="1"/>
        <v>30</v>
      </c>
      <c r="F7" s="18">
        <f t="shared" si="1"/>
        <v>30</v>
      </c>
    </row>
    <row r="8" spans="1:6" x14ac:dyDescent="0.15">
      <c r="A8" s="22" t="str">
        <f t="shared" si="0"/>
        <v>20005_2-2</v>
      </c>
      <c r="B8" s="18">
        <f t="shared" si="1"/>
        <v>20005</v>
      </c>
      <c r="C8" s="18">
        <f t="shared" si="1"/>
        <v>2</v>
      </c>
      <c r="D8" s="18">
        <f t="shared" si="1"/>
        <v>2</v>
      </c>
      <c r="E8" s="18">
        <f t="shared" si="1"/>
        <v>50</v>
      </c>
      <c r="F8" s="18">
        <f t="shared" si="1"/>
        <v>50</v>
      </c>
    </row>
    <row r="9" spans="1:6" x14ac:dyDescent="0.15">
      <c r="A9" s="22" t="str">
        <f t="shared" si="0"/>
        <v>20005_2-3</v>
      </c>
      <c r="B9" s="18">
        <f t="shared" si="1"/>
        <v>20005</v>
      </c>
      <c r="C9" s="18">
        <f t="shared" si="1"/>
        <v>2</v>
      </c>
      <c r="D9" s="18">
        <f t="shared" si="1"/>
        <v>3</v>
      </c>
      <c r="E9" s="18">
        <f t="shared" si="1"/>
        <v>45</v>
      </c>
      <c r="F9" s="18">
        <f t="shared" si="1"/>
        <v>45</v>
      </c>
    </row>
    <row r="10" spans="1:6" x14ac:dyDescent="0.15">
      <c r="A10" s="22" t="str">
        <f t="shared" si="0"/>
        <v>20005_2-4</v>
      </c>
      <c r="B10" s="18">
        <f t="shared" si="1"/>
        <v>20005</v>
      </c>
      <c r="C10" s="18">
        <f t="shared" si="1"/>
        <v>2</v>
      </c>
      <c r="D10" s="18">
        <f t="shared" si="1"/>
        <v>4</v>
      </c>
      <c r="E10" s="18">
        <f t="shared" si="1"/>
        <v>20</v>
      </c>
      <c r="F10" s="18">
        <f t="shared" si="1"/>
        <v>20</v>
      </c>
    </row>
    <row r="11" spans="1:6" x14ac:dyDescent="0.15">
      <c r="A11" s="22" t="str">
        <f t="shared" si="0"/>
        <v>20005_3-1</v>
      </c>
      <c r="B11" s="18">
        <f t="shared" si="1"/>
        <v>20005</v>
      </c>
      <c r="C11" s="18">
        <f t="shared" si="1"/>
        <v>3</v>
      </c>
      <c r="D11" s="18">
        <f t="shared" si="1"/>
        <v>1</v>
      </c>
      <c r="E11" s="18">
        <f t="shared" si="1"/>
        <v>30</v>
      </c>
      <c r="F11" s="18">
        <f t="shared" si="1"/>
        <v>30</v>
      </c>
    </row>
    <row r="12" spans="1:6" x14ac:dyDescent="0.15">
      <c r="A12" s="22" t="str">
        <f t="shared" si="0"/>
        <v>20005_3-2</v>
      </c>
      <c r="B12" s="18">
        <f t="shared" si="1"/>
        <v>20005</v>
      </c>
      <c r="C12" s="18">
        <f t="shared" si="1"/>
        <v>3</v>
      </c>
      <c r="D12" s="18">
        <f t="shared" si="1"/>
        <v>2</v>
      </c>
      <c r="E12" s="18">
        <f t="shared" si="1"/>
        <v>50</v>
      </c>
      <c r="F12" s="18">
        <f t="shared" si="1"/>
        <v>50</v>
      </c>
    </row>
    <row r="13" spans="1:6" x14ac:dyDescent="0.15">
      <c r="A13" s="22" t="str">
        <f t="shared" si="0"/>
        <v>20005_3-3</v>
      </c>
      <c r="B13" s="18">
        <f t="shared" si="1"/>
        <v>20005</v>
      </c>
      <c r="C13" s="18">
        <f t="shared" si="1"/>
        <v>3</v>
      </c>
      <c r="D13" s="18">
        <f t="shared" si="1"/>
        <v>3</v>
      </c>
      <c r="E13" s="18">
        <f t="shared" si="1"/>
        <v>45</v>
      </c>
      <c r="F13" s="18">
        <f t="shared" si="1"/>
        <v>45</v>
      </c>
    </row>
    <row r="14" spans="1:6" x14ac:dyDescent="0.15">
      <c r="A14" s="22" t="str">
        <f t="shared" si="0"/>
        <v>20005_3-4</v>
      </c>
      <c r="B14" s="18">
        <f t="shared" si="1"/>
        <v>20005</v>
      </c>
      <c r="C14" s="18">
        <f t="shared" si="1"/>
        <v>3</v>
      </c>
      <c r="D14" s="18">
        <f t="shared" si="1"/>
        <v>4</v>
      </c>
      <c r="E14" s="18">
        <f t="shared" si="1"/>
        <v>30</v>
      </c>
      <c r="F14" s="18">
        <f t="shared" si="1"/>
        <v>30</v>
      </c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W41"/>
  <sheetViews>
    <sheetView tabSelected="1"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P44" sqref="P44"/>
    </sheetView>
  </sheetViews>
  <sheetFormatPr baseColWidth="12" defaultRowHeight="15" x14ac:dyDescent="0.15"/>
  <cols>
    <col min="1" max="1" width="13.5" style="21" bestFit="1" customWidth="1"/>
    <col min="2" max="2" width="8.6640625" bestFit="1" customWidth="1"/>
    <col min="3" max="3" width="19.33203125" bestFit="1" customWidth="1"/>
    <col min="4" max="4" width="8" bestFit="1" customWidth="1"/>
    <col min="5" max="5" width="12.1640625" bestFit="1" customWidth="1"/>
    <col min="6" max="6" width="6" bestFit="1" customWidth="1"/>
    <col min="7" max="7" width="13.5" bestFit="1" customWidth="1"/>
    <col min="8" max="8" width="16.6640625" bestFit="1" customWidth="1"/>
    <col min="9" max="9" width="17.6640625" bestFit="1" customWidth="1"/>
    <col min="10" max="10" width="10.33203125" bestFit="1" customWidth="1"/>
    <col min="11" max="11" width="9.33203125" bestFit="1" customWidth="1"/>
    <col min="12" max="12" width="10" bestFit="1" customWidth="1"/>
    <col min="13" max="13" width="8.33203125" bestFit="1" customWidth="1"/>
    <col min="14" max="14" width="7" bestFit="1" customWidth="1"/>
    <col min="15" max="15" width="11.5" bestFit="1" customWidth="1"/>
    <col min="16" max="16" width="14" bestFit="1" customWidth="1"/>
    <col min="17" max="18" width="13.5" bestFit="1" customWidth="1"/>
    <col min="19" max="19" width="8" bestFit="1" customWidth="1"/>
    <col min="20" max="20" width="11.33203125" bestFit="1" customWidth="1"/>
    <col min="21" max="21" width="12.6640625" bestFit="1" customWidth="1"/>
    <col min="22" max="22" width="9.33203125" bestFit="1" customWidth="1"/>
    <col min="23" max="23" width="5" bestFit="1" customWidth="1"/>
  </cols>
  <sheetData>
    <row r="1" spans="1:23" s="15" customFormat="1" x14ac:dyDescent="0.15">
      <c r="A1" s="15">
        <f>MATCH(A2,INDIRECT(C1&amp;"!A:A"),0)-2</f>
        <v>-1</v>
      </c>
      <c r="B1" s="16" t="str">
        <f>"$"&amp;2+$A$1&amp;":$"&amp;2+$A$1</f>
        <v>$1:$1</v>
      </c>
      <c r="C1" s="15" t="str">
        <f>SUBSTITUTE(RIGHT(CELL("filename",$C$1),LEN(CELL("filename",$C$1))-FIND("]",CELL("filename",$C$1))),".tmp","")</f>
        <v>enemy_habitats_drop_2_2</v>
      </c>
    </row>
    <row r="2" spans="1:23" s="17" customFormat="1" x14ac:dyDescent="0.15">
      <c r="A2" s="21" t="s">
        <v>30</v>
      </c>
      <c r="B2" s="17" t="s">
        <v>0</v>
      </c>
      <c r="C2" s="17" t="s">
        <v>1</v>
      </c>
      <c r="D2" s="17" t="s">
        <v>13</v>
      </c>
      <c r="E2" s="17" t="s">
        <v>2</v>
      </c>
      <c r="F2" s="17" t="s">
        <v>3</v>
      </c>
      <c r="G2" s="17" t="s">
        <v>49</v>
      </c>
      <c r="H2" s="17" t="s">
        <v>51</v>
      </c>
      <c r="I2" s="17" t="s">
        <v>53</v>
      </c>
      <c r="J2" s="17" t="s">
        <v>22</v>
      </c>
      <c r="K2" s="17" t="s">
        <v>5</v>
      </c>
      <c r="L2" s="17" t="s">
        <v>6</v>
      </c>
      <c r="M2" s="17" t="s">
        <v>7</v>
      </c>
      <c r="N2" s="17" t="s">
        <v>8</v>
      </c>
      <c r="O2" s="17" t="s">
        <v>9</v>
      </c>
      <c r="P2" s="17" t="s">
        <v>10</v>
      </c>
      <c r="Q2" s="17" t="s">
        <v>11</v>
      </c>
      <c r="R2" s="17" t="s">
        <v>12</v>
      </c>
      <c r="S2" s="17" t="s">
        <v>39</v>
      </c>
      <c r="T2" s="17" t="s">
        <v>41</v>
      </c>
      <c r="U2" s="17" t="s">
        <v>43</v>
      </c>
      <c r="V2" s="17" t="s">
        <v>45</v>
      </c>
      <c r="W2" s="17" t="s">
        <v>47</v>
      </c>
    </row>
    <row r="3" spans="1:23" x14ac:dyDescent="0.15">
      <c r="A3" s="22" t="str">
        <f>INDIRECT(ADDRESS(ROW()+$A$1,COLUMN(),1,TRUE,$C$1))</f>
        <v>20005_1-1/1&lt;lv24&gt;s1</v>
      </c>
      <c r="B3" s="18">
        <f t="shared" ref="B3:W14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20005</v>
      </c>
      <c r="C3" s="18">
        <f t="shared" si="0"/>
        <v>1</v>
      </c>
      <c r="D3" s="18">
        <f t="shared" si="0"/>
        <v>1</v>
      </c>
      <c r="E3" s="18">
        <f t="shared" si="0"/>
        <v>1</v>
      </c>
      <c r="F3" s="18">
        <f t="shared" si="0"/>
        <v>24</v>
      </c>
      <c r="G3" s="18">
        <f t="shared" si="0"/>
        <v>1</v>
      </c>
      <c r="H3" s="18">
        <f t="shared" si="0"/>
        <v>1</v>
      </c>
      <c r="I3" s="18">
        <f t="shared" si="0"/>
        <v>0</v>
      </c>
      <c r="J3" s="18">
        <f t="shared" si="0"/>
        <v>0</v>
      </c>
      <c r="K3" s="18">
        <f t="shared" si="0"/>
        <v>0</v>
      </c>
      <c r="L3" s="18">
        <f t="shared" si="0"/>
        <v>100</v>
      </c>
      <c r="M3" s="18">
        <f t="shared" si="0"/>
        <v>0</v>
      </c>
      <c r="N3" s="18">
        <f t="shared" si="0"/>
        <v>1</v>
      </c>
      <c r="O3" s="18">
        <f t="shared" si="0"/>
        <v>1</v>
      </c>
      <c r="P3" s="18">
        <f t="shared" si="0"/>
        <v>2</v>
      </c>
      <c r="Q3" s="18">
        <f t="shared" si="0"/>
        <v>1</v>
      </c>
      <c r="R3" s="18">
        <f t="shared" si="0"/>
        <v>25</v>
      </c>
      <c r="S3" s="18">
        <f t="shared" si="0"/>
        <v>0</v>
      </c>
      <c r="T3" s="18">
        <f t="shared" si="0"/>
        <v>0</v>
      </c>
      <c r="U3" s="18">
        <f t="shared" si="0"/>
        <v>0</v>
      </c>
      <c r="V3" s="18">
        <f t="shared" si="0"/>
        <v>0</v>
      </c>
      <c r="W3" s="18">
        <f t="shared" si="0"/>
        <v>1</v>
      </c>
    </row>
    <row r="4" spans="1:23" x14ac:dyDescent="0.15">
      <c r="A4" s="22" t="str">
        <f t="shared" ref="A4:A41" si="1">INDIRECT(ADDRESS(ROW()+$A$1,COLUMN(),1,TRUE,$C$1))</f>
        <v>20005_1-1/15&lt;lv24&gt;s3</v>
      </c>
      <c r="B4" s="18">
        <f t="shared" si="0"/>
        <v>20005</v>
      </c>
      <c r="C4" s="18">
        <f t="shared" si="0"/>
        <v>1</v>
      </c>
      <c r="D4" s="18">
        <f t="shared" si="0"/>
        <v>1</v>
      </c>
      <c r="E4" s="18">
        <f t="shared" si="0"/>
        <v>15</v>
      </c>
      <c r="F4" s="18">
        <f t="shared" si="0"/>
        <v>24</v>
      </c>
      <c r="G4" s="18">
        <f t="shared" si="0"/>
        <v>1</v>
      </c>
      <c r="H4" s="18">
        <f t="shared" si="0"/>
        <v>1</v>
      </c>
      <c r="I4" s="18">
        <f t="shared" si="0"/>
        <v>0</v>
      </c>
      <c r="J4" s="18">
        <f t="shared" si="0"/>
        <v>0</v>
      </c>
      <c r="K4" s="18">
        <f t="shared" si="0"/>
        <v>0</v>
      </c>
      <c r="L4" s="18">
        <f t="shared" si="0"/>
        <v>100</v>
      </c>
      <c r="M4" s="18">
        <f t="shared" si="0"/>
        <v>0</v>
      </c>
      <c r="N4" s="18">
        <f t="shared" si="0"/>
        <v>3</v>
      </c>
      <c r="O4" s="18">
        <f t="shared" si="0"/>
        <v>15</v>
      </c>
      <c r="P4" s="18">
        <f t="shared" si="0"/>
        <v>1</v>
      </c>
      <c r="Q4" s="18">
        <f t="shared" si="0"/>
        <v>1</v>
      </c>
      <c r="R4" s="18">
        <f t="shared" si="0"/>
        <v>25</v>
      </c>
      <c r="S4" s="18">
        <f t="shared" si="0"/>
        <v>0</v>
      </c>
      <c r="T4" s="18">
        <f t="shared" si="0"/>
        <v>0</v>
      </c>
      <c r="U4" s="18">
        <f t="shared" si="0"/>
        <v>0</v>
      </c>
      <c r="V4" s="18">
        <f t="shared" si="0"/>
        <v>0</v>
      </c>
      <c r="W4" s="18">
        <f t="shared" si="0"/>
        <v>1</v>
      </c>
    </row>
    <row r="5" spans="1:23" x14ac:dyDescent="0.15">
      <c r="A5" s="22" t="str">
        <f t="shared" si="1"/>
        <v>20005_1-1/21&lt;lv24&gt;s2</v>
      </c>
      <c r="B5" s="18">
        <f t="shared" si="0"/>
        <v>20005</v>
      </c>
      <c r="C5" s="18">
        <f t="shared" si="0"/>
        <v>1</v>
      </c>
      <c r="D5" s="18">
        <f t="shared" si="0"/>
        <v>1</v>
      </c>
      <c r="E5" s="18">
        <f t="shared" si="0"/>
        <v>21</v>
      </c>
      <c r="F5" s="18">
        <f t="shared" si="0"/>
        <v>24</v>
      </c>
      <c r="G5" s="18">
        <f t="shared" si="0"/>
        <v>1</v>
      </c>
      <c r="H5" s="18">
        <f t="shared" si="0"/>
        <v>1</v>
      </c>
      <c r="I5" s="18">
        <f t="shared" si="0"/>
        <v>0</v>
      </c>
      <c r="J5" s="18">
        <f t="shared" si="0"/>
        <v>0</v>
      </c>
      <c r="K5" s="18">
        <f t="shared" si="0"/>
        <v>0</v>
      </c>
      <c r="L5" s="18">
        <f t="shared" si="0"/>
        <v>100</v>
      </c>
      <c r="M5" s="18">
        <f t="shared" si="0"/>
        <v>0</v>
      </c>
      <c r="N5" s="18">
        <f t="shared" si="0"/>
        <v>2</v>
      </c>
      <c r="O5" s="18">
        <f t="shared" si="0"/>
        <v>21</v>
      </c>
      <c r="P5" s="18">
        <f t="shared" si="0"/>
        <v>1</v>
      </c>
      <c r="Q5" s="18">
        <f t="shared" si="0"/>
        <v>1</v>
      </c>
      <c r="R5" s="18">
        <f t="shared" si="0"/>
        <v>25</v>
      </c>
      <c r="S5" s="18">
        <f t="shared" si="0"/>
        <v>0</v>
      </c>
      <c r="T5" s="18">
        <f t="shared" si="0"/>
        <v>0</v>
      </c>
      <c r="U5" s="18">
        <f t="shared" si="0"/>
        <v>0</v>
      </c>
      <c r="V5" s="18">
        <f t="shared" si="0"/>
        <v>0</v>
      </c>
      <c r="W5" s="18">
        <f t="shared" si="0"/>
        <v>1</v>
      </c>
    </row>
    <row r="6" spans="1:23" x14ac:dyDescent="0.15">
      <c r="A6" s="22" t="str">
        <f t="shared" si="1"/>
        <v>20005_1-1/41&lt;lv24&gt;s1</v>
      </c>
      <c r="B6" s="18">
        <f t="shared" si="0"/>
        <v>20005</v>
      </c>
      <c r="C6" s="18">
        <f t="shared" si="0"/>
        <v>1</v>
      </c>
      <c r="D6" s="18">
        <f t="shared" si="0"/>
        <v>1</v>
      </c>
      <c r="E6" s="18">
        <f t="shared" si="0"/>
        <v>41</v>
      </c>
      <c r="F6" s="18">
        <f t="shared" si="0"/>
        <v>24</v>
      </c>
      <c r="G6" s="18">
        <f t="shared" si="0"/>
        <v>1</v>
      </c>
      <c r="H6" s="18">
        <f t="shared" si="0"/>
        <v>1</v>
      </c>
      <c r="I6" s="18">
        <f t="shared" si="0"/>
        <v>0</v>
      </c>
      <c r="J6" s="18">
        <f t="shared" si="0"/>
        <v>0</v>
      </c>
      <c r="K6" s="18">
        <f t="shared" si="0"/>
        <v>0</v>
      </c>
      <c r="L6" s="18">
        <f t="shared" si="0"/>
        <v>100</v>
      </c>
      <c r="M6" s="18">
        <f t="shared" si="0"/>
        <v>0</v>
      </c>
      <c r="N6" s="18">
        <f t="shared" si="0"/>
        <v>1</v>
      </c>
      <c r="O6" s="18">
        <f t="shared" si="0"/>
        <v>41</v>
      </c>
      <c r="P6" s="18">
        <f t="shared" si="0"/>
        <v>1</v>
      </c>
      <c r="Q6" s="18">
        <f t="shared" si="0"/>
        <v>2</v>
      </c>
      <c r="R6" s="18">
        <f t="shared" si="0"/>
        <v>25</v>
      </c>
      <c r="S6" s="18">
        <f t="shared" si="0"/>
        <v>0</v>
      </c>
      <c r="T6" s="18">
        <f t="shared" si="0"/>
        <v>0</v>
      </c>
      <c r="U6" s="18">
        <f t="shared" si="0"/>
        <v>0</v>
      </c>
      <c r="V6" s="18">
        <f t="shared" si="0"/>
        <v>0</v>
      </c>
      <c r="W6" s="18">
        <f t="shared" si="0"/>
        <v>1</v>
      </c>
    </row>
    <row r="7" spans="1:23" x14ac:dyDescent="0.15">
      <c r="A7" s="22" t="str">
        <f t="shared" si="1"/>
        <v>20005_1-2/1&lt;lv24&gt;s1</v>
      </c>
      <c r="B7" s="18">
        <f t="shared" si="0"/>
        <v>20005</v>
      </c>
      <c r="C7" s="18">
        <f t="shared" si="0"/>
        <v>1</v>
      </c>
      <c r="D7" s="18">
        <f t="shared" si="0"/>
        <v>2</v>
      </c>
      <c r="E7" s="18">
        <f t="shared" si="0"/>
        <v>1</v>
      </c>
      <c r="F7" s="18">
        <f t="shared" si="0"/>
        <v>24</v>
      </c>
      <c r="G7" s="18">
        <f t="shared" si="0"/>
        <v>1</v>
      </c>
      <c r="H7" s="18">
        <f t="shared" si="0"/>
        <v>1</v>
      </c>
      <c r="I7" s="18">
        <f t="shared" si="0"/>
        <v>0</v>
      </c>
      <c r="J7" s="18">
        <f t="shared" si="0"/>
        <v>0</v>
      </c>
      <c r="K7" s="18">
        <f t="shared" si="0"/>
        <v>0</v>
      </c>
      <c r="L7" s="18">
        <f t="shared" si="0"/>
        <v>100</v>
      </c>
      <c r="M7" s="18">
        <f t="shared" si="0"/>
        <v>0</v>
      </c>
      <c r="N7" s="18">
        <f t="shared" si="0"/>
        <v>1</v>
      </c>
      <c r="O7" s="18">
        <f t="shared" si="0"/>
        <v>1</v>
      </c>
      <c r="P7" s="18">
        <f t="shared" si="0"/>
        <v>2</v>
      </c>
      <c r="Q7" s="18">
        <f t="shared" si="0"/>
        <v>1</v>
      </c>
      <c r="R7" s="18">
        <f t="shared" si="0"/>
        <v>25</v>
      </c>
      <c r="S7" s="18">
        <f t="shared" si="0"/>
        <v>0</v>
      </c>
      <c r="T7" s="18">
        <f t="shared" si="0"/>
        <v>0</v>
      </c>
      <c r="U7" s="18">
        <f t="shared" si="0"/>
        <v>0</v>
      </c>
      <c r="V7" s="18">
        <f t="shared" si="0"/>
        <v>0</v>
      </c>
      <c r="W7" s="18">
        <f t="shared" si="0"/>
        <v>1</v>
      </c>
    </row>
    <row r="8" spans="1:23" x14ac:dyDescent="0.15">
      <c r="A8" s="22" t="str">
        <f t="shared" si="1"/>
        <v>20005_1-2/15&lt;lv24&gt;s3</v>
      </c>
      <c r="B8" s="18">
        <f t="shared" si="0"/>
        <v>20005</v>
      </c>
      <c r="C8" s="18">
        <f t="shared" si="0"/>
        <v>1</v>
      </c>
      <c r="D8" s="18">
        <f t="shared" si="0"/>
        <v>2</v>
      </c>
      <c r="E8" s="18">
        <f t="shared" si="0"/>
        <v>15</v>
      </c>
      <c r="F8" s="18">
        <f t="shared" si="0"/>
        <v>24</v>
      </c>
      <c r="G8" s="18">
        <f t="shared" si="0"/>
        <v>1</v>
      </c>
      <c r="H8" s="18">
        <f t="shared" si="0"/>
        <v>1</v>
      </c>
      <c r="I8" s="18">
        <f t="shared" si="0"/>
        <v>0</v>
      </c>
      <c r="J8" s="18">
        <f t="shared" si="0"/>
        <v>0</v>
      </c>
      <c r="K8" s="18">
        <f t="shared" si="0"/>
        <v>0</v>
      </c>
      <c r="L8" s="18">
        <f t="shared" si="0"/>
        <v>100</v>
      </c>
      <c r="M8" s="18">
        <f t="shared" si="0"/>
        <v>0</v>
      </c>
      <c r="N8" s="18">
        <f t="shared" si="0"/>
        <v>3</v>
      </c>
      <c r="O8" s="18">
        <f t="shared" si="0"/>
        <v>15</v>
      </c>
      <c r="P8" s="18">
        <f t="shared" si="0"/>
        <v>1</v>
      </c>
      <c r="Q8" s="18">
        <f t="shared" si="0"/>
        <v>1</v>
      </c>
      <c r="R8" s="18">
        <f t="shared" si="0"/>
        <v>25</v>
      </c>
      <c r="S8" s="18">
        <f t="shared" si="0"/>
        <v>0</v>
      </c>
      <c r="T8" s="18">
        <f t="shared" si="0"/>
        <v>0</v>
      </c>
      <c r="U8" s="18">
        <f t="shared" si="0"/>
        <v>0</v>
      </c>
      <c r="V8" s="18">
        <f t="shared" si="0"/>
        <v>0</v>
      </c>
      <c r="W8" s="18">
        <f t="shared" si="0"/>
        <v>1</v>
      </c>
    </row>
    <row r="9" spans="1:23" x14ac:dyDescent="0.15">
      <c r="A9" s="22" t="str">
        <f t="shared" si="1"/>
        <v>20005_1-2/21&lt;lv24&gt;s2</v>
      </c>
      <c r="B9" s="18">
        <f t="shared" si="0"/>
        <v>20005</v>
      </c>
      <c r="C9" s="18">
        <f t="shared" si="0"/>
        <v>1</v>
      </c>
      <c r="D9" s="18">
        <f t="shared" si="0"/>
        <v>2</v>
      </c>
      <c r="E9" s="18">
        <f t="shared" si="0"/>
        <v>21</v>
      </c>
      <c r="F9" s="18">
        <f t="shared" si="0"/>
        <v>24</v>
      </c>
      <c r="G9" s="18">
        <f t="shared" si="0"/>
        <v>1</v>
      </c>
      <c r="H9" s="18">
        <f t="shared" si="0"/>
        <v>1</v>
      </c>
      <c r="I9" s="18">
        <f t="shared" si="0"/>
        <v>0</v>
      </c>
      <c r="J9" s="18">
        <f t="shared" si="0"/>
        <v>0</v>
      </c>
      <c r="K9" s="18">
        <f t="shared" si="0"/>
        <v>0</v>
      </c>
      <c r="L9" s="18">
        <f t="shared" si="0"/>
        <v>100</v>
      </c>
      <c r="M9" s="18">
        <f t="shared" si="0"/>
        <v>0</v>
      </c>
      <c r="N9" s="18">
        <f t="shared" si="0"/>
        <v>2</v>
      </c>
      <c r="O9" s="18">
        <f t="shared" si="0"/>
        <v>21</v>
      </c>
      <c r="P9" s="18">
        <f t="shared" si="0"/>
        <v>1</v>
      </c>
      <c r="Q9" s="18">
        <f t="shared" si="0"/>
        <v>1</v>
      </c>
      <c r="R9" s="18">
        <f t="shared" si="0"/>
        <v>25</v>
      </c>
      <c r="S9" s="18">
        <f t="shared" si="0"/>
        <v>0</v>
      </c>
      <c r="T9" s="18">
        <f t="shared" si="0"/>
        <v>0</v>
      </c>
      <c r="U9" s="18">
        <f t="shared" si="0"/>
        <v>0</v>
      </c>
      <c r="V9" s="18">
        <f t="shared" si="0"/>
        <v>0</v>
      </c>
      <c r="W9" s="18">
        <f t="shared" si="0"/>
        <v>1</v>
      </c>
    </row>
    <row r="10" spans="1:23" x14ac:dyDescent="0.15">
      <c r="A10" s="22" t="str">
        <f t="shared" si="1"/>
        <v>20005_1-2/41&lt;lv24&gt;s1</v>
      </c>
      <c r="B10" s="18">
        <f t="shared" si="0"/>
        <v>20005</v>
      </c>
      <c r="C10" s="18">
        <f t="shared" si="0"/>
        <v>1</v>
      </c>
      <c r="D10" s="18">
        <f t="shared" si="0"/>
        <v>2</v>
      </c>
      <c r="E10" s="18">
        <f t="shared" si="0"/>
        <v>41</v>
      </c>
      <c r="F10" s="18">
        <f t="shared" si="0"/>
        <v>24</v>
      </c>
      <c r="G10" s="18">
        <f t="shared" si="0"/>
        <v>1</v>
      </c>
      <c r="H10" s="18">
        <f t="shared" si="0"/>
        <v>1</v>
      </c>
      <c r="I10" s="18">
        <f t="shared" si="0"/>
        <v>0</v>
      </c>
      <c r="J10" s="18">
        <f t="shared" si="0"/>
        <v>0</v>
      </c>
      <c r="K10" s="18">
        <f t="shared" si="0"/>
        <v>0</v>
      </c>
      <c r="L10" s="18">
        <f t="shared" si="0"/>
        <v>100</v>
      </c>
      <c r="M10" s="18">
        <f t="shared" si="0"/>
        <v>0</v>
      </c>
      <c r="N10" s="18">
        <f t="shared" si="0"/>
        <v>1</v>
      </c>
      <c r="O10" s="18">
        <f t="shared" si="0"/>
        <v>41</v>
      </c>
      <c r="P10" s="18">
        <f t="shared" si="0"/>
        <v>1</v>
      </c>
      <c r="Q10" s="18">
        <f t="shared" si="0"/>
        <v>2</v>
      </c>
      <c r="R10" s="18">
        <f t="shared" si="0"/>
        <v>25</v>
      </c>
      <c r="S10" s="18">
        <f t="shared" si="0"/>
        <v>0</v>
      </c>
      <c r="T10" s="18">
        <f t="shared" si="0"/>
        <v>0</v>
      </c>
      <c r="U10" s="18">
        <f t="shared" si="0"/>
        <v>0</v>
      </c>
      <c r="V10" s="18">
        <f t="shared" si="0"/>
        <v>0</v>
      </c>
      <c r="W10" s="18">
        <f t="shared" si="0"/>
        <v>1</v>
      </c>
    </row>
    <row r="11" spans="1:23" x14ac:dyDescent="0.15">
      <c r="A11" s="22" t="str">
        <f t="shared" si="1"/>
        <v>20005_1-3/1&lt;lv24&gt;s1</v>
      </c>
      <c r="B11" s="18">
        <f t="shared" si="0"/>
        <v>20005</v>
      </c>
      <c r="C11" s="18">
        <f t="shared" si="0"/>
        <v>1</v>
      </c>
      <c r="D11" s="18">
        <f t="shared" si="0"/>
        <v>3</v>
      </c>
      <c r="E11" s="18">
        <f t="shared" si="0"/>
        <v>1</v>
      </c>
      <c r="F11" s="18">
        <f t="shared" si="0"/>
        <v>24</v>
      </c>
      <c r="G11" s="18">
        <f t="shared" si="0"/>
        <v>1</v>
      </c>
      <c r="H11" s="18">
        <f t="shared" si="0"/>
        <v>1</v>
      </c>
      <c r="I11" s="18">
        <f t="shared" si="0"/>
        <v>0</v>
      </c>
      <c r="J11" s="18">
        <f t="shared" si="0"/>
        <v>0</v>
      </c>
      <c r="K11" s="18">
        <f t="shared" si="0"/>
        <v>0</v>
      </c>
      <c r="L11" s="18">
        <f t="shared" si="0"/>
        <v>100</v>
      </c>
      <c r="M11" s="18">
        <f t="shared" si="0"/>
        <v>0</v>
      </c>
      <c r="N11" s="18">
        <f t="shared" si="0"/>
        <v>1</v>
      </c>
      <c r="O11" s="18">
        <f t="shared" si="0"/>
        <v>1</v>
      </c>
      <c r="P11" s="18">
        <f t="shared" si="0"/>
        <v>2</v>
      </c>
      <c r="Q11" s="18">
        <f t="shared" si="0"/>
        <v>1</v>
      </c>
      <c r="R11" s="18">
        <f t="shared" si="0"/>
        <v>25</v>
      </c>
      <c r="S11" s="18">
        <f t="shared" si="0"/>
        <v>0</v>
      </c>
      <c r="T11" s="18">
        <f t="shared" si="0"/>
        <v>0</v>
      </c>
      <c r="U11" s="18">
        <f t="shared" si="0"/>
        <v>0</v>
      </c>
      <c r="V11" s="18">
        <f t="shared" si="0"/>
        <v>0</v>
      </c>
      <c r="W11" s="18">
        <f t="shared" si="0"/>
        <v>1</v>
      </c>
    </row>
    <row r="12" spans="1:23" x14ac:dyDescent="0.15">
      <c r="A12" s="22" t="str">
        <f t="shared" si="1"/>
        <v>20005_1-3/15&lt;lv24&gt;s3</v>
      </c>
      <c r="B12" s="18">
        <f t="shared" si="0"/>
        <v>20005</v>
      </c>
      <c r="C12" s="18">
        <f t="shared" si="0"/>
        <v>1</v>
      </c>
      <c r="D12" s="18">
        <f t="shared" si="0"/>
        <v>3</v>
      </c>
      <c r="E12" s="18">
        <f t="shared" si="0"/>
        <v>15</v>
      </c>
      <c r="F12" s="18">
        <f t="shared" si="0"/>
        <v>24</v>
      </c>
      <c r="G12" s="18">
        <f t="shared" si="0"/>
        <v>1</v>
      </c>
      <c r="H12" s="18">
        <f t="shared" si="0"/>
        <v>1</v>
      </c>
      <c r="I12" s="18">
        <f t="shared" si="0"/>
        <v>0</v>
      </c>
      <c r="J12" s="18">
        <f t="shared" si="0"/>
        <v>0</v>
      </c>
      <c r="K12" s="18">
        <f t="shared" si="0"/>
        <v>0</v>
      </c>
      <c r="L12" s="18">
        <f t="shared" si="0"/>
        <v>100</v>
      </c>
      <c r="M12" s="18">
        <f t="shared" si="0"/>
        <v>0</v>
      </c>
      <c r="N12" s="18">
        <f t="shared" si="0"/>
        <v>3</v>
      </c>
      <c r="O12" s="18">
        <f t="shared" si="0"/>
        <v>15</v>
      </c>
      <c r="P12" s="18">
        <f t="shared" si="0"/>
        <v>1</v>
      </c>
      <c r="Q12" s="18">
        <f t="shared" si="0"/>
        <v>1</v>
      </c>
      <c r="R12" s="18">
        <f t="shared" si="0"/>
        <v>25</v>
      </c>
      <c r="S12" s="18">
        <f t="shared" si="0"/>
        <v>0</v>
      </c>
      <c r="T12" s="18">
        <f t="shared" si="0"/>
        <v>0</v>
      </c>
      <c r="U12" s="18">
        <f t="shared" si="0"/>
        <v>0</v>
      </c>
      <c r="V12" s="18">
        <f t="shared" si="0"/>
        <v>0</v>
      </c>
      <c r="W12" s="18">
        <f t="shared" si="0"/>
        <v>1</v>
      </c>
    </row>
    <row r="13" spans="1:23" x14ac:dyDescent="0.15">
      <c r="A13" s="22" t="str">
        <f t="shared" si="1"/>
        <v>20005_1-3/21&lt;lv24&gt;s2</v>
      </c>
      <c r="B13" s="18">
        <f t="shared" si="0"/>
        <v>20005</v>
      </c>
      <c r="C13" s="18">
        <f t="shared" si="0"/>
        <v>1</v>
      </c>
      <c r="D13" s="18">
        <f t="shared" si="0"/>
        <v>3</v>
      </c>
      <c r="E13" s="18">
        <f t="shared" si="0"/>
        <v>21</v>
      </c>
      <c r="F13" s="18">
        <f t="shared" si="0"/>
        <v>24</v>
      </c>
      <c r="G13" s="18">
        <f t="shared" si="0"/>
        <v>1</v>
      </c>
      <c r="H13" s="18">
        <f t="shared" si="0"/>
        <v>1</v>
      </c>
      <c r="I13" s="18">
        <f t="shared" si="0"/>
        <v>0</v>
      </c>
      <c r="J13" s="18">
        <f t="shared" si="0"/>
        <v>0</v>
      </c>
      <c r="K13" s="18">
        <f t="shared" si="0"/>
        <v>0</v>
      </c>
      <c r="L13" s="18">
        <f t="shared" si="0"/>
        <v>100</v>
      </c>
      <c r="M13" s="18">
        <f t="shared" si="0"/>
        <v>0</v>
      </c>
      <c r="N13" s="18">
        <f t="shared" si="0"/>
        <v>2</v>
      </c>
      <c r="O13" s="18">
        <f t="shared" si="0"/>
        <v>21</v>
      </c>
      <c r="P13" s="18">
        <f t="shared" si="0"/>
        <v>1</v>
      </c>
      <c r="Q13" s="18">
        <f t="shared" si="0"/>
        <v>1</v>
      </c>
      <c r="R13" s="18">
        <f t="shared" si="0"/>
        <v>25</v>
      </c>
      <c r="S13" s="18">
        <f t="shared" si="0"/>
        <v>0</v>
      </c>
      <c r="T13" s="18">
        <f t="shared" si="0"/>
        <v>0</v>
      </c>
      <c r="U13" s="18">
        <f t="shared" si="0"/>
        <v>0</v>
      </c>
      <c r="V13" s="18">
        <f t="shared" si="0"/>
        <v>0</v>
      </c>
      <c r="W13" s="18">
        <f t="shared" si="0"/>
        <v>1</v>
      </c>
    </row>
    <row r="14" spans="1:23" x14ac:dyDescent="0.15">
      <c r="A14" s="22" t="str">
        <f t="shared" si="1"/>
        <v>20005_1-3/41&lt;lv24&gt;s1</v>
      </c>
      <c r="B14" s="18">
        <f t="shared" si="0"/>
        <v>20005</v>
      </c>
      <c r="C14" s="18">
        <f t="shared" si="0"/>
        <v>1</v>
      </c>
      <c r="D14" s="18">
        <f t="shared" si="0"/>
        <v>3</v>
      </c>
      <c r="E14" s="18">
        <f t="shared" si="0"/>
        <v>41</v>
      </c>
      <c r="F14" s="18">
        <f t="shared" si="0"/>
        <v>24</v>
      </c>
      <c r="G14" s="18">
        <f t="shared" si="0"/>
        <v>1</v>
      </c>
      <c r="H14" s="18">
        <f t="shared" si="0"/>
        <v>1</v>
      </c>
      <c r="I14" s="18">
        <f t="shared" si="0"/>
        <v>0</v>
      </c>
      <c r="J14" s="18">
        <f t="shared" si="0"/>
        <v>0</v>
      </c>
      <c r="K14" s="18">
        <f t="shared" si="0"/>
        <v>0</v>
      </c>
      <c r="L14" s="18">
        <f t="shared" si="0"/>
        <v>100</v>
      </c>
      <c r="M14" s="18">
        <f t="shared" si="0"/>
        <v>0</v>
      </c>
      <c r="N14" s="18">
        <f t="shared" si="0"/>
        <v>1</v>
      </c>
      <c r="O14" s="18">
        <f t="shared" ref="O14:W29" si="2">VLOOKUP($A14,OFFSET(INDIRECT($C$1&amp;"!$A1"),0,0,COUNTA(INDIRECT($C$1&amp;"!$A:$A"))+1,MATCH(O$2,INDIRECT($C$1&amp;"!"&amp;$B$1),0)-MATCH($A$2,INDIRECT($C$1&amp;"!"&amp;$B$1),0)+1),MATCH(O$2,INDIRECT($C$1&amp;"!"&amp;$B$1),0)-MATCH($A$2,INDIRECT($C$1&amp;"!"&amp;$B$1),0)+1,FALSE)</f>
        <v>41</v>
      </c>
      <c r="P14" s="18">
        <f t="shared" si="2"/>
        <v>1</v>
      </c>
      <c r="Q14" s="18">
        <f t="shared" si="2"/>
        <v>2</v>
      </c>
      <c r="R14" s="18">
        <f t="shared" si="2"/>
        <v>25</v>
      </c>
      <c r="S14" s="18">
        <f t="shared" si="2"/>
        <v>0</v>
      </c>
      <c r="T14" s="18">
        <f t="shared" si="2"/>
        <v>0</v>
      </c>
      <c r="U14" s="18">
        <f t="shared" si="2"/>
        <v>0</v>
      </c>
      <c r="V14" s="18">
        <f t="shared" si="2"/>
        <v>0</v>
      </c>
      <c r="W14" s="18">
        <f t="shared" si="2"/>
        <v>1</v>
      </c>
    </row>
    <row r="15" spans="1:23" x14ac:dyDescent="0.15">
      <c r="A15" s="22" t="str">
        <f t="shared" si="1"/>
        <v>20005_1-4/286&lt;lv20&gt;s3</v>
      </c>
      <c r="B15" s="18">
        <f t="shared" ref="B15:Q30" si="3">VLOOKUP($A15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20005</v>
      </c>
      <c r="C15" s="18">
        <f t="shared" si="3"/>
        <v>1</v>
      </c>
      <c r="D15" s="18">
        <f t="shared" si="3"/>
        <v>4</v>
      </c>
      <c r="E15" s="18">
        <f t="shared" si="3"/>
        <v>286</v>
      </c>
      <c r="F15" s="18">
        <f t="shared" si="3"/>
        <v>20</v>
      </c>
      <c r="G15" s="18">
        <f t="shared" si="3"/>
        <v>2.5</v>
      </c>
      <c r="H15" s="18">
        <f t="shared" si="3"/>
        <v>1.2</v>
      </c>
      <c r="I15" s="18">
        <f t="shared" si="3"/>
        <v>0</v>
      </c>
      <c r="J15" s="18">
        <f t="shared" si="3"/>
        <v>286</v>
      </c>
      <c r="K15" s="18">
        <f t="shared" si="3"/>
        <v>1</v>
      </c>
      <c r="L15" s="18">
        <f>VLOOKUP($A15,OFFSET(INDIRECT($C$1&amp;"!$A1"),0,0,COUNTA(INDIRECT($C$1&amp;"!$A:$A"))+1,MATCH(L$2,INDIRECT($C$1&amp;"!"&amp;$B$1),0)-MATCH($A$2,INDIRECT($C$1&amp;"!"&amp;$B$1),0)+1),MATCH(L$2,INDIRECT($C$1&amp;"!"&amp;$B$1),0)-MATCH($A$2,INDIRECT($C$1&amp;"!"&amp;$B$1),0)+1,FALSE)</f>
        <v>100</v>
      </c>
      <c r="M15" s="18">
        <f t="shared" si="3"/>
        <v>1</v>
      </c>
      <c r="N15" s="18">
        <f t="shared" si="3"/>
        <v>3</v>
      </c>
      <c r="O15" s="18">
        <f t="shared" si="3"/>
        <v>286</v>
      </c>
      <c r="P15" s="18">
        <f t="shared" si="3"/>
        <v>1</v>
      </c>
      <c r="Q15" s="18">
        <f t="shared" si="3"/>
        <v>3</v>
      </c>
      <c r="R15" s="18">
        <f>VLOOKUP($A15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20</v>
      </c>
      <c r="S15" s="18">
        <f t="shared" si="2"/>
        <v>0</v>
      </c>
      <c r="T15" s="18">
        <f t="shared" si="2"/>
        <v>0</v>
      </c>
      <c r="U15" s="18">
        <f t="shared" si="2"/>
        <v>0</v>
      </c>
      <c r="V15" s="18">
        <f t="shared" si="2"/>
        <v>0</v>
      </c>
      <c r="W15" s="18">
        <f t="shared" si="2"/>
        <v>1</v>
      </c>
    </row>
    <row r="16" spans="1:23" x14ac:dyDescent="0.15">
      <c r="A16" s="22" t="str">
        <f t="shared" si="1"/>
        <v>20005_2-1/15&lt;lv42&gt;s3</v>
      </c>
      <c r="B16" s="18">
        <f t="shared" si="3"/>
        <v>20005</v>
      </c>
      <c r="C16" s="18">
        <f t="shared" si="3"/>
        <v>2</v>
      </c>
      <c r="D16" s="18">
        <f t="shared" si="3"/>
        <v>1</v>
      </c>
      <c r="E16" s="18">
        <f t="shared" si="3"/>
        <v>15</v>
      </c>
      <c r="F16" s="18">
        <f t="shared" si="3"/>
        <v>42</v>
      </c>
      <c r="G16" s="18">
        <f t="shared" si="3"/>
        <v>1</v>
      </c>
      <c r="H16" s="18">
        <f t="shared" si="3"/>
        <v>1</v>
      </c>
      <c r="I16" s="18">
        <f t="shared" si="3"/>
        <v>0</v>
      </c>
      <c r="J16" s="18">
        <f t="shared" si="3"/>
        <v>0</v>
      </c>
      <c r="K16" s="18">
        <f t="shared" si="3"/>
        <v>0</v>
      </c>
      <c r="L16" s="18">
        <f t="shared" si="3"/>
        <v>100</v>
      </c>
      <c r="M16" s="18">
        <f t="shared" si="3"/>
        <v>0</v>
      </c>
      <c r="N16" s="18">
        <f t="shared" si="3"/>
        <v>3</v>
      </c>
      <c r="O16" s="18">
        <f t="shared" si="3"/>
        <v>15</v>
      </c>
      <c r="P16" s="18">
        <f t="shared" si="3"/>
        <v>4</v>
      </c>
      <c r="Q16" s="18">
        <f t="shared" si="3"/>
        <v>1</v>
      </c>
      <c r="R16" s="18">
        <f t="shared" si="2"/>
        <v>15</v>
      </c>
      <c r="S16" s="18">
        <f t="shared" si="2"/>
        <v>0</v>
      </c>
      <c r="T16" s="18">
        <f t="shared" si="2"/>
        <v>0</v>
      </c>
      <c r="U16" s="18">
        <f t="shared" si="2"/>
        <v>0</v>
      </c>
      <c r="V16" s="18">
        <f t="shared" si="2"/>
        <v>0</v>
      </c>
      <c r="W16" s="18">
        <f t="shared" si="2"/>
        <v>1</v>
      </c>
    </row>
    <row r="17" spans="1:23" x14ac:dyDescent="0.15">
      <c r="A17" s="22" t="str">
        <f t="shared" si="1"/>
        <v>20005_2-1/21&lt;lv42&gt;s2</v>
      </c>
      <c r="B17" s="18">
        <f t="shared" si="3"/>
        <v>20005</v>
      </c>
      <c r="C17" s="18">
        <f t="shared" si="3"/>
        <v>2</v>
      </c>
      <c r="D17" s="18">
        <f t="shared" si="3"/>
        <v>1</v>
      </c>
      <c r="E17" s="18">
        <f t="shared" si="3"/>
        <v>21</v>
      </c>
      <c r="F17" s="18">
        <f t="shared" si="3"/>
        <v>42</v>
      </c>
      <c r="G17" s="18">
        <f t="shared" si="3"/>
        <v>1</v>
      </c>
      <c r="H17" s="18">
        <f t="shared" si="3"/>
        <v>1</v>
      </c>
      <c r="I17" s="18">
        <f t="shared" si="3"/>
        <v>0</v>
      </c>
      <c r="J17" s="18">
        <f t="shared" si="3"/>
        <v>0</v>
      </c>
      <c r="K17" s="18">
        <f t="shared" si="3"/>
        <v>0</v>
      </c>
      <c r="L17" s="18">
        <f t="shared" si="3"/>
        <v>100</v>
      </c>
      <c r="M17" s="18">
        <f t="shared" si="3"/>
        <v>0</v>
      </c>
      <c r="N17" s="18">
        <f t="shared" si="3"/>
        <v>2</v>
      </c>
      <c r="O17" s="18">
        <f t="shared" si="3"/>
        <v>21</v>
      </c>
      <c r="P17" s="18">
        <f t="shared" si="3"/>
        <v>2</v>
      </c>
      <c r="Q17" s="18">
        <f t="shared" si="3"/>
        <v>1</v>
      </c>
      <c r="R17" s="18">
        <f t="shared" si="2"/>
        <v>15</v>
      </c>
      <c r="S17" s="18">
        <f t="shared" si="2"/>
        <v>0</v>
      </c>
      <c r="T17" s="18">
        <f t="shared" si="2"/>
        <v>0</v>
      </c>
      <c r="U17" s="18">
        <f t="shared" si="2"/>
        <v>0</v>
      </c>
      <c r="V17" s="18">
        <f t="shared" si="2"/>
        <v>0</v>
      </c>
      <c r="W17" s="18">
        <f t="shared" si="2"/>
        <v>1</v>
      </c>
    </row>
    <row r="18" spans="1:23" x14ac:dyDescent="0.15">
      <c r="A18" s="22" t="str">
        <f t="shared" si="1"/>
        <v>20005_2-1/41&lt;lv42&gt;s1</v>
      </c>
      <c r="B18" s="18">
        <f t="shared" si="3"/>
        <v>20005</v>
      </c>
      <c r="C18" s="18">
        <f t="shared" si="3"/>
        <v>2</v>
      </c>
      <c r="D18" s="18">
        <f t="shared" si="3"/>
        <v>1</v>
      </c>
      <c r="E18" s="18">
        <f t="shared" si="3"/>
        <v>41</v>
      </c>
      <c r="F18" s="18">
        <f t="shared" si="3"/>
        <v>42</v>
      </c>
      <c r="G18" s="18">
        <f t="shared" si="3"/>
        <v>1</v>
      </c>
      <c r="H18" s="18">
        <f t="shared" si="3"/>
        <v>1</v>
      </c>
      <c r="I18" s="18">
        <f t="shared" si="3"/>
        <v>0</v>
      </c>
      <c r="J18" s="18">
        <f t="shared" si="3"/>
        <v>0</v>
      </c>
      <c r="K18" s="18">
        <f t="shared" si="3"/>
        <v>0</v>
      </c>
      <c r="L18" s="18">
        <f t="shared" si="3"/>
        <v>100</v>
      </c>
      <c r="M18" s="18">
        <f t="shared" si="3"/>
        <v>0</v>
      </c>
      <c r="N18" s="18">
        <f t="shared" si="3"/>
        <v>1</v>
      </c>
      <c r="O18" s="18">
        <f t="shared" si="3"/>
        <v>41</v>
      </c>
      <c r="P18" s="18">
        <f t="shared" si="3"/>
        <v>2</v>
      </c>
      <c r="Q18" s="18">
        <f t="shared" si="3"/>
        <v>2</v>
      </c>
      <c r="R18" s="18">
        <f t="shared" si="2"/>
        <v>15</v>
      </c>
      <c r="S18" s="18">
        <f t="shared" si="2"/>
        <v>0</v>
      </c>
      <c r="T18" s="18">
        <f t="shared" si="2"/>
        <v>0</v>
      </c>
      <c r="U18" s="18">
        <f t="shared" si="2"/>
        <v>0</v>
      </c>
      <c r="V18" s="18">
        <f t="shared" si="2"/>
        <v>0</v>
      </c>
      <c r="W18" s="18">
        <f t="shared" si="2"/>
        <v>1</v>
      </c>
    </row>
    <row r="19" spans="1:23" x14ac:dyDescent="0.15">
      <c r="A19" s="22" t="str">
        <f t="shared" si="1"/>
        <v>20005_2-2/15&lt;lv42&gt;s3</v>
      </c>
      <c r="B19" s="18">
        <f t="shared" si="3"/>
        <v>20005</v>
      </c>
      <c r="C19" s="18">
        <f t="shared" si="3"/>
        <v>2</v>
      </c>
      <c r="D19" s="18">
        <f t="shared" si="3"/>
        <v>2</v>
      </c>
      <c r="E19" s="18">
        <f t="shared" si="3"/>
        <v>15</v>
      </c>
      <c r="F19" s="18">
        <f t="shared" si="3"/>
        <v>42</v>
      </c>
      <c r="G19" s="18">
        <f t="shared" si="3"/>
        <v>1</v>
      </c>
      <c r="H19" s="18">
        <f t="shared" si="3"/>
        <v>1</v>
      </c>
      <c r="I19" s="18">
        <f t="shared" si="3"/>
        <v>0</v>
      </c>
      <c r="J19" s="18">
        <f t="shared" si="3"/>
        <v>0</v>
      </c>
      <c r="K19" s="18">
        <f t="shared" si="3"/>
        <v>0</v>
      </c>
      <c r="L19" s="18">
        <f t="shared" si="3"/>
        <v>100</v>
      </c>
      <c r="M19" s="18">
        <f t="shared" si="3"/>
        <v>0</v>
      </c>
      <c r="N19" s="18">
        <f t="shared" si="3"/>
        <v>3</v>
      </c>
      <c r="O19" s="18">
        <f t="shared" si="3"/>
        <v>15</v>
      </c>
      <c r="P19" s="18">
        <f t="shared" si="3"/>
        <v>4</v>
      </c>
      <c r="Q19" s="18">
        <f t="shared" si="3"/>
        <v>1</v>
      </c>
      <c r="R19" s="18">
        <f t="shared" si="2"/>
        <v>0</v>
      </c>
      <c r="S19" s="18">
        <f t="shared" si="2"/>
        <v>0</v>
      </c>
      <c r="T19" s="18">
        <f t="shared" si="2"/>
        <v>0</v>
      </c>
      <c r="U19" s="18">
        <f t="shared" si="2"/>
        <v>0</v>
      </c>
      <c r="V19" s="18">
        <f t="shared" si="2"/>
        <v>0</v>
      </c>
      <c r="W19" s="18">
        <f t="shared" si="2"/>
        <v>1</v>
      </c>
    </row>
    <row r="20" spans="1:23" x14ac:dyDescent="0.15">
      <c r="A20" s="22" t="str">
        <f t="shared" si="1"/>
        <v>20005_2-2/21&lt;lv42&gt;s2</v>
      </c>
      <c r="B20" s="18">
        <f t="shared" si="3"/>
        <v>20005</v>
      </c>
      <c r="C20" s="18">
        <f t="shared" si="3"/>
        <v>2</v>
      </c>
      <c r="D20" s="18">
        <f t="shared" si="3"/>
        <v>2</v>
      </c>
      <c r="E20" s="18">
        <f t="shared" si="3"/>
        <v>21</v>
      </c>
      <c r="F20" s="18">
        <f t="shared" si="3"/>
        <v>42</v>
      </c>
      <c r="G20" s="18">
        <f t="shared" si="3"/>
        <v>1</v>
      </c>
      <c r="H20" s="18">
        <f t="shared" si="3"/>
        <v>1</v>
      </c>
      <c r="I20" s="18">
        <f t="shared" si="3"/>
        <v>0</v>
      </c>
      <c r="J20" s="18">
        <f t="shared" si="3"/>
        <v>0</v>
      </c>
      <c r="K20" s="18">
        <f t="shared" si="3"/>
        <v>0</v>
      </c>
      <c r="L20" s="18">
        <f t="shared" si="3"/>
        <v>100</v>
      </c>
      <c r="M20" s="18">
        <f t="shared" si="3"/>
        <v>0</v>
      </c>
      <c r="N20" s="18">
        <f t="shared" si="3"/>
        <v>2</v>
      </c>
      <c r="O20" s="18">
        <f t="shared" si="3"/>
        <v>21</v>
      </c>
      <c r="P20" s="18">
        <f t="shared" si="3"/>
        <v>2</v>
      </c>
      <c r="Q20" s="18">
        <f t="shared" si="3"/>
        <v>1</v>
      </c>
      <c r="R20" s="18">
        <f t="shared" si="2"/>
        <v>0</v>
      </c>
      <c r="S20" s="18">
        <f t="shared" si="2"/>
        <v>0</v>
      </c>
      <c r="T20" s="18">
        <f t="shared" si="2"/>
        <v>0</v>
      </c>
      <c r="U20" s="18">
        <f t="shared" si="2"/>
        <v>0</v>
      </c>
      <c r="V20" s="18">
        <f t="shared" si="2"/>
        <v>0</v>
      </c>
      <c r="W20" s="18">
        <f t="shared" si="2"/>
        <v>1</v>
      </c>
    </row>
    <row r="21" spans="1:23" x14ac:dyDescent="0.15">
      <c r="A21" s="22" t="str">
        <f t="shared" si="1"/>
        <v>20005_2-2/41&lt;lv42&gt;s1</v>
      </c>
      <c r="B21" s="18">
        <f t="shared" si="3"/>
        <v>20005</v>
      </c>
      <c r="C21" s="18">
        <f t="shared" si="3"/>
        <v>2</v>
      </c>
      <c r="D21" s="18">
        <f t="shared" si="3"/>
        <v>2</v>
      </c>
      <c r="E21" s="18">
        <f t="shared" si="3"/>
        <v>41</v>
      </c>
      <c r="F21" s="18">
        <f t="shared" si="3"/>
        <v>42</v>
      </c>
      <c r="G21" s="18">
        <f t="shared" si="3"/>
        <v>1</v>
      </c>
      <c r="H21" s="18">
        <f t="shared" si="3"/>
        <v>1</v>
      </c>
      <c r="I21" s="18">
        <f t="shared" si="3"/>
        <v>0</v>
      </c>
      <c r="J21" s="18">
        <f t="shared" si="3"/>
        <v>0</v>
      </c>
      <c r="K21" s="18">
        <f t="shared" si="3"/>
        <v>0</v>
      </c>
      <c r="L21" s="18">
        <f t="shared" si="3"/>
        <v>100</v>
      </c>
      <c r="M21" s="18">
        <f t="shared" si="3"/>
        <v>0</v>
      </c>
      <c r="N21" s="18">
        <f t="shared" si="3"/>
        <v>1</v>
      </c>
      <c r="O21" s="18">
        <f t="shared" si="3"/>
        <v>41</v>
      </c>
      <c r="P21" s="18">
        <f t="shared" si="3"/>
        <v>2</v>
      </c>
      <c r="Q21" s="18">
        <f t="shared" si="3"/>
        <v>2</v>
      </c>
      <c r="R21" s="18">
        <f t="shared" si="2"/>
        <v>0</v>
      </c>
      <c r="S21" s="18">
        <f t="shared" si="2"/>
        <v>0</v>
      </c>
      <c r="T21" s="18">
        <f t="shared" si="2"/>
        <v>0</v>
      </c>
      <c r="U21" s="18">
        <f t="shared" si="2"/>
        <v>0</v>
      </c>
      <c r="V21" s="18">
        <f t="shared" si="2"/>
        <v>0</v>
      </c>
      <c r="W21" s="18">
        <f t="shared" si="2"/>
        <v>1</v>
      </c>
    </row>
    <row r="22" spans="1:23" x14ac:dyDescent="0.15">
      <c r="A22" s="22" t="str">
        <f t="shared" si="1"/>
        <v>20005_2-2/33&lt;lv42&gt;s2</v>
      </c>
      <c r="B22" s="18">
        <f t="shared" si="3"/>
        <v>20005</v>
      </c>
      <c r="C22" s="18">
        <f t="shared" si="3"/>
        <v>2</v>
      </c>
      <c r="D22" s="18">
        <f t="shared" si="3"/>
        <v>2</v>
      </c>
      <c r="E22" s="18">
        <f t="shared" si="3"/>
        <v>33</v>
      </c>
      <c r="F22" s="18">
        <f t="shared" si="3"/>
        <v>42</v>
      </c>
      <c r="G22" s="18">
        <f t="shared" si="3"/>
        <v>1</v>
      </c>
      <c r="H22" s="18">
        <f t="shared" si="3"/>
        <v>1</v>
      </c>
      <c r="I22" s="18">
        <f t="shared" si="3"/>
        <v>0</v>
      </c>
      <c r="J22" s="18">
        <f t="shared" si="3"/>
        <v>33</v>
      </c>
      <c r="K22" s="18">
        <f t="shared" si="3"/>
        <v>0</v>
      </c>
      <c r="L22" s="18">
        <f t="shared" si="3"/>
        <v>100</v>
      </c>
      <c r="M22" s="18">
        <f t="shared" si="3"/>
        <v>0</v>
      </c>
      <c r="N22" s="18">
        <f t="shared" si="3"/>
        <v>2</v>
      </c>
      <c r="O22" s="18">
        <f t="shared" si="3"/>
        <v>33</v>
      </c>
      <c r="P22" s="18">
        <f t="shared" si="3"/>
        <v>1</v>
      </c>
      <c r="Q22" s="18">
        <f t="shared" si="3"/>
        <v>2</v>
      </c>
      <c r="R22" s="18">
        <f t="shared" si="2"/>
        <v>0</v>
      </c>
      <c r="S22" s="18">
        <f t="shared" si="2"/>
        <v>0</v>
      </c>
      <c r="T22" s="18">
        <f t="shared" si="2"/>
        <v>0</v>
      </c>
      <c r="U22" s="18">
        <f t="shared" si="2"/>
        <v>0</v>
      </c>
      <c r="V22" s="18">
        <f t="shared" si="2"/>
        <v>0</v>
      </c>
      <c r="W22" s="18">
        <f t="shared" si="2"/>
        <v>1</v>
      </c>
    </row>
    <row r="23" spans="1:23" x14ac:dyDescent="0.15">
      <c r="A23" s="22" t="str">
        <f t="shared" si="1"/>
        <v>20005_2-2/334&lt;lv1&gt;s3</v>
      </c>
      <c r="B23" s="18">
        <f t="shared" si="3"/>
        <v>20005</v>
      </c>
      <c r="C23" s="18">
        <f t="shared" si="3"/>
        <v>2</v>
      </c>
      <c r="D23" s="18">
        <f t="shared" si="3"/>
        <v>2</v>
      </c>
      <c r="E23" s="18">
        <f t="shared" si="3"/>
        <v>334</v>
      </c>
      <c r="F23" s="18">
        <f t="shared" si="3"/>
        <v>1</v>
      </c>
      <c r="G23" s="18">
        <f t="shared" si="3"/>
        <v>1</v>
      </c>
      <c r="H23" s="18">
        <f t="shared" si="3"/>
        <v>35</v>
      </c>
      <c r="I23" s="18">
        <f t="shared" si="3"/>
        <v>0</v>
      </c>
      <c r="J23" s="18">
        <f t="shared" si="3"/>
        <v>0</v>
      </c>
      <c r="K23" s="18">
        <f t="shared" si="3"/>
        <v>1</v>
      </c>
      <c r="L23" s="47">
        <v>100</v>
      </c>
      <c r="M23" s="18">
        <f t="shared" si="3"/>
        <v>1</v>
      </c>
      <c r="N23" s="18">
        <f t="shared" si="3"/>
        <v>3</v>
      </c>
      <c r="O23" s="18">
        <f t="shared" si="3"/>
        <v>334</v>
      </c>
      <c r="P23" s="18">
        <f t="shared" si="3"/>
        <v>1</v>
      </c>
      <c r="Q23" s="18">
        <f t="shared" si="3"/>
        <v>5</v>
      </c>
      <c r="R23" s="18">
        <f t="shared" si="2"/>
        <v>15</v>
      </c>
      <c r="S23" s="18">
        <f t="shared" si="2"/>
        <v>0</v>
      </c>
      <c r="T23" s="18">
        <f t="shared" si="2"/>
        <v>0</v>
      </c>
      <c r="U23" s="18">
        <f t="shared" si="2"/>
        <v>0</v>
      </c>
      <c r="V23" s="18">
        <f t="shared" si="2"/>
        <v>0</v>
      </c>
      <c r="W23" s="18">
        <f t="shared" si="2"/>
        <v>1</v>
      </c>
    </row>
    <row r="24" spans="1:23" x14ac:dyDescent="0.15">
      <c r="A24" s="22" t="str">
        <f t="shared" si="1"/>
        <v>20005_2-3/15&lt;lv42&gt;s3</v>
      </c>
      <c r="B24" s="18">
        <f t="shared" si="3"/>
        <v>20005</v>
      </c>
      <c r="C24" s="18">
        <f t="shared" si="3"/>
        <v>2</v>
      </c>
      <c r="D24" s="18">
        <f t="shared" si="3"/>
        <v>3</v>
      </c>
      <c r="E24" s="18">
        <f t="shared" si="3"/>
        <v>15</v>
      </c>
      <c r="F24" s="18">
        <f t="shared" si="3"/>
        <v>42</v>
      </c>
      <c r="G24" s="18">
        <f t="shared" si="3"/>
        <v>1</v>
      </c>
      <c r="H24" s="18">
        <f t="shared" si="3"/>
        <v>1</v>
      </c>
      <c r="I24" s="18">
        <f t="shared" si="3"/>
        <v>0</v>
      </c>
      <c r="J24" s="18">
        <f t="shared" si="3"/>
        <v>0</v>
      </c>
      <c r="K24" s="18">
        <f t="shared" si="3"/>
        <v>1</v>
      </c>
      <c r="L24" s="47">
        <v>100</v>
      </c>
      <c r="M24" s="18">
        <f t="shared" si="3"/>
        <v>0</v>
      </c>
      <c r="N24" s="18">
        <f t="shared" si="3"/>
        <v>3</v>
      </c>
      <c r="O24" s="18">
        <f t="shared" si="3"/>
        <v>15</v>
      </c>
      <c r="P24" s="18">
        <f t="shared" si="3"/>
        <v>4</v>
      </c>
      <c r="Q24" s="18">
        <f t="shared" si="3"/>
        <v>1</v>
      </c>
      <c r="R24" s="18">
        <f t="shared" si="2"/>
        <v>15</v>
      </c>
      <c r="S24" s="18">
        <f t="shared" si="2"/>
        <v>0</v>
      </c>
      <c r="T24" s="18">
        <f t="shared" si="2"/>
        <v>0</v>
      </c>
      <c r="U24" s="18">
        <f t="shared" si="2"/>
        <v>0</v>
      </c>
      <c r="V24" s="18">
        <f t="shared" si="2"/>
        <v>0</v>
      </c>
      <c r="W24" s="18">
        <f t="shared" si="2"/>
        <v>1</v>
      </c>
    </row>
    <row r="25" spans="1:23" x14ac:dyDescent="0.15">
      <c r="A25" s="22" t="str">
        <f t="shared" si="1"/>
        <v>20005_2-3/21&lt;lv42&gt;s2</v>
      </c>
      <c r="B25" s="18">
        <f t="shared" si="3"/>
        <v>20005</v>
      </c>
      <c r="C25" s="18">
        <f t="shared" si="3"/>
        <v>2</v>
      </c>
      <c r="D25" s="18">
        <f t="shared" si="3"/>
        <v>3</v>
      </c>
      <c r="E25" s="18">
        <f t="shared" si="3"/>
        <v>21</v>
      </c>
      <c r="F25" s="18">
        <f t="shared" si="3"/>
        <v>42</v>
      </c>
      <c r="G25" s="18">
        <f t="shared" si="3"/>
        <v>1</v>
      </c>
      <c r="H25" s="18">
        <f t="shared" si="3"/>
        <v>1</v>
      </c>
      <c r="I25" s="18">
        <f t="shared" si="3"/>
        <v>0</v>
      </c>
      <c r="J25" s="18">
        <f t="shared" si="3"/>
        <v>0</v>
      </c>
      <c r="K25" s="18">
        <f t="shared" si="3"/>
        <v>0</v>
      </c>
      <c r="L25" s="47">
        <v>100</v>
      </c>
      <c r="M25" s="18">
        <f t="shared" si="3"/>
        <v>0</v>
      </c>
      <c r="N25" s="18">
        <f t="shared" si="3"/>
        <v>2</v>
      </c>
      <c r="O25" s="18">
        <f t="shared" si="3"/>
        <v>21</v>
      </c>
      <c r="P25" s="18">
        <f t="shared" si="3"/>
        <v>2</v>
      </c>
      <c r="Q25" s="18">
        <f t="shared" si="3"/>
        <v>1</v>
      </c>
      <c r="R25" s="18">
        <f t="shared" si="2"/>
        <v>15</v>
      </c>
      <c r="S25" s="18">
        <f t="shared" si="2"/>
        <v>0</v>
      </c>
      <c r="T25" s="18">
        <f t="shared" si="2"/>
        <v>0</v>
      </c>
      <c r="U25" s="18">
        <f t="shared" si="2"/>
        <v>0</v>
      </c>
      <c r="V25" s="18">
        <f t="shared" si="2"/>
        <v>0</v>
      </c>
      <c r="W25" s="18">
        <f t="shared" si="2"/>
        <v>1</v>
      </c>
    </row>
    <row r="26" spans="1:23" x14ac:dyDescent="0.15">
      <c r="A26" s="22" t="str">
        <f t="shared" si="1"/>
        <v>20005_2-3/41&lt;lv42&gt;s1</v>
      </c>
      <c r="B26" s="18">
        <f t="shared" si="3"/>
        <v>20005</v>
      </c>
      <c r="C26" s="18">
        <f t="shared" si="3"/>
        <v>2</v>
      </c>
      <c r="D26" s="18">
        <f t="shared" si="3"/>
        <v>3</v>
      </c>
      <c r="E26" s="18">
        <f t="shared" si="3"/>
        <v>41</v>
      </c>
      <c r="F26" s="18">
        <f t="shared" si="3"/>
        <v>42</v>
      </c>
      <c r="G26" s="18">
        <f t="shared" si="3"/>
        <v>1</v>
      </c>
      <c r="H26" s="18">
        <f t="shared" si="3"/>
        <v>1</v>
      </c>
      <c r="I26" s="18">
        <f t="shared" si="3"/>
        <v>0</v>
      </c>
      <c r="J26" s="18">
        <f t="shared" si="3"/>
        <v>0</v>
      </c>
      <c r="K26" s="18">
        <f t="shared" si="3"/>
        <v>0</v>
      </c>
      <c r="L26" s="18">
        <f t="shared" si="3"/>
        <v>50</v>
      </c>
      <c r="M26" s="18">
        <f t="shared" si="3"/>
        <v>0</v>
      </c>
      <c r="N26" s="18">
        <f t="shared" si="3"/>
        <v>1</v>
      </c>
      <c r="O26" s="18">
        <f t="shared" si="3"/>
        <v>41</v>
      </c>
      <c r="P26" s="18">
        <f t="shared" si="3"/>
        <v>2</v>
      </c>
      <c r="Q26" s="18">
        <f t="shared" si="3"/>
        <v>2</v>
      </c>
      <c r="R26" s="18">
        <f t="shared" si="2"/>
        <v>15</v>
      </c>
      <c r="S26" s="18">
        <f t="shared" si="2"/>
        <v>0</v>
      </c>
      <c r="T26" s="18">
        <f t="shared" si="2"/>
        <v>0</v>
      </c>
      <c r="U26" s="18">
        <f t="shared" si="2"/>
        <v>0</v>
      </c>
      <c r="V26" s="18">
        <f t="shared" si="2"/>
        <v>0</v>
      </c>
      <c r="W26" s="18">
        <f t="shared" si="2"/>
        <v>1</v>
      </c>
    </row>
    <row r="27" spans="1:23" x14ac:dyDescent="0.15">
      <c r="A27" s="22" t="str">
        <f t="shared" si="1"/>
        <v>20005_2-3/33&lt;lv42&gt;s2</v>
      </c>
      <c r="B27" s="18">
        <f t="shared" si="3"/>
        <v>20005</v>
      </c>
      <c r="C27" s="18">
        <f t="shared" si="3"/>
        <v>2</v>
      </c>
      <c r="D27" s="18">
        <f t="shared" si="3"/>
        <v>3</v>
      </c>
      <c r="E27" s="18">
        <f t="shared" si="3"/>
        <v>33</v>
      </c>
      <c r="F27" s="18">
        <f t="shared" si="3"/>
        <v>42</v>
      </c>
      <c r="G27" s="18">
        <f t="shared" si="3"/>
        <v>1</v>
      </c>
      <c r="H27" s="18">
        <f t="shared" si="3"/>
        <v>1</v>
      </c>
      <c r="I27" s="18">
        <f t="shared" si="3"/>
        <v>0</v>
      </c>
      <c r="J27" s="18">
        <f t="shared" si="3"/>
        <v>33</v>
      </c>
      <c r="K27" s="18">
        <f t="shared" si="3"/>
        <v>0</v>
      </c>
      <c r="L27" s="18">
        <f t="shared" si="3"/>
        <v>50</v>
      </c>
      <c r="M27" s="18">
        <f t="shared" si="3"/>
        <v>0</v>
      </c>
      <c r="N27" s="18">
        <f t="shared" si="3"/>
        <v>2</v>
      </c>
      <c r="O27" s="18">
        <f t="shared" si="3"/>
        <v>33</v>
      </c>
      <c r="P27" s="18">
        <f t="shared" si="3"/>
        <v>1</v>
      </c>
      <c r="Q27" s="18">
        <f t="shared" si="3"/>
        <v>2</v>
      </c>
      <c r="R27" s="18">
        <f t="shared" si="2"/>
        <v>15</v>
      </c>
      <c r="S27" s="18">
        <f t="shared" si="2"/>
        <v>0</v>
      </c>
      <c r="T27" s="18">
        <f t="shared" si="2"/>
        <v>0</v>
      </c>
      <c r="U27" s="18">
        <f t="shared" si="2"/>
        <v>0</v>
      </c>
      <c r="V27" s="18">
        <f t="shared" si="2"/>
        <v>0</v>
      </c>
      <c r="W27" s="18">
        <f t="shared" si="2"/>
        <v>1</v>
      </c>
    </row>
    <row r="28" spans="1:23" x14ac:dyDescent="0.15">
      <c r="A28" s="22" t="str">
        <f t="shared" si="1"/>
        <v>20005_2-4/286&lt;lv46&gt;s3</v>
      </c>
      <c r="B28" s="18">
        <f t="shared" si="3"/>
        <v>20005</v>
      </c>
      <c r="C28" s="18">
        <f t="shared" si="3"/>
        <v>2</v>
      </c>
      <c r="D28" s="18">
        <f t="shared" si="3"/>
        <v>4</v>
      </c>
      <c r="E28" s="18">
        <f t="shared" si="3"/>
        <v>286</v>
      </c>
      <c r="F28" s="18">
        <f t="shared" si="3"/>
        <v>46</v>
      </c>
      <c r="G28" s="18">
        <f t="shared" si="3"/>
        <v>3.1</v>
      </c>
      <c r="H28" s="18">
        <f t="shared" si="3"/>
        <v>3</v>
      </c>
      <c r="I28" s="18">
        <f t="shared" si="3"/>
        <v>0</v>
      </c>
      <c r="J28" s="18">
        <f t="shared" si="3"/>
        <v>286</v>
      </c>
      <c r="K28" s="18">
        <f t="shared" si="3"/>
        <v>1</v>
      </c>
      <c r="L28" s="18">
        <f>VLOOKUP($A28,OFFSET(INDIRECT($C$1&amp;"!$A1"),0,0,COUNTA(INDIRECT($C$1&amp;"!$A:$A"))+1,MATCH(L$2,INDIRECT($C$1&amp;"!"&amp;$B$1),0)-MATCH($A$2,INDIRECT($C$1&amp;"!"&amp;$B$1),0)+1),MATCH(L$2,INDIRECT($C$1&amp;"!"&amp;$B$1),0)-MATCH($A$2,INDIRECT($C$1&amp;"!"&amp;$B$1),0)+1,FALSE)</f>
        <v>100</v>
      </c>
      <c r="M28" s="18">
        <f t="shared" si="3"/>
        <v>1</v>
      </c>
      <c r="N28" s="18">
        <f t="shared" si="3"/>
        <v>3</v>
      </c>
      <c r="O28" s="18">
        <f t="shared" si="3"/>
        <v>286</v>
      </c>
      <c r="P28" s="18">
        <f t="shared" si="3"/>
        <v>1</v>
      </c>
      <c r="Q28" s="18">
        <f t="shared" si="3"/>
        <v>3</v>
      </c>
      <c r="R28" s="18">
        <f>VLOOKUP($A28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50</v>
      </c>
      <c r="S28" s="18">
        <f t="shared" si="2"/>
        <v>0</v>
      </c>
      <c r="T28" s="18">
        <f t="shared" si="2"/>
        <v>0</v>
      </c>
      <c r="U28" s="18">
        <f t="shared" si="2"/>
        <v>0</v>
      </c>
      <c r="V28" s="18">
        <f t="shared" si="2"/>
        <v>0</v>
      </c>
      <c r="W28" s="18">
        <f t="shared" si="2"/>
        <v>1</v>
      </c>
    </row>
    <row r="29" spans="1:23" x14ac:dyDescent="0.15">
      <c r="A29" s="22" t="str">
        <f t="shared" si="1"/>
        <v>20005_3-1/21&lt;lv55&gt;s2</v>
      </c>
      <c r="B29" s="18">
        <f t="shared" si="3"/>
        <v>20005</v>
      </c>
      <c r="C29" s="18">
        <f t="shared" si="3"/>
        <v>3</v>
      </c>
      <c r="D29" s="18">
        <f t="shared" si="3"/>
        <v>1</v>
      </c>
      <c r="E29" s="18">
        <f t="shared" si="3"/>
        <v>21</v>
      </c>
      <c r="F29" s="18">
        <f t="shared" si="3"/>
        <v>55</v>
      </c>
      <c r="G29" s="18">
        <f t="shared" si="3"/>
        <v>1.33</v>
      </c>
      <c r="H29" s="18">
        <f t="shared" si="3"/>
        <v>1</v>
      </c>
      <c r="I29" s="18">
        <f t="shared" si="3"/>
        <v>0</v>
      </c>
      <c r="J29" s="18">
        <f t="shared" si="3"/>
        <v>0</v>
      </c>
      <c r="K29" s="18">
        <f t="shared" si="3"/>
        <v>0</v>
      </c>
      <c r="L29" s="18">
        <f t="shared" si="3"/>
        <v>100</v>
      </c>
      <c r="M29" s="18">
        <f t="shared" si="3"/>
        <v>0</v>
      </c>
      <c r="N29" s="18">
        <f t="shared" si="3"/>
        <v>2</v>
      </c>
      <c r="O29" s="18">
        <f t="shared" si="3"/>
        <v>21</v>
      </c>
      <c r="P29" s="18">
        <f t="shared" si="3"/>
        <v>5</v>
      </c>
      <c r="Q29" s="18">
        <f t="shared" si="3"/>
        <v>1</v>
      </c>
      <c r="R29" s="18">
        <f t="shared" si="2"/>
        <v>15</v>
      </c>
      <c r="S29" s="18">
        <f t="shared" si="2"/>
        <v>0</v>
      </c>
      <c r="T29" s="18">
        <f t="shared" si="2"/>
        <v>0</v>
      </c>
      <c r="U29" s="18">
        <f t="shared" si="2"/>
        <v>0</v>
      </c>
      <c r="V29" s="18">
        <f t="shared" si="2"/>
        <v>0</v>
      </c>
      <c r="W29" s="18">
        <f t="shared" si="2"/>
        <v>1</v>
      </c>
    </row>
    <row r="30" spans="1:23" x14ac:dyDescent="0.15">
      <c r="A30" s="22" t="str">
        <f t="shared" si="1"/>
        <v>20005_3-1/41&lt;lv55&gt;s1</v>
      </c>
      <c r="B30" s="18">
        <f t="shared" si="3"/>
        <v>20005</v>
      </c>
      <c r="C30" s="18">
        <f t="shared" si="3"/>
        <v>3</v>
      </c>
      <c r="D30" s="18">
        <f t="shared" si="3"/>
        <v>1</v>
      </c>
      <c r="E30" s="18">
        <f t="shared" si="3"/>
        <v>41</v>
      </c>
      <c r="F30" s="18">
        <f t="shared" si="3"/>
        <v>55</v>
      </c>
      <c r="G30" s="18">
        <f t="shared" si="3"/>
        <v>1.33</v>
      </c>
      <c r="H30" s="18">
        <f t="shared" si="3"/>
        <v>1</v>
      </c>
      <c r="I30" s="18">
        <f t="shared" si="3"/>
        <v>0</v>
      </c>
      <c r="J30" s="18">
        <f t="shared" si="3"/>
        <v>0</v>
      </c>
      <c r="K30" s="18">
        <f t="shared" si="3"/>
        <v>0</v>
      </c>
      <c r="L30" s="18">
        <f t="shared" si="3"/>
        <v>100</v>
      </c>
      <c r="M30" s="18">
        <f t="shared" si="3"/>
        <v>0</v>
      </c>
      <c r="N30" s="18">
        <f t="shared" si="3"/>
        <v>1</v>
      </c>
      <c r="O30" s="18">
        <f t="shared" si="3"/>
        <v>41</v>
      </c>
      <c r="P30" s="18">
        <f t="shared" si="3"/>
        <v>5</v>
      </c>
      <c r="Q30" s="18">
        <f t="shared" ref="Q30:W41" si="4">VLOOKUP($A30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30" s="18">
        <f t="shared" si="4"/>
        <v>15</v>
      </c>
      <c r="S30" s="18">
        <f t="shared" si="4"/>
        <v>0</v>
      </c>
      <c r="T30" s="18">
        <f t="shared" si="4"/>
        <v>0</v>
      </c>
      <c r="U30" s="18">
        <f t="shared" si="4"/>
        <v>0</v>
      </c>
      <c r="V30" s="18">
        <f t="shared" si="4"/>
        <v>0</v>
      </c>
      <c r="W30" s="18">
        <f t="shared" si="4"/>
        <v>1</v>
      </c>
    </row>
    <row r="31" spans="1:23" x14ac:dyDescent="0.15">
      <c r="A31" s="22" t="str">
        <f t="shared" si="1"/>
        <v>20005_3-1/57&lt;lv55&gt;s2</v>
      </c>
      <c r="B31" s="18">
        <f t="shared" ref="B31:Q41" si="5">VLOOKUP($A31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20005</v>
      </c>
      <c r="C31" s="18">
        <f t="shared" si="5"/>
        <v>3</v>
      </c>
      <c r="D31" s="18">
        <f t="shared" si="5"/>
        <v>1</v>
      </c>
      <c r="E31" s="18">
        <f t="shared" si="5"/>
        <v>57</v>
      </c>
      <c r="F31" s="18">
        <f t="shared" si="5"/>
        <v>55</v>
      </c>
      <c r="G31" s="18">
        <f t="shared" si="5"/>
        <v>1.33</v>
      </c>
      <c r="H31" s="18">
        <f t="shared" si="5"/>
        <v>1</v>
      </c>
      <c r="I31" s="18">
        <f t="shared" si="5"/>
        <v>0</v>
      </c>
      <c r="J31" s="18">
        <f t="shared" si="5"/>
        <v>57</v>
      </c>
      <c r="K31" s="18">
        <f t="shared" si="5"/>
        <v>0</v>
      </c>
      <c r="L31" s="18">
        <f t="shared" si="5"/>
        <v>55</v>
      </c>
      <c r="M31" s="18">
        <f t="shared" si="5"/>
        <v>0</v>
      </c>
      <c r="N31" s="18">
        <f t="shared" si="5"/>
        <v>2</v>
      </c>
      <c r="O31" s="18">
        <f t="shared" si="5"/>
        <v>57</v>
      </c>
      <c r="P31" s="18">
        <f t="shared" si="5"/>
        <v>5</v>
      </c>
      <c r="Q31" s="18">
        <f t="shared" si="5"/>
        <v>2</v>
      </c>
      <c r="R31" s="18">
        <f t="shared" si="4"/>
        <v>15</v>
      </c>
      <c r="S31" s="18">
        <f t="shared" si="4"/>
        <v>0</v>
      </c>
      <c r="T31" s="18">
        <f t="shared" si="4"/>
        <v>0</v>
      </c>
      <c r="U31" s="18">
        <f t="shared" si="4"/>
        <v>0</v>
      </c>
      <c r="V31" s="18">
        <f t="shared" si="4"/>
        <v>0</v>
      </c>
      <c r="W31" s="18">
        <f t="shared" si="4"/>
        <v>1</v>
      </c>
    </row>
    <row r="32" spans="1:23" x14ac:dyDescent="0.15">
      <c r="A32" s="22" t="str">
        <f t="shared" si="1"/>
        <v>20005_3-2/21&lt;lv58&gt;s2</v>
      </c>
      <c r="B32" s="18">
        <f t="shared" si="5"/>
        <v>20005</v>
      </c>
      <c r="C32" s="18">
        <f t="shared" si="5"/>
        <v>3</v>
      </c>
      <c r="D32" s="18">
        <f t="shared" si="5"/>
        <v>2</v>
      </c>
      <c r="E32" s="18">
        <f t="shared" si="5"/>
        <v>21</v>
      </c>
      <c r="F32" s="18">
        <f t="shared" si="5"/>
        <v>58</v>
      </c>
      <c r="G32" s="18">
        <f t="shared" si="5"/>
        <v>1.33</v>
      </c>
      <c r="H32" s="18">
        <f t="shared" si="5"/>
        <v>1</v>
      </c>
      <c r="I32" s="18">
        <f t="shared" si="5"/>
        <v>0</v>
      </c>
      <c r="J32" s="18">
        <f t="shared" si="5"/>
        <v>0</v>
      </c>
      <c r="K32" s="18">
        <f t="shared" si="5"/>
        <v>0</v>
      </c>
      <c r="L32" s="18">
        <f t="shared" si="5"/>
        <v>100</v>
      </c>
      <c r="M32" s="18">
        <f t="shared" si="5"/>
        <v>0</v>
      </c>
      <c r="N32" s="18">
        <f t="shared" si="5"/>
        <v>2</v>
      </c>
      <c r="O32" s="18">
        <f t="shared" si="5"/>
        <v>21</v>
      </c>
      <c r="P32" s="18">
        <f t="shared" si="5"/>
        <v>5</v>
      </c>
      <c r="Q32" s="18">
        <f t="shared" si="5"/>
        <v>1</v>
      </c>
      <c r="R32" s="18">
        <f t="shared" si="4"/>
        <v>0</v>
      </c>
      <c r="S32" s="18">
        <f t="shared" si="4"/>
        <v>0</v>
      </c>
      <c r="T32" s="18">
        <f t="shared" si="4"/>
        <v>0</v>
      </c>
      <c r="U32" s="18">
        <f t="shared" si="4"/>
        <v>0</v>
      </c>
      <c r="V32" s="18">
        <f t="shared" si="4"/>
        <v>0</v>
      </c>
      <c r="W32" s="18">
        <f t="shared" si="4"/>
        <v>1</v>
      </c>
    </row>
    <row r="33" spans="1:23" x14ac:dyDescent="0.15">
      <c r="A33" s="22" t="str">
        <f t="shared" si="1"/>
        <v>20005_3-2/41&lt;lv58&gt;s1</v>
      </c>
      <c r="B33" s="18">
        <f t="shared" si="5"/>
        <v>20005</v>
      </c>
      <c r="C33" s="18">
        <f t="shared" si="5"/>
        <v>3</v>
      </c>
      <c r="D33" s="18">
        <f t="shared" si="5"/>
        <v>2</v>
      </c>
      <c r="E33" s="18">
        <f t="shared" si="5"/>
        <v>41</v>
      </c>
      <c r="F33" s="18">
        <f t="shared" si="5"/>
        <v>58</v>
      </c>
      <c r="G33" s="18">
        <f t="shared" si="5"/>
        <v>1.33</v>
      </c>
      <c r="H33" s="18">
        <f t="shared" si="5"/>
        <v>1</v>
      </c>
      <c r="I33" s="18">
        <f t="shared" si="5"/>
        <v>0</v>
      </c>
      <c r="J33" s="18">
        <f t="shared" si="5"/>
        <v>0</v>
      </c>
      <c r="K33" s="18">
        <f t="shared" si="5"/>
        <v>0</v>
      </c>
      <c r="L33" s="18">
        <f t="shared" si="5"/>
        <v>100</v>
      </c>
      <c r="M33" s="18">
        <f t="shared" si="5"/>
        <v>0</v>
      </c>
      <c r="N33" s="18">
        <f t="shared" si="5"/>
        <v>1</v>
      </c>
      <c r="O33" s="18">
        <f t="shared" si="5"/>
        <v>41</v>
      </c>
      <c r="P33" s="18">
        <f t="shared" si="5"/>
        <v>5</v>
      </c>
      <c r="Q33" s="18">
        <f t="shared" si="5"/>
        <v>2</v>
      </c>
      <c r="R33" s="18">
        <f t="shared" si="4"/>
        <v>0</v>
      </c>
      <c r="S33" s="18">
        <f t="shared" si="4"/>
        <v>0</v>
      </c>
      <c r="T33" s="18">
        <f t="shared" si="4"/>
        <v>0</v>
      </c>
      <c r="U33" s="18">
        <f t="shared" si="4"/>
        <v>0</v>
      </c>
      <c r="V33" s="18">
        <f t="shared" si="4"/>
        <v>0</v>
      </c>
      <c r="W33" s="18">
        <f t="shared" si="4"/>
        <v>1</v>
      </c>
    </row>
    <row r="34" spans="1:23" x14ac:dyDescent="0.15">
      <c r="A34" s="22" t="str">
        <f t="shared" si="1"/>
        <v>20005_3-2/65&lt;lv58&gt;s2</v>
      </c>
      <c r="B34" s="18">
        <f t="shared" si="5"/>
        <v>20005</v>
      </c>
      <c r="C34" s="18">
        <f t="shared" si="5"/>
        <v>3</v>
      </c>
      <c r="D34" s="18">
        <f t="shared" si="5"/>
        <v>2</v>
      </c>
      <c r="E34" s="18">
        <f t="shared" si="5"/>
        <v>65</v>
      </c>
      <c r="F34" s="18">
        <f t="shared" si="5"/>
        <v>58</v>
      </c>
      <c r="G34" s="18">
        <f t="shared" si="5"/>
        <v>1.33</v>
      </c>
      <c r="H34" s="18">
        <f t="shared" si="5"/>
        <v>1</v>
      </c>
      <c r="I34" s="18">
        <f t="shared" si="5"/>
        <v>0</v>
      </c>
      <c r="J34" s="18">
        <f t="shared" si="5"/>
        <v>0</v>
      </c>
      <c r="K34" s="18">
        <f t="shared" si="5"/>
        <v>0</v>
      </c>
      <c r="L34" s="18">
        <f t="shared" si="5"/>
        <v>100</v>
      </c>
      <c r="M34" s="18">
        <f t="shared" si="5"/>
        <v>0</v>
      </c>
      <c r="N34" s="18">
        <f t="shared" si="5"/>
        <v>2</v>
      </c>
      <c r="O34" s="18">
        <f t="shared" si="5"/>
        <v>65</v>
      </c>
      <c r="P34" s="18">
        <f t="shared" si="5"/>
        <v>3</v>
      </c>
      <c r="Q34" s="18">
        <f t="shared" si="5"/>
        <v>2</v>
      </c>
      <c r="R34" s="18">
        <f t="shared" si="4"/>
        <v>0</v>
      </c>
      <c r="S34" s="18">
        <f t="shared" si="4"/>
        <v>0</v>
      </c>
      <c r="T34" s="18">
        <f t="shared" si="4"/>
        <v>0</v>
      </c>
      <c r="U34" s="18">
        <f t="shared" si="4"/>
        <v>0</v>
      </c>
      <c r="V34" s="18">
        <f t="shared" si="4"/>
        <v>0</v>
      </c>
      <c r="W34" s="18">
        <f t="shared" si="4"/>
        <v>1</v>
      </c>
    </row>
    <row r="35" spans="1:23" x14ac:dyDescent="0.15">
      <c r="A35" s="22" t="str">
        <f t="shared" si="1"/>
        <v>20005_3-2/57&lt;lv58&gt;s2</v>
      </c>
      <c r="B35" s="18">
        <f t="shared" si="5"/>
        <v>20005</v>
      </c>
      <c r="C35" s="18">
        <f t="shared" si="5"/>
        <v>3</v>
      </c>
      <c r="D35" s="18">
        <f t="shared" si="5"/>
        <v>2</v>
      </c>
      <c r="E35" s="18">
        <f t="shared" si="5"/>
        <v>57</v>
      </c>
      <c r="F35" s="18">
        <f t="shared" si="5"/>
        <v>58</v>
      </c>
      <c r="G35" s="18">
        <f t="shared" si="5"/>
        <v>1.33</v>
      </c>
      <c r="H35" s="18">
        <f t="shared" si="5"/>
        <v>1</v>
      </c>
      <c r="I35" s="18">
        <f t="shared" si="5"/>
        <v>0</v>
      </c>
      <c r="J35" s="18">
        <f t="shared" si="5"/>
        <v>57</v>
      </c>
      <c r="K35" s="18">
        <f t="shared" si="5"/>
        <v>0</v>
      </c>
      <c r="L35" s="18">
        <f t="shared" si="5"/>
        <v>55</v>
      </c>
      <c r="M35" s="18">
        <f t="shared" si="5"/>
        <v>0</v>
      </c>
      <c r="N35" s="18">
        <f t="shared" si="5"/>
        <v>2</v>
      </c>
      <c r="O35" s="18">
        <f t="shared" si="5"/>
        <v>57</v>
      </c>
      <c r="P35" s="18">
        <f t="shared" si="5"/>
        <v>5</v>
      </c>
      <c r="Q35" s="18">
        <f t="shared" si="5"/>
        <v>2</v>
      </c>
      <c r="R35" s="18">
        <f t="shared" si="4"/>
        <v>0</v>
      </c>
      <c r="S35" s="18">
        <f t="shared" si="4"/>
        <v>0</v>
      </c>
      <c r="T35" s="18">
        <f t="shared" si="4"/>
        <v>0</v>
      </c>
      <c r="U35" s="18">
        <f t="shared" si="4"/>
        <v>0</v>
      </c>
      <c r="V35" s="18">
        <f t="shared" si="4"/>
        <v>0</v>
      </c>
      <c r="W35" s="18">
        <f t="shared" si="4"/>
        <v>1</v>
      </c>
    </row>
    <row r="36" spans="1:23" x14ac:dyDescent="0.15">
      <c r="A36" s="22" t="str">
        <f t="shared" si="1"/>
        <v>20005_3-2/334&lt;lv3&gt;s3</v>
      </c>
      <c r="B36" s="18">
        <f t="shared" si="5"/>
        <v>20005</v>
      </c>
      <c r="C36" s="18">
        <f t="shared" si="5"/>
        <v>3</v>
      </c>
      <c r="D36" s="18">
        <f t="shared" si="5"/>
        <v>2</v>
      </c>
      <c r="E36" s="18">
        <f t="shared" si="5"/>
        <v>334</v>
      </c>
      <c r="F36" s="18">
        <f t="shared" si="5"/>
        <v>3</v>
      </c>
      <c r="G36" s="18">
        <f t="shared" si="5"/>
        <v>1</v>
      </c>
      <c r="H36" s="18">
        <f t="shared" si="5"/>
        <v>35</v>
      </c>
      <c r="I36" s="18">
        <f t="shared" si="5"/>
        <v>0</v>
      </c>
      <c r="J36" s="18">
        <f t="shared" si="5"/>
        <v>0</v>
      </c>
      <c r="K36" s="18">
        <f t="shared" si="5"/>
        <v>1</v>
      </c>
      <c r="L36" s="47">
        <v>100</v>
      </c>
      <c r="M36" s="18">
        <f t="shared" si="5"/>
        <v>1</v>
      </c>
      <c r="N36" s="18">
        <f t="shared" si="5"/>
        <v>3</v>
      </c>
      <c r="O36" s="18">
        <f t="shared" si="5"/>
        <v>334</v>
      </c>
      <c r="P36" s="18">
        <f t="shared" si="5"/>
        <v>1</v>
      </c>
      <c r="Q36" s="18">
        <f t="shared" si="5"/>
        <v>5</v>
      </c>
      <c r="R36" s="18">
        <f t="shared" si="4"/>
        <v>20</v>
      </c>
      <c r="S36" s="18">
        <f t="shared" si="4"/>
        <v>0</v>
      </c>
      <c r="T36" s="18">
        <f t="shared" si="4"/>
        <v>0</v>
      </c>
      <c r="U36" s="18">
        <f t="shared" si="4"/>
        <v>0</v>
      </c>
      <c r="V36" s="18">
        <f t="shared" si="4"/>
        <v>0</v>
      </c>
      <c r="W36" s="18">
        <f t="shared" si="4"/>
        <v>1</v>
      </c>
    </row>
    <row r="37" spans="1:23" x14ac:dyDescent="0.15">
      <c r="A37" s="22" t="str">
        <f t="shared" si="1"/>
        <v>20005_3-3/21&lt;lv58&gt;s2</v>
      </c>
      <c r="B37" s="18">
        <f t="shared" si="5"/>
        <v>20005</v>
      </c>
      <c r="C37" s="18">
        <f t="shared" si="5"/>
        <v>3</v>
      </c>
      <c r="D37" s="18">
        <f t="shared" si="5"/>
        <v>3</v>
      </c>
      <c r="E37" s="18">
        <f t="shared" si="5"/>
        <v>21</v>
      </c>
      <c r="F37" s="18">
        <f t="shared" si="5"/>
        <v>58</v>
      </c>
      <c r="G37" s="18">
        <f t="shared" si="5"/>
        <v>1.33</v>
      </c>
      <c r="H37" s="18">
        <f t="shared" si="5"/>
        <v>1</v>
      </c>
      <c r="I37" s="18">
        <f t="shared" si="5"/>
        <v>0</v>
      </c>
      <c r="J37" s="18">
        <f t="shared" si="5"/>
        <v>0</v>
      </c>
      <c r="K37" s="18">
        <f t="shared" si="5"/>
        <v>0</v>
      </c>
      <c r="L37" s="47">
        <v>100</v>
      </c>
      <c r="M37" s="18">
        <f t="shared" si="5"/>
        <v>0</v>
      </c>
      <c r="N37" s="18">
        <f t="shared" si="5"/>
        <v>2</v>
      </c>
      <c r="O37" s="18">
        <f t="shared" si="5"/>
        <v>21</v>
      </c>
      <c r="P37" s="18">
        <f t="shared" si="5"/>
        <v>5</v>
      </c>
      <c r="Q37" s="18">
        <f t="shared" si="5"/>
        <v>1</v>
      </c>
      <c r="R37" s="18">
        <f t="shared" si="4"/>
        <v>15</v>
      </c>
      <c r="S37" s="18">
        <f t="shared" si="4"/>
        <v>0</v>
      </c>
      <c r="T37" s="18">
        <f t="shared" si="4"/>
        <v>0</v>
      </c>
      <c r="U37" s="18">
        <f t="shared" si="4"/>
        <v>0</v>
      </c>
      <c r="V37" s="18">
        <f t="shared" si="4"/>
        <v>0</v>
      </c>
      <c r="W37" s="18">
        <f t="shared" si="4"/>
        <v>1</v>
      </c>
    </row>
    <row r="38" spans="1:23" x14ac:dyDescent="0.15">
      <c r="A38" s="22" t="str">
        <f t="shared" si="1"/>
        <v>20005_3-3/41&lt;lv58&gt;s1</v>
      </c>
      <c r="B38" s="18">
        <f t="shared" si="5"/>
        <v>20005</v>
      </c>
      <c r="C38" s="18">
        <f t="shared" si="5"/>
        <v>3</v>
      </c>
      <c r="D38" s="18">
        <f t="shared" si="5"/>
        <v>3</v>
      </c>
      <c r="E38" s="18">
        <f t="shared" si="5"/>
        <v>41</v>
      </c>
      <c r="F38" s="18">
        <f t="shared" si="5"/>
        <v>58</v>
      </c>
      <c r="G38" s="18">
        <f t="shared" si="5"/>
        <v>1.33</v>
      </c>
      <c r="H38" s="18">
        <f t="shared" si="5"/>
        <v>1</v>
      </c>
      <c r="I38" s="18">
        <f t="shared" si="5"/>
        <v>0</v>
      </c>
      <c r="J38" s="18">
        <f t="shared" si="5"/>
        <v>0</v>
      </c>
      <c r="K38" s="18">
        <f t="shared" si="5"/>
        <v>1</v>
      </c>
      <c r="L38" s="47">
        <v>100</v>
      </c>
      <c r="M38" s="18">
        <f t="shared" si="5"/>
        <v>0</v>
      </c>
      <c r="N38" s="18">
        <f t="shared" si="5"/>
        <v>1</v>
      </c>
      <c r="O38" s="18">
        <f t="shared" si="5"/>
        <v>41</v>
      </c>
      <c r="P38" s="18">
        <f t="shared" si="5"/>
        <v>5</v>
      </c>
      <c r="Q38" s="18">
        <f t="shared" si="5"/>
        <v>2</v>
      </c>
      <c r="R38" s="18">
        <f t="shared" si="4"/>
        <v>15</v>
      </c>
      <c r="S38" s="18">
        <f t="shared" si="4"/>
        <v>0</v>
      </c>
      <c r="T38" s="18">
        <f t="shared" si="4"/>
        <v>0</v>
      </c>
      <c r="U38" s="18">
        <f t="shared" si="4"/>
        <v>0</v>
      </c>
      <c r="V38" s="18">
        <f t="shared" si="4"/>
        <v>0</v>
      </c>
      <c r="W38" s="18">
        <f t="shared" si="4"/>
        <v>1</v>
      </c>
    </row>
    <row r="39" spans="1:23" x14ac:dyDescent="0.15">
      <c r="A39" s="22" t="str">
        <f t="shared" si="1"/>
        <v>20005_3-3/65&lt;lv58&gt;s2</v>
      </c>
      <c r="B39" s="18">
        <f t="shared" si="5"/>
        <v>20005</v>
      </c>
      <c r="C39" s="18">
        <f t="shared" si="5"/>
        <v>3</v>
      </c>
      <c r="D39" s="18">
        <f t="shared" si="5"/>
        <v>3</v>
      </c>
      <c r="E39" s="18">
        <f t="shared" si="5"/>
        <v>65</v>
      </c>
      <c r="F39" s="18">
        <f t="shared" si="5"/>
        <v>58</v>
      </c>
      <c r="G39" s="18">
        <f t="shared" si="5"/>
        <v>1.33</v>
      </c>
      <c r="H39" s="18">
        <f t="shared" si="5"/>
        <v>1</v>
      </c>
      <c r="I39" s="18">
        <f t="shared" si="5"/>
        <v>0</v>
      </c>
      <c r="J39" s="18">
        <f t="shared" si="5"/>
        <v>0</v>
      </c>
      <c r="K39" s="18">
        <f t="shared" si="5"/>
        <v>0</v>
      </c>
      <c r="L39" s="47">
        <v>100</v>
      </c>
      <c r="M39" s="18">
        <f t="shared" si="5"/>
        <v>0</v>
      </c>
      <c r="N39" s="18">
        <f t="shared" si="5"/>
        <v>2</v>
      </c>
      <c r="O39" s="18">
        <f t="shared" si="5"/>
        <v>65</v>
      </c>
      <c r="P39" s="18">
        <f t="shared" si="5"/>
        <v>3</v>
      </c>
      <c r="Q39" s="18">
        <f t="shared" si="5"/>
        <v>2</v>
      </c>
      <c r="R39" s="18">
        <f t="shared" si="4"/>
        <v>15</v>
      </c>
      <c r="S39" s="18">
        <f t="shared" si="4"/>
        <v>0</v>
      </c>
      <c r="T39" s="18">
        <f t="shared" si="4"/>
        <v>0</v>
      </c>
      <c r="U39" s="18">
        <f t="shared" si="4"/>
        <v>0</v>
      </c>
      <c r="V39" s="18">
        <f t="shared" si="4"/>
        <v>0</v>
      </c>
      <c r="W39" s="18">
        <f t="shared" si="4"/>
        <v>1</v>
      </c>
    </row>
    <row r="40" spans="1:23" x14ac:dyDescent="0.15">
      <c r="A40" s="22" t="str">
        <f t="shared" si="1"/>
        <v>20005_3-3/57&lt;lv58&gt;s2</v>
      </c>
      <c r="B40" s="18">
        <f t="shared" si="5"/>
        <v>20005</v>
      </c>
      <c r="C40" s="18">
        <f t="shared" si="5"/>
        <v>3</v>
      </c>
      <c r="D40" s="18">
        <f t="shared" si="5"/>
        <v>3</v>
      </c>
      <c r="E40" s="18">
        <f t="shared" si="5"/>
        <v>57</v>
      </c>
      <c r="F40" s="18">
        <f t="shared" si="5"/>
        <v>58</v>
      </c>
      <c r="G40" s="18">
        <f t="shared" si="5"/>
        <v>1.33</v>
      </c>
      <c r="H40" s="18">
        <f t="shared" si="5"/>
        <v>1</v>
      </c>
      <c r="I40" s="18">
        <f t="shared" si="5"/>
        <v>0</v>
      </c>
      <c r="J40" s="18">
        <f t="shared" si="5"/>
        <v>57</v>
      </c>
      <c r="K40" s="18">
        <f t="shared" si="5"/>
        <v>1</v>
      </c>
      <c r="L40" s="47">
        <v>100</v>
      </c>
      <c r="M40" s="18">
        <f t="shared" si="5"/>
        <v>0</v>
      </c>
      <c r="N40" s="18">
        <f t="shared" si="5"/>
        <v>2</v>
      </c>
      <c r="O40" s="18">
        <f t="shared" si="5"/>
        <v>57</v>
      </c>
      <c r="P40" s="18">
        <f t="shared" si="5"/>
        <v>5</v>
      </c>
      <c r="Q40" s="18">
        <f t="shared" si="5"/>
        <v>2</v>
      </c>
      <c r="R40" s="18">
        <f t="shared" si="4"/>
        <v>15</v>
      </c>
      <c r="S40" s="18">
        <f t="shared" si="4"/>
        <v>0</v>
      </c>
      <c r="T40" s="18">
        <f t="shared" si="4"/>
        <v>0</v>
      </c>
      <c r="U40" s="18">
        <f t="shared" si="4"/>
        <v>0</v>
      </c>
      <c r="V40" s="18">
        <f t="shared" si="4"/>
        <v>0</v>
      </c>
      <c r="W40" s="18">
        <f t="shared" si="4"/>
        <v>1</v>
      </c>
    </row>
    <row r="41" spans="1:23" x14ac:dyDescent="0.15">
      <c r="A41" s="22" t="str">
        <f t="shared" si="1"/>
        <v>20005_3-4/287&lt;lv60&gt;s3</v>
      </c>
      <c r="B41" s="18">
        <f t="shared" si="5"/>
        <v>20005</v>
      </c>
      <c r="C41" s="18">
        <f t="shared" si="5"/>
        <v>3</v>
      </c>
      <c r="D41" s="18">
        <f t="shared" si="5"/>
        <v>4</v>
      </c>
      <c r="E41" s="18">
        <f t="shared" si="5"/>
        <v>287</v>
      </c>
      <c r="F41" s="18">
        <f t="shared" si="5"/>
        <v>60</v>
      </c>
      <c r="G41" s="18">
        <f t="shared" si="5"/>
        <v>2.6</v>
      </c>
      <c r="H41" s="18">
        <f t="shared" si="5"/>
        <v>4</v>
      </c>
      <c r="I41" s="18">
        <f t="shared" si="5"/>
        <v>0</v>
      </c>
      <c r="J41" s="18">
        <f t="shared" si="5"/>
        <v>28701</v>
      </c>
      <c r="K41" s="18">
        <f t="shared" si="5"/>
        <v>1</v>
      </c>
      <c r="L41" s="47">
        <v>100</v>
      </c>
      <c r="M41" s="18">
        <f t="shared" si="5"/>
        <v>1</v>
      </c>
      <c r="N41" s="18">
        <f t="shared" si="5"/>
        <v>3</v>
      </c>
      <c r="O41" s="18">
        <f t="shared" si="5"/>
        <v>286</v>
      </c>
      <c r="P41" s="18">
        <f t="shared" si="5"/>
        <v>1</v>
      </c>
      <c r="Q41" s="18">
        <f t="shared" si="5"/>
        <v>3</v>
      </c>
      <c r="R41" s="18">
        <f>VLOOKUP($A41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100</v>
      </c>
      <c r="S41" s="18">
        <f t="shared" si="4"/>
        <v>0</v>
      </c>
      <c r="T41" s="18">
        <f t="shared" si="4"/>
        <v>0</v>
      </c>
      <c r="U41" s="18">
        <f t="shared" si="4"/>
        <v>0</v>
      </c>
      <c r="V41" s="18">
        <f t="shared" si="4"/>
        <v>0</v>
      </c>
      <c r="W41" s="18">
        <f t="shared" si="4"/>
        <v>1</v>
      </c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floors_drop_2_2</vt:lpstr>
      <vt:lpstr>enemy_habitats_drop_2_2</vt:lpstr>
      <vt:lpstr>floors_drop_2_2.tmp</vt:lpstr>
      <vt:lpstr>enemy_habitats_drop_2_2.tmp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2017-03-08T04:07:55Z</dcterms:modified>
</cp:coreProperties>
</file>