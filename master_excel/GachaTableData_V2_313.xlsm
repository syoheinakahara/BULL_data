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516" codeName="{00000000-0000-0000-0000-000000000000}"/>
  <workbookPr showInkAnnotation="0" codeName="ThisWorkbook" autoCompressPictures="0"/>
  <bookViews>
    <workbookView xWindow="29340" yWindow="-1340" windowWidth="32340" windowHeight="14640" tabRatio="943" activeTab="2"/>
  </bookViews>
  <sheets>
    <sheet name="Sheet1" sheetId="107" r:id="rId1"/>
    <sheet name="output" sheetId="103" r:id="rId2"/>
    <sheet name="input_313010" sheetId="106" r:id="rId3"/>
    <sheet name="tables_313010" sheetId="82" r:id="rId4"/>
    <sheet name="input_313101" sheetId="110" r:id="rId5"/>
    <sheet name="tables_313101" sheetId="111" r:id="rId6"/>
    <sheet name="input_313100" sheetId="112" r:id="rId7"/>
    <sheet name="tables_313100" sheetId="113" r:id="rId8"/>
    <sheet name="gacha_bonus_tables" sheetId="98" r:id="rId9"/>
    <sheet name="bug_conf_sheet" sheetId="104" r:id="rId10"/>
    <sheet name="check_sheet" sheetId="105" r:id="rId11"/>
  </sheets>
  <externalReferences>
    <externalReference r:id="rId12"/>
  </externalReferences>
  <definedNames>
    <definedName name="_xlnm._FilterDatabase" localSheetId="8" hidden="1">gacha_bonus_tables!$A$1:$F$1</definedName>
    <definedName name="_xlnm._FilterDatabase" localSheetId="3" hidden="1">tables_313010!$A$1:$T$1</definedName>
    <definedName name="_xlnm._FilterDatabase" localSheetId="7" hidden="1">tables_313100!$A$1:$U$259</definedName>
    <definedName name="_xlnm._FilterDatabase" localSheetId="5" hidden="1">tables_313101!$A$1:$T$249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2" i="113" l="1"/>
  <c r="C2" i="113"/>
  <c r="H2" i="113"/>
  <c r="B2" i="113"/>
  <c r="G3" i="113"/>
  <c r="C3" i="113"/>
  <c r="H3" i="113"/>
  <c r="B3" i="113"/>
  <c r="G4" i="113"/>
  <c r="C4" i="113"/>
  <c r="H4" i="113"/>
  <c r="B4" i="113"/>
  <c r="G5" i="113"/>
  <c r="C5" i="113"/>
  <c r="H5" i="113"/>
  <c r="B5" i="113"/>
  <c r="G6" i="113"/>
  <c r="C6" i="113"/>
  <c r="H6" i="113"/>
  <c r="B6" i="113"/>
  <c r="G7" i="113"/>
  <c r="C7" i="113"/>
  <c r="H7" i="113"/>
  <c r="B7" i="113"/>
  <c r="G8" i="113"/>
  <c r="C8" i="113"/>
  <c r="H8" i="113"/>
  <c r="B8" i="113"/>
  <c r="G9" i="113"/>
  <c r="C9" i="113"/>
  <c r="H9" i="113"/>
  <c r="B9" i="113"/>
  <c r="G10" i="113"/>
  <c r="C10" i="113"/>
  <c r="H10" i="113"/>
  <c r="B10" i="113"/>
  <c r="G11" i="113"/>
  <c r="C11" i="113"/>
  <c r="H11" i="113"/>
  <c r="B11" i="113"/>
  <c r="G12" i="113"/>
  <c r="C12" i="113"/>
  <c r="H12" i="113"/>
  <c r="B12" i="113"/>
  <c r="G13" i="113"/>
  <c r="C13" i="113"/>
  <c r="H13" i="113"/>
  <c r="B13" i="113"/>
  <c r="G14" i="113"/>
  <c r="C14" i="113"/>
  <c r="H14" i="113"/>
  <c r="B14" i="113"/>
  <c r="G15" i="113"/>
  <c r="C15" i="113"/>
  <c r="H15" i="113"/>
  <c r="B15" i="113"/>
  <c r="G16" i="113"/>
  <c r="C16" i="113"/>
  <c r="H16" i="113"/>
  <c r="B16" i="113"/>
  <c r="G17" i="113"/>
  <c r="C17" i="113"/>
  <c r="H17" i="113"/>
  <c r="B17" i="113"/>
  <c r="G18" i="113"/>
  <c r="C18" i="113"/>
  <c r="H18" i="113"/>
  <c r="B18" i="113"/>
  <c r="G19" i="113"/>
  <c r="C19" i="113"/>
  <c r="H19" i="113"/>
  <c r="B19" i="113"/>
  <c r="G20" i="113"/>
  <c r="C20" i="113"/>
  <c r="H20" i="113"/>
  <c r="B20" i="113"/>
  <c r="G21" i="113"/>
  <c r="C21" i="113"/>
  <c r="H21" i="113"/>
  <c r="B21" i="113"/>
  <c r="G22" i="113"/>
  <c r="C22" i="113"/>
  <c r="H22" i="113"/>
  <c r="B22" i="113"/>
  <c r="G23" i="113"/>
  <c r="C23" i="113"/>
  <c r="H23" i="113"/>
  <c r="B23" i="113"/>
  <c r="G24" i="113"/>
  <c r="C24" i="113"/>
  <c r="H24" i="113"/>
  <c r="B24" i="113"/>
  <c r="G25" i="113"/>
  <c r="C25" i="113"/>
  <c r="H25" i="113"/>
  <c r="B25" i="113"/>
  <c r="G26" i="113"/>
  <c r="C26" i="113"/>
  <c r="H26" i="113"/>
  <c r="B26" i="113"/>
  <c r="G27" i="113"/>
  <c r="C27" i="113"/>
  <c r="H27" i="113"/>
  <c r="B27" i="113"/>
  <c r="G28" i="113"/>
  <c r="C28" i="113"/>
  <c r="H28" i="113"/>
  <c r="B28" i="113"/>
  <c r="G29" i="113"/>
  <c r="C29" i="113"/>
  <c r="H29" i="113"/>
  <c r="B29" i="113"/>
  <c r="G30" i="113"/>
  <c r="C30" i="113"/>
  <c r="H30" i="113"/>
  <c r="B30" i="113"/>
  <c r="G31" i="113"/>
  <c r="C31" i="113"/>
  <c r="H31" i="113"/>
  <c r="B31" i="113"/>
  <c r="G32" i="113"/>
  <c r="C32" i="113"/>
  <c r="H32" i="113"/>
  <c r="B32" i="113"/>
  <c r="G33" i="113"/>
  <c r="C33" i="113"/>
  <c r="H33" i="113"/>
  <c r="B33" i="113"/>
  <c r="G34" i="113"/>
  <c r="C34" i="113"/>
  <c r="H34" i="113"/>
  <c r="B34" i="113"/>
  <c r="G35" i="113"/>
  <c r="C35" i="113"/>
  <c r="H35" i="113"/>
  <c r="B35" i="113"/>
  <c r="G36" i="113"/>
  <c r="C36" i="113"/>
  <c r="H36" i="113"/>
  <c r="B36" i="113"/>
  <c r="G37" i="113"/>
  <c r="C37" i="113"/>
  <c r="H37" i="113"/>
  <c r="B37" i="113"/>
  <c r="G38" i="113"/>
  <c r="C38" i="113"/>
  <c r="H38" i="113"/>
  <c r="B38" i="113"/>
  <c r="G39" i="113"/>
  <c r="C39" i="113"/>
  <c r="H39" i="113"/>
  <c r="B39" i="113"/>
  <c r="G40" i="113"/>
  <c r="C40" i="113"/>
  <c r="H40" i="113"/>
  <c r="B40" i="113"/>
  <c r="G41" i="113"/>
  <c r="C41" i="113"/>
  <c r="H41" i="113"/>
  <c r="B41" i="113"/>
  <c r="G42" i="113"/>
  <c r="C42" i="113"/>
  <c r="H42" i="113"/>
  <c r="B42" i="113"/>
  <c r="G43" i="113"/>
  <c r="C43" i="113"/>
  <c r="H43" i="113"/>
  <c r="B43" i="113"/>
  <c r="G44" i="113"/>
  <c r="C44" i="113"/>
  <c r="H44" i="113"/>
  <c r="B44" i="113"/>
  <c r="G45" i="113"/>
  <c r="C45" i="113"/>
  <c r="H45" i="113"/>
  <c r="B45" i="113"/>
  <c r="G46" i="113"/>
  <c r="C46" i="113"/>
  <c r="H46" i="113"/>
  <c r="B46" i="113"/>
  <c r="G47" i="113"/>
  <c r="C47" i="113"/>
  <c r="H47" i="113"/>
  <c r="B47" i="113"/>
  <c r="G48" i="113"/>
  <c r="C48" i="113"/>
  <c r="H48" i="113"/>
  <c r="B48" i="113"/>
  <c r="G49" i="113"/>
  <c r="C49" i="113"/>
  <c r="H49" i="113"/>
  <c r="B49" i="113"/>
  <c r="G50" i="113"/>
  <c r="C50" i="113"/>
  <c r="H50" i="113"/>
  <c r="B50" i="113"/>
  <c r="G51" i="113"/>
  <c r="C51" i="113"/>
  <c r="H51" i="113"/>
  <c r="B51" i="113"/>
  <c r="G52" i="113"/>
  <c r="C52" i="113"/>
  <c r="H52" i="113"/>
  <c r="B52" i="113"/>
  <c r="G53" i="113"/>
  <c r="C53" i="113"/>
  <c r="H53" i="113"/>
  <c r="B53" i="113"/>
  <c r="G54" i="113"/>
  <c r="C54" i="113"/>
  <c r="H54" i="113"/>
  <c r="B54" i="113"/>
  <c r="G55" i="113"/>
  <c r="C55" i="113"/>
  <c r="H55" i="113"/>
  <c r="B55" i="113"/>
  <c r="G56" i="113"/>
  <c r="C56" i="113"/>
  <c r="H56" i="113"/>
  <c r="B56" i="113"/>
  <c r="G57" i="113"/>
  <c r="C57" i="113"/>
  <c r="H57" i="113"/>
  <c r="B57" i="113"/>
  <c r="G58" i="113"/>
  <c r="C58" i="113"/>
  <c r="H58" i="113"/>
  <c r="B58" i="113"/>
  <c r="G59" i="113"/>
  <c r="C59" i="113"/>
  <c r="H59" i="113"/>
  <c r="B59" i="113"/>
  <c r="G60" i="113"/>
  <c r="C60" i="113"/>
  <c r="H60" i="113"/>
  <c r="B60" i="113"/>
  <c r="G61" i="113"/>
  <c r="C61" i="113"/>
  <c r="H61" i="113"/>
  <c r="B61" i="113"/>
  <c r="G62" i="113"/>
  <c r="C62" i="113"/>
  <c r="H62" i="113"/>
  <c r="B62" i="113"/>
  <c r="G63" i="113"/>
  <c r="C63" i="113"/>
  <c r="H63" i="113"/>
  <c r="B63" i="113"/>
  <c r="G64" i="113"/>
  <c r="C64" i="113"/>
  <c r="H64" i="113"/>
  <c r="B64" i="113"/>
  <c r="G65" i="113"/>
  <c r="C65" i="113"/>
  <c r="H65" i="113"/>
  <c r="B65" i="113"/>
  <c r="G66" i="113"/>
  <c r="C66" i="113"/>
  <c r="H66" i="113"/>
  <c r="B66" i="113"/>
  <c r="G67" i="113"/>
  <c r="C67" i="113"/>
  <c r="H67" i="113"/>
  <c r="B67" i="113"/>
  <c r="G68" i="113"/>
  <c r="C68" i="113"/>
  <c r="H68" i="113"/>
  <c r="B68" i="113"/>
  <c r="G69" i="113"/>
  <c r="C69" i="113"/>
  <c r="H69" i="113"/>
  <c r="B69" i="113"/>
  <c r="G70" i="113"/>
  <c r="C70" i="113"/>
  <c r="H70" i="113"/>
  <c r="B70" i="113"/>
  <c r="G71" i="113"/>
  <c r="C71" i="113"/>
  <c r="H71" i="113"/>
  <c r="B71" i="113"/>
  <c r="G72" i="113"/>
  <c r="C72" i="113"/>
  <c r="H72" i="113"/>
  <c r="B72" i="113"/>
  <c r="G73" i="113"/>
  <c r="C73" i="113"/>
  <c r="H73" i="113"/>
  <c r="B73" i="113"/>
  <c r="G74" i="113"/>
  <c r="C74" i="113"/>
  <c r="H74" i="113"/>
  <c r="B74" i="113"/>
  <c r="G75" i="113"/>
  <c r="C75" i="113"/>
  <c r="H75" i="113"/>
  <c r="B75" i="113"/>
  <c r="G76" i="113"/>
  <c r="C76" i="113"/>
  <c r="H76" i="113"/>
  <c r="B76" i="113"/>
  <c r="G77" i="113"/>
  <c r="C77" i="113"/>
  <c r="H77" i="113"/>
  <c r="B77" i="113"/>
  <c r="G78" i="113"/>
  <c r="C78" i="113"/>
  <c r="H78" i="113"/>
  <c r="B78" i="113"/>
  <c r="G79" i="113"/>
  <c r="C79" i="113"/>
  <c r="H79" i="113"/>
  <c r="B79" i="113"/>
  <c r="G80" i="113"/>
  <c r="C80" i="113"/>
  <c r="H80" i="113"/>
  <c r="B80" i="113"/>
  <c r="G81" i="113"/>
  <c r="C81" i="113"/>
  <c r="H81" i="113"/>
  <c r="B81" i="113"/>
  <c r="G82" i="113"/>
  <c r="C82" i="113"/>
  <c r="H82" i="113"/>
  <c r="B82" i="113"/>
  <c r="G83" i="113"/>
  <c r="C83" i="113"/>
  <c r="H83" i="113"/>
  <c r="B83" i="113"/>
  <c r="G84" i="113"/>
  <c r="C84" i="113"/>
  <c r="H84" i="113"/>
  <c r="B84" i="113"/>
  <c r="G85" i="113"/>
  <c r="C85" i="113"/>
  <c r="H85" i="113"/>
  <c r="B85" i="113"/>
  <c r="G86" i="113"/>
  <c r="C86" i="113"/>
  <c r="H86" i="113"/>
  <c r="B86" i="113"/>
  <c r="G87" i="113"/>
  <c r="C87" i="113"/>
  <c r="H87" i="113"/>
  <c r="B87" i="113"/>
  <c r="G88" i="113"/>
  <c r="C88" i="113"/>
  <c r="H88" i="113"/>
  <c r="B88" i="113"/>
  <c r="G89" i="113"/>
  <c r="C89" i="113"/>
  <c r="H89" i="113"/>
  <c r="B89" i="113"/>
  <c r="G90" i="113"/>
  <c r="C90" i="113"/>
  <c r="H90" i="113"/>
  <c r="B90" i="113"/>
  <c r="G91" i="113"/>
  <c r="C91" i="113"/>
  <c r="H91" i="113"/>
  <c r="B91" i="113"/>
  <c r="G92" i="113"/>
  <c r="C92" i="113"/>
  <c r="H92" i="113"/>
  <c r="B92" i="113"/>
  <c r="G93" i="113"/>
  <c r="C93" i="113"/>
  <c r="H93" i="113"/>
  <c r="B93" i="113"/>
  <c r="G94" i="113"/>
  <c r="C94" i="113"/>
  <c r="H94" i="113"/>
  <c r="B94" i="113"/>
  <c r="G95" i="113"/>
  <c r="C95" i="113"/>
  <c r="H95" i="113"/>
  <c r="B95" i="113"/>
  <c r="G96" i="113"/>
  <c r="C96" i="113"/>
  <c r="H96" i="113"/>
  <c r="B96" i="113"/>
  <c r="G97" i="113"/>
  <c r="C97" i="113"/>
  <c r="H97" i="113"/>
  <c r="B97" i="113"/>
  <c r="G98" i="113"/>
  <c r="C98" i="113"/>
  <c r="H98" i="113"/>
  <c r="B98" i="113"/>
  <c r="G99" i="113"/>
  <c r="C99" i="113"/>
  <c r="H99" i="113"/>
  <c r="B99" i="113"/>
  <c r="G100" i="113"/>
  <c r="C100" i="113"/>
  <c r="H100" i="113"/>
  <c r="B100" i="113"/>
  <c r="G101" i="113"/>
  <c r="C101" i="113"/>
  <c r="H101" i="113"/>
  <c r="B101" i="113"/>
  <c r="G102" i="113"/>
  <c r="C102" i="113"/>
  <c r="H102" i="113"/>
  <c r="B102" i="113"/>
  <c r="G103" i="113"/>
  <c r="C103" i="113"/>
  <c r="H103" i="113"/>
  <c r="B103" i="113"/>
  <c r="G104" i="113"/>
  <c r="C104" i="113"/>
  <c r="H104" i="113"/>
  <c r="B104" i="113"/>
  <c r="G105" i="113"/>
  <c r="C105" i="113"/>
  <c r="H105" i="113"/>
  <c r="B105" i="113"/>
  <c r="G106" i="113"/>
  <c r="C106" i="113"/>
  <c r="H106" i="113"/>
  <c r="B106" i="113"/>
  <c r="G107" i="113"/>
  <c r="C107" i="113"/>
  <c r="H107" i="113"/>
  <c r="B107" i="113"/>
  <c r="G108" i="113"/>
  <c r="C108" i="113"/>
  <c r="H108" i="113"/>
  <c r="B108" i="113"/>
  <c r="G109" i="113"/>
  <c r="C109" i="113"/>
  <c r="H109" i="113"/>
  <c r="B109" i="113"/>
  <c r="G110" i="113"/>
  <c r="C110" i="113"/>
  <c r="H110" i="113"/>
  <c r="B110" i="113"/>
  <c r="G111" i="113"/>
  <c r="C111" i="113"/>
  <c r="H111" i="113"/>
  <c r="B111" i="113"/>
  <c r="G112" i="113"/>
  <c r="C112" i="113"/>
  <c r="H112" i="113"/>
  <c r="B112" i="113"/>
  <c r="G113" i="113"/>
  <c r="C113" i="113"/>
  <c r="H113" i="113"/>
  <c r="B113" i="113"/>
  <c r="G114" i="113"/>
  <c r="C114" i="113"/>
  <c r="H114" i="113"/>
  <c r="B114" i="113"/>
  <c r="G115" i="113"/>
  <c r="C115" i="113"/>
  <c r="H115" i="113"/>
  <c r="B115" i="113"/>
  <c r="G116" i="113"/>
  <c r="C116" i="113"/>
  <c r="H116" i="113"/>
  <c r="B116" i="113"/>
  <c r="G117" i="113"/>
  <c r="C117" i="113"/>
  <c r="H117" i="113"/>
  <c r="B117" i="113"/>
  <c r="G118" i="113"/>
  <c r="C118" i="113"/>
  <c r="H118" i="113"/>
  <c r="B118" i="113"/>
  <c r="G119" i="113"/>
  <c r="C119" i="113"/>
  <c r="H119" i="113"/>
  <c r="B119" i="113"/>
  <c r="G120" i="113"/>
  <c r="C120" i="113"/>
  <c r="H120" i="113"/>
  <c r="B120" i="113"/>
  <c r="G121" i="113"/>
  <c r="C121" i="113"/>
  <c r="H121" i="113"/>
  <c r="B121" i="113"/>
  <c r="G122" i="113"/>
  <c r="C122" i="113"/>
  <c r="H122" i="113"/>
  <c r="B122" i="113"/>
  <c r="G123" i="113"/>
  <c r="C123" i="113"/>
  <c r="H123" i="113"/>
  <c r="B123" i="113"/>
  <c r="G124" i="113"/>
  <c r="C124" i="113"/>
  <c r="H124" i="113"/>
  <c r="B124" i="113"/>
  <c r="G125" i="113"/>
  <c r="C125" i="113"/>
  <c r="H125" i="113"/>
  <c r="B125" i="113"/>
  <c r="G126" i="113"/>
  <c r="C126" i="113"/>
  <c r="H126" i="113"/>
  <c r="B126" i="113"/>
  <c r="G127" i="113"/>
  <c r="C127" i="113"/>
  <c r="H127" i="113"/>
  <c r="B127" i="113"/>
  <c r="G128" i="113"/>
  <c r="C128" i="113"/>
  <c r="H128" i="113"/>
  <c r="B128" i="113"/>
  <c r="G129" i="113"/>
  <c r="C129" i="113"/>
  <c r="H129" i="113"/>
  <c r="B129" i="113"/>
  <c r="G130" i="113"/>
  <c r="C130" i="113"/>
  <c r="H130" i="113"/>
  <c r="B130" i="113"/>
  <c r="G131" i="113"/>
  <c r="C131" i="113"/>
  <c r="H131" i="113"/>
  <c r="B131" i="113"/>
  <c r="G132" i="113"/>
  <c r="C132" i="113"/>
  <c r="H132" i="113"/>
  <c r="B132" i="113"/>
  <c r="G133" i="113"/>
  <c r="C133" i="113"/>
  <c r="H133" i="113"/>
  <c r="B133" i="113"/>
  <c r="G134" i="113"/>
  <c r="C134" i="113"/>
  <c r="H134" i="113"/>
  <c r="B134" i="113"/>
  <c r="G135" i="113"/>
  <c r="C135" i="113"/>
  <c r="H135" i="113"/>
  <c r="B135" i="113"/>
  <c r="G136" i="113"/>
  <c r="C136" i="113"/>
  <c r="H136" i="113"/>
  <c r="B136" i="113"/>
  <c r="G137" i="113"/>
  <c r="C137" i="113"/>
  <c r="H137" i="113"/>
  <c r="B137" i="113"/>
  <c r="G138" i="113"/>
  <c r="C138" i="113"/>
  <c r="I138" i="113"/>
  <c r="D138" i="113"/>
  <c r="H138" i="113"/>
  <c r="B138" i="113"/>
  <c r="G139" i="113"/>
  <c r="C139" i="113"/>
  <c r="I139" i="113"/>
  <c r="D139" i="113"/>
  <c r="H139" i="113"/>
  <c r="B139" i="113"/>
  <c r="G140" i="113"/>
  <c r="C140" i="113"/>
  <c r="I140" i="113"/>
  <c r="D140" i="113"/>
  <c r="H140" i="113"/>
  <c r="B140" i="113"/>
  <c r="G141" i="113"/>
  <c r="C141" i="113"/>
  <c r="I141" i="113"/>
  <c r="D141" i="113"/>
  <c r="H141" i="113"/>
  <c r="B141" i="113"/>
  <c r="G142" i="113"/>
  <c r="C142" i="113"/>
  <c r="I142" i="113"/>
  <c r="D142" i="113"/>
  <c r="H142" i="113"/>
  <c r="B142" i="113"/>
  <c r="G143" i="113"/>
  <c r="C143" i="113"/>
  <c r="I143" i="113"/>
  <c r="D143" i="113"/>
  <c r="H143" i="113"/>
  <c r="B143" i="113"/>
  <c r="G144" i="113"/>
  <c r="C144" i="113"/>
  <c r="I144" i="113"/>
  <c r="D144" i="113"/>
  <c r="H144" i="113"/>
  <c r="B144" i="113"/>
  <c r="G145" i="113"/>
  <c r="C145" i="113"/>
  <c r="I145" i="113"/>
  <c r="D145" i="113"/>
  <c r="H145" i="113"/>
  <c r="B145" i="113"/>
  <c r="G146" i="113"/>
  <c r="C146" i="113"/>
  <c r="H146" i="113"/>
  <c r="B146" i="113"/>
  <c r="G147" i="113"/>
  <c r="C147" i="113"/>
  <c r="H147" i="113"/>
  <c r="B147" i="113"/>
  <c r="G148" i="113"/>
  <c r="C148" i="113"/>
  <c r="H148" i="113"/>
  <c r="B148" i="113"/>
  <c r="G149" i="113"/>
  <c r="C149" i="113"/>
  <c r="I149" i="113"/>
  <c r="D149" i="113"/>
  <c r="H149" i="113"/>
  <c r="B149" i="113"/>
  <c r="G150" i="113"/>
  <c r="C150" i="113"/>
  <c r="I150" i="113"/>
  <c r="D150" i="113"/>
  <c r="H150" i="113"/>
  <c r="B150" i="113"/>
  <c r="G151" i="113"/>
  <c r="C151" i="113"/>
  <c r="I151" i="113"/>
  <c r="D151" i="113"/>
  <c r="H151" i="113"/>
  <c r="B151" i="113"/>
  <c r="G152" i="113"/>
  <c r="C152" i="113"/>
  <c r="I152" i="113"/>
  <c r="D152" i="113"/>
  <c r="H152" i="113"/>
  <c r="B152" i="113"/>
  <c r="G153" i="113"/>
  <c r="C153" i="113"/>
  <c r="H153" i="113"/>
  <c r="B153" i="113"/>
  <c r="G154" i="113"/>
  <c r="C154" i="113"/>
  <c r="H154" i="113"/>
  <c r="B154" i="113"/>
  <c r="G155" i="113"/>
  <c r="C155" i="113"/>
  <c r="H155" i="113"/>
  <c r="B155" i="113"/>
  <c r="G156" i="113"/>
  <c r="C156" i="113"/>
  <c r="I156" i="113"/>
  <c r="D156" i="113"/>
  <c r="H156" i="113"/>
  <c r="B156" i="113"/>
  <c r="G157" i="113"/>
  <c r="C157" i="113"/>
  <c r="I157" i="113"/>
  <c r="D157" i="113"/>
  <c r="H157" i="113"/>
  <c r="B157" i="113"/>
  <c r="G158" i="113"/>
  <c r="C158" i="113"/>
  <c r="H158" i="113"/>
  <c r="B158" i="113"/>
  <c r="G159" i="113"/>
  <c r="C159" i="113"/>
  <c r="H159" i="113"/>
  <c r="B159" i="113"/>
  <c r="G160" i="113"/>
  <c r="C160" i="113"/>
  <c r="H160" i="113"/>
  <c r="B160" i="113"/>
  <c r="G161" i="113"/>
  <c r="C161" i="113"/>
  <c r="H161" i="113"/>
  <c r="B161" i="113"/>
  <c r="G162" i="113"/>
  <c r="C162" i="113"/>
  <c r="H162" i="113"/>
  <c r="B162" i="113"/>
  <c r="G163" i="113"/>
  <c r="C163" i="113"/>
  <c r="H163" i="113"/>
  <c r="B163" i="113"/>
  <c r="G164" i="113"/>
  <c r="C164" i="113"/>
  <c r="I164" i="113"/>
  <c r="D164" i="113"/>
  <c r="H164" i="113"/>
  <c r="B164" i="113"/>
  <c r="G165" i="113"/>
  <c r="C165" i="113"/>
  <c r="I165" i="113"/>
  <c r="D165" i="113"/>
  <c r="H165" i="113"/>
  <c r="B165" i="113"/>
  <c r="G166" i="113"/>
  <c r="C166" i="113"/>
  <c r="H166" i="113"/>
  <c r="B166" i="113"/>
  <c r="G167" i="113"/>
  <c r="C167" i="113"/>
  <c r="H167" i="113"/>
  <c r="B167" i="113"/>
  <c r="G168" i="113"/>
  <c r="C168" i="113"/>
  <c r="H168" i="113"/>
  <c r="B168" i="113"/>
  <c r="G169" i="113"/>
  <c r="C169" i="113"/>
  <c r="I169" i="113"/>
  <c r="D169" i="113"/>
  <c r="H169" i="113"/>
  <c r="B169" i="113"/>
  <c r="G170" i="113"/>
  <c r="C170" i="113"/>
  <c r="I170" i="113"/>
  <c r="D170" i="113"/>
  <c r="H170" i="113"/>
  <c r="B170" i="113"/>
  <c r="G171" i="113"/>
  <c r="C171" i="113"/>
  <c r="H171" i="113"/>
  <c r="B171" i="113"/>
  <c r="G172" i="113"/>
  <c r="C172" i="113"/>
  <c r="H172" i="113"/>
  <c r="B172" i="113"/>
  <c r="G173" i="113"/>
  <c r="C173" i="113"/>
  <c r="H173" i="113"/>
  <c r="B173" i="113"/>
  <c r="G174" i="113"/>
  <c r="C174" i="113"/>
  <c r="I174" i="113"/>
  <c r="D174" i="113"/>
  <c r="H174" i="113"/>
  <c r="B174" i="113"/>
  <c r="G175" i="113"/>
  <c r="C175" i="113"/>
  <c r="I175" i="113"/>
  <c r="D175" i="113"/>
  <c r="H175" i="113"/>
  <c r="B175" i="113"/>
  <c r="G176" i="113"/>
  <c r="C176" i="113"/>
  <c r="I176" i="113"/>
  <c r="D176" i="113"/>
  <c r="H176" i="113"/>
  <c r="B176" i="113"/>
  <c r="G177" i="113"/>
  <c r="C177" i="113"/>
  <c r="I177" i="113"/>
  <c r="D177" i="113"/>
  <c r="H177" i="113"/>
  <c r="B177" i="113"/>
  <c r="G178" i="113"/>
  <c r="C178" i="113"/>
  <c r="H178" i="113"/>
  <c r="B178" i="113"/>
  <c r="G179" i="113"/>
  <c r="C179" i="113"/>
  <c r="H179" i="113"/>
  <c r="B179" i="113"/>
  <c r="G180" i="113"/>
  <c r="C180" i="113"/>
  <c r="H180" i="113"/>
  <c r="B180" i="113"/>
  <c r="G181" i="113"/>
  <c r="C181" i="113"/>
  <c r="H181" i="113"/>
  <c r="B181" i="113"/>
  <c r="G182" i="113"/>
  <c r="C182" i="113"/>
  <c r="H182" i="113"/>
  <c r="B182" i="113"/>
  <c r="G183" i="113"/>
  <c r="C183" i="113"/>
  <c r="H183" i="113"/>
  <c r="B183" i="113"/>
  <c r="G184" i="113"/>
  <c r="C184" i="113"/>
  <c r="I184" i="113"/>
  <c r="D184" i="113"/>
  <c r="H184" i="113"/>
  <c r="B184" i="113"/>
  <c r="G185" i="113"/>
  <c r="C185" i="113"/>
  <c r="I185" i="113"/>
  <c r="D185" i="113"/>
  <c r="H185" i="113"/>
  <c r="B185" i="113"/>
  <c r="G186" i="113"/>
  <c r="C186" i="113"/>
  <c r="H186" i="113"/>
  <c r="B186" i="113"/>
  <c r="G187" i="113"/>
  <c r="C187" i="113"/>
  <c r="H187" i="113"/>
  <c r="B187" i="113"/>
  <c r="G188" i="113"/>
  <c r="C188" i="113"/>
  <c r="H188" i="113"/>
  <c r="B188" i="113"/>
  <c r="G189" i="113"/>
  <c r="C189" i="113"/>
  <c r="I189" i="113"/>
  <c r="D189" i="113"/>
  <c r="H189" i="113"/>
  <c r="B189" i="113"/>
  <c r="G190" i="113"/>
  <c r="C190" i="113"/>
  <c r="I190" i="113"/>
  <c r="D190" i="113"/>
  <c r="H190" i="113"/>
  <c r="B190" i="113"/>
  <c r="G191" i="113"/>
  <c r="C191" i="113"/>
  <c r="I191" i="113"/>
  <c r="D191" i="113"/>
  <c r="H191" i="113"/>
  <c r="B191" i="113"/>
  <c r="G192" i="113"/>
  <c r="C192" i="113"/>
  <c r="I192" i="113"/>
  <c r="D192" i="113"/>
  <c r="H192" i="113"/>
  <c r="B192" i="113"/>
  <c r="G193" i="113"/>
  <c r="C193" i="113"/>
  <c r="H193" i="113"/>
  <c r="B193" i="113"/>
  <c r="G194" i="113"/>
  <c r="C194" i="113"/>
  <c r="H194" i="113"/>
  <c r="B194" i="113"/>
  <c r="G195" i="113"/>
  <c r="C195" i="113"/>
  <c r="H195" i="113"/>
  <c r="B195" i="113"/>
  <c r="G196" i="113"/>
  <c r="C196" i="113"/>
  <c r="I196" i="113"/>
  <c r="D196" i="113"/>
  <c r="H196" i="113"/>
  <c r="B196" i="113"/>
  <c r="G197" i="113"/>
  <c r="C197" i="113"/>
  <c r="I197" i="113"/>
  <c r="D197" i="113"/>
  <c r="H197" i="113"/>
  <c r="B197" i="113"/>
  <c r="G198" i="113"/>
  <c r="C198" i="113"/>
  <c r="H198" i="113"/>
  <c r="B198" i="113"/>
  <c r="G199" i="113"/>
  <c r="C199" i="113"/>
  <c r="H199" i="113"/>
  <c r="B199" i="113"/>
  <c r="G200" i="113"/>
  <c r="C200" i="113"/>
  <c r="H200" i="113"/>
  <c r="B200" i="113"/>
  <c r="G201" i="113"/>
  <c r="C201" i="113"/>
  <c r="I201" i="113"/>
  <c r="D201" i="113"/>
  <c r="H201" i="113"/>
  <c r="B201" i="113"/>
  <c r="G202" i="113"/>
  <c r="C202" i="113"/>
  <c r="I202" i="113"/>
  <c r="D202" i="113"/>
  <c r="H202" i="113"/>
  <c r="B202" i="113"/>
  <c r="G203" i="113"/>
  <c r="C203" i="113"/>
  <c r="H203" i="113"/>
  <c r="B203" i="113"/>
  <c r="G204" i="113"/>
  <c r="C204" i="113"/>
  <c r="H204" i="113"/>
  <c r="B204" i="113"/>
  <c r="G205" i="113"/>
  <c r="C205" i="113"/>
  <c r="H205" i="113"/>
  <c r="B205" i="113"/>
  <c r="G206" i="113"/>
  <c r="C206" i="113"/>
  <c r="I206" i="113"/>
  <c r="D206" i="113"/>
  <c r="H206" i="113"/>
  <c r="B206" i="113"/>
  <c r="G207" i="113"/>
  <c r="C207" i="113"/>
  <c r="I207" i="113"/>
  <c r="D207" i="113"/>
  <c r="H207" i="113"/>
  <c r="B207" i="113"/>
  <c r="G208" i="113"/>
  <c r="C208" i="113"/>
  <c r="I208" i="113"/>
  <c r="D208" i="113"/>
  <c r="H208" i="113"/>
  <c r="B208" i="113"/>
  <c r="G209" i="113"/>
  <c r="C209" i="113"/>
  <c r="I209" i="113"/>
  <c r="D209" i="113"/>
  <c r="H209" i="113"/>
  <c r="B209" i="113"/>
  <c r="G210" i="113"/>
  <c r="C210" i="113"/>
  <c r="H210" i="113"/>
  <c r="B210" i="113"/>
  <c r="G211" i="113"/>
  <c r="C211" i="113"/>
  <c r="H211" i="113"/>
  <c r="B211" i="113"/>
  <c r="G212" i="113"/>
  <c r="C212" i="113"/>
  <c r="H212" i="113"/>
  <c r="B212" i="113"/>
  <c r="G213" i="113"/>
  <c r="C213" i="113"/>
  <c r="I213" i="113"/>
  <c r="D213" i="113"/>
  <c r="H213" i="113"/>
  <c r="B213" i="113"/>
  <c r="G214" i="113"/>
  <c r="C214" i="113"/>
  <c r="I214" i="113"/>
  <c r="D214" i="113"/>
  <c r="H214" i="113"/>
  <c r="B214" i="113"/>
  <c r="G215" i="113"/>
  <c r="C215" i="113"/>
  <c r="I215" i="113"/>
  <c r="D215" i="113"/>
  <c r="H215" i="113"/>
  <c r="B215" i="113"/>
  <c r="G216" i="113"/>
  <c r="C216" i="113"/>
  <c r="I216" i="113"/>
  <c r="D216" i="113"/>
  <c r="H216" i="113"/>
  <c r="B216" i="113"/>
  <c r="G217" i="113"/>
  <c r="C217" i="113"/>
  <c r="H217" i="113"/>
  <c r="B217" i="113"/>
  <c r="G218" i="113"/>
  <c r="C218" i="113"/>
  <c r="H218" i="113"/>
  <c r="B218" i="113"/>
  <c r="G219" i="113"/>
  <c r="C219" i="113"/>
  <c r="H219" i="113"/>
  <c r="B219" i="113"/>
  <c r="G220" i="113"/>
  <c r="C220" i="113"/>
  <c r="H220" i="113"/>
  <c r="B220" i="113"/>
  <c r="G221" i="113"/>
  <c r="C221" i="113"/>
  <c r="H221" i="113"/>
  <c r="B221" i="113"/>
  <c r="G222" i="113"/>
  <c r="C222" i="113"/>
  <c r="H222" i="113"/>
  <c r="B222" i="113"/>
  <c r="G223" i="113"/>
  <c r="C223" i="113"/>
  <c r="I223" i="113"/>
  <c r="D223" i="113"/>
  <c r="H223" i="113"/>
  <c r="B223" i="113"/>
  <c r="G224" i="113"/>
  <c r="C224" i="113"/>
  <c r="I224" i="113"/>
  <c r="D224" i="113"/>
  <c r="H224" i="113"/>
  <c r="B224" i="113"/>
  <c r="G225" i="113"/>
  <c r="C225" i="113"/>
  <c r="H225" i="113"/>
  <c r="B225" i="113"/>
  <c r="G226" i="113"/>
  <c r="C226" i="113"/>
  <c r="H226" i="113"/>
  <c r="B226" i="113"/>
  <c r="G227" i="113"/>
  <c r="C227" i="113"/>
  <c r="H227" i="113"/>
  <c r="B227" i="113"/>
  <c r="G228" i="113"/>
  <c r="C228" i="113"/>
  <c r="H228" i="113"/>
  <c r="B228" i="113"/>
  <c r="G229" i="113"/>
  <c r="C229" i="113"/>
  <c r="H229" i="113"/>
  <c r="B229" i="113"/>
  <c r="G230" i="113"/>
  <c r="C230" i="113"/>
  <c r="H230" i="113"/>
  <c r="B230" i="113"/>
  <c r="G231" i="113"/>
  <c r="C231" i="113"/>
  <c r="I231" i="113"/>
  <c r="D231" i="113"/>
  <c r="H231" i="113"/>
  <c r="B231" i="113"/>
  <c r="G232" i="113"/>
  <c r="C232" i="113"/>
  <c r="I232" i="113"/>
  <c r="D232" i="113"/>
  <c r="H232" i="113"/>
  <c r="B232" i="113"/>
  <c r="G233" i="113"/>
  <c r="C233" i="113"/>
  <c r="H233" i="113"/>
  <c r="B233" i="113"/>
  <c r="G234" i="113"/>
  <c r="C234" i="113"/>
  <c r="H234" i="113"/>
  <c r="B234" i="113"/>
  <c r="G235" i="113"/>
  <c r="C235" i="113"/>
  <c r="H235" i="113"/>
  <c r="B235" i="113"/>
  <c r="G236" i="113"/>
  <c r="C236" i="113"/>
  <c r="I236" i="113"/>
  <c r="D236" i="113"/>
  <c r="H236" i="113"/>
  <c r="B236" i="113"/>
  <c r="G237" i="113"/>
  <c r="C237" i="113"/>
  <c r="I237" i="113"/>
  <c r="D237" i="113"/>
  <c r="H237" i="113"/>
  <c r="B237" i="113"/>
  <c r="G238" i="113"/>
  <c r="C238" i="113"/>
  <c r="I238" i="113"/>
  <c r="D238" i="113"/>
  <c r="H238" i="113"/>
  <c r="B238" i="113"/>
  <c r="G239" i="113"/>
  <c r="C239" i="113"/>
  <c r="I239" i="113"/>
  <c r="D239" i="113"/>
  <c r="H239" i="113"/>
  <c r="B239" i="113"/>
  <c r="G240" i="113"/>
  <c r="C240" i="113"/>
  <c r="H240" i="113"/>
  <c r="B240" i="113"/>
  <c r="G241" i="113"/>
  <c r="C241" i="113"/>
  <c r="H241" i="113"/>
  <c r="B241" i="113"/>
  <c r="G242" i="113"/>
  <c r="C242" i="113"/>
  <c r="H242" i="113"/>
  <c r="B242" i="113"/>
  <c r="G243" i="113"/>
  <c r="C243" i="113"/>
  <c r="H243" i="113"/>
  <c r="B243" i="113"/>
  <c r="G244" i="113"/>
  <c r="C244" i="113"/>
  <c r="H244" i="113"/>
  <c r="B244" i="113"/>
  <c r="G245" i="113"/>
  <c r="C245" i="113"/>
  <c r="H245" i="113"/>
  <c r="B245" i="113"/>
  <c r="G246" i="113"/>
  <c r="C246" i="113"/>
  <c r="I246" i="113"/>
  <c r="D246" i="113"/>
  <c r="H246" i="113"/>
  <c r="B246" i="113"/>
  <c r="G247" i="113"/>
  <c r="C247" i="113"/>
  <c r="I247" i="113"/>
  <c r="D247" i="113"/>
  <c r="H247" i="113"/>
  <c r="B247" i="113"/>
  <c r="G248" i="113"/>
  <c r="C248" i="113"/>
  <c r="I248" i="113"/>
  <c r="D248" i="113"/>
  <c r="H248" i="113"/>
  <c r="B248" i="113"/>
  <c r="G249" i="113"/>
  <c r="C249" i="113"/>
  <c r="I249" i="113"/>
  <c r="D249" i="113"/>
  <c r="H249" i="113"/>
  <c r="B249" i="113"/>
  <c r="B250" i="113"/>
  <c r="B251" i="113"/>
  <c r="B252" i="113"/>
  <c r="B253" i="113"/>
  <c r="B254" i="113"/>
  <c r="B255" i="113"/>
  <c r="B256" i="113"/>
  <c r="B257" i="113"/>
  <c r="B258" i="113"/>
  <c r="B259" i="113"/>
  <c r="E17" i="112"/>
  <c r="E18" i="112"/>
  <c r="E19" i="112"/>
  <c r="E20" i="112"/>
  <c r="E21" i="112"/>
  <c r="E22" i="112"/>
  <c r="E23" i="112"/>
  <c r="E24" i="112"/>
  <c r="E25" i="112"/>
  <c r="E26" i="112"/>
  <c r="E27" i="112"/>
  <c r="A36" i="112"/>
  <c r="A36" i="110"/>
  <c r="A36" i="106"/>
  <c r="B3" i="82"/>
  <c r="B4" i="82"/>
  <c r="B5" i="82"/>
  <c r="B6" i="82"/>
  <c r="B7" i="82"/>
  <c r="B8" i="82"/>
  <c r="B9" i="82"/>
  <c r="B10" i="82"/>
  <c r="B11" i="82"/>
  <c r="B12" i="82"/>
  <c r="B13" i="82"/>
  <c r="B14" i="82"/>
  <c r="B15" i="82"/>
  <c r="B16" i="82"/>
  <c r="B17" i="82"/>
  <c r="B18" i="82"/>
  <c r="B19" i="82"/>
  <c r="B20" i="82"/>
  <c r="B21" i="82"/>
  <c r="B22" i="82"/>
  <c r="B23" i="82"/>
  <c r="B24" i="82"/>
  <c r="B25" i="82"/>
  <c r="B26" i="82"/>
  <c r="B27" i="82"/>
  <c r="B28" i="82"/>
  <c r="B29" i="82"/>
  <c r="B30" i="82"/>
  <c r="B31" i="82"/>
  <c r="B32" i="82"/>
  <c r="B33" i="82"/>
  <c r="B34" i="82"/>
  <c r="B35" i="82"/>
  <c r="B36" i="82"/>
  <c r="B37" i="82"/>
  <c r="B38" i="82"/>
  <c r="B39" i="82"/>
  <c r="B40" i="82"/>
  <c r="B41" i="82"/>
  <c r="B42" i="82"/>
  <c r="B43" i="82"/>
  <c r="B44" i="82"/>
  <c r="B45" i="82"/>
  <c r="B46" i="82"/>
  <c r="B47" i="82"/>
  <c r="B48" i="82"/>
  <c r="B49" i="82"/>
  <c r="B50" i="82"/>
  <c r="B51" i="82"/>
  <c r="B52" i="82"/>
  <c r="B53" i="82"/>
  <c r="B54" i="82"/>
  <c r="B55" i="82"/>
  <c r="B56" i="82"/>
  <c r="B57" i="82"/>
  <c r="B58" i="82"/>
  <c r="B59" i="82"/>
  <c r="B60" i="82"/>
  <c r="B61" i="82"/>
  <c r="B62" i="82"/>
  <c r="B63" i="82"/>
  <c r="B64" i="82"/>
  <c r="B65" i="82"/>
  <c r="B66" i="82"/>
  <c r="B67" i="82"/>
  <c r="B68" i="82"/>
  <c r="B69" i="82"/>
  <c r="B70" i="82"/>
  <c r="B71" i="82"/>
  <c r="B72" i="82"/>
  <c r="B73" i="82"/>
  <c r="B74" i="82"/>
  <c r="B75" i="82"/>
  <c r="B76" i="82"/>
  <c r="B77" i="82"/>
  <c r="B78" i="82"/>
  <c r="B79" i="82"/>
  <c r="B80" i="82"/>
  <c r="B81" i="82"/>
  <c r="B82" i="82"/>
  <c r="B83" i="82"/>
  <c r="B84" i="82"/>
  <c r="B85" i="82"/>
  <c r="B86" i="82"/>
  <c r="B87" i="82"/>
  <c r="B88" i="82"/>
  <c r="B89" i="82"/>
  <c r="B90" i="82"/>
  <c r="B91" i="82"/>
  <c r="B92" i="82"/>
  <c r="B93" i="82"/>
  <c r="B94" i="82"/>
  <c r="B95" i="82"/>
  <c r="B96" i="82"/>
  <c r="B97" i="82"/>
  <c r="B98" i="82"/>
  <c r="B99" i="82"/>
  <c r="B100" i="82"/>
  <c r="B101" i="82"/>
  <c r="B102" i="82"/>
  <c r="B103" i="82"/>
  <c r="B104" i="82"/>
  <c r="B105" i="82"/>
  <c r="B106" i="82"/>
  <c r="B107" i="82"/>
  <c r="B108" i="82"/>
  <c r="B109" i="82"/>
  <c r="B110" i="82"/>
  <c r="B111" i="82"/>
  <c r="B112" i="82"/>
  <c r="B113" i="82"/>
  <c r="B114" i="82"/>
  <c r="B115" i="82"/>
  <c r="B116" i="82"/>
  <c r="B117" i="82"/>
  <c r="B118" i="82"/>
  <c r="B119" i="82"/>
  <c r="B120" i="82"/>
  <c r="B121" i="82"/>
  <c r="B122" i="82"/>
  <c r="B123" i="82"/>
  <c r="B124" i="82"/>
  <c r="B125" i="82"/>
  <c r="B126" i="82"/>
  <c r="B127" i="82"/>
  <c r="B128" i="82"/>
  <c r="B129" i="82"/>
  <c r="B130" i="82"/>
  <c r="B131" i="82"/>
  <c r="B132" i="82"/>
  <c r="B133" i="82"/>
  <c r="B134" i="82"/>
  <c r="B135" i="82"/>
  <c r="B136" i="82"/>
  <c r="B137" i="82"/>
  <c r="B138" i="82"/>
  <c r="B139" i="82"/>
  <c r="B140" i="82"/>
  <c r="B141" i="82"/>
  <c r="B142" i="82"/>
  <c r="B143" i="82"/>
  <c r="B144" i="82"/>
  <c r="B145" i="82"/>
  <c r="B146" i="82"/>
  <c r="B147" i="82"/>
  <c r="B148" i="82"/>
  <c r="B149" i="82"/>
  <c r="B150" i="82"/>
  <c r="B151" i="82"/>
  <c r="B152" i="82"/>
  <c r="B153" i="82"/>
  <c r="B154" i="82"/>
  <c r="B155" i="82"/>
  <c r="B156" i="82"/>
  <c r="B157" i="82"/>
  <c r="B158" i="82"/>
  <c r="B159" i="82"/>
  <c r="B160" i="82"/>
  <c r="B161" i="82"/>
  <c r="B162" i="82"/>
  <c r="B163" i="82"/>
  <c r="B164" i="82"/>
  <c r="B165" i="82"/>
  <c r="B166" i="82"/>
  <c r="B167" i="82"/>
  <c r="B168" i="82"/>
  <c r="B169" i="82"/>
  <c r="B170" i="82"/>
  <c r="B171" i="82"/>
  <c r="B172" i="82"/>
  <c r="B173" i="82"/>
  <c r="B174" i="82"/>
  <c r="B175" i="82"/>
  <c r="B176" i="82"/>
  <c r="B177" i="82"/>
  <c r="B178" i="82"/>
  <c r="B179" i="82"/>
  <c r="B180" i="82"/>
  <c r="B181" i="82"/>
  <c r="B182" i="82"/>
  <c r="B183" i="82"/>
  <c r="B184" i="82"/>
  <c r="B185" i="82"/>
  <c r="B186" i="82"/>
  <c r="B187" i="82"/>
  <c r="B188" i="82"/>
  <c r="B189" i="82"/>
  <c r="B190" i="82"/>
  <c r="B191" i="82"/>
  <c r="B192" i="82"/>
  <c r="B193" i="82"/>
  <c r="B194" i="82"/>
  <c r="B195" i="82"/>
  <c r="B196" i="82"/>
  <c r="B197" i="82"/>
  <c r="B198" i="82"/>
  <c r="B199" i="82"/>
  <c r="B200" i="82"/>
  <c r="B201" i="82"/>
  <c r="B202" i="82"/>
  <c r="B203" i="82"/>
  <c r="B204" i="82"/>
  <c r="B205" i="82"/>
  <c r="B206" i="82"/>
  <c r="B207" i="82"/>
  <c r="B208" i="82"/>
  <c r="B209" i="82"/>
  <c r="B210" i="82"/>
  <c r="B211" i="82"/>
  <c r="B212" i="82"/>
  <c r="B213" i="82"/>
  <c r="B214" i="82"/>
  <c r="B215" i="82"/>
  <c r="B216" i="82"/>
  <c r="B217" i="82"/>
  <c r="B218" i="82"/>
  <c r="B219" i="82"/>
  <c r="B220" i="82"/>
  <c r="B221" i="82"/>
  <c r="B222" i="82"/>
  <c r="B223" i="82"/>
  <c r="B224" i="82"/>
  <c r="B225" i="82"/>
  <c r="B226" i="82"/>
  <c r="B227" i="82"/>
  <c r="B228" i="82"/>
  <c r="B229" i="82"/>
  <c r="B230" i="82"/>
  <c r="B231" i="82"/>
  <c r="B232" i="82"/>
  <c r="B233" i="82"/>
  <c r="B234" i="82"/>
  <c r="B235" i="82"/>
  <c r="B236" i="82"/>
  <c r="B237" i="82"/>
  <c r="B238" i="82"/>
  <c r="B239" i="82"/>
  <c r="B240" i="82"/>
  <c r="B241" i="82"/>
  <c r="B242" i="82"/>
  <c r="B243" i="82"/>
  <c r="B244" i="82"/>
  <c r="B245" i="82"/>
  <c r="B246" i="82"/>
  <c r="B247" i="82"/>
  <c r="B248" i="82"/>
  <c r="B249" i="82"/>
  <c r="B250" i="82"/>
  <c r="B251" i="82"/>
  <c r="B252" i="82"/>
  <c r="B253" i="82"/>
  <c r="B254" i="82"/>
  <c r="B255" i="82"/>
  <c r="B256" i="82"/>
  <c r="B257" i="82"/>
  <c r="B258" i="82"/>
  <c r="B259" i="82"/>
  <c r="B2" i="82"/>
  <c r="B247" i="111"/>
  <c r="B248" i="111"/>
  <c r="B249" i="111"/>
  <c r="B250" i="111"/>
  <c r="B251" i="111"/>
  <c r="B252" i="111"/>
  <c r="B253" i="111"/>
  <c r="B254" i="111"/>
  <c r="B255" i="111"/>
  <c r="B256" i="111"/>
  <c r="B257" i="111"/>
  <c r="B258" i="111"/>
  <c r="B259" i="111"/>
  <c r="A2" i="106"/>
  <c r="A249" i="82"/>
  <c r="G249" i="82"/>
  <c r="C249" i="82"/>
  <c r="I249" i="82"/>
  <c r="D249" i="82"/>
  <c r="F249" i="82"/>
  <c r="H249" i="82"/>
  <c r="J249" i="82"/>
  <c r="K249" i="82"/>
  <c r="L249" i="82"/>
  <c r="E27" i="106"/>
  <c r="G27" i="106"/>
  <c r="H27" i="106"/>
  <c r="E26" i="106"/>
  <c r="G26" i="106"/>
  <c r="H26" i="106"/>
  <c r="M249" i="82"/>
  <c r="E17" i="106"/>
  <c r="G17" i="106"/>
  <c r="H17" i="106"/>
  <c r="E24" i="106"/>
  <c r="G24" i="106"/>
  <c r="H24" i="106"/>
  <c r="M2" i="82"/>
  <c r="E18" i="106"/>
  <c r="G18" i="106"/>
  <c r="H18" i="106"/>
  <c r="M3" i="82"/>
  <c r="M4" i="82"/>
  <c r="M5" i="82"/>
  <c r="M6" i="82"/>
  <c r="M7" i="82"/>
  <c r="M8" i="82"/>
  <c r="M9" i="82"/>
  <c r="M10" i="82"/>
  <c r="M11" i="82"/>
  <c r="M12" i="82"/>
  <c r="M13" i="82"/>
  <c r="M14" i="82"/>
  <c r="M15" i="82"/>
  <c r="M16" i="82"/>
  <c r="M17" i="82"/>
  <c r="M18" i="82"/>
  <c r="M19" i="82"/>
  <c r="M20" i="82"/>
  <c r="M21" i="82"/>
  <c r="M22" i="82"/>
  <c r="M23" i="82"/>
  <c r="M24" i="82"/>
  <c r="M25" i="82"/>
  <c r="M26" i="82"/>
  <c r="M27" i="82"/>
  <c r="M28" i="82"/>
  <c r="M29" i="82"/>
  <c r="M30" i="82"/>
  <c r="M31" i="82"/>
  <c r="M32" i="82"/>
  <c r="M33" i="82"/>
  <c r="M34" i="82"/>
  <c r="M35" i="82"/>
  <c r="M36" i="82"/>
  <c r="M37" i="82"/>
  <c r="M38" i="82"/>
  <c r="M39" i="82"/>
  <c r="M40" i="82"/>
  <c r="M41" i="82"/>
  <c r="M42" i="82"/>
  <c r="M43" i="82"/>
  <c r="E23" i="106"/>
  <c r="G23" i="106"/>
  <c r="H23" i="106"/>
  <c r="M44" i="82"/>
  <c r="M45" i="82"/>
  <c r="M46" i="82"/>
  <c r="M47" i="82"/>
  <c r="M48" i="82"/>
  <c r="M49" i="82"/>
  <c r="M50" i="82"/>
  <c r="M51" i="82"/>
  <c r="M52" i="82"/>
  <c r="M53" i="82"/>
  <c r="M54" i="82"/>
  <c r="M55" i="82"/>
  <c r="M56" i="82"/>
  <c r="M57" i="82"/>
  <c r="M58" i="82"/>
  <c r="M59" i="82"/>
  <c r="M60" i="82"/>
  <c r="M61" i="82"/>
  <c r="M62" i="82"/>
  <c r="M63" i="82"/>
  <c r="M64" i="82"/>
  <c r="M65" i="82"/>
  <c r="M66" i="82"/>
  <c r="M67" i="82"/>
  <c r="M68" i="82"/>
  <c r="M69" i="82"/>
  <c r="M70" i="82"/>
  <c r="M71" i="82"/>
  <c r="M72" i="82"/>
  <c r="M73" i="82"/>
  <c r="M74" i="82"/>
  <c r="M75" i="82"/>
  <c r="M76" i="82"/>
  <c r="M77" i="82"/>
  <c r="M78" i="82"/>
  <c r="M79" i="82"/>
  <c r="M80" i="82"/>
  <c r="M81" i="82"/>
  <c r="M82" i="82"/>
  <c r="M83" i="82"/>
  <c r="M84" i="82"/>
  <c r="M85" i="82"/>
  <c r="M86" i="82"/>
  <c r="M87" i="82"/>
  <c r="M88" i="82"/>
  <c r="M89" i="82"/>
  <c r="M90" i="82"/>
  <c r="M91" i="82"/>
  <c r="M92" i="82"/>
  <c r="M93" i="82"/>
  <c r="M94" i="82"/>
  <c r="M95" i="82"/>
  <c r="M96" i="82"/>
  <c r="M97" i="82"/>
  <c r="M98" i="82"/>
  <c r="M99" i="82"/>
  <c r="M100" i="82"/>
  <c r="M101" i="82"/>
  <c r="M102" i="82"/>
  <c r="M103" i="82"/>
  <c r="M104" i="82"/>
  <c r="M105" i="82"/>
  <c r="M106" i="82"/>
  <c r="M107" i="82"/>
  <c r="M108" i="82"/>
  <c r="M109" i="82"/>
  <c r="M110" i="82"/>
  <c r="M111" i="82"/>
  <c r="M112" i="82"/>
  <c r="M113" i="82"/>
  <c r="M114" i="82"/>
  <c r="M115" i="82"/>
  <c r="M116" i="82"/>
  <c r="M117" i="82"/>
  <c r="M118" i="82"/>
  <c r="M119" i="82"/>
  <c r="M120" i="82"/>
  <c r="M121" i="82"/>
  <c r="M122" i="82"/>
  <c r="M123" i="82"/>
  <c r="M124" i="82"/>
  <c r="M125" i="82"/>
  <c r="M126" i="82"/>
  <c r="M127" i="82"/>
  <c r="M128" i="82"/>
  <c r="M129" i="82"/>
  <c r="M130" i="82"/>
  <c r="M131" i="82"/>
  <c r="M132" i="82"/>
  <c r="M133" i="82"/>
  <c r="M134" i="82"/>
  <c r="M135" i="82"/>
  <c r="M136" i="82"/>
  <c r="M137" i="82"/>
  <c r="E19" i="106"/>
  <c r="G19" i="106"/>
  <c r="H19" i="106"/>
  <c r="M138" i="82"/>
  <c r="M139" i="82"/>
  <c r="E20" i="106"/>
  <c r="G20" i="106"/>
  <c r="H20" i="106"/>
  <c r="M140" i="82"/>
  <c r="E25" i="106"/>
  <c r="G25" i="106"/>
  <c r="H25" i="106"/>
  <c r="M141" i="82"/>
  <c r="M142" i="82"/>
  <c r="M143" i="82"/>
  <c r="M144" i="82"/>
  <c r="M145" i="82"/>
  <c r="M146" i="82"/>
  <c r="M147" i="82"/>
  <c r="M148" i="82"/>
  <c r="M149" i="82"/>
  <c r="M150" i="82"/>
  <c r="M151" i="82"/>
  <c r="M152" i="82"/>
  <c r="M153" i="82"/>
  <c r="M154" i="82"/>
  <c r="M155" i="82"/>
  <c r="M156" i="82"/>
  <c r="M157" i="82"/>
  <c r="M158" i="82"/>
  <c r="M159" i="82"/>
  <c r="M160" i="82"/>
  <c r="M161" i="82"/>
  <c r="M162" i="82"/>
  <c r="M163" i="82"/>
  <c r="M164" i="82"/>
  <c r="M165" i="82"/>
  <c r="M166" i="82"/>
  <c r="M167" i="82"/>
  <c r="M168" i="82"/>
  <c r="M169" i="82"/>
  <c r="M170" i="82"/>
  <c r="M171" i="82"/>
  <c r="M172" i="82"/>
  <c r="M173" i="82"/>
  <c r="M174" i="82"/>
  <c r="M175" i="82"/>
  <c r="M176" i="82"/>
  <c r="M177" i="82"/>
  <c r="M178" i="82"/>
  <c r="M179" i="82"/>
  <c r="M180" i="82"/>
  <c r="M181" i="82"/>
  <c r="M182" i="82"/>
  <c r="M183" i="82"/>
  <c r="M184" i="82"/>
  <c r="M185" i="82"/>
  <c r="M186" i="82"/>
  <c r="M187" i="82"/>
  <c r="M188" i="82"/>
  <c r="M189" i="82"/>
  <c r="M190" i="82"/>
  <c r="M191" i="82"/>
  <c r="M192" i="82"/>
  <c r="M193" i="82"/>
  <c r="M194" i="82"/>
  <c r="M195" i="82"/>
  <c r="M196" i="82"/>
  <c r="M197" i="82"/>
  <c r="M198" i="82"/>
  <c r="M199" i="82"/>
  <c r="M200" i="82"/>
  <c r="M201" i="82"/>
  <c r="M202" i="82"/>
  <c r="M203" i="82"/>
  <c r="M204" i="82"/>
  <c r="M205" i="82"/>
  <c r="M206" i="82"/>
  <c r="M207" i="82"/>
  <c r="M208" i="82"/>
  <c r="M209" i="82"/>
  <c r="M210" i="82"/>
  <c r="M211" i="82"/>
  <c r="M212" i="82"/>
  <c r="M213" i="82"/>
  <c r="M214" i="82"/>
  <c r="M215" i="82"/>
  <c r="M216" i="82"/>
  <c r="M217" i="82"/>
  <c r="M218" i="82"/>
  <c r="M219" i="82"/>
  <c r="M220" i="82"/>
  <c r="M221" i="82"/>
  <c r="M222" i="82"/>
  <c r="M223" i="82"/>
  <c r="M224" i="82"/>
  <c r="M225" i="82"/>
  <c r="M226" i="82"/>
  <c r="M227" i="82"/>
  <c r="M228" i="82"/>
  <c r="M229" i="82"/>
  <c r="M230" i="82"/>
  <c r="M231" i="82"/>
  <c r="M232" i="82"/>
  <c r="M233" i="82"/>
  <c r="M234" i="82"/>
  <c r="M235" i="82"/>
  <c r="M236" i="82"/>
  <c r="M237" i="82"/>
  <c r="M238" i="82"/>
  <c r="M239" i="82"/>
  <c r="M240" i="82"/>
  <c r="M241" i="82"/>
  <c r="M242" i="82"/>
  <c r="M243" i="82"/>
  <c r="M244" i="82"/>
  <c r="M245" i="82"/>
  <c r="M246" i="82"/>
  <c r="M247" i="82"/>
  <c r="M248" i="82"/>
  <c r="M250" i="82"/>
  <c r="M251" i="82"/>
  <c r="M252" i="82"/>
  <c r="M253" i="82"/>
  <c r="M254" i="82"/>
  <c r="M255" i="82"/>
  <c r="M256" i="82"/>
  <c r="M257" i="82"/>
  <c r="M258" i="82"/>
  <c r="M259" i="82"/>
  <c r="N249" i="82"/>
  <c r="O249" i="82"/>
  <c r="P249" i="82"/>
  <c r="Q249" i="82"/>
  <c r="R249" i="82"/>
  <c r="S249" i="82"/>
  <c r="T249" i="82"/>
  <c r="E21" i="106"/>
  <c r="E22" i="106"/>
  <c r="N248" i="82"/>
  <c r="N250" i="82"/>
  <c r="N251" i="82"/>
  <c r="N252" i="82"/>
  <c r="N253" i="82"/>
  <c r="N254" i="82"/>
  <c r="N255" i="82"/>
  <c r="N256" i="82"/>
  <c r="N257" i="82"/>
  <c r="N258" i="82"/>
  <c r="N259" i="82"/>
  <c r="A2" i="110"/>
  <c r="G2" i="111"/>
  <c r="C2" i="111"/>
  <c r="H2" i="111"/>
  <c r="B2" i="111"/>
  <c r="G3" i="111"/>
  <c r="C3" i="111"/>
  <c r="H3" i="111"/>
  <c r="B3" i="111"/>
  <c r="G4" i="111"/>
  <c r="C4" i="111"/>
  <c r="H4" i="111"/>
  <c r="B4" i="111"/>
  <c r="G5" i="111"/>
  <c r="C5" i="111"/>
  <c r="H5" i="111"/>
  <c r="B5" i="111"/>
  <c r="G6" i="111"/>
  <c r="C6" i="111"/>
  <c r="H6" i="111"/>
  <c r="B6" i="111"/>
  <c r="G7" i="111"/>
  <c r="C7" i="111"/>
  <c r="H7" i="111"/>
  <c r="B7" i="111"/>
  <c r="G8" i="111"/>
  <c r="C8" i="111"/>
  <c r="H8" i="111"/>
  <c r="B8" i="111"/>
  <c r="G9" i="111"/>
  <c r="C9" i="111"/>
  <c r="H9" i="111"/>
  <c r="B9" i="111"/>
  <c r="G10" i="111"/>
  <c r="C10" i="111"/>
  <c r="H10" i="111"/>
  <c r="B10" i="111"/>
  <c r="G11" i="111"/>
  <c r="C11" i="111"/>
  <c r="H11" i="111"/>
  <c r="B11" i="111"/>
  <c r="G12" i="111"/>
  <c r="C12" i="111"/>
  <c r="H12" i="111"/>
  <c r="B12" i="111"/>
  <c r="G13" i="111"/>
  <c r="C13" i="111"/>
  <c r="H13" i="111"/>
  <c r="B13" i="111"/>
  <c r="G14" i="111"/>
  <c r="C14" i="111"/>
  <c r="H14" i="111"/>
  <c r="B14" i="111"/>
  <c r="G15" i="111"/>
  <c r="C15" i="111"/>
  <c r="H15" i="111"/>
  <c r="B15" i="111"/>
  <c r="G16" i="111"/>
  <c r="C16" i="111"/>
  <c r="H16" i="111"/>
  <c r="B16" i="111"/>
  <c r="G17" i="111"/>
  <c r="C17" i="111"/>
  <c r="H17" i="111"/>
  <c r="B17" i="111"/>
  <c r="G18" i="111"/>
  <c r="C18" i="111"/>
  <c r="H18" i="111"/>
  <c r="B18" i="111"/>
  <c r="G19" i="111"/>
  <c r="C19" i="111"/>
  <c r="H19" i="111"/>
  <c r="B19" i="111"/>
  <c r="G20" i="111"/>
  <c r="C20" i="111"/>
  <c r="H20" i="111"/>
  <c r="B20" i="111"/>
  <c r="G21" i="111"/>
  <c r="C21" i="111"/>
  <c r="H21" i="111"/>
  <c r="B21" i="111"/>
  <c r="G22" i="111"/>
  <c r="C22" i="111"/>
  <c r="H22" i="111"/>
  <c r="B22" i="111"/>
  <c r="G23" i="111"/>
  <c r="C23" i="111"/>
  <c r="H23" i="111"/>
  <c r="B23" i="111"/>
  <c r="G24" i="111"/>
  <c r="C24" i="111"/>
  <c r="H24" i="111"/>
  <c r="B24" i="111"/>
  <c r="G25" i="111"/>
  <c r="C25" i="111"/>
  <c r="H25" i="111"/>
  <c r="B25" i="111"/>
  <c r="G26" i="111"/>
  <c r="C26" i="111"/>
  <c r="H26" i="111"/>
  <c r="B26" i="111"/>
  <c r="G27" i="111"/>
  <c r="C27" i="111"/>
  <c r="H27" i="111"/>
  <c r="B27" i="111"/>
  <c r="G28" i="111"/>
  <c r="C28" i="111"/>
  <c r="H28" i="111"/>
  <c r="B28" i="111"/>
  <c r="G29" i="111"/>
  <c r="C29" i="111"/>
  <c r="H29" i="111"/>
  <c r="B29" i="111"/>
  <c r="G30" i="111"/>
  <c r="C30" i="111"/>
  <c r="H30" i="111"/>
  <c r="B30" i="111"/>
  <c r="G31" i="111"/>
  <c r="C31" i="111"/>
  <c r="H31" i="111"/>
  <c r="B31" i="111"/>
  <c r="G32" i="111"/>
  <c r="C32" i="111"/>
  <c r="H32" i="111"/>
  <c r="B32" i="111"/>
  <c r="G33" i="111"/>
  <c r="C33" i="111"/>
  <c r="H33" i="111"/>
  <c r="B33" i="111"/>
  <c r="G34" i="111"/>
  <c r="C34" i="111"/>
  <c r="H34" i="111"/>
  <c r="B34" i="111"/>
  <c r="G35" i="111"/>
  <c r="C35" i="111"/>
  <c r="H35" i="111"/>
  <c r="B35" i="111"/>
  <c r="G36" i="111"/>
  <c r="C36" i="111"/>
  <c r="H36" i="111"/>
  <c r="B36" i="111"/>
  <c r="G37" i="111"/>
  <c r="C37" i="111"/>
  <c r="H37" i="111"/>
  <c r="B37" i="111"/>
  <c r="G38" i="111"/>
  <c r="C38" i="111"/>
  <c r="H38" i="111"/>
  <c r="B38" i="111"/>
  <c r="G39" i="111"/>
  <c r="C39" i="111"/>
  <c r="H39" i="111"/>
  <c r="B39" i="111"/>
  <c r="G40" i="111"/>
  <c r="C40" i="111"/>
  <c r="H40" i="111"/>
  <c r="B40" i="111"/>
  <c r="G41" i="111"/>
  <c r="C41" i="111"/>
  <c r="H41" i="111"/>
  <c r="B41" i="111"/>
  <c r="G42" i="111"/>
  <c r="C42" i="111"/>
  <c r="H42" i="111"/>
  <c r="B42" i="111"/>
  <c r="G43" i="111"/>
  <c r="C43" i="111"/>
  <c r="H43" i="111"/>
  <c r="B43" i="111"/>
  <c r="G44" i="111"/>
  <c r="C44" i="111"/>
  <c r="H44" i="111"/>
  <c r="B44" i="111"/>
  <c r="G45" i="111"/>
  <c r="C45" i="111"/>
  <c r="H45" i="111"/>
  <c r="B45" i="111"/>
  <c r="G46" i="111"/>
  <c r="C46" i="111"/>
  <c r="H46" i="111"/>
  <c r="B46" i="111"/>
  <c r="G47" i="111"/>
  <c r="C47" i="111"/>
  <c r="H47" i="111"/>
  <c r="B47" i="111"/>
  <c r="G48" i="111"/>
  <c r="C48" i="111"/>
  <c r="H48" i="111"/>
  <c r="B48" i="111"/>
  <c r="G49" i="111"/>
  <c r="C49" i="111"/>
  <c r="H49" i="111"/>
  <c r="B49" i="111"/>
  <c r="G50" i="111"/>
  <c r="C50" i="111"/>
  <c r="H50" i="111"/>
  <c r="B50" i="111"/>
  <c r="G51" i="111"/>
  <c r="C51" i="111"/>
  <c r="H51" i="111"/>
  <c r="B51" i="111"/>
  <c r="G52" i="111"/>
  <c r="C52" i="111"/>
  <c r="H52" i="111"/>
  <c r="B52" i="111"/>
  <c r="G53" i="111"/>
  <c r="C53" i="111"/>
  <c r="H53" i="111"/>
  <c r="B53" i="111"/>
  <c r="G54" i="111"/>
  <c r="C54" i="111"/>
  <c r="H54" i="111"/>
  <c r="B54" i="111"/>
  <c r="G55" i="111"/>
  <c r="C55" i="111"/>
  <c r="H55" i="111"/>
  <c r="B55" i="111"/>
  <c r="G56" i="111"/>
  <c r="C56" i="111"/>
  <c r="H56" i="111"/>
  <c r="B56" i="111"/>
  <c r="G57" i="111"/>
  <c r="C57" i="111"/>
  <c r="H57" i="111"/>
  <c r="B57" i="111"/>
  <c r="G58" i="111"/>
  <c r="C58" i="111"/>
  <c r="H58" i="111"/>
  <c r="B58" i="111"/>
  <c r="G59" i="111"/>
  <c r="C59" i="111"/>
  <c r="H59" i="111"/>
  <c r="B59" i="111"/>
  <c r="G60" i="111"/>
  <c r="C60" i="111"/>
  <c r="H60" i="111"/>
  <c r="B60" i="111"/>
  <c r="G61" i="111"/>
  <c r="C61" i="111"/>
  <c r="H61" i="111"/>
  <c r="B61" i="111"/>
  <c r="G62" i="111"/>
  <c r="C62" i="111"/>
  <c r="H62" i="111"/>
  <c r="B62" i="111"/>
  <c r="G63" i="111"/>
  <c r="C63" i="111"/>
  <c r="H63" i="111"/>
  <c r="B63" i="111"/>
  <c r="G64" i="111"/>
  <c r="C64" i="111"/>
  <c r="H64" i="111"/>
  <c r="B64" i="111"/>
  <c r="G65" i="111"/>
  <c r="C65" i="111"/>
  <c r="H65" i="111"/>
  <c r="B65" i="111"/>
  <c r="G66" i="111"/>
  <c r="C66" i="111"/>
  <c r="H66" i="111"/>
  <c r="B66" i="111"/>
  <c r="G67" i="111"/>
  <c r="C67" i="111"/>
  <c r="H67" i="111"/>
  <c r="B67" i="111"/>
  <c r="G68" i="111"/>
  <c r="C68" i="111"/>
  <c r="H68" i="111"/>
  <c r="B68" i="111"/>
  <c r="G69" i="111"/>
  <c r="C69" i="111"/>
  <c r="H69" i="111"/>
  <c r="B69" i="111"/>
  <c r="G70" i="111"/>
  <c r="C70" i="111"/>
  <c r="H70" i="111"/>
  <c r="B70" i="111"/>
  <c r="G71" i="111"/>
  <c r="C71" i="111"/>
  <c r="H71" i="111"/>
  <c r="B71" i="111"/>
  <c r="G72" i="111"/>
  <c r="C72" i="111"/>
  <c r="H72" i="111"/>
  <c r="B72" i="111"/>
  <c r="G73" i="111"/>
  <c r="C73" i="111"/>
  <c r="H73" i="111"/>
  <c r="B73" i="111"/>
  <c r="G74" i="111"/>
  <c r="C74" i="111"/>
  <c r="H74" i="111"/>
  <c r="B74" i="111"/>
  <c r="G75" i="111"/>
  <c r="C75" i="111"/>
  <c r="H75" i="111"/>
  <c r="B75" i="111"/>
  <c r="G76" i="111"/>
  <c r="C76" i="111"/>
  <c r="H76" i="111"/>
  <c r="B76" i="111"/>
  <c r="G77" i="111"/>
  <c r="C77" i="111"/>
  <c r="H77" i="111"/>
  <c r="B77" i="111"/>
  <c r="G78" i="111"/>
  <c r="C78" i="111"/>
  <c r="H78" i="111"/>
  <c r="B78" i="111"/>
  <c r="G79" i="111"/>
  <c r="C79" i="111"/>
  <c r="H79" i="111"/>
  <c r="B79" i="111"/>
  <c r="G80" i="111"/>
  <c r="C80" i="111"/>
  <c r="H80" i="111"/>
  <c r="B80" i="111"/>
  <c r="G81" i="111"/>
  <c r="C81" i="111"/>
  <c r="H81" i="111"/>
  <c r="B81" i="111"/>
  <c r="G82" i="111"/>
  <c r="C82" i="111"/>
  <c r="H82" i="111"/>
  <c r="B82" i="111"/>
  <c r="G83" i="111"/>
  <c r="C83" i="111"/>
  <c r="H83" i="111"/>
  <c r="B83" i="111"/>
  <c r="G84" i="111"/>
  <c r="C84" i="111"/>
  <c r="H84" i="111"/>
  <c r="B84" i="111"/>
  <c r="G85" i="111"/>
  <c r="C85" i="111"/>
  <c r="H85" i="111"/>
  <c r="B85" i="111"/>
  <c r="G86" i="111"/>
  <c r="C86" i="111"/>
  <c r="H86" i="111"/>
  <c r="B86" i="111"/>
  <c r="G87" i="111"/>
  <c r="C87" i="111"/>
  <c r="H87" i="111"/>
  <c r="B87" i="111"/>
  <c r="G88" i="111"/>
  <c r="C88" i="111"/>
  <c r="H88" i="111"/>
  <c r="B88" i="111"/>
  <c r="G89" i="111"/>
  <c r="C89" i="111"/>
  <c r="H89" i="111"/>
  <c r="B89" i="111"/>
  <c r="G90" i="111"/>
  <c r="C90" i="111"/>
  <c r="H90" i="111"/>
  <c r="B90" i="111"/>
  <c r="G91" i="111"/>
  <c r="C91" i="111"/>
  <c r="H91" i="111"/>
  <c r="B91" i="111"/>
  <c r="G92" i="111"/>
  <c r="C92" i="111"/>
  <c r="H92" i="111"/>
  <c r="B92" i="111"/>
  <c r="G93" i="111"/>
  <c r="C93" i="111"/>
  <c r="H93" i="111"/>
  <c r="B93" i="111"/>
  <c r="G94" i="111"/>
  <c r="C94" i="111"/>
  <c r="H94" i="111"/>
  <c r="B94" i="111"/>
  <c r="G95" i="111"/>
  <c r="C95" i="111"/>
  <c r="H95" i="111"/>
  <c r="B95" i="111"/>
  <c r="G96" i="111"/>
  <c r="C96" i="111"/>
  <c r="H96" i="111"/>
  <c r="B96" i="111"/>
  <c r="G97" i="111"/>
  <c r="C97" i="111"/>
  <c r="H97" i="111"/>
  <c r="B97" i="111"/>
  <c r="G98" i="111"/>
  <c r="C98" i="111"/>
  <c r="H98" i="111"/>
  <c r="B98" i="111"/>
  <c r="G99" i="111"/>
  <c r="C99" i="111"/>
  <c r="H99" i="111"/>
  <c r="B99" i="111"/>
  <c r="G100" i="111"/>
  <c r="C100" i="111"/>
  <c r="H100" i="111"/>
  <c r="B100" i="111"/>
  <c r="G101" i="111"/>
  <c r="C101" i="111"/>
  <c r="H101" i="111"/>
  <c r="B101" i="111"/>
  <c r="G102" i="111"/>
  <c r="C102" i="111"/>
  <c r="H102" i="111"/>
  <c r="B102" i="111"/>
  <c r="G103" i="111"/>
  <c r="C103" i="111"/>
  <c r="H103" i="111"/>
  <c r="B103" i="111"/>
  <c r="G104" i="111"/>
  <c r="C104" i="111"/>
  <c r="H104" i="111"/>
  <c r="B104" i="111"/>
  <c r="G105" i="111"/>
  <c r="C105" i="111"/>
  <c r="H105" i="111"/>
  <c r="B105" i="111"/>
  <c r="G106" i="111"/>
  <c r="C106" i="111"/>
  <c r="H106" i="111"/>
  <c r="B106" i="111"/>
  <c r="G107" i="111"/>
  <c r="C107" i="111"/>
  <c r="H107" i="111"/>
  <c r="B107" i="111"/>
  <c r="G108" i="111"/>
  <c r="C108" i="111"/>
  <c r="H108" i="111"/>
  <c r="B108" i="111"/>
  <c r="G109" i="111"/>
  <c r="C109" i="111"/>
  <c r="H109" i="111"/>
  <c r="B109" i="111"/>
  <c r="G110" i="111"/>
  <c r="C110" i="111"/>
  <c r="H110" i="111"/>
  <c r="B110" i="111"/>
  <c r="G111" i="111"/>
  <c r="C111" i="111"/>
  <c r="H111" i="111"/>
  <c r="B111" i="111"/>
  <c r="G112" i="111"/>
  <c r="C112" i="111"/>
  <c r="H112" i="111"/>
  <c r="B112" i="111"/>
  <c r="G113" i="111"/>
  <c r="C113" i="111"/>
  <c r="H113" i="111"/>
  <c r="B113" i="111"/>
  <c r="G114" i="111"/>
  <c r="C114" i="111"/>
  <c r="H114" i="111"/>
  <c r="B114" i="111"/>
  <c r="G115" i="111"/>
  <c r="C115" i="111"/>
  <c r="H115" i="111"/>
  <c r="B115" i="111"/>
  <c r="G116" i="111"/>
  <c r="C116" i="111"/>
  <c r="H116" i="111"/>
  <c r="B116" i="111"/>
  <c r="G117" i="111"/>
  <c r="C117" i="111"/>
  <c r="H117" i="111"/>
  <c r="B117" i="111"/>
  <c r="G118" i="111"/>
  <c r="C118" i="111"/>
  <c r="H118" i="111"/>
  <c r="B118" i="111"/>
  <c r="G119" i="111"/>
  <c r="C119" i="111"/>
  <c r="H119" i="111"/>
  <c r="B119" i="111"/>
  <c r="G120" i="111"/>
  <c r="C120" i="111"/>
  <c r="H120" i="111"/>
  <c r="B120" i="111"/>
  <c r="G121" i="111"/>
  <c r="C121" i="111"/>
  <c r="H121" i="111"/>
  <c r="B121" i="111"/>
  <c r="G122" i="111"/>
  <c r="C122" i="111"/>
  <c r="H122" i="111"/>
  <c r="B122" i="111"/>
  <c r="G123" i="111"/>
  <c r="C123" i="111"/>
  <c r="H123" i="111"/>
  <c r="B123" i="111"/>
  <c r="G124" i="111"/>
  <c r="C124" i="111"/>
  <c r="H124" i="111"/>
  <c r="B124" i="111"/>
  <c r="G125" i="111"/>
  <c r="C125" i="111"/>
  <c r="H125" i="111"/>
  <c r="B125" i="111"/>
  <c r="G126" i="111"/>
  <c r="C126" i="111"/>
  <c r="H126" i="111"/>
  <c r="B126" i="111"/>
  <c r="G127" i="111"/>
  <c r="C127" i="111"/>
  <c r="H127" i="111"/>
  <c r="B127" i="111"/>
  <c r="G128" i="111"/>
  <c r="C128" i="111"/>
  <c r="H128" i="111"/>
  <c r="B128" i="111"/>
  <c r="G129" i="111"/>
  <c r="C129" i="111"/>
  <c r="H129" i="111"/>
  <c r="B129" i="111"/>
  <c r="G130" i="111"/>
  <c r="C130" i="111"/>
  <c r="H130" i="111"/>
  <c r="B130" i="111"/>
  <c r="G131" i="111"/>
  <c r="C131" i="111"/>
  <c r="H131" i="111"/>
  <c r="B131" i="111"/>
  <c r="G132" i="111"/>
  <c r="C132" i="111"/>
  <c r="H132" i="111"/>
  <c r="B132" i="111"/>
  <c r="G133" i="111"/>
  <c r="C133" i="111"/>
  <c r="H133" i="111"/>
  <c r="B133" i="111"/>
  <c r="G134" i="111"/>
  <c r="C134" i="111"/>
  <c r="H134" i="111"/>
  <c r="B134" i="111"/>
  <c r="G135" i="111"/>
  <c r="C135" i="111"/>
  <c r="H135" i="111"/>
  <c r="B135" i="111"/>
  <c r="G136" i="111"/>
  <c r="C136" i="111"/>
  <c r="H136" i="111"/>
  <c r="B136" i="111"/>
  <c r="G137" i="111"/>
  <c r="C137" i="111"/>
  <c r="H137" i="111"/>
  <c r="B137" i="111"/>
  <c r="G138" i="111"/>
  <c r="C138" i="111"/>
  <c r="I138" i="111"/>
  <c r="D138" i="111"/>
  <c r="H138" i="111"/>
  <c r="B138" i="111"/>
  <c r="G139" i="111"/>
  <c r="C139" i="111"/>
  <c r="I139" i="111"/>
  <c r="D139" i="111"/>
  <c r="H139" i="111"/>
  <c r="B139" i="111"/>
  <c r="G140" i="111"/>
  <c r="C140" i="111"/>
  <c r="I140" i="111"/>
  <c r="D140" i="111"/>
  <c r="H140" i="111"/>
  <c r="B140" i="111"/>
  <c r="G141" i="111"/>
  <c r="C141" i="111"/>
  <c r="I141" i="111"/>
  <c r="D141" i="111"/>
  <c r="H141" i="111"/>
  <c r="B141" i="111"/>
  <c r="G142" i="111"/>
  <c r="C142" i="111"/>
  <c r="I142" i="111"/>
  <c r="D142" i="111"/>
  <c r="H142" i="111"/>
  <c r="B142" i="111"/>
  <c r="G143" i="111"/>
  <c r="C143" i="111"/>
  <c r="I143" i="111"/>
  <c r="D143" i="111"/>
  <c r="H143" i="111"/>
  <c r="B143" i="111"/>
  <c r="G144" i="111"/>
  <c r="C144" i="111"/>
  <c r="I144" i="111"/>
  <c r="D144" i="111"/>
  <c r="H144" i="111"/>
  <c r="B144" i="111"/>
  <c r="G145" i="111"/>
  <c r="C145" i="111"/>
  <c r="I145" i="111"/>
  <c r="D145" i="111"/>
  <c r="H145" i="111"/>
  <c r="B145" i="111"/>
  <c r="G146" i="111"/>
  <c r="C146" i="111"/>
  <c r="H146" i="111"/>
  <c r="B146" i="111"/>
  <c r="G147" i="111"/>
  <c r="C147" i="111"/>
  <c r="H147" i="111"/>
  <c r="B147" i="111"/>
  <c r="G148" i="111"/>
  <c r="C148" i="111"/>
  <c r="H148" i="111"/>
  <c r="B148" i="111"/>
  <c r="G149" i="111"/>
  <c r="C149" i="111"/>
  <c r="I149" i="111"/>
  <c r="D149" i="111"/>
  <c r="H149" i="111"/>
  <c r="B149" i="111"/>
  <c r="G150" i="111"/>
  <c r="C150" i="111"/>
  <c r="I150" i="111"/>
  <c r="D150" i="111"/>
  <c r="H150" i="111"/>
  <c r="B150" i="111"/>
  <c r="G151" i="111"/>
  <c r="C151" i="111"/>
  <c r="I151" i="111"/>
  <c r="D151" i="111"/>
  <c r="H151" i="111"/>
  <c r="B151" i="111"/>
  <c r="G152" i="111"/>
  <c r="C152" i="111"/>
  <c r="I152" i="111"/>
  <c r="D152" i="111"/>
  <c r="H152" i="111"/>
  <c r="B152" i="111"/>
  <c r="G153" i="111"/>
  <c r="C153" i="111"/>
  <c r="H153" i="111"/>
  <c r="B153" i="111"/>
  <c r="G154" i="111"/>
  <c r="C154" i="111"/>
  <c r="H154" i="111"/>
  <c r="B154" i="111"/>
  <c r="G155" i="111"/>
  <c r="C155" i="111"/>
  <c r="H155" i="111"/>
  <c r="B155" i="111"/>
  <c r="G156" i="111"/>
  <c r="C156" i="111"/>
  <c r="I156" i="111"/>
  <c r="D156" i="111"/>
  <c r="H156" i="111"/>
  <c r="B156" i="111"/>
  <c r="G157" i="111"/>
  <c r="C157" i="111"/>
  <c r="I157" i="111"/>
  <c r="D157" i="111"/>
  <c r="H157" i="111"/>
  <c r="B157" i="111"/>
  <c r="G158" i="111"/>
  <c r="C158" i="111"/>
  <c r="H158" i="111"/>
  <c r="B158" i="111"/>
  <c r="G159" i="111"/>
  <c r="C159" i="111"/>
  <c r="H159" i="111"/>
  <c r="B159" i="111"/>
  <c r="G160" i="111"/>
  <c r="C160" i="111"/>
  <c r="H160" i="111"/>
  <c r="B160" i="111"/>
  <c r="G161" i="111"/>
  <c r="C161" i="111"/>
  <c r="H161" i="111"/>
  <c r="B161" i="111"/>
  <c r="G162" i="111"/>
  <c r="C162" i="111"/>
  <c r="H162" i="111"/>
  <c r="B162" i="111"/>
  <c r="G163" i="111"/>
  <c r="C163" i="111"/>
  <c r="H163" i="111"/>
  <c r="B163" i="111"/>
  <c r="G164" i="111"/>
  <c r="C164" i="111"/>
  <c r="I164" i="111"/>
  <c r="D164" i="111"/>
  <c r="H164" i="111"/>
  <c r="B164" i="111"/>
  <c r="G165" i="111"/>
  <c r="C165" i="111"/>
  <c r="I165" i="111"/>
  <c r="D165" i="111"/>
  <c r="H165" i="111"/>
  <c r="B165" i="111"/>
  <c r="G166" i="111"/>
  <c r="C166" i="111"/>
  <c r="H166" i="111"/>
  <c r="B166" i="111"/>
  <c r="G167" i="111"/>
  <c r="C167" i="111"/>
  <c r="H167" i="111"/>
  <c r="B167" i="111"/>
  <c r="G168" i="111"/>
  <c r="C168" i="111"/>
  <c r="H168" i="111"/>
  <c r="B168" i="111"/>
  <c r="G169" i="111"/>
  <c r="C169" i="111"/>
  <c r="I169" i="111"/>
  <c r="D169" i="111"/>
  <c r="H169" i="111"/>
  <c r="B169" i="111"/>
  <c r="G170" i="111"/>
  <c r="C170" i="111"/>
  <c r="I170" i="111"/>
  <c r="D170" i="111"/>
  <c r="H170" i="111"/>
  <c r="B170" i="111"/>
  <c r="G171" i="111"/>
  <c r="C171" i="111"/>
  <c r="H171" i="111"/>
  <c r="B171" i="111"/>
  <c r="G172" i="111"/>
  <c r="C172" i="111"/>
  <c r="H172" i="111"/>
  <c r="B172" i="111"/>
  <c r="G173" i="111"/>
  <c r="C173" i="111"/>
  <c r="H173" i="111"/>
  <c r="B173" i="111"/>
  <c r="G174" i="111"/>
  <c r="C174" i="111"/>
  <c r="I174" i="111"/>
  <c r="D174" i="111"/>
  <c r="H174" i="111"/>
  <c r="B174" i="111"/>
  <c r="G175" i="111"/>
  <c r="C175" i="111"/>
  <c r="I175" i="111"/>
  <c r="D175" i="111"/>
  <c r="H175" i="111"/>
  <c r="B175" i="111"/>
  <c r="G176" i="111"/>
  <c r="C176" i="111"/>
  <c r="I176" i="111"/>
  <c r="D176" i="111"/>
  <c r="H176" i="111"/>
  <c r="B176" i="111"/>
  <c r="G177" i="111"/>
  <c r="C177" i="111"/>
  <c r="I177" i="111"/>
  <c r="D177" i="111"/>
  <c r="H177" i="111"/>
  <c r="B177" i="111"/>
  <c r="G178" i="111"/>
  <c r="C178" i="111"/>
  <c r="H178" i="111"/>
  <c r="B178" i="111"/>
  <c r="G179" i="111"/>
  <c r="C179" i="111"/>
  <c r="H179" i="111"/>
  <c r="B179" i="111"/>
  <c r="G180" i="111"/>
  <c r="C180" i="111"/>
  <c r="H180" i="111"/>
  <c r="B180" i="111"/>
  <c r="G181" i="111"/>
  <c r="C181" i="111"/>
  <c r="H181" i="111"/>
  <c r="B181" i="111"/>
  <c r="G182" i="111"/>
  <c r="C182" i="111"/>
  <c r="H182" i="111"/>
  <c r="B182" i="111"/>
  <c r="G183" i="111"/>
  <c r="C183" i="111"/>
  <c r="H183" i="111"/>
  <c r="B183" i="111"/>
  <c r="G184" i="111"/>
  <c r="C184" i="111"/>
  <c r="I184" i="111"/>
  <c r="D184" i="111"/>
  <c r="H184" i="111"/>
  <c r="B184" i="111"/>
  <c r="G185" i="111"/>
  <c r="C185" i="111"/>
  <c r="I185" i="111"/>
  <c r="D185" i="111"/>
  <c r="H185" i="111"/>
  <c r="B185" i="111"/>
  <c r="G186" i="111"/>
  <c r="C186" i="111"/>
  <c r="H186" i="111"/>
  <c r="B186" i="111"/>
  <c r="G187" i="111"/>
  <c r="C187" i="111"/>
  <c r="H187" i="111"/>
  <c r="B187" i="111"/>
  <c r="G188" i="111"/>
  <c r="C188" i="111"/>
  <c r="H188" i="111"/>
  <c r="B188" i="111"/>
  <c r="G189" i="111"/>
  <c r="C189" i="111"/>
  <c r="I189" i="111"/>
  <c r="D189" i="111"/>
  <c r="H189" i="111"/>
  <c r="B189" i="111"/>
  <c r="G190" i="111"/>
  <c r="C190" i="111"/>
  <c r="I190" i="111"/>
  <c r="D190" i="111"/>
  <c r="H190" i="111"/>
  <c r="B190" i="111"/>
  <c r="G191" i="111"/>
  <c r="C191" i="111"/>
  <c r="I191" i="111"/>
  <c r="D191" i="111"/>
  <c r="H191" i="111"/>
  <c r="B191" i="111"/>
  <c r="G192" i="111"/>
  <c r="C192" i="111"/>
  <c r="I192" i="111"/>
  <c r="D192" i="111"/>
  <c r="H192" i="111"/>
  <c r="B192" i="111"/>
  <c r="G193" i="111"/>
  <c r="C193" i="111"/>
  <c r="H193" i="111"/>
  <c r="B193" i="111"/>
  <c r="G194" i="111"/>
  <c r="C194" i="111"/>
  <c r="H194" i="111"/>
  <c r="B194" i="111"/>
  <c r="G195" i="111"/>
  <c r="C195" i="111"/>
  <c r="H195" i="111"/>
  <c r="B195" i="111"/>
  <c r="G196" i="111"/>
  <c r="C196" i="111"/>
  <c r="I196" i="111"/>
  <c r="D196" i="111"/>
  <c r="H196" i="111"/>
  <c r="B196" i="111"/>
  <c r="G197" i="111"/>
  <c r="C197" i="111"/>
  <c r="I197" i="111"/>
  <c r="D197" i="111"/>
  <c r="H197" i="111"/>
  <c r="B197" i="111"/>
  <c r="G198" i="111"/>
  <c r="C198" i="111"/>
  <c r="H198" i="111"/>
  <c r="B198" i="111"/>
  <c r="G199" i="111"/>
  <c r="C199" i="111"/>
  <c r="H199" i="111"/>
  <c r="B199" i="111"/>
  <c r="G200" i="111"/>
  <c r="C200" i="111"/>
  <c r="H200" i="111"/>
  <c r="B200" i="111"/>
  <c r="G201" i="111"/>
  <c r="C201" i="111"/>
  <c r="I201" i="111"/>
  <c r="D201" i="111"/>
  <c r="H201" i="111"/>
  <c r="B201" i="111"/>
  <c r="G202" i="111"/>
  <c r="C202" i="111"/>
  <c r="I202" i="111"/>
  <c r="D202" i="111"/>
  <c r="H202" i="111"/>
  <c r="B202" i="111"/>
  <c r="G203" i="111"/>
  <c r="C203" i="111"/>
  <c r="H203" i="111"/>
  <c r="B203" i="111"/>
  <c r="G204" i="111"/>
  <c r="C204" i="111"/>
  <c r="H204" i="111"/>
  <c r="B204" i="111"/>
  <c r="G205" i="111"/>
  <c r="C205" i="111"/>
  <c r="H205" i="111"/>
  <c r="B205" i="111"/>
  <c r="G206" i="111"/>
  <c r="C206" i="111"/>
  <c r="I206" i="111"/>
  <c r="D206" i="111"/>
  <c r="H206" i="111"/>
  <c r="B206" i="111"/>
  <c r="G207" i="111"/>
  <c r="C207" i="111"/>
  <c r="I207" i="111"/>
  <c r="D207" i="111"/>
  <c r="H207" i="111"/>
  <c r="B207" i="111"/>
  <c r="G208" i="111"/>
  <c r="C208" i="111"/>
  <c r="I208" i="111"/>
  <c r="D208" i="111"/>
  <c r="H208" i="111"/>
  <c r="B208" i="111"/>
  <c r="G209" i="111"/>
  <c r="C209" i="111"/>
  <c r="I209" i="111"/>
  <c r="D209" i="111"/>
  <c r="H209" i="111"/>
  <c r="B209" i="111"/>
  <c r="G210" i="111"/>
  <c r="C210" i="111"/>
  <c r="H210" i="111"/>
  <c r="B210" i="111"/>
  <c r="G211" i="111"/>
  <c r="C211" i="111"/>
  <c r="H211" i="111"/>
  <c r="B211" i="111"/>
  <c r="G212" i="111"/>
  <c r="C212" i="111"/>
  <c r="H212" i="111"/>
  <c r="B212" i="111"/>
  <c r="G213" i="111"/>
  <c r="C213" i="111"/>
  <c r="I213" i="111"/>
  <c r="D213" i="111"/>
  <c r="H213" i="111"/>
  <c r="B213" i="111"/>
  <c r="G214" i="111"/>
  <c r="C214" i="111"/>
  <c r="I214" i="111"/>
  <c r="D214" i="111"/>
  <c r="H214" i="111"/>
  <c r="B214" i="111"/>
  <c r="G215" i="111"/>
  <c r="C215" i="111"/>
  <c r="I215" i="111"/>
  <c r="D215" i="111"/>
  <c r="H215" i="111"/>
  <c r="B215" i="111"/>
  <c r="G216" i="111"/>
  <c r="C216" i="111"/>
  <c r="I216" i="111"/>
  <c r="D216" i="111"/>
  <c r="H216" i="111"/>
  <c r="B216" i="111"/>
  <c r="G217" i="111"/>
  <c r="C217" i="111"/>
  <c r="H217" i="111"/>
  <c r="B217" i="111"/>
  <c r="G218" i="111"/>
  <c r="C218" i="111"/>
  <c r="H218" i="111"/>
  <c r="B218" i="111"/>
  <c r="G219" i="111"/>
  <c r="C219" i="111"/>
  <c r="H219" i="111"/>
  <c r="B219" i="111"/>
  <c r="G220" i="111"/>
  <c r="C220" i="111"/>
  <c r="H220" i="111"/>
  <c r="B220" i="111"/>
  <c r="G221" i="111"/>
  <c r="C221" i="111"/>
  <c r="H221" i="111"/>
  <c r="B221" i="111"/>
  <c r="G222" i="111"/>
  <c r="C222" i="111"/>
  <c r="H222" i="111"/>
  <c r="B222" i="111"/>
  <c r="G223" i="111"/>
  <c r="C223" i="111"/>
  <c r="I223" i="111"/>
  <c r="D223" i="111"/>
  <c r="H223" i="111"/>
  <c r="B223" i="111"/>
  <c r="G224" i="111"/>
  <c r="C224" i="111"/>
  <c r="I224" i="111"/>
  <c r="D224" i="111"/>
  <c r="H224" i="111"/>
  <c r="B224" i="111"/>
  <c r="G225" i="111"/>
  <c r="C225" i="111"/>
  <c r="H225" i="111"/>
  <c r="B225" i="111"/>
  <c r="G226" i="111"/>
  <c r="C226" i="111"/>
  <c r="H226" i="111"/>
  <c r="B226" i="111"/>
  <c r="G227" i="111"/>
  <c r="C227" i="111"/>
  <c r="H227" i="111"/>
  <c r="B227" i="111"/>
  <c r="G228" i="111"/>
  <c r="C228" i="111"/>
  <c r="H228" i="111"/>
  <c r="B228" i="111"/>
  <c r="G229" i="111"/>
  <c r="C229" i="111"/>
  <c r="H229" i="111"/>
  <c r="B229" i="111"/>
  <c r="G230" i="111"/>
  <c r="C230" i="111"/>
  <c r="H230" i="111"/>
  <c r="B230" i="111"/>
  <c r="G231" i="111"/>
  <c r="C231" i="111"/>
  <c r="I231" i="111"/>
  <c r="D231" i="111"/>
  <c r="H231" i="111"/>
  <c r="B231" i="111"/>
  <c r="G232" i="111"/>
  <c r="C232" i="111"/>
  <c r="I232" i="111"/>
  <c r="D232" i="111"/>
  <c r="H232" i="111"/>
  <c r="B232" i="111"/>
  <c r="G233" i="111"/>
  <c r="C233" i="111"/>
  <c r="H233" i="111"/>
  <c r="B233" i="111"/>
  <c r="G234" i="111"/>
  <c r="C234" i="111"/>
  <c r="H234" i="111"/>
  <c r="B234" i="111"/>
  <c r="G235" i="111"/>
  <c r="C235" i="111"/>
  <c r="H235" i="111"/>
  <c r="B235" i="111"/>
  <c r="G236" i="111"/>
  <c r="C236" i="111"/>
  <c r="I236" i="111"/>
  <c r="D236" i="111"/>
  <c r="H236" i="111"/>
  <c r="B236" i="111"/>
  <c r="G237" i="111"/>
  <c r="C237" i="111"/>
  <c r="I237" i="111"/>
  <c r="D237" i="111"/>
  <c r="H237" i="111"/>
  <c r="B237" i="111"/>
  <c r="G238" i="111"/>
  <c r="C238" i="111"/>
  <c r="I238" i="111"/>
  <c r="D238" i="111"/>
  <c r="H238" i="111"/>
  <c r="B238" i="111"/>
  <c r="G239" i="111"/>
  <c r="C239" i="111"/>
  <c r="I239" i="111"/>
  <c r="D239" i="111"/>
  <c r="H239" i="111"/>
  <c r="B239" i="111"/>
  <c r="G240" i="111"/>
  <c r="C240" i="111"/>
  <c r="H240" i="111"/>
  <c r="B240" i="111"/>
  <c r="G241" i="111"/>
  <c r="C241" i="111"/>
  <c r="H241" i="111"/>
  <c r="B241" i="111"/>
  <c r="G242" i="111"/>
  <c r="C242" i="111"/>
  <c r="H242" i="111"/>
  <c r="B242" i="111"/>
  <c r="G243" i="111"/>
  <c r="C243" i="111"/>
  <c r="H243" i="111"/>
  <c r="B243" i="111"/>
  <c r="G244" i="111"/>
  <c r="C244" i="111"/>
  <c r="H244" i="111"/>
  <c r="B244" i="111"/>
  <c r="G245" i="111"/>
  <c r="C245" i="111"/>
  <c r="H245" i="111"/>
  <c r="B245" i="111"/>
  <c r="G246" i="111"/>
  <c r="C246" i="111"/>
  <c r="I246" i="111"/>
  <c r="D246" i="111"/>
  <c r="H246" i="111"/>
  <c r="B246" i="111"/>
  <c r="G247" i="111"/>
  <c r="C247" i="111"/>
  <c r="I247" i="111"/>
  <c r="D247" i="111"/>
  <c r="H247" i="111"/>
  <c r="G248" i="111"/>
  <c r="C248" i="111"/>
  <c r="I248" i="111"/>
  <c r="D248" i="111"/>
  <c r="H248" i="111"/>
  <c r="G249" i="111"/>
  <c r="C249" i="111"/>
  <c r="I249" i="111"/>
  <c r="D249" i="111"/>
  <c r="H249" i="111"/>
  <c r="E17" i="110"/>
  <c r="G17" i="110"/>
  <c r="H17" i="110"/>
  <c r="M250" i="111"/>
  <c r="M2" i="111"/>
  <c r="E18" i="110"/>
  <c r="G18" i="110"/>
  <c r="H18" i="110"/>
  <c r="M3" i="111"/>
  <c r="M4" i="111"/>
  <c r="M5" i="111"/>
  <c r="M6" i="111"/>
  <c r="M7" i="111"/>
  <c r="M8" i="111"/>
  <c r="M9" i="111"/>
  <c r="M10" i="111"/>
  <c r="M11" i="111"/>
  <c r="M12" i="111"/>
  <c r="M13" i="111"/>
  <c r="M14" i="111"/>
  <c r="M15" i="111"/>
  <c r="M16" i="111"/>
  <c r="M17" i="111"/>
  <c r="M18" i="111"/>
  <c r="M19" i="111"/>
  <c r="M20" i="111"/>
  <c r="M21" i="111"/>
  <c r="M22" i="111"/>
  <c r="M23" i="111"/>
  <c r="M24" i="111"/>
  <c r="M25" i="111"/>
  <c r="M26" i="111"/>
  <c r="M27" i="111"/>
  <c r="M28" i="111"/>
  <c r="M29" i="111"/>
  <c r="M30" i="111"/>
  <c r="M31" i="111"/>
  <c r="M32" i="111"/>
  <c r="M33" i="111"/>
  <c r="M34" i="111"/>
  <c r="M35" i="111"/>
  <c r="M36" i="111"/>
  <c r="M37" i="111"/>
  <c r="M38" i="111"/>
  <c r="M39" i="111"/>
  <c r="M40" i="111"/>
  <c r="M41" i="111"/>
  <c r="M42" i="111"/>
  <c r="M43" i="111"/>
  <c r="E23" i="110"/>
  <c r="G23" i="110"/>
  <c r="H23" i="110"/>
  <c r="M44" i="111"/>
  <c r="M45" i="111"/>
  <c r="M46" i="111"/>
  <c r="M47" i="111"/>
  <c r="M48" i="111"/>
  <c r="M49" i="111"/>
  <c r="M50" i="111"/>
  <c r="M51" i="111"/>
  <c r="M52" i="111"/>
  <c r="M53" i="111"/>
  <c r="M54" i="111"/>
  <c r="M55" i="111"/>
  <c r="M56" i="111"/>
  <c r="M57" i="111"/>
  <c r="M58" i="111"/>
  <c r="M59" i="111"/>
  <c r="M60" i="111"/>
  <c r="M61" i="111"/>
  <c r="M62" i="111"/>
  <c r="M63" i="111"/>
  <c r="M64" i="111"/>
  <c r="M65" i="111"/>
  <c r="M66" i="111"/>
  <c r="M67" i="111"/>
  <c r="M68" i="111"/>
  <c r="M69" i="111"/>
  <c r="M70" i="111"/>
  <c r="M71" i="111"/>
  <c r="M72" i="111"/>
  <c r="M73" i="111"/>
  <c r="M74" i="111"/>
  <c r="M75" i="111"/>
  <c r="M76" i="111"/>
  <c r="M77" i="111"/>
  <c r="M78" i="111"/>
  <c r="M79" i="111"/>
  <c r="M80" i="111"/>
  <c r="M81" i="111"/>
  <c r="M82" i="111"/>
  <c r="M83" i="111"/>
  <c r="M84" i="111"/>
  <c r="M85" i="111"/>
  <c r="M86" i="111"/>
  <c r="M87" i="111"/>
  <c r="M88" i="111"/>
  <c r="M89" i="111"/>
  <c r="M90" i="111"/>
  <c r="M91" i="111"/>
  <c r="M92" i="111"/>
  <c r="M93" i="111"/>
  <c r="M94" i="111"/>
  <c r="M95" i="111"/>
  <c r="M96" i="111"/>
  <c r="M97" i="111"/>
  <c r="M98" i="111"/>
  <c r="M99" i="111"/>
  <c r="M100" i="111"/>
  <c r="M101" i="111"/>
  <c r="M102" i="111"/>
  <c r="M103" i="111"/>
  <c r="M104" i="111"/>
  <c r="M105" i="111"/>
  <c r="M106" i="111"/>
  <c r="M107" i="111"/>
  <c r="M108" i="111"/>
  <c r="M109" i="111"/>
  <c r="M110" i="111"/>
  <c r="M111" i="111"/>
  <c r="M112" i="111"/>
  <c r="M113" i="111"/>
  <c r="M114" i="111"/>
  <c r="M115" i="111"/>
  <c r="M116" i="111"/>
  <c r="M117" i="111"/>
  <c r="M118" i="111"/>
  <c r="M119" i="111"/>
  <c r="M120" i="111"/>
  <c r="M121" i="111"/>
  <c r="M122" i="111"/>
  <c r="M123" i="111"/>
  <c r="M124" i="111"/>
  <c r="M125" i="111"/>
  <c r="M126" i="111"/>
  <c r="M127" i="111"/>
  <c r="M128" i="111"/>
  <c r="M129" i="111"/>
  <c r="M130" i="111"/>
  <c r="M131" i="111"/>
  <c r="M132" i="111"/>
  <c r="M133" i="111"/>
  <c r="M134" i="111"/>
  <c r="M135" i="111"/>
  <c r="M136" i="111"/>
  <c r="M137" i="111"/>
  <c r="E19" i="110"/>
  <c r="G19" i="110"/>
  <c r="H19" i="110"/>
  <c r="M138" i="111"/>
  <c r="E24" i="110"/>
  <c r="G24" i="110"/>
  <c r="H24" i="110"/>
  <c r="M139" i="111"/>
  <c r="E20" i="110"/>
  <c r="G20" i="110"/>
  <c r="H20" i="110"/>
  <c r="M140" i="111"/>
  <c r="E25" i="110"/>
  <c r="G25" i="110"/>
  <c r="H25" i="110"/>
  <c r="M141" i="111"/>
  <c r="M142" i="111"/>
  <c r="M143" i="111"/>
  <c r="M144" i="111"/>
  <c r="M145" i="111"/>
  <c r="M146" i="111"/>
  <c r="M147" i="111"/>
  <c r="M148" i="111"/>
  <c r="M149" i="111"/>
  <c r="M150" i="111"/>
  <c r="M151" i="111"/>
  <c r="M152" i="111"/>
  <c r="M153" i="111"/>
  <c r="M154" i="111"/>
  <c r="M155" i="111"/>
  <c r="M156" i="111"/>
  <c r="M157" i="111"/>
  <c r="M158" i="111"/>
  <c r="M159" i="111"/>
  <c r="M160" i="111"/>
  <c r="M161" i="111"/>
  <c r="M162" i="111"/>
  <c r="M163" i="111"/>
  <c r="M164" i="111"/>
  <c r="M165" i="111"/>
  <c r="M166" i="111"/>
  <c r="M167" i="111"/>
  <c r="M168" i="111"/>
  <c r="M169" i="111"/>
  <c r="M170" i="111"/>
  <c r="M171" i="111"/>
  <c r="M172" i="111"/>
  <c r="M173" i="111"/>
  <c r="M174" i="111"/>
  <c r="M175" i="111"/>
  <c r="M176" i="111"/>
  <c r="M177" i="111"/>
  <c r="M178" i="111"/>
  <c r="M179" i="111"/>
  <c r="M180" i="111"/>
  <c r="M181" i="111"/>
  <c r="M182" i="111"/>
  <c r="M183" i="111"/>
  <c r="M184" i="111"/>
  <c r="M185" i="111"/>
  <c r="M186" i="111"/>
  <c r="M187" i="111"/>
  <c r="M188" i="111"/>
  <c r="M189" i="111"/>
  <c r="M190" i="111"/>
  <c r="M191" i="111"/>
  <c r="M192" i="111"/>
  <c r="M193" i="111"/>
  <c r="M194" i="111"/>
  <c r="M195" i="111"/>
  <c r="M196" i="111"/>
  <c r="M197" i="111"/>
  <c r="M198" i="111"/>
  <c r="M199" i="111"/>
  <c r="M200" i="111"/>
  <c r="M201" i="111"/>
  <c r="M202" i="111"/>
  <c r="M203" i="111"/>
  <c r="M204" i="111"/>
  <c r="M205" i="111"/>
  <c r="M206" i="111"/>
  <c r="M207" i="111"/>
  <c r="M208" i="111"/>
  <c r="M209" i="111"/>
  <c r="M210" i="111"/>
  <c r="M211" i="111"/>
  <c r="M212" i="111"/>
  <c r="M213" i="111"/>
  <c r="M214" i="111"/>
  <c r="M215" i="111"/>
  <c r="M216" i="111"/>
  <c r="M217" i="111"/>
  <c r="M218" i="111"/>
  <c r="M219" i="111"/>
  <c r="M220" i="111"/>
  <c r="M221" i="111"/>
  <c r="M222" i="111"/>
  <c r="M223" i="111"/>
  <c r="M224" i="111"/>
  <c r="M225" i="111"/>
  <c r="M226" i="111"/>
  <c r="M227" i="111"/>
  <c r="M228" i="111"/>
  <c r="M229" i="111"/>
  <c r="M230" i="111"/>
  <c r="M231" i="111"/>
  <c r="M232" i="111"/>
  <c r="M233" i="111"/>
  <c r="M234" i="111"/>
  <c r="M235" i="111"/>
  <c r="M236" i="111"/>
  <c r="M237" i="111"/>
  <c r="M238" i="111"/>
  <c r="M239" i="111"/>
  <c r="M240" i="111"/>
  <c r="M241" i="111"/>
  <c r="M242" i="111"/>
  <c r="M243" i="111"/>
  <c r="M244" i="111"/>
  <c r="M245" i="111"/>
  <c r="E26" i="110"/>
  <c r="G26" i="110"/>
  <c r="H26" i="110"/>
  <c r="M246" i="111"/>
  <c r="E27" i="110"/>
  <c r="G27" i="110"/>
  <c r="H27" i="110"/>
  <c r="M247" i="111"/>
  <c r="M248" i="111"/>
  <c r="M249" i="111"/>
  <c r="M251" i="111"/>
  <c r="M252" i="111"/>
  <c r="M253" i="111"/>
  <c r="M254" i="111"/>
  <c r="M255" i="111"/>
  <c r="M256" i="111"/>
  <c r="M257" i="111"/>
  <c r="M258" i="111"/>
  <c r="M259" i="111"/>
  <c r="N250" i="111"/>
  <c r="N251" i="111"/>
  <c r="N252" i="111"/>
  <c r="N253" i="111"/>
  <c r="N254" i="111"/>
  <c r="N255" i="111"/>
  <c r="N256" i="111"/>
  <c r="N257" i="111"/>
  <c r="N258" i="111"/>
  <c r="N259" i="111"/>
  <c r="A2" i="112"/>
  <c r="G17" i="112"/>
  <c r="H17" i="112"/>
  <c r="M250" i="113"/>
  <c r="M2" i="113"/>
  <c r="G18" i="112"/>
  <c r="H18" i="112"/>
  <c r="M3" i="113"/>
  <c r="M4" i="113"/>
  <c r="M5" i="113"/>
  <c r="M6" i="113"/>
  <c r="M7" i="113"/>
  <c r="M8" i="113"/>
  <c r="M9" i="113"/>
  <c r="M10" i="113"/>
  <c r="M11" i="113"/>
  <c r="M12" i="113"/>
  <c r="M13" i="113"/>
  <c r="M14" i="113"/>
  <c r="M15" i="113"/>
  <c r="M16" i="113"/>
  <c r="M17" i="113"/>
  <c r="M18" i="113"/>
  <c r="M19" i="113"/>
  <c r="M20" i="113"/>
  <c r="M21" i="113"/>
  <c r="M22" i="113"/>
  <c r="M23" i="113"/>
  <c r="M24" i="113"/>
  <c r="M25" i="113"/>
  <c r="M26" i="113"/>
  <c r="M27" i="113"/>
  <c r="M28" i="113"/>
  <c r="M29" i="113"/>
  <c r="M30" i="113"/>
  <c r="M31" i="113"/>
  <c r="M32" i="113"/>
  <c r="M33" i="113"/>
  <c r="M34" i="113"/>
  <c r="M35" i="113"/>
  <c r="M36" i="113"/>
  <c r="M37" i="113"/>
  <c r="M38" i="113"/>
  <c r="M39" i="113"/>
  <c r="M40" i="113"/>
  <c r="M41" i="113"/>
  <c r="M42" i="113"/>
  <c r="M43" i="113"/>
  <c r="G23" i="112"/>
  <c r="H23" i="112"/>
  <c r="M44" i="113"/>
  <c r="M45" i="113"/>
  <c r="M46" i="113"/>
  <c r="M47" i="113"/>
  <c r="M48" i="113"/>
  <c r="M49" i="113"/>
  <c r="M50" i="113"/>
  <c r="M51" i="113"/>
  <c r="M52" i="113"/>
  <c r="M53" i="113"/>
  <c r="M54" i="113"/>
  <c r="M55" i="113"/>
  <c r="M56" i="113"/>
  <c r="M57" i="113"/>
  <c r="M58" i="113"/>
  <c r="M59" i="113"/>
  <c r="M60" i="113"/>
  <c r="M61" i="113"/>
  <c r="M62" i="113"/>
  <c r="M63" i="113"/>
  <c r="M64" i="113"/>
  <c r="M65" i="113"/>
  <c r="M66" i="113"/>
  <c r="M67" i="113"/>
  <c r="M68" i="113"/>
  <c r="M69" i="113"/>
  <c r="M70" i="113"/>
  <c r="M71" i="113"/>
  <c r="M72" i="113"/>
  <c r="M73" i="113"/>
  <c r="M74" i="113"/>
  <c r="M75" i="113"/>
  <c r="M76" i="113"/>
  <c r="M77" i="113"/>
  <c r="M78" i="113"/>
  <c r="M79" i="113"/>
  <c r="M80" i="113"/>
  <c r="M81" i="113"/>
  <c r="M82" i="113"/>
  <c r="M83" i="113"/>
  <c r="M84" i="113"/>
  <c r="M85" i="113"/>
  <c r="M86" i="113"/>
  <c r="M87" i="113"/>
  <c r="M88" i="113"/>
  <c r="M89" i="113"/>
  <c r="M90" i="113"/>
  <c r="M91" i="113"/>
  <c r="M92" i="113"/>
  <c r="M93" i="113"/>
  <c r="M94" i="113"/>
  <c r="M95" i="113"/>
  <c r="M96" i="113"/>
  <c r="M97" i="113"/>
  <c r="M98" i="113"/>
  <c r="M99" i="113"/>
  <c r="M100" i="113"/>
  <c r="M101" i="113"/>
  <c r="M102" i="113"/>
  <c r="M103" i="113"/>
  <c r="M104" i="113"/>
  <c r="M105" i="113"/>
  <c r="M106" i="113"/>
  <c r="M107" i="113"/>
  <c r="M108" i="113"/>
  <c r="M109" i="113"/>
  <c r="M110" i="113"/>
  <c r="M111" i="113"/>
  <c r="M112" i="113"/>
  <c r="M113" i="113"/>
  <c r="M114" i="113"/>
  <c r="M115" i="113"/>
  <c r="M116" i="113"/>
  <c r="M117" i="113"/>
  <c r="M118" i="113"/>
  <c r="M119" i="113"/>
  <c r="M120" i="113"/>
  <c r="M121" i="113"/>
  <c r="M122" i="113"/>
  <c r="M123" i="113"/>
  <c r="M124" i="113"/>
  <c r="M125" i="113"/>
  <c r="M126" i="113"/>
  <c r="M127" i="113"/>
  <c r="M128" i="113"/>
  <c r="M129" i="113"/>
  <c r="M130" i="113"/>
  <c r="M131" i="113"/>
  <c r="M132" i="113"/>
  <c r="M133" i="113"/>
  <c r="M134" i="113"/>
  <c r="M135" i="113"/>
  <c r="M136" i="113"/>
  <c r="M137" i="113"/>
  <c r="G19" i="112"/>
  <c r="H19" i="112"/>
  <c r="M138" i="113"/>
  <c r="G24" i="112"/>
  <c r="H24" i="112"/>
  <c r="M139" i="113"/>
  <c r="H20" i="112"/>
  <c r="M140" i="113"/>
  <c r="G25" i="112"/>
  <c r="H25" i="112"/>
  <c r="M141" i="113"/>
  <c r="G20" i="112"/>
  <c r="M142" i="113"/>
  <c r="M143" i="113"/>
  <c r="M144" i="113"/>
  <c r="M145" i="113"/>
  <c r="M146" i="113"/>
  <c r="M147" i="113"/>
  <c r="M148" i="113"/>
  <c r="M149" i="113"/>
  <c r="M150" i="113"/>
  <c r="M151" i="113"/>
  <c r="M152" i="113"/>
  <c r="M153" i="113"/>
  <c r="M154" i="113"/>
  <c r="M155" i="113"/>
  <c r="M156" i="113"/>
  <c r="M157" i="113"/>
  <c r="M158" i="113"/>
  <c r="M159" i="113"/>
  <c r="M160" i="113"/>
  <c r="M161" i="113"/>
  <c r="M162" i="113"/>
  <c r="M163" i="113"/>
  <c r="M164" i="113"/>
  <c r="M165" i="113"/>
  <c r="M166" i="113"/>
  <c r="M167" i="113"/>
  <c r="M168" i="113"/>
  <c r="M169" i="113"/>
  <c r="M170" i="113"/>
  <c r="M171" i="113"/>
  <c r="M172" i="113"/>
  <c r="M173" i="113"/>
  <c r="M174" i="113"/>
  <c r="M175" i="113"/>
  <c r="M176" i="113"/>
  <c r="M177" i="113"/>
  <c r="M178" i="113"/>
  <c r="M179" i="113"/>
  <c r="M180" i="113"/>
  <c r="M181" i="113"/>
  <c r="M182" i="113"/>
  <c r="M183" i="113"/>
  <c r="M184" i="113"/>
  <c r="M185" i="113"/>
  <c r="M186" i="113"/>
  <c r="M187" i="113"/>
  <c r="M188" i="113"/>
  <c r="M189" i="113"/>
  <c r="M190" i="113"/>
  <c r="M191" i="113"/>
  <c r="M192" i="113"/>
  <c r="M193" i="113"/>
  <c r="M194" i="113"/>
  <c r="M195" i="113"/>
  <c r="M196" i="113"/>
  <c r="M197" i="113"/>
  <c r="M198" i="113"/>
  <c r="M199" i="113"/>
  <c r="M200" i="113"/>
  <c r="M201" i="113"/>
  <c r="M202" i="113"/>
  <c r="M203" i="113"/>
  <c r="M204" i="113"/>
  <c r="M205" i="113"/>
  <c r="M206" i="113"/>
  <c r="M207" i="113"/>
  <c r="M208" i="113"/>
  <c r="M209" i="113"/>
  <c r="M210" i="113"/>
  <c r="M211" i="113"/>
  <c r="M212" i="113"/>
  <c r="M213" i="113"/>
  <c r="M214" i="113"/>
  <c r="M215" i="113"/>
  <c r="M216" i="113"/>
  <c r="M217" i="113"/>
  <c r="M218" i="113"/>
  <c r="M219" i="113"/>
  <c r="M220" i="113"/>
  <c r="M221" i="113"/>
  <c r="M222" i="113"/>
  <c r="M223" i="113"/>
  <c r="M224" i="113"/>
  <c r="M225" i="113"/>
  <c r="M226" i="113"/>
  <c r="M227" i="113"/>
  <c r="M228" i="113"/>
  <c r="M229" i="113"/>
  <c r="M230" i="113"/>
  <c r="M231" i="113"/>
  <c r="M232" i="113"/>
  <c r="M233" i="113"/>
  <c r="M234" i="113"/>
  <c r="M235" i="113"/>
  <c r="M236" i="113"/>
  <c r="M237" i="113"/>
  <c r="M238" i="113"/>
  <c r="M239" i="113"/>
  <c r="M240" i="113"/>
  <c r="M241" i="113"/>
  <c r="M242" i="113"/>
  <c r="M243" i="113"/>
  <c r="M244" i="113"/>
  <c r="M245" i="113"/>
  <c r="G26" i="112"/>
  <c r="H26" i="112"/>
  <c r="M246" i="113"/>
  <c r="G27" i="112"/>
  <c r="H27" i="112"/>
  <c r="M247" i="113"/>
  <c r="M248" i="113"/>
  <c r="M249" i="113"/>
  <c r="M251" i="113"/>
  <c r="M252" i="113"/>
  <c r="M253" i="113"/>
  <c r="M254" i="113"/>
  <c r="M255" i="113"/>
  <c r="M256" i="113"/>
  <c r="M257" i="113"/>
  <c r="M258" i="113"/>
  <c r="M259" i="113"/>
  <c r="N250" i="113"/>
  <c r="N251" i="113"/>
  <c r="N252" i="113"/>
  <c r="N253" i="113"/>
  <c r="N254" i="113"/>
  <c r="N255" i="113"/>
  <c r="N256" i="113"/>
  <c r="N257" i="113"/>
  <c r="N258" i="113"/>
  <c r="N259" i="113"/>
  <c r="A250" i="113"/>
  <c r="A251" i="113"/>
  <c r="A252" i="113"/>
  <c r="A253" i="113"/>
  <c r="A254" i="113"/>
  <c r="A255" i="113"/>
  <c r="A256" i="113"/>
  <c r="A257" i="113"/>
  <c r="A258" i="113"/>
  <c r="A259" i="113"/>
  <c r="A250" i="111"/>
  <c r="A251" i="111"/>
  <c r="A252" i="111"/>
  <c r="A253" i="111"/>
  <c r="A254" i="111"/>
  <c r="A255" i="111"/>
  <c r="A256" i="111"/>
  <c r="A257" i="111"/>
  <c r="A258" i="111"/>
  <c r="A259" i="111"/>
  <c r="T259" i="111"/>
  <c r="S259" i="111"/>
  <c r="R259" i="111"/>
  <c r="Q259" i="111"/>
  <c r="P259" i="111"/>
  <c r="O259" i="111"/>
  <c r="L259" i="111"/>
  <c r="K259" i="111"/>
  <c r="J259" i="111"/>
  <c r="I259" i="111"/>
  <c r="H259" i="111"/>
  <c r="G259" i="111"/>
  <c r="F259" i="111"/>
  <c r="D259" i="111"/>
  <c r="C259" i="111"/>
  <c r="T258" i="111"/>
  <c r="S258" i="111"/>
  <c r="R258" i="111"/>
  <c r="Q258" i="111"/>
  <c r="P258" i="111"/>
  <c r="O258" i="111"/>
  <c r="L258" i="111"/>
  <c r="K258" i="111"/>
  <c r="J258" i="111"/>
  <c r="I258" i="111"/>
  <c r="H258" i="111"/>
  <c r="G258" i="111"/>
  <c r="F258" i="111"/>
  <c r="D258" i="111"/>
  <c r="C258" i="111"/>
  <c r="T257" i="111"/>
  <c r="S257" i="111"/>
  <c r="R257" i="111"/>
  <c r="Q257" i="111"/>
  <c r="P257" i="111"/>
  <c r="O257" i="111"/>
  <c r="L257" i="111"/>
  <c r="K257" i="111"/>
  <c r="J257" i="111"/>
  <c r="I257" i="111"/>
  <c r="H257" i="111"/>
  <c r="G257" i="111"/>
  <c r="F257" i="111"/>
  <c r="D257" i="111"/>
  <c r="C257" i="111"/>
  <c r="T256" i="111"/>
  <c r="S256" i="111"/>
  <c r="R256" i="111"/>
  <c r="Q256" i="111"/>
  <c r="P256" i="111"/>
  <c r="O256" i="111"/>
  <c r="L256" i="111"/>
  <c r="K256" i="111"/>
  <c r="J256" i="111"/>
  <c r="I256" i="111"/>
  <c r="H256" i="111"/>
  <c r="G256" i="111"/>
  <c r="F256" i="111"/>
  <c r="D256" i="111"/>
  <c r="C256" i="111"/>
  <c r="T255" i="111"/>
  <c r="S255" i="111"/>
  <c r="R255" i="111"/>
  <c r="Q255" i="111"/>
  <c r="P255" i="111"/>
  <c r="O255" i="111"/>
  <c r="L255" i="111"/>
  <c r="K255" i="111"/>
  <c r="J255" i="111"/>
  <c r="I255" i="111"/>
  <c r="H255" i="111"/>
  <c r="G255" i="111"/>
  <c r="F255" i="111"/>
  <c r="D255" i="111"/>
  <c r="C255" i="111"/>
  <c r="T254" i="111"/>
  <c r="S254" i="111"/>
  <c r="R254" i="111"/>
  <c r="Q254" i="111"/>
  <c r="P254" i="111"/>
  <c r="O254" i="111"/>
  <c r="L254" i="111"/>
  <c r="K254" i="111"/>
  <c r="J254" i="111"/>
  <c r="I254" i="111"/>
  <c r="H254" i="111"/>
  <c r="G254" i="111"/>
  <c r="F254" i="111"/>
  <c r="D254" i="111"/>
  <c r="C254" i="111"/>
  <c r="T253" i="111"/>
  <c r="S253" i="111"/>
  <c r="R253" i="111"/>
  <c r="Q253" i="111"/>
  <c r="P253" i="111"/>
  <c r="O253" i="111"/>
  <c r="L253" i="111"/>
  <c r="K253" i="111"/>
  <c r="J253" i="111"/>
  <c r="I253" i="111"/>
  <c r="H253" i="111"/>
  <c r="G253" i="111"/>
  <c r="F253" i="111"/>
  <c r="D253" i="111"/>
  <c r="C253" i="111"/>
  <c r="T252" i="111"/>
  <c r="S252" i="111"/>
  <c r="R252" i="111"/>
  <c r="Q252" i="111"/>
  <c r="P252" i="111"/>
  <c r="O252" i="111"/>
  <c r="L252" i="111"/>
  <c r="K252" i="111"/>
  <c r="J252" i="111"/>
  <c r="I252" i="111"/>
  <c r="H252" i="111"/>
  <c r="G252" i="111"/>
  <c r="F252" i="111"/>
  <c r="D252" i="111"/>
  <c r="C252" i="111"/>
  <c r="T251" i="111"/>
  <c r="S251" i="111"/>
  <c r="R251" i="111"/>
  <c r="Q251" i="111"/>
  <c r="P251" i="111"/>
  <c r="O251" i="111"/>
  <c r="L251" i="111"/>
  <c r="K251" i="111"/>
  <c r="J251" i="111"/>
  <c r="I251" i="111"/>
  <c r="H251" i="111"/>
  <c r="G251" i="111"/>
  <c r="F251" i="111"/>
  <c r="D251" i="111"/>
  <c r="C251" i="111"/>
  <c r="T250" i="111"/>
  <c r="S250" i="111"/>
  <c r="R250" i="111"/>
  <c r="Q250" i="111"/>
  <c r="P250" i="111"/>
  <c r="O250" i="111"/>
  <c r="L250" i="111"/>
  <c r="K250" i="111"/>
  <c r="J250" i="111"/>
  <c r="I250" i="111"/>
  <c r="H250" i="111"/>
  <c r="G250" i="111"/>
  <c r="F250" i="111"/>
  <c r="D250" i="111"/>
  <c r="C250" i="111"/>
  <c r="G2" i="82"/>
  <c r="C2" i="82"/>
  <c r="H2" i="82"/>
  <c r="G3" i="82"/>
  <c r="C3" i="82"/>
  <c r="H3" i="82"/>
  <c r="G4" i="82"/>
  <c r="C4" i="82"/>
  <c r="H4" i="82"/>
  <c r="G5" i="82"/>
  <c r="C5" i="82"/>
  <c r="H5" i="82"/>
  <c r="G6" i="82"/>
  <c r="C6" i="82"/>
  <c r="H6" i="82"/>
  <c r="G7" i="82"/>
  <c r="C7" i="82"/>
  <c r="H7" i="82"/>
  <c r="G8" i="82"/>
  <c r="C8" i="82"/>
  <c r="H8" i="82"/>
  <c r="G9" i="82"/>
  <c r="C9" i="82"/>
  <c r="H9" i="82"/>
  <c r="G10" i="82"/>
  <c r="C10" i="82"/>
  <c r="H10" i="82"/>
  <c r="G11" i="82"/>
  <c r="C11" i="82"/>
  <c r="H11" i="82"/>
  <c r="G12" i="82"/>
  <c r="C12" i="82"/>
  <c r="H12" i="82"/>
  <c r="G13" i="82"/>
  <c r="C13" i="82"/>
  <c r="H13" i="82"/>
  <c r="G14" i="82"/>
  <c r="C14" i="82"/>
  <c r="H14" i="82"/>
  <c r="G15" i="82"/>
  <c r="C15" i="82"/>
  <c r="H15" i="82"/>
  <c r="G16" i="82"/>
  <c r="C16" i="82"/>
  <c r="H16" i="82"/>
  <c r="G17" i="82"/>
  <c r="C17" i="82"/>
  <c r="H17" i="82"/>
  <c r="G18" i="82"/>
  <c r="C18" i="82"/>
  <c r="H18" i="82"/>
  <c r="G19" i="82"/>
  <c r="C19" i="82"/>
  <c r="H19" i="82"/>
  <c r="G20" i="82"/>
  <c r="C20" i="82"/>
  <c r="H20" i="82"/>
  <c r="G21" i="82"/>
  <c r="C21" i="82"/>
  <c r="H21" i="82"/>
  <c r="G22" i="82"/>
  <c r="C22" i="82"/>
  <c r="H22" i="82"/>
  <c r="G23" i="82"/>
  <c r="C23" i="82"/>
  <c r="H23" i="82"/>
  <c r="G24" i="82"/>
  <c r="C24" i="82"/>
  <c r="H24" i="82"/>
  <c r="G25" i="82"/>
  <c r="C25" i="82"/>
  <c r="H25" i="82"/>
  <c r="G26" i="82"/>
  <c r="C26" i="82"/>
  <c r="H26" i="82"/>
  <c r="G27" i="82"/>
  <c r="C27" i="82"/>
  <c r="H27" i="82"/>
  <c r="G28" i="82"/>
  <c r="C28" i="82"/>
  <c r="H28" i="82"/>
  <c r="G29" i="82"/>
  <c r="C29" i="82"/>
  <c r="H29" i="82"/>
  <c r="G30" i="82"/>
  <c r="C30" i="82"/>
  <c r="H30" i="82"/>
  <c r="G31" i="82"/>
  <c r="C31" i="82"/>
  <c r="H31" i="82"/>
  <c r="G32" i="82"/>
  <c r="C32" i="82"/>
  <c r="H32" i="82"/>
  <c r="G33" i="82"/>
  <c r="C33" i="82"/>
  <c r="H33" i="82"/>
  <c r="G34" i="82"/>
  <c r="C34" i="82"/>
  <c r="H34" i="82"/>
  <c r="G35" i="82"/>
  <c r="C35" i="82"/>
  <c r="H35" i="82"/>
  <c r="G36" i="82"/>
  <c r="C36" i="82"/>
  <c r="H36" i="82"/>
  <c r="G37" i="82"/>
  <c r="C37" i="82"/>
  <c r="H37" i="82"/>
  <c r="G38" i="82"/>
  <c r="C38" i="82"/>
  <c r="H38" i="82"/>
  <c r="G39" i="82"/>
  <c r="C39" i="82"/>
  <c r="H39" i="82"/>
  <c r="G40" i="82"/>
  <c r="C40" i="82"/>
  <c r="H40" i="82"/>
  <c r="G41" i="82"/>
  <c r="C41" i="82"/>
  <c r="H41" i="82"/>
  <c r="G42" i="82"/>
  <c r="C42" i="82"/>
  <c r="H42" i="82"/>
  <c r="G43" i="82"/>
  <c r="C43" i="82"/>
  <c r="H43" i="82"/>
  <c r="G44" i="82"/>
  <c r="C44" i="82"/>
  <c r="H44" i="82"/>
  <c r="G45" i="82"/>
  <c r="C45" i="82"/>
  <c r="H45" i="82"/>
  <c r="G46" i="82"/>
  <c r="C46" i="82"/>
  <c r="H46" i="82"/>
  <c r="G47" i="82"/>
  <c r="C47" i="82"/>
  <c r="H47" i="82"/>
  <c r="G48" i="82"/>
  <c r="C48" i="82"/>
  <c r="H48" i="82"/>
  <c r="G49" i="82"/>
  <c r="C49" i="82"/>
  <c r="H49" i="82"/>
  <c r="G50" i="82"/>
  <c r="C50" i="82"/>
  <c r="H50" i="82"/>
  <c r="G51" i="82"/>
  <c r="C51" i="82"/>
  <c r="H51" i="82"/>
  <c r="G52" i="82"/>
  <c r="C52" i="82"/>
  <c r="H52" i="82"/>
  <c r="G53" i="82"/>
  <c r="C53" i="82"/>
  <c r="H53" i="82"/>
  <c r="G54" i="82"/>
  <c r="C54" i="82"/>
  <c r="H54" i="82"/>
  <c r="G55" i="82"/>
  <c r="C55" i="82"/>
  <c r="H55" i="82"/>
  <c r="G56" i="82"/>
  <c r="C56" i="82"/>
  <c r="H56" i="82"/>
  <c r="G57" i="82"/>
  <c r="C57" i="82"/>
  <c r="H57" i="82"/>
  <c r="G58" i="82"/>
  <c r="C58" i="82"/>
  <c r="H58" i="82"/>
  <c r="G59" i="82"/>
  <c r="C59" i="82"/>
  <c r="H59" i="82"/>
  <c r="G60" i="82"/>
  <c r="C60" i="82"/>
  <c r="H60" i="82"/>
  <c r="G61" i="82"/>
  <c r="C61" i="82"/>
  <c r="H61" i="82"/>
  <c r="G62" i="82"/>
  <c r="C62" i="82"/>
  <c r="H62" i="82"/>
  <c r="G63" i="82"/>
  <c r="C63" i="82"/>
  <c r="H63" i="82"/>
  <c r="G64" i="82"/>
  <c r="C64" i="82"/>
  <c r="H64" i="82"/>
  <c r="G65" i="82"/>
  <c r="C65" i="82"/>
  <c r="H65" i="82"/>
  <c r="G66" i="82"/>
  <c r="C66" i="82"/>
  <c r="H66" i="82"/>
  <c r="G67" i="82"/>
  <c r="C67" i="82"/>
  <c r="H67" i="82"/>
  <c r="G68" i="82"/>
  <c r="C68" i="82"/>
  <c r="H68" i="82"/>
  <c r="G69" i="82"/>
  <c r="C69" i="82"/>
  <c r="H69" i="82"/>
  <c r="G70" i="82"/>
  <c r="C70" i="82"/>
  <c r="H70" i="82"/>
  <c r="G71" i="82"/>
  <c r="C71" i="82"/>
  <c r="H71" i="82"/>
  <c r="G72" i="82"/>
  <c r="C72" i="82"/>
  <c r="H72" i="82"/>
  <c r="G73" i="82"/>
  <c r="C73" i="82"/>
  <c r="H73" i="82"/>
  <c r="G74" i="82"/>
  <c r="C74" i="82"/>
  <c r="H74" i="82"/>
  <c r="G75" i="82"/>
  <c r="C75" i="82"/>
  <c r="H75" i="82"/>
  <c r="G76" i="82"/>
  <c r="C76" i="82"/>
  <c r="H76" i="82"/>
  <c r="G77" i="82"/>
  <c r="C77" i="82"/>
  <c r="H77" i="82"/>
  <c r="G78" i="82"/>
  <c r="C78" i="82"/>
  <c r="H78" i="82"/>
  <c r="G79" i="82"/>
  <c r="C79" i="82"/>
  <c r="H79" i="82"/>
  <c r="G80" i="82"/>
  <c r="C80" i="82"/>
  <c r="H80" i="82"/>
  <c r="G81" i="82"/>
  <c r="C81" i="82"/>
  <c r="H81" i="82"/>
  <c r="G82" i="82"/>
  <c r="C82" i="82"/>
  <c r="H82" i="82"/>
  <c r="G83" i="82"/>
  <c r="C83" i="82"/>
  <c r="H83" i="82"/>
  <c r="G84" i="82"/>
  <c r="C84" i="82"/>
  <c r="H84" i="82"/>
  <c r="G85" i="82"/>
  <c r="C85" i="82"/>
  <c r="H85" i="82"/>
  <c r="G86" i="82"/>
  <c r="C86" i="82"/>
  <c r="H86" i="82"/>
  <c r="G87" i="82"/>
  <c r="C87" i="82"/>
  <c r="H87" i="82"/>
  <c r="G88" i="82"/>
  <c r="C88" i="82"/>
  <c r="H88" i="82"/>
  <c r="G89" i="82"/>
  <c r="C89" i="82"/>
  <c r="H89" i="82"/>
  <c r="G90" i="82"/>
  <c r="C90" i="82"/>
  <c r="H90" i="82"/>
  <c r="G91" i="82"/>
  <c r="C91" i="82"/>
  <c r="H91" i="82"/>
  <c r="G92" i="82"/>
  <c r="C92" i="82"/>
  <c r="H92" i="82"/>
  <c r="G93" i="82"/>
  <c r="C93" i="82"/>
  <c r="H93" i="82"/>
  <c r="G94" i="82"/>
  <c r="C94" i="82"/>
  <c r="H94" i="82"/>
  <c r="G95" i="82"/>
  <c r="C95" i="82"/>
  <c r="H95" i="82"/>
  <c r="G96" i="82"/>
  <c r="C96" i="82"/>
  <c r="H96" i="82"/>
  <c r="G97" i="82"/>
  <c r="C97" i="82"/>
  <c r="H97" i="82"/>
  <c r="G98" i="82"/>
  <c r="C98" i="82"/>
  <c r="H98" i="82"/>
  <c r="G99" i="82"/>
  <c r="C99" i="82"/>
  <c r="H99" i="82"/>
  <c r="G100" i="82"/>
  <c r="C100" i="82"/>
  <c r="H100" i="82"/>
  <c r="G101" i="82"/>
  <c r="C101" i="82"/>
  <c r="H101" i="82"/>
  <c r="G102" i="82"/>
  <c r="C102" i="82"/>
  <c r="H102" i="82"/>
  <c r="G103" i="82"/>
  <c r="C103" i="82"/>
  <c r="H103" i="82"/>
  <c r="G104" i="82"/>
  <c r="C104" i="82"/>
  <c r="H104" i="82"/>
  <c r="G105" i="82"/>
  <c r="C105" i="82"/>
  <c r="H105" i="82"/>
  <c r="G106" i="82"/>
  <c r="C106" i="82"/>
  <c r="H106" i="82"/>
  <c r="G107" i="82"/>
  <c r="C107" i="82"/>
  <c r="H107" i="82"/>
  <c r="G108" i="82"/>
  <c r="C108" i="82"/>
  <c r="H108" i="82"/>
  <c r="G109" i="82"/>
  <c r="C109" i="82"/>
  <c r="H109" i="82"/>
  <c r="G110" i="82"/>
  <c r="C110" i="82"/>
  <c r="H110" i="82"/>
  <c r="G111" i="82"/>
  <c r="C111" i="82"/>
  <c r="H111" i="82"/>
  <c r="G112" i="82"/>
  <c r="C112" i="82"/>
  <c r="H112" i="82"/>
  <c r="G113" i="82"/>
  <c r="C113" i="82"/>
  <c r="H113" i="82"/>
  <c r="G114" i="82"/>
  <c r="C114" i="82"/>
  <c r="H114" i="82"/>
  <c r="G115" i="82"/>
  <c r="C115" i="82"/>
  <c r="H115" i="82"/>
  <c r="G116" i="82"/>
  <c r="C116" i="82"/>
  <c r="H116" i="82"/>
  <c r="G117" i="82"/>
  <c r="C117" i="82"/>
  <c r="H117" i="82"/>
  <c r="G118" i="82"/>
  <c r="C118" i="82"/>
  <c r="H118" i="82"/>
  <c r="G119" i="82"/>
  <c r="C119" i="82"/>
  <c r="H119" i="82"/>
  <c r="G120" i="82"/>
  <c r="C120" i="82"/>
  <c r="H120" i="82"/>
  <c r="G121" i="82"/>
  <c r="C121" i="82"/>
  <c r="H121" i="82"/>
  <c r="G122" i="82"/>
  <c r="C122" i="82"/>
  <c r="H122" i="82"/>
  <c r="G123" i="82"/>
  <c r="C123" i="82"/>
  <c r="H123" i="82"/>
  <c r="G124" i="82"/>
  <c r="C124" i="82"/>
  <c r="H124" i="82"/>
  <c r="G125" i="82"/>
  <c r="C125" i="82"/>
  <c r="H125" i="82"/>
  <c r="G126" i="82"/>
  <c r="C126" i="82"/>
  <c r="H126" i="82"/>
  <c r="G127" i="82"/>
  <c r="C127" i="82"/>
  <c r="H127" i="82"/>
  <c r="G128" i="82"/>
  <c r="C128" i="82"/>
  <c r="H128" i="82"/>
  <c r="G129" i="82"/>
  <c r="C129" i="82"/>
  <c r="H129" i="82"/>
  <c r="G130" i="82"/>
  <c r="C130" i="82"/>
  <c r="H130" i="82"/>
  <c r="G131" i="82"/>
  <c r="C131" i="82"/>
  <c r="H131" i="82"/>
  <c r="G132" i="82"/>
  <c r="C132" i="82"/>
  <c r="H132" i="82"/>
  <c r="G133" i="82"/>
  <c r="C133" i="82"/>
  <c r="H133" i="82"/>
  <c r="G134" i="82"/>
  <c r="C134" i="82"/>
  <c r="H134" i="82"/>
  <c r="G135" i="82"/>
  <c r="C135" i="82"/>
  <c r="H135" i="82"/>
  <c r="G136" i="82"/>
  <c r="C136" i="82"/>
  <c r="H136" i="82"/>
  <c r="G137" i="82"/>
  <c r="C137" i="82"/>
  <c r="H137" i="82"/>
  <c r="G138" i="82"/>
  <c r="C138" i="82"/>
  <c r="I138" i="82"/>
  <c r="D138" i="82"/>
  <c r="H138" i="82"/>
  <c r="G139" i="82"/>
  <c r="C139" i="82"/>
  <c r="I139" i="82"/>
  <c r="D139" i="82"/>
  <c r="H139" i="82"/>
  <c r="G140" i="82"/>
  <c r="C140" i="82"/>
  <c r="I140" i="82"/>
  <c r="D140" i="82"/>
  <c r="H140" i="82"/>
  <c r="G141" i="82"/>
  <c r="C141" i="82"/>
  <c r="I141" i="82"/>
  <c r="D141" i="82"/>
  <c r="H141" i="82"/>
  <c r="G142" i="82"/>
  <c r="C142" i="82"/>
  <c r="I142" i="82"/>
  <c r="D142" i="82"/>
  <c r="H142" i="82"/>
  <c r="G143" i="82"/>
  <c r="C143" i="82"/>
  <c r="I143" i="82"/>
  <c r="D143" i="82"/>
  <c r="H143" i="82"/>
  <c r="G144" i="82"/>
  <c r="C144" i="82"/>
  <c r="I144" i="82"/>
  <c r="D144" i="82"/>
  <c r="H144" i="82"/>
  <c r="G145" i="82"/>
  <c r="C145" i="82"/>
  <c r="I145" i="82"/>
  <c r="D145" i="82"/>
  <c r="H145" i="82"/>
  <c r="G146" i="82"/>
  <c r="C146" i="82"/>
  <c r="H146" i="82"/>
  <c r="G147" i="82"/>
  <c r="C147" i="82"/>
  <c r="H147" i="82"/>
  <c r="G148" i="82"/>
  <c r="C148" i="82"/>
  <c r="H148" i="82"/>
  <c r="G149" i="82"/>
  <c r="C149" i="82"/>
  <c r="I149" i="82"/>
  <c r="D149" i="82"/>
  <c r="H149" i="82"/>
  <c r="G150" i="82"/>
  <c r="C150" i="82"/>
  <c r="I150" i="82"/>
  <c r="D150" i="82"/>
  <c r="H150" i="82"/>
  <c r="G151" i="82"/>
  <c r="C151" i="82"/>
  <c r="I151" i="82"/>
  <c r="D151" i="82"/>
  <c r="H151" i="82"/>
  <c r="G152" i="82"/>
  <c r="C152" i="82"/>
  <c r="I152" i="82"/>
  <c r="D152" i="82"/>
  <c r="H152" i="82"/>
  <c r="G153" i="82"/>
  <c r="C153" i="82"/>
  <c r="H153" i="82"/>
  <c r="G154" i="82"/>
  <c r="C154" i="82"/>
  <c r="H154" i="82"/>
  <c r="G155" i="82"/>
  <c r="C155" i="82"/>
  <c r="H155" i="82"/>
  <c r="G156" i="82"/>
  <c r="C156" i="82"/>
  <c r="I156" i="82"/>
  <c r="D156" i="82"/>
  <c r="H156" i="82"/>
  <c r="G157" i="82"/>
  <c r="C157" i="82"/>
  <c r="I157" i="82"/>
  <c r="D157" i="82"/>
  <c r="H157" i="82"/>
  <c r="G158" i="82"/>
  <c r="C158" i="82"/>
  <c r="H158" i="82"/>
  <c r="G159" i="82"/>
  <c r="C159" i="82"/>
  <c r="H159" i="82"/>
  <c r="G160" i="82"/>
  <c r="C160" i="82"/>
  <c r="H160" i="82"/>
  <c r="G161" i="82"/>
  <c r="C161" i="82"/>
  <c r="H161" i="82"/>
  <c r="G162" i="82"/>
  <c r="C162" i="82"/>
  <c r="H162" i="82"/>
  <c r="G163" i="82"/>
  <c r="C163" i="82"/>
  <c r="H163" i="82"/>
  <c r="G164" i="82"/>
  <c r="C164" i="82"/>
  <c r="I164" i="82"/>
  <c r="D164" i="82"/>
  <c r="H164" i="82"/>
  <c r="G165" i="82"/>
  <c r="C165" i="82"/>
  <c r="I165" i="82"/>
  <c r="D165" i="82"/>
  <c r="H165" i="82"/>
  <c r="G166" i="82"/>
  <c r="C166" i="82"/>
  <c r="H166" i="82"/>
  <c r="G167" i="82"/>
  <c r="C167" i="82"/>
  <c r="H167" i="82"/>
  <c r="G168" i="82"/>
  <c r="C168" i="82"/>
  <c r="H168" i="82"/>
  <c r="G169" i="82"/>
  <c r="C169" i="82"/>
  <c r="I169" i="82"/>
  <c r="D169" i="82"/>
  <c r="H169" i="82"/>
  <c r="G170" i="82"/>
  <c r="C170" i="82"/>
  <c r="I170" i="82"/>
  <c r="D170" i="82"/>
  <c r="H170" i="82"/>
  <c r="G171" i="82"/>
  <c r="C171" i="82"/>
  <c r="H171" i="82"/>
  <c r="G172" i="82"/>
  <c r="C172" i="82"/>
  <c r="H172" i="82"/>
  <c r="G173" i="82"/>
  <c r="C173" i="82"/>
  <c r="H173" i="82"/>
  <c r="G174" i="82"/>
  <c r="C174" i="82"/>
  <c r="I174" i="82"/>
  <c r="D174" i="82"/>
  <c r="H174" i="82"/>
  <c r="G175" i="82"/>
  <c r="C175" i="82"/>
  <c r="I175" i="82"/>
  <c r="D175" i="82"/>
  <c r="H175" i="82"/>
  <c r="G176" i="82"/>
  <c r="C176" i="82"/>
  <c r="I176" i="82"/>
  <c r="D176" i="82"/>
  <c r="H176" i="82"/>
  <c r="G177" i="82"/>
  <c r="C177" i="82"/>
  <c r="I177" i="82"/>
  <c r="D177" i="82"/>
  <c r="H177" i="82"/>
  <c r="G178" i="82"/>
  <c r="C178" i="82"/>
  <c r="H178" i="82"/>
  <c r="G179" i="82"/>
  <c r="C179" i="82"/>
  <c r="H179" i="82"/>
  <c r="G180" i="82"/>
  <c r="C180" i="82"/>
  <c r="H180" i="82"/>
  <c r="G181" i="82"/>
  <c r="C181" i="82"/>
  <c r="H181" i="82"/>
  <c r="G182" i="82"/>
  <c r="C182" i="82"/>
  <c r="H182" i="82"/>
  <c r="G183" i="82"/>
  <c r="C183" i="82"/>
  <c r="H183" i="82"/>
  <c r="G184" i="82"/>
  <c r="C184" i="82"/>
  <c r="I184" i="82"/>
  <c r="D184" i="82"/>
  <c r="H184" i="82"/>
  <c r="G185" i="82"/>
  <c r="C185" i="82"/>
  <c r="H185" i="82"/>
  <c r="I185" i="82"/>
  <c r="D185" i="82"/>
  <c r="G186" i="82"/>
  <c r="C186" i="82"/>
  <c r="H186" i="82"/>
  <c r="G187" i="82"/>
  <c r="C187" i="82"/>
  <c r="H187" i="82"/>
  <c r="G188" i="82"/>
  <c r="C188" i="82"/>
  <c r="H188" i="82"/>
  <c r="G189" i="82"/>
  <c r="C189" i="82"/>
  <c r="I189" i="82"/>
  <c r="D189" i="82"/>
  <c r="H189" i="82"/>
  <c r="G190" i="82"/>
  <c r="C190" i="82"/>
  <c r="I190" i="82"/>
  <c r="D190" i="82"/>
  <c r="H190" i="82"/>
  <c r="G191" i="82"/>
  <c r="C191" i="82"/>
  <c r="I191" i="82"/>
  <c r="D191" i="82"/>
  <c r="H191" i="82"/>
  <c r="G192" i="82"/>
  <c r="C192" i="82"/>
  <c r="I192" i="82"/>
  <c r="D192" i="82"/>
  <c r="H192" i="82"/>
  <c r="G193" i="82"/>
  <c r="C193" i="82"/>
  <c r="H193" i="82"/>
  <c r="G194" i="82"/>
  <c r="C194" i="82"/>
  <c r="H194" i="82"/>
  <c r="G195" i="82"/>
  <c r="C195" i="82"/>
  <c r="H195" i="82"/>
  <c r="G196" i="82"/>
  <c r="C196" i="82"/>
  <c r="I196" i="82"/>
  <c r="D196" i="82"/>
  <c r="H196" i="82"/>
  <c r="G197" i="82"/>
  <c r="C197" i="82"/>
  <c r="I197" i="82"/>
  <c r="D197" i="82"/>
  <c r="H197" i="82"/>
  <c r="G198" i="82"/>
  <c r="C198" i="82"/>
  <c r="H198" i="82"/>
  <c r="G199" i="82"/>
  <c r="C199" i="82"/>
  <c r="H199" i="82"/>
  <c r="G200" i="82"/>
  <c r="C200" i="82"/>
  <c r="H200" i="82"/>
  <c r="G201" i="82"/>
  <c r="C201" i="82"/>
  <c r="H201" i="82"/>
  <c r="I201" i="82"/>
  <c r="D201" i="82"/>
  <c r="G202" i="82"/>
  <c r="C202" i="82"/>
  <c r="I202" i="82"/>
  <c r="D202" i="82"/>
  <c r="H202" i="82"/>
  <c r="G203" i="82"/>
  <c r="C203" i="82"/>
  <c r="H203" i="82"/>
  <c r="G204" i="82"/>
  <c r="C204" i="82"/>
  <c r="H204" i="82"/>
  <c r="G205" i="82"/>
  <c r="C205" i="82"/>
  <c r="H205" i="82"/>
  <c r="G206" i="82"/>
  <c r="C206" i="82"/>
  <c r="I206" i="82"/>
  <c r="D206" i="82"/>
  <c r="H206" i="82"/>
  <c r="G207" i="82"/>
  <c r="C207" i="82"/>
  <c r="H207" i="82"/>
  <c r="I207" i="82"/>
  <c r="D207" i="82"/>
  <c r="G208" i="82"/>
  <c r="C208" i="82"/>
  <c r="I208" i="82"/>
  <c r="D208" i="82"/>
  <c r="H208" i="82"/>
  <c r="G209" i="82"/>
  <c r="C209" i="82"/>
  <c r="I209" i="82"/>
  <c r="D209" i="82"/>
  <c r="H209" i="82"/>
  <c r="G210" i="82"/>
  <c r="C210" i="82"/>
  <c r="H210" i="82"/>
  <c r="G211" i="82"/>
  <c r="C211" i="82"/>
  <c r="H211" i="82"/>
  <c r="G212" i="82"/>
  <c r="C212" i="82"/>
  <c r="H212" i="82"/>
  <c r="G213" i="82"/>
  <c r="C213" i="82"/>
  <c r="I213" i="82"/>
  <c r="D213" i="82"/>
  <c r="H213" i="82"/>
  <c r="G214" i="82"/>
  <c r="C214" i="82"/>
  <c r="I214" i="82"/>
  <c r="D214" i="82"/>
  <c r="H214" i="82"/>
  <c r="G215" i="82"/>
  <c r="C215" i="82"/>
  <c r="I215" i="82"/>
  <c r="D215" i="82"/>
  <c r="H215" i="82"/>
  <c r="G216" i="82"/>
  <c r="C216" i="82"/>
  <c r="I216" i="82"/>
  <c r="D216" i="82"/>
  <c r="H216" i="82"/>
  <c r="G217" i="82"/>
  <c r="C217" i="82"/>
  <c r="H217" i="82"/>
  <c r="G218" i="82"/>
  <c r="C218" i="82"/>
  <c r="H218" i="82"/>
  <c r="G219" i="82"/>
  <c r="C219" i="82"/>
  <c r="H219" i="82"/>
  <c r="G220" i="82"/>
  <c r="C220" i="82"/>
  <c r="H220" i="82"/>
  <c r="G221" i="82"/>
  <c r="C221" i="82"/>
  <c r="H221" i="82"/>
  <c r="G222" i="82"/>
  <c r="C222" i="82"/>
  <c r="H222" i="82"/>
  <c r="G223" i="82"/>
  <c r="C223" i="82"/>
  <c r="I223" i="82"/>
  <c r="D223" i="82"/>
  <c r="H223" i="82"/>
  <c r="G224" i="82"/>
  <c r="C224" i="82"/>
  <c r="I224" i="82"/>
  <c r="D224" i="82"/>
  <c r="H224" i="82"/>
  <c r="G225" i="82"/>
  <c r="C225" i="82"/>
  <c r="H225" i="82"/>
  <c r="G226" i="82"/>
  <c r="C226" i="82"/>
  <c r="H226" i="82"/>
  <c r="G227" i="82"/>
  <c r="C227" i="82"/>
  <c r="H227" i="82"/>
  <c r="G228" i="82"/>
  <c r="C228" i="82"/>
  <c r="H228" i="82"/>
  <c r="G229" i="82"/>
  <c r="C229" i="82"/>
  <c r="H229" i="82"/>
  <c r="G230" i="82"/>
  <c r="C230" i="82"/>
  <c r="H230" i="82"/>
  <c r="G231" i="82"/>
  <c r="C231" i="82"/>
  <c r="I231" i="82"/>
  <c r="D231" i="82"/>
  <c r="H231" i="82"/>
  <c r="G232" i="82"/>
  <c r="C232" i="82"/>
  <c r="I232" i="82"/>
  <c r="D232" i="82"/>
  <c r="H232" i="82"/>
  <c r="G233" i="82"/>
  <c r="C233" i="82"/>
  <c r="H233" i="82"/>
  <c r="G234" i="82"/>
  <c r="C234" i="82"/>
  <c r="H234" i="82"/>
  <c r="G235" i="82"/>
  <c r="C235" i="82"/>
  <c r="H235" i="82"/>
  <c r="G236" i="82"/>
  <c r="C236" i="82"/>
  <c r="I236" i="82"/>
  <c r="D236" i="82"/>
  <c r="H236" i="82"/>
  <c r="G237" i="82"/>
  <c r="C237" i="82"/>
  <c r="I237" i="82"/>
  <c r="D237" i="82"/>
  <c r="H237" i="82"/>
  <c r="G238" i="82"/>
  <c r="C238" i="82"/>
  <c r="I238" i="82"/>
  <c r="D238" i="82"/>
  <c r="H238" i="82"/>
  <c r="G239" i="82"/>
  <c r="C239" i="82"/>
  <c r="I239" i="82"/>
  <c r="D239" i="82"/>
  <c r="H239" i="82"/>
  <c r="G240" i="82"/>
  <c r="C240" i="82"/>
  <c r="H240" i="82"/>
  <c r="G241" i="82"/>
  <c r="C241" i="82"/>
  <c r="H241" i="82"/>
  <c r="G242" i="82"/>
  <c r="C242" i="82"/>
  <c r="H242" i="82"/>
  <c r="G243" i="82"/>
  <c r="C243" i="82"/>
  <c r="H243" i="82"/>
  <c r="G244" i="82"/>
  <c r="C244" i="82"/>
  <c r="H244" i="82"/>
  <c r="G245" i="82"/>
  <c r="C245" i="82"/>
  <c r="H245" i="82"/>
  <c r="G246" i="82"/>
  <c r="C246" i="82"/>
  <c r="I246" i="82"/>
  <c r="D246" i="82"/>
  <c r="H246" i="82"/>
  <c r="G247" i="82"/>
  <c r="C247" i="82"/>
  <c r="I247" i="82"/>
  <c r="D247" i="82"/>
  <c r="H247" i="82"/>
  <c r="G248" i="82"/>
  <c r="C248" i="82"/>
  <c r="I248" i="82"/>
  <c r="D248" i="82"/>
  <c r="H248" i="82"/>
  <c r="G250" i="82"/>
  <c r="C250" i="82"/>
  <c r="H250" i="82"/>
  <c r="G251" i="82"/>
  <c r="C251" i="82"/>
  <c r="H251" i="82"/>
  <c r="G252" i="82"/>
  <c r="C252" i="82"/>
  <c r="H252" i="82"/>
  <c r="G253" i="82"/>
  <c r="C253" i="82"/>
  <c r="H253" i="82"/>
  <c r="G254" i="82"/>
  <c r="C254" i="82"/>
  <c r="H254" i="82"/>
  <c r="G255" i="82"/>
  <c r="C255" i="82"/>
  <c r="H255" i="82"/>
  <c r="G256" i="82"/>
  <c r="C256" i="82"/>
  <c r="I256" i="82"/>
  <c r="D256" i="82"/>
  <c r="H256" i="82"/>
  <c r="G257" i="82"/>
  <c r="C257" i="82"/>
  <c r="I257" i="82"/>
  <c r="D257" i="82"/>
  <c r="H257" i="82"/>
  <c r="G258" i="82"/>
  <c r="C258" i="82"/>
  <c r="I258" i="82"/>
  <c r="D258" i="82"/>
  <c r="H258" i="82"/>
  <c r="G259" i="82"/>
  <c r="C259" i="82"/>
  <c r="I259" i="82"/>
  <c r="D259" i="82"/>
  <c r="H259" i="82"/>
  <c r="A251" i="82"/>
  <c r="I251" i="82"/>
  <c r="D251" i="82"/>
  <c r="F251" i="82"/>
  <c r="J251" i="82"/>
  <c r="K251" i="82"/>
  <c r="L251" i="82"/>
  <c r="I252" i="82"/>
  <c r="D252" i="82"/>
  <c r="I253" i="82"/>
  <c r="D253" i="82"/>
  <c r="I254" i="82"/>
  <c r="D254" i="82"/>
  <c r="I255" i="82"/>
  <c r="D255" i="82"/>
  <c r="O251" i="82"/>
  <c r="P251" i="82"/>
  <c r="Q251" i="82"/>
  <c r="R251" i="82"/>
  <c r="S251" i="82"/>
  <c r="T251" i="82"/>
  <c r="A252" i="82"/>
  <c r="F252" i="82"/>
  <c r="J252" i="82"/>
  <c r="K252" i="82"/>
  <c r="L252" i="82"/>
  <c r="O252" i="82"/>
  <c r="P252" i="82"/>
  <c r="Q252" i="82"/>
  <c r="R252" i="82"/>
  <c r="S252" i="82"/>
  <c r="T252" i="82"/>
  <c r="A253" i="82"/>
  <c r="F253" i="82"/>
  <c r="J253" i="82"/>
  <c r="K253" i="82"/>
  <c r="L253" i="82"/>
  <c r="O253" i="82"/>
  <c r="P253" i="82"/>
  <c r="Q253" i="82"/>
  <c r="R253" i="82"/>
  <c r="S253" i="82"/>
  <c r="T253" i="82"/>
  <c r="A254" i="82"/>
  <c r="F254" i="82"/>
  <c r="J254" i="82"/>
  <c r="K254" i="82"/>
  <c r="L254" i="82"/>
  <c r="O254" i="82"/>
  <c r="P254" i="82"/>
  <c r="Q254" i="82"/>
  <c r="R254" i="82"/>
  <c r="S254" i="82"/>
  <c r="T254" i="82"/>
  <c r="A255" i="82"/>
  <c r="F255" i="82"/>
  <c r="J255" i="82"/>
  <c r="K255" i="82"/>
  <c r="L255" i="82"/>
  <c r="O255" i="82"/>
  <c r="P255" i="82"/>
  <c r="Q255" i="82"/>
  <c r="R255" i="82"/>
  <c r="S255" i="82"/>
  <c r="T255" i="82"/>
  <c r="A256" i="82"/>
  <c r="F256" i="82"/>
  <c r="J256" i="82"/>
  <c r="K256" i="82"/>
  <c r="L256" i="82"/>
  <c r="O256" i="82"/>
  <c r="P256" i="82"/>
  <c r="Q256" i="82"/>
  <c r="R256" i="82"/>
  <c r="S256" i="82"/>
  <c r="T256" i="82"/>
  <c r="A257" i="82"/>
  <c r="F257" i="82"/>
  <c r="J257" i="82"/>
  <c r="K257" i="82"/>
  <c r="L257" i="82"/>
  <c r="O257" i="82"/>
  <c r="P257" i="82"/>
  <c r="Q257" i="82"/>
  <c r="R257" i="82"/>
  <c r="S257" i="82"/>
  <c r="T257" i="82"/>
  <c r="A258" i="82"/>
  <c r="F258" i="82"/>
  <c r="J258" i="82"/>
  <c r="K258" i="82"/>
  <c r="L258" i="82"/>
  <c r="O258" i="82"/>
  <c r="P258" i="82"/>
  <c r="Q258" i="82"/>
  <c r="R258" i="82"/>
  <c r="S258" i="82"/>
  <c r="T258" i="82"/>
  <c r="A259" i="82"/>
  <c r="F259" i="82"/>
  <c r="J259" i="82"/>
  <c r="K259" i="82"/>
  <c r="L259" i="82"/>
  <c r="O259" i="82"/>
  <c r="P259" i="82"/>
  <c r="Q259" i="82"/>
  <c r="R259" i="82"/>
  <c r="S259" i="82"/>
  <c r="T259" i="82"/>
  <c r="C3" i="103"/>
  <c r="C4" i="103"/>
  <c r="C2" i="103"/>
  <c r="B27" i="112"/>
  <c r="B26" i="112"/>
  <c r="T249" i="113"/>
  <c r="S249" i="113"/>
  <c r="R249" i="113"/>
  <c r="Q249" i="113"/>
  <c r="P249" i="113"/>
  <c r="O249" i="113"/>
  <c r="C26" i="112"/>
  <c r="D26" i="112"/>
  <c r="B5" i="112"/>
  <c r="B17" i="112"/>
  <c r="C17" i="112"/>
  <c r="D17" i="112"/>
  <c r="B19" i="112"/>
  <c r="B18" i="112"/>
  <c r="C18" i="112"/>
  <c r="D18" i="112"/>
  <c r="B23" i="112"/>
  <c r="C23" i="112"/>
  <c r="D23" i="112"/>
  <c r="C19" i="112"/>
  <c r="D19" i="112"/>
  <c r="C24" i="112"/>
  <c r="D24" i="112"/>
  <c r="C20" i="112"/>
  <c r="D20" i="112"/>
  <c r="C25" i="112"/>
  <c r="D25" i="112"/>
  <c r="C27" i="112"/>
  <c r="D27" i="112"/>
  <c r="N249" i="113"/>
  <c r="L249" i="113"/>
  <c r="K249" i="113"/>
  <c r="J249" i="113"/>
  <c r="F249" i="113"/>
  <c r="A249" i="113"/>
  <c r="T248" i="113"/>
  <c r="S248" i="113"/>
  <c r="R248" i="113"/>
  <c r="Q248" i="113"/>
  <c r="P248" i="113"/>
  <c r="O248" i="113"/>
  <c r="N248" i="113"/>
  <c r="L248" i="113"/>
  <c r="K248" i="113"/>
  <c r="J248" i="113"/>
  <c r="F248" i="113"/>
  <c r="A248" i="113"/>
  <c r="T247" i="113"/>
  <c r="S247" i="113"/>
  <c r="R247" i="113"/>
  <c r="Q247" i="113"/>
  <c r="P247" i="113"/>
  <c r="O247" i="113"/>
  <c r="N247" i="113"/>
  <c r="L247" i="113"/>
  <c r="K247" i="113"/>
  <c r="J247" i="113"/>
  <c r="F247" i="113"/>
  <c r="A247" i="113"/>
  <c r="T246" i="113"/>
  <c r="S246" i="113"/>
  <c r="R246" i="113"/>
  <c r="Q246" i="113"/>
  <c r="P246" i="113"/>
  <c r="O246" i="113"/>
  <c r="N246" i="113"/>
  <c r="L246" i="113"/>
  <c r="K246" i="113"/>
  <c r="J246" i="113"/>
  <c r="F246" i="113"/>
  <c r="A246" i="113"/>
  <c r="T245" i="113"/>
  <c r="S245" i="113"/>
  <c r="R245" i="113"/>
  <c r="Q245" i="113"/>
  <c r="P245" i="113"/>
  <c r="O245" i="113"/>
  <c r="N245" i="113"/>
  <c r="L245" i="113"/>
  <c r="K245" i="113"/>
  <c r="J245" i="113"/>
  <c r="I245" i="113"/>
  <c r="F245" i="113"/>
  <c r="D245" i="113"/>
  <c r="A245" i="113"/>
  <c r="T244" i="113"/>
  <c r="S244" i="113"/>
  <c r="R244" i="113"/>
  <c r="Q244" i="113"/>
  <c r="P244" i="113"/>
  <c r="O244" i="113"/>
  <c r="N244" i="113"/>
  <c r="L244" i="113"/>
  <c r="K244" i="113"/>
  <c r="J244" i="113"/>
  <c r="I244" i="113"/>
  <c r="F244" i="113"/>
  <c r="D244" i="113"/>
  <c r="A244" i="113"/>
  <c r="T243" i="113"/>
  <c r="S243" i="113"/>
  <c r="R243" i="113"/>
  <c r="Q243" i="113"/>
  <c r="P243" i="113"/>
  <c r="O243" i="113"/>
  <c r="N243" i="113"/>
  <c r="L243" i="113"/>
  <c r="K243" i="113"/>
  <c r="J243" i="113"/>
  <c r="I243" i="113"/>
  <c r="F243" i="113"/>
  <c r="D243" i="113"/>
  <c r="A243" i="113"/>
  <c r="T242" i="113"/>
  <c r="S242" i="113"/>
  <c r="R242" i="113"/>
  <c r="Q242" i="113"/>
  <c r="P242" i="113"/>
  <c r="O242" i="113"/>
  <c r="N242" i="113"/>
  <c r="L242" i="113"/>
  <c r="K242" i="113"/>
  <c r="J242" i="113"/>
  <c r="I242" i="113"/>
  <c r="F242" i="113"/>
  <c r="D242" i="113"/>
  <c r="A242" i="113"/>
  <c r="T241" i="113"/>
  <c r="S241" i="113"/>
  <c r="R241" i="113"/>
  <c r="Q241" i="113"/>
  <c r="P241" i="113"/>
  <c r="O241" i="113"/>
  <c r="N241" i="113"/>
  <c r="L241" i="113"/>
  <c r="K241" i="113"/>
  <c r="J241" i="113"/>
  <c r="I241" i="113"/>
  <c r="F241" i="113"/>
  <c r="D241" i="113"/>
  <c r="A241" i="113"/>
  <c r="T240" i="113"/>
  <c r="S240" i="113"/>
  <c r="R240" i="113"/>
  <c r="Q240" i="113"/>
  <c r="P240" i="113"/>
  <c r="O240" i="113"/>
  <c r="N240" i="113"/>
  <c r="L240" i="113"/>
  <c r="K240" i="113"/>
  <c r="J240" i="113"/>
  <c r="I240" i="113"/>
  <c r="F240" i="113"/>
  <c r="D240" i="113"/>
  <c r="A240" i="113"/>
  <c r="T239" i="113"/>
  <c r="S239" i="113"/>
  <c r="R239" i="113"/>
  <c r="Q239" i="113"/>
  <c r="P239" i="113"/>
  <c r="O239" i="113"/>
  <c r="N239" i="113"/>
  <c r="L239" i="113"/>
  <c r="K239" i="113"/>
  <c r="J239" i="113"/>
  <c r="F239" i="113"/>
  <c r="A239" i="113"/>
  <c r="T238" i="113"/>
  <c r="S238" i="113"/>
  <c r="R238" i="113"/>
  <c r="Q238" i="113"/>
  <c r="P238" i="113"/>
  <c r="O238" i="113"/>
  <c r="N238" i="113"/>
  <c r="L238" i="113"/>
  <c r="K238" i="113"/>
  <c r="J238" i="113"/>
  <c r="F238" i="113"/>
  <c r="A238" i="113"/>
  <c r="T237" i="113"/>
  <c r="S237" i="113"/>
  <c r="R237" i="113"/>
  <c r="Q237" i="113"/>
  <c r="P237" i="113"/>
  <c r="O237" i="113"/>
  <c r="N237" i="113"/>
  <c r="L237" i="113"/>
  <c r="K237" i="113"/>
  <c r="J237" i="113"/>
  <c r="F237" i="113"/>
  <c r="A237" i="113"/>
  <c r="T236" i="113"/>
  <c r="S236" i="113"/>
  <c r="R236" i="113"/>
  <c r="Q236" i="113"/>
  <c r="P236" i="113"/>
  <c r="O236" i="113"/>
  <c r="N236" i="113"/>
  <c r="L236" i="113"/>
  <c r="K236" i="113"/>
  <c r="J236" i="113"/>
  <c r="F236" i="113"/>
  <c r="A236" i="113"/>
  <c r="T235" i="113"/>
  <c r="S235" i="113"/>
  <c r="R235" i="113"/>
  <c r="Q235" i="113"/>
  <c r="P235" i="113"/>
  <c r="O235" i="113"/>
  <c r="N235" i="113"/>
  <c r="L235" i="113"/>
  <c r="K235" i="113"/>
  <c r="J235" i="113"/>
  <c r="I235" i="113"/>
  <c r="F235" i="113"/>
  <c r="D235" i="113"/>
  <c r="A235" i="113"/>
  <c r="T234" i="113"/>
  <c r="S234" i="113"/>
  <c r="R234" i="113"/>
  <c r="Q234" i="113"/>
  <c r="P234" i="113"/>
  <c r="O234" i="113"/>
  <c r="N234" i="113"/>
  <c r="L234" i="113"/>
  <c r="K234" i="113"/>
  <c r="J234" i="113"/>
  <c r="I234" i="113"/>
  <c r="F234" i="113"/>
  <c r="D234" i="113"/>
  <c r="A234" i="113"/>
  <c r="T233" i="113"/>
  <c r="S233" i="113"/>
  <c r="R233" i="113"/>
  <c r="Q233" i="113"/>
  <c r="P233" i="113"/>
  <c r="O233" i="113"/>
  <c r="N233" i="113"/>
  <c r="L233" i="113"/>
  <c r="K233" i="113"/>
  <c r="J233" i="113"/>
  <c r="I233" i="113"/>
  <c r="F233" i="113"/>
  <c r="D233" i="113"/>
  <c r="A233" i="113"/>
  <c r="T232" i="113"/>
  <c r="S232" i="113"/>
  <c r="R232" i="113"/>
  <c r="Q232" i="113"/>
  <c r="P232" i="113"/>
  <c r="O232" i="113"/>
  <c r="N232" i="113"/>
  <c r="L232" i="113"/>
  <c r="K232" i="113"/>
  <c r="J232" i="113"/>
  <c r="F232" i="113"/>
  <c r="A232" i="113"/>
  <c r="T231" i="113"/>
  <c r="S231" i="113"/>
  <c r="R231" i="113"/>
  <c r="Q231" i="113"/>
  <c r="P231" i="113"/>
  <c r="O231" i="113"/>
  <c r="N231" i="113"/>
  <c r="L231" i="113"/>
  <c r="K231" i="113"/>
  <c r="J231" i="113"/>
  <c r="F231" i="113"/>
  <c r="A231" i="113"/>
  <c r="T230" i="113"/>
  <c r="S230" i="113"/>
  <c r="R230" i="113"/>
  <c r="Q230" i="113"/>
  <c r="P230" i="113"/>
  <c r="O230" i="113"/>
  <c r="N230" i="113"/>
  <c r="L230" i="113"/>
  <c r="K230" i="113"/>
  <c r="J230" i="113"/>
  <c r="I230" i="113"/>
  <c r="F230" i="113"/>
  <c r="D230" i="113"/>
  <c r="A230" i="113"/>
  <c r="T229" i="113"/>
  <c r="S229" i="113"/>
  <c r="R229" i="113"/>
  <c r="Q229" i="113"/>
  <c r="P229" i="113"/>
  <c r="O229" i="113"/>
  <c r="N229" i="113"/>
  <c r="L229" i="113"/>
  <c r="K229" i="113"/>
  <c r="J229" i="113"/>
  <c r="I229" i="113"/>
  <c r="F229" i="113"/>
  <c r="D229" i="113"/>
  <c r="A229" i="113"/>
  <c r="T228" i="113"/>
  <c r="S228" i="113"/>
  <c r="R228" i="113"/>
  <c r="Q228" i="113"/>
  <c r="P228" i="113"/>
  <c r="O228" i="113"/>
  <c r="N228" i="113"/>
  <c r="L228" i="113"/>
  <c r="K228" i="113"/>
  <c r="J228" i="113"/>
  <c r="I228" i="113"/>
  <c r="F228" i="113"/>
  <c r="D228" i="113"/>
  <c r="A228" i="113"/>
  <c r="T227" i="113"/>
  <c r="S227" i="113"/>
  <c r="R227" i="113"/>
  <c r="Q227" i="113"/>
  <c r="P227" i="113"/>
  <c r="O227" i="113"/>
  <c r="N227" i="113"/>
  <c r="L227" i="113"/>
  <c r="K227" i="113"/>
  <c r="J227" i="113"/>
  <c r="I227" i="113"/>
  <c r="F227" i="113"/>
  <c r="D227" i="113"/>
  <c r="A227" i="113"/>
  <c r="T226" i="113"/>
  <c r="S226" i="113"/>
  <c r="R226" i="113"/>
  <c r="Q226" i="113"/>
  <c r="P226" i="113"/>
  <c r="O226" i="113"/>
  <c r="N226" i="113"/>
  <c r="L226" i="113"/>
  <c r="K226" i="113"/>
  <c r="J226" i="113"/>
  <c r="I226" i="113"/>
  <c r="F226" i="113"/>
  <c r="D226" i="113"/>
  <c r="A226" i="113"/>
  <c r="T225" i="113"/>
  <c r="S225" i="113"/>
  <c r="R225" i="113"/>
  <c r="Q225" i="113"/>
  <c r="P225" i="113"/>
  <c r="O225" i="113"/>
  <c r="N225" i="113"/>
  <c r="L225" i="113"/>
  <c r="K225" i="113"/>
  <c r="J225" i="113"/>
  <c r="I225" i="113"/>
  <c r="F225" i="113"/>
  <c r="D225" i="113"/>
  <c r="A225" i="113"/>
  <c r="T224" i="113"/>
  <c r="S224" i="113"/>
  <c r="R224" i="113"/>
  <c r="Q224" i="113"/>
  <c r="P224" i="113"/>
  <c r="O224" i="113"/>
  <c r="N224" i="113"/>
  <c r="L224" i="113"/>
  <c r="K224" i="113"/>
  <c r="J224" i="113"/>
  <c r="F224" i="113"/>
  <c r="A224" i="113"/>
  <c r="T223" i="113"/>
  <c r="S223" i="113"/>
  <c r="R223" i="113"/>
  <c r="Q223" i="113"/>
  <c r="P223" i="113"/>
  <c r="O223" i="113"/>
  <c r="N223" i="113"/>
  <c r="L223" i="113"/>
  <c r="K223" i="113"/>
  <c r="J223" i="113"/>
  <c r="F223" i="113"/>
  <c r="A223" i="113"/>
  <c r="T222" i="113"/>
  <c r="S222" i="113"/>
  <c r="R222" i="113"/>
  <c r="Q222" i="113"/>
  <c r="P222" i="113"/>
  <c r="O222" i="113"/>
  <c r="N222" i="113"/>
  <c r="L222" i="113"/>
  <c r="K222" i="113"/>
  <c r="J222" i="113"/>
  <c r="I222" i="113"/>
  <c r="F222" i="113"/>
  <c r="D222" i="113"/>
  <c r="A222" i="113"/>
  <c r="T221" i="113"/>
  <c r="S221" i="113"/>
  <c r="R221" i="113"/>
  <c r="Q221" i="113"/>
  <c r="P221" i="113"/>
  <c r="O221" i="113"/>
  <c r="N221" i="113"/>
  <c r="L221" i="113"/>
  <c r="K221" i="113"/>
  <c r="J221" i="113"/>
  <c r="I221" i="113"/>
  <c r="F221" i="113"/>
  <c r="D221" i="113"/>
  <c r="A221" i="113"/>
  <c r="T220" i="113"/>
  <c r="S220" i="113"/>
  <c r="R220" i="113"/>
  <c r="Q220" i="113"/>
  <c r="P220" i="113"/>
  <c r="O220" i="113"/>
  <c r="N220" i="113"/>
  <c r="L220" i="113"/>
  <c r="K220" i="113"/>
  <c r="J220" i="113"/>
  <c r="I220" i="113"/>
  <c r="F220" i="113"/>
  <c r="D220" i="113"/>
  <c r="A220" i="113"/>
  <c r="T219" i="113"/>
  <c r="S219" i="113"/>
  <c r="R219" i="113"/>
  <c r="Q219" i="113"/>
  <c r="P219" i="113"/>
  <c r="O219" i="113"/>
  <c r="N219" i="113"/>
  <c r="L219" i="113"/>
  <c r="K219" i="113"/>
  <c r="J219" i="113"/>
  <c r="I219" i="113"/>
  <c r="F219" i="113"/>
  <c r="D219" i="113"/>
  <c r="A219" i="113"/>
  <c r="T218" i="113"/>
  <c r="S218" i="113"/>
  <c r="R218" i="113"/>
  <c r="Q218" i="113"/>
  <c r="P218" i="113"/>
  <c r="O218" i="113"/>
  <c r="N218" i="113"/>
  <c r="L218" i="113"/>
  <c r="K218" i="113"/>
  <c r="J218" i="113"/>
  <c r="I218" i="113"/>
  <c r="F218" i="113"/>
  <c r="D218" i="113"/>
  <c r="A218" i="113"/>
  <c r="T217" i="113"/>
  <c r="S217" i="113"/>
  <c r="R217" i="113"/>
  <c r="Q217" i="113"/>
  <c r="P217" i="113"/>
  <c r="O217" i="113"/>
  <c r="N217" i="113"/>
  <c r="L217" i="113"/>
  <c r="K217" i="113"/>
  <c r="J217" i="113"/>
  <c r="I217" i="113"/>
  <c r="F217" i="113"/>
  <c r="D217" i="113"/>
  <c r="A217" i="113"/>
  <c r="T216" i="113"/>
  <c r="S216" i="113"/>
  <c r="R216" i="113"/>
  <c r="Q216" i="113"/>
  <c r="P216" i="113"/>
  <c r="O216" i="113"/>
  <c r="N216" i="113"/>
  <c r="L216" i="113"/>
  <c r="K216" i="113"/>
  <c r="J216" i="113"/>
  <c r="F216" i="113"/>
  <c r="A216" i="113"/>
  <c r="T215" i="113"/>
  <c r="S215" i="113"/>
  <c r="R215" i="113"/>
  <c r="Q215" i="113"/>
  <c r="P215" i="113"/>
  <c r="O215" i="113"/>
  <c r="N215" i="113"/>
  <c r="L215" i="113"/>
  <c r="K215" i="113"/>
  <c r="J215" i="113"/>
  <c r="F215" i="113"/>
  <c r="A215" i="113"/>
  <c r="T214" i="113"/>
  <c r="S214" i="113"/>
  <c r="R214" i="113"/>
  <c r="Q214" i="113"/>
  <c r="P214" i="113"/>
  <c r="O214" i="113"/>
  <c r="N214" i="113"/>
  <c r="L214" i="113"/>
  <c r="K214" i="113"/>
  <c r="J214" i="113"/>
  <c r="F214" i="113"/>
  <c r="A214" i="113"/>
  <c r="T213" i="113"/>
  <c r="S213" i="113"/>
  <c r="R213" i="113"/>
  <c r="Q213" i="113"/>
  <c r="P213" i="113"/>
  <c r="O213" i="113"/>
  <c r="N213" i="113"/>
  <c r="L213" i="113"/>
  <c r="K213" i="113"/>
  <c r="J213" i="113"/>
  <c r="F213" i="113"/>
  <c r="A213" i="113"/>
  <c r="T212" i="113"/>
  <c r="S212" i="113"/>
  <c r="R212" i="113"/>
  <c r="Q212" i="113"/>
  <c r="P212" i="113"/>
  <c r="O212" i="113"/>
  <c r="N212" i="113"/>
  <c r="L212" i="113"/>
  <c r="K212" i="113"/>
  <c r="J212" i="113"/>
  <c r="I212" i="113"/>
  <c r="F212" i="113"/>
  <c r="D212" i="113"/>
  <c r="A212" i="113"/>
  <c r="T211" i="113"/>
  <c r="S211" i="113"/>
  <c r="R211" i="113"/>
  <c r="Q211" i="113"/>
  <c r="P211" i="113"/>
  <c r="O211" i="113"/>
  <c r="N211" i="113"/>
  <c r="L211" i="113"/>
  <c r="K211" i="113"/>
  <c r="J211" i="113"/>
  <c r="I211" i="113"/>
  <c r="F211" i="113"/>
  <c r="D211" i="113"/>
  <c r="A211" i="113"/>
  <c r="T210" i="113"/>
  <c r="S210" i="113"/>
  <c r="R210" i="113"/>
  <c r="Q210" i="113"/>
  <c r="P210" i="113"/>
  <c r="O210" i="113"/>
  <c r="N210" i="113"/>
  <c r="L210" i="113"/>
  <c r="K210" i="113"/>
  <c r="J210" i="113"/>
  <c r="I210" i="113"/>
  <c r="F210" i="113"/>
  <c r="D210" i="113"/>
  <c r="A210" i="113"/>
  <c r="T209" i="113"/>
  <c r="S209" i="113"/>
  <c r="R209" i="113"/>
  <c r="Q209" i="113"/>
  <c r="P209" i="113"/>
  <c r="O209" i="113"/>
  <c r="N209" i="113"/>
  <c r="L209" i="113"/>
  <c r="K209" i="113"/>
  <c r="J209" i="113"/>
  <c r="F209" i="113"/>
  <c r="A209" i="113"/>
  <c r="T208" i="113"/>
  <c r="S208" i="113"/>
  <c r="R208" i="113"/>
  <c r="Q208" i="113"/>
  <c r="P208" i="113"/>
  <c r="O208" i="113"/>
  <c r="N208" i="113"/>
  <c r="L208" i="113"/>
  <c r="K208" i="113"/>
  <c r="J208" i="113"/>
  <c r="F208" i="113"/>
  <c r="A208" i="113"/>
  <c r="T207" i="113"/>
  <c r="S207" i="113"/>
  <c r="R207" i="113"/>
  <c r="Q207" i="113"/>
  <c r="P207" i="113"/>
  <c r="O207" i="113"/>
  <c r="N207" i="113"/>
  <c r="L207" i="113"/>
  <c r="K207" i="113"/>
  <c r="J207" i="113"/>
  <c r="F207" i="113"/>
  <c r="A207" i="113"/>
  <c r="T206" i="113"/>
  <c r="S206" i="113"/>
  <c r="R206" i="113"/>
  <c r="Q206" i="113"/>
  <c r="P206" i="113"/>
  <c r="O206" i="113"/>
  <c r="N206" i="113"/>
  <c r="L206" i="113"/>
  <c r="K206" i="113"/>
  <c r="J206" i="113"/>
  <c r="F206" i="113"/>
  <c r="A206" i="113"/>
  <c r="T205" i="113"/>
  <c r="S205" i="113"/>
  <c r="R205" i="113"/>
  <c r="Q205" i="113"/>
  <c r="P205" i="113"/>
  <c r="O205" i="113"/>
  <c r="N205" i="113"/>
  <c r="L205" i="113"/>
  <c r="K205" i="113"/>
  <c r="J205" i="113"/>
  <c r="I205" i="113"/>
  <c r="F205" i="113"/>
  <c r="D205" i="113"/>
  <c r="A205" i="113"/>
  <c r="T204" i="113"/>
  <c r="S204" i="113"/>
  <c r="R204" i="113"/>
  <c r="Q204" i="113"/>
  <c r="P204" i="113"/>
  <c r="O204" i="113"/>
  <c r="N204" i="113"/>
  <c r="L204" i="113"/>
  <c r="K204" i="113"/>
  <c r="J204" i="113"/>
  <c r="I204" i="113"/>
  <c r="F204" i="113"/>
  <c r="D204" i="113"/>
  <c r="A204" i="113"/>
  <c r="T203" i="113"/>
  <c r="S203" i="113"/>
  <c r="R203" i="113"/>
  <c r="Q203" i="113"/>
  <c r="P203" i="113"/>
  <c r="O203" i="113"/>
  <c r="N203" i="113"/>
  <c r="L203" i="113"/>
  <c r="K203" i="113"/>
  <c r="J203" i="113"/>
  <c r="I203" i="113"/>
  <c r="F203" i="113"/>
  <c r="D203" i="113"/>
  <c r="A203" i="113"/>
  <c r="T202" i="113"/>
  <c r="S202" i="113"/>
  <c r="R202" i="113"/>
  <c r="Q202" i="113"/>
  <c r="P202" i="113"/>
  <c r="O202" i="113"/>
  <c r="N202" i="113"/>
  <c r="L202" i="113"/>
  <c r="K202" i="113"/>
  <c r="J202" i="113"/>
  <c r="F202" i="113"/>
  <c r="A202" i="113"/>
  <c r="T201" i="113"/>
  <c r="S201" i="113"/>
  <c r="R201" i="113"/>
  <c r="Q201" i="113"/>
  <c r="P201" i="113"/>
  <c r="O201" i="113"/>
  <c r="N201" i="113"/>
  <c r="L201" i="113"/>
  <c r="K201" i="113"/>
  <c r="J201" i="113"/>
  <c r="F201" i="113"/>
  <c r="A201" i="113"/>
  <c r="T200" i="113"/>
  <c r="S200" i="113"/>
  <c r="R200" i="113"/>
  <c r="Q200" i="113"/>
  <c r="P200" i="113"/>
  <c r="O200" i="113"/>
  <c r="N200" i="113"/>
  <c r="L200" i="113"/>
  <c r="K200" i="113"/>
  <c r="J200" i="113"/>
  <c r="I200" i="113"/>
  <c r="F200" i="113"/>
  <c r="D200" i="113"/>
  <c r="A200" i="113"/>
  <c r="T199" i="113"/>
  <c r="S199" i="113"/>
  <c r="R199" i="113"/>
  <c r="Q199" i="113"/>
  <c r="P199" i="113"/>
  <c r="O199" i="113"/>
  <c r="N199" i="113"/>
  <c r="L199" i="113"/>
  <c r="K199" i="113"/>
  <c r="J199" i="113"/>
  <c r="I199" i="113"/>
  <c r="F199" i="113"/>
  <c r="D199" i="113"/>
  <c r="A199" i="113"/>
  <c r="T198" i="113"/>
  <c r="S198" i="113"/>
  <c r="R198" i="113"/>
  <c r="Q198" i="113"/>
  <c r="P198" i="113"/>
  <c r="O198" i="113"/>
  <c r="N198" i="113"/>
  <c r="L198" i="113"/>
  <c r="K198" i="113"/>
  <c r="J198" i="113"/>
  <c r="I198" i="113"/>
  <c r="F198" i="113"/>
  <c r="D198" i="113"/>
  <c r="A198" i="113"/>
  <c r="T197" i="113"/>
  <c r="S197" i="113"/>
  <c r="R197" i="113"/>
  <c r="Q197" i="113"/>
  <c r="P197" i="113"/>
  <c r="O197" i="113"/>
  <c r="N197" i="113"/>
  <c r="L197" i="113"/>
  <c r="K197" i="113"/>
  <c r="J197" i="113"/>
  <c r="F197" i="113"/>
  <c r="A197" i="113"/>
  <c r="T196" i="113"/>
  <c r="S196" i="113"/>
  <c r="R196" i="113"/>
  <c r="Q196" i="113"/>
  <c r="P196" i="113"/>
  <c r="O196" i="113"/>
  <c r="N196" i="113"/>
  <c r="L196" i="113"/>
  <c r="K196" i="113"/>
  <c r="J196" i="113"/>
  <c r="F196" i="113"/>
  <c r="A196" i="113"/>
  <c r="T195" i="113"/>
  <c r="S195" i="113"/>
  <c r="R195" i="113"/>
  <c r="Q195" i="113"/>
  <c r="P195" i="113"/>
  <c r="O195" i="113"/>
  <c r="N195" i="113"/>
  <c r="L195" i="113"/>
  <c r="K195" i="113"/>
  <c r="J195" i="113"/>
  <c r="I195" i="113"/>
  <c r="F195" i="113"/>
  <c r="D195" i="113"/>
  <c r="A195" i="113"/>
  <c r="T194" i="113"/>
  <c r="S194" i="113"/>
  <c r="R194" i="113"/>
  <c r="Q194" i="113"/>
  <c r="P194" i="113"/>
  <c r="O194" i="113"/>
  <c r="N194" i="113"/>
  <c r="L194" i="113"/>
  <c r="K194" i="113"/>
  <c r="J194" i="113"/>
  <c r="I194" i="113"/>
  <c r="F194" i="113"/>
  <c r="D194" i="113"/>
  <c r="A194" i="113"/>
  <c r="T193" i="113"/>
  <c r="S193" i="113"/>
  <c r="R193" i="113"/>
  <c r="Q193" i="113"/>
  <c r="P193" i="113"/>
  <c r="O193" i="113"/>
  <c r="N193" i="113"/>
  <c r="L193" i="113"/>
  <c r="K193" i="113"/>
  <c r="J193" i="113"/>
  <c r="I193" i="113"/>
  <c r="F193" i="113"/>
  <c r="D193" i="113"/>
  <c r="A193" i="113"/>
  <c r="T192" i="113"/>
  <c r="S192" i="113"/>
  <c r="R192" i="113"/>
  <c r="Q192" i="113"/>
  <c r="P192" i="113"/>
  <c r="O192" i="113"/>
  <c r="N192" i="113"/>
  <c r="L192" i="113"/>
  <c r="K192" i="113"/>
  <c r="J192" i="113"/>
  <c r="F192" i="113"/>
  <c r="A192" i="113"/>
  <c r="T191" i="113"/>
  <c r="S191" i="113"/>
  <c r="R191" i="113"/>
  <c r="Q191" i="113"/>
  <c r="P191" i="113"/>
  <c r="O191" i="113"/>
  <c r="N191" i="113"/>
  <c r="L191" i="113"/>
  <c r="K191" i="113"/>
  <c r="J191" i="113"/>
  <c r="F191" i="113"/>
  <c r="A191" i="113"/>
  <c r="T190" i="113"/>
  <c r="S190" i="113"/>
  <c r="R190" i="113"/>
  <c r="Q190" i="113"/>
  <c r="P190" i="113"/>
  <c r="O190" i="113"/>
  <c r="N190" i="113"/>
  <c r="L190" i="113"/>
  <c r="K190" i="113"/>
  <c r="J190" i="113"/>
  <c r="F190" i="113"/>
  <c r="A190" i="113"/>
  <c r="T189" i="113"/>
  <c r="S189" i="113"/>
  <c r="R189" i="113"/>
  <c r="Q189" i="113"/>
  <c r="P189" i="113"/>
  <c r="O189" i="113"/>
  <c r="N189" i="113"/>
  <c r="L189" i="113"/>
  <c r="K189" i="113"/>
  <c r="J189" i="113"/>
  <c r="F189" i="113"/>
  <c r="A189" i="113"/>
  <c r="T188" i="113"/>
  <c r="S188" i="113"/>
  <c r="R188" i="113"/>
  <c r="Q188" i="113"/>
  <c r="P188" i="113"/>
  <c r="O188" i="113"/>
  <c r="N188" i="113"/>
  <c r="L188" i="113"/>
  <c r="K188" i="113"/>
  <c r="J188" i="113"/>
  <c r="I188" i="113"/>
  <c r="F188" i="113"/>
  <c r="D188" i="113"/>
  <c r="A188" i="113"/>
  <c r="T187" i="113"/>
  <c r="S187" i="113"/>
  <c r="R187" i="113"/>
  <c r="Q187" i="113"/>
  <c r="P187" i="113"/>
  <c r="O187" i="113"/>
  <c r="N187" i="113"/>
  <c r="L187" i="113"/>
  <c r="K187" i="113"/>
  <c r="J187" i="113"/>
  <c r="I187" i="113"/>
  <c r="F187" i="113"/>
  <c r="D187" i="113"/>
  <c r="A187" i="113"/>
  <c r="T186" i="113"/>
  <c r="S186" i="113"/>
  <c r="R186" i="113"/>
  <c r="Q186" i="113"/>
  <c r="P186" i="113"/>
  <c r="O186" i="113"/>
  <c r="N186" i="113"/>
  <c r="L186" i="113"/>
  <c r="K186" i="113"/>
  <c r="J186" i="113"/>
  <c r="I186" i="113"/>
  <c r="F186" i="113"/>
  <c r="D186" i="113"/>
  <c r="A186" i="113"/>
  <c r="T185" i="113"/>
  <c r="S185" i="113"/>
  <c r="R185" i="113"/>
  <c r="Q185" i="113"/>
  <c r="P185" i="113"/>
  <c r="O185" i="113"/>
  <c r="N185" i="113"/>
  <c r="L185" i="113"/>
  <c r="K185" i="113"/>
  <c r="J185" i="113"/>
  <c r="F185" i="113"/>
  <c r="A185" i="113"/>
  <c r="T184" i="113"/>
  <c r="S184" i="113"/>
  <c r="R184" i="113"/>
  <c r="Q184" i="113"/>
  <c r="P184" i="113"/>
  <c r="O184" i="113"/>
  <c r="N184" i="113"/>
  <c r="L184" i="113"/>
  <c r="K184" i="113"/>
  <c r="J184" i="113"/>
  <c r="F184" i="113"/>
  <c r="A184" i="113"/>
  <c r="T183" i="113"/>
  <c r="S183" i="113"/>
  <c r="R183" i="113"/>
  <c r="Q183" i="113"/>
  <c r="P183" i="113"/>
  <c r="O183" i="113"/>
  <c r="N183" i="113"/>
  <c r="L183" i="113"/>
  <c r="K183" i="113"/>
  <c r="J183" i="113"/>
  <c r="I183" i="113"/>
  <c r="F183" i="113"/>
  <c r="D183" i="113"/>
  <c r="A183" i="113"/>
  <c r="T182" i="113"/>
  <c r="S182" i="113"/>
  <c r="R182" i="113"/>
  <c r="Q182" i="113"/>
  <c r="P182" i="113"/>
  <c r="O182" i="113"/>
  <c r="N182" i="113"/>
  <c r="L182" i="113"/>
  <c r="K182" i="113"/>
  <c r="J182" i="113"/>
  <c r="I182" i="113"/>
  <c r="F182" i="113"/>
  <c r="D182" i="113"/>
  <c r="A182" i="113"/>
  <c r="T181" i="113"/>
  <c r="S181" i="113"/>
  <c r="R181" i="113"/>
  <c r="Q181" i="113"/>
  <c r="P181" i="113"/>
  <c r="O181" i="113"/>
  <c r="N181" i="113"/>
  <c r="L181" i="113"/>
  <c r="K181" i="113"/>
  <c r="J181" i="113"/>
  <c r="I181" i="113"/>
  <c r="F181" i="113"/>
  <c r="D181" i="113"/>
  <c r="A181" i="113"/>
  <c r="T180" i="113"/>
  <c r="S180" i="113"/>
  <c r="R180" i="113"/>
  <c r="Q180" i="113"/>
  <c r="P180" i="113"/>
  <c r="O180" i="113"/>
  <c r="N180" i="113"/>
  <c r="L180" i="113"/>
  <c r="K180" i="113"/>
  <c r="J180" i="113"/>
  <c r="I180" i="113"/>
  <c r="F180" i="113"/>
  <c r="D180" i="113"/>
  <c r="A180" i="113"/>
  <c r="T179" i="113"/>
  <c r="S179" i="113"/>
  <c r="R179" i="113"/>
  <c r="Q179" i="113"/>
  <c r="P179" i="113"/>
  <c r="O179" i="113"/>
  <c r="N179" i="113"/>
  <c r="L179" i="113"/>
  <c r="K179" i="113"/>
  <c r="J179" i="113"/>
  <c r="I179" i="113"/>
  <c r="F179" i="113"/>
  <c r="D179" i="113"/>
  <c r="A179" i="113"/>
  <c r="T178" i="113"/>
  <c r="S178" i="113"/>
  <c r="R178" i="113"/>
  <c r="Q178" i="113"/>
  <c r="P178" i="113"/>
  <c r="O178" i="113"/>
  <c r="N178" i="113"/>
  <c r="L178" i="113"/>
  <c r="K178" i="113"/>
  <c r="J178" i="113"/>
  <c r="I178" i="113"/>
  <c r="F178" i="113"/>
  <c r="D178" i="113"/>
  <c r="A178" i="113"/>
  <c r="T177" i="113"/>
  <c r="S177" i="113"/>
  <c r="R177" i="113"/>
  <c r="Q177" i="113"/>
  <c r="P177" i="113"/>
  <c r="O177" i="113"/>
  <c r="N177" i="113"/>
  <c r="L177" i="113"/>
  <c r="K177" i="113"/>
  <c r="J177" i="113"/>
  <c r="F177" i="113"/>
  <c r="A177" i="113"/>
  <c r="T176" i="113"/>
  <c r="S176" i="113"/>
  <c r="R176" i="113"/>
  <c r="Q176" i="113"/>
  <c r="P176" i="113"/>
  <c r="O176" i="113"/>
  <c r="N176" i="113"/>
  <c r="L176" i="113"/>
  <c r="K176" i="113"/>
  <c r="J176" i="113"/>
  <c r="F176" i="113"/>
  <c r="A176" i="113"/>
  <c r="T175" i="113"/>
  <c r="S175" i="113"/>
  <c r="R175" i="113"/>
  <c r="Q175" i="113"/>
  <c r="P175" i="113"/>
  <c r="O175" i="113"/>
  <c r="N175" i="113"/>
  <c r="L175" i="113"/>
  <c r="K175" i="113"/>
  <c r="J175" i="113"/>
  <c r="F175" i="113"/>
  <c r="A175" i="113"/>
  <c r="T174" i="113"/>
  <c r="S174" i="113"/>
  <c r="R174" i="113"/>
  <c r="Q174" i="113"/>
  <c r="P174" i="113"/>
  <c r="O174" i="113"/>
  <c r="N174" i="113"/>
  <c r="L174" i="113"/>
  <c r="K174" i="113"/>
  <c r="J174" i="113"/>
  <c r="F174" i="113"/>
  <c r="A174" i="113"/>
  <c r="T173" i="113"/>
  <c r="S173" i="113"/>
  <c r="R173" i="113"/>
  <c r="Q173" i="113"/>
  <c r="P173" i="113"/>
  <c r="O173" i="113"/>
  <c r="N173" i="113"/>
  <c r="L173" i="113"/>
  <c r="K173" i="113"/>
  <c r="J173" i="113"/>
  <c r="I173" i="113"/>
  <c r="F173" i="113"/>
  <c r="D173" i="113"/>
  <c r="A173" i="113"/>
  <c r="T172" i="113"/>
  <c r="S172" i="113"/>
  <c r="R172" i="113"/>
  <c r="Q172" i="113"/>
  <c r="P172" i="113"/>
  <c r="O172" i="113"/>
  <c r="N172" i="113"/>
  <c r="L172" i="113"/>
  <c r="K172" i="113"/>
  <c r="J172" i="113"/>
  <c r="I172" i="113"/>
  <c r="F172" i="113"/>
  <c r="D172" i="113"/>
  <c r="A172" i="113"/>
  <c r="T171" i="113"/>
  <c r="S171" i="113"/>
  <c r="R171" i="113"/>
  <c r="Q171" i="113"/>
  <c r="P171" i="113"/>
  <c r="O171" i="113"/>
  <c r="N171" i="113"/>
  <c r="L171" i="113"/>
  <c r="K171" i="113"/>
  <c r="J171" i="113"/>
  <c r="I171" i="113"/>
  <c r="F171" i="113"/>
  <c r="D171" i="113"/>
  <c r="A171" i="113"/>
  <c r="T170" i="113"/>
  <c r="S170" i="113"/>
  <c r="R170" i="113"/>
  <c r="Q170" i="113"/>
  <c r="P170" i="113"/>
  <c r="O170" i="113"/>
  <c r="N170" i="113"/>
  <c r="L170" i="113"/>
  <c r="K170" i="113"/>
  <c r="J170" i="113"/>
  <c r="F170" i="113"/>
  <c r="A170" i="113"/>
  <c r="T169" i="113"/>
  <c r="S169" i="113"/>
  <c r="R169" i="113"/>
  <c r="Q169" i="113"/>
  <c r="P169" i="113"/>
  <c r="O169" i="113"/>
  <c r="N169" i="113"/>
  <c r="L169" i="113"/>
  <c r="K169" i="113"/>
  <c r="J169" i="113"/>
  <c r="F169" i="113"/>
  <c r="A169" i="113"/>
  <c r="T168" i="113"/>
  <c r="S168" i="113"/>
  <c r="R168" i="113"/>
  <c r="Q168" i="113"/>
  <c r="P168" i="113"/>
  <c r="O168" i="113"/>
  <c r="N168" i="113"/>
  <c r="L168" i="113"/>
  <c r="K168" i="113"/>
  <c r="J168" i="113"/>
  <c r="I168" i="113"/>
  <c r="F168" i="113"/>
  <c r="D168" i="113"/>
  <c r="A168" i="113"/>
  <c r="T167" i="113"/>
  <c r="S167" i="113"/>
  <c r="R167" i="113"/>
  <c r="Q167" i="113"/>
  <c r="P167" i="113"/>
  <c r="O167" i="113"/>
  <c r="N167" i="113"/>
  <c r="L167" i="113"/>
  <c r="K167" i="113"/>
  <c r="J167" i="113"/>
  <c r="I167" i="113"/>
  <c r="F167" i="113"/>
  <c r="D167" i="113"/>
  <c r="A167" i="113"/>
  <c r="T166" i="113"/>
  <c r="S166" i="113"/>
  <c r="R166" i="113"/>
  <c r="Q166" i="113"/>
  <c r="P166" i="113"/>
  <c r="O166" i="113"/>
  <c r="N166" i="113"/>
  <c r="L166" i="113"/>
  <c r="K166" i="113"/>
  <c r="J166" i="113"/>
  <c r="I166" i="113"/>
  <c r="F166" i="113"/>
  <c r="D166" i="113"/>
  <c r="A166" i="113"/>
  <c r="T165" i="113"/>
  <c r="S165" i="113"/>
  <c r="R165" i="113"/>
  <c r="Q165" i="113"/>
  <c r="P165" i="113"/>
  <c r="O165" i="113"/>
  <c r="N165" i="113"/>
  <c r="L165" i="113"/>
  <c r="K165" i="113"/>
  <c r="J165" i="113"/>
  <c r="F165" i="113"/>
  <c r="A165" i="113"/>
  <c r="T164" i="113"/>
  <c r="S164" i="113"/>
  <c r="R164" i="113"/>
  <c r="Q164" i="113"/>
  <c r="P164" i="113"/>
  <c r="O164" i="113"/>
  <c r="N164" i="113"/>
  <c r="L164" i="113"/>
  <c r="K164" i="113"/>
  <c r="J164" i="113"/>
  <c r="F164" i="113"/>
  <c r="A164" i="113"/>
  <c r="T163" i="113"/>
  <c r="S163" i="113"/>
  <c r="R163" i="113"/>
  <c r="Q163" i="113"/>
  <c r="P163" i="113"/>
  <c r="O163" i="113"/>
  <c r="N163" i="113"/>
  <c r="L163" i="113"/>
  <c r="K163" i="113"/>
  <c r="J163" i="113"/>
  <c r="I163" i="113"/>
  <c r="F163" i="113"/>
  <c r="D163" i="113"/>
  <c r="A163" i="113"/>
  <c r="T162" i="113"/>
  <c r="S162" i="113"/>
  <c r="R162" i="113"/>
  <c r="Q162" i="113"/>
  <c r="P162" i="113"/>
  <c r="O162" i="113"/>
  <c r="N162" i="113"/>
  <c r="L162" i="113"/>
  <c r="K162" i="113"/>
  <c r="J162" i="113"/>
  <c r="I162" i="113"/>
  <c r="F162" i="113"/>
  <c r="D162" i="113"/>
  <c r="A162" i="113"/>
  <c r="T161" i="113"/>
  <c r="S161" i="113"/>
  <c r="R161" i="113"/>
  <c r="Q161" i="113"/>
  <c r="P161" i="113"/>
  <c r="O161" i="113"/>
  <c r="N161" i="113"/>
  <c r="L161" i="113"/>
  <c r="K161" i="113"/>
  <c r="J161" i="113"/>
  <c r="I161" i="113"/>
  <c r="F161" i="113"/>
  <c r="D161" i="113"/>
  <c r="A161" i="113"/>
  <c r="T160" i="113"/>
  <c r="S160" i="113"/>
  <c r="R160" i="113"/>
  <c r="Q160" i="113"/>
  <c r="P160" i="113"/>
  <c r="O160" i="113"/>
  <c r="N160" i="113"/>
  <c r="L160" i="113"/>
  <c r="K160" i="113"/>
  <c r="J160" i="113"/>
  <c r="I160" i="113"/>
  <c r="F160" i="113"/>
  <c r="D160" i="113"/>
  <c r="A160" i="113"/>
  <c r="T159" i="113"/>
  <c r="S159" i="113"/>
  <c r="R159" i="113"/>
  <c r="Q159" i="113"/>
  <c r="P159" i="113"/>
  <c r="O159" i="113"/>
  <c r="N159" i="113"/>
  <c r="L159" i="113"/>
  <c r="K159" i="113"/>
  <c r="J159" i="113"/>
  <c r="I159" i="113"/>
  <c r="F159" i="113"/>
  <c r="D159" i="113"/>
  <c r="A159" i="113"/>
  <c r="T158" i="113"/>
  <c r="S158" i="113"/>
  <c r="R158" i="113"/>
  <c r="Q158" i="113"/>
  <c r="P158" i="113"/>
  <c r="O158" i="113"/>
  <c r="N158" i="113"/>
  <c r="L158" i="113"/>
  <c r="K158" i="113"/>
  <c r="J158" i="113"/>
  <c r="I158" i="113"/>
  <c r="F158" i="113"/>
  <c r="D158" i="113"/>
  <c r="A158" i="113"/>
  <c r="T157" i="113"/>
  <c r="S157" i="113"/>
  <c r="R157" i="113"/>
  <c r="Q157" i="113"/>
  <c r="P157" i="113"/>
  <c r="O157" i="113"/>
  <c r="N157" i="113"/>
  <c r="L157" i="113"/>
  <c r="K157" i="113"/>
  <c r="J157" i="113"/>
  <c r="F157" i="113"/>
  <c r="A157" i="113"/>
  <c r="T156" i="113"/>
  <c r="S156" i="113"/>
  <c r="R156" i="113"/>
  <c r="Q156" i="113"/>
  <c r="P156" i="113"/>
  <c r="O156" i="113"/>
  <c r="N156" i="113"/>
  <c r="L156" i="113"/>
  <c r="K156" i="113"/>
  <c r="J156" i="113"/>
  <c r="F156" i="113"/>
  <c r="A156" i="113"/>
  <c r="T155" i="113"/>
  <c r="S155" i="113"/>
  <c r="R155" i="113"/>
  <c r="Q155" i="113"/>
  <c r="P155" i="113"/>
  <c r="O155" i="113"/>
  <c r="N155" i="113"/>
  <c r="L155" i="113"/>
  <c r="K155" i="113"/>
  <c r="J155" i="113"/>
  <c r="I155" i="113"/>
  <c r="F155" i="113"/>
  <c r="D155" i="113"/>
  <c r="A155" i="113"/>
  <c r="T154" i="113"/>
  <c r="S154" i="113"/>
  <c r="R154" i="113"/>
  <c r="Q154" i="113"/>
  <c r="P154" i="113"/>
  <c r="O154" i="113"/>
  <c r="N154" i="113"/>
  <c r="L154" i="113"/>
  <c r="K154" i="113"/>
  <c r="J154" i="113"/>
  <c r="I154" i="113"/>
  <c r="F154" i="113"/>
  <c r="D154" i="113"/>
  <c r="A154" i="113"/>
  <c r="T153" i="113"/>
  <c r="S153" i="113"/>
  <c r="R153" i="113"/>
  <c r="Q153" i="113"/>
  <c r="P153" i="113"/>
  <c r="O153" i="113"/>
  <c r="N153" i="113"/>
  <c r="L153" i="113"/>
  <c r="K153" i="113"/>
  <c r="J153" i="113"/>
  <c r="I153" i="113"/>
  <c r="F153" i="113"/>
  <c r="D153" i="113"/>
  <c r="A153" i="113"/>
  <c r="T152" i="113"/>
  <c r="S152" i="113"/>
  <c r="R152" i="113"/>
  <c r="Q152" i="113"/>
  <c r="P152" i="113"/>
  <c r="O152" i="113"/>
  <c r="N152" i="113"/>
  <c r="L152" i="113"/>
  <c r="K152" i="113"/>
  <c r="J152" i="113"/>
  <c r="F152" i="113"/>
  <c r="A152" i="113"/>
  <c r="T151" i="113"/>
  <c r="S151" i="113"/>
  <c r="R151" i="113"/>
  <c r="Q151" i="113"/>
  <c r="P151" i="113"/>
  <c r="O151" i="113"/>
  <c r="N151" i="113"/>
  <c r="L151" i="113"/>
  <c r="K151" i="113"/>
  <c r="J151" i="113"/>
  <c r="F151" i="113"/>
  <c r="A151" i="113"/>
  <c r="T150" i="113"/>
  <c r="S150" i="113"/>
  <c r="R150" i="113"/>
  <c r="Q150" i="113"/>
  <c r="P150" i="113"/>
  <c r="O150" i="113"/>
  <c r="N150" i="113"/>
  <c r="L150" i="113"/>
  <c r="K150" i="113"/>
  <c r="J150" i="113"/>
  <c r="F150" i="113"/>
  <c r="A150" i="113"/>
  <c r="T149" i="113"/>
  <c r="S149" i="113"/>
  <c r="R149" i="113"/>
  <c r="Q149" i="113"/>
  <c r="P149" i="113"/>
  <c r="O149" i="113"/>
  <c r="N149" i="113"/>
  <c r="L149" i="113"/>
  <c r="K149" i="113"/>
  <c r="J149" i="113"/>
  <c r="F149" i="113"/>
  <c r="A149" i="113"/>
  <c r="T148" i="113"/>
  <c r="S148" i="113"/>
  <c r="R148" i="113"/>
  <c r="Q148" i="113"/>
  <c r="P148" i="113"/>
  <c r="O148" i="113"/>
  <c r="N148" i="113"/>
  <c r="L148" i="113"/>
  <c r="K148" i="113"/>
  <c r="J148" i="113"/>
  <c r="I148" i="113"/>
  <c r="F148" i="113"/>
  <c r="D148" i="113"/>
  <c r="A148" i="113"/>
  <c r="T147" i="113"/>
  <c r="S147" i="113"/>
  <c r="R147" i="113"/>
  <c r="Q147" i="113"/>
  <c r="P147" i="113"/>
  <c r="O147" i="113"/>
  <c r="N147" i="113"/>
  <c r="L147" i="113"/>
  <c r="K147" i="113"/>
  <c r="J147" i="113"/>
  <c r="I147" i="113"/>
  <c r="F147" i="113"/>
  <c r="D147" i="113"/>
  <c r="A147" i="113"/>
  <c r="T146" i="113"/>
  <c r="S146" i="113"/>
  <c r="R146" i="113"/>
  <c r="Q146" i="113"/>
  <c r="P146" i="113"/>
  <c r="O146" i="113"/>
  <c r="N146" i="113"/>
  <c r="L146" i="113"/>
  <c r="K146" i="113"/>
  <c r="J146" i="113"/>
  <c r="I146" i="113"/>
  <c r="F146" i="113"/>
  <c r="D146" i="113"/>
  <c r="A146" i="113"/>
  <c r="T145" i="113"/>
  <c r="S145" i="113"/>
  <c r="R145" i="113"/>
  <c r="Q145" i="113"/>
  <c r="P145" i="113"/>
  <c r="O145" i="113"/>
  <c r="N145" i="113"/>
  <c r="L145" i="113"/>
  <c r="K145" i="113"/>
  <c r="J145" i="113"/>
  <c r="F145" i="113"/>
  <c r="A145" i="113"/>
  <c r="T144" i="113"/>
  <c r="S144" i="113"/>
  <c r="R144" i="113"/>
  <c r="Q144" i="113"/>
  <c r="P144" i="113"/>
  <c r="O144" i="113"/>
  <c r="N144" i="113"/>
  <c r="L144" i="113"/>
  <c r="K144" i="113"/>
  <c r="J144" i="113"/>
  <c r="F144" i="113"/>
  <c r="A144" i="113"/>
  <c r="T143" i="113"/>
  <c r="S143" i="113"/>
  <c r="R143" i="113"/>
  <c r="Q143" i="113"/>
  <c r="P143" i="113"/>
  <c r="O143" i="113"/>
  <c r="N143" i="113"/>
  <c r="L143" i="113"/>
  <c r="K143" i="113"/>
  <c r="J143" i="113"/>
  <c r="F143" i="113"/>
  <c r="A143" i="113"/>
  <c r="T142" i="113"/>
  <c r="S142" i="113"/>
  <c r="R142" i="113"/>
  <c r="Q142" i="113"/>
  <c r="P142" i="113"/>
  <c r="O142" i="113"/>
  <c r="N142" i="113"/>
  <c r="L142" i="113"/>
  <c r="K142" i="113"/>
  <c r="J142" i="113"/>
  <c r="F142" i="113"/>
  <c r="A142" i="113"/>
  <c r="T141" i="113"/>
  <c r="S141" i="113"/>
  <c r="R141" i="113"/>
  <c r="Q141" i="113"/>
  <c r="P141" i="113"/>
  <c r="O141" i="113"/>
  <c r="N141" i="113"/>
  <c r="L141" i="113"/>
  <c r="K141" i="113"/>
  <c r="J141" i="113"/>
  <c r="F141" i="113"/>
  <c r="A141" i="113"/>
  <c r="T140" i="113"/>
  <c r="S140" i="113"/>
  <c r="R140" i="113"/>
  <c r="Q140" i="113"/>
  <c r="P140" i="113"/>
  <c r="O140" i="113"/>
  <c r="N140" i="113"/>
  <c r="L140" i="113"/>
  <c r="K140" i="113"/>
  <c r="J140" i="113"/>
  <c r="F140" i="113"/>
  <c r="A140" i="113"/>
  <c r="T139" i="113"/>
  <c r="S139" i="113"/>
  <c r="R139" i="113"/>
  <c r="Q139" i="113"/>
  <c r="P139" i="113"/>
  <c r="O139" i="113"/>
  <c r="N139" i="113"/>
  <c r="L139" i="113"/>
  <c r="K139" i="113"/>
  <c r="J139" i="113"/>
  <c r="F139" i="113"/>
  <c r="A139" i="113"/>
  <c r="T138" i="113"/>
  <c r="S138" i="113"/>
  <c r="R138" i="113"/>
  <c r="Q138" i="113"/>
  <c r="P138" i="113"/>
  <c r="O138" i="113"/>
  <c r="N138" i="113"/>
  <c r="L138" i="113"/>
  <c r="K138" i="113"/>
  <c r="J138" i="113"/>
  <c r="F138" i="113"/>
  <c r="A138" i="113"/>
  <c r="T137" i="113"/>
  <c r="S137" i="113"/>
  <c r="R137" i="113"/>
  <c r="Q137" i="113"/>
  <c r="P137" i="113"/>
  <c r="O137" i="113"/>
  <c r="N137" i="113"/>
  <c r="L137" i="113"/>
  <c r="K137" i="113"/>
  <c r="J137" i="113"/>
  <c r="I137" i="113"/>
  <c r="F137" i="113"/>
  <c r="D137" i="113"/>
  <c r="A137" i="113"/>
  <c r="T136" i="113"/>
  <c r="S136" i="113"/>
  <c r="R136" i="113"/>
  <c r="Q136" i="113"/>
  <c r="P136" i="113"/>
  <c r="O136" i="113"/>
  <c r="N136" i="113"/>
  <c r="L136" i="113"/>
  <c r="K136" i="113"/>
  <c r="J136" i="113"/>
  <c r="I136" i="113"/>
  <c r="F136" i="113"/>
  <c r="D136" i="113"/>
  <c r="A136" i="113"/>
  <c r="T135" i="113"/>
  <c r="S135" i="113"/>
  <c r="R135" i="113"/>
  <c r="Q135" i="113"/>
  <c r="P135" i="113"/>
  <c r="O135" i="113"/>
  <c r="N135" i="113"/>
  <c r="L135" i="113"/>
  <c r="K135" i="113"/>
  <c r="J135" i="113"/>
  <c r="I135" i="113"/>
  <c r="F135" i="113"/>
  <c r="D135" i="113"/>
  <c r="A135" i="113"/>
  <c r="T134" i="113"/>
  <c r="S134" i="113"/>
  <c r="R134" i="113"/>
  <c r="Q134" i="113"/>
  <c r="P134" i="113"/>
  <c r="O134" i="113"/>
  <c r="N134" i="113"/>
  <c r="L134" i="113"/>
  <c r="K134" i="113"/>
  <c r="J134" i="113"/>
  <c r="I134" i="113"/>
  <c r="F134" i="113"/>
  <c r="D134" i="113"/>
  <c r="A134" i="113"/>
  <c r="T133" i="113"/>
  <c r="S133" i="113"/>
  <c r="R133" i="113"/>
  <c r="Q133" i="113"/>
  <c r="P133" i="113"/>
  <c r="O133" i="113"/>
  <c r="N133" i="113"/>
  <c r="L133" i="113"/>
  <c r="K133" i="113"/>
  <c r="J133" i="113"/>
  <c r="I133" i="113"/>
  <c r="F133" i="113"/>
  <c r="D133" i="113"/>
  <c r="A133" i="113"/>
  <c r="T132" i="113"/>
  <c r="S132" i="113"/>
  <c r="R132" i="113"/>
  <c r="Q132" i="113"/>
  <c r="P132" i="113"/>
  <c r="O132" i="113"/>
  <c r="N132" i="113"/>
  <c r="L132" i="113"/>
  <c r="K132" i="113"/>
  <c r="J132" i="113"/>
  <c r="I132" i="113"/>
  <c r="F132" i="113"/>
  <c r="D132" i="113"/>
  <c r="A132" i="113"/>
  <c r="T131" i="113"/>
  <c r="S131" i="113"/>
  <c r="R131" i="113"/>
  <c r="Q131" i="113"/>
  <c r="P131" i="113"/>
  <c r="O131" i="113"/>
  <c r="N131" i="113"/>
  <c r="L131" i="113"/>
  <c r="K131" i="113"/>
  <c r="J131" i="113"/>
  <c r="I131" i="113"/>
  <c r="F131" i="113"/>
  <c r="D131" i="113"/>
  <c r="A131" i="113"/>
  <c r="T130" i="113"/>
  <c r="S130" i="113"/>
  <c r="R130" i="113"/>
  <c r="Q130" i="113"/>
  <c r="P130" i="113"/>
  <c r="O130" i="113"/>
  <c r="N130" i="113"/>
  <c r="L130" i="113"/>
  <c r="K130" i="113"/>
  <c r="J130" i="113"/>
  <c r="I130" i="113"/>
  <c r="F130" i="113"/>
  <c r="D130" i="113"/>
  <c r="A130" i="113"/>
  <c r="T129" i="113"/>
  <c r="S129" i="113"/>
  <c r="R129" i="113"/>
  <c r="Q129" i="113"/>
  <c r="P129" i="113"/>
  <c r="O129" i="113"/>
  <c r="N129" i="113"/>
  <c r="L129" i="113"/>
  <c r="K129" i="113"/>
  <c r="J129" i="113"/>
  <c r="I129" i="113"/>
  <c r="F129" i="113"/>
  <c r="D129" i="113"/>
  <c r="A129" i="113"/>
  <c r="T128" i="113"/>
  <c r="S128" i="113"/>
  <c r="R128" i="113"/>
  <c r="Q128" i="113"/>
  <c r="P128" i="113"/>
  <c r="O128" i="113"/>
  <c r="N128" i="113"/>
  <c r="L128" i="113"/>
  <c r="K128" i="113"/>
  <c r="J128" i="113"/>
  <c r="I128" i="113"/>
  <c r="F128" i="113"/>
  <c r="D128" i="113"/>
  <c r="A128" i="113"/>
  <c r="T127" i="113"/>
  <c r="S127" i="113"/>
  <c r="R127" i="113"/>
  <c r="Q127" i="113"/>
  <c r="P127" i="113"/>
  <c r="O127" i="113"/>
  <c r="N127" i="113"/>
  <c r="L127" i="113"/>
  <c r="K127" i="113"/>
  <c r="J127" i="113"/>
  <c r="I127" i="113"/>
  <c r="F127" i="113"/>
  <c r="D127" i="113"/>
  <c r="A127" i="113"/>
  <c r="T126" i="113"/>
  <c r="S126" i="113"/>
  <c r="R126" i="113"/>
  <c r="Q126" i="113"/>
  <c r="P126" i="113"/>
  <c r="O126" i="113"/>
  <c r="N126" i="113"/>
  <c r="L126" i="113"/>
  <c r="K126" i="113"/>
  <c r="J126" i="113"/>
  <c r="I126" i="113"/>
  <c r="F126" i="113"/>
  <c r="D126" i="113"/>
  <c r="A126" i="113"/>
  <c r="T125" i="113"/>
  <c r="S125" i="113"/>
  <c r="R125" i="113"/>
  <c r="Q125" i="113"/>
  <c r="P125" i="113"/>
  <c r="O125" i="113"/>
  <c r="N125" i="113"/>
  <c r="L125" i="113"/>
  <c r="K125" i="113"/>
  <c r="J125" i="113"/>
  <c r="I125" i="113"/>
  <c r="F125" i="113"/>
  <c r="D125" i="113"/>
  <c r="A125" i="113"/>
  <c r="T124" i="113"/>
  <c r="S124" i="113"/>
  <c r="R124" i="113"/>
  <c r="Q124" i="113"/>
  <c r="P124" i="113"/>
  <c r="O124" i="113"/>
  <c r="N124" i="113"/>
  <c r="L124" i="113"/>
  <c r="K124" i="113"/>
  <c r="J124" i="113"/>
  <c r="I124" i="113"/>
  <c r="F124" i="113"/>
  <c r="D124" i="113"/>
  <c r="A124" i="113"/>
  <c r="T123" i="113"/>
  <c r="S123" i="113"/>
  <c r="R123" i="113"/>
  <c r="Q123" i="113"/>
  <c r="P123" i="113"/>
  <c r="O123" i="113"/>
  <c r="N123" i="113"/>
  <c r="L123" i="113"/>
  <c r="K123" i="113"/>
  <c r="J123" i="113"/>
  <c r="I123" i="113"/>
  <c r="F123" i="113"/>
  <c r="D123" i="113"/>
  <c r="A123" i="113"/>
  <c r="T122" i="113"/>
  <c r="S122" i="113"/>
  <c r="R122" i="113"/>
  <c r="Q122" i="113"/>
  <c r="P122" i="113"/>
  <c r="O122" i="113"/>
  <c r="N122" i="113"/>
  <c r="L122" i="113"/>
  <c r="K122" i="113"/>
  <c r="J122" i="113"/>
  <c r="I122" i="113"/>
  <c r="F122" i="113"/>
  <c r="D122" i="113"/>
  <c r="A122" i="113"/>
  <c r="T121" i="113"/>
  <c r="S121" i="113"/>
  <c r="R121" i="113"/>
  <c r="Q121" i="113"/>
  <c r="P121" i="113"/>
  <c r="O121" i="113"/>
  <c r="N121" i="113"/>
  <c r="L121" i="113"/>
  <c r="K121" i="113"/>
  <c r="J121" i="113"/>
  <c r="I121" i="113"/>
  <c r="F121" i="113"/>
  <c r="D121" i="113"/>
  <c r="A121" i="113"/>
  <c r="T120" i="113"/>
  <c r="S120" i="113"/>
  <c r="R120" i="113"/>
  <c r="Q120" i="113"/>
  <c r="P120" i="113"/>
  <c r="O120" i="113"/>
  <c r="N120" i="113"/>
  <c r="L120" i="113"/>
  <c r="K120" i="113"/>
  <c r="J120" i="113"/>
  <c r="I120" i="113"/>
  <c r="F120" i="113"/>
  <c r="D120" i="113"/>
  <c r="A120" i="113"/>
  <c r="T119" i="113"/>
  <c r="S119" i="113"/>
  <c r="R119" i="113"/>
  <c r="Q119" i="113"/>
  <c r="P119" i="113"/>
  <c r="O119" i="113"/>
  <c r="N119" i="113"/>
  <c r="L119" i="113"/>
  <c r="K119" i="113"/>
  <c r="J119" i="113"/>
  <c r="I119" i="113"/>
  <c r="F119" i="113"/>
  <c r="D119" i="113"/>
  <c r="A119" i="113"/>
  <c r="T118" i="113"/>
  <c r="S118" i="113"/>
  <c r="R118" i="113"/>
  <c r="Q118" i="113"/>
  <c r="P118" i="113"/>
  <c r="O118" i="113"/>
  <c r="N118" i="113"/>
  <c r="L118" i="113"/>
  <c r="K118" i="113"/>
  <c r="J118" i="113"/>
  <c r="I118" i="113"/>
  <c r="F118" i="113"/>
  <c r="D118" i="113"/>
  <c r="A118" i="113"/>
  <c r="T117" i="113"/>
  <c r="S117" i="113"/>
  <c r="R117" i="113"/>
  <c r="Q117" i="113"/>
  <c r="P117" i="113"/>
  <c r="O117" i="113"/>
  <c r="N117" i="113"/>
  <c r="L117" i="113"/>
  <c r="K117" i="113"/>
  <c r="J117" i="113"/>
  <c r="I117" i="113"/>
  <c r="F117" i="113"/>
  <c r="D117" i="113"/>
  <c r="A117" i="113"/>
  <c r="T116" i="113"/>
  <c r="S116" i="113"/>
  <c r="R116" i="113"/>
  <c r="Q116" i="113"/>
  <c r="P116" i="113"/>
  <c r="O116" i="113"/>
  <c r="N116" i="113"/>
  <c r="L116" i="113"/>
  <c r="K116" i="113"/>
  <c r="J116" i="113"/>
  <c r="I116" i="113"/>
  <c r="F116" i="113"/>
  <c r="D116" i="113"/>
  <c r="A116" i="113"/>
  <c r="T115" i="113"/>
  <c r="S115" i="113"/>
  <c r="R115" i="113"/>
  <c r="Q115" i="113"/>
  <c r="P115" i="113"/>
  <c r="O115" i="113"/>
  <c r="N115" i="113"/>
  <c r="L115" i="113"/>
  <c r="K115" i="113"/>
  <c r="J115" i="113"/>
  <c r="I115" i="113"/>
  <c r="F115" i="113"/>
  <c r="D115" i="113"/>
  <c r="A115" i="113"/>
  <c r="T114" i="113"/>
  <c r="S114" i="113"/>
  <c r="R114" i="113"/>
  <c r="Q114" i="113"/>
  <c r="P114" i="113"/>
  <c r="O114" i="113"/>
  <c r="N114" i="113"/>
  <c r="L114" i="113"/>
  <c r="K114" i="113"/>
  <c r="J114" i="113"/>
  <c r="I114" i="113"/>
  <c r="F114" i="113"/>
  <c r="D114" i="113"/>
  <c r="A114" i="113"/>
  <c r="T113" i="113"/>
  <c r="S113" i="113"/>
  <c r="R113" i="113"/>
  <c r="Q113" i="113"/>
  <c r="P113" i="113"/>
  <c r="O113" i="113"/>
  <c r="N113" i="113"/>
  <c r="L113" i="113"/>
  <c r="K113" i="113"/>
  <c r="J113" i="113"/>
  <c r="I113" i="113"/>
  <c r="F113" i="113"/>
  <c r="D113" i="113"/>
  <c r="A113" i="113"/>
  <c r="T112" i="113"/>
  <c r="S112" i="113"/>
  <c r="R112" i="113"/>
  <c r="Q112" i="113"/>
  <c r="P112" i="113"/>
  <c r="O112" i="113"/>
  <c r="N112" i="113"/>
  <c r="L112" i="113"/>
  <c r="K112" i="113"/>
  <c r="J112" i="113"/>
  <c r="I112" i="113"/>
  <c r="F112" i="113"/>
  <c r="D112" i="113"/>
  <c r="A112" i="113"/>
  <c r="T111" i="113"/>
  <c r="S111" i="113"/>
  <c r="R111" i="113"/>
  <c r="Q111" i="113"/>
  <c r="P111" i="113"/>
  <c r="O111" i="113"/>
  <c r="N111" i="113"/>
  <c r="L111" i="113"/>
  <c r="K111" i="113"/>
  <c r="J111" i="113"/>
  <c r="I111" i="113"/>
  <c r="F111" i="113"/>
  <c r="D111" i="113"/>
  <c r="A111" i="113"/>
  <c r="T110" i="113"/>
  <c r="S110" i="113"/>
  <c r="R110" i="113"/>
  <c r="Q110" i="113"/>
  <c r="P110" i="113"/>
  <c r="O110" i="113"/>
  <c r="N110" i="113"/>
  <c r="L110" i="113"/>
  <c r="K110" i="113"/>
  <c r="J110" i="113"/>
  <c r="I110" i="113"/>
  <c r="F110" i="113"/>
  <c r="D110" i="113"/>
  <c r="A110" i="113"/>
  <c r="T109" i="113"/>
  <c r="S109" i="113"/>
  <c r="R109" i="113"/>
  <c r="Q109" i="113"/>
  <c r="P109" i="113"/>
  <c r="O109" i="113"/>
  <c r="N109" i="113"/>
  <c r="L109" i="113"/>
  <c r="K109" i="113"/>
  <c r="J109" i="113"/>
  <c r="I109" i="113"/>
  <c r="F109" i="113"/>
  <c r="D109" i="113"/>
  <c r="A109" i="113"/>
  <c r="T108" i="113"/>
  <c r="S108" i="113"/>
  <c r="R108" i="113"/>
  <c r="Q108" i="113"/>
  <c r="P108" i="113"/>
  <c r="O108" i="113"/>
  <c r="N108" i="113"/>
  <c r="L108" i="113"/>
  <c r="K108" i="113"/>
  <c r="J108" i="113"/>
  <c r="I108" i="113"/>
  <c r="F108" i="113"/>
  <c r="D108" i="113"/>
  <c r="A108" i="113"/>
  <c r="T107" i="113"/>
  <c r="S107" i="113"/>
  <c r="R107" i="113"/>
  <c r="Q107" i="113"/>
  <c r="P107" i="113"/>
  <c r="O107" i="113"/>
  <c r="N107" i="113"/>
  <c r="L107" i="113"/>
  <c r="K107" i="113"/>
  <c r="J107" i="113"/>
  <c r="I107" i="113"/>
  <c r="F107" i="113"/>
  <c r="D107" i="113"/>
  <c r="A107" i="113"/>
  <c r="T106" i="113"/>
  <c r="S106" i="113"/>
  <c r="R106" i="113"/>
  <c r="Q106" i="113"/>
  <c r="P106" i="113"/>
  <c r="O106" i="113"/>
  <c r="N106" i="113"/>
  <c r="L106" i="113"/>
  <c r="K106" i="113"/>
  <c r="J106" i="113"/>
  <c r="I106" i="113"/>
  <c r="F106" i="113"/>
  <c r="D106" i="113"/>
  <c r="A106" i="113"/>
  <c r="T105" i="113"/>
  <c r="S105" i="113"/>
  <c r="R105" i="113"/>
  <c r="Q105" i="113"/>
  <c r="P105" i="113"/>
  <c r="O105" i="113"/>
  <c r="N105" i="113"/>
  <c r="L105" i="113"/>
  <c r="K105" i="113"/>
  <c r="J105" i="113"/>
  <c r="I105" i="113"/>
  <c r="F105" i="113"/>
  <c r="D105" i="113"/>
  <c r="A105" i="113"/>
  <c r="T104" i="113"/>
  <c r="S104" i="113"/>
  <c r="R104" i="113"/>
  <c r="Q104" i="113"/>
  <c r="P104" i="113"/>
  <c r="O104" i="113"/>
  <c r="N104" i="113"/>
  <c r="L104" i="113"/>
  <c r="K104" i="113"/>
  <c r="J104" i="113"/>
  <c r="I104" i="113"/>
  <c r="F104" i="113"/>
  <c r="D104" i="113"/>
  <c r="A104" i="113"/>
  <c r="T103" i="113"/>
  <c r="S103" i="113"/>
  <c r="R103" i="113"/>
  <c r="Q103" i="113"/>
  <c r="P103" i="113"/>
  <c r="O103" i="113"/>
  <c r="N103" i="113"/>
  <c r="L103" i="113"/>
  <c r="K103" i="113"/>
  <c r="J103" i="113"/>
  <c r="I103" i="113"/>
  <c r="F103" i="113"/>
  <c r="D103" i="113"/>
  <c r="A103" i="113"/>
  <c r="T102" i="113"/>
  <c r="S102" i="113"/>
  <c r="R102" i="113"/>
  <c r="Q102" i="113"/>
  <c r="P102" i="113"/>
  <c r="O102" i="113"/>
  <c r="N102" i="113"/>
  <c r="L102" i="113"/>
  <c r="K102" i="113"/>
  <c r="J102" i="113"/>
  <c r="I102" i="113"/>
  <c r="F102" i="113"/>
  <c r="D102" i="113"/>
  <c r="A102" i="113"/>
  <c r="T101" i="113"/>
  <c r="S101" i="113"/>
  <c r="R101" i="113"/>
  <c r="Q101" i="113"/>
  <c r="P101" i="113"/>
  <c r="O101" i="113"/>
  <c r="N101" i="113"/>
  <c r="L101" i="113"/>
  <c r="K101" i="113"/>
  <c r="J101" i="113"/>
  <c r="I101" i="113"/>
  <c r="F101" i="113"/>
  <c r="D101" i="113"/>
  <c r="A101" i="113"/>
  <c r="T100" i="113"/>
  <c r="S100" i="113"/>
  <c r="R100" i="113"/>
  <c r="Q100" i="113"/>
  <c r="P100" i="113"/>
  <c r="O100" i="113"/>
  <c r="N100" i="113"/>
  <c r="L100" i="113"/>
  <c r="K100" i="113"/>
  <c r="J100" i="113"/>
  <c r="I100" i="113"/>
  <c r="F100" i="113"/>
  <c r="D100" i="113"/>
  <c r="A100" i="113"/>
  <c r="T99" i="113"/>
  <c r="S99" i="113"/>
  <c r="R99" i="113"/>
  <c r="Q99" i="113"/>
  <c r="P99" i="113"/>
  <c r="O99" i="113"/>
  <c r="N99" i="113"/>
  <c r="L99" i="113"/>
  <c r="K99" i="113"/>
  <c r="J99" i="113"/>
  <c r="I99" i="113"/>
  <c r="F99" i="113"/>
  <c r="D99" i="113"/>
  <c r="A99" i="113"/>
  <c r="T98" i="113"/>
  <c r="S98" i="113"/>
  <c r="R98" i="113"/>
  <c r="Q98" i="113"/>
  <c r="P98" i="113"/>
  <c r="O98" i="113"/>
  <c r="N98" i="113"/>
  <c r="L98" i="113"/>
  <c r="K98" i="113"/>
  <c r="J98" i="113"/>
  <c r="I98" i="113"/>
  <c r="F98" i="113"/>
  <c r="D98" i="113"/>
  <c r="A98" i="113"/>
  <c r="T97" i="113"/>
  <c r="S97" i="113"/>
  <c r="R97" i="113"/>
  <c r="Q97" i="113"/>
  <c r="P97" i="113"/>
  <c r="O97" i="113"/>
  <c r="N97" i="113"/>
  <c r="L97" i="113"/>
  <c r="K97" i="113"/>
  <c r="J97" i="113"/>
  <c r="I97" i="113"/>
  <c r="F97" i="113"/>
  <c r="D97" i="113"/>
  <c r="A97" i="113"/>
  <c r="T96" i="113"/>
  <c r="S96" i="113"/>
  <c r="R96" i="113"/>
  <c r="Q96" i="113"/>
  <c r="P96" i="113"/>
  <c r="O96" i="113"/>
  <c r="N96" i="113"/>
  <c r="L96" i="113"/>
  <c r="K96" i="113"/>
  <c r="J96" i="113"/>
  <c r="I96" i="113"/>
  <c r="F96" i="113"/>
  <c r="D96" i="113"/>
  <c r="A96" i="113"/>
  <c r="T95" i="113"/>
  <c r="S95" i="113"/>
  <c r="R95" i="113"/>
  <c r="Q95" i="113"/>
  <c r="P95" i="113"/>
  <c r="O95" i="113"/>
  <c r="N95" i="113"/>
  <c r="L95" i="113"/>
  <c r="K95" i="113"/>
  <c r="J95" i="113"/>
  <c r="I95" i="113"/>
  <c r="F95" i="113"/>
  <c r="D95" i="113"/>
  <c r="A95" i="113"/>
  <c r="T94" i="113"/>
  <c r="S94" i="113"/>
  <c r="R94" i="113"/>
  <c r="Q94" i="113"/>
  <c r="P94" i="113"/>
  <c r="O94" i="113"/>
  <c r="N94" i="113"/>
  <c r="L94" i="113"/>
  <c r="K94" i="113"/>
  <c r="J94" i="113"/>
  <c r="I94" i="113"/>
  <c r="F94" i="113"/>
  <c r="D94" i="113"/>
  <c r="A94" i="113"/>
  <c r="T93" i="113"/>
  <c r="S93" i="113"/>
  <c r="R93" i="113"/>
  <c r="Q93" i="113"/>
  <c r="P93" i="113"/>
  <c r="O93" i="113"/>
  <c r="N93" i="113"/>
  <c r="L93" i="113"/>
  <c r="K93" i="113"/>
  <c r="J93" i="113"/>
  <c r="I93" i="113"/>
  <c r="F93" i="113"/>
  <c r="D93" i="113"/>
  <c r="A93" i="113"/>
  <c r="T92" i="113"/>
  <c r="S92" i="113"/>
  <c r="R92" i="113"/>
  <c r="Q92" i="113"/>
  <c r="P92" i="113"/>
  <c r="O92" i="113"/>
  <c r="N92" i="113"/>
  <c r="L92" i="113"/>
  <c r="K92" i="113"/>
  <c r="J92" i="113"/>
  <c r="I92" i="113"/>
  <c r="F92" i="113"/>
  <c r="D92" i="113"/>
  <c r="A92" i="113"/>
  <c r="T91" i="113"/>
  <c r="S91" i="113"/>
  <c r="R91" i="113"/>
  <c r="Q91" i="113"/>
  <c r="P91" i="113"/>
  <c r="O91" i="113"/>
  <c r="N91" i="113"/>
  <c r="L91" i="113"/>
  <c r="K91" i="113"/>
  <c r="J91" i="113"/>
  <c r="I91" i="113"/>
  <c r="F91" i="113"/>
  <c r="D91" i="113"/>
  <c r="A91" i="113"/>
  <c r="T90" i="113"/>
  <c r="S90" i="113"/>
  <c r="R90" i="113"/>
  <c r="Q90" i="113"/>
  <c r="P90" i="113"/>
  <c r="O90" i="113"/>
  <c r="N90" i="113"/>
  <c r="L90" i="113"/>
  <c r="K90" i="113"/>
  <c r="J90" i="113"/>
  <c r="I90" i="113"/>
  <c r="F90" i="113"/>
  <c r="D90" i="113"/>
  <c r="A90" i="113"/>
  <c r="T89" i="113"/>
  <c r="S89" i="113"/>
  <c r="R89" i="113"/>
  <c r="Q89" i="113"/>
  <c r="P89" i="113"/>
  <c r="O89" i="113"/>
  <c r="N89" i="113"/>
  <c r="L89" i="113"/>
  <c r="K89" i="113"/>
  <c r="J89" i="113"/>
  <c r="I89" i="113"/>
  <c r="F89" i="113"/>
  <c r="D89" i="113"/>
  <c r="A89" i="113"/>
  <c r="T88" i="113"/>
  <c r="S88" i="113"/>
  <c r="R88" i="113"/>
  <c r="Q88" i="113"/>
  <c r="P88" i="113"/>
  <c r="O88" i="113"/>
  <c r="N88" i="113"/>
  <c r="L88" i="113"/>
  <c r="K88" i="113"/>
  <c r="J88" i="113"/>
  <c r="I88" i="113"/>
  <c r="F88" i="113"/>
  <c r="D88" i="113"/>
  <c r="A88" i="113"/>
  <c r="T87" i="113"/>
  <c r="S87" i="113"/>
  <c r="R87" i="113"/>
  <c r="Q87" i="113"/>
  <c r="P87" i="113"/>
  <c r="O87" i="113"/>
  <c r="N87" i="113"/>
  <c r="L87" i="113"/>
  <c r="K87" i="113"/>
  <c r="J87" i="113"/>
  <c r="I87" i="113"/>
  <c r="F87" i="113"/>
  <c r="D87" i="113"/>
  <c r="A87" i="113"/>
  <c r="T86" i="113"/>
  <c r="S86" i="113"/>
  <c r="R86" i="113"/>
  <c r="Q86" i="113"/>
  <c r="P86" i="113"/>
  <c r="O86" i="113"/>
  <c r="N86" i="113"/>
  <c r="L86" i="113"/>
  <c r="K86" i="113"/>
  <c r="J86" i="113"/>
  <c r="I86" i="113"/>
  <c r="F86" i="113"/>
  <c r="D86" i="113"/>
  <c r="A86" i="113"/>
  <c r="T85" i="113"/>
  <c r="S85" i="113"/>
  <c r="R85" i="113"/>
  <c r="Q85" i="113"/>
  <c r="P85" i="113"/>
  <c r="O85" i="113"/>
  <c r="N85" i="113"/>
  <c r="L85" i="113"/>
  <c r="K85" i="113"/>
  <c r="J85" i="113"/>
  <c r="I85" i="113"/>
  <c r="F85" i="113"/>
  <c r="D85" i="113"/>
  <c r="A85" i="113"/>
  <c r="T84" i="113"/>
  <c r="S84" i="113"/>
  <c r="R84" i="113"/>
  <c r="Q84" i="113"/>
  <c r="P84" i="113"/>
  <c r="O84" i="113"/>
  <c r="N84" i="113"/>
  <c r="L84" i="113"/>
  <c r="K84" i="113"/>
  <c r="J84" i="113"/>
  <c r="I84" i="113"/>
  <c r="F84" i="113"/>
  <c r="D84" i="113"/>
  <c r="A84" i="113"/>
  <c r="T83" i="113"/>
  <c r="S83" i="113"/>
  <c r="R83" i="113"/>
  <c r="Q83" i="113"/>
  <c r="P83" i="113"/>
  <c r="O83" i="113"/>
  <c r="N83" i="113"/>
  <c r="L83" i="113"/>
  <c r="K83" i="113"/>
  <c r="J83" i="113"/>
  <c r="I83" i="113"/>
  <c r="F83" i="113"/>
  <c r="D83" i="113"/>
  <c r="A83" i="113"/>
  <c r="T82" i="113"/>
  <c r="S82" i="113"/>
  <c r="R82" i="113"/>
  <c r="Q82" i="113"/>
  <c r="P82" i="113"/>
  <c r="O82" i="113"/>
  <c r="N82" i="113"/>
  <c r="L82" i="113"/>
  <c r="K82" i="113"/>
  <c r="J82" i="113"/>
  <c r="I82" i="113"/>
  <c r="F82" i="113"/>
  <c r="D82" i="113"/>
  <c r="A82" i="113"/>
  <c r="T81" i="113"/>
  <c r="S81" i="113"/>
  <c r="R81" i="113"/>
  <c r="Q81" i="113"/>
  <c r="P81" i="113"/>
  <c r="O81" i="113"/>
  <c r="N81" i="113"/>
  <c r="L81" i="113"/>
  <c r="K81" i="113"/>
  <c r="J81" i="113"/>
  <c r="I81" i="113"/>
  <c r="F81" i="113"/>
  <c r="D81" i="113"/>
  <c r="A81" i="113"/>
  <c r="T80" i="113"/>
  <c r="S80" i="113"/>
  <c r="R80" i="113"/>
  <c r="Q80" i="113"/>
  <c r="P80" i="113"/>
  <c r="O80" i="113"/>
  <c r="N80" i="113"/>
  <c r="L80" i="113"/>
  <c r="K80" i="113"/>
  <c r="J80" i="113"/>
  <c r="I80" i="113"/>
  <c r="F80" i="113"/>
  <c r="D80" i="113"/>
  <c r="A80" i="113"/>
  <c r="T79" i="113"/>
  <c r="S79" i="113"/>
  <c r="R79" i="113"/>
  <c r="Q79" i="113"/>
  <c r="P79" i="113"/>
  <c r="O79" i="113"/>
  <c r="N79" i="113"/>
  <c r="L79" i="113"/>
  <c r="K79" i="113"/>
  <c r="J79" i="113"/>
  <c r="I79" i="113"/>
  <c r="F79" i="113"/>
  <c r="D79" i="113"/>
  <c r="A79" i="113"/>
  <c r="T78" i="113"/>
  <c r="S78" i="113"/>
  <c r="R78" i="113"/>
  <c r="Q78" i="113"/>
  <c r="P78" i="113"/>
  <c r="O78" i="113"/>
  <c r="N78" i="113"/>
  <c r="L78" i="113"/>
  <c r="K78" i="113"/>
  <c r="J78" i="113"/>
  <c r="I78" i="113"/>
  <c r="F78" i="113"/>
  <c r="D78" i="113"/>
  <c r="A78" i="113"/>
  <c r="T77" i="113"/>
  <c r="S77" i="113"/>
  <c r="R77" i="113"/>
  <c r="Q77" i="113"/>
  <c r="P77" i="113"/>
  <c r="O77" i="113"/>
  <c r="N77" i="113"/>
  <c r="L77" i="113"/>
  <c r="K77" i="113"/>
  <c r="J77" i="113"/>
  <c r="I77" i="113"/>
  <c r="F77" i="113"/>
  <c r="D77" i="113"/>
  <c r="A77" i="113"/>
  <c r="T76" i="113"/>
  <c r="S76" i="113"/>
  <c r="R76" i="113"/>
  <c r="Q76" i="113"/>
  <c r="P76" i="113"/>
  <c r="O76" i="113"/>
  <c r="N76" i="113"/>
  <c r="L76" i="113"/>
  <c r="K76" i="113"/>
  <c r="J76" i="113"/>
  <c r="I76" i="113"/>
  <c r="F76" i="113"/>
  <c r="D76" i="113"/>
  <c r="A76" i="113"/>
  <c r="T75" i="113"/>
  <c r="S75" i="113"/>
  <c r="R75" i="113"/>
  <c r="Q75" i="113"/>
  <c r="P75" i="113"/>
  <c r="O75" i="113"/>
  <c r="N75" i="113"/>
  <c r="L75" i="113"/>
  <c r="K75" i="113"/>
  <c r="J75" i="113"/>
  <c r="I75" i="113"/>
  <c r="F75" i="113"/>
  <c r="D75" i="113"/>
  <c r="A75" i="113"/>
  <c r="T74" i="113"/>
  <c r="S74" i="113"/>
  <c r="R74" i="113"/>
  <c r="Q74" i="113"/>
  <c r="P74" i="113"/>
  <c r="O74" i="113"/>
  <c r="N74" i="113"/>
  <c r="L74" i="113"/>
  <c r="K74" i="113"/>
  <c r="J74" i="113"/>
  <c r="I74" i="113"/>
  <c r="F74" i="113"/>
  <c r="D74" i="113"/>
  <c r="A74" i="113"/>
  <c r="T73" i="113"/>
  <c r="S73" i="113"/>
  <c r="R73" i="113"/>
  <c r="Q73" i="113"/>
  <c r="P73" i="113"/>
  <c r="O73" i="113"/>
  <c r="N73" i="113"/>
  <c r="L73" i="113"/>
  <c r="K73" i="113"/>
  <c r="J73" i="113"/>
  <c r="I73" i="113"/>
  <c r="F73" i="113"/>
  <c r="D73" i="113"/>
  <c r="A73" i="113"/>
  <c r="T72" i="113"/>
  <c r="S72" i="113"/>
  <c r="R72" i="113"/>
  <c r="Q72" i="113"/>
  <c r="P72" i="113"/>
  <c r="O72" i="113"/>
  <c r="N72" i="113"/>
  <c r="L72" i="113"/>
  <c r="K72" i="113"/>
  <c r="J72" i="113"/>
  <c r="I72" i="113"/>
  <c r="F72" i="113"/>
  <c r="D72" i="113"/>
  <c r="A72" i="113"/>
  <c r="T71" i="113"/>
  <c r="S71" i="113"/>
  <c r="R71" i="113"/>
  <c r="Q71" i="113"/>
  <c r="P71" i="113"/>
  <c r="O71" i="113"/>
  <c r="N71" i="113"/>
  <c r="L71" i="113"/>
  <c r="K71" i="113"/>
  <c r="J71" i="113"/>
  <c r="I71" i="113"/>
  <c r="F71" i="113"/>
  <c r="D71" i="113"/>
  <c r="A71" i="113"/>
  <c r="T70" i="113"/>
  <c r="S70" i="113"/>
  <c r="R70" i="113"/>
  <c r="Q70" i="113"/>
  <c r="P70" i="113"/>
  <c r="O70" i="113"/>
  <c r="N70" i="113"/>
  <c r="L70" i="113"/>
  <c r="K70" i="113"/>
  <c r="J70" i="113"/>
  <c r="I70" i="113"/>
  <c r="F70" i="113"/>
  <c r="D70" i="113"/>
  <c r="A70" i="113"/>
  <c r="T69" i="113"/>
  <c r="S69" i="113"/>
  <c r="R69" i="113"/>
  <c r="Q69" i="113"/>
  <c r="P69" i="113"/>
  <c r="O69" i="113"/>
  <c r="N69" i="113"/>
  <c r="L69" i="113"/>
  <c r="K69" i="113"/>
  <c r="J69" i="113"/>
  <c r="I69" i="113"/>
  <c r="F69" i="113"/>
  <c r="D69" i="113"/>
  <c r="A69" i="113"/>
  <c r="T68" i="113"/>
  <c r="S68" i="113"/>
  <c r="R68" i="113"/>
  <c r="Q68" i="113"/>
  <c r="P68" i="113"/>
  <c r="O68" i="113"/>
  <c r="N68" i="113"/>
  <c r="L68" i="113"/>
  <c r="K68" i="113"/>
  <c r="J68" i="113"/>
  <c r="I68" i="113"/>
  <c r="F68" i="113"/>
  <c r="D68" i="113"/>
  <c r="A68" i="113"/>
  <c r="T67" i="113"/>
  <c r="S67" i="113"/>
  <c r="R67" i="113"/>
  <c r="Q67" i="113"/>
  <c r="P67" i="113"/>
  <c r="O67" i="113"/>
  <c r="N67" i="113"/>
  <c r="L67" i="113"/>
  <c r="K67" i="113"/>
  <c r="J67" i="113"/>
  <c r="I67" i="113"/>
  <c r="F67" i="113"/>
  <c r="D67" i="113"/>
  <c r="A67" i="113"/>
  <c r="T66" i="113"/>
  <c r="S66" i="113"/>
  <c r="R66" i="113"/>
  <c r="Q66" i="113"/>
  <c r="P66" i="113"/>
  <c r="O66" i="113"/>
  <c r="N66" i="113"/>
  <c r="L66" i="113"/>
  <c r="K66" i="113"/>
  <c r="J66" i="113"/>
  <c r="I66" i="113"/>
  <c r="F66" i="113"/>
  <c r="D66" i="113"/>
  <c r="A66" i="113"/>
  <c r="T65" i="113"/>
  <c r="S65" i="113"/>
  <c r="R65" i="113"/>
  <c r="Q65" i="113"/>
  <c r="P65" i="113"/>
  <c r="O65" i="113"/>
  <c r="N65" i="113"/>
  <c r="L65" i="113"/>
  <c r="K65" i="113"/>
  <c r="J65" i="113"/>
  <c r="I65" i="113"/>
  <c r="F65" i="113"/>
  <c r="D65" i="113"/>
  <c r="A65" i="113"/>
  <c r="T64" i="113"/>
  <c r="S64" i="113"/>
  <c r="R64" i="113"/>
  <c r="Q64" i="113"/>
  <c r="P64" i="113"/>
  <c r="O64" i="113"/>
  <c r="N64" i="113"/>
  <c r="L64" i="113"/>
  <c r="K64" i="113"/>
  <c r="J64" i="113"/>
  <c r="I64" i="113"/>
  <c r="F64" i="113"/>
  <c r="D64" i="113"/>
  <c r="A64" i="113"/>
  <c r="T63" i="113"/>
  <c r="S63" i="113"/>
  <c r="R63" i="113"/>
  <c r="Q63" i="113"/>
  <c r="P63" i="113"/>
  <c r="O63" i="113"/>
  <c r="N63" i="113"/>
  <c r="L63" i="113"/>
  <c r="K63" i="113"/>
  <c r="J63" i="113"/>
  <c r="I63" i="113"/>
  <c r="F63" i="113"/>
  <c r="D63" i="113"/>
  <c r="A63" i="113"/>
  <c r="T62" i="113"/>
  <c r="S62" i="113"/>
  <c r="R62" i="113"/>
  <c r="Q62" i="113"/>
  <c r="P62" i="113"/>
  <c r="O62" i="113"/>
  <c r="N62" i="113"/>
  <c r="L62" i="113"/>
  <c r="K62" i="113"/>
  <c r="J62" i="113"/>
  <c r="I62" i="113"/>
  <c r="F62" i="113"/>
  <c r="D62" i="113"/>
  <c r="A62" i="113"/>
  <c r="T61" i="113"/>
  <c r="S61" i="113"/>
  <c r="R61" i="113"/>
  <c r="Q61" i="113"/>
  <c r="P61" i="113"/>
  <c r="O61" i="113"/>
  <c r="N61" i="113"/>
  <c r="L61" i="113"/>
  <c r="K61" i="113"/>
  <c r="J61" i="113"/>
  <c r="I61" i="113"/>
  <c r="F61" i="113"/>
  <c r="D61" i="113"/>
  <c r="A61" i="113"/>
  <c r="T60" i="113"/>
  <c r="S60" i="113"/>
  <c r="R60" i="113"/>
  <c r="Q60" i="113"/>
  <c r="P60" i="113"/>
  <c r="O60" i="113"/>
  <c r="N60" i="113"/>
  <c r="L60" i="113"/>
  <c r="K60" i="113"/>
  <c r="J60" i="113"/>
  <c r="I60" i="113"/>
  <c r="F60" i="113"/>
  <c r="D60" i="113"/>
  <c r="A60" i="113"/>
  <c r="T59" i="113"/>
  <c r="S59" i="113"/>
  <c r="R59" i="113"/>
  <c r="Q59" i="113"/>
  <c r="P59" i="113"/>
  <c r="O59" i="113"/>
  <c r="N59" i="113"/>
  <c r="L59" i="113"/>
  <c r="K59" i="113"/>
  <c r="J59" i="113"/>
  <c r="I59" i="113"/>
  <c r="F59" i="113"/>
  <c r="D59" i="113"/>
  <c r="A59" i="113"/>
  <c r="T58" i="113"/>
  <c r="S58" i="113"/>
  <c r="R58" i="113"/>
  <c r="Q58" i="113"/>
  <c r="P58" i="113"/>
  <c r="O58" i="113"/>
  <c r="N58" i="113"/>
  <c r="L58" i="113"/>
  <c r="K58" i="113"/>
  <c r="J58" i="113"/>
  <c r="I58" i="113"/>
  <c r="F58" i="113"/>
  <c r="D58" i="113"/>
  <c r="A58" i="113"/>
  <c r="T57" i="113"/>
  <c r="S57" i="113"/>
  <c r="R57" i="113"/>
  <c r="Q57" i="113"/>
  <c r="P57" i="113"/>
  <c r="O57" i="113"/>
  <c r="N57" i="113"/>
  <c r="L57" i="113"/>
  <c r="K57" i="113"/>
  <c r="J57" i="113"/>
  <c r="I57" i="113"/>
  <c r="F57" i="113"/>
  <c r="D57" i="113"/>
  <c r="A57" i="113"/>
  <c r="T56" i="113"/>
  <c r="S56" i="113"/>
  <c r="R56" i="113"/>
  <c r="Q56" i="113"/>
  <c r="P56" i="113"/>
  <c r="O56" i="113"/>
  <c r="N56" i="113"/>
  <c r="L56" i="113"/>
  <c r="K56" i="113"/>
  <c r="J56" i="113"/>
  <c r="I56" i="113"/>
  <c r="F56" i="113"/>
  <c r="D56" i="113"/>
  <c r="A56" i="113"/>
  <c r="T55" i="113"/>
  <c r="S55" i="113"/>
  <c r="R55" i="113"/>
  <c r="Q55" i="113"/>
  <c r="P55" i="113"/>
  <c r="O55" i="113"/>
  <c r="N55" i="113"/>
  <c r="L55" i="113"/>
  <c r="K55" i="113"/>
  <c r="J55" i="113"/>
  <c r="I55" i="113"/>
  <c r="F55" i="113"/>
  <c r="D55" i="113"/>
  <c r="A55" i="113"/>
  <c r="T54" i="113"/>
  <c r="S54" i="113"/>
  <c r="R54" i="113"/>
  <c r="Q54" i="113"/>
  <c r="P54" i="113"/>
  <c r="O54" i="113"/>
  <c r="N54" i="113"/>
  <c r="L54" i="113"/>
  <c r="K54" i="113"/>
  <c r="J54" i="113"/>
  <c r="I54" i="113"/>
  <c r="F54" i="113"/>
  <c r="D54" i="113"/>
  <c r="A54" i="113"/>
  <c r="T53" i="113"/>
  <c r="S53" i="113"/>
  <c r="R53" i="113"/>
  <c r="Q53" i="113"/>
  <c r="P53" i="113"/>
  <c r="O53" i="113"/>
  <c r="N53" i="113"/>
  <c r="L53" i="113"/>
  <c r="K53" i="113"/>
  <c r="J53" i="113"/>
  <c r="I53" i="113"/>
  <c r="F53" i="113"/>
  <c r="D53" i="113"/>
  <c r="A53" i="113"/>
  <c r="T52" i="113"/>
  <c r="S52" i="113"/>
  <c r="R52" i="113"/>
  <c r="Q52" i="113"/>
  <c r="P52" i="113"/>
  <c r="O52" i="113"/>
  <c r="N52" i="113"/>
  <c r="L52" i="113"/>
  <c r="K52" i="113"/>
  <c r="J52" i="113"/>
  <c r="I52" i="113"/>
  <c r="F52" i="113"/>
  <c r="D52" i="113"/>
  <c r="A52" i="113"/>
  <c r="T51" i="113"/>
  <c r="S51" i="113"/>
  <c r="R51" i="113"/>
  <c r="Q51" i="113"/>
  <c r="P51" i="113"/>
  <c r="O51" i="113"/>
  <c r="N51" i="113"/>
  <c r="L51" i="113"/>
  <c r="K51" i="113"/>
  <c r="J51" i="113"/>
  <c r="I51" i="113"/>
  <c r="F51" i="113"/>
  <c r="D51" i="113"/>
  <c r="A51" i="113"/>
  <c r="T50" i="113"/>
  <c r="S50" i="113"/>
  <c r="R50" i="113"/>
  <c r="Q50" i="113"/>
  <c r="P50" i="113"/>
  <c r="O50" i="113"/>
  <c r="N50" i="113"/>
  <c r="L50" i="113"/>
  <c r="K50" i="113"/>
  <c r="J50" i="113"/>
  <c r="I50" i="113"/>
  <c r="F50" i="113"/>
  <c r="D50" i="113"/>
  <c r="A50" i="113"/>
  <c r="T49" i="113"/>
  <c r="S49" i="113"/>
  <c r="R49" i="113"/>
  <c r="Q49" i="113"/>
  <c r="P49" i="113"/>
  <c r="O49" i="113"/>
  <c r="N49" i="113"/>
  <c r="L49" i="113"/>
  <c r="K49" i="113"/>
  <c r="J49" i="113"/>
  <c r="I49" i="113"/>
  <c r="F49" i="113"/>
  <c r="D49" i="113"/>
  <c r="A49" i="113"/>
  <c r="T48" i="113"/>
  <c r="S48" i="113"/>
  <c r="R48" i="113"/>
  <c r="Q48" i="113"/>
  <c r="P48" i="113"/>
  <c r="O48" i="113"/>
  <c r="N48" i="113"/>
  <c r="L48" i="113"/>
  <c r="K48" i="113"/>
  <c r="J48" i="113"/>
  <c r="I48" i="113"/>
  <c r="F48" i="113"/>
  <c r="D48" i="113"/>
  <c r="A48" i="113"/>
  <c r="T47" i="113"/>
  <c r="S47" i="113"/>
  <c r="R47" i="113"/>
  <c r="Q47" i="113"/>
  <c r="P47" i="113"/>
  <c r="O47" i="113"/>
  <c r="N47" i="113"/>
  <c r="L47" i="113"/>
  <c r="K47" i="113"/>
  <c r="J47" i="113"/>
  <c r="I47" i="113"/>
  <c r="F47" i="113"/>
  <c r="D47" i="113"/>
  <c r="A47" i="113"/>
  <c r="T46" i="113"/>
  <c r="S46" i="113"/>
  <c r="R46" i="113"/>
  <c r="Q46" i="113"/>
  <c r="P46" i="113"/>
  <c r="O46" i="113"/>
  <c r="N46" i="113"/>
  <c r="L46" i="113"/>
  <c r="K46" i="113"/>
  <c r="J46" i="113"/>
  <c r="I46" i="113"/>
  <c r="F46" i="113"/>
  <c r="D46" i="113"/>
  <c r="A46" i="113"/>
  <c r="T45" i="113"/>
  <c r="S45" i="113"/>
  <c r="R45" i="113"/>
  <c r="Q45" i="113"/>
  <c r="P45" i="113"/>
  <c r="O45" i="113"/>
  <c r="N45" i="113"/>
  <c r="L45" i="113"/>
  <c r="K45" i="113"/>
  <c r="J45" i="113"/>
  <c r="I45" i="113"/>
  <c r="F45" i="113"/>
  <c r="D45" i="113"/>
  <c r="A45" i="113"/>
  <c r="T44" i="113"/>
  <c r="S44" i="113"/>
  <c r="R44" i="113"/>
  <c r="Q44" i="113"/>
  <c r="P44" i="113"/>
  <c r="O44" i="113"/>
  <c r="N44" i="113"/>
  <c r="L44" i="113"/>
  <c r="K44" i="113"/>
  <c r="J44" i="113"/>
  <c r="I44" i="113"/>
  <c r="F44" i="113"/>
  <c r="D44" i="113"/>
  <c r="A44" i="113"/>
  <c r="T43" i="113"/>
  <c r="S43" i="113"/>
  <c r="R43" i="113"/>
  <c r="Q43" i="113"/>
  <c r="P43" i="113"/>
  <c r="O43" i="113"/>
  <c r="N43" i="113"/>
  <c r="L43" i="113"/>
  <c r="K43" i="113"/>
  <c r="J43" i="113"/>
  <c r="I43" i="113"/>
  <c r="F43" i="113"/>
  <c r="D43" i="113"/>
  <c r="A43" i="113"/>
  <c r="T42" i="113"/>
  <c r="S42" i="113"/>
  <c r="R42" i="113"/>
  <c r="Q42" i="113"/>
  <c r="P42" i="113"/>
  <c r="O42" i="113"/>
  <c r="N42" i="113"/>
  <c r="L42" i="113"/>
  <c r="K42" i="113"/>
  <c r="J42" i="113"/>
  <c r="I42" i="113"/>
  <c r="F42" i="113"/>
  <c r="D42" i="113"/>
  <c r="A42" i="113"/>
  <c r="T41" i="113"/>
  <c r="S41" i="113"/>
  <c r="R41" i="113"/>
  <c r="Q41" i="113"/>
  <c r="P41" i="113"/>
  <c r="O41" i="113"/>
  <c r="N41" i="113"/>
  <c r="L41" i="113"/>
  <c r="K41" i="113"/>
  <c r="J41" i="113"/>
  <c r="I41" i="113"/>
  <c r="F41" i="113"/>
  <c r="D41" i="113"/>
  <c r="A41" i="113"/>
  <c r="T40" i="113"/>
  <c r="S40" i="113"/>
  <c r="R40" i="113"/>
  <c r="Q40" i="113"/>
  <c r="P40" i="113"/>
  <c r="O40" i="113"/>
  <c r="N40" i="113"/>
  <c r="L40" i="113"/>
  <c r="K40" i="113"/>
  <c r="J40" i="113"/>
  <c r="I40" i="113"/>
  <c r="F40" i="113"/>
  <c r="D40" i="113"/>
  <c r="A40" i="113"/>
  <c r="T39" i="113"/>
  <c r="S39" i="113"/>
  <c r="R39" i="113"/>
  <c r="Q39" i="113"/>
  <c r="P39" i="113"/>
  <c r="O39" i="113"/>
  <c r="N39" i="113"/>
  <c r="L39" i="113"/>
  <c r="K39" i="113"/>
  <c r="J39" i="113"/>
  <c r="I39" i="113"/>
  <c r="F39" i="113"/>
  <c r="D39" i="113"/>
  <c r="A39" i="113"/>
  <c r="T38" i="113"/>
  <c r="S38" i="113"/>
  <c r="R38" i="113"/>
  <c r="Q38" i="113"/>
  <c r="P38" i="113"/>
  <c r="O38" i="113"/>
  <c r="N38" i="113"/>
  <c r="L38" i="113"/>
  <c r="K38" i="113"/>
  <c r="J38" i="113"/>
  <c r="I38" i="113"/>
  <c r="F38" i="113"/>
  <c r="D38" i="113"/>
  <c r="A38" i="113"/>
  <c r="T37" i="113"/>
  <c r="S37" i="113"/>
  <c r="R37" i="113"/>
  <c r="Q37" i="113"/>
  <c r="P37" i="113"/>
  <c r="O37" i="113"/>
  <c r="N37" i="113"/>
  <c r="L37" i="113"/>
  <c r="K37" i="113"/>
  <c r="J37" i="113"/>
  <c r="I37" i="113"/>
  <c r="F37" i="113"/>
  <c r="D37" i="113"/>
  <c r="A37" i="113"/>
  <c r="T36" i="113"/>
  <c r="S36" i="113"/>
  <c r="R36" i="113"/>
  <c r="Q36" i="113"/>
  <c r="P36" i="113"/>
  <c r="O36" i="113"/>
  <c r="N36" i="113"/>
  <c r="L36" i="113"/>
  <c r="K36" i="113"/>
  <c r="J36" i="113"/>
  <c r="I36" i="113"/>
  <c r="F36" i="113"/>
  <c r="D36" i="113"/>
  <c r="A36" i="113"/>
  <c r="T35" i="113"/>
  <c r="S35" i="113"/>
  <c r="R35" i="113"/>
  <c r="Q35" i="113"/>
  <c r="P35" i="113"/>
  <c r="O35" i="113"/>
  <c r="N35" i="113"/>
  <c r="L35" i="113"/>
  <c r="K35" i="113"/>
  <c r="J35" i="113"/>
  <c r="I35" i="113"/>
  <c r="F35" i="113"/>
  <c r="D35" i="113"/>
  <c r="A35" i="113"/>
  <c r="T34" i="113"/>
  <c r="S34" i="113"/>
  <c r="R34" i="113"/>
  <c r="Q34" i="113"/>
  <c r="P34" i="113"/>
  <c r="O34" i="113"/>
  <c r="N34" i="113"/>
  <c r="L34" i="113"/>
  <c r="K34" i="113"/>
  <c r="J34" i="113"/>
  <c r="I34" i="113"/>
  <c r="F34" i="113"/>
  <c r="D34" i="113"/>
  <c r="A34" i="113"/>
  <c r="T33" i="113"/>
  <c r="S33" i="113"/>
  <c r="R33" i="113"/>
  <c r="Q33" i="113"/>
  <c r="P33" i="113"/>
  <c r="O33" i="113"/>
  <c r="N33" i="113"/>
  <c r="L33" i="113"/>
  <c r="K33" i="113"/>
  <c r="J33" i="113"/>
  <c r="I33" i="113"/>
  <c r="F33" i="113"/>
  <c r="D33" i="113"/>
  <c r="A33" i="113"/>
  <c r="T32" i="113"/>
  <c r="S32" i="113"/>
  <c r="R32" i="113"/>
  <c r="Q32" i="113"/>
  <c r="P32" i="113"/>
  <c r="O32" i="113"/>
  <c r="N32" i="113"/>
  <c r="L32" i="113"/>
  <c r="K32" i="113"/>
  <c r="J32" i="113"/>
  <c r="I32" i="113"/>
  <c r="F32" i="113"/>
  <c r="D32" i="113"/>
  <c r="A32" i="113"/>
  <c r="T31" i="113"/>
  <c r="S31" i="113"/>
  <c r="R31" i="113"/>
  <c r="Q31" i="113"/>
  <c r="P31" i="113"/>
  <c r="O31" i="113"/>
  <c r="N31" i="113"/>
  <c r="L31" i="113"/>
  <c r="K31" i="113"/>
  <c r="J31" i="113"/>
  <c r="I31" i="113"/>
  <c r="F31" i="113"/>
  <c r="D31" i="113"/>
  <c r="A31" i="113"/>
  <c r="T30" i="113"/>
  <c r="S30" i="113"/>
  <c r="R30" i="113"/>
  <c r="Q30" i="113"/>
  <c r="P30" i="113"/>
  <c r="O30" i="113"/>
  <c r="N30" i="113"/>
  <c r="L30" i="113"/>
  <c r="K30" i="113"/>
  <c r="J30" i="113"/>
  <c r="I30" i="113"/>
  <c r="F30" i="113"/>
  <c r="D30" i="113"/>
  <c r="A30" i="113"/>
  <c r="T29" i="113"/>
  <c r="S29" i="113"/>
  <c r="R29" i="113"/>
  <c r="Q29" i="113"/>
  <c r="P29" i="113"/>
  <c r="O29" i="113"/>
  <c r="N29" i="113"/>
  <c r="L29" i="113"/>
  <c r="K29" i="113"/>
  <c r="J29" i="113"/>
  <c r="I29" i="113"/>
  <c r="F29" i="113"/>
  <c r="D29" i="113"/>
  <c r="A29" i="113"/>
  <c r="T28" i="113"/>
  <c r="S28" i="113"/>
  <c r="R28" i="113"/>
  <c r="Q28" i="113"/>
  <c r="P28" i="113"/>
  <c r="O28" i="113"/>
  <c r="N28" i="113"/>
  <c r="L28" i="113"/>
  <c r="K28" i="113"/>
  <c r="J28" i="113"/>
  <c r="I28" i="113"/>
  <c r="F28" i="113"/>
  <c r="D28" i="113"/>
  <c r="A28" i="113"/>
  <c r="T27" i="113"/>
  <c r="S27" i="113"/>
  <c r="R27" i="113"/>
  <c r="Q27" i="113"/>
  <c r="P27" i="113"/>
  <c r="O27" i="113"/>
  <c r="N27" i="113"/>
  <c r="L27" i="113"/>
  <c r="K27" i="113"/>
  <c r="J27" i="113"/>
  <c r="I27" i="113"/>
  <c r="F27" i="113"/>
  <c r="D27" i="113"/>
  <c r="A27" i="113"/>
  <c r="T26" i="113"/>
  <c r="S26" i="113"/>
  <c r="R26" i="113"/>
  <c r="Q26" i="113"/>
  <c r="P26" i="113"/>
  <c r="O26" i="113"/>
  <c r="N26" i="113"/>
  <c r="L26" i="113"/>
  <c r="K26" i="113"/>
  <c r="J26" i="113"/>
  <c r="I26" i="113"/>
  <c r="F26" i="113"/>
  <c r="D26" i="113"/>
  <c r="A26" i="113"/>
  <c r="T25" i="113"/>
  <c r="S25" i="113"/>
  <c r="R25" i="113"/>
  <c r="Q25" i="113"/>
  <c r="P25" i="113"/>
  <c r="O25" i="113"/>
  <c r="N25" i="113"/>
  <c r="L25" i="113"/>
  <c r="K25" i="113"/>
  <c r="J25" i="113"/>
  <c r="I25" i="113"/>
  <c r="F25" i="113"/>
  <c r="D25" i="113"/>
  <c r="A25" i="113"/>
  <c r="T24" i="113"/>
  <c r="S24" i="113"/>
  <c r="R24" i="113"/>
  <c r="Q24" i="113"/>
  <c r="P24" i="113"/>
  <c r="O24" i="113"/>
  <c r="N24" i="113"/>
  <c r="L24" i="113"/>
  <c r="K24" i="113"/>
  <c r="J24" i="113"/>
  <c r="I24" i="113"/>
  <c r="F24" i="113"/>
  <c r="D24" i="113"/>
  <c r="A24" i="113"/>
  <c r="T23" i="113"/>
  <c r="S23" i="113"/>
  <c r="R23" i="113"/>
  <c r="Q23" i="113"/>
  <c r="P23" i="113"/>
  <c r="O23" i="113"/>
  <c r="N23" i="113"/>
  <c r="L23" i="113"/>
  <c r="K23" i="113"/>
  <c r="J23" i="113"/>
  <c r="I23" i="113"/>
  <c r="F23" i="113"/>
  <c r="D23" i="113"/>
  <c r="A23" i="113"/>
  <c r="T22" i="113"/>
  <c r="S22" i="113"/>
  <c r="R22" i="113"/>
  <c r="Q22" i="113"/>
  <c r="P22" i="113"/>
  <c r="O22" i="113"/>
  <c r="N22" i="113"/>
  <c r="L22" i="113"/>
  <c r="K22" i="113"/>
  <c r="J22" i="113"/>
  <c r="I22" i="113"/>
  <c r="F22" i="113"/>
  <c r="D22" i="113"/>
  <c r="A22" i="113"/>
  <c r="T21" i="113"/>
  <c r="S21" i="113"/>
  <c r="R21" i="113"/>
  <c r="Q21" i="113"/>
  <c r="P21" i="113"/>
  <c r="O21" i="113"/>
  <c r="N21" i="113"/>
  <c r="L21" i="113"/>
  <c r="K21" i="113"/>
  <c r="J21" i="113"/>
  <c r="I21" i="113"/>
  <c r="F21" i="113"/>
  <c r="D21" i="113"/>
  <c r="A21" i="113"/>
  <c r="T20" i="113"/>
  <c r="S20" i="113"/>
  <c r="R20" i="113"/>
  <c r="Q20" i="113"/>
  <c r="P20" i="113"/>
  <c r="O20" i="113"/>
  <c r="N20" i="113"/>
  <c r="L20" i="113"/>
  <c r="K20" i="113"/>
  <c r="J20" i="113"/>
  <c r="I20" i="113"/>
  <c r="F20" i="113"/>
  <c r="D20" i="113"/>
  <c r="A20" i="113"/>
  <c r="T19" i="113"/>
  <c r="S19" i="113"/>
  <c r="R19" i="113"/>
  <c r="Q19" i="113"/>
  <c r="P19" i="113"/>
  <c r="O19" i="113"/>
  <c r="N19" i="113"/>
  <c r="L19" i="113"/>
  <c r="K19" i="113"/>
  <c r="J19" i="113"/>
  <c r="I19" i="113"/>
  <c r="F19" i="113"/>
  <c r="D19" i="113"/>
  <c r="A19" i="113"/>
  <c r="T18" i="113"/>
  <c r="S18" i="113"/>
  <c r="R18" i="113"/>
  <c r="Q18" i="113"/>
  <c r="P18" i="113"/>
  <c r="O18" i="113"/>
  <c r="N18" i="113"/>
  <c r="L18" i="113"/>
  <c r="K18" i="113"/>
  <c r="J18" i="113"/>
  <c r="I18" i="113"/>
  <c r="F18" i="113"/>
  <c r="D18" i="113"/>
  <c r="A18" i="113"/>
  <c r="T17" i="113"/>
  <c r="S17" i="113"/>
  <c r="R17" i="113"/>
  <c r="Q17" i="113"/>
  <c r="P17" i="113"/>
  <c r="O17" i="113"/>
  <c r="N17" i="113"/>
  <c r="L17" i="113"/>
  <c r="K17" i="113"/>
  <c r="J17" i="113"/>
  <c r="I17" i="113"/>
  <c r="F17" i="113"/>
  <c r="D17" i="113"/>
  <c r="A17" i="113"/>
  <c r="T16" i="113"/>
  <c r="S16" i="113"/>
  <c r="R16" i="113"/>
  <c r="Q16" i="113"/>
  <c r="P16" i="113"/>
  <c r="O16" i="113"/>
  <c r="N16" i="113"/>
  <c r="L16" i="113"/>
  <c r="K16" i="113"/>
  <c r="J16" i="113"/>
  <c r="I16" i="113"/>
  <c r="F16" i="113"/>
  <c r="D16" i="113"/>
  <c r="A16" i="113"/>
  <c r="T15" i="113"/>
  <c r="S15" i="113"/>
  <c r="R15" i="113"/>
  <c r="Q15" i="113"/>
  <c r="P15" i="113"/>
  <c r="O15" i="113"/>
  <c r="N15" i="113"/>
  <c r="L15" i="113"/>
  <c r="K15" i="113"/>
  <c r="J15" i="113"/>
  <c r="I15" i="113"/>
  <c r="F15" i="113"/>
  <c r="D15" i="113"/>
  <c r="A15" i="113"/>
  <c r="T14" i="113"/>
  <c r="S14" i="113"/>
  <c r="R14" i="113"/>
  <c r="Q14" i="113"/>
  <c r="P14" i="113"/>
  <c r="O14" i="113"/>
  <c r="N14" i="113"/>
  <c r="L14" i="113"/>
  <c r="K14" i="113"/>
  <c r="J14" i="113"/>
  <c r="I14" i="113"/>
  <c r="F14" i="113"/>
  <c r="D14" i="113"/>
  <c r="A14" i="113"/>
  <c r="T13" i="113"/>
  <c r="S13" i="113"/>
  <c r="R13" i="113"/>
  <c r="Q13" i="113"/>
  <c r="P13" i="113"/>
  <c r="O13" i="113"/>
  <c r="N13" i="113"/>
  <c r="L13" i="113"/>
  <c r="K13" i="113"/>
  <c r="J13" i="113"/>
  <c r="I13" i="113"/>
  <c r="F13" i="113"/>
  <c r="D13" i="113"/>
  <c r="A13" i="113"/>
  <c r="T12" i="113"/>
  <c r="S12" i="113"/>
  <c r="R12" i="113"/>
  <c r="Q12" i="113"/>
  <c r="P12" i="113"/>
  <c r="O12" i="113"/>
  <c r="N12" i="113"/>
  <c r="L12" i="113"/>
  <c r="K12" i="113"/>
  <c r="J12" i="113"/>
  <c r="I12" i="113"/>
  <c r="F12" i="113"/>
  <c r="D12" i="113"/>
  <c r="A12" i="113"/>
  <c r="T11" i="113"/>
  <c r="S11" i="113"/>
  <c r="R11" i="113"/>
  <c r="Q11" i="113"/>
  <c r="P11" i="113"/>
  <c r="O11" i="113"/>
  <c r="N11" i="113"/>
  <c r="L11" i="113"/>
  <c r="K11" i="113"/>
  <c r="J11" i="113"/>
  <c r="I11" i="113"/>
  <c r="F11" i="113"/>
  <c r="D11" i="113"/>
  <c r="A11" i="113"/>
  <c r="T10" i="113"/>
  <c r="S10" i="113"/>
  <c r="R10" i="113"/>
  <c r="Q10" i="113"/>
  <c r="P10" i="113"/>
  <c r="O10" i="113"/>
  <c r="N10" i="113"/>
  <c r="L10" i="113"/>
  <c r="K10" i="113"/>
  <c r="J10" i="113"/>
  <c r="I10" i="113"/>
  <c r="F10" i="113"/>
  <c r="D10" i="113"/>
  <c r="A10" i="113"/>
  <c r="T9" i="113"/>
  <c r="S9" i="113"/>
  <c r="R9" i="113"/>
  <c r="Q9" i="113"/>
  <c r="P9" i="113"/>
  <c r="O9" i="113"/>
  <c r="N9" i="113"/>
  <c r="L9" i="113"/>
  <c r="K9" i="113"/>
  <c r="J9" i="113"/>
  <c r="I9" i="113"/>
  <c r="F9" i="113"/>
  <c r="D9" i="113"/>
  <c r="A9" i="113"/>
  <c r="T8" i="113"/>
  <c r="S8" i="113"/>
  <c r="R8" i="113"/>
  <c r="Q8" i="113"/>
  <c r="P8" i="113"/>
  <c r="O8" i="113"/>
  <c r="N8" i="113"/>
  <c r="L8" i="113"/>
  <c r="K8" i="113"/>
  <c r="J8" i="113"/>
  <c r="I8" i="113"/>
  <c r="F8" i="113"/>
  <c r="D8" i="113"/>
  <c r="A8" i="113"/>
  <c r="T7" i="113"/>
  <c r="S7" i="113"/>
  <c r="R7" i="113"/>
  <c r="Q7" i="113"/>
  <c r="P7" i="113"/>
  <c r="O7" i="113"/>
  <c r="N7" i="113"/>
  <c r="L7" i="113"/>
  <c r="K7" i="113"/>
  <c r="J7" i="113"/>
  <c r="I7" i="113"/>
  <c r="F7" i="113"/>
  <c r="D7" i="113"/>
  <c r="A7" i="113"/>
  <c r="T6" i="113"/>
  <c r="S6" i="113"/>
  <c r="R6" i="113"/>
  <c r="Q6" i="113"/>
  <c r="P6" i="113"/>
  <c r="O6" i="113"/>
  <c r="N6" i="113"/>
  <c r="L6" i="113"/>
  <c r="K6" i="113"/>
  <c r="J6" i="113"/>
  <c r="I6" i="113"/>
  <c r="F6" i="113"/>
  <c r="D6" i="113"/>
  <c r="A6" i="113"/>
  <c r="T5" i="113"/>
  <c r="S5" i="113"/>
  <c r="R5" i="113"/>
  <c r="Q5" i="113"/>
  <c r="P5" i="113"/>
  <c r="O5" i="113"/>
  <c r="N5" i="113"/>
  <c r="L5" i="113"/>
  <c r="K5" i="113"/>
  <c r="J5" i="113"/>
  <c r="I5" i="113"/>
  <c r="F5" i="113"/>
  <c r="D5" i="113"/>
  <c r="A5" i="113"/>
  <c r="T4" i="113"/>
  <c r="S4" i="113"/>
  <c r="R4" i="113"/>
  <c r="Q4" i="113"/>
  <c r="P4" i="113"/>
  <c r="O4" i="113"/>
  <c r="N4" i="113"/>
  <c r="L4" i="113"/>
  <c r="K4" i="113"/>
  <c r="J4" i="113"/>
  <c r="I4" i="113"/>
  <c r="F4" i="113"/>
  <c r="D4" i="113"/>
  <c r="A4" i="113"/>
  <c r="T3" i="113"/>
  <c r="S3" i="113"/>
  <c r="R3" i="113"/>
  <c r="Q3" i="113"/>
  <c r="P3" i="113"/>
  <c r="O3" i="113"/>
  <c r="N3" i="113"/>
  <c r="L3" i="113"/>
  <c r="K3" i="113"/>
  <c r="J3" i="113"/>
  <c r="I3" i="113"/>
  <c r="F3" i="113"/>
  <c r="D3" i="113"/>
  <c r="A3" i="113"/>
  <c r="T2" i="113"/>
  <c r="S2" i="113"/>
  <c r="R2" i="113"/>
  <c r="Q2" i="113"/>
  <c r="P2" i="113"/>
  <c r="O2" i="113"/>
  <c r="N2" i="113"/>
  <c r="L2" i="113"/>
  <c r="K2" i="113"/>
  <c r="J2" i="113"/>
  <c r="I2" i="113"/>
  <c r="F2" i="113"/>
  <c r="D2" i="113"/>
  <c r="A2" i="113"/>
  <c r="B44" i="112"/>
  <c r="B40" i="112"/>
  <c r="B41" i="112"/>
  <c r="B42" i="112"/>
  <c r="B43" i="112"/>
  <c r="B45" i="112"/>
  <c r="B46" i="112"/>
  <c r="B47" i="112"/>
  <c r="B48" i="112"/>
  <c r="B49" i="112"/>
  <c r="B50" i="112"/>
  <c r="B51" i="112"/>
  <c r="C44" i="112"/>
  <c r="C45" i="112"/>
  <c r="C49" i="112"/>
  <c r="C50" i="112"/>
  <c r="F51" i="112"/>
  <c r="C42" i="112"/>
  <c r="C43" i="112"/>
  <c r="C47" i="112"/>
  <c r="C48" i="112"/>
  <c r="F50" i="112"/>
  <c r="C40" i="112"/>
  <c r="C41" i="112"/>
  <c r="C46" i="112"/>
  <c r="F47" i="112"/>
  <c r="F42" i="112"/>
  <c r="F41" i="112"/>
  <c r="F40" i="112"/>
  <c r="B28" i="112"/>
  <c r="C21" i="112"/>
  <c r="C22" i="112"/>
  <c r="C28" i="112"/>
  <c r="D28" i="112"/>
  <c r="I27" i="112"/>
  <c r="J27" i="112"/>
  <c r="F27" i="112"/>
  <c r="I26" i="112"/>
  <c r="J26" i="112"/>
  <c r="F26" i="112"/>
  <c r="I25" i="112"/>
  <c r="J25" i="112"/>
  <c r="F25" i="112"/>
  <c r="I24" i="112"/>
  <c r="J24" i="112"/>
  <c r="F24" i="112"/>
  <c r="I23" i="112"/>
  <c r="J23" i="112"/>
  <c r="F23" i="112"/>
  <c r="D22" i="112"/>
  <c r="G22" i="112"/>
  <c r="H22" i="112"/>
  <c r="I22" i="112"/>
  <c r="J22" i="112"/>
  <c r="F22" i="112"/>
  <c r="D21" i="112"/>
  <c r="G21" i="112"/>
  <c r="H21" i="112"/>
  <c r="I21" i="112"/>
  <c r="J21" i="112"/>
  <c r="F21" i="112"/>
  <c r="I20" i="112"/>
  <c r="J20" i="112"/>
  <c r="F20" i="112"/>
  <c r="I19" i="112"/>
  <c r="J19" i="112"/>
  <c r="F19" i="112"/>
  <c r="I18" i="112"/>
  <c r="J18" i="112"/>
  <c r="F18" i="112"/>
  <c r="I17" i="112"/>
  <c r="J17" i="112"/>
  <c r="F17" i="112"/>
  <c r="B10" i="112"/>
  <c r="T249" i="111"/>
  <c r="S249" i="111"/>
  <c r="R249" i="111"/>
  <c r="Q249" i="111"/>
  <c r="P249" i="111"/>
  <c r="O249" i="111"/>
  <c r="B26" i="110"/>
  <c r="C26" i="110"/>
  <c r="D26" i="110"/>
  <c r="B5" i="110"/>
  <c r="B17" i="110"/>
  <c r="C17" i="110"/>
  <c r="D17" i="110"/>
  <c r="B19" i="110"/>
  <c r="B18" i="110"/>
  <c r="C18" i="110"/>
  <c r="D18" i="110"/>
  <c r="B27" i="110"/>
  <c r="B23" i="110"/>
  <c r="C23" i="110"/>
  <c r="D23" i="110"/>
  <c r="C19" i="110"/>
  <c r="D19" i="110"/>
  <c r="C24" i="110"/>
  <c r="D24" i="110"/>
  <c r="C20" i="110"/>
  <c r="D20" i="110"/>
  <c r="C25" i="110"/>
  <c r="D25" i="110"/>
  <c r="C27" i="110"/>
  <c r="D27" i="110"/>
  <c r="N249" i="111"/>
  <c r="L249" i="111"/>
  <c r="K249" i="111"/>
  <c r="J249" i="111"/>
  <c r="F249" i="111"/>
  <c r="A249" i="111"/>
  <c r="T248" i="111"/>
  <c r="S248" i="111"/>
  <c r="R248" i="111"/>
  <c r="Q248" i="111"/>
  <c r="P248" i="111"/>
  <c r="O248" i="111"/>
  <c r="N248" i="111"/>
  <c r="L248" i="111"/>
  <c r="K248" i="111"/>
  <c r="J248" i="111"/>
  <c r="F248" i="111"/>
  <c r="A248" i="111"/>
  <c r="T247" i="111"/>
  <c r="S247" i="111"/>
  <c r="R247" i="111"/>
  <c r="Q247" i="111"/>
  <c r="P247" i="111"/>
  <c r="O247" i="111"/>
  <c r="N247" i="111"/>
  <c r="L247" i="111"/>
  <c r="K247" i="111"/>
  <c r="J247" i="111"/>
  <c r="F247" i="111"/>
  <c r="A247" i="111"/>
  <c r="T246" i="111"/>
  <c r="S246" i="111"/>
  <c r="R246" i="111"/>
  <c r="Q246" i="111"/>
  <c r="P246" i="111"/>
  <c r="O246" i="111"/>
  <c r="N246" i="111"/>
  <c r="L246" i="111"/>
  <c r="K246" i="111"/>
  <c r="J246" i="111"/>
  <c r="F246" i="111"/>
  <c r="A246" i="111"/>
  <c r="T245" i="111"/>
  <c r="S245" i="111"/>
  <c r="R245" i="111"/>
  <c r="Q245" i="111"/>
  <c r="P245" i="111"/>
  <c r="O245" i="111"/>
  <c r="N245" i="111"/>
  <c r="L245" i="111"/>
  <c r="K245" i="111"/>
  <c r="J245" i="111"/>
  <c r="I245" i="111"/>
  <c r="F245" i="111"/>
  <c r="D245" i="111"/>
  <c r="A245" i="111"/>
  <c r="T244" i="111"/>
  <c r="S244" i="111"/>
  <c r="R244" i="111"/>
  <c r="Q244" i="111"/>
  <c r="P244" i="111"/>
  <c r="O244" i="111"/>
  <c r="N244" i="111"/>
  <c r="L244" i="111"/>
  <c r="K244" i="111"/>
  <c r="J244" i="111"/>
  <c r="I244" i="111"/>
  <c r="F244" i="111"/>
  <c r="D244" i="111"/>
  <c r="A244" i="111"/>
  <c r="T243" i="111"/>
  <c r="S243" i="111"/>
  <c r="R243" i="111"/>
  <c r="Q243" i="111"/>
  <c r="P243" i="111"/>
  <c r="O243" i="111"/>
  <c r="N243" i="111"/>
  <c r="L243" i="111"/>
  <c r="K243" i="111"/>
  <c r="J243" i="111"/>
  <c r="I243" i="111"/>
  <c r="F243" i="111"/>
  <c r="D243" i="111"/>
  <c r="A243" i="111"/>
  <c r="T242" i="111"/>
  <c r="S242" i="111"/>
  <c r="R242" i="111"/>
  <c r="Q242" i="111"/>
  <c r="P242" i="111"/>
  <c r="O242" i="111"/>
  <c r="N242" i="111"/>
  <c r="L242" i="111"/>
  <c r="K242" i="111"/>
  <c r="J242" i="111"/>
  <c r="I242" i="111"/>
  <c r="F242" i="111"/>
  <c r="D242" i="111"/>
  <c r="A242" i="111"/>
  <c r="T241" i="111"/>
  <c r="S241" i="111"/>
  <c r="R241" i="111"/>
  <c r="Q241" i="111"/>
  <c r="P241" i="111"/>
  <c r="O241" i="111"/>
  <c r="N241" i="111"/>
  <c r="L241" i="111"/>
  <c r="K241" i="111"/>
  <c r="J241" i="111"/>
  <c r="I241" i="111"/>
  <c r="F241" i="111"/>
  <c r="D241" i="111"/>
  <c r="A241" i="111"/>
  <c r="T240" i="111"/>
  <c r="S240" i="111"/>
  <c r="R240" i="111"/>
  <c r="Q240" i="111"/>
  <c r="P240" i="111"/>
  <c r="O240" i="111"/>
  <c r="N240" i="111"/>
  <c r="L240" i="111"/>
  <c r="K240" i="111"/>
  <c r="J240" i="111"/>
  <c r="I240" i="111"/>
  <c r="F240" i="111"/>
  <c r="D240" i="111"/>
  <c r="A240" i="111"/>
  <c r="T239" i="111"/>
  <c r="S239" i="111"/>
  <c r="R239" i="111"/>
  <c r="Q239" i="111"/>
  <c r="P239" i="111"/>
  <c r="O239" i="111"/>
  <c r="N239" i="111"/>
  <c r="L239" i="111"/>
  <c r="K239" i="111"/>
  <c r="J239" i="111"/>
  <c r="F239" i="111"/>
  <c r="A239" i="111"/>
  <c r="T238" i="111"/>
  <c r="S238" i="111"/>
  <c r="R238" i="111"/>
  <c r="Q238" i="111"/>
  <c r="P238" i="111"/>
  <c r="O238" i="111"/>
  <c r="N238" i="111"/>
  <c r="L238" i="111"/>
  <c r="K238" i="111"/>
  <c r="J238" i="111"/>
  <c r="F238" i="111"/>
  <c r="A238" i="111"/>
  <c r="T237" i="111"/>
  <c r="S237" i="111"/>
  <c r="R237" i="111"/>
  <c r="Q237" i="111"/>
  <c r="P237" i="111"/>
  <c r="O237" i="111"/>
  <c r="N237" i="111"/>
  <c r="L237" i="111"/>
  <c r="K237" i="111"/>
  <c r="J237" i="111"/>
  <c r="F237" i="111"/>
  <c r="A237" i="111"/>
  <c r="T236" i="111"/>
  <c r="S236" i="111"/>
  <c r="R236" i="111"/>
  <c r="Q236" i="111"/>
  <c r="P236" i="111"/>
  <c r="O236" i="111"/>
  <c r="N236" i="111"/>
  <c r="L236" i="111"/>
  <c r="K236" i="111"/>
  <c r="J236" i="111"/>
  <c r="F236" i="111"/>
  <c r="A236" i="111"/>
  <c r="T235" i="111"/>
  <c r="S235" i="111"/>
  <c r="R235" i="111"/>
  <c r="Q235" i="111"/>
  <c r="P235" i="111"/>
  <c r="O235" i="111"/>
  <c r="N235" i="111"/>
  <c r="L235" i="111"/>
  <c r="K235" i="111"/>
  <c r="J235" i="111"/>
  <c r="I235" i="111"/>
  <c r="F235" i="111"/>
  <c r="D235" i="111"/>
  <c r="A235" i="111"/>
  <c r="T234" i="111"/>
  <c r="S234" i="111"/>
  <c r="R234" i="111"/>
  <c r="Q234" i="111"/>
  <c r="P234" i="111"/>
  <c r="O234" i="111"/>
  <c r="N234" i="111"/>
  <c r="L234" i="111"/>
  <c r="K234" i="111"/>
  <c r="J234" i="111"/>
  <c r="I234" i="111"/>
  <c r="F234" i="111"/>
  <c r="D234" i="111"/>
  <c r="A234" i="111"/>
  <c r="T233" i="111"/>
  <c r="S233" i="111"/>
  <c r="R233" i="111"/>
  <c r="Q233" i="111"/>
  <c r="P233" i="111"/>
  <c r="O233" i="111"/>
  <c r="N233" i="111"/>
  <c r="L233" i="111"/>
  <c r="K233" i="111"/>
  <c r="J233" i="111"/>
  <c r="I233" i="111"/>
  <c r="F233" i="111"/>
  <c r="D233" i="111"/>
  <c r="A233" i="111"/>
  <c r="T232" i="111"/>
  <c r="S232" i="111"/>
  <c r="R232" i="111"/>
  <c r="Q232" i="111"/>
  <c r="P232" i="111"/>
  <c r="O232" i="111"/>
  <c r="N232" i="111"/>
  <c r="L232" i="111"/>
  <c r="K232" i="111"/>
  <c r="J232" i="111"/>
  <c r="F232" i="111"/>
  <c r="A232" i="111"/>
  <c r="T231" i="111"/>
  <c r="S231" i="111"/>
  <c r="R231" i="111"/>
  <c r="Q231" i="111"/>
  <c r="P231" i="111"/>
  <c r="O231" i="111"/>
  <c r="N231" i="111"/>
  <c r="L231" i="111"/>
  <c r="K231" i="111"/>
  <c r="J231" i="111"/>
  <c r="F231" i="111"/>
  <c r="A231" i="111"/>
  <c r="T230" i="111"/>
  <c r="S230" i="111"/>
  <c r="R230" i="111"/>
  <c r="Q230" i="111"/>
  <c r="P230" i="111"/>
  <c r="O230" i="111"/>
  <c r="N230" i="111"/>
  <c r="L230" i="111"/>
  <c r="K230" i="111"/>
  <c r="J230" i="111"/>
  <c r="I230" i="111"/>
  <c r="F230" i="111"/>
  <c r="D230" i="111"/>
  <c r="A230" i="111"/>
  <c r="T229" i="111"/>
  <c r="S229" i="111"/>
  <c r="R229" i="111"/>
  <c r="Q229" i="111"/>
  <c r="P229" i="111"/>
  <c r="O229" i="111"/>
  <c r="N229" i="111"/>
  <c r="L229" i="111"/>
  <c r="K229" i="111"/>
  <c r="J229" i="111"/>
  <c r="I229" i="111"/>
  <c r="F229" i="111"/>
  <c r="D229" i="111"/>
  <c r="A229" i="111"/>
  <c r="T228" i="111"/>
  <c r="S228" i="111"/>
  <c r="R228" i="111"/>
  <c r="Q228" i="111"/>
  <c r="P228" i="111"/>
  <c r="O228" i="111"/>
  <c r="N228" i="111"/>
  <c r="L228" i="111"/>
  <c r="K228" i="111"/>
  <c r="J228" i="111"/>
  <c r="I228" i="111"/>
  <c r="F228" i="111"/>
  <c r="D228" i="111"/>
  <c r="A228" i="111"/>
  <c r="T227" i="111"/>
  <c r="S227" i="111"/>
  <c r="R227" i="111"/>
  <c r="Q227" i="111"/>
  <c r="P227" i="111"/>
  <c r="O227" i="111"/>
  <c r="N227" i="111"/>
  <c r="L227" i="111"/>
  <c r="K227" i="111"/>
  <c r="J227" i="111"/>
  <c r="I227" i="111"/>
  <c r="F227" i="111"/>
  <c r="D227" i="111"/>
  <c r="A227" i="111"/>
  <c r="T226" i="111"/>
  <c r="S226" i="111"/>
  <c r="R226" i="111"/>
  <c r="Q226" i="111"/>
  <c r="P226" i="111"/>
  <c r="O226" i="111"/>
  <c r="N226" i="111"/>
  <c r="L226" i="111"/>
  <c r="K226" i="111"/>
  <c r="J226" i="111"/>
  <c r="I226" i="111"/>
  <c r="F226" i="111"/>
  <c r="D226" i="111"/>
  <c r="A226" i="111"/>
  <c r="T225" i="111"/>
  <c r="S225" i="111"/>
  <c r="R225" i="111"/>
  <c r="Q225" i="111"/>
  <c r="P225" i="111"/>
  <c r="O225" i="111"/>
  <c r="N225" i="111"/>
  <c r="L225" i="111"/>
  <c r="K225" i="111"/>
  <c r="J225" i="111"/>
  <c r="I225" i="111"/>
  <c r="F225" i="111"/>
  <c r="D225" i="111"/>
  <c r="A225" i="111"/>
  <c r="T224" i="111"/>
  <c r="S224" i="111"/>
  <c r="R224" i="111"/>
  <c r="Q224" i="111"/>
  <c r="P224" i="111"/>
  <c r="O224" i="111"/>
  <c r="N224" i="111"/>
  <c r="L224" i="111"/>
  <c r="K224" i="111"/>
  <c r="J224" i="111"/>
  <c r="F224" i="111"/>
  <c r="A224" i="111"/>
  <c r="T223" i="111"/>
  <c r="S223" i="111"/>
  <c r="R223" i="111"/>
  <c r="Q223" i="111"/>
  <c r="P223" i="111"/>
  <c r="O223" i="111"/>
  <c r="N223" i="111"/>
  <c r="L223" i="111"/>
  <c r="K223" i="111"/>
  <c r="J223" i="111"/>
  <c r="F223" i="111"/>
  <c r="A223" i="111"/>
  <c r="T222" i="111"/>
  <c r="S222" i="111"/>
  <c r="R222" i="111"/>
  <c r="Q222" i="111"/>
  <c r="P222" i="111"/>
  <c r="O222" i="111"/>
  <c r="N222" i="111"/>
  <c r="L222" i="111"/>
  <c r="K222" i="111"/>
  <c r="J222" i="111"/>
  <c r="I222" i="111"/>
  <c r="F222" i="111"/>
  <c r="D222" i="111"/>
  <c r="A222" i="111"/>
  <c r="T221" i="111"/>
  <c r="S221" i="111"/>
  <c r="R221" i="111"/>
  <c r="Q221" i="111"/>
  <c r="P221" i="111"/>
  <c r="O221" i="111"/>
  <c r="N221" i="111"/>
  <c r="L221" i="111"/>
  <c r="K221" i="111"/>
  <c r="J221" i="111"/>
  <c r="I221" i="111"/>
  <c r="F221" i="111"/>
  <c r="D221" i="111"/>
  <c r="A221" i="111"/>
  <c r="T220" i="111"/>
  <c r="S220" i="111"/>
  <c r="R220" i="111"/>
  <c r="Q220" i="111"/>
  <c r="P220" i="111"/>
  <c r="O220" i="111"/>
  <c r="N220" i="111"/>
  <c r="L220" i="111"/>
  <c r="K220" i="111"/>
  <c r="J220" i="111"/>
  <c r="I220" i="111"/>
  <c r="F220" i="111"/>
  <c r="D220" i="111"/>
  <c r="A220" i="111"/>
  <c r="T219" i="111"/>
  <c r="S219" i="111"/>
  <c r="R219" i="111"/>
  <c r="Q219" i="111"/>
  <c r="P219" i="111"/>
  <c r="O219" i="111"/>
  <c r="N219" i="111"/>
  <c r="L219" i="111"/>
  <c r="K219" i="111"/>
  <c r="J219" i="111"/>
  <c r="I219" i="111"/>
  <c r="F219" i="111"/>
  <c r="D219" i="111"/>
  <c r="A219" i="111"/>
  <c r="T218" i="111"/>
  <c r="S218" i="111"/>
  <c r="R218" i="111"/>
  <c r="Q218" i="111"/>
  <c r="P218" i="111"/>
  <c r="O218" i="111"/>
  <c r="N218" i="111"/>
  <c r="L218" i="111"/>
  <c r="K218" i="111"/>
  <c r="J218" i="111"/>
  <c r="I218" i="111"/>
  <c r="F218" i="111"/>
  <c r="D218" i="111"/>
  <c r="A218" i="111"/>
  <c r="T217" i="111"/>
  <c r="S217" i="111"/>
  <c r="R217" i="111"/>
  <c r="Q217" i="111"/>
  <c r="P217" i="111"/>
  <c r="O217" i="111"/>
  <c r="N217" i="111"/>
  <c r="L217" i="111"/>
  <c r="K217" i="111"/>
  <c r="J217" i="111"/>
  <c r="I217" i="111"/>
  <c r="F217" i="111"/>
  <c r="D217" i="111"/>
  <c r="A217" i="111"/>
  <c r="T216" i="111"/>
  <c r="S216" i="111"/>
  <c r="R216" i="111"/>
  <c r="Q216" i="111"/>
  <c r="P216" i="111"/>
  <c r="O216" i="111"/>
  <c r="N216" i="111"/>
  <c r="L216" i="111"/>
  <c r="K216" i="111"/>
  <c r="J216" i="111"/>
  <c r="F216" i="111"/>
  <c r="A216" i="111"/>
  <c r="T215" i="111"/>
  <c r="S215" i="111"/>
  <c r="R215" i="111"/>
  <c r="Q215" i="111"/>
  <c r="P215" i="111"/>
  <c r="O215" i="111"/>
  <c r="N215" i="111"/>
  <c r="L215" i="111"/>
  <c r="K215" i="111"/>
  <c r="J215" i="111"/>
  <c r="F215" i="111"/>
  <c r="A215" i="111"/>
  <c r="T214" i="111"/>
  <c r="S214" i="111"/>
  <c r="R214" i="111"/>
  <c r="Q214" i="111"/>
  <c r="P214" i="111"/>
  <c r="O214" i="111"/>
  <c r="N214" i="111"/>
  <c r="L214" i="111"/>
  <c r="K214" i="111"/>
  <c r="J214" i="111"/>
  <c r="F214" i="111"/>
  <c r="A214" i="111"/>
  <c r="T213" i="111"/>
  <c r="S213" i="111"/>
  <c r="R213" i="111"/>
  <c r="Q213" i="111"/>
  <c r="P213" i="111"/>
  <c r="O213" i="111"/>
  <c r="N213" i="111"/>
  <c r="L213" i="111"/>
  <c r="K213" i="111"/>
  <c r="J213" i="111"/>
  <c r="F213" i="111"/>
  <c r="A213" i="111"/>
  <c r="T212" i="111"/>
  <c r="S212" i="111"/>
  <c r="R212" i="111"/>
  <c r="Q212" i="111"/>
  <c r="P212" i="111"/>
  <c r="O212" i="111"/>
  <c r="N212" i="111"/>
  <c r="L212" i="111"/>
  <c r="K212" i="111"/>
  <c r="J212" i="111"/>
  <c r="I212" i="111"/>
  <c r="F212" i="111"/>
  <c r="D212" i="111"/>
  <c r="A212" i="111"/>
  <c r="T211" i="111"/>
  <c r="S211" i="111"/>
  <c r="R211" i="111"/>
  <c r="Q211" i="111"/>
  <c r="P211" i="111"/>
  <c r="O211" i="111"/>
  <c r="N211" i="111"/>
  <c r="L211" i="111"/>
  <c r="K211" i="111"/>
  <c r="J211" i="111"/>
  <c r="I211" i="111"/>
  <c r="F211" i="111"/>
  <c r="D211" i="111"/>
  <c r="A211" i="111"/>
  <c r="T210" i="111"/>
  <c r="S210" i="111"/>
  <c r="R210" i="111"/>
  <c r="Q210" i="111"/>
  <c r="P210" i="111"/>
  <c r="O210" i="111"/>
  <c r="N210" i="111"/>
  <c r="L210" i="111"/>
  <c r="K210" i="111"/>
  <c r="J210" i="111"/>
  <c r="I210" i="111"/>
  <c r="F210" i="111"/>
  <c r="D210" i="111"/>
  <c r="A210" i="111"/>
  <c r="T209" i="111"/>
  <c r="S209" i="111"/>
  <c r="R209" i="111"/>
  <c r="Q209" i="111"/>
  <c r="P209" i="111"/>
  <c r="O209" i="111"/>
  <c r="N209" i="111"/>
  <c r="L209" i="111"/>
  <c r="K209" i="111"/>
  <c r="J209" i="111"/>
  <c r="F209" i="111"/>
  <c r="A209" i="111"/>
  <c r="T208" i="111"/>
  <c r="S208" i="111"/>
  <c r="R208" i="111"/>
  <c r="Q208" i="111"/>
  <c r="P208" i="111"/>
  <c r="O208" i="111"/>
  <c r="N208" i="111"/>
  <c r="L208" i="111"/>
  <c r="K208" i="111"/>
  <c r="J208" i="111"/>
  <c r="F208" i="111"/>
  <c r="A208" i="111"/>
  <c r="T207" i="111"/>
  <c r="S207" i="111"/>
  <c r="R207" i="111"/>
  <c r="Q207" i="111"/>
  <c r="P207" i="111"/>
  <c r="O207" i="111"/>
  <c r="N207" i="111"/>
  <c r="L207" i="111"/>
  <c r="K207" i="111"/>
  <c r="J207" i="111"/>
  <c r="F207" i="111"/>
  <c r="A207" i="111"/>
  <c r="T206" i="111"/>
  <c r="S206" i="111"/>
  <c r="R206" i="111"/>
  <c r="Q206" i="111"/>
  <c r="P206" i="111"/>
  <c r="O206" i="111"/>
  <c r="N206" i="111"/>
  <c r="L206" i="111"/>
  <c r="K206" i="111"/>
  <c r="J206" i="111"/>
  <c r="F206" i="111"/>
  <c r="A206" i="111"/>
  <c r="T205" i="111"/>
  <c r="S205" i="111"/>
  <c r="R205" i="111"/>
  <c r="Q205" i="111"/>
  <c r="P205" i="111"/>
  <c r="O205" i="111"/>
  <c r="N205" i="111"/>
  <c r="L205" i="111"/>
  <c r="K205" i="111"/>
  <c r="J205" i="111"/>
  <c r="I205" i="111"/>
  <c r="F205" i="111"/>
  <c r="D205" i="111"/>
  <c r="A205" i="111"/>
  <c r="T204" i="111"/>
  <c r="S204" i="111"/>
  <c r="R204" i="111"/>
  <c r="Q204" i="111"/>
  <c r="P204" i="111"/>
  <c r="O204" i="111"/>
  <c r="N204" i="111"/>
  <c r="L204" i="111"/>
  <c r="K204" i="111"/>
  <c r="J204" i="111"/>
  <c r="I204" i="111"/>
  <c r="F204" i="111"/>
  <c r="D204" i="111"/>
  <c r="A204" i="111"/>
  <c r="T203" i="111"/>
  <c r="S203" i="111"/>
  <c r="R203" i="111"/>
  <c r="Q203" i="111"/>
  <c r="P203" i="111"/>
  <c r="O203" i="111"/>
  <c r="N203" i="111"/>
  <c r="L203" i="111"/>
  <c r="K203" i="111"/>
  <c r="J203" i="111"/>
  <c r="I203" i="111"/>
  <c r="F203" i="111"/>
  <c r="D203" i="111"/>
  <c r="A203" i="111"/>
  <c r="T202" i="111"/>
  <c r="S202" i="111"/>
  <c r="R202" i="111"/>
  <c r="Q202" i="111"/>
  <c r="P202" i="111"/>
  <c r="O202" i="111"/>
  <c r="N202" i="111"/>
  <c r="L202" i="111"/>
  <c r="K202" i="111"/>
  <c r="J202" i="111"/>
  <c r="F202" i="111"/>
  <c r="A202" i="111"/>
  <c r="T201" i="111"/>
  <c r="S201" i="111"/>
  <c r="R201" i="111"/>
  <c r="Q201" i="111"/>
  <c r="P201" i="111"/>
  <c r="O201" i="111"/>
  <c r="N201" i="111"/>
  <c r="L201" i="111"/>
  <c r="K201" i="111"/>
  <c r="J201" i="111"/>
  <c r="F201" i="111"/>
  <c r="A201" i="111"/>
  <c r="T200" i="111"/>
  <c r="S200" i="111"/>
  <c r="R200" i="111"/>
  <c r="Q200" i="111"/>
  <c r="P200" i="111"/>
  <c r="O200" i="111"/>
  <c r="N200" i="111"/>
  <c r="L200" i="111"/>
  <c r="K200" i="111"/>
  <c r="J200" i="111"/>
  <c r="I200" i="111"/>
  <c r="F200" i="111"/>
  <c r="D200" i="111"/>
  <c r="A200" i="111"/>
  <c r="T199" i="111"/>
  <c r="S199" i="111"/>
  <c r="R199" i="111"/>
  <c r="Q199" i="111"/>
  <c r="P199" i="111"/>
  <c r="O199" i="111"/>
  <c r="N199" i="111"/>
  <c r="L199" i="111"/>
  <c r="K199" i="111"/>
  <c r="J199" i="111"/>
  <c r="I199" i="111"/>
  <c r="F199" i="111"/>
  <c r="D199" i="111"/>
  <c r="A199" i="111"/>
  <c r="T198" i="111"/>
  <c r="S198" i="111"/>
  <c r="R198" i="111"/>
  <c r="Q198" i="111"/>
  <c r="P198" i="111"/>
  <c r="O198" i="111"/>
  <c r="N198" i="111"/>
  <c r="L198" i="111"/>
  <c r="K198" i="111"/>
  <c r="J198" i="111"/>
  <c r="I198" i="111"/>
  <c r="F198" i="111"/>
  <c r="D198" i="111"/>
  <c r="A198" i="111"/>
  <c r="T197" i="111"/>
  <c r="S197" i="111"/>
  <c r="R197" i="111"/>
  <c r="Q197" i="111"/>
  <c r="P197" i="111"/>
  <c r="O197" i="111"/>
  <c r="N197" i="111"/>
  <c r="L197" i="111"/>
  <c r="K197" i="111"/>
  <c r="J197" i="111"/>
  <c r="F197" i="111"/>
  <c r="A197" i="111"/>
  <c r="T196" i="111"/>
  <c r="S196" i="111"/>
  <c r="R196" i="111"/>
  <c r="Q196" i="111"/>
  <c r="P196" i="111"/>
  <c r="O196" i="111"/>
  <c r="N196" i="111"/>
  <c r="L196" i="111"/>
  <c r="K196" i="111"/>
  <c r="J196" i="111"/>
  <c r="F196" i="111"/>
  <c r="A196" i="111"/>
  <c r="T195" i="111"/>
  <c r="S195" i="111"/>
  <c r="R195" i="111"/>
  <c r="Q195" i="111"/>
  <c r="P195" i="111"/>
  <c r="O195" i="111"/>
  <c r="N195" i="111"/>
  <c r="L195" i="111"/>
  <c r="K195" i="111"/>
  <c r="J195" i="111"/>
  <c r="I195" i="111"/>
  <c r="F195" i="111"/>
  <c r="D195" i="111"/>
  <c r="A195" i="111"/>
  <c r="T194" i="111"/>
  <c r="S194" i="111"/>
  <c r="R194" i="111"/>
  <c r="Q194" i="111"/>
  <c r="P194" i="111"/>
  <c r="O194" i="111"/>
  <c r="N194" i="111"/>
  <c r="L194" i="111"/>
  <c r="K194" i="111"/>
  <c r="J194" i="111"/>
  <c r="I194" i="111"/>
  <c r="F194" i="111"/>
  <c r="D194" i="111"/>
  <c r="A194" i="111"/>
  <c r="T193" i="111"/>
  <c r="S193" i="111"/>
  <c r="R193" i="111"/>
  <c r="Q193" i="111"/>
  <c r="P193" i="111"/>
  <c r="O193" i="111"/>
  <c r="N193" i="111"/>
  <c r="L193" i="111"/>
  <c r="K193" i="111"/>
  <c r="J193" i="111"/>
  <c r="I193" i="111"/>
  <c r="F193" i="111"/>
  <c r="D193" i="111"/>
  <c r="A193" i="111"/>
  <c r="T192" i="111"/>
  <c r="S192" i="111"/>
  <c r="R192" i="111"/>
  <c r="Q192" i="111"/>
  <c r="P192" i="111"/>
  <c r="O192" i="111"/>
  <c r="N192" i="111"/>
  <c r="L192" i="111"/>
  <c r="K192" i="111"/>
  <c r="J192" i="111"/>
  <c r="F192" i="111"/>
  <c r="A192" i="111"/>
  <c r="T191" i="111"/>
  <c r="S191" i="111"/>
  <c r="R191" i="111"/>
  <c r="Q191" i="111"/>
  <c r="P191" i="111"/>
  <c r="O191" i="111"/>
  <c r="N191" i="111"/>
  <c r="L191" i="111"/>
  <c r="K191" i="111"/>
  <c r="J191" i="111"/>
  <c r="F191" i="111"/>
  <c r="A191" i="111"/>
  <c r="T190" i="111"/>
  <c r="S190" i="111"/>
  <c r="R190" i="111"/>
  <c r="Q190" i="111"/>
  <c r="P190" i="111"/>
  <c r="O190" i="111"/>
  <c r="N190" i="111"/>
  <c r="L190" i="111"/>
  <c r="K190" i="111"/>
  <c r="J190" i="111"/>
  <c r="F190" i="111"/>
  <c r="A190" i="111"/>
  <c r="T189" i="111"/>
  <c r="S189" i="111"/>
  <c r="R189" i="111"/>
  <c r="Q189" i="111"/>
  <c r="P189" i="111"/>
  <c r="O189" i="111"/>
  <c r="N189" i="111"/>
  <c r="L189" i="111"/>
  <c r="K189" i="111"/>
  <c r="J189" i="111"/>
  <c r="F189" i="111"/>
  <c r="A189" i="111"/>
  <c r="T188" i="111"/>
  <c r="S188" i="111"/>
  <c r="R188" i="111"/>
  <c r="Q188" i="111"/>
  <c r="P188" i="111"/>
  <c r="O188" i="111"/>
  <c r="N188" i="111"/>
  <c r="L188" i="111"/>
  <c r="K188" i="111"/>
  <c r="J188" i="111"/>
  <c r="I188" i="111"/>
  <c r="F188" i="111"/>
  <c r="D188" i="111"/>
  <c r="A188" i="111"/>
  <c r="T187" i="111"/>
  <c r="S187" i="111"/>
  <c r="R187" i="111"/>
  <c r="Q187" i="111"/>
  <c r="P187" i="111"/>
  <c r="O187" i="111"/>
  <c r="N187" i="111"/>
  <c r="L187" i="111"/>
  <c r="K187" i="111"/>
  <c r="J187" i="111"/>
  <c r="I187" i="111"/>
  <c r="F187" i="111"/>
  <c r="D187" i="111"/>
  <c r="A187" i="111"/>
  <c r="T186" i="111"/>
  <c r="S186" i="111"/>
  <c r="R186" i="111"/>
  <c r="Q186" i="111"/>
  <c r="P186" i="111"/>
  <c r="O186" i="111"/>
  <c r="N186" i="111"/>
  <c r="L186" i="111"/>
  <c r="K186" i="111"/>
  <c r="J186" i="111"/>
  <c r="I186" i="111"/>
  <c r="F186" i="111"/>
  <c r="D186" i="111"/>
  <c r="A186" i="111"/>
  <c r="T185" i="111"/>
  <c r="S185" i="111"/>
  <c r="R185" i="111"/>
  <c r="Q185" i="111"/>
  <c r="P185" i="111"/>
  <c r="O185" i="111"/>
  <c r="N185" i="111"/>
  <c r="L185" i="111"/>
  <c r="K185" i="111"/>
  <c r="J185" i="111"/>
  <c r="F185" i="111"/>
  <c r="A185" i="111"/>
  <c r="T184" i="111"/>
  <c r="S184" i="111"/>
  <c r="R184" i="111"/>
  <c r="Q184" i="111"/>
  <c r="P184" i="111"/>
  <c r="O184" i="111"/>
  <c r="N184" i="111"/>
  <c r="L184" i="111"/>
  <c r="K184" i="111"/>
  <c r="J184" i="111"/>
  <c r="F184" i="111"/>
  <c r="A184" i="111"/>
  <c r="T183" i="111"/>
  <c r="S183" i="111"/>
  <c r="R183" i="111"/>
  <c r="Q183" i="111"/>
  <c r="P183" i="111"/>
  <c r="O183" i="111"/>
  <c r="N183" i="111"/>
  <c r="L183" i="111"/>
  <c r="K183" i="111"/>
  <c r="J183" i="111"/>
  <c r="I183" i="111"/>
  <c r="F183" i="111"/>
  <c r="D183" i="111"/>
  <c r="A183" i="111"/>
  <c r="T182" i="111"/>
  <c r="S182" i="111"/>
  <c r="R182" i="111"/>
  <c r="Q182" i="111"/>
  <c r="P182" i="111"/>
  <c r="O182" i="111"/>
  <c r="N182" i="111"/>
  <c r="L182" i="111"/>
  <c r="K182" i="111"/>
  <c r="J182" i="111"/>
  <c r="I182" i="111"/>
  <c r="F182" i="111"/>
  <c r="D182" i="111"/>
  <c r="A182" i="111"/>
  <c r="T181" i="111"/>
  <c r="S181" i="111"/>
  <c r="R181" i="111"/>
  <c r="Q181" i="111"/>
  <c r="P181" i="111"/>
  <c r="O181" i="111"/>
  <c r="N181" i="111"/>
  <c r="L181" i="111"/>
  <c r="K181" i="111"/>
  <c r="J181" i="111"/>
  <c r="I181" i="111"/>
  <c r="F181" i="111"/>
  <c r="D181" i="111"/>
  <c r="A181" i="111"/>
  <c r="T180" i="111"/>
  <c r="S180" i="111"/>
  <c r="R180" i="111"/>
  <c r="Q180" i="111"/>
  <c r="P180" i="111"/>
  <c r="O180" i="111"/>
  <c r="N180" i="111"/>
  <c r="L180" i="111"/>
  <c r="K180" i="111"/>
  <c r="J180" i="111"/>
  <c r="I180" i="111"/>
  <c r="F180" i="111"/>
  <c r="D180" i="111"/>
  <c r="A180" i="111"/>
  <c r="T179" i="111"/>
  <c r="S179" i="111"/>
  <c r="R179" i="111"/>
  <c r="Q179" i="111"/>
  <c r="P179" i="111"/>
  <c r="O179" i="111"/>
  <c r="N179" i="111"/>
  <c r="L179" i="111"/>
  <c r="K179" i="111"/>
  <c r="J179" i="111"/>
  <c r="I179" i="111"/>
  <c r="F179" i="111"/>
  <c r="D179" i="111"/>
  <c r="A179" i="111"/>
  <c r="T178" i="111"/>
  <c r="S178" i="111"/>
  <c r="R178" i="111"/>
  <c r="Q178" i="111"/>
  <c r="P178" i="111"/>
  <c r="O178" i="111"/>
  <c r="N178" i="111"/>
  <c r="L178" i="111"/>
  <c r="K178" i="111"/>
  <c r="J178" i="111"/>
  <c r="I178" i="111"/>
  <c r="F178" i="111"/>
  <c r="D178" i="111"/>
  <c r="A178" i="111"/>
  <c r="T177" i="111"/>
  <c r="S177" i="111"/>
  <c r="R177" i="111"/>
  <c r="Q177" i="111"/>
  <c r="P177" i="111"/>
  <c r="O177" i="111"/>
  <c r="N177" i="111"/>
  <c r="L177" i="111"/>
  <c r="K177" i="111"/>
  <c r="J177" i="111"/>
  <c r="F177" i="111"/>
  <c r="A177" i="111"/>
  <c r="T176" i="111"/>
  <c r="S176" i="111"/>
  <c r="R176" i="111"/>
  <c r="Q176" i="111"/>
  <c r="P176" i="111"/>
  <c r="O176" i="111"/>
  <c r="N176" i="111"/>
  <c r="L176" i="111"/>
  <c r="K176" i="111"/>
  <c r="J176" i="111"/>
  <c r="F176" i="111"/>
  <c r="A176" i="111"/>
  <c r="T175" i="111"/>
  <c r="S175" i="111"/>
  <c r="R175" i="111"/>
  <c r="Q175" i="111"/>
  <c r="P175" i="111"/>
  <c r="O175" i="111"/>
  <c r="N175" i="111"/>
  <c r="L175" i="111"/>
  <c r="K175" i="111"/>
  <c r="J175" i="111"/>
  <c r="F175" i="111"/>
  <c r="A175" i="111"/>
  <c r="T174" i="111"/>
  <c r="S174" i="111"/>
  <c r="R174" i="111"/>
  <c r="Q174" i="111"/>
  <c r="P174" i="111"/>
  <c r="O174" i="111"/>
  <c r="N174" i="111"/>
  <c r="L174" i="111"/>
  <c r="K174" i="111"/>
  <c r="J174" i="111"/>
  <c r="F174" i="111"/>
  <c r="A174" i="111"/>
  <c r="T173" i="111"/>
  <c r="S173" i="111"/>
  <c r="R173" i="111"/>
  <c r="Q173" i="111"/>
  <c r="P173" i="111"/>
  <c r="O173" i="111"/>
  <c r="N173" i="111"/>
  <c r="L173" i="111"/>
  <c r="K173" i="111"/>
  <c r="J173" i="111"/>
  <c r="I173" i="111"/>
  <c r="F173" i="111"/>
  <c r="D173" i="111"/>
  <c r="A173" i="111"/>
  <c r="T172" i="111"/>
  <c r="S172" i="111"/>
  <c r="R172" i="111"/>
  <c r="Q172" i="111"/>
  <c r="P172" i="111"/>
  <c r="O172" i="111"/>
  <c r="N172" i="111"/>
  <c r="L172" i="111"/>
  <c r="K172" i="111"/>
  <c r="J172" i="111"/>
  <c r="I172" i="111"/>
  <c r="F172" i="111"/>
  <c r="D172" i="111"/>
  <c r="A172" i="111"/>
  <c r="T171" i="111"/>
  <c r="S171" i="111"/>
  <c r="R171" i="111"/>
  <c r="Q171" i="111"/>
  <c r="P171" i="111"/>
  <c r="O171" i="111"/>
  <c r="N171" i="111"/>
  <c r="L171" i="111"/>
  <c r="K171" i="111"/>
  <c r="J171" i="111"/>
  <c r="I171" i="111"/>
  <c r="F171" i="111"/>
  <c r="D171" i="111"/>
  <c r="A171" i="111"/>
  <c r="T170" i="111"/>
  <c r="S170" i="111"/>
  <c r="R170" i="111"/>
  <c r="Q170" i="111"/>
  <c r="P170" i="111"/>
  <c r="O170" i="111"/>
  <c r="N170" i="111"/>
  <c r="L170" i="111"/>
  <c r="K170" i="111"/>
  <c r="J170" i="111"/>
  <c r="F170" i="111"/>
  <c r="A170" i="111"/>
  <c r="T169" i="111"/>
  <c r="S169" i="111"/>
  <c r="R169" i="111"/>
  <c r="Q169" i="111"/>
  <c r="P169" i="111"/>
  <c r="O169" i="111"/>
  <c r="N169" i="111"/>
  <c r="L169" i="111"/>
  <c r="K169" i="111"/>
  <c r="J169" i="111"/>
  <c r="F169" i="111"/>
  <c r="A169" i="111"/>
  <c r="T168" i="111"/>
  <c r="S168" i="111"/>
  <c r="R168" i="111"/>
  <c r="Q168" i="111"/>
  <c r="P168" i="111"/>
  <c r="O168" i="111"/>
  <c r="N168" i="111"/>
  <c r="L168" i="111"/>
  <c r="K168" i="111"/>
  <c r="J168" i="111"/>
  <c r="I168" i="111"/>
  <c r="F168" i="111"/>
  <c r="D168" i="111"/>
  <c r="A168" i="111"/>
  <c r="T167" i="111"/>
  <c r="S167" i="111"/>
  <c r="R167" i="111"/>
  <c r="Q167" i="111"/>
  <c r="P167" i="111"/>
  <c r="O167" i="111"/>
  <c r="N167" i="111"/>
  <c r="L167" i="111"/>
  <c r="K167" i="111"/>
  <c r="J167" i="111"/>
  <c r="I167" i="111"/>
  <c r="F167" i="111"/>
  <c r="D167" i="111"/>
  <c r="A167" i="111"/>
  <c r="T166" i="111"/>
  <c r="S166" i="111"/>
  <c r="R166" i="111"/>
  <c r="Q166" i="111"/>
  <c r="P166" i="111"/>
  <c r="O166" i="111"/>
  <c r="N166" i="111"/>
  <c r="L166" i="111"/>
  <c r="K166" i="111"/>
  <c r="J166" i="111"/>
  <c r="I166" i="111"/>
  <c r="F166" i="111"/>
  <c r="D166" i="111"/>
  <c r="A166" i="111"/>
  <c r="T165" i="111"/>
  <c r="S165" i="111"/>
  <c r="R165" i="111"/>
  <c r="Q165" i="111"/>
  <c r="P165" i="111"/>
  <c r="O165" i="111"/>
  <c r="N165" i="111"/>
  <c r="L165" i="111"/>
  <c r="K165" i="111"/>
  <c r="J165" i="111"/>
  <c r="F165" i="111"/>
  <c r="A165" i="111"/>
  <c r="T164" i="111"/>
  <c r="S164" i="111"/>
  <c r="R164" i="111"/>
  <c r="Q164" i="111"/>
  <c r="P164" i="111"/>
  <c r="O164" i="111"/>
  <c r="N164" i="111"/>
  <c r="L164" i="111"/>
  <c r="K164" i="111"/>
  <c r="J164" i="111"/>
  <c r="F164" i="111"/>
  <c r="A164" i="111"/>
  <c r="T163" i="111"/>
  <c r="S163" i="111"/>
  <c r="R163" i="111"/>
  <c r="Q163" i="111"/>
  <c r="P163" i="111"/>
  <c r="O163" i="111"/>
  <c r="N163" i="111"/>
  <c r="L163" i="111"/>
  <c r="K163" i="111"/>
  <c r="J163" i="111"/>
  <c r="I163" i="111"/>
  <c r="F163" i="111"/>
  <c r="D163" i="111"/>
  <c r="A163" i="111"/>
  <c r="T162" i="111"/>
  <c r="S162" i="111"/>
  <c r="R162" i="111"/>
  <c r="Q162" i="111"/>
  <c r="P162" i="111"/>
  <c r="O162" i="111"/>
  <c r="N162" i="111"/>
  <c r="L162" i="111"/>
  <c r="K162" i="111"/>
  <c r="J162" i="111"/>
  <c r="I162" i="111"/>
  <c r="F162" i="111"/>
  <c r="D162" i="111"/>
  <c r="A162" i="111"/>
  <c r="T161" i="111"/>
  <c r="S161" i="111"/>
  <c r="R161" i="111"/>
  <c r="Q161" i="111"/>
  <c r="P161" i="111"/>
  <c r="O161" i="111"/>
  <c r="N161" i="111"/>
  <c r="L161" i="111"/>
  <c r="K161" i="111"/>
  <c r="J161" i="111"/>
  <c r="I161" i="111"/>
  <c r="F161" i="111"/>
  <c r="D161" i="111"/>
  <c r="A161" i="111"/>
  <c r="T160" i="111"/>
  <c r="S160" i="111"/>
  <c r="R160" i="111"/>
  <c r="Q160" i="111"/>
  <c r="P160" i="111"/>
  <c r="O160" i="111"/>
  <c r="N160" i="111"/>
  <c r="L160" i="111"/>
  <c r="K160" i="111"/>
  <c r="J160" i="111"/>
  <c r="I160" i="111"/>
  <c r="F160" i="111"/>
  <c r="D160" i="111"/>
  <c r="A160" i="111"/>
  <c r="T159" i="111"/>
  <c r="S159" i="111"/>
  <c r="R159" i="111"/>
  <c r="Q159" i="111"/>
  <c r="P159" i="111"/>
  <c r="O159" i="111"/>
  <c r="N159" i="111"/>
  <c r="L159" i="111"/>
  <c r="K159" i="111"/>
  <c r="J159" i="111"/>
  <c r="I159" i="111"/>
  <c r="F159" i="111"/>
  <c r="D159" i="111"/>
  <c r="A159" i="111"/>
  <c r="T158" i="111"/>
  <c r="S158" i="111"/>
  <c r="R158" i="111"/>
  <c r="Q158" i="111"/>
  <c r="P158" i="111"/>
  <c r="O158" i="111"/>
  <c r="N158" i="111"/>
  <c r="L158" i="111"/>
  <c r="K158" i="111"/>
  <c r="J158" i="111"/>
  <c r="I158" i="111"/>
  <c r="F158" i="111"/>
  <c r="D158" i="111"/>
  <c r="A158" i="111"/>
  <c r="T157" i="111"/>
  <c r="S157" i="111"/>
  <c r="R157" i="111"/>
  <c r="Q157" i="111"/>
  <c r="P157" i="111"/>
  <c r="O157" i="111"/>
  <c r="N157" i="111"/>
  <c r="L157" i="111"/>
  <c r="K157" i="111"/>
  <c r="J157" i="111"/>
  <c r="F157" i="111"/>
  <c r="A157" i="111"/>
  <c r="T156" i="111"/>
  <c r="S156" i="111"/>
  <c r="R156" i="111"/>
  <c r="Q156" i="111"/>
  <c r="P156" i="111"/>
  <c r="O156" i="111"/>
  <c r="N156" i="111"/>
  <c r="L156" i="111"/>
  <c r="K156" i="111"/>
  <c r="J156" i="111"/>
  <c r="F156" i="111"/>
  <c r="A156" i="111"/>
  <c r="T155" i="111"/>
  <c r="S155" i="111"/>
  <c r="R155" i="111"/>
  <c r="Q155" i="111"/>
  <c r="P155" i="111"/>
  <c r="O155" i="111"/>
  <c r="N155" i="111"/>
  <c r="L155" i="111"/>
  <c r="K155" i="111"/>
  <c r="J155" i="111"/>
  <c r="I155" i="111"/>
  <c r="F155" i="111"/>
  <c r="D155" i="111"/>
  <c r="A155" i="111"/>
  <c r="T154" i="111"/>
  <c r="S154" i="111"/>
  <c r="R154" i="111"/>
  <c r="Q154" i="111"/>
  <c r="P154" i="111"/>
  <c r="O154" i="111"/>
  <c r="N154" i="111"/>
  <c r="L154" i="111"/>
  <c r="K154" i="111"/>
  <c r="J154" i="111"/>
  <c r="I154" i="111"/>
  <c r="F154" i="111"/>
  <c r="D154" i="111"/>
  <c r="A154" i="111"/>
  <c r="T153" i="111"/>
  <c r="S153" i="111"/>
  <c r="R153" i="111"/>
  <c r="Q153" i="111"/>
  <c r="P153" i="111"/>
  <c r="O153" i="111"/>
  <c r="N153" i="111"/>
  <c r="L153" i="111"/>
  <c r="K153" i="111"/>
  <c r="J153" i="111"/>
  <c r="I153" i="111"/>
  <c r="F153" i="111"/>
  <c r="D153" i="111"/>
  <c r="A153" i="111"/>
  <c r="T152" i="111"/>
  <c r="S152" i="111"/>
  <c r="R152" i="111"/>
  <c r="Q152" i="111"/>
  <c r="P152" i="111"/>
  <c r="O152" i="111"/>
  <c r="N152" i="111"/>
  <c r="L152" i="111"/>
  <c r="K152" i="111"/>
  <c r="J152" i="111"/>
  <c r="F152" i="111"/>
  <c r="A152" i="111"/>
  <c r="T151" i="111"/>
  <c r="S151" i="111"/>
  <c r="R151" i="111"/>
  <c r="Q151" i="111"/>
  <c r="P151" i="111"/>
  <c r="O151" i="111"/>
  <c r="N151" i="111"/>
  <c r="L151" i="111"/>
  <c r="K151" i="111"/>
  <c r="J151" i="111"/>
  <c r="F151" i="111"/>
  <c r="A151" i="111"/>
  <c r="T150" i="111"/>
  <c r="S150" i="111"/>
  <c r="R150" i="111"/>
  <c r="Q150" i="111"/>
  <c r="P150" i="111"/>
  <c r="O150" i="111"/>
  <c r="N150" i="111"/>
  <c r="L150" i="111"/>
  <c r="K150" i="111"/>
  <c r="J150" i="111"/>
  <c r="F150" i="111"/>
  <c r="A150" i="111"/>
  <c r="T149" i="111"/>
  <c r="S149" i="111"/>
  <c r="R149" i="111"/>
  <c r="Q149" i="111"/>
  <c r="P149" i="111"/>
  <c r="O149" i="111"/>
  <c r="N149" i="111"/>
  <c r="L149" i="111"/>
  <c r="K149" i="111"/>
  <c r="J149" i="111"/>
  <c r="F149" i="111"/>
  <c r="A149" i="111"/>
  <c r="T148" i="111"/>
  <c r="S148" i="111"/>
  <c r="R148" i="111"/>
  <c r="Q148" i="111"/>
  <c r="P148" i="111"/>
  <c r="O148" i="111"/>
  <c r="N148" i="111"/>
  <c r="L148" i="111"/>
  <c r="K148" i="111"/>
  <c r="J148" i="111"/>
  <c r="I148" i="111"/>
  <c r="F148" i="111"/>
  <c r="D148" i="111"/>
  <c r="A148" i="111"/>
  <c r="T147" i="111"/>
  <c r="S147" i="111"/>
  <c r="R147" i="111"/>
  <c r="Q147" i="111"/>
  <c r="P147" i="111"/>
  <c r="O147" i="111"/>
  <c r="N147" i="111"/>
  <c r="L147" i="111"/>
  <c r="K147" i="111"/>
  <c r="J147" i="111"/>
  <c r="I147" i="111"/>
  <c r="F147" i="111"/>
  <c r="D147" i="111"/>
  <c r="A147" i="111"/>
  <c r="T146" i="111"/>
  <c r="S146" i="111"/>
  <c r="R146" i="111"/>
  <c r="Q146" i="111"/>
  <c r="P146" i="111"/>
  <c r="O146" i="111"/>
  <c r="N146" i="111"/>
  <c r="L146" i="111"/>
  <c r="K146" i="111"/>
  <c r="J146" i="111"/>
  <c r="I146" i="111"/>
  <c r="F146" i="111"/>
  <c r="D146" i="111"/>
  <c r="A146" i="111"/>
  <c r="T145" i="111"/>
  <c r="S145" i="111"/>
  <c r="R145" i="111"/>
  <c r="Q145" i="111"/>
  <c r="P145" i="111"/>
  <c r="O145" i="111"/>
  <c r="N145" i="111"/>
  <c r="L145" i="111"/>
  <c r="K145" i="111"/>
  <c r="J145" i="111"/>
  <c r="F145" i="111"/>
  <c r="A145" i="111"/>
  <c r="T144" i="111"/>
  <c r="S144" i="111"/>
  <c r="R144" i="111"/>
  <c r="Q144" i="111"/>
  <c r="P144" i="111"/>
  <c r="O144" i="111"/>
  <c r="N144" i="111"/>
  <c r="L144" i="111"/>
  <c r="K144" i="111"/>
  <c r="J144" i="111"/>
  <c r="F144" i="111"/>
  <c r="A144" i="111"/>
  <c r="T143" i="111"/>
  <c r="S143" i="111"/>
  <c r="R143" i="111"/>
  <c r="Q143" i="111"/>
  <c r="P143" i="111"/>
  <c r="O143" i="111"/>
  <c r="N143" i="111"/>
  <c r="L143" i="111"/>
  <c r="K143" i="111"/>
  <c r="J143" i="111"/>
  <c r="F143" i="111"/>
  <c r="A143" i="111"/>
  <c r="T142" i="111"/>
  <c r="S142" i="111"/>
  <c r="R142" i="111"/>
  <c r="Q142" i="111"/>
  <c r="P142" i="111"/>
  <c r="O142" i="111"/>
  <c r="N142" i="111"/>
  <c r="L142" i="111"/>
  <c r="K142" i="111"/>
  <c r="J142" i="111"/>
  <c r="F142" i="111"/>
  <c r="A142" i="111"/>
  <c r="T141" i="111"/>
  <c r="S141" i="111"/>
  <c r="R141" i="111"/>
  <c r="Q141" i="111"/>
  <c r="P141" i="111"/>
  <c r="O141" i="111"/>
  <c r="N141" i="111"/>
  <c r="L141" i="111"/>
  <c r="K141" i="111"/>
  <c r="J141" i="111"/>
  <c r="F141" i="111"/>
  <c r="A141" i="111"/>
  <c r="T140" i="111"/>
  <c r="S140" i="111"/>
  <c r="R140" i="111"/>
  <c r="Q140" i="111"/>
  <c r="P140" i="111"/>
  <c r="O140" i="111"/>
  <c r="N140" i="111"/>
  <c r="L140" i="111"/>
  <c r="K140" i="111"/>
  <c r="J140" i="111"/>
  <c r="F140" i="111"/>
  <c r="A140" i="111"/>
  <c r="T139" i="111"/>
  <c r="S139" i="111"/>
  <c r="R139" i="111"/>
  <c r="Q139" i="111"/>
  <c r="P139" i="111"/>
  <c r="O139" i="111"/>
  <c r="N139" i="111"/>
  <c r="L139" i="111"/>
  <c r="K139" i="111"/>
  <c r="J139" i="111"/>
  <c r="F139" i="111"/>
  <c r="A139" i="111"/>
  <c r="T138" i="111"/>
  <c r="S138" i="111"/>
  <c r="R138" i="111"/>
  <c r="Q138" i="111"/>
  <c r="P138" i="111"/>
  <c r="O138" i="111"/>
  <c r="N138" i="111"/>
  <c r="L138" i="111"/>
  <c r="K138" i="111"/>
  <c r="J138" i="111"/>
  <c r="F138" i="111"/>
  <c r="A138" i="111"/>
  <c r="T137" i="111"/>
  <c r="S137" i="111"/>
  <c r="R137" i="111"/>
  <c r="Q137" i="111"/>
  <c r="P137" i="111"/>
  <c r="O137" i="111"/>
  <c r="N137" i="111"/>
  <c r="L137" i="111"/>
  <c r="K137" i="111"/>
  <c r="J137" i="111"/>
  <c r="I137" i="111"/>
  <c r="F137" i="111"/>
  <c r="D137" i="111"/>
  <c r="A137" i="111"/>
  <c r="T136" i="111"/>
  <c r="S136" i="111"/>
  <c r="R136" i="111"/>
  <c r="Q136" i="111"/>
  <c r="P136" i="111"/>
  <c r="O136" i="111"/>
  <c r="N136" i="111"/>
  <c r="L136" i="111"/>
  <c r="K136" i="111"/>
  <c r="J136" i="111"/>
  <c r="I136" i="111"/>
  <c r="F136" i="111"/>
  <c r="D136" i="111"/>
  <c r="A136" i="111"/>
  <c r="T135" i="111"/>
  <c r="S135" i="111"/>
  <c r="R135" i="111"/>
  <c r="Q135" i="111"/>
  <c r="P135" i="111"/>
  <c r="O135" i="111"/>
  <c r="N135" i="111"/>
  <c r="L135" i="111"/>
  <c r="K135" i="111"/>
  <c r="J135" i="111"/>
  <c r="I135" i="111"/>
  <c r="F135" i="111"/>
  <c r="D135" i="111"/>
  <c r="A135" i="111"/>
  <c r="T134" i="111"/>
  <c r="S134" i="111"/>
  <c r="R134" i="111"/>
  <c r="Q134" i="111"/>
  <c r="P134" i="111"/>
  <c r="O134" i="111"/>
  <c r="N134" i="111"/>
  <c r="L134" i="111"/>
  <c r="K134" i="111"/>
  <c r="J134" i="111"/>
  <c r="I134" i="111"/>
  <c r="F134" i="111"/>
  <c r="D134" i="111"/>
  <c r="A134" i="111"/>
  <c r="T133" i="111"/>
  <c r="S133" i="111"/>
  <c r="R133" i="111"/>
  <c r="Q133" i="111"/>
  <c r="P133" i="111"/>
  <c r="O133" i="111"/>
  <c r="N133" i="111"/>
  <c r="L133" i="111"/>
  <c r="K133" i="111"/>
  <c r="J133" i="111"/>
  <c r="I133" i="111"/>
  <c r="F133" i="111"/>
  <c r="D133" i="111"/>
  <c r="A133" i="111"/>
  <c r="T132" i="111"/>
  <c r="S132" i="111"/>
  <c r="R132" i="111"/>
  <c r="Q132" i="111"/>
  <c r="P132" i="111"/>
  <c r="O132" i="111"/>
  <c r="N132" i="111"/>
  <c r="L132" i="111"/>
  <c r="K132" i="111"/>
  <c r="J132" i="111"/>
  <c r="I132" i="111"/>
  <c r="F132" i="111"/>
  <c r="D132" i="111"/>
  <c r="A132" i="111"/>
  <c r="T131" i="111"/>
  <c r="S131" i="111"/>
  <c r="R131" i="111"/>
  <c r="Q131" i="111"/>
  <c r="P131" i="111"/>
  <c r="O131" i="111"/>
  <c r="N131" i="111"/>
  <c r="L131" i="111"/>
  <c r="K131" i="111"/>
  <c r="J131" i="111"/>
  <c r="I131" i="111"/>
  <c r="F131" i="111"/>
  <c r="D131" i="111"/>
  <c r="A131" i="111"/>
  <c r="T130" i="111"/>
  <c r="S130" i="111"/>
  <c r="R130" i="111"/>
  <c r="Q130" i="111"/>
  <c r="P130" i="111"/>
  <c r="O130" i="111"/>
  <c r="N130" i="111"/>
  <c r="L130" i="111"/>
  <c r="K130" i="111"/>
  <c r="J130" i="111"/>
  <c r="I130" i="111"/>
  <c r="F130" i="111"/>
  <c r="D130" i="111"/>
  <c r="A130" i="111"/>
  <c r="T129" i="111"/>
  <c r="S129" i="111"/>
  <c r="R129" i="111"/>
  <c r="Q129" i="111"/>
  <c r="P129" i="111"/>
  <c r="O129" i="111"/>
  <c r="N129" i="111"/>
  <c r="L129" i="111"/>
  <c r="K129" i="111"/>
  <c r="J129" i="111"/>
  <c r="I129" i="111"/>
  <c r="F129" i="111"/>
  <c r="D129" i="111"/>
  <c r="A129" i="111"/>
  <c r="T128" i="111"/>
  <c r="S128" i="111"/>
  <c r="R128" i="111"/>
  <c r="Q128" i="111"/>
  <c r="P128" i="111"/>
  <c r="O128" i="111"/>
  <c r="N128" i="111"/>
  <c r="L128" i="111"/>
  <c r="K128" i="111"/>
  <c r="J128" i="111"/>
  <c r="I128" i="111"/>
  <c r="F128" i="111"/>
  <c r="D128" i="111"/>
  <c r="A128" i="111"/>
  <c r="T127" i="111"/>
  <c r="S127" i="111"/>
  <c r="R127" i="111"/>
  <c r="Q127" i="111"/>
  <c r="P127" i="111"/>
  <c r="O127" i="111"/>
  <c r="N127" i="111"/>
  <c r="L127" i="111"/>
  <c r="K127" i="111"/>
  <c r="J127" i="111"/>
  <c r="I127" i="111"/>
  <c r="F127" i="111"/>
  <c r="D127" i="111"/>
  <c r="A127" i="111"/>
  <c r="T126" i="111"/>
  <c r="S126" i="111"/>
  <c r="R126" i="111"/>
  <c r="Q126" i="111"/>
  <c r="P126" i="111"/>
  <c r="O126" i="111"/>
  <c r="N126" i="111"/>
  <c r="L126" i="111"/>
  <c r="K126" i="111"/>
  <c r="J126" i="111"/>
  <c r="I126" i="111"/>
  <c r="F126" i="111"/>
  <c r="D126" i="111"/>
  <c r="A126" i="111"/>
  <c r="T125" i="111"/>
  <c r="S125" i="111"/>
  <c r="R125" i="111"/>
  <c r="Q125" i="111"/>
  <c r="P125" i="111"/>
  <c r="O125" i="111"/>
  <c r="N125" i="111"/>
  <c r="L125" i="111"/>
  <c r="K125" i="111"/>
  <c r="J125" i="111"/>
  <c r="I125" i="111"/>
  <c r="F125" i="111"/>
  <c r="D125" i="111"/>
  <c r="A125" i="111"/>
  <c r="T124" i="111"/>
  <c r="S124" i="111"/>
  <c r="R124" i="111"/>
  <c r="Q124" i="111"/>
  <c r="P124" i="111"/>
  <c r="O124" i="111"/>
  <c r="N124" i="111"/>
  <c r="L124" i="111"/>
  <c r="K124" i="111"/>
  <c r="J124" i="111"/>
  <c r="I124" i="111"/>
  <c r="F124" i="111"/>
  <c r="D124" i="111"/>
  <c r="A124" i="111"/>
  <c r="T123" i="111"/>
  <c r="S123" i="111"/>
  <c r="R123" i="111"/>
  <c r="Q123" i="111"/>
  <c r="P123" i="111"/>
  <c r="O123" i="111"/>
  <c r="N123" i="111"/>
  <c r="L123" i="111"/>
  <c r="K123" i="111"/>
  <c r="J123" i="111"/>
  <c r="I123" i="111"/>
  <c r="F123" i="111"/>
  <c r="D123" i="111"/>
  <c r="A123" i="111"/>
  <c r="T122" i="111"/>
  <c r="S122" i="111"/>
  <c r="R122" i="111"/>
  <c r="Q122" i="111"/>
  <c r="P122" i="111"/>
  <c r="O122" i="111"/>
  <c r="N122" i="111"/>
  <c r="L122" i="111"/>
  <c r="K122" i="111"/>
  <c r="J122" i="111"/>
  <c r="I122" i="111"/>
  <c r="F122" i="111"/>
  <c r="D122" i="111"/>
  <c r="A122" i="111"/>
  <c r="T121" i="111"/>
  <c r="S121" i="111"/>
  <c r="R121" i="111"/>
  <c r="Q121" i="111"/>
  <c r="P121" i="111"/>
  <c r="O121" i="111"/>
  <c r="N121" i="111"/>
  <c r="L121" i="111"/>
  <c r="K121" i="111"/>
  <c r="J121" i="111"/>
  <c r="I121" i="111"/>
  <c r="F121" i="111"/>
  <c r="D121" i="111"/>
  <c r="A121" i="111"/>
  <c r="T120" i="111"/>
  <c r="S120" i="111"/>
  <c r="R120" i="111"/>
  <c r="Q120" i="111"/>
  <c r="P120" i="111"/>
  <c r="O120" i="111"/>
  <c r="N120" i="111"/>
  <c r="L120" i="111"/>
  <c r="K120" i="111"/>
  <c r="J120" i="111"/>
  <c r="I120" i="111"/>
  <c r="F120" i="111"/>
  <c r="D120" i="111"/>
  <c r="A120" i="111"/>
  <c r="T119" i="111"/>
  <c r="S119" i="111"/>
  <c r="R119" i="111"/>
  <c r="Q119" i="111"/>
  <c r="P119" i="111"/>
  <c r="O119" i="111"/>
  <c r="N119" i="111"/>
  <c r="L119" i="111"/>
  <c r="K119" i="111"/>
  <c r="J119" i="111"/>
  <c r="I119" i="111"/>
  <c r="F119" i="111"/>
  <c r="D119" i="111"/>
  <c r="A119" i="111"/>
  <c r="T118" i="111"/>
  <c r="S118" i="111"/>
  <c r="R118" i="111"/>
  <c r="Q118" i="111"/>
  <c r="P118" i="111"/>
  <c r="O118" i="111"/>
  <c r="N118" i="111"/>
  <c r="L118" i="111"/>
  <c r="K118" i="111"/>
  <c r="J118" i="111"/>
  <c r="I118" i="111"/>
  <c r="F118" i="111"/>
  <c r="D118" i="111"/>
  <c r="A118" i="111"/>
  <c r="T117" i="111"/>
  <c r="S117" i="111"/>
  <c r="R117" i="111"/>
  <c r="Q117" i="111"/>
  <c r="P117" i="111"/>
  <c r="O117" i="111"/>
  <c r="N117" i="111"/>
  <c r="L117" i="111"/>
  <c r="K117" i="111"/>
  <c r="J117" i="111"/>
  <c r="I117" i="111"/>
  <c r="F117" i="111"/>
  <c r="D117" i="111"/>
  <c r="A117" i="111"/>
  <c r="T116" i="111"/>
  <c r="S116" i="111"/>
  <c r="R116" i="111"/>
  <c r="Q116" i="111"/>
  <c r="P116" i="111"/>
  <c r="O116" i="111"/>
  <c r="N116" i="111"/>
  <c r="L116" i="111"/>
  <c r="K116" i="111"/>
  <c r="J116" i="111"/>
  <c r="I116" i="111"/>
  <c r="F116" i="111"/>
  <c r="D116" i="111"/>
  <c r="A116" i="111"/>
  <c r="T115" i="111"/>
  <c r="S115" i="111"/>
  <c r="R115" i="111"/>
  <c r="Q115" i="111"/>
  <c r="P115" i="111"/>
  <c r="O115" i="111"/>
  <c r="N115" i="111"/>
  <c r="L115" i="111"/>
  <c r="K115" i="111"/>
  <c r="J115" i="111"/>
  <c r="I115" i="111"/>
  <c r="F115" i="111"/>
  <c r="D115" i="111"/>
  <c r="A115" i="111"/>
  <c r="T114" i="111"/>
  <c r="S114" i="111"/>
  <c r="R114" i="111"/>
  <c r="Q114" i="111"/>
  <c r="P114" i="111"/>
  <c r="O114" i="111"/>
  <c r="N114" i="111"/>
  <c r="L114" i="111"/>
  <c r="K114" i="111"/>
  <c r="J114" i="111"/>
  <c r="I114" i="111"/>
  <c r="F114" i="111"/>
  <c r="D114" i="111"/>
  <c r="A114" i="111"/>
  <c r="T113" i="111"/>
  <c r="S113" i="111"/>
  <c r="R113" i="111"/>
  <c r="Q113" i="111"/>
  <c r="P113" i="111"/>
  <c r="O113" i="111"/>
  <c r="N113" i="111"/>
  <c r="L113" i="111"/>
  <c r="K113" i="111"/>
  <c r="J113" i="111"/>
  <c r="I113" i="111"/>
  <c r="F113" i="111"/>
  <c r="D113" i="111"/>
  <c r="A113" i="111"/>
  <c r="T112" i="111"/>
  <c r="S112" i="111"/>
  <c r="R112" i="111"/>
  <c r="Q112" i="111"/>
  <c r="P112" i="111"/>
  <c r="O112" i="111"/>
  <c r="N112" i="111"/>
  <c r="L112" i="111"/>
  <c r="K112" i="111"/>
  <c r="J112" i="111"/>
  <c r="I112" i="111"/>
  <c r="F112" i="111"/>
  <c r="D112" i="111"/>
  <c r="A112" i="111"/>
  <c r="T111" i="111"/>
  <c r="S111" i="111"/>
  <c r="R111" i="111"/>
  <c r="Q111" i="111"/>
  <c r="P111" i="111"/>
  <c r="O111" i="111"/>
  <c r="N111" i="111"/>
  <c r="L111" i="111"/>
  <c r="K111" i="111"/>
  <c r="J111" i="111"/>
  <c r="I111" i="111"/>
  <c r="F111" i="111"/>
  <c r="D111" i="111"/>
  <c r="A111" i="111"/>
  <c r="T110" i="111"/>
  <c r="S110" i="111"/>
  <c r="R110" i="111"/>
  <c r="Q110" i="111"/>
  <c r="P110" i="111"/>
  <c r="O110" i="111"/>
  <c r="N110" i="111"/>
  <c r="L110" i="111"/>
  <c r="K110" i="111"/>
  <c r="J110" i="111"/>
  <c r="I110" i="111"/>
  <c r="F110" i="111"/>
  <c r="D110" i="111"/>
  <c r="A110" i="111"/>
  <c r="T109" i="111"/>
  <c r="S109" i="111"/>
  <c r="R109" i="111"/>
  <c r="Q109" i="111"/>
  <c r="P109" i="111"/>
  <c r="O109" i="111"/>
  <c r="N109" i="111"/>
  <c r="L109" i="111"/>
  <c r="K109" i="111"/>
  <c r="J109" i="111"/>
  <c r="I109" i="111"/>
  <c r="F109" i="111"/>
  <c r="D109" i="111"/>
  <c r="A109" i="111"/>
  <c r="T108" i="111"/>
  <c r="S108" i="111"/>
  <c r="R108" i="111"/>
  <c r="Q108" i="111"/>
  <c r="P108" i="111"/>
  <c r="O108" i="111"/>
  <c r="N108" i="111"/>
  <c r="L108" i="111"/>
  <c r="K108" i="111"/>
  <c r="J108" i="111"/>
  <c r="I108" i="111"/>
  <c r="F108" i="111"/>
  <c r="D108" i="111"/>
  <c r="A108" i="111"/>
  <c r="T107" i="111"/>
  <c r="S107" i="111"/>
  <c r="R107" i="111"/>
  <c r="Q107" i="111"/>
  <c r="P107" i="111"/>
  <c r="O107" i="111"/>
  <c r="N107" i="111"/>
  <c r="L107" i="111"/>
  <c r="K107" i="111"/>
  <c r="J107" i="111"/>
  <c r="I107" i="111"/>
  <c r="F107" i="111"/>
  <c r="D107" i="111"/>
  <c r="A107" i="111"/>
  <c r="T106" i="111"/>
  <c r="S106" i="111"/>
  <c r="R106" i="111"/>
  <c r="Q106" i="111"/>
  <c r="P106" i="111"/>
  <c r="O106" i="111"/>
  <c r="N106" i="111"/>
  <c r="L106" i="111"/>
  <c r="K106" i="111"/>
  <c r="J106" i="111"/>
  <c r="I106" i="111"/>
  <c r="F106" i="111"/>
  <c r="D106" i="111"/>
  <c r="A106" i="111"/>
  <c r="T105" i="111"/>
  <c r="S105" i="111"/>
  <c r="R105" i="111"/>
  <c r="Q105" i="111"/>
  <c r="P105" i="111"/>
  <c r="O105" i="111"/>
  <c r="N105" i="111"/>
  <c r="L105" i="111"/>
  <c r="K105" i="111"/>
  <c r="J105" i="111"/>
  <c r="I105" i="111"/>
  <c r="F105" i="111"/>
  <c r="D105" i="111"/>
  <c r="A105" i="111"/>
  <c r="T104" i="111"/>
  <c r="S104" i="111"/>
  <c r="R104" i="111"/>
  <c r="Q104" i="111"/>
  <c r="P104" i="111"/>
  <c r="O104" i="111"/>
  <c r="N104" i="111"/>
  <c r="L104" i="111"/>
  <c r="K104" i="111"/>
  <c r="J104" i="111"/>
  <c r="I104" i="111"/>
  <c r="F104" i="111"/>
  <c r="D104" i="111"/>
  <c r="A104" i="111"/>
  <c r="T103" i="111"/>
  <c r="S103" i="111"/>
  <c r="R103" i="111"/>
  <c r="Q103" i="111"/>
  <c r="P103" i="111"/>
  <c r="O103" i="111"/>
  <c r="N103" i="111"/>
  <c r="L103" i="111"/>
  <c r="K103" i="111"/>
  <c r="J103" i="111"/>
  <c r="I103" i="111"/>
  <c r="F103" i="111"/>
  <c r="D103" i="111"/>
  <c r="A103" i="111"/>
  <c r="T102" i="111"/>
  <c r="S102" i="111"/>
  <c r="R102" i="111"/>
  <c r="Q102" i="111"/>
  <c r="P102" i="111"/>
  <c r="O102" i="111"/>
  <c r="N102" i="111"/>
  <c r="L102" i="111"/>
  <c r="K102" i="111"/>
  <c r="J102" i="111"/>
  <c r="I102" i="111"/>
  <c r="F102" i="111"/>
  <c r="D102" i="111"/>
  <c r="A102" i="111"/>
  <c r="T101" i="111"/>
  <c r="S101" i="111"/>
  <c r="R101" i="111"/>
  <c r="Q101" i="111"/>
  <c r="P101" i="111"/>
  <c r="O101" i="111"/>
  <c r="N101" i="111"/>
  <c r="L101" i="111"/>
  <c r="K101" i="111"/>
  <c r="J101" i="111"/>
  <c r="I101" i="111"/>
  <c r="F101" i="111"/>
  <c r="D101" i="111"/>
  <c r="A101" i="111"/>
  <c r="T100" i="111"/>
  <c r="S100" i="111"/>
  <c r="R100" i="111"/>
  <c r="Q100" i="111"/>
  <c r="P100" i="111"/>
  <c r="O100" i="111"/>
  <c r="N100" i="111"/>
  <c r="L100" i="111"/>
  <c r="K100" i="111"/>
  <c r="J100" i="111"/>
  <c r="I100" i="111"/>
  <c r="F100" i="111"/>
  <c r="D100" i="111"/>
  <c r="A100" i="111"/>
  <c r="T99" i="111"/>
  <c r="S99" i="111"/>
  <c r="R99" i="111"/>
  <c r="Q99" i="111"/>
  <c r="P99" i="111"/>
  <c r="O99" i="111"/>
  <c r="N99" i="111"/>
  <c r="L99" i="111"/>
  <c r="K99" i="111"/>
  <c r="J99" i="111"/>
  <c r="I99" i="111"/>
  <c r="F99" i="111"/>
  <c r="D99" i="111"/>
  <c r="A99" i="111"/>
  <c r="T98" i="111"/>
  <c r="S98" i="111"/>
  <c r="R98" i="111"/>
  <c r="Q98" i="111"/>
  <c r="P98" i="111"/>
  <c r="O98" i="111"/>
  <c r="N98" i="111"/>
  <c r="L98" i="111"/>
  <c r="K98" i="111"/>
  <c r="J98" i="111"/>
  <c r="I98" i="111"/>
  <c r="F98" i="111"/>
  <c r="D98" i="111"/>
  <c r="A98" i="111"/>
  <c r="T97" i="111"/>
  <c r="S97" i="111"/>
  <c r="R97" i="111"/>
  <c r="Q97" i="111"/>
  <c r="P97" i="111"/>
  <c r="O97" i="111"/>
  <c r="N97" i="111"/>
  <c r="L97" i="111"/>
  <c r="K97" i="111"/>
  <c r="J97" i="111"/>
  <c r="I97" i="111"/>
  <c r="F97" i="111"/>
  <c r="D97" i="111"/>
  <c r="A97" i="111"/>
  <c r="T96" i="111"/>
  <c r="S96" i="111"/>
  <c r="R96" i="111"/>
  <c r="Q96" i="111"/>
  <c r="P96" i="111"/>
  <c r="O96" i="111"/>
  <c r="N96" i="111"/>
  <c r="L96" i="111"/>
  <c r="K96" i="111"/>
  <c r="J96" i="111"/>
  <c r="I96" i="111"/>
  <c r="F96" i="111"/>
  <c r="D96" i="111"/>
  <c r="A96" i="111"/>
  <c r="T95" i="111"/>
  <c r="S95" i="111"/>
  <c r="R95" i="111"/>
  <c r="Q95" i="111"/>
  <c r="P95" i="111"/>
  <c r="O95" i="111"/>
  <c r="N95" i="111"/>
  <c r="L95" i="111"/>
  <c r="K95" i="111"/>
  <c r="J95" i="111"/>
  <c r="I95" i="111"/>
  <c r="F95" i="111"/>
  <c r="D95" i="111"/>
  <c r="A95" i="111"/>
  <c r="T94" i="111"/>
  <c r="S94" i="111"/>
  <c r="R94" i="111"/>
  <c r="Q94" i="111"/>
  <c r="P94" i="111"/>
  <c r="O94" i="111"/>
  <c r="N94" i="111"/>
  <c r="L94" i="111"/>
  <c r="K94" i="111"/>
  <c r="J94" i="111"/>
  <c r="I94" i="111"/>
  <c r="F94" i="111"/>
  <c r="D94" i="111"/>
  <c r="A94" i="111"/>
  <c r="T93" i="111"/>
  <c r="S93" i="111"/>
  <c r="R93" i="111"/>
  <c r="Q93" i="111"/>
  <c r="P93" i="111"/>
  <c r="O93" i="111"/>
  <c r="N93" i="111"/>
  <c r="L93" i="111"/>
  <c r="K93" i="111"/>
  <c r="J93" i="111"/>
  <c r="I93" i="111"/>
  <c r="F93" i="111"/>
  <c r="D93" i="111"/>
  <c r="A93" i="111"/>
  <c r="T92" i="111"/>
  <c r="S92" i="111"/>
  <c r="R92" i="111"/>
  <c r="Q92" i="111"/>
  <c r="P92" i="111"/>
  <c r="O92" i="111"/>
  <c r="N92" i="111"/>
  <c r="L92" i="111"/>
  <c r="K92" i="111"/>
  <c r="J92" i="111"/>
  <c r="I92" i="111"/>
  <c r="F92" i="111"/>
  <c r="D92" i="111"/>
  <c r="A92" i="111"/>
  <c r="T91" i="111"/>
  <c r="S91" i="111"/>
  <c r="R91" i="111"/>
  <c r="Q91" i="111"/>
  <c r="P91" i="111"/>
  <c r="O91" i="111"/>
  <c r="N91" i="111"/>
  <c r="L91" i="111"/>
  <c r="K91" i="111"/>
  <c r="J91" i="111"/>
  <c r="I91" i="111"/>
  <c r="F91" i="111"/>
  <c r="D91" i="111"/>
  <c r="A91" i="111"/>
  <c r="T90" i="111"/>
  <c r="S90" i="111"/>
  <c r="R90" i="111"/>
  <c r="Q90" i="111"/>
  <c r="P90" i="111"/>
  <c r="O90" i="111"/>
  <c r="N90" i="111"/>
  <c r="L90" i="111"/>
  <c r="K90" i="111"/>
  <c r="J90" i="111"/>
  <c r="I90" i="111"/>
  <c r="F90" i="111"/>
  <c r="D90" i="111"/>
  <c r="A90" i="111"/>
  <c r="T89" i="111"/>
  <c r="S89" i="111"/>
  <c r="R89" i="111"/>
  <c r="Q89" i="111"/>
  <c r="P89" i="111"/>
  <c r="O89" i="111"/>
  <c r="N89" i="111"/>
  <c r="L89" i="111"/>
  <c r="K89" i="111"/>
  <c r="J89" i="111"/>
  <c r="I89" i="111"/>
  <c r="F89" i="111"/>
  <c r="D89" i="111"/>
  <c r="A89" i="111"/>
  <c r="T88" i="111"/>
  <c r="S88" i="111"/>
  <c r="R88" i="111"/>
  <c r="Q88" i="111"/>
  <c r="P88" i="111"/>
  <c r="O88" i="111"/>
  <c r="N88" i="111"/>
  <c r="L88" i="111"/>
  <c r="K88" i="111"/>
  <c r="J88" i="111"/>
  <c r="I88" i="111"/>
  <c r="F88" i="111"/>
  <c r="D88" i="111"/>
  <c r="A88" i="111"/>
  <c r="T87" i="111"/>
  <c r="S87" i="111"/>
  <c r="R87" i="111"/>
  <c r="Q87" i="111"/>
  <c r="P87" i="111"/>
  <c r="O87" i="111"/>
  <c r="N87" i="111"/>
  <c r="L87" i="111"/>
  <c r="K87" i="111"/>
  <c r="J87" i="111"/>
  <c r="I87" i="111"/>
  <c r="F87" i="111"/>
  <c r="D87" i="111"/>
  <c r="A87" i="111"/>
  <c r="T86" i="111"/>
  <c r="S86" i="111"/>
  <c r="R86" i="111"/>
  <c r="Q86" i="111"/>
  <c r="P86" i="111"/>
  <c r="O86" i="111"/>
  <c r="N86" i="111"/>
  <c r="L86" i="111"/>
  <c r="K86" i="111"/>
  <c r="J86" i="111"/>
  <c r="I86" i="111"/>
  <c r="F86" i="111"/>
  <c r="D86" i="111"/>
  <c r="A86" i="111"/>
  <c r="T85" i="111"/>
  <c r="S85" i="111"/>
  <c r="R85" i="111"/>
  <c r="Q85" i="111"/>
  <c r="P85" i="111"/>
  <c r="O85" i="111"/>
  <c r="N85" i="111"/>
  <c r="L85" i="111"/>
  <c r="K85" i="111"/>
  <c r="J85" i="111"/>
  <c r="I85" i="111"/>
  <c r="F85" i="111"/>
  <c r="D85" i="111"/>
  <c r="A85" i="111"/>
  <c r="T84" i="111"/>
  <c r="S84" i="111"/>
  <c r="R84" i="111"/>
  <c r="Q84" i="111"/>
  <c r="P84" i="111"/>
  <c r="O84" i="111"/>
  <c r="N84" i="111"/>
  <c r="L84" i="111"/>
  <c r="K84" i="111"/>
  <c r="J84" i="111"/>
  <c r="I84" i="111"/>
  <c r="F84" i="111"/>
  <c r="D84" i="111"/>
  <c r="A84" i="111"/>
  <c r="T83" i="111"/>
  <c r="S83" i="111"/>
  <c r="R83" i="111"/>
  <c r="Q83" i="111"/>
  <c r="P83" i="111"/>
  <c r="O83" i="111"/>
  <c r="N83" i="111"/>
  <c r="L83" i="111"/>
  <c r="K83" i="111"/>
  <c r="J83" i="111"/>
  <c r="I83" i="111"/>
  <c r="F83" i="111"/>
  <c r="D83" i="111"/>
  <c r="A83" i="111"/>
  <c r="T82" i="111"/>
  <c r="S82" i="111"/>
  <c r="R82" i="111"/>
  <c r="Q82" i="111"/>
  <c r="P82" i="111"/>
  <c r="O82" i="111"/>
  <c r="N82" i="111"/>
  <c r="L82" i="111"/>
  <c r="K82" i="111"/>
  <c r="J82" i="111"/>
  <c r="I82" i="111"/>
  <c r="F82" i="111"/>
  <c r="D82" i="111"/>
  <c r="A82" i="111"/>
  <c r="T81" i="111"/>
  <c r="S81" i="111"/>
  <c r="R81" i="111"/>
  <c r="Q81" i="111"/>
  <c r="P81" i="111"/>
  <c r="O81" i="111"/>
  <c r="N81" i="111"/>
  <c r="L81" i="111"/>
  <c r="K81" i="111"/>
  <c r="J81" i="111"/>
  <c r="I81" i="111"/>
  <c r="F81" i="111"/>
  <c r="D81" i="111"/>
  <c r="A81" i="111"/>
  <c r="T80" i="111"/>
  <c r="S80" i="111"/>
  <c r="R80" i="111"/>
  <c r="Q80" i="111"/>
  <c r="P80" i="111"/>
  <c r="O80" i="111"/>
  <c r="N80" i="111"/>
  <c r="L80" i="111"/>
  <c r="K80" i="111"/>
  <c r="J80" i="111"/>
  <c r="I80" i="111"/>
  <c r="F80" i="111"/>
  <c r="D80" i="111"/>
  <c r="A80" i="111"/>
  <c r="T79" i="111"/>
  <c r="S79" i="111"/>
  <c r="R79" i="111"/>
  <c r="Q79" i="111"/>
  <c r="P79" i="111"/>
  <c r="O79" i="111"/>
  <c r="N79" i="111"/>
  <c r="L79" i="111"/>
  <c r="K79" i="111"/>
  <c r="J79" i="111"/>
  <c r="I79" i="111"/>
  <c r="F79" i="111"/>
  <c r="D79" i="111"/>
  <c r="A79" i="111"/>
  <c r="T78" i="111"/>
  <c r="S78" i="111"/>
  <c r="R78" i="111"/>
  <c r="Q78" i="111"/>
  <c r="P78" i="111"/>
  <c r="O78" i="111"/>
  <c r="N78" i="111"/>
  <c r="L78" i="111"/>
  <c r="K78" i="111"/>
  <c r="J78" i="111"/>
  <c r="I78" i="111"/>
  <c r="F78" i="111"/>
  <c r="D78" i="111"/>
  <c r="A78" i="111"/>
  <c r="T77" i="111"/>
  <c r="S77" i="111"/>
  <c r="R77" i="111"/>
  <c r="Q77" i="111"/>
  <c r="P77" i="111"/>
  <c r="O77" i="111"/>
  <c r="N77" i="111"/>
  <c r="L77" i="111"/>
  <c r="K77" i="111"/>
  <c r="J77" i="111"/>
  <c r="I77" i="111"/>
  <c r="F77" i="111"/>
  <c r="D77" i="111"/>
  <c r="A77" i="111"/>
  <c r="T76" i="111"/>
  <c r="S76" i="111"/>
  <c r="R76" i="111"/>
  <c r="Q76" i="111"/>
  <c r="P76" i="111"/>
  <c r="O76" i="111"/>
  <c r="N76" i="111"/>
  <c r="L76" i="111"/>
  <c r="K76" i="111"/>
  <c r="J76" i="111"/>
  <c r="I76" i="111"/>
  <c r="F76" i="111"/>
  <c r="D76" i="111"/>
  <c r="A76" i="111"/>
  <c r="T75" i="111"/>
  <c r="S75" i="111"/>
  <c r="R75" i="111"/>
  <c r="Q75" i="111"/>
  <c r="P75" i="111"/>
  <c r="O75" i="111"/>
  <c r="N75" i="111"/>
  <c r="L75" i="111"/>
  <c r="K75" i="111"/>
  <c r="J75" i="111"/>
  <c r="I75" i="111"/>
  <c r="F75" i="111"/>
  <c r="D75" i="111"/>
  <c r="A75" i="111"/>
  <c r="T74" i="111"/>
  <c r="S74" i="111"/>
  <c r="R74" i="111"/>
  <c r="Q74" i="111"/>
  <c r="P74" i="111"/>
  <c r="O74" i="111"/>
  <c r="N74" i="111"/>
  <c r="L74" i="111"/>
  <c r="K74" i="111"/>
  <c r="J74" i="111"/>
  <c r="I74" i="111"/>
  <c r="F74" i="111"/>
  <c r="D74" i="111"/>
  <c r="A74" i="111"/>
  <c r="T73" i="111"/>
  <c r="S73" i="111"/>
  <c r="R73" i="111"/>
  <c r="Q73" i="111"/>
  <c r="P73" i="111"/>
  <c r="O73" i="111"/>
  <c r="N73" i="111"/>
  <c r="L73" i="111"/>
  <c r="K73" i="111"/>
  <c r="J73" i="111"/>
  <c r="I73" i="111"/>
  <c r="F73" i="111"/>
  <c r="D73" i="111"/>
  <c r="A73" i="111"/>
  <c r="T72" i="111"/>
  <c r="S72" i="111"/>
  <c r="R72" i="111"/>
  <c r="Q72" i="111"/>
  <c r="P72" i="111"/>
  <c r="O72" i="111"/>
  <c r="N72" i="111"/>
  <c r="L72" i="111"/>
  <c r="K72" i="111"/>
  <c r="J72" i="111"/>
  <c r="I72" i="111"/>
  <c r="F72" i="111"/>
  <c r="D72" i="111"/>
  <c r="A72" i="111"/>
  <c r="T71" i="111"/>
  <c r="S71" i="111"/>
  <c r="R71" i="111"/>
  <c r="Q71" i="111"/>
  <c r="P71" i="111"/>
  <c r="O71" i="111"/>
  <c r="N71" i="111"/>
  <c r="L71" i="111"/>
  <c r="K71" i="111"/>
  <c r="J71" i="111"/>
  <c r="I71" i="111"/>
  <c r="F71" i="111"/>
  <c r="D71" i="111"/>
  <c r="A71" i="111"/>
  <c r="T70" i="111"/>
  <c r="S70" i="111"/>
  <c r="R70" i="111"/>
  <c r="Q70" i="111"/>
  <c r="P70" i="111"/>
  <c r="O70" i="111"/>
  <c r="N70" i="111"/>
  <c r="L70" i="111"/>
  <c r="K70" i="111"/>
  <c r="J70" i="111"/>
  <c r="I70" i="111"/>
  <c r="F70" i="111"/>
  <c r="D70" i="111"/>
  <c r="A70" i="111"/>
  <c r="T69" i="111"/>
  <c r="S69" i="111"/>
  <c r="R69" i="111"/>
  <c r="Q69" i="111"/>
  <c r="P69" i="111"/>
  <c r="O69" i="111"/>
  <c r="N69" i="111"/>
  <c r="L69" i="111"/>
  <c r="K69" i="111"/>
  <c r="J69" i="111"/>
  <c r="I69" i="111"/>
  <c r="F69" i="111"/>
  <c r="D69" i="111"/>
  <c r="A69" i="111"/>
  <c r="T68" i="111"/>
  <c r="S68" i="111"/>
  <c r="R68" i="111"/>
  <c r="Q68" i="111"/>
  <c r="P68" i="111"/>
  <c r="O68" i="111"/>
  <c r="N68" i="111"/>
  <c r="L68" i="111"/>
  <c r="K68" i="111"/>
  <c r="J68" i="111"/>
  <c r="I68" i="111"/>
  <c r="F68" i="111"/>
  <c r="D68" i="111"/>
  <c r="A68" i="111"/>
  <c r="T67" i="111"/>
  <c r="S67" i="111"/>
  <c r="R67" i="111"/>
  <c r="Q67" i="111"/>
  <c r="P67" i="111"/>
  <c r="O67" i="111"/>
  <c r="N67" i="111"/>
  <c r="L67" i="111"/>
  <c r="K67" i="111"/>
  <c r="J67" i="111"/>
  <c r="I67" i="111"/>
  <c r="F67" i="111"/>
  <c r="D67" i="111"/>
  <c r="A67" i="111"/>
  <c r="T66" i="111"/>
  <c r="S66" i="111"/>
  <c r="R66" i="111"/>
  <c r="Q66" i="111"/>
  <c r="P66" i="111"/>
  <c r="O66" i="111"/>
  <c r="N66" i="111"/>
  <c r="L66" i="111"/>
  <c r="K66" i="111"/>
  <c r="J66" i="111"/>
  <c r="I66" i="111"/>
  <c r="F66" i="111"/>
  <c r="D66" i="111"/>
  <c r="A66" i="111"/>
  <c r="T65" i="111"/>
  <c r="S65" i="111"/>
  <c r="R65" i="111"/>
  <c r="Q65" i="111"/>
  <c r="P65" i="111"/>
  <c r="O65" i="111"/>
  <c r="N65" i="111"/>
  <c r="L65" i="111"/>
  <c r="K65" i="111"/>
  <c r="J65" i="111"/>
  <c r="I65" i="111"/>
  <c r="F65" i="111"/>
  <c r="D65" i="111"/>
  <c r="A65" i="111"/>
  <c r="T64" i="111"/>
  <c r="S64" i="111"/>
  <c r="R64" i="111"/>
  <c r="Q64" i="111"/>
  <c r="P64" i="111"/>
  <c r="O64" i="111"/>
  <c r="N64" i="111"/>
  <c r="L64" i="111"/>
  <c r="K64" i="111"/>
  <c r="J64" i="111"/>
  <c r="I64" i="111"/>
  <c r="F64" i="111"/>
  <c r="D64" i="111"/>
  <c r="A64" i="111"/>
  <c r="T63" i="111"/>
  <c r="S63" i="111"/>
  <c r="R63" i="111"/>
  <c r="Q63" i="111"/>
  <c r="P63" i="111"/>
  <c r="O63" i="111"/>
  <c r="N63" i="111"/>
  <c r="L63" i="111"/>
  <c r="K63" i="111"/>
  <c r="J63" i="111"/>
  <c r="I63" i="111"/>
  <c r="F63" i="111"/>
  <c r="D63" i="111"/>
  <c r="A63" i="111"/>
  <c r="T62" i="111"/>
  <c r="S62" i="111"/>
  <c r="R62" i="111"/>
  <c r="Q62" i="111"/>
  <c r="P62" i="111"/>
  <c r="O62" i="111"/>
  <c r="N62" i="111"/>
  <c r="L62" i="111"/>
  <c r="K62" i="111"/>
  <c r="J62" i="111"/>
  <c r="I62" i="111"/>
  <c r="F62" i="111"/>
  <c r="D62" i="111"/>
  <c r="A62" i="111"/>
  <c r="T61" i="111"/>
  <c r="S61" i="111"/>
  <c r="R61" i="111"/>
  <c r="Q61" i="111"/>
  <c r="P61" i="111"/>
  <c r="O61" i="111"/>
  <c r="N61" i="111"/>
  <c r="L61" i="111"/>
  <c r="K61" i="111"/>
  <c r="J61" i="111"/>
  <c r="I61" i="111"/>
  <c r="F61" i="111"/>
  <c r="D61" i="111"/>
  <c r="A61" i="111"/>
  <c r="T60" i="111"/>
  <c r="S60" i="111"/>
  <c r="R60" i="111"/>
  <c r="Q60" i="111"/>
  <c r="P60" i="111"/>
  <c r="O60" i="111"/>
  <c r="N60" i="111"/>
  <c r="L60" i="111"/>
  <c r="K60" i="111"/>
  <c r="J60" i="111"/>
  <c r="I60" i="111"/>
  <c r="F60" i="111"/>
  <c r="D60" i="111"/>
  <c r="A60" i="111"/>
  <c r="T59" i="111"/>
  <c r="S59" i="111"/>
  <c r="R59" i="111"/>
  <c r="Q59" i="111"/>
  <c r="P59" i="111"/>
  <c r="O59" i="111"/>
  <c r="N59" i="111"/>
  <c r="L59" i="111"/>
  <c r="K59" i="111"/>
  <c r="J59" i="111"/>
  <c r="I59" i="111"/>
  <c r="F59" i="111"/>
  <c r="D59" i="111"/>
  <c r="A59" i="111"/>
  <c r="T58" i="111"/>
  <c r="S58" i="111"/>
  <c r="R58" i="111"/>
  <c r="Q58" i="111"/>
  <c r="P58" i="111"/>
  <c r="O58" i="111"/>
  <c r="N58" i="111"/>
  <c r="L58" i="111"/>
  <c r="K58" i="111"/>
  <c r="J58" i="111"/>
  <c r="I58" i="111"/>
  <c r="F58" i="111"/>
  <c r="D58" i="111"/>
  <c r="A58" i="111"/>
  <c r="T57" i="111"/>
  <c r="S57" i="111"/>
  <c r="R57" i="111"/>
  <c r="Q57" i="111"/>
  <c r="P57" i="111"/>
  <c r="O57" i="111"/>
  <c r="N57" i="111"/>
  <c r="L57" i="111"/>
  <c r="K57" i="111"/>
  <c r="J57" i="111"/>
  <c r="I57" i="111"/>
  <c r="F57" i="111"/>
  <c r="D57" i="111"/>
  <c r="A57" i="111"/>
  <c r="T56" i="111"/>
  <c r="S56" i="111"/>
  <c r="R56" i="111"/>
  <c r="Q56" i="111"/>
  <c r="P56" i="111"/>
  <c r="O56" i="111"/>
  <c r="N56" i="111"/>
  <c r="L56" i="111"/>
  <c r="K56" i="111"/>
  <c r="J56" i="111"/>
  <c r="I56" i="111"/>
  <c r="F56" i="111"/>
  <c r="D56" i="111"/>
  <c r="A56" i="111"/>
  <c r="T55" i="111"/>
  <c r="S55" i="111"/>
  <c r="R55" i="111"/>
  <c r="Q55" i="111"/>
  <c r="P55" i="111"/>
  <c r="O55" i="111"/>
  <c r="N55" i="111"/>
  <c r="L55" i="111"/>
  <c r="K55" i="111"/>
  <c r="J55" i="111"/>
  <c r="I55" i="111"/>
  <c r="F55" i="111"/>
  <c r="D55" i="111"/>
  <c r="A55" i="111"/>
  <c r="T54" i="111"/>
  <c r="S54" i="111"/>
  <c r="R54" i="111"/>
  <c r="Q54" i="111"/>
  <c r="P54" i="111"/>
  <c r="O54" i="111"/>
  <c r="N54" i="111"/>
  <c r="L54" i="111"/>
  <c r="K54" i="111"/>
  <c r="J54" i="111"/>
  <c r="I54" i="111"/>
  <c r="F54" i="111"/>
  <c r="D54" i="111"/>
  <c r="A54" i="111"/>
  <c r="T53" i="111"/>
  <c r="S53" i="111"/>
  <c r="R53" i="111"/>
  <c r="Q53" i="111"/>
  <c r="P53" i="111"/>
  <c r="O53" i="111"/>
  <c r="N53" i="111"/>
  <c r="L53" i="111"/>
  <c r="K53" i="111"/>
  <c r="J53" i="111"/>
  <c r="I53" i="111"/>
  <c r="F53" i="111"/>
  <c r="D53" i="111"/>
  <c r="A53" i="111"/>
  <c r="T52" i="111"/>
  <c r="S52" i="111"/>
  <c r="R52" i="111"/>
  <c r="Q52" i="111"/>
  <c r="P52" i="111"/>
  <c r="O52" i="111"/>
  <c r="N52" i="111"/>
  <c r="L52" i="111"/>
  <c r="K52" i="111"/>
  <c r="J52" i="111"/>
  <c r="I52" i="111"/>
  <c r="F52" i="111"/>
  <c r="D52" i="111"/>
  <c r="A52" i="111"/>
  <c r="T51" i="111"/>
  <c r="S51" i="111"/>
  <c r="R51" i="111"/>
  <c r="Q51" i="111"/>
  <c r="P51" i="111"/>
  <c r="O51" i="111"/>
  <c r="N51" i="111"/>
  <c r="L51" i="111"/>
  <c r="K51" i="111"/>
  <c r="J51" i="111"/>
  <c r="I51" i="111"/>
  <c r="F51" i="111"/>
  <c r="D51" i="111"/>
  <c r="A51" i="111"/>
  <c r="T50" i="111"/>
  <c r="S50" i="111"/>
  <c r="R50" i="111"/>
  <c r="Q50" i="111"/>
  <c r="P50" i="111"/>
  <c r="O50" i="111"/>
  <c r="N50" i="111"/>
  <c r="L50" i="111"/>
  <c r="K50" i="111"/>
  <c r="J50" i="111"/>
  <c r="I50" i="111"/>
  <c r="F50" i="111"/>
  <c r="D50" i="111"/>
  <c r="A50" i="111"/>
  <c r="T49" i="111"/>
  <c r="S49" i="111"/>
  <c r="R49" i="111"/>
  <c r="Q49" i="111"/>
  <c r="P49" i="111"/>
  <c r="O49" i="111"/>
  <c r="N49" i="111"/>
  <c r="L49" i="111"/>
  <c r="K49" i="111"/>
  <c r="J49" i="111"/>
  <c r="I49" i="111"/>
  <c r="F49" i="111"/>
  <c r="D49" i="111"/>
  <c r="A49" i="111"/>
  <c r="T48" i="111"/>
  <c r="S48" i="111"/>
  <c r="R48" i="111"/>
  <c r="Q48" i="111"/>
  <c r="P48" i="111"/>
  <c r="O48" i="111"/>
  <c r="N48" i="111"/>
  <c r="L48" i="111"/>
  <c r="K48" i="111"/>
  <c r="J48" i="111"/>
  <c r="I48" i="111"/>
  <c r="F48" i="111"/>
  <c r="D48" i="111"/>
  <c r="A48" i="111"/>
  <c r="T47" i="111"/>
  <c r="S47" i="111"/>
  <c r="R47" i="111"/>
  <c r="Q47" i="111"/>
  <c r="P47" i="111"/>
  <c r="O47" i="111"/>
  <c r="N47" i="111"/>
  <c r="L47" i="111"/>
  <c r="K47" i="111"/>
  <c r="J47" i="111"/>
  <c r="I47" i="111"/>
  <c r="F47" i="111"/>
  <c r="D47" i="111"/>
  <c r="A47" i="111"/>
  <c r="T46" i="111"/>
  <c r="S46" i="111"/>
  <c r="R46" i="111"/>
  <c r="Q46" i="111"/>
  <c r="P46" i="111"/>
  <c r="O46" i="111"/>
  <c r="N46" i="111"/>
  <c r="L46" i="111"/>
  <c r="K46" i="111"/>
  <c r="J46" i="111"/>
  <c r="I46" i="111"/>
  <c r="F46" i="111"/>
  <c r="D46" i="111"/>
  <c r="A46" i="111"/>
  <c r="T45" i="111"/>
  <c r="S45" i="111"/>
  <c r="R45" i="111"/>
  <c r="Q45" i="111"/>
  <c r="P45" i="111"/>
  <c r="O45" i="111"/>
  <c r="N45" i="111"/>
  <c r="L45" i="111"/>
  <c r="K45" i="111"/>
  <c r="J45" i="111"/>
  <c r="I45" i="111"/>
  <c r="F45" i="111"/>
  <c r="D45" i="111"/>
  <c r="A45" i="111"/>
  <c r="T44" i="111"/>
  <c r="S44" i="111"/>
  <c r="R44" i="111"/>
  <c r="Q44" i="111"/>
  <c r="P44" i="111"/>
  <c r="O44" i="111"/>
  <c r="N44" i="111"/>
  <c r="L44" i="111"/>
  <c r="K44" i="111"/>
  <c r="J44" i="111"/>
  <c r="I44" i="111"/>
  <c r="F44" i="111"/>
  <c r="D44" i="111"/>
  <c r="A44" i="111"/>
  <c r="T43" i="111"/>
  <c r="S43" i="111"/>
  <c r="R43" i="111"/>
  <c r="Q43" i="111"/>
  <c r="P43" i="111"/>
  <c r="O43" i="111"/>
  <c r="N43" i="111"/>
  <c r="L43" i="111"/>
  <c r="K43" i="111"/>
  <c r="J43" i="111"/>
  <c r="I43" i="111"/>
  <c r="F43" i="111"/>
  <c r="D43" i="111"/>
  <c r="A43" i="111"/>
  <c r="T42" i="111"/>
  <c r="S42" i="111"/>
  <c r="R42" i="111"/>
  <c r="Q42" i="111"/>
  <c r="P42" i="111"/>
  <c r="O42" i="111"/>
  <c r="N42" i="111"/>
  <c r="L42" i="111"/>
  <c r="K42" i="111"/>
  <c r="J42" i="111"/>
  <c r="I42" i="111"/>
  <c r="F42" i="111"/>
  <c r="D42" i="111"/>
  <c r="A42" i="111"/>
  <c r="T41" i="111"/>
  <c r="S41" i="111"/>
  <c r="R41" i="111"/>
  <c r="Q41" i="111"/>
  <c r="P41" i="111"/>
  <c r="O41" i="111"/>
  <c r="N41" i="111"/>
  <c r="L41" i="111"/>
  <c r="K41" i="111"/>
  <c r="J41" i="111"/>
  <c r="I41" i="111"/>
  <c r="F41" i="111"/>
  <c r="D41" i="111"/>
  <c r="A41" i="111"/>
  <c r="T40" i="111"/>
  <c r="S40" i="111"/>
  <c r="R40" i="111"/>
  <c r="Q40" i="111"/>
  <c r="P40" i="111"/>
  <c r="O40" i="111"/>
  <c r="N40" i="111"/>
  <c r="L40" i="111"/>
  <c r="K40" i="111"/>
  <c r="J40" i="111"/>
  <c r="I40" i="111"/>
  <c r="F40" i="111"/>
  <c r="D40" i="111"/>
  <c r="A40" i="111"/>
  <c r="T39" i="111"/>
  <c r="S39" i="111"/>
  <c r="R39" i="111"/>
  <c r="Q39" i="111"/>
  <c r="P39" i="111"/>
  <c r="O39" i="111"/>
  <c r="N39" i="111"/>
  <c r="L39" i="111"/>
  <c r="K39" i="111"/>
  <c r="J39" i="111"/>
  <c r="I39" i="111"/>
  <c r="F39" i="111"/>
  <c r="D39" i="111"/>
  <c r="A39" i="111"/>
  <c r="T38" i="111"/>
  <c r="S38" i="111"/>
  <c r="R38" i="111"/>
  <c r="Q38" i="111"/>
  <c r="P38" i="111"/>
  <c r="O38" i="111"/>
  <c r="N38" i="111"/>
  <c r="L38" i="111"/>
  <c r="K38" i="111"/>
  <c r="J38" i="111"/>
  <c r="I38" i="111"/>
  <c r="F38" i="111"/>
  <c r="D38" i="111"/>
  <c r="A38" i="111"/>
  <c r="T37" i="111"/>
  <c r="S37" i="111"/>
  <c r="R37" i="111"/>
  <c r="Q37" i="111"/>
  <c r="P37" i="111"/>
  <c r="O37" i="111"/>
  <c r="N37" i="111"/>
  <c r="L37" i="111"/>
  <c r="K37" i="111"/>
  <c r="J37" i="111"/>
  <c r="I37" i="111"/>
  <c r="F37" i="111"/>
  <c r="D37" i="111"/>
  <c r="A37" i="111"/>
  <c r="T36" i="111"/>
  <c r="S36" i="111"/>
  <c r="R36" i="111"/>
  <c r="Q36" i="111"/>
  <c r="P36" i="111"/>
  <c r="O36" i="111"/>
  <c r="N36" i="111"/>
  <c r="L36" i="111"/>
  <c r="K36" i="111"/>
  <c r="J36" i="111"/>
  <c r="I36" i="111"/>
  <c r="F36" i="111"/>
  <c r="D36" i="111"/>
  <c r="A36" i="111"/>
  <c r="T35" i="111"/>
  <c r="S35" i="111"/>
  <c r="R35" i="111"/>
  <c r="Q35" i="111"/>
  <c r="P35" i="111"/>
  <c r="O35" i="111"/>
  <c r="N35" i="111"/>
  <c r="L35" i="111"/>
  <c r="K35" i="111"/>
  <c r="J35" i="111"/>
  <c r="I35" i="111"/>
  <c r="F35" i="111"/>
  <c r="D35" i="111"/>
  <c r="A35" i="111"/>
  <c r="T34" i="111"/>
  <c r="S34" i="111"/>
  <c r="R34" i="111"/>
  <c r="Q34" i="111"/>
  <c r="P34" i="111"/>
  <c r="O34" i="111"/>
  <c r="N34" i="111"/>
  <c r="L34" i="111"/>
  <c r="K34" i="111"/>
  <c r="J34" i="111"/>
  <c r="I34" i="111"/>
  <c r="F34" i="111"/>
  <c r="D34" i="111"/>
  <c r="A34" i="111"/>
  <c r="T33" i="111"/>
  <c r="S33" i="111"/>
  <c r="R33" i="111"/>
  <c r="Q33" i="111"/>
  <c r="P33" i="111"/>
  <c r="O33" i="111"/>
  <c r="N33" i="111"/>
  <c r="L33" i="111"/>
  <c r="K33" i="111"/>
  <c r="J33" i="111"/>
  <c r="I33" i="111"/>
  <c r="F33" i="111"/>
  <c r="D33" i="111"/>
  <c r="A33" i="111"/>
  <c r="T32" i="111"/>
  <c r="S32" i="111"/>
  <c r="R32" i="111"/>
  <c r="Q32" i="111"/>
  <c r="P32" i="111"/>
  <c r="O32" i="111"/>
  <c r="N32" i="111"/>
  <c r="L32" i="111"/>
  <c r="K32" i="111"/>
  <c r="J32" i="111"/>
  <c r="I32" i="111"/>
  <c r="F32" i="111"/>
  <c r="D32" i="111"/>
  <c r="A32" i="111"/>
  <c r="T31" i="111"/>
  <c r="S31" i="111"/>
  <c r="R31" i="111"/>
  <c r="Q31" i="111"/>
  <c r="P31" i="111"/>
  <c r="O31" i="111"/>
  <c r="N31" i="111"/>
  <c r="L31" i="111"/>
  <c r="K31" i="111"/>
  <c r="J31" i="111"/>
  <c r="I31" i="111"/>
  <c r="F31" i="111"/>
  <c r="D31" i="111"/>
  <c r="A31" i="111"/>
  <c r="T30" i="111"/>
  <c r="S30" i="111"/>
  <c r="R30" i="111"/>
  <c r="Q30" i="111"/>
  <c r="P30" i="111"/>
  <c r="O30" i="111"/>
  <c r="N30" i="111"/>
  <c r="L30" i="111"/>
  <c r="K30" i="111"/>
  <c r="J30" i="111"/>
  <c r="I30" i="111"/>
  <c r="F30" i="111"/>
  <c r="D30" i="111"/>
  <c r="A30" i="111"/>
  <c r="T29" i="111"/>
  <c r="S29" i="111"/>
  <c r="R29" i="111"/>
  <c r="Q29" i="111"/>
  <c r="P29" i="111"/>
  <c r="O29" i="111"/>
  <c r="N29" i="111"/>
  <c r="L29" i="111"/>
  <c r="K29" i="111"/>
  <c r="J29" i="111"/>
  <c r="I29" i="111"/>
  <c r="F29" i="111"/>
  <c r="D29" i="111"/>
  <c r="A29" i="111"/>
  <c r="T28" i="111"/>
  <c r="S28" i="111"/>
  <c r="R28" i="111"/>
  <c r="Q28" i="111"/>
  <c r="P28" i="111"/>
  <c r="O28" i="111"/>
  <c r="N28" i="111"/>
  <c r="L28" i="111"/>
  <c r="K28" i="111"/>
  <c r="J28" i="111"/>
  <c r="I28" i="111"/>
  <c r="F28" i="111"/>
  <c r="D28" i="111"/>
  <c r="A28" i="111"/>
  <c r="T27" i="111"/>
  <c r="S27" i="111"/>
  <c r="R27" i="111"/>
  <c r="Q27" i="111"/>
  <c r="P27" i="111"/>
  <c r="O27" i="111"/>
  <c r="N27" i="111"/>
  <c r="L27" i="111"/>
  <c r="K27" i="111"/>
  <c r="J27" i="111"/>
  <c r="I27" i="111"/>
  <c r="F27" i="111"/>
  <c r="D27" i="111"/>
  <c r="A27" i="111"/>
  <c r="T26" i="111"/>
  <c r="S26" i="111"/>
  <c r="R26" i="111"/>
  <c r="Q26" i="111"/>
  <c r="P26" i="111"/>
  <c r="O26" i="111"/>
  <c r="N26" i="111"/>
  <c r="L26" i="111"/>
  <c r="K26" i="111"/>
  <c r="J26" i="111"/>
  <c r="I26" i="111"/>
  <c r="F26" i="111"/>
  <c r="D26" i="111"/>
  <c r="A26" i="111"/>
  <c r="T25" i="111"/>
  <c r="S25" i="111"/>
  <c r="R25" i="111"/>
  <c r="Q25" i="111"/>
  <c r="P25" i="111"/>
  <c r="O25" i="111"/>
  <c r="N25" i="111"/>
  <c r="L25" i="111"/>
  <c r="K25" i="111"/>
  <c r="J25" i="111"/>
  <c r="I25" i="111"/>
  <c r="F25" i="111"/>
  <c r="D25" i="111"/>
  <c r="A25" i="111"/>
  <c r="T24" i="111"/>
  <c r="S24" i="111"/>
  <c r="R24" i="111"/>
  <c r="Q24" i="111"/>
  <c r="P24" i="111"/>
  <c r="O24" i="111"/>
  <c r="N24" i="111"/>
  <c r="L24" i="111"/>
  <c r="K24" i="111"/>
  <c r="J24" i="111"/>
  <c r="I24" i="111"/>
  <c r="F24" i="111"/>
  <c r="D24" i="111"/>
  <c r="A24" i="111"/>
  <c r="T23" i="111"/>
  <c r="S23" i="111"/>
  <c r="R23" i="111"/>
  <c r="Q23" i="111"/>
  <c r="P23" i="111"/>
  <c r="O23" i="111"/>
  <c r="N23" i="111"/>
  <c r="L23" i="111"/>
  <c r="K23" i="111"/>
  <c r="J23" i="111"/>
  <c r="I23" i="111"/>
  <c r="F23" i="111"/>
  <c r="D23" i="111"/>
  <c r="A23" i="111"/>
  <c r="T22" i="111"/>
  <c r="S22" i="111"/>
  <c r="R22" i="111"/>
  <c r="Q22" i="111"/>
  <c r="P22" i="111"/>
  <c r="O22" i="111"/>
  <c r="N22" i="111"/>
  <c r="L22" i="111"/>
  <c r="K22" i="111"/>
  <c r="J22" i="111"/>
  <c r="I22" i="111"/>
  <c r="F22" i="111"/>
  <c r="D22" i="111"/>
  <c r="A22" i="111"/>
  <c r="T21" i="111"/>
  <c r="S21" i="111"/>
  <c r="R21" i="111"/>
  <c r="Q21" i="111"/>
  <c r="P21" i="111"/>
  <c r="O21" i="111"/>
  <c r="N21" i="111"/>
  <c r="L21" i="111"/>
  <c r="K21" i="111"/>
  <c r="J21" i="111"/>
  <c r="I21" i="111"/>
  <c r="F21" i="111"/>
  <c r="D21" i="111"/>
  <c r="A21" i="111"/>
  <c r="T20" i="111"/>
  <c r="S20" i="111"/>
  <c r="R20" i="111"/>
  <c r="Q20" i="111"/>
  <c r="P20" i="111"/>
  <c r="O20" i="111"/>
  <c r="N20" i="111"/>
  <c r="L20" i="111"/>
  <c r="K20" i="111"/>
  <c r="J20" i="111"/>
  <c r="I20" i="111"/>
  <c r="F20" i="111"/>
  <c r="D20" i="111"/>
  <c r="A20" i="111"/>
  <c r="T19" i="111"/>
  <c r="S19" i="111"/>
  <c r="R19" i="111"/>
  <c r="Q19" i="111"/>
  <c r="P19" i="111"/>
  <c r="O19" i="111"/>
  <c r="N19" i="111"/>
  <c r="L19" i="111"/>
  <c r="K19" i="111"/>
  <c r="J19" i="111"/>
  <c r="I19" i="111"/>
  <c r="F19" i="111"/>
  <c r="D19" i="111"/>
  <c r="A19" i="111"/>
  <c r="T18" i="111"/>
  <c r="S18" i="111"/>
  <c r="R18" i="111"/>
  <c r="Q18" i="111"/>
  <c r="P18" i="111"/>
  <c r="O18" i="111"/>
  <c r="N18" i="111"/>
  <c r="L18" i="111"/>
  <c r="K18" i="111"/>
  <c r="J18" i="111"/>
  <c r="I18" i="111"/>
  <c r="F18" i="111"/>
  <c r="D18" i="111"/>
  <c r="A18" i="111"/>
  <c r="T17" i="111"/>
  <c r="S17" i="111"/>
  <c r="R17" i="111"/>
  <c r="Q17" i="111"/>
  <c r="P17" i="111"/>
  <c r="O17" i="111"/>
  <c r="N17" i="111"/>
  <c r="L17" i="111"/>
  <c r="K17" i="111"/>
  <c r="J17" i="111"/>
  <c r="I17" i="111"/>
  <c r="F17" i="111"/>
  <c r="D17" i="111"/>
  <c r="A17" i="111"/>
  <c r="T16" i="111"/>
  <c r="S16" i="111"/>
  <c r="R16" i="111"/>
  <c r="Q16" i="111"/>
  <c r="P16" i="111"/>
  <c r="O16" i="111"/>
  <c r="N16" i="111"/>
  <c r="L16" i="111"/>
  <c r="K16" i="111"/>
  <c r="J16" i="111"/>
  <c r="I16" i="111"/>
  <c r="F16" i="111"/>
  <c r="D16" i="111"/>
  <c r="A16" i="111"/>
  <c r="T15" i="111"/>
  <c r="S15" i="111"/>
  <c r="R15" i="111"/>
  <c r="Q15" i="111"/>
  <c r="P15" i="111"/>
  <c r="O15" i="111"/>
  <c r="N15" i="111"/>
  <c r="L15" i="111"/>
  <c r="K15" i="111"/>
  <c r="J15" i="111"/>
  <c r="I15" i="111"/>
  <c r="F15" i="111"/>
  <c r="D15" i="111"/>
  <c r="A15" i="111"/>
  <c r="T14" i="111"/>
  <c r="S14" i="111"/>
  <c r="R14" i="111"/>
  <c r="Q14" i="111"/>
  <c r="P14" i="111"/>
  <c r="O14" i="111"/>
  <c r="N14" i="111"/>
  <c r="L14" i="111"/>
  <c r="K14" i="111"/>
  <c r="J14" i="111"/>
  <c r="I14" i="111"/>
  <c r="F14" i="111"/>
  <c r="D14" i="111"/>
  <c r="A14" i="111"/>
  <c r="T13" i="111"/>
  <c r="S13" i="111"/>
  <c r="R13" i="111"/>
  <c r="Q13" i="111"/>
  <c r="P13" i="111"/>
  <c r="O13" i="111"/>
  <c r="N13" i="111"/>
  <c r="L13" i="111"/>
  <c r="K13" i="111"/>
  <c r="J13" i="111"/>
  <c r="I13" i="111"/>
  <c r="F13" i="111"/>
  <c r="D13" i="111"/>
  <c r="A13" i="111"/>
  <c r="T12" i="111"/>
  <c r="S12" i="111"/>
  <c r="R12" i="111"/>
  <c r="Q12" i="111"/>
  <c r="P12" i="111"/>
  <c r="O12" i="111"/>
  <c r="N12" i="111"/>
  <c r="L12" i="111"/>
  <c r="K12" i="111"/>
  <c r="J12" i="111"/>
  <c r="I12" i="111"/>
  <c r="F12" i="111"/>
  <c r="D12" i="111"/>
  <c r="A12" i="111"/>
  <c r="T11" i="111"/>
  <c r="S11" i="111"/>
  <c r="R11" i="111"/>
  <c r="Q11" i="111"/>
  <c r="P11" i="111"/>
  <c r="O11" i="111"/>
  <c r="N11" i="111"/>
  <c r="L11" i="111"/>
  <c r="K11" i="111"/>
  <c r="J11" i="111"/>
  <c r="I11" i="111"/>
  <c r="F11" i="111"/>
  <c r="D11" i="111"/>
  <c r="A11" i="111"/>
  <c r="T10" i="111"/>
  <c r="S10" i="111"/>
  <c r="R10" i="111"/>
  <c r="Q10" i="111"/>
  <c r="P10" i="111"/>
  <c r="O10" i="111"/>
  <c r="N10" i="111"/>
  <c r="L10" i="111"/>
  <c r="K10" i="111"/>
  <c r="J10" i="111"/>
  <c r="I10" i="111"/>
  <c r="F10" i="111"/>
  <c r="D10" i="111"/>
  <c r="A10" i="111"/>
  <c r="T9" i="111"/>
  <c r="S9" i="111"/>
  <c r="R9" i="111"/>
  <c r="Q9" i="111"/>
  <c r="P9" i="111"/>
  <c r="O9" i="111"/>
  <c r="N9" i="111"/>
  <c r="L9" i="111"/>
  <c r="K9" i="111"/>
  <c r="J9" i="111"/>
  <c r="I9" i="111"/>
  <c r="F9" i="111"/>
  <c r="D9" i="111"/>
  <c r="A9" i="111"/>
  <c r="T8" i="111"/>
  <c r="S8" i="111"/>
  <c r="R8" i="111"/>
  <c r="Q8" i="111"/>
  <c r="P8" i="111"/>
  <c r="O8" i="111"/>
  <c r="N8" i="111"/>
  <c r="L8" i="111"/>
  <c r="K8" i="111"/>
  <c r="J8" i="111"/>
  <c r="I8" i="111"/>
  <c r="F8" i="111"/>
  <c r="D8" i="111"/>
  <c r="A8" i="111"/>
  <c r="T7" i="111"/>
  <c r="S7" i="111"/>
  <c r="R7" i="111"/>
  <c r="Q7" i="111"/>
  <c r="P7" i="111"/>
  <c r="O7" i="111"/>
  <c r="N7" i="111"/>
  <c r="L7" i="111"/>
  <c r="K7" i="111"/>
  <c r="J7" i="111"/>
  <c r="I7" i="111"/>
  <c r="F7" i="111"/>
  <c r="D7" i="111"/>
  <c r="A7" i="111"/>
  <c r="T6" i="111"/>
  <c r="S6" i="111"/>
  <c r="R6" i="111"/>
  <c r="Q6" i="111"/>
  <c r="P6" i="111"/>
  <c r="O6" i="111"/>
  <c r="N6" i="111"/>
  <c r="L6" i="111"/>
  <c r="K6" i="111"/>
  <c r="J6" i="111"/>
  <c r="I6" i="111"/>
  <c r="F6" i="111"/>
  <c r="D6" i="111"/>
  <c r="A6" i="111"/>
  <c r="T5" i="111"/>
  <c r="S5" i="111"/>
  <c r="R5" i="111"/>
  <c r="Q5" i="111"/>
  <c r="P5" i="111"/>
  <c r="O5" i="111"/>
  <c r="N5" i="111"/>
  <c r="L5" i="111"/>
  <c r="K5" i="111"/>
  <c r="J5" i="111"/>
  <c r="I5" i="111"/>
  <c r="F5" i="111"/>
  <c r="D5" i="111"/>
  <c r="A5" i="111"/>
  <c r="T4" i="111"/>
  <c r="S4" i="111"/>
  <c r="R4" i="111"/>
  <c r="Q4" i="111"/>
  <c r="P4" i="111"/>
  <c r="O4" i="111"/>
  <c r="N4" i="111"/>
  <c r="L4" i="111"/>
  <c r="K4" i="111"/>
  <c r="J4" i="111"/>
  <c r="I4" i="111"/>
  <c r="F4" i="111"/>
  <c r="D4" i="111"/>
  <c r="A4" i="111"/>
  <c r="T3" i="111"/>
  <c r="S3" i="111"/>
  <c r="R3" i="111"/>
  <c r="Q3" i="111"/>
  <c r="P3" i="111"/>
  <c r="O3" i="111"/>
  <c r="N3" i="111"/>
  <c r="L3" i="111"/>
  <c r="K3" i="111"/>
  <c r="J3" i="111"/>
  <c r="I3" i="111"/>
  <c r="F3" i="111"/>
  <c r="D3" i="111"/>
  <c r="A3" i="111"/>
  <c r="T2" i="111"/>
  <c r="S2" i="111"/>
  <c r="R2" i="111"/>
  <c r="Q2" i="111"/>
  <c r="P2" i="111"/>
  <c r="O2" i="111"/>
  <c r="N2" i="111"/>
  <c r="L2" i="111"/>
  <c r="K2" i="111"/>
  <c r="J2" i="111"/>
  <c r="I2" i="111"/>
  <c r="F2" i="111"/>
  <c r="D2" i="111"/>
  <c r="A2" i="111"/>
  <c r="B44" i="110"/>
  <c r="B40" i="110"/>
  <c r="B41" i="110"/>
  <c r="B42" i="110"/>
  <c r="B43" i="110"/>
  <c r="B45" i="110"/>
  <c r="B46" i="110"/>
  <c r="B47" i="110"/>
  <c r="B48" i="110"/>
  <c r="B49" i="110"/>
  <c r="B50" i="110"/>
  <c r="B51" i="110"/>
  <c r="C44" i="110"/>
  <c r="C45" i="110"/>
  <c r="C49" i="110"/>
  <c r="C50" i="110"/>
  <c r="F51" i="110"/>
  <c r="C42" i="110"/>
  <c r="C43" i="110"/>
  <c r="C47" i="110"/>
  <c r="C48" i="110"/>
  <c r="F50" i="110"/>
  <c r="C40" i="110"/>
  <c r="C41" i="110"/>
  <c r="C46" i="110"/>
  <c r="F47" i="110"/>
  <c r="F42" i="110"/>
  <c r="F41" i="110"/>
  <c r="F40" i="110"/>
  <c r="B28" i="110"/>
  <c r="C21" i="110"/>
  <c r="C22" i="110"/>
  <c r="C28" i="110"/>
  <c r="D28" i="110"/>
  <c r="I27" i="110"/>
  <c r="J27" i="110"/>
  <c r="F27" i="110"/>
  <c r="I26" i="110"/>
  <c r="J26" i="110"/>
  <c r="F26" i="110"/>
  <c r="I25" i="110"/>
  <c r="J25" i="110"/>
  <c r="F25" i="110"/>
  <c r="I24" i="110"/>
  <c r="J24" i="110"/>
  <c r="F24" i="110"/>
  <c r="I23" i="110"/>
  <c r="J23" i="110"/>
  <c r="F23" i="110"/>
  <c r="D22" i="110"/>
  <c r="G22" i="110"/>
  <c r="E22" i="110"/>
  <c r="H22" i="110"/>
  <c r="I22" i="110"/>
  <c r="J22" i="110"/>
  <c r="F22" i="110"/>
  <c r="D21" i="110"/>
  <c r="G21" i="110"/>
  <c r="E21" i="110"/>
  <c r="H21" i="110"/>
  <c r="I21" i="110"/>
  <c r="J21" i="110"/>
  <c r="F21" i="110"/>
  <c r="I20" i="110"/>
  <c r="J20" i="110"/>
  <c r="F20" i="110"/>
  <c r="I19" i="110"/>
  <c r="J19" i="110"/>
  <c r="F19" i="110"/>
  <c r="I18" i="110"/>
  <c r="J18" i="110"/>
  <c r="F18" i="110"/>
  <c r="I17" i="110"/>
  <c r="J17" i="110"/>
  <c r="F17" i="110"/>
  <c r="B10" i="110"/>
  <c r="B27" i="106"/>
  <c r="B26" i="106"/>
  <c r="A246" i="82"/>
  <c r="F246" i="82"/>
  <c r="J246" i="82"/>
  <c r="K246" i="82"/>
  <c r="L246" i="82"/>
  <c r="I250" i="82"/>
  <c r="D250" i="82"/>
  <c r="B23" i="106"/>
  <c r="D23" i="106"/>
  <c r="D26" i="106"/>
  <c r="B18" i="106"/>
  <c r="D18" i="106"/>
  <c r="D27" i="106"/>
  <c r="N246" i="82"/>
  <c r="O246" i="82"/>
  <c r="P246" i="82"/>
  <c r="Q246" i="82"/>
  <c r="R246" i="82"/>
  <c r="S246" i="82"/>
  <c r="T246" i="82"/>
  <c r="A247" i="82"/>
  <c r="F247" i="82"/>
  <c r="J247" i="82"/>
  <c r="K247" i="82"/>
  <c r="L247" i="82"/>
  <c r="N247" i="82"/>
  <c r="O247" i="82"/>
  <c r="P247" i="82"/>
  <c r="Q247" i="82"/>
  <c r="R247" i="82"/>
  <c r="S247" i="82"/>
  <c r="T247" i="82"/>
  <c r="A248" i="82"/>
  <c r="F248" i="82"/>
  <c r="J248" i="82"/>
  <c r="K248" i="82"/>
  <c r="L248" i="82"/>
  <c r="O248" i="82"/>
  <c r="P248" i="82"/>
  <c r="Q248" i="82"/>
  <c r="R248" i="82"/>
  <c r="S248" i="82"/>
  <c r="T248" i="82"/>
  <c r="A250" i="82"/>
  <c r="F250" i="82"/>
  <c r="J250" i="82"/>
  <c r="K250" i="82"/>
  <c r="L250" i="82"/>
  <c r="O250" i="82"/>
  <c r="P250" i="82"/>
  <c r="Q250" i="82"/>
  <c r="R250" i="82"/>
  <c r="S250" i="82"/>
  <c r="T250" i="82"/>
  <c r="B28" i="106"/>
  <c r="B40" i="106"/>
  <c r="B41" i="106"/>
  <c r="B42" i="106"/>
  <c r="B43" i="106"/>
  <c r="B44" i="106"/>
  <c r="B45" i="106"/>
  <c r="B46" i="106"/>
  <c r="B47" i="106"/>
  <c r="B48" i="106"/>
  <c r="B49" i="106"/>
  <c r="B50" i="106"/>
  <c r="B51" i="106"/>
  <c r="C47" i="106"/>
  <c r="C20" i="106"/>
  <c r="D20" i="106"/>
  <c r="C21" i="106"/>
  <c r="D21" i="106"/>
  <c r="C22" i="106"/>
  <c r="D22" i="106"/>
  <c r="C23" i="106"/>
  <c r="C24" i="106"/>
  <c r="D24" i="106"/>
  <c r="C25" i="106"/>
  <c r="D25" i="106"/>
  <c r="C26" i="106"/>
  <c r="C27" i="106"/>
  <c r="D17" i="106"/>
  <c r="D19" i="106"/>
  <c r="C44" i="106"/>
  <c r="C45" i="106"/>
  <c r="C49" i="106"/>
  <c r="C50" i="106"/>
  <c r="F51" i="106"/>
  <c r="C42" i="106"/>
  <c r="C43" i="106"/>
  <c r="C48" i="106"/>
  <c r="F50" i="106"/>
  <c r="C40" i="106"/>
  <c r="C41" i="106"/>
  <c r="C46" i="106"/>
  <c r="F47" i="106"/>
  <c r="F42" i="106"/>
  <c r="F41" i="106"/>
  <c r="F40" i="106"/>
  <c r="B19" i="106"/>
  <c r="I17" i="106"/>
  <c r="I18" i="106"/>
  <c r="J18" i="106"/>
  <c r="I19" i="106"/>
  <c r="J19" i="106"/>
  <c r="I20" i="106"/>
  <c r="J20" i="106"/>
  <c r="G21" i="106"/>
  <c r="H21" i="106"/>
  <c r="I21" i="106"/>
  <c r="J21" i="106"/>
  <c r="G22" i="106"/>
  <c r="H22" i="106"/>
  <c r="I22" i="106"/>
  <c r="J22" i="106"/>
  <c r="I23" i="106"/>
  <c r="J23" i="106"/>
  <c r="I24" i="106"/>
  <c r="J24" i="106"/>
  <c r="I25" i="106"/>
  <c r="J25" i="106"/>
  <c r="I26" i="106"/>
  <c r="J26" i="106"/>
  <c r="I27" i="106"/>
  <c r="J27" i="106"/>
  <c r="F18" i="106"/>
  <c r="F19" i="106"/>
  <c r="F20" i="106"/>
  <c r="F21" i="106"/>
  <c r="F22" i="106"/>
  <c r="F23" i="106"/>
  <c r="F24" i="106"/>
  <c r="F25" i="106"/>
  <c r="F26" i="106"/>
  <c r="F27" i="106"/>
  <c r="I3" i="82"/>
  <c r="D3" i="82"/>
  <c r="I4" i="82"/>
  <c r="D4" i="82"/>
  <c r="I5" i="82"/>
  <c r="D5" i="82"/>
  <c r="I6" i="82"/>
  <c r="D6" i="82"/>
  <c r="I7" i="82"/>
  <c r="D7" i="82"/>
  <c r="I8" i="82"/>
  <c r="D8" i="82"/>
  <c r="I9" i="82"/>
  <c r="D9" i="82"/>
  <c r="I10" i="82"/>
  <c r="D10" i="82"/>
  <c r="I11" i="82"/>
  <c r="D11" i="82"/>
  <c r="I12" i="82"/>
  <c r="D12" i="82"/>
  <c r="I13" i="82"/>
  <c r="D13" i="82"/>
  <c r="I14" i="82"/>
  <c r="D14" i="82"/>
  <c r="I15" i="82"/>
  <c r="D15" i="82"/>
  <c r="I16" i="82"/>
  <c r="D16" i="82"/>
  <c r="I17" i="82"/>
  <c r="D17" i="82"/>
  <c r="I18" i="82"/>
  <c r="D18" i="82"/>
  <c r="I19" i="82"/>
  <c r="D19" i="82"/>
  <c r="I20" i="82"/>
  <c r="D20" i="82"/>
  <c r="I21" i="82"/>
  <c r="D21" i="82"/>
  <c r="I22" i="82"/>
  <c r="D22" i="82"/>
  <c r="I23" i="82"/>
  <c r="D23" i="82"/>
  <c r="I24" i="82"/>
  <c r="D24" i="82"/>
  <c r="I25" i="82"/>
  <c r="D25" i="82"/>
  <c r="I26" i="82"/>
  <c r="D26" i="82"/>
  <c r="I27" i="82"/>
  <c r="D27" i="82"/>
  <c r="I28" i="82"/>
  <c r="D28" i="82"/>
  <c r="I29" i="82"/>
  <c r="D29" i="82"/>
  <c r="I30" i="82"/>
  <c r="D30" i="82"/>
  <c r="I31" i="82"/>
  <c r="D31" i="82"/>
  <c r="I32" i="82"/>
  <c r="D32" i="82"/>
  <c r="I33" i="82"/>
  <c r="D33" i="82"/>
  <c r="I34" i="82"/>
  <c r="D34" i="82"/>
  <c r="I35" i="82"/>
  <c r="D35" i="82"/>
  <c r="I36" i="82"/>
  <c r="D36" i="82"/>
  <c r="I37" i="82"/>
  <c r="D37" i="82"/>
  <c r="I38" i="82"/>
  <c r="D38" i="82"/>
  <c r="I39" i="82"/>
  <c r="D39" i="82"/>
  <c r="I40" i="82"/>
  <c r="D40" i="82"/>
  <c r="I41" i="82"/>
  <c r="D41" i="82"/>
  <c r="I42" i="82"/>
  <c r="D42" i="82"/>
  <c r="I43" i="82"/>
  <c r="D43" i="82"/>
  <c r="I44" i="82"/>
  <c r="D44" i="82"/>
  <c r="I45" i="82"/>
  <c r="D45" i="82"/>
  <c r="I46" i="82"/>
  <c r="D46" i="82"/>
  <c r="I47" i="82"/>
  <c r="D47" i="82"/>
  <c r="I48" i="82"/>
  <c r="D48" i="82"/>
  <c r="I49" i="82"/>
  <c r="D49" i="82"/>
  <c r="I50" i="82"/>
  <c r="D50" i="82"/>
  <c r="I51" i="82"/>
  <c r="D51" i="82"/>
  <c r="I52" i="82"/>
  <c r="D52" i="82"/>
  <c r="I53" i="82"/>
  <c r="D53" i="82"/>
  <c r="I54" i="82"/>
  <c r="D54" i="82"/>
  <c r="I55" i="82"/>
  <c r="D55" i="82"/>
  <c r="I56" i="82"/>
  <c r="D56" i="82"/>
  <c r="I57" i="82"/>
  <c r="D57" i="82"/>
  <c r="I58" i="82"/>
  <c r="D58" i="82"/>
  <c r="I59" i="82"/>
  <c r="D59" i="82"/>
  <c r="I60" i="82"/>
  <c r="D60" i="82"/>
  <c r="I61" i="82"/>
  <c r="D61" i="82"/>
  <c r="I62" i="82"/>
  <c r="D62" i="82"/>
  <c r="I63" i="82"/>
  <c r="D63" i="82"/>
  <c r="I64" i="82"/>
  <c r="D64" i="82"/>
  <c r="I65" i="82"/>
  <c r="D65" i="82"/>
  <c r="I66" i="82"/>
  <c r="D66" i="82"/>
  <c r="I67" i="82"/>
  <c r="D67" i="82"/>
  <c r="I68" i="82"/>
  <c r="D68" i="82"/>
  <c r="I69" i="82"/>
  <c r="D69" i="82"/>
  <c r="I70" i="82"/>
  <c r="D70" i="82"/>
  <c r="I71" i="82"/>
  <c r="D71" i="82"/>
  <c r="I72" i="82"/>
  <c r="D72" i="82"/>
  <c r="I73" i="82"/>
  <c r="D73" i="82"/>
  <c r="I74" i="82"/>
  <c r="D74" i="82"/>
  <c r="I75" i="82"/>
  <c r="D75" i="82"/>
  <c r="I76" i="82"/>
  <c r="D76" i="82"/>
  <c r="I77" i="82"/>
  <c r="D77" i="82"/>
  <c r="I78" i="82"/>
  <c r="D78" i="82"/>
  <c r="I79" i="82"/>
  <c r="D79" i="82"/>
  <c r="I80" i="82"/>
  <c r="D80" i="82"/>
  <c r="I81" i="82"/>
  <c r="D81" i="82"/>
  <c r="I82" i="82"/>
  <c r="D82" i="82"/>
  <c r="I83" i="82"/>
  <c r="D83" i="82"/>
  <c r="I84" i="82"/>
  <c r="D84" i="82"/>
  <c r="I85" i="82"/>
  <c r="D85" i="82"/>
  <c r="I86" i="82"/>
  <c r="D86" i="82"/>
  <c r="I87" i="82"/>
  <c r="D87" i="82"/>
  <c r="I88" i="82"/>
  <c r="D88" i="82"/>
  <c r="I89" i="82"/>
  <c r="D89" i="82"/>
  <c r="I90" i="82"/>
  <c r="D90" i="82"/>
  <c r="I91" i="82"/>
  <c r="D91" i="82"/>
  <c r="I92" i="82"/>
  <c r="D92" i="82"/>
  <c r="I93" i="82"/>
  <c r="D93" i="82"/>
  <c r="I94" i="82"/>
  <c r="D94" i="82"/>
  <c r="I95" i="82"/>
  <c r="D95" i="82"/>
  <c r="I96" i="82"/>
  <c r="D96" i="82"/>
  <c r="I97" i="82"/>
  <c r="D97" i="82"/>
  <c r="I98" i="82"/>
  <c r="D98" i="82"/>
  <c r="I99" i="82"/>
  <c r="D99" i="82"/>
  <c r="I100" i="82"/>
  <c r="D100" i="82"/>
  <c r="I101" i="82"/>
  <c r="D101" i="82"/>
  <c r="I102" i="82"/>
  <c r="D102" i="82"/>
  <c r="I103" i="82"/>
  <c r="D103" i="82"/>
  <c r="I104" i="82"/>
  <c r="D104" i="82"/>
  <c r="I105" i="82"/>
  <c r="D105" i="82"/>
  <c r="I106" i="82"/>
  <c r="D106" i="82"/>
  <c r="I107" i="82"/>
  <c r="D107" i="82"/>
  <c r="I108" i="82"/>
  <c r="D108" i="82"/>
  <c r="I109" i="82"/>
  <c r="D109" i="82"/>
  <c r="I110" i="82"/>
  <c r="D110" i="82"/>
  <c r="I111" i="82"/>
  <c r="D111" i="82"/>
  <c r="I112" i="82"/>
  <c r="D112" i="82"/>
  <c r="I113" i="82"/>
  <c r="D113" i="82"/>
  <c r="I114" i="82"/>
  <c r="D114" i="82"/>
  <c r="I115" i="82"/>
  <c r="D115" i="82"/>
  <c r="I116" i="82"/>
  <c r="D116" i="82"/>
  <c r="I117" i="82"/>
  <c r="D117" i="82"/>
  <c r="I118" i="82"/>
  <c r="D118" i="82"/>
  <c r="I119" i="82"/>
  <c r="D119" i="82"/>
  <c r="I120" i="82"/>
  <c r="D120" i="82"/>
  <c r="I121" i="82"/>
  <c r="D121" i="82"/>
  <c r="I122" i="82"/>
  <c r="D122" i="82"/>
  <c r="I123" i="82"/>
  <c r="D123" i="82"/>
  <c r="I124" i="82"/>
  <c r="D124" i="82"/>
  <c r="I125" i="82"/>
  <c r="D125" i="82"/>
  <c r="I126" i="82"/>
  <c r="D126" i="82"/>
  <c r="I127" i="82"/>
  <c r="D127" i="82"/>
  <c r="I128" i="82"/>
  <c r="D128" i="82"/>
  <c r="I129" i="82"/>
  <c r="D129" i="82"/>
  <c r="I130" i="82"/>
  <c r="D130" i="82"/>
  <c r="I131" i="82"/>
  <c r="D131" i="82"/>
  <c r="I132" i="82"/>
  <c r="D132" i="82"/>
  <c r="I133" i="82"/>
  <c r="D133" i="82"/>
  <c r="I134" i="82"/>
  <c r="D134" i="82"/>
  <c r="I135" i="82"/>
  <c r="D135" i="82"/>
  <c r="I136" i="82"/>
  <c r="D136" i="82"/>
  <c r="I137" i="82"/>
  <c r="D137" i="82"/>
  <c r="I146" i="82"/>
  <c r="D146" i="82"/>
  <c r="I147" i="82"/>
  <c r="D147" i="82"/>
  <c r="I148" i="82"/>
  <c r="D148" i="82"/>
  <c r="I153" i="82"/>
  <c r="D153" i="82"/>
  <c r="I154" i="82"/>
  <c r="D154" i="82"/>
  <c r="I155" i="82"/>
  <c r="D155" i="82"/>
  <c r="I158" i="82"/>
  <c r="D158" i="82"/>
  <c r="I159" i="82"/>
  <c r="D159" i="82"/>
  <c r="I160" i="82"/>
  <c r="D160" i="82"/>
  <c r="I161" i="82"/>
  <c r="D161" i="82"/>
  <c r="I162" i="82"/>
  <c r="D162" i="82"/>
  <c r="I163" i="82"/>
  <c r="D163" i="82"/>
  <c r="I166" i="82"/>
  <c r="D166" i="82"/>
  <c r="I167" i="82"/>
  <c r="D167" i="82"/>
  <c r="I168" i="82"/>
  <c r="D168" i="82"/>
  <c r="I171" i="82"/>
  <c r="D171" i="82"/>
  <c r="I172" i="82"/>
  <c r="D172" i="82"/>
  <c r="I173" i="82"/>
  <c r="D173" i="82"/>
  <c r="I178" i="82"/>
  <c r="D178" i="82"/>
  <c r="I179" i="82"/>
  <c r="D179" i="82"/>
  <c r="I180" i="82"/>
  <c r="D180" i="82"/>
  <c r="I181" i="82"/>
  <c r="D181" i="82"/>
  <c r="I182" i="82"/>
  <c r="D182" i="82"/>
  <c r="I183" i="82"/>
  <c r="D183" i="82"/>
  <c r="I186" i="82"/>
  <c r="D186" i="82"/>
  <c r="I187" i="82"/>
  <c r="D187" i="82"/>
  <c r="I188" i="82"/>
  <c r="D188" i="82"/>
  <c r="I193" i="82"/>
  <c r="D193" i="82"/>
  <c r="I194" i="82"/>
  <c r="D194" i="82"/>
  <c r="I195" i="82"/>
  <c r="D195" i="82"/>
  <c r="I198" i="82"/>
  <c r="D198" i="82"/>
  <c r="I199" i="82"/>
  <c r="D199" i="82"/>
  <c r="I200" i="82"/>
  <c r="D200" i="82"/>
  <c r="I203" i="82"/>
  <c r="D203" i="82"/>
  <c r="I204" i="82"/>
  <c r="D204" i="82"/>
  <c r="I205" i="82"/>
  <c r="D205" i="82"/>
  <c r="I210" i="82"/>
  <c r="D210" i="82"/>
  <c r="I211" i="82"/>
  <c r="D211" i="82"/>
  <c r="I212" i="82"/>
  <c r="D212" i="82"/>
  <c r="I217" i="82"/>
  <c r="D217" i="82"/>
  <c r="I218" i="82"/>
  <c r="D218" i="82"/>
  <c r="I219" i="82"/>
  <c r="D219" i="82"/>
  <c r="I220" i="82"/>
  <c r="D220" i="82"/>
  <c r="I221" i="82"/>
  <c r="D221" i="82"/>
  <c r="I222" i="82"/>
  <c r="D222" i="82"/>
  <c r="I225" i="82"/>
  <c r="D225" i="82"/>
  <c r="I226" i="82"/>
  <c r="D226" i="82"/>
  <c r="I227" i="82"/>
  <c r="D227" i="82"/>
  <c r="I228" i="82"/>
  <c r="D228" i="82"/>
  <c r="I229" i="82"/>
  <c r="D229" i="82"/>
  <c r="I230" i="82"/>
  <c r="D230" i="82"/>
  <c r="I233" i="82"/>
  <c r="D233" i="82"/>
  <c r="I234" i="82"/>
  <c r="D234" i="82"/>
  <c r="I235" i="82"/>
  <c r="D235" i="82"/>
  <c r="I240" i="82"/>
  <c r="D240" i="82"/>
  <c r="I241" i="82"/>
  <c r="D241" i="82"/>
  <c r="I242" i="82"/>
  <c r="D242" i="82"/>
  <c r="I243" i="82"/>
  <c r="D243" i="82"/>
  <c r="I244" i="82"/>
  <c r="D244" i="82"/>
  <c r="I245" i="82"/>
  <c r="D245" i="82"/>
  <c r="I2" i="82"/>
  <c r="D2" i="82"/>
  <c r="C17" i="106"/>
  <c r="C18" i="106"/>
  <c r="C19" i="106"/>
  <c r="B5" i="106"/>
  <c r="B17" i="106"/>
  <c r="E3" i="103"/>
  <c r="A3" i="82"/>
  <c r="A4" i="82"/>
  <c r="A5" i="82"/>
  <c r="A6" i="82"/>
  <c r="A7" i="82"/>
  <c r="A8" i="82"/>
  <c r="A9" i="82"/>
  <c r="A10" i="82"/>
  <c r="A11" i="82"/>
  <c r="A12" i="82"/>
  <c r="A13" i="82"/>
  <c r="A14" i="82"/>
  <c r="A15" i="82"/>
  <c r="A16" i="82"/>
  <c r="A17" i="82"/>
  <c r="A18" i="82"/>
  <c r="A19" i="82"/>
  <c r="A20" i="82"/>
  <c r="A21" i="82"/>
  <c r="A22" i="82"/>
  <c r="A23" i="82"/>
  <c r="A24" i="82"/>
  <c r="A25" i="82"/>
  <c r="A26" i="82"/>
  <c r="A27" i="82"/>
  <c r="A28" i="82"/>
  <c r="A29" i="82"/>
  <c r="A30" i="82"/>
  <c r="A31" i="82"/>
  <c r="A32" i="82"/>
  <c r="A33" i="82"/>
  <c r="A34" i="82"/>
  <c r="A35" i="82"/>
  <c r="A36" i="82"/>
  <c r="A37" i="82"/>
  <c r="A38" i="82"/>
  <c r="A39" i="82"/>
  <c r="A40" i="82"/>
  <c r="A41" i="82"/>
  <c r="A42" i="82"/>
  <c r="A43" i="82"/>
  <c r="A44" i="82"/>
  <c r="A45" i="82"/>
  <c r="A46" i="82"/>
  <c r="A47" i="82"/>
  <c r="A48" i="82"/>
  <c r="A49" i="82"/>
  <c r="A50" i="82"/>
  <c r="A51" i="82"/>
  <c r="A52" i="82"/>
  <c r="A53" i="82"/>
  <c r="A54" i="82"/>
  <c r="A55" i="82"/>
  <c r="A56" i="82"/>
  <c r="A57" i="82"/>
  <c r="A58" i="82"/>
  <c r="A59" i="82"/>
  <c r="A60" i="82"/>
  <c r="A61" i="82"/>
  <c r="A62" i="82"/>
  <c r="A63" i="82"/>
  <c r="A64" i="82"/>
  <c r="A65" i="82"/>
  <c r="A66" i="82"/>
  <c r="A67" i="82"/>
  <c r="A68" i="82"/>
  <c r="A69" i="82"/>
  <c r="A70" i="82"/>
  <c r="A71" i="82"/>
  <c r="A72" i="82"/>
  <c r="A73" i="82"/>
  <c r="A74" i="82"/>
  <c r="A75" i="82"/>
  <c r="A76" i="82"/>
  <c r="A77" i="82"/>
  <c r="A78" i="82"/>
  <c r="A79" i="82"/>
  <c r="A80" i="82"/>
  <c r="A81" i="82"/>
  <c r="A82" i="82"/>
  <c r="A83" i="82"/>
  <c r="A84" i="82"/>
  <c r="A85" i="82"/>
  <c r="A86" i="82"/>
  <c r="A87" i="82"/>
  <c r="A88" i="82"/>
  <c r="A89" i="82"/>
  <c r="A90" i="82"/>
  <c r="A91" i="82"/>
  <c r="A92" i="82"/>
  <c r="A93" i="82"/>
  <c r="A94" i="82"/>
  <c r="A95" i="82"/>
  <c r="A96" i="82"/>
  <c r="A97" i="82"/>
  <c r="A98" i="82"/>
  <c r="A99" i="82"/>
  <c r="A100" i="82"/>
  <c r="A101" i="82"/>
  <c r="A102" i="82"/>
  <c r="A103" i="82"/>
  <c r="A104" i="82"/>
  <c r="A105" i="82"/>
  <c r="A106" i="82"/>
  <c r="A107" i="82"/>
  <c r="A108" i="82"/>
  <c r="A109" i="82"/>
  <c r="A110" i="82"/>
  <c r="A111" i="82"/>
  <c r="A112" i="82"/>
  <c r="A113" i="82"/>
  <c r="A114" i="82"/>
  <c r="A115" i="82"/>
  <c r="A116" i="82"/>
  <c r="A117" i="82"/>
  <c r="A118" i="82"/>
  <c r="A119" i="82"/>
  <c r="A120" i="82"/>
  <c r="A121" i="82"/>
  <c r="A122" i="82"/>
  <c r="A123" i="82"/>
  <c r="A124" i="82"/>
  <c r="A125" i="82"/>
  <c r="A126" i="82"/>
  <c r="A127" i="82"/>
  <c r="A128" i="82"/>
  <c r="A129" i="82"/>
  <c r="A130" i="82"/>
  <c r="A131" i="82"/>
  <c r="A132" i="82"/>
  <c r="A133" i="82"/>
  <c r="A134" i="82"/>
  <c r="A135" i="82"/>
  <c r="A136" i="82"/>
  <c r="A137" i="82"/>
  <c r="A138" i="82"/>
  <c r="A139" i="82"/>
  <c r="A140" i="82"/>
  <c r="A141" i="82"/>
  <c r="A142" i="82"/>
  <c r="A143" i="82"/>
  <c r="A144" i="82"/>
  <c r="A145" i="82"/>
  <c r="A146" i="82"/>
  <c r="A147" i="82"/>
  <c r="A148" i="82"/>
  <c r="A149" i="82"/>
  <c r="A150" i="82"/>
  <c r="A151" i="82"/>
  <c r="A152" i="82"/>
  <c r="A153" i="82"/>
  <c r="A154" i="82"/>
  <c r="A155" i="82"/>
  <c r="A156" i="82"/>
  <c r="A157" i="82"/>
  <c r="A158" i="82"/>
  <c r="A159" i="82"/>
  <c r="A160" i="82"/>
  <c r="A161" i="82"/>
  <c r="A162" i="82"/>
  <c r="A163" i="82"/>
  <c r="A164" i="82"/>
  <c r="A165" i="82"/>
  <c r="A166" i="82"/>
  <c r="A167" i="82"/>
  <c r="A168" i="82"/>
  <c r="A169" i="82"/>
  <c r="A170" i="82"/>
  <c r="A171" i="82"/>
  <c r="A172" i="82"/>
  <c r="A173" i="82"/>
  <c r="A174" i="82"/>
  <c r="A175" i="82"/>
  <c r="A176" i="82"/>
  <c r="A177" i="82"/>
  <c r="A178" i="82"/>
  <c r="A179" i="82"/>
  <c r="A180" i="82"/>
  <c r="A181" i="82"/>
  <c r="A182" i="82"/>
  <c r="A183" i="82"/>
  <c r="A184" i="82"/>
  <c r="A185" i="82"/>
  <c r="A186" i="82"/>
  <c r="A187" i="82"/>
  <c r="A188" i="82"/>
  <c r="A189" i="82"/>
  <c r="A190" i="82"/>
  <c r="A191" i="82"/>
  <c r="A192" i="82"/>
  <c r="A193" i="82"/>
  <c r="A194" i="82"/>
  <c r="A195" i="82"/>
  <c r="A196" i="82"/>
  <c r="A197" i="82"/>
  <c r="A198" i="82"/>
  <c r="A199" i="82"/>
  <c r="A200" i="82"/>
  <c r="A201" i="82"/>
  <c r="A202" i="82"/>
  <c r="A203" i="82"/>
  <c r="A204" i="82"/>
  <c r="A205" i="82"/>
  <c r="A206" i="82"/>
  <c r="A207" i="82"/>
  <c r="A208" i="82"/>
  <c r="A209" i="82"/>
  <c r="A210" i="82"/>
  <c r="A211" i="82"/>
  <c r="A212" i="82"/>
  <c r="A213" i="82"/>
  <c r="A214" i="82"/>
  <c r="A215" i="82"/>
  <c r="A216" i="82"/>
  <c r="A217" i="82"/>
  <c r="A218" i="82"/>
  <c r="A219" i="82"/>
  <c r="A220" i="82"/>
  <c r="A221" i="82"/>
  <c r="A222" i="82"/>
  <c r="A223" i="82"/>
  <c r="A224" i="82"/>
  <c r="A225" i="82"/>
  <c r="A226" i="82"/>
  <c r="A227" i="82"/>
  <c r="A228" i="82"/>
  <c r="A229" i="82"/>
  <c r="A230" i="82"/>
  <c r="A231" i="82"/>
  <c r="A232" i="82"/>
  <c r="A233" i="82"/>
  <c r="A234" i="82"/>
  <c r="A235" i="82"/>
  <c r="A236" i="82"/>
  <c r="A237" i="82"/>
  <c r="A238" i="82"/>
  <c r="A239" i="82"/>
  <c r="A240" i="82"/>
  <c r="A241" i="82"/>
  <c r="A242" i="82"/>
  <c r="A243" i="82"/>
  <c r="A244" i="82"/>
  <c r="A245" i="82"/>
  <c r="A2" i="82"/>
  <c r="J17" i="106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N2" i="82"/>
  <c r="C28" i="106"/>
  <c r="D28" i="106"/>
  <c r="F17" i="106"/>
  <c r="B10" i="106"/>
  <c r="L2" i="82"/>
  <c r="L3" i="82"/>
  <c r="L4" i="82"/>
  <c r="L5" i="82"/>
  <c r="L6" i="82"/>
  <c r="L7" i="82"/>
  <c r="L8" i="82"/>
  <c r="L9" i="82"/>
  <c r="L10" i="82"/>
  <c r="L11" i="82"/>
  <c r="L12" i="82"/>
  <c r="L13" i="82"/>
  <c r="L14" i="82"/>
  <c r="L15" i="82"/>
  <c r="L16" i="82"/>
  <c r="L17" i="82"/>
  <c r="L18" i="82"/>
  <c r="L19" i="82"/>
  <c r="L20" i="82"/>
  <c r="L21" i="82"/>
  <c r="L22" i="82"/>
  <c r="L23" i="82"/>
  <c r="L24" i="82"/>
  <c r="L25" i="82"/>
  <c r="L26" i="82"/>
  <c r="L27" i="82"/>
  <c r="L28" i="82"/>
  <c r="L29" i="82"/>
  <c r="L30" i="82"/>
  <c r="L31" i="82"/>
  <c r="L32" i="82"/>
  <c r="L33" i="82"/>
  <c r="L34" i="82"/>
  <c r="L35" i="82"/>
  <c r="L36" i="82"/>
  <c r="L37" i="82"/>
  <c r="L38" i="82"/>
  <c r="L39" i="82"/>
  <c r="L40" i="82"/>
  <c r="L41" i="82"/>
  <c r="L42" i="82"/>
  <c r="L43" i="82"/>
  <c r="L44" i="82"/>
  <c r="L45" i="82"/>
  <c r="L46" i="82"/>
  <c r="L47" i="82"/>
  <c r="L48" i="82"/>
  <c r="L49" i="82"/>
  <c r="L50" i="82"/>
  <c r="L51" i="82"/>
  <c r="L52" i="82"/>
  <c r="L53" i="82"/>
  <c r="L54" i="82"/>
  <c r="L55" i="82"/>
  <c r="L56" i="82"/>
  <c r="L57" i="82"/>
  <c r="L58" i="82"/>
  <c r="L59" i="82"/>
  <c r="L60" i="82"/>
  <c r="L61" i="82"/>
  <c r="L62" i="82"/>
  <c r="L63" i="82"/>
  <c r="L64" i="82"/>
  <c r="L65" i="82"/>
  <c r="L66" i="82"/>
  <c r="L67" i="82"/>
  <c r="L68" i="82"/>
  <c r="L69" i="82"/>
  <c r="L70" i="82"/>
  <c r="L71" i="82"/>
  <c r="L72" i="82"/>
  <c r="L73" i="82"/>
  <c r="L74" i="82"/>
  <c r="L75" i="82"/>
  <c r="L76" i="82"/>
  <c r="L77" i="82"/>
  <c r="L78" i="82"/>
  <c r="L79" i="82"/>
  <c r="L80" i="82"/>
  <c r="L81" i="82"/>
  <c r="L82" i="82"/>
  <c r="L83" i="82"/>
  <c r="L84" i="82"/>
  <c r="L85" i="82"/>
  <c r="L86" i="82"/>
  <c r="L87" i="82"/>
  <c r="L88" i="82"/>
  <c r="L89" i="82"/>
  <c r="L90" i="82"/>
  <c r="L91" i="82"/>
  <c r="L92" i="82"/>
  <c r="L93" i="82"/>
  <c r="L94" i="82"/>
  <c r="L95" i="82"/>
  <c r="L96" i="82"/>
  <c r="L97" i="82"/>
  <c r="L98" i="82"/>
  <c r="L99" i="82"/>
  <c r="L100" i="82"/>
  <c r="L101" i="82"/>
  <c r="L102" i="82"/>
  <c r="L103" i="82"/>
  <c r="L104" i="82"/>
  <c r="L105" i="82"/>
  <c r="L106" i="82"/>
  <c r="L107" i="82"/>
  <c r="L108" i="82"/>
  <c r="L109" i="82"/>
  <c r="L110" i="82"/>
  <c r="L111" i="82"/>
  <c r="L112" i="82"/>
  <c r="L113" i="82"/>
  <c r="L114" i="82"/>
  <c r="L115" i="82"/>
  <c r="L116" i="82"/>
  <c r="L117" i="82"/>
  <c r="L118" i="82"/>
  <c r="L119" i="82"/>
  <c r="L120" i="82"/>
  <c r="L121" i="82"/>
  <c r="L122" i="82"/>
  <c r="L123" i="82"/>
  <c r="L124" i="82"/>
  <c r="L125" i="82"/>
  <c r="L126" i="82"/>
  <c r="L127" i="82"/>
  <c r="L128" i="82"/>
  <c r="L129" i="82"/>
  <c r="L130" i="82"/>
  <c r="L131" i="82"/>
  <c r="L132" i="82"/>
  <c r="L133" i="82"/>
  <c r="L134" i="82"/>
  <c r="L135" i="82"/>
  <c r="L136" i="82"/>
  <c r="L137" i="82"/>
  <c r="L138" i="82"/>
  <c r="L139" i="82"/>
  <c r="L140" i="82"/>
  <c r="L141" i="82"/>
  <c r="L142" i="82"/>
  <c r="L143" i="82"/>
  <c r="L144" i="82"/>
  <c r="L145" i="82"/>
  <c r="L146" i="82"/>
  <c r="L147" i="82"/>
  <c r="L148" i="82"/>
  <c r="L149" i="82"/>
  <c r="L150" i="82"/>
  <c r="L151" i="82"/>
  <c r="L152" i="82"/>
  <c r="L153" i="82"/>
  <c r="L154" i="82"/>
  <c r="L155" i="82"/>
  <c r="L156" i="82"/>
  <c r="L157" i="82"/>
  <c r="L158" i="82"/>
  <c r="L159" i="82"/>
  <c r="L160" i="82"/>
  <c r="L161" i="82"/>
  <c r="L162" i="82"/>
  <c r="L163" i="82"/>
  <c r="L164" i="82"/>
  <c r="L165" i="82"/>
  <c r="L166" i="82"/>
  <c r="L167" i="82"/>
  <c r="L168" i="82"/>
  <c r="L169" i="82"/>
  <c r="L170" i="82"/>
  <c r="L171" i="82"/>
  <c r="L172" i="82"/>
  <c r="L173" i="82"/>
  <c r="L174" i="82"/>
  <c r="L175" i="82"/>
  <c r="L176" i="82"/>
  <c r="L177" i="82"/>
  <c r="L178" i="82"/>
  <c r="L179" i="82"/>
  <c r="L180" i="82"/>
  <c r="L181" i="82"/>
  <c r="L182" i="82"/>
  <c r="L183" i="82"/>
  <c r="L184" i="82"/>
  <c r="L185" i="82"/>
  <c r="L186" i="82"/>
  <c r="L187" i="82"/>
  <c r="L188" i="82"/>
  <c r="L189" i="82"/>
  <c r="L190" i="82"/>
  <c r="L191" i="82"/>
  <c r="L192" i="82"/>
  <c r="L193" i="82"/>
  <c r="L194" i="82"/>
  <c r="L195" i="82"/>
  <c r="L196" i="82"/>
  <c r="L197" i="82"/>
  <c r="L198" i="82"/>
  <c r="L199" i="82"/>
  <c r="L200" i="82"/>
  <c r="L201" i="82"/>
  <c r="L202" i="82"/>
  <c r="L203" i="82"/>
  <c r="L204" i="82"/>
  <c r="L205" i="82"/>
  <c r="L206" i="82"/>
  <c r="L207" i="82"/>
  <c r="L208" i="82"/>
  <c r="L209" i="82"/>
  <c r="L210" i="82"/>
  <c r="L211" i="82"/>
  <c r="L212" i="82"/>
  <c r="L213" i="82"/>
  <c r="L214" i="82"/>
  <c r="L215" i="82"/>
  <c r="L216" i="82"/>
  <c r="L217" i="82"/>
  <c r="L218" i="82"/>
  <c r="L219" i="82"/>
  <c r="L220" i="82"/>
  <c r="L221" i="82"/>
  <c r="L222" i="82"/>
  <c r="L223" i="82"/>
  <c r="L224" i="82"/>
  <c r="L225" i="82"/>
  <c r="L226" i="82"/>
  <c r="L227" i="82"/>
  <c r="L228" i="82"/>
  <c r="L229" i="82"/>
  <c r="L230" i="82"/>
  <c r="L231" i="82"/>
  <c r="L232" i="82"/>
  <c r="L233" i="82"/>
  <c r="L234" i="82"/>
  <c r="L235" i="82"/>
  <c r="L236" i="82"/>
  <c r="L237" i="82"/>
  <c r="L238" i="82"/>
  <c r="L239" i="82"/>
  <c r="L240" i="82"/>
  <c r="L241" i="82"/>
  <c r="L242" i="82"/>
  <c r="L243" i="82"/>
  <c r="L244" i="82"/>
  <c r="L245" i="82"/>
  <c r="B3" i="104"/>
  <c r="B4" i="104"/>
  <c r="B5" i="104"/>
  <c r="B6" i="104"/>
  <c r="B7" i="104"/>
  <c r="B8" i="104"/>
  <c r="B9" i="104"/>
  <c r="B10" i="104"/>
  <c r="B11" i="104"/>
  <c r="B2" i="104"/>
  <c r="F236" i="82"/>
  <c r="J236" i="82"/>
  <c r="K236" i="82"/>
  <c r="O236" i="82"/>
  <c r="P236" i="82"/>
  <c r="Q236" i="82"/>
  <c r="R236" i="82"/>
  <c r="S236" i="82"/>
  <c r="T236" i="82"/>
  <c r="F237" i="82"/>
  <c r="J237" i="82"/>
  <c r="K237" i="82"/>
  <c r="O237" i="82"/>
  <c r="P237" i="82"/>
  <c r="Q237" i="82"/>
  <c r="R237" i="82"/>
  <c r="S237" i="82"/>
  <c r="T237" i="82"/>
  <c r="F238" i="82"/>
  <c r="J238" i="82"/>
  <c r="K238" i="82"/>
  <c r="O238" i="82"/>
  <c r="P238" i="82"/>
  <c r="Q238" i="82"/>
  <c r="R238" i="82"/>
  <c r="S238" i="82"/>
  <c r="T238" i="82"/>
  <c r="F239" i="82"/>
  <c r="J239" i="82"/>
  <c r="K239" i="82"/>
  <c r="O239" i="82"/>
  <c r="P239" i="82"/>
  <c r="Q239" i="82"/>
  <c r="R239" i="82"/>
  <c r="S239" i="82"/>
  <c r="T239" i="82"/>
  <c r="F240" i="82"/>
  <c r="J240" i="82"/>
  <c r="K240" i="82"/>
  <c r="O240" i="82"/>
  <c r="P240" i="82"/>
  <c r="Q240" i="82"/>
  <c r="R240" i="82"/>
  <c r="S240" i="82"/>
  <c r="T240" i="82"/>
  <c r="F241" i="82"/>
  <c r="J241" i="82"/>
  <c r="K241" i="82"/>
  <c r="O241" i="82"/>
  <c r="P241" i="82"/>
  <c r="Q241" i="82"/>
  <c r="R241" i="82"/>
  <c r="S241" i="82"/>
  <c r="T241" i="82"/>
  <c r="F242" i="82"/>
  <c r="J242" i="82"/>
  <c r="K242" i="82"/>
  <c r="O242" i="82"/>
  <c r="P242" i="82"/>
  <c r="Q242" i="82"/>
  <c r="R242" i="82"/>
  <c r="S242" i="82"/>
  <c r="T242" i="82"/>
  <c r="F243" i="82"/>
  <c r="J243" i="82"/>
  <c r="K243" i="82"/>
  <c r="O243" i="82"/>
  <c r="P243" i="82"/>
  <c r="Q243" i="82"/>
  <c r="R243" i="82"/>
  <c r="S243" i="82"/>
  <c r="T243" i="82"/>
  <c r="F244" i="82"/>
  <c r="J244" i="82"/>
  <c r="K244" i="82"/>
  <c r="O244" i="82"/>
  <c r="P244" i="82"/>
  <c r="Q244" i="82"/>
  <c r="R244" i="82"/>
  <c r="S244" i="82"/>
  <c r="T244" i="82"/>
  <c r="F245" i="82"/>
  <c r="J245" i="82"/>
  <c r="K245" i="82"/>
  <c r="O245" i="82"/>
  <c r="P245" i="82"/>
  <c r="Q245" i="82"/>
  <c r="R245" i="82"/>
  <c r="S245" i="82"/>
  <c r="T245" i="82"/>
  <c r="H5" i="105"/>
  <c r="G16" i="105"/>
  <c r="G13" i="105"/>
  <c r="T2" i="82"/>
  <c r="T3" i="82"/>
  <c r="T4" i="82"/>
  <c r="T5" i="82"/>
  <c r="T6" i="82"/>
  <c r="T7" i="82"/>
  <c r="T8" i="82"/>
  <c r="T9" i="82"/>
  <c r="T10" i="82"/>
  <c r="T11" i="82"/>
  <c r="T12" i="82"/>
  <c r="T13" i="82"/>
  <c r="T14" i="82"/>
  <c r="T15" i="82"/>
  <c r="T16" i="82"/>
  <c r="T17" i="82"/>
  <c r="T18" i="82"/>
  <c r="T19" i="82"/>
  <c r="T20" i="82"/>
  <c r="T21" i="82"/>
  <c r="T22" i="82"/>
  <c r="T23" i="82"/>
  <c r="T24" i="82"/>
  <c r="T25" i="82"/>
  <c r="T26" i="82"/>
  <c r="T27" i="82"/>
  <c r="T28" i="82"/>
  <c r="T29" i="82"/>
  <c r="T30" i="82"/>
  <c r="T31" i="82"/>
  <c r="T32" i="82"/>
  <c r="T33" i="82"/>
  <c r="T34" i="82"/>
  <c r="T35" i="82"/>
  <c r="T36" i="82"/>
  <c r="T37" i="82"/>
  <c r="T38" i="82"/>
  <c r="T39" i="82"/>
  <c r="T40" i="82"/>
  <c r="T41" i="82"/>
  <c r="T42" i="82"/>
  <c r="T43" i="82"/>
  <c r="T44" i="82"/>
  <c r="T45" i="82"/>
  <c r="T46" i="82"/>
  <c r="T47" i="82"/>
  <c r="T48" i="82"/>
  <c r="T49" i="82"/>
  <c r="T50" i="82"/>
  <c r="T51" i="82"/>
  <c r="T52" i="82"/>
  <c r="T53" i="82"/>
  <c r="T54" i="82"/>
  <c r="T55" i="82"/>
  <c r="T56" i="82"/>
  <c r="T57" i="82"/>
  <c r="T58" i="82"/>
  <c r="T59" i="82"/>
  <c r="T60" i="82"/>
  <c r="T61" i="82"/>
  <c r="T62" i="82"/>
  <c r="T63" i="82"/>
  <c r="T64" i="82"/>
  <c r="T65" i="82"/>
  <c r="T66" i="82"/>
  <c r="T67" i="82"/>
  <c r="T68" i="82"/>
  <c r="T69" i="82"/>
  <c r="T70" i="82"/>
  <c r="T71" i="82"/>
  <c r="T72" i="82"/>
  <c r="T73" i="82"/>
  <c r="T74" i="82"/>
  <c r="T75" i="82"/>
  <c r="T76" i="82"/>
  <c r="T77" i="82"/>
  <c r="T78" i="82"/>
  <c r="T79" i="82"/>
  <c r="T80" i="82"/>
  <c r="T81" i="82"/>
  <c r="T82" i="82"/>
  <c r="T83" i="82"/>
  <c r="T84" i="82"/>
  <c r="T85" i="82"/>
  <c r="T86" i="82"/>
  <c r="T87" i="82"/>
  <c r="T88" i="82"/>
  <c r="T89" i="82"/>
  <c r="T90" i="82"/>
  <c r="T91" i="82"/>
  <c r="T92" i="82"/>
  <c r="T93" i="82"/>
  <c r="T94" i="82"/>
  <c r="T95" i="82"/>
  <c r="T96" i="82"/>
  <c r="T97" i="82"/>
  <c r="T98" i="82"/>
  <c r="T99" i="82"/>
  <c r="T100" i="82"/>
  <c r="T101" i="82"/>
  <c r="T102" i="82"/>
  <c r="T103" i="82"/>
  <c r="T104" i="82"/>
  <c r="T105" i="82"/>
  <c r="T106" i="82"/>
  <c r="T107" i="82"/>
  <c r="T108" i="82"/>
  <c r="T109" i="82"/>
  <c r="T110" i="82"/>
  <c r="T111" i="82"/>
  <c r="T112" i="82"/>
  <c r="T113" i="82"/>
  <c r="T114" i="82"/>
  <c r="T115" i="82"/>
  <c r="T116" i="82"/>
  <c r="T117" i="82"/>
  <c r="T118" i="82"/>
  <c r="T119" i="82"/>
  <c r="T120" i="82"/>
  <c r="T121" i="82"/>
  <c r="T122" i="82"/>
  <c r="T123" i="82"/>
  <c r="T124" i="82"/>
  <c r="T125" i="82"/>
  <c r="T126" i="82"/>
  <c r="T127" i="82"/>
  <c r="T128" i="82"/>
  <c r="T129" i="82"/>
  <c r="T130" i="82"/>
  <c r="T131" i="82"/>
  <c r="T132" i="82"/>
  <c r="T133" i="82"/>
  <c r="T134" i="82"/>
  <c r="T135" i="82"/>
  <c r="T136" i="82"/>
  <c r="T137" i="82"/>
  <c r="T138" i="82"/>
  <c r="T139" i="82"/>
  <c r="T140" i="82"/>
  <c r="T141" i="82"/>
  <c r="T142" i="82"/>
  <c r="T143" i="82"/>
  <c r="T144" i="82"/>
  <c r="T145" i="82"/>
  <c r="T146" i="82"/>
  <c r="T147" i="82"/>
  <c r="T148" i="82"/>
  <c r="T149" i="82"/>
  <c r="T150" i="82"/>
  <c r="T151" i="82"/>
  <c r="T152" i="82"/>
  <c r="T153" i="82"/>
  <c r="T154" i="82"/>
  <c r="T155" i="82"/>
  <c r="T156" i="82"/>
  <c r="T157" i="82"/>
  <c r="T158" i="82"/>
  <c r="T159" i="82"/>
  <c r="T160" i="82"/>
  <c r="T161" i="82"/>
  <c r="T162" i="82"/>
  <c r="T163" i="82"/>
  <c r="T164" i="82"/>
  <c r="T165" i="82"/>
  <c r="T166" i="82"/>
  <c r="T167" i="82"/>
  <c r="T168" i="82"/>
  <c r="T169" i="82"/>
  <c r="T170" i="82"/>
  <c r="T171" i="82"/>
  <c r="T172" i="82"/>
  <c r="T173" i="82"/>
  <c r="T174" i="82"/>
  <c r="T175" i="82"/>
  <c r="T176" i="82"/>
  <c r="T177" i="82"/>
  <c r="T178" i="82"/>
  <c r="T179" i="82"/>
  <c r="T180" i="82"/>
  <c r="T181" i="82"/>
  <c r="T182" i="82"/>
  <c r="T183" i="82"/>
  <c r="T184" i="82"/>
  <c r="T185" i="82"/>
  <c r="T186" i="82"/>
  <c r="T187" i="82"/>
  <c r="T188" i="82"/>
  <c r="T189" i="82"/>
  <c r="T190" i="82"/>
  <c r="T191" i="82"/>
  <c r="T192" i="82"/>
  <c r="T193" i="82"/>
  <c r="T194" i="82"/>
  <c r="T195" i="82"/>
  <c r="T196" i="82"/>
  <c r="T197" i="82"/>
  <c r="T198" i="82"/>
  <c r="T199" i="82"/>
  <c r="T200" i="82"/>
  <c r="T201" i="82"/>
  <c r="T202" i="82"/>
  <c r="T203" i="82"/>
  <c r="T204" i="82"/>
  <c r="T205" i="82"/>
  <c r="T206" i="82"/>
  <c r="T207" i="82"/>
  <c r="T208" i="82"/>
  <c r="T209" i="82"/>
  <c r="T210" i="82"/>
  <c r="T211" i="82"/>
  <c r="T212" i="82"/>
  <c r="T213" i="82"/>
  <c r="T214" i="82"/>
  <c r="T215" i="82"/>
  <c r="T216" i="82"/>
  <c r="T217" i="82"/>
  <c r="T218" i="82"/>
  <c r="T219" i="82"/>
  <c r="T220" i="82"/>
  <c r="T221" i="82"/>
  <c r="T222" i="82"/>
  <c r="T223" i="82"/>
  <c r="T224" i="82"/>
  <c r="T225" i="82"/>
  <c r="T226" i="82"/>
  <c r="T227" i="82"/>
  <c r="T228" i="82"/>
  <c r="T229" i="82"/>
  <c r="T230" i="82"/>
  <c r="T231" i="82"/>
  <c r="T232" i="82"/>
  <c r="T233" i="82"/>
  <c r="T234" i="82"/>
  <c r="T235" i="82"/>
  <c r="E5" i="105"/>
  <c r="D10" i="105"/>
  <c r="O2" i="82"/>
  <c r="O3" i="82"/>
  <c r="O4" i="82"/>
  <c r="O5" i="82"/>
  <c r="O6" i="82"/>
  <c r="O7" i="82"/>
  <c r="O8" i="82"/>
  <c r="O9" i="82"/>
  <c r="O10" i="82"/>
  <c r="O11" i="82"/>
  <c r="O12" i="82"/>
  <c r="O13" i="82"/>
  <c r="O14" i="82"/>
  <c r="O15" i="82"/>
  <c r="O16" i="82"/>
  <c r="O17" i="82"/>
  <c r="O18" i="82"/>
  <c r="O19" i="82"/>
  <c r="O20" i="82"/>
  <c r="O21" i="82"/>
  <c r="O22" i="82"/>
  <c r="O23" i="82"/>
  <c r="O24" i="82"/>
  <c r="O25" i="82"/>
  <c r="O26" i="82"/>
  <c r="O27" i="82"/>
  <c r="O28" i="82"/>
  <c r="O29" i="82"/>
  <c r="O30" i="82"/>
  <c r="O31" i="82"/>
  <c r="O32" i="82"/>
  <c r="O33" i="82"/>
  <c r="O34" i="82"/>
  <c r="O35" i="82"/>
  <c r="O36" i="82"/>
  <c r="O37" i="82"/>
  <c r="O38" i="82"/>
  <c r="O39" i="82"/>
  <c r="O40" i="82"/>
  <c r="O41" i="82"/>
  <c r="O42" i="82"/>
  <c r="O43" i="82"/>
  <c r="O44" i="82"/>
  <c r="O45" i="82"/>
  <c r="O46" i="82"/>
  <c r="O47" i="82"/>
  <c r="O48" i="82"/>
  <c r="O49" i="82"/>
  <c r="O50" i="82"/>
  <c r="O51" i="82"/>
  <c r="O52" i="82"/>
  <c r="O53" i="82"/>
  <c r="O54" i="82"/>
  <c r="O55" i="82"/>
  <c r="O56" i="82"/>
  <c r="O57" i="82"/>
  <c r="O58" i="82"/>
  <c r="O59" i="82"/>
  <c r="O60" i="82"/>
  <c r="O61" i="82"/>
  <c r="O62" i="82"/>
  <c r="O63" i="82"/>
  <c r="O64" i="82"/>
  <c r="O65" i="82"/>
  <c r="O66" i="82"/>
  <c r="O67" i="82"/>
  <c r="O68" i="82"/>
  <c r="O69" i="82"/>
  <c r="O70" i="82"/>
  <c r="O71" i="82"/>
  <c r="O72" i="82"/>
  <c r="O73" i="82"/>
  <c r="O74" i="82"/>
  <c r="O75" i="82"/>
  <c r="O76" i="82"/>
  <c r="O77" i="82"/>
  <c r="O78" i="82"/>
  <c r="O79" i="82"/>
  <c r="O80" i="82"/>
  <c r="O81" i="82"/>
  <c r="O82" i="82"/>
  <c r="O83" i="82"/>
  <c r="O84" i="82"/>
  <c r="O85" i="82"/>
  <c r="O86" i="82"/>
  <c r="O87" i="82"/>
  <c r="O88" i="82"/>
  <c r="O89" i="82"/>
  <c r="O90" i="82"/>
  <c r="O91" i="82"/>
  <c r="O92" i="82"/>
  <c r="O93" i="82"/>
  <c r="O94" i="82"/>
  <c r="O95" i="82"/>
  <c r="O96" i="82"/>
  <c r="O97" i="82"/>
  <c r="O98" i="82"/>
  <c r="O99" i="82"/>
  <c r="O100" i="82"/>
  <c r="O101" i="82"/>
  <c r="O102" i="82"/>
  <c r="O103" i="82"/>
  <c r="O104" i="82"/>
  <c r="O105" i="82"/>
  <c r="O106" i="82"/>
  <c r="O107" i="82"/>
  <c r="O108" i="82"/>
  <c r="O109" i="82"/>
  <c r="O110" i="82"/>
  <c r="O111" i="82"/>
  <c r="O112" i="82"/>
  <c r="O113" i="82"/>
  <c r="O114" i="82"/>
  <c r="O115" i="82"/>
  <c r="O116" i="82"/>
  <c r="O117" i="82"/>
  <c r="O118" i="82"/>
  <c r="O119" i="82"/>
  <c r="O120" i="82"/>
  <c r="O121" i="82"/>
  <c r="O122" i="82"/>
  <c r="O123" i="82"/>
  <c r="O124" i="82"/>
  <c r="O125" i="82"/>
  <c r="O126" i="82"/>
  <c r="O127" i="82"/>
  <c r="O128" i="82"/>
  <c r="O129" i="82"/>
  <c r="O130" i="82"/>
  <c r="O131" i="82"/>
  <c r="O132" i="82"/>
  <c r="O133" i="82"/>
  <c r="O134" i="82"/>
  <c r="O135" i="82"/>
  <c r="O136" i="82"/>
  <c r="O137" i="82"/>
  <c r="O138" i="82"/>
  <c r="O139" i="82"/>
  <c r="O140" i="82"/>
  <c r="O141" i="82"/>
  <c r="O142" i="82"/>
  <c r="O143" i="82"/>
  <c r="O144" i="82"/>
  <c r="O145" i="82"/>
  <c r="O146" i="82"/>
  <c r="O147" i="82"/>
  <c r="O148" i="82"/>
  <c r="O149" i="82"/>
  <c r="O150" i="82"/>
  <c r="O151" i="82"/>
  <c r="O152" i="82"/>
  <c r="O153" i="82"/>
  <c r="O154" i="82"/>
  <c r="O155" i="82"/>
  <c r="O156" i="82"/>
  <c r="O157" i="82"/>
  <c r="O158" i="82"/>
  <c r="O159" i="82"/>
  <c r="O160" i="82"/>
  <c r="O161" i="82"/>
  <c r="O162" i="82"/>
  <c r="O163" i="82"/>
  <c r="O164" i="82"/>
  <c r="O165" i="82"/>
  <c r="O166" i="82"/>
  <c r="O167" i="82"/>
  <c r="O168" i="82"/>
  <c r="O169" i="82"/>
  <c r="O170" i="82"/>
  <c r="O171" i="82"/>
  <c r="O172" i="82"/>
  <c r="O173" i="82"/>
  <c r="O174" i="82"/>
  <c r="O175" i="82"/>
  <c r="O176" i="82"/>
  <c r="O177" i="82"/>
  <c r="O178" i="82"/>
  <c r="O179" i="82"/>
  <c r="O180" i="82"/>
  <c r="O181" i="82"/>
  <c r="O182" i="82"/>
  <c r="O183" i="82"/>
  <c r="O184" i="82"/>
  <c r="O185" i="82"/>
  <c r="O186" i="82"/>
  <c r="O187" i="82"/>
  <c r="O188" i="82"/>
  <c r="O189" i="82"/>
  <c r="O190" i="82"/>
  <c r="O191" i="82"/>
  <c r="O192" i="82"/>
  <c r="O193" i="82"/>
  <c r="O194" i="82"/>
  <c r="O195" i="82"/>
  <c r="O196" i="82"/>
  <c r="O197" i="82"/>
  <c r="O198" i="82"/>
  <c r="O199" i="82"/>
  <c r="O200" i="82"/>
  <c r="O201" i="82"/>
  <c r="O202" i="82"/>
  <c r="O203" i="82"/>
  <c r="O204" i="82"/>
  <c r="O205" i="82"/>
  <c r="O206" i="82"/>
  <c r="O207" i="82"/>
  <c r="O208" i="82"/>
  <c r="O209" i="82"/>
  <c r="O210" i="82"/>
  <c r="O211" i="82"/>
  <c r="O212" i="82"/>
  <c r="O213" i="82"/>
  <c r="O214" i="82"/>
  <c r="O215" i="82"/>
  <c r="O216" i="82"/>
  <c r="O217" i="82"/>
  <c r="O218" i="82"/>
  <c r="O219" i="82"/>
  <c r="O220" i="82"/>
  <c r="O221" i="82"/>
  <c r="O222" i="82"/>
  <c r="O223" i="82"/>
  <c r="O224" i="82"/>
  <c r="O225" i="82"/>
  <c r="O226" i="82"/>
  <c r="O227" i="82"/>
  <c r="O228" i="82"/>
  <c r="O229" i="82"/>
  <c r="O230" i="82"/>
  <c r="O231" i="82"/>
  <c r="O232" i="82"/>
  <c r="O233" i="82"/>
  <c r="O234" i="82"/>
  <c r="O235" i="82"/>
  <c r="D13" i="105"/>
  <c r="B5" i="105"/>
  <c r="A13" i="105"/>
  <c r="D16" i="105"/>
  <c r="A16" i="105"/>
  <c r="F225" i="82"/>
  <c r="J225" i="82"/>
  <c r="K225" i="82"/>
  <c r="P225" i="82"/>
  <c r="Q225" i="82"/>
  <c r="R225" i="82"/>
  <c r="S225" i="82"/>
  <c r="F226" i="82"/>
  <c r="J226" i="82"/>
  <c r="K226" i="82"/>
  <c r="P226" i="82"/>
  <c r="Q226" i="82"/>
  <c r="R226" i="82"/>
  <c r="S226" i="82"/>
  <c r="F227" i="82"/>
  <c r="J227" i="82"/>
  <c r="K227" i="82"/>
  <c r="P227" i="82"/>
  <c r="Q227" i="82"/>
  <c r="R227" i="82"/>
  <c r="S227" i="82"/>
  <c r="F228" i="82"/>
  <c r="J228" i="82"/>
  <c r="K228" i="82"/>
  <c r="P228" i="82"/>
  <c r="Q228" i="82"/>
  <c r="R228" i="82"/>
  <c r="S228" i="82"/>
  <c r="F229" i="82"/>
  <c r="J229" i="82"/>
  <c r="K229" i="82"/>
  <c r="P229" i="82"/>
  <c r="Q229" i="82"/>
  <c r="R229" i="82"/>
  <c r="S229" i="82"/>
  <c r="F230" i="82"/>
  <c r="J230" i="82"/>
  <c r="K230" i="82"/>
  <c r="P230" i="82"/>
  <c r="Q230" i="82"/>
  <c r="R230" i="82"/>
  <c r="S230" i="82"/>
  <c r="F231" i="82"/>
  <c r="J231" i="82"/>
  <c r="K231" i="82"/>
  <c r="P231" i="82"/>
  <c r="Q231" i="82"/>
  <c r="R231" i="82"/>
  <c r="S231" i="82"/>
  <c r="F232" i="82"/>
  <c r="J232" i="82"/>
  <c r="K232" i="82"/>
  <c r="P232" i="82"/>
  <c r="Q232" i="82"/>
  <c r="R232" i="82"/>
  <c r="S232" i="82"/>
  <c r="F233" i="82"/>
  <c r="J233" i="82"/>
  <c r="K233" i="82"/>
  <c r="P233" i="82"/>
  <c r="Q233" i="82"/>
  <c r="R233" i="82"/>
  <c r="S233" i="82"/>
  <c r="F234" i="82"/>
  <c r="J234" i="82"/>
  <c r="K234" i="82"/>
  <c r="P234" i="82"/>
  <c r="Q234" i="82"/>
  <c r="R234" i="82"/>
  <c r="S234" i="82"/>
  <c r="F235" i="82"/>
  <c r="J235" i="82"/>
  <c r="K235" i="82"/>
  <c r="P235" i="82"/>
  <c r="Q235" i="82"/>
  <c r="R235" i="82"/>
  <c r="S235" i="82"/>
  <c r="S224" i="82"/>
  <c r="R224" i="82"/>
  <c r="Q224" i="82"/>
  <c r="P224" i="82"/>
  <c r="K224" i="82"/>
  <c r="J224" i="82"/>
  <c r="F224" i="82"/>
  <c r="S223" i="82"/>
  <c r="R223" i="82"/>
  <c r="Q223" i="82"/>
  <c r="P223" i="82"/>
  <c r="K223" i="82"/>
  <c r="J223" i="82"/>
  <c r="F223" i="82"/>
  <c r="S222" i="82"/>
  <c r="R222" i="82"/>
  <c r="Q222" i="82"/>
  <c r="P222" i="82"/>
  <c r="K222" i="82"/>
  <c r="J222" i="82"/>
  <c r="F222" i="82"/>
  <c r="S221" i="82"/>
  <c r="R221" i="82"/>
  <c r="Q221" i="82"/>
  <c r="P221" i="82"/>
  <c r="K221" i="82"/>
  <c r="J221" i="82"/>
  <c r="F221" i="82"/>
  <c r="S220" i="82"/>
  <c r="R220" i="82"/>
  <c r="Q220" i="82"/>
  <c r="P220" i="82"/>
  <c r="K220" i="82"/>
  <c r="J220" i="82"/>
  <c r="F220" i="82"/>
  <c r="S219" i="82"/>
  <c r="R219" i="82"/>
  <c r="Q219" i="82"/>
  <c r="P219" i="82"/>
  <c r="K219" i="82"/>
  <c r="J219" i="82"/>
  <c r="F219" i="82"/>
  <c r="S218" i="82"/>
  <c r="R218" i="82"/>
  <c r="Q218" i="82"/>
  <c r="P218" i="82"/>
  <c r="K218" i="82"/>
  <c r="J218" i="82"/>
  <c r="F218" i="82"/>
  <c r="S217" i="82"/>
  <c r="R217" i="82"/>
  <c r="Q217" i="82"/>
  <c r="P217" i="82"/>
  <c r="K217" i="82"/>
  <c r="J217" i="82"/>
  <c r="F217" i="82"/>
  <c r="S216" i="82"/>
  <c r="R216" i="82"/>
  <c r="Q216" i="82"/>
  <c r="P216" i="82"/>
  <c r="K216" i="82"/>
  <c r="J216" i="82"/>
  <c r="F216" i="82"/>
  <c r="S215" i="82"/>
  <c r="R215" i="82"/>
  <c r="Q215" i="82"/>
  <c r="P215" i="82"/>
  <c r="K215" i="82"/>
  <c r="J215" i="82"/>
  <c r="F215" i="82"/>
  <c r="S214" i="82"/>
  <c r="R214" i="82"/>
  <c r="Q214" i="82"/>
  <c r="P214" i="82"/>
  <c r="K214" i="82"/>
  <c r="J214" i="82"/>
  <c r="F214" i="82"/>
  <c r="S213" i="82"/>
  <c r="R213" i="82"/>
  <c r="Q213" i="82"/>
  <c r="P213" i="82"/>
  <c r="K213" i="82"/>
  <c r="J213" i="82"/>
  <c r="F213" i="82"/>
  <c r="S212" i="82"/>
  <c r="R212" i="82"/>
  <c r="Q212" i="82"/>
  <c r="P212" i="82"/>
  <c r="K212" i="82"/>
  <c r="J212" i="82"/>
  <c r="F212" i="82"/>
  <c r="S211" i="82"/>
  <c r="R211" i="82"/>
  <c r="Q211" i="82"/>
  <c r="P211" i="82"/>
  <c r="K211" i="82"/>
  <c r="J211" i="82"/>
  <c r="F211" i="82"/>
  <c r="S210" i="82"/>
  <c r="R210" i="82"/>
  <c r="Q210" i="82"/>
  <c r="P210" i="82"/>
  <c r="K210" i="82"/>
  <c r="J210" i="82"/>
  <c r="F210" i="82"/>
  <c r="S209" i="82"/>
  <c r="R209" i="82"/>
  <c r="Q209" i="82"/>
  <c r="P209" i="82"/>
  <c r="K209" i="82"/>
  <c r="J209" i="82"/>
  <c r="F209" i="82"/>
  <c r="S208" i="82"/>
  <c r="R208" i="82"/>
  <c r="Q208" i="82"/>
  <c r="P208" i="82"/>
  <c r="K208" i="82"/>
  <c r="J208" i="82"/>
  <c r="F208" i="82"/>
  <c r="S207" i="82"/>
  <c r="R207" i="82"/>
  <c r="Q207" i="82"/>
  <c r="P207" i="82"/>
  <c r="K207" i="82"/>
  <c r="J207" i="82"/>
  <c r="F207" i="82"/>
  <c r="S206" i="82"/>
  <c r="R206" i="82"/>
  <c r="Q206" i="82"/>
  <c r="P206" i="82"/>
  <c r="K206" i="82"/>
  <c r="J206" i="82"/>
  <c r="F206" i="82"/>
  <c r="S205" i="82"/>
  <c r="R205" i="82"/>
  <c r="Q205" i="82"/>
  <c r="P205" i="82"/>
  <c r="K205" i="82"/>
  <c r="J205" i="82"/>
  <c r="F205" i="82"/>
  <c r="S204" i="82"/>
  <c r="R204" i="82"/>
  <c r="Q204" i="82"/>
  <c r="P204" i="82"/>
  <c r="K204" i="82"/>
  <c r="J204" i="82"/>
  <c r="F204" i="82"/>
  <c r="S203" i="82"/>
  <c r="R203" i="82"/>
  <c r="Q203" i="82"/>
  <c r="P203" i="82"/>
  <c r="K203" i="82"/>
  <c r="J203" i="82"/>
  <c r="F203" i="82"/>
  <c r="S202" i="82"/>
  <c r="R202" i="82"/>
  <c r="Q202" i="82"/>
  <c r="P202" i="82"/>
  <c r="K202" i="82"/>
  <c r="J202" i="82"/>
  <c r="F202" i="82"/>
  <c r="S201" i="82"/>
  <c r="R201" i="82"/>
  <c r="Q201" i="82"/>
  <c r="P201" i="82"/>
  <c r="K201" i="82"/>
  <c r="J201" i="82"/>
  <c r="F201" i="82"/>
  <c r="S200" i="82"/>
  <c r="R200" i="82"/>
  <c r="Q200" i="82"/>
  <c r="P200" i="82"/>
  <c r="K200" i="82"/>
  <c r="J200" i="82"/>
  <c r="F200" i="82"/>
  <c r="S199" i="82"/>
  <c r="R199" i="82"/>
  <c r="Q199" i="82"/>
  <c r="P199" i="82"/>
  <c r="K199" i="82"/>
  <c r="J199" i="82"/>
  <c r="F199" i="82"/>
  <c r="S198" i="82"/>
  <c r="R198" i="82"/>
  <c r="Q198" i="82"/>
  <c r="P198" i="82"/>
  <c r="K198" i="82"/>
  <c r="J198" i="82"/>
  <c r="F198" i="82"/>
  <c r="S197" i="82"/>
  <c r="R197" i="82"/>
  <c r="Q197" i="82"/>
  <c r="P197" i="82"/>
  <c r="K197" i="82"/>
  <c r="J197" i="82"/>
  <c r="F197" i="82"/>
  <c r="S196" i="82"/>
  <c r="R196" i="82"/>
  <c r="Q196" i="82"/>
  <c r="P196" i="82"/>
  <c r="K196" i="82"/>
  <c r="J196" i="82"/>
  <c r="F196" i="82"/>
  <c r="S195" i="82"/>
  <c r="R195" i="82"/>
  <c r="Q195" i="82"/>
  <c r="P195" i="82"/>
  <c r="K195" i="82"/>
  <c r="J195" i="82"/>
  <c r="F195" i="82"/>
  <c r="S194" i="82"/>
  <c r="R194" i="82"/>
  <c r="Q194" i="82"/>
  <c r="P194" i="82"/>
  <c r="K194" i="82"/>
  <c r="J194" i="82"/>
  <c r="F194" i="82"/>
  <c r="S193" i="82"/>
  <c r="R193" i="82"/>
  <c r="Q193" i="82"/>
  <c r="P193" i="82"/>
  <c r="K193" i="82"/>
  <c r="J193" i="82"/>
  <c r="F193" i="82"/>
  <c r="S192" i="82"/>
  <c r="R192" i="82"/>
  <c r="Q192" i="82"/>
  <c r="P192" i="82"/>
  <c r="K192" i="82"/>
  <c r="J192" i="82"/>
  <c r="F192" i="82"/>
  <c r="S191" i="82"/>
  <c r="R191" i="82"/>
  <c r="Q191" i="82"/>
  <c r="P191" i="82"/>
  <c r="K191" i="82"/>
  <c r="J191" i="82"/>
  <c r="F191" i="82"/>
  <c r="S190" i="82"/>
  <c r="R190" i="82"/>
  <c r="Q190" i="82"/>
  <c r="P190" i="82"/>
  <c r="K190" i="82"/>
  <c r="J190" i="82"/>
  <c r="F190" i="82"/>
  <c r="S189" i="82"/>
  <c r="R189" i="82"/>
  <c r="Q189" i="82"/>
  <c r="P189" i="82"/>
  <c r="K189" i="82"/>
  <c r="J189" i="82"/>
  <c r="F189" i="82"/>
  <c r="S188" i="82"/>
  <c r="R188" i="82"/>
  <c r="Q188" i="82"/>
  <c r="P188" i="82"/>
  <c r="K188" i="82"/>
  <c r="J188" i="82"/>
  <c r="F188" i="82"/>
  <c r="S187" i="82"/>
  <c r="R187" i="82"/>
  <c r="Q187" i="82"/>
  <c r="P187" i="82"/>
  <c r="K187" i="82"/>
  <c r="J187" i="82"/>
  <c r="F187" i="82"/>
  <c r="S186" i="82"/>
  <c r="R186" i="82"/>
  <c r="Q186" i="82"/>
  <c r="P186" i="82"/>
  <c r="K186" i="82"/>
  <c r="J186" i="82"/>
  <c r="F186" i="82"/>
  <c r="S185" i="82"/>
  <c r="R185" i="82"/>
  <c r="Q185" i="82"/>
  <c r="P185" i="82"/>
  <c r="K185" i="82"/>
  <c r="J185" i="82"/>
  <c r="F185" i="82"/>
  <c r="S184" i="82"/>
  <c r="R184" i="82"/>
  <c r="Q184" i="82"/>
  <c r="P184" i="82"/>
  <c r="K184" i="82"/>
  <c r="J184" i="82"/>
  <c r="F184" i="82"/>
  <c r="S183" i="82"/>
  <c r="R183" i="82"/>
  <c r="Q183" i="82"/>
  <c r="P183" i="82"/>
  <c r="K183" i="82"/>
  <c r="J183" i="82"/>
  <c r="F183" i="82"/>
  <c r="S182" i="82"/>
  <c r="R182" i="82"/>
  <c r="Q182" i="82"/>
  <c r="P182" i="82"/>
  <c r="K182" i="82"/>
  <c r="J182" i="82"/>
  <c r="F182" i="82"/>
  <c r="S181" i="82"/>
  <c r="R181" i="82"/>
  <c r="Q181" i="82"/>
  <c r="P181" i="82"/>
  <c r="K181" i="82"/>
  <c r="J181" i="82"/>
  <c r="F181" i="82"/>
  <c r="S180" i="82"/>
  <c r="R180" i="82"/>
  <c r="Q180" i="82"/>
  <c r="P180" i="82"/>
  <c r="K180" i="82"/>
  <c r="J180" i="82"/>
  <c r="F180" i="82"/>
  <c r="S179" i="82"/>
  <c r="R179" i="82"/>
  <c r="Q179" i="82"/>
  <c r="P179" i="82"/>
  <c r="K179" i="82"/>
  <c r="J179" i="82"/>
  <c r="F179" i="82"/>
  <c r="S178" i="82"/>
  <c r="R178" i="82"/>
  <c r="Q178" i="82"/>
  <c r="P178" i="82"/>
  <c r="K178" i="82"/>
  <c r="J178" i="82"/>
  <c r="F178" i="82"/>
  <c r="S177" i="82"/>
  <c r="R177" i="82"/>
  <c r="Q177" i="82"/>
  <c r="P177" i="82"/>
  <c r="K177" i="82"/>
  <c r="J177" i="82"/>
  <c r="F177" i="82"/>
  <c r="S176" i="82"/>
  <c r="R176" i="82"/>
  <c r="Q176" i="82"/>
  <c r="P176" i="82"/>
  <c r="K176" i="82"/>
  <c r="J176" i="82"/>
  <c r="F176" i="82"/>
  <c r="S175" i="82"/>
  <c r="R175" i="82"/>
  <c r="Q175" i="82"/>
  <c r="P175" i="82"/>
  <c r="K175" i="82"/>
  <c r="J175" i="82"/>
  <c r="F175" i="82"/>
  <c r="S174" i="82"/>
  <c r="R174" i="82"/>
  <c r="Q174" i="82"/>
  <c r="P174" i="82"/>
  <c r="K174" i="82"/>
  <c r="J174" i="82"/>
  <c r="F174" i="82"/>
  <c r="S173" i="82"/>
  <c r="R173" i="82"/>
  <c r="Q173" i="82"/>
  <c r="P173" i="82"/>
  <c r="K173" i="82"/>
  <c r="J173" i="82"/>
  <c r="F173" i="82"/>
  <c r="S172" i="82"/>
  <c r="R172" i="82"/>
  <c r="Q172" i="82"/>
  <c r="P172" i="82"/>
  <c r="K172" i="82"/>
  <c r="J172" i="82"/>
  <c r="F172" i="82"/>
  <c r="S171" i="82"/>
  <c r="R171" i="82"/>
  <c r="Q171" i="82"/>
  <c r="P171" i="82"/>
  <c r="K171" i="82"/>
  <c r="J171" i="82"/>
  <c r="F171" i="82"/>
  <c r="S170" i="82"/>
  <c r="R170" i="82"/>
  <c r="Q170" i="82"/>
  <c r="P170" i="82"/>
  <c r="K170" i="82"/>
  <c r="J170" i="82"/>
  <c r="F170" i="82"/>
  <c r="S169" i="82"/>
  <c r="R169" i="82"/>
  <c r="Q169" i="82"/>
  <c r="P169" i="82"/>
  <c r="K169" i="82"/>
  <c r="J169" i="82"/>
  <c r="F169" i="82"/>
  <c r="S168" i="82"/>
  <c r="R168" i="82"/>
  <c r="Q168" i="82"/>
  <c r="P168" i="82"/>
  <c r="K168" i="82"/>
  <c r="J168" i="82"/>
  <c r="F168" i="82"/>
  <c r="S167" i="82"/>
  <c r="R167" i="82"/>
  <c r="Q167" i="82"/>
  <c r="P167" i="82"/>
  <c r="K167" i="82"/>
  <c r="J167" i="82"/>
  <c r="F167" i="82"/>
  <c r="S166" i="82"/>
  <c r="R166" i="82"/>
  <c r="Q166" i="82"/>
  <c r="P166" i="82"/>
  <c r="K166" i="82"/>
  <c r="J166" i="82"/>
  <c r="F166" i="82"/>
  <c r="S165" i="82"/>
  <c r="R165" i="82"/>
  <c r="Q165" i="82"/>
  <c r="P165" i="82"/>
  <c r="K165" i="82"/>
  <c r="J165" i="82"/>
  <c r="F165" i="82"/>
  <c r="S164" i="82"/>
  <c r="R164" i="82"/>
  <c r="Q164" i="82"/>
  <c r="P164" i="82"/>
  <c r="K164" i="82"/>
  <c r="J164" i="82"/>
  <c r="F164" i="82"/>
  <c r="S163" i="82"/>
  <c r="R163" i="82"/>
  <c r="Q163" i="82"/>
  <c r="P163" i="82"/>
  <c r="K163" i="82"/>
  <c r="J163" i="82"/>
  <c r="F163" i="82"/>
  <c r="S162" i="82"/>
  <c r="R162" i="82"/>
  <c r="Q162" i="82"/>
  <c r="P162" i="82"/>
  <c r="K162" i="82"/>
  <c r="J162" i="82"/>
  <c r="F162" i="82"/>
  <c r="S161" i="82"/>
  <c r="R161" i="82"/>
  <c r="Q161" i="82"/>
  <c r="P161" i="82"/>
  <c r="K161" i="82"/>
  <c r="J161" i="82"/>
  <c r="F161" i="82"/>
  <c r="S160" i="82"/>
  <c r="R160" i="82"/>
  <c r="Q160" i="82"/>
  <c r="P160" i="82"/>
  <c r="K160" i="82"/>
  <c r="J160" i="82"/>
  <c r="F160" i="82"/>
  <c r="S159" i="82"/>
  <c r="R159" i="82"/>
  <c r="Q159" i="82"/>
  <c r="P159" i="82"/>
  <c r="K159" i="82"/>
  <c r="J159" i="82"/>
  <c r="F159" i="82"/>
  <c r="S158" i="82"/>
  <c r="R158" i="82"/>
  <c r="Q158" i="82"/>
  <c r="P158" i="82"/>
  <c r="K158" i="82"/>
  <c r="J158" i="82"/>
  <c r="F158" i="82"/>
  <c r="S157" i="82"/>
  <c r="R157" i="82"/>
  <c r="Q157" i="82"/>
  <c r="P157" i="82"/>
  <c r="K157" i="82"/>
  <c r="J157" i="82"/>
  <c r="F157" i="82"/>
  <c r="S156" i="82"/>
  <c r="R156" i="82"/>
  <c r="Q156" i="82"/>
  <c r="P156" i="82"/>
  <c r="K156" i="82"/>
  <c r="J156" i="82"/>
  <c r="F156" i="82"/>
  <c r="S155" i="82"/>
  <c r="R155" i="82"/>
  <c r="Q155" i="82"/>
  <c r="P155" i="82"/>
  <c r="K155" i="82"/>
  <c r="J155" i="82"/>
  <c r="F155" i="82"/>
  <c r="S154" i="82"/>
  <c r="R154" i="82"/>
  <c r="Q154" i="82"/>
  <c r="P154" i="82"/>
  <c r="K154" i="82"/>
  <c r="J154" i="82"/>
  <c r="F154" i="82"/>
  <c r="S153" i="82"/>
  <c r="R153" i="82"/>
  <c r="Q153" i="82"/>
  <c r="P153" i="82"/>
  <c r="K153" i="82"/>
  <c r="J153" i="82"/>
  <c r="F153" i="82"/>
  <c r="S152" i="82"/>
  <c r="R152" i="82"/>
  <c r="Q152" i="82"/>
  <c r="P152" i="82"/>
  <c r="K152" i="82"/>
  <c r="J152" i="82"/>
  <c r="F152" i="82"/>
  <c r="S151" i="82"/>
  <c r="R151" i="82"/>
  <c r="Q151" i="82"/>
  <c r="P151" i="82"/>
  <c r="K151" i="82"/>
  <c r="J151" i="82"/>
  <c r="F151" i="82"/>
  <c r="S150" i="82"/>
  <c r="R150" i="82"/>
  <c r="Q150" i="82"/>
  <c r="P150" i="82"/>
  <c r="K150" i="82"/>
  <c r="J150" i="82"/>
  <c r="F150" i="82"/>
  <c r="S149" i="82"/>
  <c r="R149" i="82"/>
  <c r="Q149" i="82"/>
  <c r="P149" i="82"/>
  <c r="K149" i="82"/>
  <c r="J149" i="82"/>
  <c r="F149" i="82"/>
  <c r="S148" i="82"/>
  <c r="R148" i="82"/>
  <c r="Q148" i="82"/>
  <c r="P148" i="82"/>
  <c r="K148" i="82"/>
  <c r="J148" i="82"/>
  <c r="F148" i="82"/>
  <c r="S147" i="82"/>
  <c r="R147" i="82"/>
  <c r="Q147" i="82"/>
  <c r="P147" i="82"/>
  <c r="K147" i="82"/>
  <c r="J147" i="82"/>
  <c r="F147" i="82"/>
  <c r="S146" i="82"/>
  <c r="R146" i="82"/>
  <c r="Q146" i="82"/>
  <c r="P146" i="82"/>
  <c r="K146" i="82"/>
  <c r="J146" i="82"/>
  <c r="F146" i="82"/>
  <c r="S145" i="82"/>
  <c r="R145" i="82"/>
  <c r="Q145" i="82"/>
  <c r="P145" i="82"/>
  <c r="K145" i="82"/>
  <c r="J145" i="82"/>
  <c r="F145" i="82"/>
  <c r="S144" i="82"/>
  <c r="R144" i="82"/>
  <c r="Q144" i="82"/>
  <c r="P144" i="82"/>
  <c r="K144" i="82"/>
  <c r="J144" i="82"/>
  <c r="F144" i="82"/>
  <c r="S143" i="82"/>
  <c r="R143" i="82"/>
  <c r="Q143" i="82"/>
  <c r="P143" i="82"/>
  <c r="K143" i="82"/>
  <c r="J143" i="82"/>
  <c r="F143" i="82"/>
  <c r="S142" i="82"/>
  <c r="R142" i="82"/>
  <c r="Q142" i="82"/>
  <c r="P142" i="82"/>
  <c r="K142" i="82"/>
  <c r="J142" i="82"/>
  <c r="F142" i="82"/>
  <c r="S141" i="82"/>
  <c r="R141" i="82"/>
  <c r="Q141" i="82"/>
  <c r="P141" i="82"/>
  <c r="K141" i="82"/>
  <c r="J141" i="82"/>
  <c r="F141" i="82"/>
  <c r="S140" i="82"/>
  <c r="R140" i="82"/>
  <c r="Q140" i="82"/>
  <c r="P140" i="82"/>
  <c r="K140" i="82"/>
  <c r="J140" i="82"/>
  <c r="F140" i="82"/>
  <c r="S139" i="82"/>
  <c r="R139" i="82"/>
  <c r="Q139" i="82"/>
  <c r="P139" i="82"/>
  <c r="K139" i="82"/>
  <c r="J139" i="82"/>
  <c r="F139" i="82"/>
  <c r="S138" i="82"/>
  <c r="R138" i="82"/>
  <c r="Q138" i="82"/>
  <c r="P138" i="82"/>
  <c r="K138" i="82"/>
  <c r="J138" i="82"/>
  <c r="F138" i="82"/>
  <c r="S137" i="82"/>
  <c r="R137" i="82"/>
  <c r="Q137" i="82"/>
  <c r="P137" i="82"/>
  <c r="K137" i="82"/>
  <c r="J137" i="82"/>
  <c r="F137" i="82"/>
  <c r="S136" i="82"/>
  <c r="R136" i="82"/>
  <c r="Q136" i="82"/>
  <c r="P136" i="82"/>
  <c r="K136" i="82"/>
  <c r="J136" i="82"/>
  <c r="F136" i="82"/>
  <c r="S135" i="82"/>
  <c r="R135" i="82"/>
  <c r="Q135" i="82"/>
  <c r="P135" i="82"/>
  <c r="K135" i="82"/>
  <c r="J135" i="82"/>
  <c r="F135" i="82"/>
  <c r="S134" i="82"/>
  <c r="R134" i="82"/>
  <c r="Q134" i="82"/>
  <c r="P134" i="82"/>
  <c r="K134" i="82"/>
  <c r="J134" i="82"/>
  <c r="F134" i="82"/>
  <c r="S133" i="82"/>
  <c r="R133" i="82"/>
  <c r="Q133" i="82"/>
  <c r="P133" i="82"/>
  <c r="K133" i="82"/>
  <c r="J133" i="82"/>
  <c r="F133" i="82"/>
  <c r="S132" i="82"/>
  <c r="R132" i="82"/>
  <c r="Q132" i="82"/>
  <c r="P132" i="82"/>
  <c r="K132" i="82"/>
  <c r="J132" i="82"/>
  <c r="F132" i="82"/>
  <c r="S131" i="82"/>
  <c r="R131" i="82"/>
  <c r="Q131" i="82"/>
  <c r="P131" i="82"/>
  <c r="K131" i="82"/>
  <c r="J131" i="82"/>
  <c r="F131" i="82"/>
  <c r="S130" i="82"/>
  <c r="R130" i="82"/>
  <c r="Q130" i="82"/>
  <c r="P130" i="82"/>
  <c r="K130" i="82"/>
  <c r="J130" i="82"/>
  <c r="F130" i="82"/>
  <c r="S129" i="82"/>
  <c r="R129" i="82"/>
  <c r="Q129" i="82"/>
  <c r="P129" i="82"/>
  <c r="K129" i="82"/>
  <c r="J129" i="82"/>
  <c r="F129" i="82"/>
  <c r="S128" i="82"/>
  <c r="R128" i="82"/>
  <c r="Q128" i="82"/>
  <c r="P128" i="82"/>
  <c r="K128" i="82"/>
  <c r="J128" i="82"/>
  <c r="F128" i="82"/>
  <c r="S127" i="82"/>
  <c r="R127" i="82"/>
  <c r="Q127" i="82"/>
  <c r="P127" i="82"/>
  <c r="K127" i="82"/>
  <c r="J127" i="82"/>
  <c r="F127" i="82"/>
  <c r="S126" i="82"/>
  <c r="R126" i="82"/>
  <c r="Q126" i="82"/>
  <c r="P126" i="82"/>
  <c r="K126" i="82"/>
  <c r="J126" i="82"/>
  <c r="F126" i="82"/>
  <c r="S125" i="82"/>
  <c r="R125" i="82"/>
  <c r="Q125" i="82"/>
  <c r="P125" i="82"/>
  <c r="K125" i="82"/>
  <c r="J125" i="82"/>
  <c r="F125" i="82"/>
  <c r="S124" i="82"/>
  <c r="R124" i="82"/>
  <c r="Q124" i="82"/>
  <c r="P124" i="82"/>
  <c r="K124" i="82"/>
  <c r="J124" i="82"/>
  <c r="F124" i="82"/>
  <c r="S123" i="82"/>
  <c r="R123" i="82"/>
  <c r="Q123" i="82"/>
  <c r="P123" i="82"/>
  <c r="K123" i="82"/>
  <c r="J123" i="82"/>
  <c r="F123" i="82"/>
  <c r="S122" i="82"/>
  <c r="R122" i="82"/>
  <c r="Q122" i="82"/>
  <c r="P122" i="82"/>
  <c r="K122" i="82"/>
  <c r="J122" i="82"/>
  <c r="F122" i="82"/>
  <c r="S121" i="82"/>
  <c r="R121" i="82"/>
  <c r="Q121" i="82"/>
  <c r="P121" i="82"/>
  <c r="K121" i="82"/>
  <c r="J121" i="82"/>
  <c r="F121" i="82"/>
  <c r="S120" i="82"/>
  <c r="R120" i="82"/>
  <c r="Q120" i="82"/>
  <c r="P120" i="82"/>
  <c r="K120" i="82"/>
  <c r="J120" i="82"/>
  <c r="F120" i="82"/>
  <c r="S119" i="82"/>
  <c r="R119" i="82"/>
  <c r="Q119" i="82"/>
  <c r="P119" i="82"/>
  <c r="K119" i="82"/>
  <c r="J119" i="82"/>
  <c r="F119" i="82"/>
  <c r="S118" i="82"/>
  <c r="R118" i="82"/>
  <c r="Q118" i="82"/>
  <c r="P118" i="82"/>
  <c r="K118" i="82"/>
  <c r="J118" i="82"/>
  <c r="F118" i="82"/>
  <c r="S117" i="82"/>
  <c r="R117" i="82"/>
  <c r="Q117" i="82"/>
  <c r="P117" i="82"/>
  <c r="K117" i="82"/>
  <c r="J117" i="82"/>
  <c r="F117" i="82"/>
  <c r="S116" i="82"/>
  <c r="R116" i="82"/>
  <c r="Q116" i="82"/>
  <c r="P116" i="82"/>
  <c r="K116" i="82"/>
  <c r="J116" i="82"/>
  <c r="F116" i="82"/>
  <c r="S115" i="82"/>
  <c r="R115" i="82"/>
  <c r="Q115" i="82"/>
  <c r="P115" i="82"/>
  <c r="K115" i="82"/>
  <c r="J115" i="82"/>
  <c r="F115" i="82"/>
  <c r="S114" i="82"/>
  <c r="R114" i="82"/>
  <c r="Q114" i="82"/>
  <c r="P114" i="82"/>
  <c r="K114" i="82"/>
  <c r="J114" i="82"/>
  <c r="F114" i="82"/>
  <c r="S113" i="82"/>
  <c r="R113" i="82"/>
  <c r="Q113" i="82"/>
  <c r="P113" i="82"/>
  <c r="K113" i="82"/>
  <c r="J113" i="82"/>
  <c r="F113" i="82"/>
  <c r="S112" i="82"/>
  <c r="R112" i="82"/>
  <c r="Q112" i="82"/>
  <c r="P112" i="82"/>
  <c r="K112" i="82"/>
  <c r="J112" i="82"/>
  <c r="F112" i="82"/>
  <c r="S111" i="82"/>
  <c r="R111" i="82"/>
  <c r="Q111" i="82"/>
  <c r="P111" i="82"/>
  <c r="K111" i="82"/>
  <c r="J111" i="82"/>
  <c r="F111" i="82"/>
  <c r="S110" i="82"/>
  <c r="R110" i="82"/>
  <c r="Q110" i="82"/>
  <c r="P110" i="82"/>
  <c r="K110" i="82"/>
  <c r="J110" i="82"/>
  <c r="F110" i="82"/>
  <c r="S109" i="82"/>
  <c r="R109" i="82"/>
  <c r="Q109" i="82"/>
  <c r="P109" i="82"/>
  <c r="K109" i="82"/>
  <c r="J109" i="82"/>
  <c r="F109" i="82"/>
  <c r="S108" i="82"/>
  <c r="R108" i="82"/>
  <c r="Q108" i="82"/>
  <c r="P108" i="82"/>
  <c r="K108" i="82"/>
  <c r="J108" i="82"/>
  <c r="F108" i="82"/>
  <c r="S107" i="82"/>
  <c r="R107" i="82"/>
  <c r="Q107" i="82"/>
  <c r="P107" i="82"/>
  <c r="K107" i="82"/>
  <c r="J107" i="82"/>
  <c r="F107" i="82"/>
  <c r="S106" i="82"/>
  <c r="R106" i="82"/>
  <c r="Q106" i="82"/>
  <c r="P106" i="82"/>
  <c r="K106" i="82"/>
  <c r="J106" i="82"/>
  <c r="F106" i="82"/>
  <c r="S105" i="82"/>
  <c r="R105" i="82"/>
  <c r="Q105" i="82"/>
  <c r="P105" i="82"/>
  <c r="K105" i="82"/>
  <c r="J105" i="82"/>
  <c r="F105" i="82"/>
  <c r="S104" i="82"/>
  <c r="R104" i="82"/>
  <c r="Q104" i="82"/>
  <c r="P104" i="82"/>
  <c r="K104" i="82"/>
  <c r="J104" i="82"/>
  <c r="F104" i="82"/>
  <c r="S103" i="82"/>
  <c r="R103" i="82"/>
  <c r="Q103" i="82"/>
  <c r="P103" i="82"/>
  <c r="K103" i="82"/>
  <c r="J103" i="82"/>
  <c r="F103" i="82"/>
  <c r="S102" i="82"/>
  <c r="R102" i="82"/>
  <c r="Q102" i="82"/>
  <c r="P102" i="82"/>
  <c r="K102" i="82"/>
  <c r="J102" i="82"/>
  <c r="F102" i="82"/>
  <c r="S101" i="82"/>
  <c r="R101" i="82"/>
  <c r="Q101" i="82"/>
  <c r="P101" i="82"/>
  <c r="K101" i="82"/>
  <c r="J101" i="82"/>
  <c r="F101" i="82"/>
  <c r="S100" i="82"/>
  <c r="R100" i="82"/>
  <c r="Q100" i="82"/>
  <c r="P100" i="82"/>
  <c r="K100" i="82"/>
  <c r="J100" i="82"/>
  <c r="F100" i="82"/>
  <c r="S99" i="82"/>
  <c r="R99" i="82"/>
  <c r="Q99" i="82"/>
  <c r="P99" i="82"/>
  <c r="K99" i="82"/>
  <c r="J99" i="82"/>
  <c r="F99" i="82"/>
  <c r="S98" i="82"/>
  <c r="R98" i="82"/>
  <c r="Q98" i="82"/>
  <c r="P98" i="82"/>
  <c r="K98" i="82"/>
  <c r="J98" i="82"/>
  <c r="F98" i="82"/>
  <c r="S97" i="82"/>
  <c r="R97" i="82"/>
  <c r="Q97" i="82"/>
  <c r="P97" i="82"/>
  <c r="K97" i="82"/>
  <c r="J97" i="82"/>
  <c r="F97" i="82"/>
  <c r="S96" i="82"/>
  <c r="R96" i="82"/>
  <c r="Q96" i="82"/>
  <c r="P96" i="82"/>
  <c r="K96" i="82"/>
  <c r="J96" i="82"/>
  <c r="F96" i="82"/>
  <c r="S95" i="82"/>
  <c r="R95" i="82"/>
  <c r="Q95" i="82"/>
  <c r="P95" i="82"/>
  <c r="K95" i="82"/>
  <c r="J95" i="82"/>
  <c r="F95" i="82"/>
  <c r="S94" i="82"/>
  <c r="R94" i="82"/>
  <c r="Q94" i="82"/>
  <c r="P94" i="82"/>
  <c r="K94" i="82"/>
  <c r="J94" i="82"/>
  <c r="F94" i="82"/>
  <c r="S93" i="82"/>
  <c r="R93" i="82"/>
  <c r="Q93" i="82"/>
  <c r="P93" i="82"/>
  <c r="K93" i="82"/>
  <c r="J93" i="82"/>
  <c r="F93" i="82"/>
  <c r="S92" i="82"/>
  <c r="R92" i="82"/>
  <c r="Q92" i="82"/>
  <c r="P92" i="82"/>
  <c r="K92" i="82"/>
  <c r="J92" i="82"/>
  <c r="F92" i="82"/>
  <c r="S91" i="82"/>
  <c r="R91" i="82"/>
  <c r="Q91" i="82"/>
  <c r="P91" i="82"/>
  <c r="K91" i="82"/>
  <c r="J91" i="82"/>
  <c r="F91" i="82"/>
  <c r="S90" i="82"/>
  <c r="R90" i="82"/>
  <c r="Q90" i="82"/>
  <c r="P90" i="82"/>
  <c r="K90" i="82"/>
  <c r="J90" i="82"/>
  <c r="F90" i="82"/>
  <c r="S89" i="82"/>
  <c r="R89" i="82"/>
  <c r="Q89" i="82"/>
  <c r="P89" i="82"/>
  <c r="K89" i="82"/>
  <c r="J89" i="82"/>
  <c r="F89" i="82"/>
  <c r="S88" i="82"/>
  <c r="R88" i="82"/>
  <c r="Q88" i="82"/>
  <c r="P88" i="82"/>
  <c r="K88" i="82"/>
  <c r="J88" i="82"/>
  <c r="F88" i="82"/>
  <c r="S87" i="82"/>
  <c r="R87" i="82"/>
  <c r="Q87" i="82"/>
  <c r="P87" i="82"/>
  <c r="K87" i="82"/>
  <c r="J87" i="82"/>
  <c r="F87" i="82"/>
  <c r="S86" i="82"/>
  <c r="R86" i="82"/>
  <c r="Q86" i="82"/>
  <c r="P86" i="82"/>
  <c r="K86" i="82"/>
  <c r="J86" i="82"/>
  <c r="F86" i="82"/>
  <c r="S85" i="82"/>
  <c r="R85" i="82"/>
  <c r="Q85" i="82"/>
  <c r="P85" i="82"/>
  <c r="K85" i="82"/>
  <c r="J85" i="82"/>
  <c r="F85" i="82"/>
  <c r="S84" i="82"/>
  <c r="R84" i="82"/>
  <c r="Q84" i="82"/>
  <c r="P84" i="82"/>
  <c r="K84" i="82"/>
  <c r="J84" i="82"/>
  <c r="F84" i="82"/>
  <c r="S83" i="82"/>
  <c r="R83" i="82"/>
  <c r="Q83" i="82"/>
  <c r="P83" i="82"/>
  <c r="K83" i="82"/>
  <c r="J83" i="82"/>
  <c r="F83" i="82"/>
  <c r="S82" i="82"/>
  <c r="R82" i="82"/>
  <c r="Q82" i="82"/>
  <c r="P82" i="82"/>
  <c r="K82" i="82"/>
  <c r="J82" i="82"/>
  <c r="F82" i="82"/>
  <c r="S81" i="82"/>
  <c r="R81" i="82"/>
  <c r="Q81" i="82"/>
  <c r="P81" i="82"/>
  <c r="K81" i="82"/>
  <c r="J81" i="82"/>
  <c r="F81" i="82"/>
  <c r="S80" i="82"/>
  <c r="R80" i="82"/>
  <c r="Q80" i="82"/>
  <c r="P80" i="82"/>
  <c r="K80" i="82"/>
  <c r="J80" i="82"/>
  <c r="F80" i="82"/>
  <c r="S79" i="82"/>
  <c r="R79" i="82"/>
  <c r="Q79" i="82"/>
  <c r="P79" i="82"/>
  <c r="K79" i="82"/>
  <c r="J79" i="82"/>
  <c r="F79" i="82"/>
  <c r="S78" i="82"/>
  <c r="R78" i="82"/>
  <c r="Q78" i="82"/>
  <c r="P78" i="82"/>
  <c r="K78" i="82"/>
  <c r="J78" i="82"/>
  <c r="F78" i="82"/>
  <c r="S77" i="82"/>
  <c r="R77" i="82"/>
  <c r="Q77" i="82"/>
  <c r="P77" i="82"/>
  <c r="K77" i="82"/>
  <c r="J77" i="82"/>
  <c r="F77" i="82"/>
  <c r="S76" i="82"/>
  <c r="R76" i="82"/>
  <c r="Q76" i="82"/>
  <c r="P76" i="82"/>
  <c r="K76" i="82"/>
  <c r="J76" i="82"/>
  <c r="F76" i="82"/>
  <c r="S75" i="82"/>
  <c r="R75" i="82"/>
  <c r="Q75" i="82"/>
  <c r="P75" i="82"/>
  <c r="K75" i="82"/>
  <c r="J75" i="82"/>
  <c r="F75" i="82"/>
  <c r="S74" i="82"/>
  <c r="R74" i="82"/>
  <c r="Q74" i="82"/>
  <c r="P74" i="82"/>
  <c r="K74" i="82"/>
  <c r="J74" i="82"/>
  <c r="F74" i="82"/>
  <c r="S73" i="82"/>
  <c r="R73" i="82"/>
  <c r="Q73" i="82"/>
  <c r="P73" i="82"/>
  <c r="K73" i="82"/>
  <c r="J73" i="82"/>
  <c r="F73" i="82"/>
  <c r="S72" i="82"/>
  <c r="R72" i="82"/>
  <c r="Q72" i="82"/>
  <c r="P72" i="82"/>
  <c r="K72" i="82"/>
  <c r="J72" i="82"/>
  <c r="F72" i="82"/>
  <c r="S71" i="82"/>
  <c r="R71" i="82"/>
  <c r="Q71" i="82"/>
  <c r="P71" i="82"/>
  <c r="K71" i="82"/>
  <c r="J71" i="82"/>
  <c r="F71" i="82"/>
  <c r="S70" i="82"/>
  <c r="R70" i="82"/>
  <c r="Q70" i="82"/>
  <c r="P70" i="82"/>
  <c r="K70" i="82"/>
  <c r="J70" i="82"/>
  <c r="F70" i="82"/>
  <c r="S69" i="82"/>
  <c r="R69" i="82"/>
  <c r="Q69" i="82"/>
  <c r="P69" i="82"/>
  <c r="K69" i="82"/>
  <c r="J69" i="82"/>
  <c r="F69" i="82"/>
  <c r="S68" i="82"/>
  <c r="R68" i="82"/>
  <c r="Q68" i="82"/>
  <c r="P68" i="82"/>
  <c r="K68" i="82"/>
  <c r="J68" i="82"/>
  <c r="F68" i="82"/>
  <c r="S67" i="82"/>
  <c r="R67" i="82"/>
  <c r="Q67" i="82"/>
  <c r="P67" i="82"/>
  <c r="K67" i="82"/>
  <c r="J67" i="82"/>
  <c r="F67" i="82"/>
  <c r="S66" i="82"/>
  <c r="R66" i="82"/>
  <c r="Q66" i="82"/>
  <c r="P66" i="82"/>
  <c r="K66" i="82"/>
  <c r="J66" i="82"/>
  <c r="F66" i="82"/>
  <c r="S65" i="82"/>
  <c r="R65" i="82"/>
  <c r="Q65" i="82"/>
  <c r="P65" i="82"/>
  <c r="K65" i="82"/>
  <c r="J65" i="82"/>
  <c r="F65" i="82"/>
  <c r="S64" i="82"/>
  <c r="R64" i="82"/>
  <c r="Q64" i="82"/>
  <c r="P64" i="82"/>
  <c r="K64" i="82"/>
  <c r="J64" i="82"/>
  <c r="F64" i="82"/>
  <c r="S63" i="82"/>
  <c r="R63" i="82"/>
  <c r="Q63" i="82"/>
  <c r="P63" i="82"/>
  <c r="K63" i="82"/>
  <c r="J63" i="82"/>
  <c r="F63" i="82"/>
  <c r="S62" i="82"/>
  <c r="R62" i="82"/>
  <c r="Q62" i="82"/>
  <c r="P62" i="82"/>
  <c r="K62" i="82"/>
  <c r="J62" i="82"/>
  <c r="F62" i="82"/>
  <c r="S61" i="82"/>
  <c r="R61" i="82"/>
  <c r="Q61" i="82"/>
  <c r="P61" i="82"/>
  <c r="K61" i="82"/>
  <c r="J61" i="82"/>
  <c r="F61" i="82"/>
  <c r="S60" i="82"/>
  <c r="R60" i="82"/>
  <c r="Q60" i="82"/>
  <c r="P60" i="82"/>
  <c r="K60" i="82"/>
  <c r="J60" i="82"/>
  <c r="F60" i="82"/>
  <c r="S59" i="82"/>
  <c r="R59" i="82"/>
  <c r="Q59" i="82"/>
  <c r="P59" i="82"/>
  <c r="K59" i="82"/>
  <c r="J59" i="82"/>
  <c r="F59" i="82"/>
  <c r="S58" i="82"/>
  <c r="R58" i="82"/>
  <c r="Q58" i="82"/>
  <c r="P58" i="82"/>
  <c r="K58" i="82"/>
  <c r="J58" i="82"/>
  <c r="F58" i="82"/>
  <c r="S57" i="82"/>
  <c r="R57" i="82"/>
  <c r="Q57" i="82"/>
  <c r="P57" i="82"/>
  <c r="K57" i="82"/>
  <c r="J57" i="82"/>
  <c r="F57" i="82"/>
  <c r="S56" i="82"/>
  <c r="R56" i="82"/>
  <c r="Q56" i="82"/>
  <c r="P56" i="82"/>
  <c r="K56" i="82"/>
  <c r="J56" i="82"/>
  <c r="F56" i="82"/>
  <c r="S55" i="82"/>
  <c r="R55" i="82"/>
  <c r="Q55" i="82"/>
  <c r="P55" i="82"/>
  <c r="K55" i="82"/>
  <c r="J55" i="82"/>
  <c r="F55" i="82"/>
  <c r="S54" i="82"/>
  <c r="R54" i="82"/>
  <c r="Q54" i="82"/>
  <c r="P54" i="82"/>
  <c r="K54" i="82"/>
  <c r="J54" i="82"/>
  <c r="F54" i="82"/>
  <c r="S53" i="82"/>
  <c r="R53" i="82"/>
  <c r="Q53" i="82"/>
  <c r="P53" i="82"/>
  <c r="K53" i="82"/>
  <c r="J53" i="82"/>
  <c r="F53" i="82"/>
  <c r="S52" i="82"/>
  <c r="R52" i="82"/>
  <c r="Q52" i="82"/>
  <c r="P52" i="82"/>
  <c r="K52" i="82"/>
  <c r="J52" i="82"/>
  <c r="F52" i="82"/>
  <c r="S51" i="82"/>
  <c r="R51" i="82"/>
  <c r="Q51" i="82"/>
  <c r="P51" i="82"/>
  <c r="K51" i="82"/>
  <c r="J51" i="82"/>
  <c r="F51" i="82"/>
  <c r="S50" i="82"/>
  <c r="R50" i="82"/>
  <c r="Q50" i="82"/>
  <c r="P50" i="82"/>
  <c r="K50" i="82"/>
  <c r="J50" i="82"/>
  <c r="F50" i="82"/>
  <c r="S49" i="82"/>
  <c r="R49" i="82"/>
  <c r="Q49" i="82"/>
  <c r="P49" i="82"/>
  <c r="K49" i="82"/>
  <c r="J49" i="82"/>
  <c r="F49" i="82"/>
  <c r="S48" i="82"/>
  <c r="R48" i="82"/>
  <c r="Q48" i="82"/>
  <c r="P48" i="82"/>
  <c r="K48" i="82"/>
  <c r="J48" i="82"/>
  <c r="F48" i="82"/>
  <c r="S47" i="82"/>
  <c r="R47" i="82"/>
  <c r="Q47" i="82"/>
  <c r="P47" i="82"/>
  <c r="K47" i="82"/>
  <c r="J47" i="82"/>
  <c r="F47" i="82"/>
  <c r="S46" i="82"/>
  <c r="R46" i="82"/>
  <c r="Q46" i="82"/>
  <c r="P46" i="82"/>
  <c r="K46" i="82"/>
  <c r="J46" i="82"/>
  <c r="F46" i="82"/>
  <c r="S45" i="82"/>
  <c r="R45" i="82"/>
  <c r="Q45" i="82"/>
  <c r="P45" i="82"/>
  <c r="K45" i="82"/>
  <c r="J45" i="82"/>
  <c r="F45" i="82"/>
  <c r="S44" i="82"/>
  <c r="R44" i="82"/>
  <c r="Q44" i="82"/>
  <c r="P44" i="82"/>
  <c r="K44" i="82"/>
  <c r="J44" i="82"/>
  <c r="F44" i="82"/>
  <c r="S43" i="82"/>
  <c r="R43" i="82"/>
  <c r="Q43" i="82"/>
  <c r="P43" i="82"/>
  <c r="K43" i="82"/>
  <c r="J43" i="82"/>
  <c r="F43" i="82"/>
  <c r="S42" i="82"/>
  <c r="R42" i="82"/>
  <c r="Q42" i="82"/>
  <c r="P42" i="82"/>
  <c r="K42" i="82"/>
  <c r="J42" i="82"/>
  <c r="F42" i="82"/>
  <c r="S41" i="82"/>
  <c r="R41" i="82"/>
  <c r="Q41" i="82"/>
  <c r="P41" i="82"/>
  <c r="K41" i="82"/>
  <c r="J41" i="82"/>
  <c r="F41" i="82"/>
  <c r="S40" i="82"/>
  <c r="R40" i="82"/>
  <c r="Q40" i="82"/>
  <c r="P40" i="82"/>
  <c r="K40" i="82"/>
  <c r="J40" i="82"/>
  <c r="F40" i="82"/>
  <c r="S39" i="82"/>
  <c r="R39" i="82"/>
  <c r="Q39" i="82"/>
  <c r="P39" i="82"/>
  <c r="K39" i="82"/>
  <c r="J39" i="82"/>
  <c r="F39" i="82"/>
  <c r="S38" i="82"/>
  <c r="R38" i="82"/>
  <c r="Q38" i="82"/>
  <c r="P38" i="82"/>
  <c r="K38" i="82"/>
  <c r="J38" i="82"/>
  <c r="F38" i="82"/>
  <c r="S37" i="82"/>
  <c r="R37" i="82"/>
  <c r="Q37" i="82"/>
  <c r="P37" i="82"/>
  <c r="K37" i="82"/>
  <c r="J37" i="82"/>
  <c r="F37" i="82"/>
  <c r="S36" i="82"/>
  <c r="R36" i="82"/>
  <c r="Q36" i="82"/>
  <c r="P36" i="82"/>
  <c r="K36" i="82"/>
  <c r="J36" i="82"/>
  <c r="F36" i="82"/>
  <c r="S35" i="82"/>
  <c r="R35" i="82"/>
  <c r="Q35" i="82"/>
  <c r="P35" i="82"/>
  <c r="K35" i="82"/>
  <c r="J35" i="82"/>
  <c r="F35" i="82"/>
  <c r="S34" i="82"/>
  <c r="R34" i="82"/>
  <c r="Q34" i="82"/>
  <c r="P34" i="82"/>
  <c r="K34" i="82"/>
  <c r="J34" i="82"/>
  <c r="F34" i="82"/>
  <c r="S33" i="82"/>
  <c r="R33" i="82"/>
  <c r="Q33" i="82"/>
  <c r="P33" i="82"/>
  <c r="K33" i="82"/>
  <c r="J33" i="82"/>
  <c r="F33" i="82"/>
  <c r="S32" i="82"/>
  <c r="R32" i="82"/>
  <c r="Q32" i="82"/>
  <c r="P32" i="82"/>
  <c r="K32" i="82"/>
  <c r="J32" i="82"/>
  <c r="F32" i="82"/>
  <c r="S31" i="82"/>
  <c r="R31" i="82"/>
  <c r="Q31" i="82"/>
  <c r="P31" i="82"/>
  <c r="K31" i="82"/>
  <c r="J31" i="82"/>
  <c r="F31" i="82"/>
  <c r="S30" i="82"/>
  <c r="R30" i="82"/>
  <c r="Q30" i="82"/>
  <c r="P30" i="82"/>
  <c r="K30" i="82"/>
  <c r="J30" i="82"/>
  <c r="F30" i="82"/>
  <c r="S29" i="82"/>
  <c r="R29" i="82"/>
  <c r="Q29" i="82"/>
  <c r="P29" i="82"/>
  <c r="K29" i="82"/>
  <c r="J29" i="82"/>
  <c r="F29" i="82"/>
  <c r="S28" i="82"/>
  <c r="R28" i="82"/>
  <c r="Q28" i="82"/>
  <c r="P28" i="82"/>
  <c r="K28" i="82"/>
  <c r="J28" i="82"/>
  <c r="F28" i="82"/>
  <c r="S27" i="82"/>
  <c r="R27" i="82"/>
  <c r="Q27" i="82"/>
  <c r="P27" i="82"/>
  <c r="K27" i="82"/>
  <c r="J27" i="82"/>
  <c r="F27" i="82"/>
  <c r="S26" i="82"/>
  <c r="R26" i="82"/>
  <c r="Q26" i="82"/>
  <c r="P26" i="82"/>
  <c r="K26" i="82"/>
  <c r="J26" i="82"/>
  <c r="F26" i="82"/>
  <c r="S25" i="82"/>
  <c r="R25" i="82"/>
  <c r="Q25" i="82"/>
  <c r="P25" i="82"/>
  <c r="K25" i="82"/>
  <c r="J25" i="82"/>
  <c r="F25" i="82"/>
  <c r="S24" i="82"/>
  <c r="R24" i="82"/>
  <c r="Q24" i="82"/>
  <c r="P24" i="82"/>
  <c r="K24" i="82"/>
  <c r="J24" i="82"/>
  <c r="F24" i="82"/>
  <c r="S23" i="82"/>
  <c r="R23" i="82"/>
  <c r="Q23" i="82"/>
  <c r="P23" i="82"/>
  <c r="K23" i="82"/>
  <c r="J23" i="82"/>
  <c r="F23" i="82"/>
  <c r="S22" i="82"/>
  <c r="R22" i="82"/>
  <c r="Q22" i="82"/>
  <c r="P22" i="82"/>
  <c r="K22" i="82"/>
  <c r="J22" i="82"/>
  <c r="F22" i="82"/>
  <c r="S21" i="82"/>
  <c r="R21" i="82"/>
  <c r="Q21" i="82"/>
  <c r="P21" i="82"/>
  <c r="K21" i="82"/>
  <c r="J21" i="82"/>
  <c r="F21" i="82"/>
  <c r="S20" i="82"/>
  <c r="R20" i="82"/>
  <c r="Q20" i="82"/>
  <c r="P20" i="82"/>
  <c r="K20" i="82"/>
  <c r="J20" i="82"/>
  <c r="F20" i="82"/>
  <c r="S19" i="82"/>
  <c r="R19" i="82"/>
  <c r="Q19" i="82"/>
  <c r="P19" i="82"/>
  <c r="K19" i="82"/>
  <c r="J19" i="82"/>
  <c r="F19" i="82"/>
  <c r="S18" i="82"/>
  <c r="R18" i="82"/>
  <c r="Q18" i="82"/>
  <c r="P18" i="82"/>
  <c r="K18" i="82"/>
  <c r="J18" i="82"/>
  <c r="F18" i="82"/>
  <c r="S17" i="82"/>
  <c r="R17" i="82"/>
  <c r="Q17" i="82"/>
  <c r="P17" i="82"/>
  <c r="K17" i="82"/>
  <c r="J17" i="82"/>
  <c r="F17" i="82"/>
  <c r="S16" i="82"/>
  <c r="R16" i="82"/>
  <c r="Q16" i="82"/>
  <c r="P16" i="82"/>
  <c r="K16" i="82"/>
  <c r="J16" i="82"/>
  <c r="F16" i="82"/>
  <c r="S15" i="82"/>
  <c r="R15" i="82"/>
  <c r="Q15" i="82"/>
  <c r="P15" i="82"/>
  <c r="K15" i="82"/>
  <c r="J15" i="82"/>
  <c r="F15" i="82"/>
  <c r="S14" i="82"/>
  <c r="R14" i="82"/>
  <c r="Q14" i="82"/>
  <c r="P14" i="82"/>
  <c r="K14" i="82"/>
  <c r="J14" i="82"/>
  <c r="F14" i="82"/>
  <c r="S13" i="82"/>
  <c r="R13" i="82"/>
  <c r="Q13" i="82"/>
  <c r="P13" i="82"/>
  <c r="K13" i="82"/>
  <c r="J13" i="82"/>
  <c r="F13" i="82"/>
  <c r="S12" i="82"/>
  <c r="R12" i="82"/>
  <c r="Q12" i="82"/>
  <c r="P12" i="82"/>
  <c r="K12" i="82"/>
  <c r="J12" i="82"/>
  <c r="F12" i="82"/>
  <c r="S11" i="82"/>
  <c r="R11" i="82"/>
  <c r="Q11" i="82"/>
  <c r="P11" i="82"/>
  <c r="K11" i="82"/>
  <c r="J11" i="82"/>
  <c r="F11" i="82"/>
  <c r="S10" i="82"/>
  <c r="R10" i="82"/>
  <c r="Q10" i="82"/>
  <c r="P10" i="82"/>
  <c r="K10" i="82"/>
  <c r="J10" i="82"/>
  <c r="F10" i="82"/>
  <c r="S9" i="82"/>
  <c r="R9" i="82"/>
  <c r="Q9" i="82"/>
  <c r="P9" i="82"/>
  <c r="K9" i="82"/>
  <c r="J9" i="82"/>
  <c r="F9" i="82"/>
  <c r="S8" i="82"/>
  <c r="R8" i="82"/>
  <c r="Q8" i="82"/>
  <c r="P8" i="82"/>
  <c r="K8" i="82"/>
  <c r="J8" i="82"/>
  <c r="F8" i="82"/>
  <c r="S7" i="82"/>
  <c r="R7" i="82"/>
  <c r="Q7" i="82"/>
  <c r="P7" i="82"/>
  <c r="K7" i="82"/>
  <c r="J7" i="82"/>
  <c r="F7" i="82"/>
  <c r="S6" i="82"/>
  <c r="R6" i="82"/>
  <c r="Q6" i="82"/>
  <c r="P6" i="82"/>
  <c r="K6" i="82"/>
  <c r="J6" i="82"/>
  <c r="F6" i="82"/>
  <c r="S5" i="82"/>
  <c r="R5" i="82"/>
  <c r="Q5" i="82"/>
  <c r="P5" i="82"/>
  <c r="K5" i="82"/>
  <c r="J5" i="82"/>
  <c r="F5" i="82"/>
  <c r="S4" i="82"/>
  <c r="R4" i="82"/>
  <c r="Q4" i="82"/>
  <c r="P4" i="82"/>
  <c r="K4" i="82"/>
  <c r="J4" i="82"/>
  <c r="F4" i="82"/>
  <c r="S3" i="82"/>
  <c r="R3" i="82"/>
  <c r="Q3" i="82"/>
  <c r="P3" i="82"/>
  <c r="K3" i="82"/>
  <c r="J3" i="82"/>
  <c r="F3" i="82"/>
  <c r="S2" i="82"/>
  <c r="R2" i="82"/>
  <c r="Q2" i="82"/>
  <c r="P2" i="82"/>
  <c r="K2" i="82"/>
  <c r="J2" i="82"/>
  <c r="F2" i="82"/>
  <c r="A7" i="105"/>
  <c r="D7" i="105"/>
  <c r="A10" i="105"/>
  <c r="B13" i="104"/>
  <c r="G10" i="105"/>
  <c r="G7" i="105"/>
  <c r="E7" i="103"/>
  <c r="E6" i="103"/>
  <c r="E5" i="103"/>
  <c r="E4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ガチャid+識別子でつければ被らないかなと思います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<sst xmlns="http://schemas.openxmlformats.org/spreadsheetml/2006/main" count="460" uniqueCount="176">
  <si>
    <t>character_id</t>
  </si>
  <si>
    <t>character_id</t>
    <phoneticPr fontId="15"/>
  </si>
  <si>
    <t>weight</t>
    <phoneticPr fontId="15"/>
  </si>
  <si>
    <t>rare</t>
    <phoneticPr fontId="15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</si>
  <si>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</si>
  <si>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</si>
  <si>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</si>
  <si>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</si>
  <si>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</si>
  <si>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</si>
  <si>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</si>
  <si>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5"/>
  </si>
  <si>
    <t>bonus_table_no</t>
    <phoneticPr fontId="15"/>
  </si>
  <si>
    <t>weight</t>
    <phoneticPr fontId="15"/>
  </si>
  <si>
    <t>gift_id</t>
    <phoneticPr fontId="15"/>
  </si>
  <si>
    <t>gift_id</t>
    <phoneticPr fontId="15"/>
  </si>
  <si>
    <t>gift_type</t>
    <phoneticPr fontId="15"/>
  </si>
  <si>
    <t>gift_value</t>
    <phoneticPr fontId="15"/>
  </si>
  <si>
    <t>gift_count</t>
    <phoneticPr fontId="15"/>
  </si>
  <si>
    <t>language</t>
    <phoneticPr fontId="15"/>
  </si>
  <si>
    <t>title</t>
    <phoneticPr fontId="15"/>
  </si>
  <si>
    <t>detail</t>
    <phoneticPr fontId="15"/>
  </si>
  <si>
    <t>message</t>
    <phoneticPr fontId="15"/>
  </si>
  <si>
    <t>gift_id</t>
    <phoneticPr fontId="15"/>
  </si>
  <si>
    <t>gift_value</t>
    <phoneticPr fontId="15"/>
  </si>
  <si>
    <t>gift_value</t>
    <phoneticPr fontId="15"/>
  </si>
  <si>
    <t>gift_count</t>
    <phoneticPr fontId="15"/>
  </si>
  <si>
    <t>language</t>
    <phoneticPr fontId="15"/>
  </si>
  <si>
    <t>title</t>
    <phoneticPr fontId="15"/>
  </si>
  <si>
    <t>detail</t>
    <phoneticPr fontId="15"/>
  </si>
  <si>
    <t>message</t>
    <phoneticPr fontId="15"/>
  </si>
  <si>
    <t>gift_type</t>
    <phoneticPr fontId="15"/>
  </si>
  <si>
    <t>備考</t>
    <rPh sb="0" eb="2">
      <t>ビコウ</t>
    </rPh>
    <phoneticPr fontId="15"/>
  </si>
  <si>
    <t>character_id</t>
    <phoneticPr fontId="15"/>
  </si>
  <si>
    <t>name</t>
    <phoneticPr fontId="15"/>
  </si>
  <si>
    <t>drop_label</t>
    <phoneticPr fontId="15"/>
  </si>
  <si>
    <t>rare</t>
    <phoneticPr fontId="15"/>
  </si>
  <si>
    <t>character_type_id</t>
    <phoneticPr fontId="15"/>
  </si>
  <si>
    <t>character_tribe_id</t>
    <phoneticPr fontId="15"/>
  </si>
  <si>
    <t>unit_level</t>
    <phoneticPr fontId="15"/>
  </si>
  <si>
    <t>weight</t>
    <phoneticPr fontId="15"/>
  </si>
  <si>
    <t>接頭語</t>
    <rPh sb="0" eb="3">
      <t>セットウゴ</t>
    </rPh>
    <phoneticPr fontId="48"/>
  </si>
  <si>
    <t>識別子</t>
    <rPh sb="0" eb="3">
      <t>シキベツシ</t>
    </rPh>
    <phoneticPr fontId="48"/>
  </si>
  <si>
    <t>形式</t>
    <rPh sb="0" eb="2">
      <t>ケイシキ</t>
    </rPh>
    <phoneticPr fontId="48"/>
  </si>
  <si>
    <t>出力ファイル名</t>
    <rPh sb="0" eb="2">
      <t>シュツリョク</t>
    </rPh>
    <rPh sb="6" eb="7">
      <t>メイ</t>
    </rPh>
    <phoneticPr fontId="48"/>
  </si>
  <si>
    <t>入力シート名</t>
    <rPh sb="0" eb="2">
      <t>ニュウリョク</t>
    </rPh>
    <rPh sb="5" eb="6">
      <t>メイ</t>
    </rPh>
    <phoneticPr fontId="48"/>
  </si>
  <si>
    <t>出力データ</t>
    <rPh sb="0" eb="2">
      <t>シュツリョク</t>
    </rPh>
    <phoneticPr fontId="48"/>
  </si>
  <si>
    <t>.tmp</t>
    <phoneticPr fontId="48"/>
  </si>
  <si>
    <t>.tmp</t>
    <phoneticPr fontId="48"/>
  </si>
  <si>
    <t>gacha_bonus_tables</t>
    <phoneticPr fontId="48"/>
  </si>
  <si>
    <t>gifts_tmp_</t>
    <phoneticPr fontId="15"/>
  </si>
  <si>
    <t>gifts_i18n_</t>
    <phoneticPr fontId="15"/>
  </si>
  <si>
    <t>gacha_select_tables_</t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</si>
  <si>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5"/>
  </si>
  <si>
    <t>出力flg</t>
    <rPh sb="0" eb="2">
      <t>シュツリョク</t>
    </rPh>
    <phoneticPr fontId="48"/>
  </si>
  <si>
    <t>color</t>
    <phoneticPr fontId="15"/>
  </si>
  <si>
    <t>name</t>
    <phoneticPr fontId="15"/>
  </si>
  <si>
    <t>バグ設定ユニット数</t>
    <rPh sb="2" eb="9">
      <t>セッテイy</t>
    </rPh>
    <phoneticPr fontId="15"/>
  </si>
  <si>
    <t>単発ガチャ</t>
    <rPh sb="0" eb="5">
      <t>タンパt</t>
    </rPh>
    <phoneticPr fontId="15"/>
  </si>
  <si>
    <t>unit_level</t>
    <phoneticPr fontId="15"/>
  </si>
  <si>
    <t>フェス限定キャラ数</t>
    <rPh sb="3" eb="8">
      <t>ゲン</t>
    </rPh>
    <rPh sb="8" eb="9">
      <t>シュt</t>
    </rPh>
    <phoneticPr fontId="15"/>
  </si>
  <si>
    <t>１０連ガチャ</t>
    <rPh sb="2" eb="6">
      <t>レン</t>
    </rPh>
    <phoneticPr fontId="15"/>
  </si>
  <si>
    <t>確定枠</t>
    <rPh sb="0" eb="3">
      <t>カクテ</t>
    </rPh>
    <phoneticPr fontId="15"/>
  </si>
  <si>
    <t>今回のガチャID</t>
    <rPh sb="0" eb="3">
      <t>コンカ</t>
    </rPh>
    <phoneticPr fontId="15"/>
  </si>
  <si>
    <t>other</t>
    <phoneticPr fontId="15"/>
  </si>
  <si>
    <t>総ユニット数</t>
    <rPh sb="0" eb="1">
      <t>ソウ</t>
    </rPh>
    <rPh sb="5" eb="6">
      <t>ス</t>
    </rPh>
    <phoneticPr fontId="15"/>
  </si>
  <si>
    <t>総ユニット数</t>
    <rPh sb="0" eb="6">
      <t>ソウユニッt</t>
    </rPh>
    <phoneticPr fontId="15"/>
  </si>
  <si>
    <t>レベル設定ユニット数</t>
    <rPh sb="3" eb="10">
      <t>セッテイy</t>
    </rPh>
    <phoneticPr fontId="15"/>
  </si>
  <si>
    <t>skip</t>
    <phoneticPr fontId="15"/>
  </si>
  <si>
    <t>レアリティ別確率</t>
    <rPh sb="5" eb="6">
      <t>ベツ</t>
    </rPh>
    <rPh sb="6" eb="8">
      <t>カクリツ</t>
    </rPh>
    <phoneticPr fontId="15"/>
  </si>
  <si>
    <t>ラベル別確率</t>
    <rPh sb="3" eb="4">
      <t>ベツ</t>
    </rPh>
    <rPh sb="4" eb="6">
      <t>カクリツ</t>
    </rPh>
    <phoneticPr fontId="15"/>
  </si>
  <si>
    <t>SSS</t>
    <phoneticPr fontId="15"/>
  </si>
  <si>
    <t>SS</t>
    <phoneticPr fontId="15"/>
  </si>
  <si>
    <t>hogehoge</t>
    <phoneticPr fontId="15"/>
  </si>
  <si>
    <t>ラベル*レアリティ標準確率</t>
    <rPh sb="9" eb="11">
      <t>ヒョウジュン</t>
    </rPh>
    <rPh sb="11" eb="13">
      <t>カクリツ</t>
    </rPh>
    <phoneticPr fontId="15"/>
  </si>
  <si>
    <t>性別</t>
    <rPh sb="0" eb="2">
      <t>セイベツ</t>
    </rPh>
    <phoneticPr fontId="15"/>
  </si>
  <si>
    <t>合計</t>
    <rPh sb="0" eb="2">
      <t>ゴウケイ</t>
    </rPh>
    <phoneticPr fontId="15"/>
  </si>
  <si>
    <t>グループ</t>
    <phoneticPr fontId="15"/>
  </si>
  <si>
    <t>基準確率</t>
    <rPh sb="0" eb="2">
      <t>キジュン</t>
    </rPh>
    <rPh sb="2" eb="4">
      <t>ヒョウジュンカクリツ</t>
    </rPh>
    <phoneticPr fontId="15"/>
  </si>
  <si>
    <t>ピックアップ確率</t>
    <rPh sb="6" eb="8">
      <t>カクリツ</t>
    </rPh>
    <phoneticPr fontId="15"/>
  </si>
  <si>
    <t>残り確率</t>
    <rPh sb="0" eb="1">
      <t>ノコ</t>
    </rPh>
    <rPh sb="2" eb="4">
      <t>カクリツ</t>
    </rPh>
    <phoneticPr fontId="15"/>
  </si>
  <si>
    <t>確率</t>
    <rPh sb="0" eb="2">
      <t>カクリツ</t>
    </rPh>
    <phoneticPr fontId="15"/>
  </si>
  <si>
    <t>所属グループ</t>
    <rPh sb="0" eb="2">
      <t>ショゾク</t>
    </rPh>
    <phoneticPr fontId="15"/>
  </si>
  <si>
    <t>名前</t>
    <rPh sb="0" eb="2">
      <t>ナマエ</t>
    </rPh>
    <phoneticPr fontId="15"/>
  </si>
  <si>
    <t>レアリティ</t>
    <phoneticPr fontId="15"/>
  </si>
  <si>
    <t>ラベル</t>
    <phoneticPr fontId="15"/>
  </si>
  <si>
    <t>R3</t>
    <phoneticPr fontId="15"/>
  </si>
  <si>
    <t>R4</t>
    <phoneticPr fontId="15"/>
  </si>
  <si>
    <t>R5</t>
    <phoneticPr fontId="15"/>
  </si>
  <si>
    <t>個別確率</t>
    <rPh sb="0" eb="4">
      <t>コベツカクリツ</t>
    </rPh>
    <phoneticPr fontId="15"/>
  </si>
  <si>
    <t>該当数(ピックアップ除く)</t>
    <rPh sb="0" eb="2">
      <t>ガイトウ</t>
    </rPh>
    <rPh sb="2" eb="3">
      <t>スウ</t>
    </rPh>
    <rPh sb="10" eb="11">
      <t>ノゾ</t>
    </rPh>
    <phoneticPr fontId="15"/>
  </si>
  <si>
    <t>個別weight</t>
    <rPh sb="0" eb="2">
      <t>コベツ</t>
    </rPh>
    <phoneticPr fontId="15"/>
  </si>
  <si>
    <t>グループweight</t>
    <phoneticPr fontId="15"/>
  </si>
  <si>
    <t>端数</t>
    <rPh sb="0" eb="2">
      <t>ハスウ</t>
    </rPh>
    <phoneticPr fontId="15"/>
  </si>
  <si>
    <t>確率</t>
    <rPh sb="0" eb="2">
      <t>カクリツ</t>
    </rPh>
    <phoneticPr fontId="15"/>
  </si>
  <si>
    <t>--検算用--</t>
    <rPh sb="3" eb="6">
      <t>ケンザンヨウ</t>
    </rPh>
    <phoneticPr fontId="15"/>
  </si>
  <si>
    <t>端数逆数</t>
    <rPh sb="0" eb="2">
      <t>ハスウ</t>
    </rPh>
    <rPh sb="2" eb="4">
      <t>ギャクスウ</t>
    </rPh>
    <phoneticPr fontId="15"/>
  </si>
  <si>
    <t>テーブルを増やしたい場合</t>
    <rPh sb="5" eb="6">
      <t>フ</t>
    </rPh>
    <rPh sb="10" eb="12">
      <t>バアイ</t>
    </rPh>
    <phoneticPr fontId="15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</si>
  <si>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5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</si>
  <si>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5"/>
  </si>
  <si>
    <t>３．outputシートで２で作ったtablesを指定する</t>
    <rPh sb="14" eb="15">
      <t>ツク</t>
    </rPh>
    <rPh sb="24" eb="26">
      <t>シテイ</t>
    </rPh>
    <phoneticPr fontId="15"/>
  </si>
  <si>
    <t>テーブルid</t>
    <phoneticPr fontId="15"/>
  </si>
  <si>
    <t>→ピックアップの確率は右のほうにいます</t>
    <rPh sb="8" eb="10">
      <t>カクリツ</t>
    </rPh>
    <rPh sb="11" eb="12">
      <t>ミギ</t>
    </rPh>
    <phoneticPr fontId="15"/>
  </si>
  <si>
    <t>table_no</t>
    <phoneticPr fontId="15"/>
  </si>
  <si>
    <t>table_no</t>
    <phoneticPr fontId="15"/>
  </si>
  <si>
    <t>skill_level</t>
  </si>
  <si>
    <t>level</t>
  </si>
  <si>
    <t>hp_plus</t>
    <phoneticPr fontId="48"/>
  </si>
  <si>
    <t>attack_plus</t>
    <phoneticPr fontId="48"/>
  </si>
  <si>
    <t>heal_plus</t>
    <phoneticPr fontId="48"/>
  </si>
  <si>
    <t>defense_plus</t>
    <phoneticPr fontId="48"/>
  </si>
  <si>
    <t>level</t>
    <phoneticPr fontId="48"/>
  </si>
  <si>
    <t>skill_level</t>
    <phoneticPr fontId="48"/>
  </si>
  <si>
    <t>bug</t>
    <phoneticPr fontId="48"/>
  </si>
  <si>
    <t>ja</t>
    <phoneticPr fontId="15"/>
  </si>
  <si>
    <t>drop_label2</t>
    <phoneticPr fontId="15"/>
  </si>
  <si>
    <t>Premium</t>
    <phoneticPr fontId="15"/>
  </si>
  <si>
    <t>Premium3</t>
    <phoneticPr fontId="15"/>
  </si>
  <si>
    <t>Premium4</t>
    <phoneticPr fontId="15"/>
  </si>
  <si>
    <t>Premium5</t>
    <phoneticPr fontId="15"/>
  </si>
  <si>
    <t>グループ確率</t>
    <rPh sb="4" eb="6">
      <t>カクリツ</t>
    </rPh>
    <phoneticPr fontId="15"/>
  </si>
  <si>
    <t>レア度別確率</t>
    <rPh sb="2" eb="4">
      <t>ドベツ</t>
    </rPh>
    <rPh sb="4" eb="6">
      <t>カクリツ</t>
    </rPh>
    <phoneticPr fontId="15"/>
  </si>
  <si>
    <t>ラベル別確率</t>
    <rPh sb="3" eb="4">
      <t>ベツ</t>
    </rPh>
    <rPh sb="4" eb="6">
      <t>カクリツ</t>
    </rPh>
    <phoneticPr fontId="15"/>
  </si>
  <si>
    <t>W.N.S</t>
    <phoneticPr fontId="15"/>
  </si>
  <si>
    <t>SS</t>
    <phoneticPr fontId="15"/>
  </si>
  <si>
    <t>SSS</t>
    <phoneticPr fontId="15"/>
  </si>
  <si>
    <t>color2</t>
    <phoneticPr fontId="15"/>
  </si>
  <si>
    <t>PremiumSSry4</t>
  </si>
  <si>
    <t>PremiumSSry4</t>
    <phoneticPr fontId="15"/>
  </si>
  <si>
    <t>PremiumSSbg4</t>
  </si>
  <si>
    <t>PremiumSSbg4</t>
    <phoneticPr fontId="15"/>
  </si>
  <si>
    <t>PremiumSSSry4</t>
  </si>
  <si>
    <t>PremiumSSSry4</t>
    <phoneticPr fontId="15"/>
  </si>
  <si>
    <t>PremiumSSSbg4</t>
  </si>
  <si>
    <t>PremiumSSSbg4</t>
    <phoneticPr fontId="15"/>
  </si>
  <si>
    <t>PremiumSSry5</t>
  </si>
  <si>
    <t>PremiumSSry5</t>
    <phoneticPr fontId="15"/>
  </si>
  <si>
    <t>PremiumSSbg5</t>
  </si>
  <si>
    <t>PremiumSSbg5</t>
    <phoneticPr fontId="15"/>
  </si>
  <si>
    <t>PremiumSSSry5</t>
  </si>
  <si>
    <t>PremiumSSSry5</t>
    <phoneticPr fontId="15"/>
  </si>
  <si>
    <t>PremiumSSSbg5</t>
  </si>
  <si>
    <t>PremiumSSSbg5</t>
    <phoneticPr fontId="15"/>
  </si>
  <si>
    <t>Premium3</t>
  </si>
  <si>
    <t>Premium4</t>
  </si>
  <si>
    <t>Premium5</t>
  </si>
  <si>
    <t>tables_313010</t>
  </si>
  <si>
    <t>tables_313101</t>
  </si>
  <si>
    <t>tables_313100</t>
  </si>
  <si>
    <t>old</t>
    <phoneticPr fontId="15"/>
  </si>
  <si>
    <t>Premium</t>
  </si>
  <si>
    <t>ry</t>
  </si>
  <si>
    <t>アグニ</t>
  </si>
  <si>
    <t>PremiumS</t>
  </si>
  <si>
    <t>red</t>
  </si>
  <si>
    <t>hp</t>
  </si>
  <si>
    <t>god</t>
  </si>
  <si>
    <t>男性</t>
  </si>
  <si>
    <t>天地の仲界 アグニ</t>
  </si>
  <si>
    <t>陽天の噴煙 アグニ</t>
  </si>
  <si>
    <t>bg</t>
  </si>
  <si>
    <t>ハヌマーン</t>
  </si>
  <si>
    <t>green</t>
  </si>
  <si>
    <t>attack</t>
  </si>
  <si>
    <t>animal</t>
  </si>
  <si>
    <t>西遊韋駄天 ハヌマーン</t>
  </si>
  <si>
    <t>変幻自在の猿王 ハヌマーン</t>
  </si>
  <si>
    <t>PremiumSS</t>
  </si>
  <si>
    <t>サラスヴァティ</t>
  </si>
  <si>
    <t>blue</t>
  </si>
  <si>
    <t>balance</t>
  </si>
  <si>
    <t>女性</t>
  </si>
  <si>
    <t>芸楽の奔流 サラスヴァティ</t>
  </si>
  <si>
    <t>ヴィシュヌ</t>
  </si>
  <si>
    <t>yellow</t>
  </si>
  <si>
    <t>武遊闊歩 ヴィシュヌ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</si>
</sst>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0.000%"/>
    <numFmt numFmtId="177" formatCode="0.0000%"/>
    <numFmt numFmtId="178" formatCode="0.0%"/>
    <numFmt numFmtId="179" formatCode="0.00000%"/>
  </numFmts>
  <fonts count="52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10"/>
      <color rgb="FFFF0000"/>
      <name val="ＭＳ Ｐゴシック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660">
    <xf numFmtId="0" fontId="0" fillId="0" borderId="0"/>
    <xf numFmtId="0" fontId="14" fillId="0" borderId="0"/>
    <xf numFmtId="0" fontId="18" fillId="0" borderId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13" fillId="0" borderId="0"/>
    <xf numFmtId="0" fontId="25" fillId="5" borderId="2" applyNumberFormat="0" applyAlignment="0" applyProtection="0"/>
    <xf numFmtId="0" fontId="26" fillId="6" borderId="0" applyNumberFormat="0" applyBorder="0" applyAlignment="0" applyProtection="0"/>
    <xf numFmtId="0" fontId="27" fillId="7" borderId="3" applyNumberFormat="0" applyAlignment="0" applyProtection="0"/>
    <xf numFmtId="0" fontId="28" fillId="0" borderId="0" applyNumberFormat="0" applyFill="0" applyBorder="0" applyAlignment="0" applyProtection="0"/>
    <xf numFmtId="0" fontId="29" fillId="8" borderId="0" applyNumberFormat="0" applyBorder="0" applyAlignment="0" applyProtection="0"/>
    <xf numFmtId="0" fontId="30" fillId="9" borderId="4" applyNumberFormat="0" applyAlignment="0" applyProtection="0"/>
    <xf numFmtId="0" fontId="31" fillId="0" borderId="0" applyNumberFormat="0" applyFill="0" applyBorder="0" applyAlignment="0" applyProtection="0"/>
    <xf numFmtId="0" fontId="32" fillId="0" borderId="5" applyNumberFormat="0" applyFill="0" applyAlignment="0" applyProtection="0"/>
    <xf numFmtId="0" fontId="33" fillId="0" borderId="6" applyNumberFormat="0" applyFill="0" applyAlignment="0" applyProtection="0"/>
    <xf numFmtId="0" fontId="34" fillId="0" borderId="7" applyNumberFormat="0" applyFill="0" applyAlignment="0" applyProtection="0"/>
    <xf numFmtId="0" fontId="34" fillId="0" borderId="0" applyNumberFormat="0" applyFill="0" applyBorder="0" applyAlignment="0" applyProtection="0"/>
    <xf numFmtId="0" fontId="35" fillId="7" borderId="0" applyNumberFormat="0" applyBorder="0" applyAlignment="0" applyProtection="0"/>
    <xf numFmtId="0" fontId="35" fillId="6" borderId="0" applyNumberFormat="0" applyBorder="0" applyAlignment="0" applyProtection="0"/>
    <xf numFmtId="0" fontId="35" fillId="10" borderId="0" applyNumberFormat="0" applyBorder="0" applyAlignment="0" applyProtection="0"/>
    <xf numFmtId="0" fontId="35" fillId="7" borderId="0" applyNumberFormat="0" applyBorder="0" applyAlignment="0" applyProtection="0"/>
    <xf numFmtId="0" fontId="35" fillId="11" borderId="0" applyNumberFormat="0" applyBorder="0" applyAlignment="0" applyProtection="0"/>
    <xf numFmtId="0" fontId="35" fillId="5" borderId="0" applyNumberFormat="0" applyBorder="0" applyAlignment="0" applyProtection="0"/>
    <xf numFmtId="0" fontId="35" fillId="7" borderId="0" applyNumberFormat="0" applyBorder="0" applyAlignment="0" applyProtection="0"/>
    <xf numFmtId="0" fontId="35" fillId="12" borderId="0" applyNumberFormat="0" applyBorder="0" applyAlignment="0" applyProtection="0"/>
    <xf numFmtId="0" fontId="35" fillId="10" borderId="0" applyNumberFormat="0" applyBorder="0" applyAlignment="0" applyProtection="0"/>
    <xf numFmtId="0" fontId="35" fillId="7" borderId="0" applyNumberFormat="0" applyBorder="0" applyAlignment="0" applyProtection="0"/>
    <xf numFmtId="0" fontId="35" fillId="13" borderId="0" applyNumberFormat="0" applyBorder="0" applyAlignment="0" applyProtection="0"/>
    <xf numFmtId="0" fontId="35" fillId="6" borderId="0" applyNumberFormat="0" applyBorder="0" applyAlignment="0" applyProtection="0"/>
    <xf numFmtId="0" fontId="36" fillId="14" borderId="0" applyNumberFormat="0" applyBorder="0" applyAlignment="0" applyProtection="0"/>
    <xf numFmtId="0" fontId="36" fillId="12" borderId="0" applyNumberFormat="0" applyBorder="0" applyAlignment="0" applyProtection="0"/>
    <xf numFmtId="0" fontId="36" fillId="10" borderId="0" applyNumberFormat="0" applyBorder="0" applyAlignment="0" applyProtection="0"/>
    <xf numFmtId="0" fontId="36" fillId="7" borderId="0" applyNumberFormat="0" applyBorder="0" applyAlignment="0" applyProtection="0"/>
    <xf numFmtId="0" fontId="36" fillId="14" borderId="0" applyNumberFormat="0" applyBorder="0" applyAlignment="0" applyProtection="0"/>
    <xf numFmtId="0" fontId="36" fillId="6" borderId="0" applyNumberFormat="0" applyBorder="0" applyAlignment="0" applyProtection="0"/>
    <xf numFmtId="0" fontId="28" fillId="0" borderId="0" applyNumberFormat="0" applyFill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0" borderId="0" applyNumberFormat="0" applyBorder="0" applyAlignment="0" applyProtection="0"/>
    <xf numFmtId="0" fontId="36" fillId="16" borderId="0" applyNumberFormat="0" applyBorder="0" applyAlignment="0" applyProtection="0"/>
    <xf numFmtId="0" fontId="36" fillId="14" borderId="0" applyNumberFormat="0" applyBorder="0" applyAlignment="0" applyProtection="0"/>
    <xf numFmtId="0" fontId="36" fillId="12" borderId="0" applyNumberFormat="0" applyBorder="0" applyAlignment="0" applyProtection="0"/>
    <xf numFmtId="0" fontId="37" fillId="17" borderId="0" applyNumberFormat="0" applyBorder="0" applyAlignment="0" applyProtection="0"/>
    <xf numFmtId="0" fontId="26" fillId="6" borderId="0" applyNumberFormat="0" applyBorder="0" applyAlignment="0" applyProtection="0"/>
    <xf numFmtId="0" fontId="38" fillId="0" borderId="8" applyNumberFormat="0" applyFill="0" applyAlignment="0" applyProtection="0"/>
    <xf numFmtId="0" fontId="39" fillId="7" borderId="9" applyNumberFormat="0" applyAlignment="0" applyProtection="0"/>
    <xf numFmtId="0" fontId="39" fillId="18" borderId="9" applyNumberFormat="0" applyAlignment="0" applyProtection="0"/>
    <xf numFmtId="0" fontId="27" fillId="6" borderId="3" applyNumberFormat="0" applyAlignment="0" applyProtection="0"/>
    <xf numFmtId="0" fontId="40" fillId="0" borderId="10" applyNumberFormat="0" applyFill="0" applyAlignment="0" applyProtection="0"/>
    <xf numFmtId="0" fontId="41" fillId="18" borderId="3" applyNumberFormat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3" fillId="0" borderId="11" applyNumberFormat="0" applyFill="0" applyAlignment="0" applyProtection="0"/>
    <xf numFmtId="38" fontId="13" fillId="0" borderId="0" applyFont="0" applyFill="0" applyBorder="0" applyAlignment="0" applyProtection="0">
      <alignment vertical="center"/>
    </xf>
    <xf numFmtId="0" fontId="44" fillId="19" borderId="0" applyNumberFormat="0" applyBorder="0" applyAlignment="0" applyProtection="0"/>
    <xf numFmtId="0" fontId="45" fillId="20" borderId="0" applyNumberFormat="0" applyBorder="0" applyAlignment="0" applyProtection="0"/>
    <xf numFmtId="0" fontId="13" fillId="0" borderId="0"/>
    <xf numFmtId="0" fontId="46" fillId="20" borderId="0" applyNumberFormat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8" fillId="0" borderId="0"/>
    <xf numFmtId="0" fontId="49" fillId="0" borderId="0">
      <alignment vertical="center"/>
    </xf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6" fillId="0" borderId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9" fontId="50" fillId="0" borderId="0" applyFon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</cellStyleXfs>
  <cellXfs count="85">
    <xf numFmtId="0" fontId="0" fillId="0" borderId="0" xfId="0"/>
    <xf numFmtId="0" fontId="20" fillId="0" borderId="0" xfId="2" applyFont="1" applyAlignment="1">
      <alignment vertical="center"/>
    </xf>
    <xf numFmtId="0" fontId="20" fillId="0" borderId="1" xfId="2" applyFont="1" applyBorder="1" applyAlignment="1">
      <alignment vertical="center"/>
    </xf>
    <xf numFmtId="0" fontId="20" fillId="3" borderId="1" xfId="2" applyFont="1" applyFill="1" applyBorder="1" applyAlignment="1">
      <alignment horizontal="center" vertical="center"/>
    </xf>
    <xf numFmtId="0" fontId="20" fillId="0" borderId="0" xfId="2" applyFont="1" applyAlignment="1">
      <alignment horizontal="center" vertical="center"/>
    </xf>
    <xf numFmtId="0" fontId="20" fillId="4" borderId="1" xfId="2" applyFont="1" applyFill="1" applyBorder="1" applyAlignment="1">
      <alignment vertical="center"/>
    </xf>
    <xf numFmtId="0" fontId="19" fillId="4" borderId="1" xfId="0" applyFont="1" applyFill="1" applyBorder="1" applyAlignment="1">
      <alignment horizontal="right" vertical="center"/>
    </xf>
    <xf numFmtId="0" fontId="20" fillId="3" borderId="1" xfId="2" applyFont="1" applyFill="1" applyBorder="1" applyAlignment="1">
      <alignment vertical="center"/>
    </xf>
    <xf numFmtId="0" fontId="21" fillId="4" borderId="1" xfId="0" applyFont="1" applyFill="1" applyBorder="1" applyAlignment="1">
      <alignment vertical="center"/>
    </xf>
    <xf numFmtId="0" fontId="20" fillId="0" borderId="13" xfId="2" applyFont="1" applyBorder="1" applyAlignment="1">
      <alignment vertical="center"/>
    </xf>
    <xf numFmtId="0" fontId="19" fillId="4" borderId="12" xfId="0" applyFont="1" applyFill="1" applyBorder="1" applyAlignment="1">
      <alignment horizontal="right" vertical="center"/>
    </xf>
    <xf numFmtId="0" fontId="19" fillId="4" borderId="14" xfId="0" applyFont="1" applyFill="1" applyBorder="1" applyAlignment="1">
      <alignment horizontal="right" vertical="center"/>
    </xf>
    <xf numFmtId="0" fontId="20" fillId="0" borderId="15" xfId="2" applyFont="1" applyBorder="1" applyAlignment="1">
      <alignment vertical="center"/>
    </xf>
    <xf numFmtId="0" fontId="0" fillId="4" borderId="1" xfId="0" applyFill="1" applyBorder="1"/>
    <xf numFmtId="0" fontId="20" fillId="2" borderId="1" xfId="2" applyFont="1" applyFill="1" applyBorder="1" applyAlignment="1">
      <alignment horizontal="left" vertical="center"/>
    </xf>
    <xf numFmtId="0" fontId="47" fillId="21" borderId="1" xfId="0" applyFont="1" applyFill="1" applyBorder="1" applyAlignment="1">
      <alignment horizontal="left" vertical="center"/>
    </xf>
    <xf numFmtId="0" fontId="20" fillId="2" borderId="1" xfId="2" applyFont="1" applyFill="1" applyBorder="1" applyAlignment="1">
      <alignment horizontal="center" vertical="center"/>
    </xf>
    <xf numFmtId="0" fontId="22" fillId="22" borderId="1" xfId="2978" applyFont="1" applyFill="1" applyBorder="1"/>
    <xf numFmtId="0" fontId="8" fillId="22" borderId="1" xfId="2978" applyFill="1" applyBorder="1"/>
    <xf numFmtId="0" fontId="8" fillId="0" borderId="0" xfId="2978"/>
    <xf numFmtId="0" fontId="8" fillId="0" borderId="1" xfId="2978" applyBorder="1"/>
    <xf numFmtId="0" fontId="8" fillId="2" borderId="1" xfId="2978" applyFill="1" applyBorder="1"/>
    <xf numFmtId="0" fontId="12" fillId="2" borderId="1" xfId="19" applyFont="1" applyFill="1" applyBorder="1"/>
    <xf numFmtId="0" fontId="13" fillId="2" borderId="1" xfId="19" applyFill="1" applyBorder="1"/>
    <xf numFmtId="0" fontId="11" fillId="2" borderId="1" xfId="19" applyFont="1" applyFill="1" applyBorder="1"/>
    <xf numFmtId="0" fontId="9" fillId="2" borderId="1" xfId="19" applyFont="1" applyFill="1" applyBorder="1"/>
    <xf numFmtId="0" fontId="10" fillId="2" borderId="1" xfId="19" applyFont="1" applyFill="1" applyBorder="1"/>
    <xf numFmtId="0" fontId="8" fillId="2" borderId="1" xfId="19" applyFont="1" applyFill="1" applyBorder="1"/>
    <xf numFmtId="0" fontId="7" fillId="0" borderId="1" xfId="2978" applyFont="1" applyBorder="1"/>
    <xf numFmtId="0" fontId="22" fillId="22" borderId="1" xfId="0" applyFont="1" applyFill="1" applyBorder="1"/>
    <xf numFmtId="0" fontId="47" fillId="23" borderId="1" xfId="0" applyFont="1" applyFill="1" applyBorder="1" applyAlignment="1">
      <alignment horizontal="center" vertical="center"/>
    </xf>
    <xf numFmtId="0" fontId="47" fillId="3" borderId="1" xfId="0" applyFont="1" applyFill="1" applyBorder="1" applyAlignment="1">
      <alignment vertical="center"/>
    </xf>
    <xf numFmtId="0" fontId="0" fillId="4" borderId="1" xfId="0" applyFill="1" applyBorder="1" applyAlignment="1">
      <alignment horizontal="center" vertical="top"/>
    </xf>
    <xf numFmtId="0" fontId="47" fillId="24" borderId="1" xfId="0" applyFont="1" applyFill="1" applyBorder="1" applyAlignment="1">
      <alignment horizontal="center" vertical="center"/>
    </xf>
    <xf numFmtId="0" fontId="0" fillId="4" borderId="0" xfId="0" applyFill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1" xfId="0" applyBorder="1"/>
    <xf numFmtId="0" fontId="0" fillId="25" borderId="18" xfId="0" applyFill="1" applyBorder="1"/>
    <xf numFmtId="0" fontId="0" fillId="25" borderId="20" xfId="0" applyFill="1" applyBorder="1"/>
    <xf numFmtId="0" fontId="0" fillId="3" borderId="1" xfId="0" applyFill="1" applyBorder="1" applyAlignment="1">
      <alignment horizontal="center" vertical="top"/>
    </xf>
    <xf numFmtId="0" fontId="0" fillId="0" borderId="0" xfId="0" applyBorder="1"/>
    <xf numFmtId="0" fontId="5" fillId="0" borderId="1" xfId="3036" applyFont="1" applyBorder="1"/>
    <xf numFmtId="0" fontId="47" fillId="26" borderId="1" xfId="0" applyFont="1" applyFill="1" applyBorder="1" applyAlignment="1">
      <alignment vertical="center"/>
    </xf>
    <xf numFmtId="0" fontId="4" fillId="0" borderId="1" xfId="2978" applyFont="1" applyBorder="1"/>
    <xf numFmtId="0" fontId="0" fillId="0" borderId="1" xfId="0" applyBorder="1"/>
    <xf numFmtId="9" fontId="0" fillId="0" borderId="1" xfId="0" applyNumberFormat="1" applyBorder="1"/>
    <xf numFmtId="0" fontId="0" fillId="27" borderId="0" xfId="0" applyFill="1"/>
    <xf numFmtId="0" fontId="0" fillId="25" borderId="0" xfId="0" applyFill="1"/>
    <xf numFmtId="10" fontId="0" fillId="0" borderId="1" xfId="0" applyNumberFormat="1" applyBorder="1"/>
    <xf numFmtId="0" fontId="0" fillId="28" borderId="0" xfId="0" applyFill="1"/>
    <xf numFmtId="0" fontId="0" fillId="3" borderId="1" xfId="0" applyFill="1" applyBorder="1"/>
    <xf numFmtId="0" fontId="0" fillId="29" borderId="0" xfId="0" applyFill="1"/>
    <xf numFmtId="0" fontId="0" fillId="30" borderId="1" xfId="0" applyFill="1" applyBorder="1"/>
    <xf numFmtId="10" fontId="0" fillId="30" borderId="1" xfId="0" applyNumberFormat="1" applyFill="1" applyBorder="1"/>
    <xf numFmtId="178" fontId="0" fillId="30" borderId="1" xfId="3575" applyNumberFormat="1" applyFont="1" applyFill="1" applyBorder="1"/>
    <xf numFmtId="10" fontId="0" fillId="3" borderId="1" xfId="0" applyNumberFormat="1" applyFill="1" applyBorder="1"/>
    <xf numFmtId="177" fontId="0" fillId="30" borderId="1" xfId="0" applyNumberFormat="1" applyFill="1" applyBorder="1"/>
    <xf numFmtId="179" fontId="0" fillId="0" borderId="0" xfId="3575" applyNumberFormat="1" applyFont="1"/>
    <xf numFmtId="0" fontId="0" fillId="3" borderId="22" xfId="0" applyFill="1" applyBorder="1"/>
    <xf numFmtId="0" fontId="0" fillId="31" borderId="1" xfId="0" applyFill="1" applyBorder="1"/>
    <xf numFmtId="177" fontId="0" fillId="31" borderId="1" xfId="3575" applyNumberFormat="1" applyFont="1" applyFill="1" applyBorder="1"/>
    <xf numFmtId="0" fontId="0" fillId="0" borderId="0" xfId="0" quotePrefix="1"/>
    <xf numFmtId="10" fontId="0" fillId="3" borderId="1" xfId="3575" applyNumberFormat="1" applyFont="1" applyFill="1" applyBorder="1"/>
    <xf numFmtId="0" fontId="0" fillId="30" borderId="0" xfId="0" applyFill="1"/>
    <xf numFmtId="0" fontId="3" fillId="2" borderId="1" xfId="19" applyFont="1" applyFill="1" applyBorder="1"/>
    <xf numFmtId="0" fontId="3" fillId="4" borderId="1" xfId="2978" applyFont="1" applyFill="1" applyBorder="1"/>
    <xf numFmtId="0" fontId="0" fillId="2" borderId="0" xfId="0" applyFill="1"/>
    <xf numFmtId="0" fontId="47" fillId="32" borderId="1" xfId="0" applyFont="1" applyFill="1" applyBorder="1" applyAlignment="1">
      <alignment horizontal="left" vertical="center"/>
    </xf>
    <xf numFmtId="0" fontId="20" fillId="27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176" fontId="0" fillId="4" borderId="1" xfId="0" applyNumberFormat="1" applyFont="1" applyFill="1" applyBorder="1"/>
    <xf numFmtId="177" fontId="0" fillId="4" borderId="1" xfId="0" applyNumberFormat="1" applyFont="1" applyFill="1" applyBorder="1"/>
    <xf numFmtId="176" fontId="0" fillId="3" borderId="1" xfId="0" applyNumberFormat="1" applyFont="1" applyFill="1" applyBorder="1"/>
    <xf numFmtId="10" fontId="0" fillId="3" borderId="1" xfId="0" applyNumberFormat="1" applyFont="1" applyFill="1" applyBorder="1"/>
    <xf numFmtId="10" fontId="51" fillId="3" borderId="1" xfId="0" applyNumberFormat="1" applyFont="1" applyFill="1" applyBorder="1"/>
    <xf numFmtId="0" fontId="2" fillId="0" borderId="1" xfId="3036" applyFont="1" applyBorder="1"/>
    <xf numFmtId="0" fontId="47" fillId="26" borderId="23" xfId="0" applyFont="1" applyFill="1" applyBorder="1" applyAlignment="1">
      <alignment vertical="center"/>
    </xf>
    <xf numFmtId="0" fontId="47" fillId="24" borderId="23" xfId="0" applyFont="1" applyFill="1" applyBorder="1" applyAlignment="1">
      <alignment horizontal="right" vertical="center"/>
    </xf>
    <xf numFmtId="0" fontId="47" fillId="26" borderId="21" xfId="0" applyFont="1" applyFill="1" applyBorder="1" applyAlignment="1">
      <alignment vertical="center"/>
    </xf>
    <xf numFmtId="0" fontId="47" fillId="24" borderId="21" xfId="0" applyFont="1" applyFill="1" applyBorder="1" applyAlignment="1">
      <alignment horizontal="right" vertical="center"/>
    </xf>
  </cellXfs>
  <cellStyles count="3660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桁区切り 2" xfId="67"/>
    <cellStyle name="青字強調" xfId="68"/>
    <cellStyle name="赤字強調" xfId="69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hp</v>
          </cell>
          <cell r="L413" t="str">
            <v>体力タイプ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コウネン　R4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hp</v>
          </cell>
          <cell r="L414" t="str">
            <v>体力タイプ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未定</v>
          </cell>
          <cell r="E561" t="str">
            <v>執行者</v>
          </cell>
          <cell r="F561" t="str">
            <v>格好いい</v>
          </cell>
          <cell r="G561" t="str">
            <v>不明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未定</v>
          </cell>
          <cell r="E562" t="str">
            <v>執行者</v>
          </cell>
          <cell r="F562" t="str">
            <v>格好いい</v>
          </cell>
          <cell r="G562" t="str">
            <v>不明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未定</v>
          </cell>
          <cell r="E563" t="str">
            <v>執行者</v>
          </cell>
          <cell r="F563" t="str">
            <v>格好いい</v>
          </cell>
          <cell r="G563" t="str">
            <v>不明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未定</v>
          </cell>
          <cell r="E564" t="str">
            <v>執行者</v>
          </cell>
          <cell r="F564" t="str">
            <v>格好いい</v>
          </cell>
          <cell r="G564" t="str">
            <v>不明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空白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メガ秘術の果実（+2）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ギガ秘術の果実（+4）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blue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blue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DropWizN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フーリエ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4</v>
          </cell>
          <cell r="J630" t="str">
            <v>DropWizN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フーリエ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attack</v>
          </cell>
          <cell r="L643" t="str">
            <v>攻撃タイプ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attack</v>
          </cell>
          <cell r="L644" t="str">
            <v>攻撃タイプ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ユークリッド R6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C02_EV01 R4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DR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C02_EV01 R5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DR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C02_EV02 R4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DR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C02_EV02 R5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DR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C02_CP01 R3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DR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C02_CP01 R4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DR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C02_CP01 R5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DR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C02_WIZ01 R4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DR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C02_WIZ01 R5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DR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C02_WIZ02 R4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DR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C02_WIZ02 R5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DR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C02_GAC01 R4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DR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C02_GAC01 R5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DR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C02_GAC02 R3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DR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C02_GAC02 R4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DR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C02_GAC03 R4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DR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C02_GAC03 R5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DR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C02_GAC04 R3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DR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C02_GAC04 R4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DR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C02_GAC05 R5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DR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C02_GAC05 R6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DR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C02_GAC06 R3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DR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C02_GAC06 R4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DR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C02_GAC07 R3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DR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C02_GAC07 R4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DR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C02_GAC08 R5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DR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C02_GAC08 R6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DR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C02_GAC09 R4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DR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C02_GAC09 R5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DR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blue</v>
          </cell>
          <cell r="I721">
            <v>4</v>
          </cell>
          <cell r="J721" t="str">
            <v>PremiumS</v>
          </cell>
          <cell r="K721" t="str">
            <v>attack</v>
          </cell>
          <cell r="L721" t="str">
            <v>攻撃タイプ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blue</v>
          </cell>
          <cell r="I722">
            <v>5</v>
          </cell>
          <cell r="J722" t="str">
            <v>PremiumS</v>
          </cell>
          <cell r="K722" t="str">
            <v>attack</v>
          </cell>
          <cell r="L722" t="str">
            <v>攻撃タイプ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blue</v>
          </cell>
          <cell r="I723">
            <v>4</v>
          </cell>
          <cell r="J723" t="str">
            <v>PremiumS</v>
          </cell>
          <cell r="K723" t="str">
            <v>attack</v>
          </cell>
          <cell r="L723" t="str">
            <v>攻撃タイプ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blue</v>
          </cell>
          <cell r="I724">
            <v>5</v>
          </cell>
          <cell r="J724" t="str">
            <v>PremiumS</v>
          </cell>
          <cell r="K724" t="str">
            <v>attack</v>
          </cell>
          <cell r="L724" t="str">
            <v>攻撃タイプ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blue</v>
          </cell>
          <cell r="I725">
            <v>5</v>
          </cell>
          <cell r="J725" t="str">
            <v>PremiumS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blue</v>
          </cell>
          <cell r="I726">
            <v>5</v>
          </cell>
          <cell r="J726" t="str">
            <v>PremiumS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blue</v>
          </cell>
          <cell r="I727">
            <v>5</v>
          </cell>
          <cell r="J727" t="str">
            <v>PremiumS</v>
          </cell>
          <cell r="K727" t="str">
            <v>attack</v>
          </cell>
          <cell r="L727" t="str">
            <v>攻撃タイプ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織田信長</v>
          </cell>
          <cell r="D728" t="str">
            <v>イベント:超ウィザード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blue</v>
          </cell>
          <cell r="I728">
            <v>5</v>
          </cell>
          <cell r="J728" t="str">
            <v>PremiumS</v>
          </cell>
          <cell r="K728" t="str">
            <v>attack</v>
          </cell>
          <cell r="L728" t="str">
            <v>攻撃タイプ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blue</v>
          </cell>
          <cell r="I729">
            <v>5</v>
          </cell>
          <cell r="J729" t="str">
            <v>PremiumS</v>
          </cell>
          <cell r="K729" t="str">
            <v>attack</v>
          </cell>
          <cell r="L729" t="str">
            <v>攻撃タイプ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blue</v>
          </cell>
          <cell r="I730">
            <v>5</v>
          </cell>
          <cell r="J730" t="str">
            <v>PremiumS</v>
          </cell>
          <cell r="K730" t="str">
            <v>attack</v>
          </cell>
          <cell r="L730" t="str">
            <v>攻撃タイプ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blue</v>
          </cell>
          <cell r="I731">
            <v>5</v>
          </cell>
          <cell r="J731" t="str">
            <v>PremiumS</v>
          </cell>
          <cell r="K731" t="str">
            <v>attack</v>
          </cell>
          <cell r="L731" t="str">
            <v>攻撃タイプ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blue</v>
          </cell>
          <cell r="I732">
            <v>5</v>
          </cell>
          <cell r="J732" t="str">
            <v>PremiumS</v>
          </cell>
          <cell r="K732" t="str">
            <v>attack</v>
          </cell>
          <cell r="L732" t="str">
            <v>攻撃タイプ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5</v>
          </cell>
          <cell r="J734" t="str">
            <v>PremiumS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blue</v>
          </cell>
          <cell r="I735">
            <v>5</v>
          </cell>
          <cell r="J735" t="str">
            <v>PremiumS</v>
          </cell>
          <cell r="K735" t="str">
            <v>attack</v>
          </cell>
          <cell r="L735" t="str">
            <v>攻撃タイプ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blue</v>
          </cell>
          <cell r="I736">
            <v>5</v>
          </cell>
          <cell r="J736" t="str">
            <v>PremiumS</v>
          </cell>
          <cell r="K736" t="str">
            <v>attack</v>
          </cell>
          <cell r="L736" t="str">
            <v>攻撃タイプ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ガチャ:戦国01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blue</v>
          </cell>
          <cell r="I737">
            <v>5</v>
          </cell>
          <cell r="J737" t="str">
            <v>PremiumS</v>
          </cell>
          <cell r="K737" t="str">
            <v>attack</v>
          </cell>
          <cell r="L737" t="str">
            <v>攻撃タイプ</v>
          </cell>
          <cell r="M737" t="str">
            <v>human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blue</v>
          </cell>
          <cell r="I738">
            <v>5</v>
          </cell>
          <cell r="J738" t="str">
            <v>PremiumS</v>
          </cell>
          <cell r="K738" t="str">
            <v>attack</v>
          </cell>
          <cell r="L738" t="str">
            <v>攻撃タイプ</v>
          </cell>
          <cell r="M738" t="str">
            <v>human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5</v>
          </cell>
          <cell r="J739" t="str">
            <v>PremiumS</v>
          </cell>
          <cell r="K739" t="str">
            <v>attack</v>
          </cell>
          <cell r="L739" t="str">
            <v>攻撃タイプ</v>
          </cell>
          <cell r="M739" t="str">
            <v>human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PremiumS</v>
          </cell>
          <cell r="K740" t="str">
            <v>attack</v>
          </cell>
          <cell r="L740" t="str">
            <v>攻撃タイプ</v>
          </cell>
          <cell r="M740" t="str">
            <v>human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blue</v>
          </cell>
          <cell r="I741">
            <v>5</v>
          </cell>
          <cell r="J741" t="str">
            <v>PremiumS</v>
          </cell>
          <cell r="K741" t="str">
            <v>attack</v>
          </cell>
          <cell r="L741" t="str">
            <v>攻撃タイプ</v>
          </cell>
          <cell r="M741" t="str">
            <v>human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blue</v>
          </cell>
          <cell r="I742">
            <v>5</v>
          </cell>
          <cell r="J742" t="str">
            <v>PremiumS</v>
          </cell>
          <cell r="K742" t="str">
            <v>attack</v>
          </cell>
          <cell r="L742" t="str">
            <v>攻撃タイプ</v>
          </cell>
          <cell r="M742" t="str">
            <v>human</v>
          </cell>
        </row>
        <row r="743">
          <cell r="A743">
            <v>742</v>
          </cell>
          <cell r="B743" t="str">
            <v>ja</v>
          </cell>
          <cell r="C743" t="str">
            <v>パーン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blue</v>
          </cell>
          <cell r="I743">
            <v>5</v>
          </cell>
          <cell r="J743" t="str">
            <v>PremiumS</v>
          </cell>
          <cell r="K743" t="str">
            <v>attack</v>
          </cell>
          <cell r="L743" t="str">
            <v>攻撃タイプ</v>
          </cell>
          <cell r="M743" t="str">
            <v>human</v>
          </cell>
        </row>
        <row r="744">
          <cell r="A744">
            <v>743</v>
          </cell>
          <cell r="B744" t="str">
            <v>ja</v>
          </cell>
          <cell r="C744" t="str">
            <v>パーン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blue</v>
          </cell>
          <cell r="I744">
            <v>5</v>
          </cell>
          <cell r="J744" t="str">
            <v>PremiumS</v>
          </cell>
          <cell r="K744" t="str">
            <v>attack</v>
          </cell>
          <cell r="L744" t="str">
            <v>攻撃タイプ</v>
          </cell>
          <cell r="M744" t="str">
            <v>human</v>
          </cell>
        </row>
        <row r="745">
          <cell r="A745">
            <v>744</v>
          </cell>
          <cell r="B745" t="str">
            <v>ja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blue</v>
          </cell>
          <cell r="I745">
            <v>5</v>
          </cell>
          <cell r="J745" t="str">
            <v>PremiumS</v>
          </cell>
          <cell r="K745" t="str">
            <v>attack</v>
          </cell>
          <cell r="L745" t="str">
            <v>攻撃タイプ</v>
          </cell>
          <cell r="M745" t="str">
            <v>human</v>
          </cell>
        </row>
        <row r="746">
          <cell r="A746">
            <v>745</v>
          </cell>
          <cell r="B746" t="str">
            <v>ja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blue</v>
          </cell>
          <cell r="I746">
            <v>5</v>
          </cell>
          <cell r="J746" t="str">
            <v>PremiumS</v>
          </cell>
          <cell r="K746" t="str">
            <v>attack</v>
          </cell>
          <cell r="L746" t="str">
            <v>攻撃タイプ</v>
          </cell>
          <cell r="M746" t="str">
            <v>human</v>
          </cell>
        </row>
        <row r="747">
          <cell r="A747">
            <v>746</v>
          </cell>
          <cell r="B747" t="str">
            <v>ja</v>
          </cell>
          <cell r="C747" t="str">
            <v>ヘルメス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5</v>
          </cell>
          <cell r="J747" t="str">
            <v>PremiumS</v>
          </cell>
          <cell r="K747" t="str">
            <v>attack</v>
          </cell>
          <cell r="L747" t="str">
            <v>攻撃タイプ</v>
          </cell>
          <cell r="M747" t="str">
            <v>human</v>
          </cell>
        </row>
        <row r="748">
          <cell r="A748">
            <v>747</v>
          </cell>
          <cell r="B748" t="str">
            <v>ja</v>
          </cell>
          <cell r="C748" t="str">
            <v>ヘルメス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attack</v>
          </cell>
          <cell r="L748" t="str">
            <v>攻撃タイプ</v>
          </cell>
          <cell r="M748" t="str">
            <v>human</v>
          </cell>
        </row>
        <row r="749">
          <cell r="A749">
            <v>748</v>
          </cell>
          <cell r="B749" t="str">
            <v>ja</v>
          </cell>
          <cell r="C749" t="str">
            <v>ノルン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blue</v>
          </cell>
          <cell r="I749">
            <v>5</v>
          </cell>
          <cell r="J749" t="str">
            <v>PremiumS</v>
          </cell>
          <cell r="K749" t="str">
            <v>attack</v>
          </cell>
          <cell r="L749" t="str">
            <v>攻撃タイプ</v>
          </cell>
          <cell r="M749" t="str">
            <v>human</v>
          </cell>
        </row>
        <row r="750">
          <cell r="A750">
            <v>749</v>
          </cell>
          <cell r="B750" t="str">
            <v>ja</v>
          </cell>
          <cell r="C750" t="str">
            <v>ノルン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blue</v>
          </cell>
          <cell r="I750">
            <v>5</v>
          </cell>
          <cell r="J750" t="str">
            <v>PremiumS</v>
          </cell>
          <cell r="K750" t="str">
            <v>attack</v>
          </cell>
          <cell r="L750" t="str">
            <v>攻撃タイプ</v>
          </cell>
          <cell r="M750" t="str">
            <v>human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各属性相性良3・黄・R370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blue</v>
          </cell>
          <cell r="I753">
            <v>5</v>
          </cell>
          <cell r="J753" t="str">
            <v>PremiumS</v>
          </cell>
          <cell r="K753" t="str">
            <v>attack</v>
          </cell>
          <cell r="L753" t="str">
            <v>攻撃タイプ</v>
          </cell>
          <cell r="M753" t="str">
            <v>human</v>
          </cell>
        </row>
        <row r="754">
          <cell r="A754">
            <v>753</v>
          </cell>
          <cell r="B754" t="str">
            <v>ja</v>
          </cell>
          <cell r="C754" t="str">
            <v>ムラマサ</v>
          </cell>
          <cell r="D754" t="str">
            <v>各属性相性良3・黄・R371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blue</v>
          </cell>
          <cell r="I754">
            <v>6</v>
          </cell>
          <cell r="J754" t="str">
            <v>PremiumS</v>
          </cell>
          <cell r="K754" t="str">
            <v>attack</v>
          </cell>
          <cell r="L754" t="str">
            <v>攻撃タイプ</v>
          </cell>
          <cell r="M754" t="str">
            <v>human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各属性相性良3・黄・R372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blue</v>
          </cell>
          <cell r="I755">
            <v>5</v>
          </cell>
          <cell r="J755" t="str">
            <v>PremiumS</v>
          </cell>
          <cell r="K755" t="str">
            <v>attack</v>
          </cell>
          <cell r="L755" t="str">
            <v>攻撃タイプ</v>
          </cell>
          <cell r="M755" t="str">
            <v>human</v>
          </cell>
        </row>
        <row r="756">
          <cell r="A756">
            <v>755</v>
          </cell>
          <cell r="B756" t="str">
            <v>ja</v>
          </cell>
          <cell r="C756" t="str">
            <v>マサムネ</v>
          </cell>
          <cell r="D756" t="str">
            <v>各属性相性良3・黄・R373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blue</v>
          </cell>
          <cell r="I756">
            <v>6</v>
          </cell>
          <cell r="J756" t="str">
            <v>PremiumS</v>
          </cell>
          <cell r="K756" t="str">
            <v>attack</v>
          </cell>
          <cell r="L756" t="str">
            <v>攻撃タイプ</v>
          </cell>
          <cell r="M756" t="str">
            <v>human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各属性相性良3・黄・R374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4</v>
          </cell>
          <cell r="J757" t="str">
            <v>PremiumSSS</v>
          </cell>
          <cell r="K757" t="str">
            <v>attack</v>
          </cell>
          <cell r="L757" t="str">
            <v>攻撃タイプ</v>
          </cell>
          <cell r="M757" t="str">
            <v>human</v>
          </cell>
        </row>
        <row r="758">
          <cell r="A758">
            <v>757</v>
          </cell>
          <cell r="B758" t="str">
            <v>ja</v>
          </cell>
          <cell r="C758" t="str">
            <v>アメノムラクモ</v>
          </cell>
          <cell r="D758" t="str">
            <v>各属性相性良3・黄・R375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5</v>
          </cell>
          <cell r="J758" t="str">
            <v>PremiumSSS</v>
          </cell>
          <cell r="K758" t="str">
            <v>attack</v>
          </cell>
          <cell r="L758" t="str">
            <v>攻撃タイプ</v>
          </cell>
          <cell r="M758" t="str">
            <v>human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各属性相性良3・黄・R376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PremiumSSS</v>
          </cell>
          <cell r="K759" t="str">
            <v>attack</v>
          </cell>
          <cell r="L759" t="str">
            <v>攻撃タイプ</v>
          </cell>
          <cell r="M759" t="str">
            <v>human</v>
          </cell>
        </row>
        <row r="760">
          <cell r="A760">
            <v>759</v>
          </cell>
          <cell r="B760" t="str">
            <v>ja</v>
          </cell>
          <cell r="C760" t="str">
            <v>雷切</v>
          </cell>
          <cell r="D760" t="str">
            <v>各属性相性良3・黄・R377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PremiumSSS</v>
          </cell>
          <cell r="K760" t="str">
            <v>attack</v>
          </cell>
          <cell r="L760" t="str">
            <v>攻撃タイプ</v>
          </cell>
          <cell r="M760" t="str">
            <v>human</v>
          </cell>
        </row>
        <row r="761">
          <cell r="A761">
            <v>760</v>
          </cell>
          <cell r="B761" t="str">
            <v>ja</v>
          </cell>
          <cell r="C761" t="str">
            <v>クロネッカー</v>
          </cell>
          <cell r="D761" t="str">
            <v>各属性相性良3・黄・R378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クロネッカー</v>
          </cell>
          <cell r="D762" t="str">
            <v>各属性相性良3・黄・R379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各属性相性良3・黄・R380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attack</v>
          </cell>
          <cell r="L763" t="str">
            <v>攻撃タイプ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フィボナッチ</v>
          </cell>
          <cell r="D764" t="str">
            <v>各属性相性良3・黄・R381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attack</v>
          </cell>
          <cell r="L764" t="str">
            <v>攻撃タイプ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男性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男性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赤ドラゴン(サラマンダー)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男性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赤ドラゴン(サラマンダー)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男性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PremiumS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PremiumS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侵食破壊性ミケランジェロ</v>
          </cell>
          <cell r="D771" t="str">
            <v>各属性相性良3・黄・R388</v>
          </cell>
          <cell r="E771" t="str">
            <v>執行者</v>
          </cell>
          <cell r="F771" t="str">
            <v>格好いい</v>
          </cell>
          <cell r="G771" t="str">
            <v>男性</v>
          </cell>
          <cell r="H771" t="str">
            <v>green</v>
          </cell>
          <cell r="I771">
            <v>4</v>
          </cell>
          <cell r="J771" t="str">
            <v>PremiumS</v>
          </cell>
          <cell r="K771" t="str">
            <v>attack</v>
          </cell>
          <cell r="L771" t="str">
            <v>攻撃タイプ</v>
          </cell>
          <cell r="M771" t="str">
            <v>unknown</v>
          </cell>
        </row>
        <row r="772">
          <cell r="A772">
            <v>771</v>
          </cell>
          <cell r="B772" t="str">
            <v>ja</v>
          </cell>
          <cell r="C772" t="str">
            <v>ミケランジェロ</v>
          </cell>
          <cell r="D772" t="str">
            <v>各属性相性良3・黄・R389</v>
          </cell>
          <cell r="E772" t="str">
            <v>執行者</v>
          </cell>
          <cell r="F772" t="str">
            <v>格好いい</v>
          </cell>
          <cell r="G772" t="str">
            <v>男性</v>
          </cell>
          <cell r="H772" t="str">
            <v>green</v>
          </cell>
          <cell r="I772">
            <v>5</v>
          </cell>
          <cell r="J772" t="str">
            <v>PremiumS</v>
          </cell>
          <cell r="K772" t="str">
            <v>attack</v>
          </cell>
          <cell r="L772" t="str">
            <v>攻撃タイプ</v>
          </cell>
          <cell r="M772" t="str">
            <v>unknown</v>
          </cell>
        </row>
        <row r="773">
          <cell r="A773">
            <v>772</v>
          </cell>
          <cell r="B773" t="str">
            <v>ja</v>
          </cell>
          <cell r="C773" t="str">
            <v>ガラハッド</v>
          </cell>
          <cell r="D773" t="str">
            <v>各属性相性良3・黄・R390</v>
          </cell>
          <cell r="E773" t="str">
            <v>執行者</v>
          </cell>
          <cell r="F773" t="str">
            <v>格好いい</v>
          </cell>
          <cell r="G773" t="str">
            <v>男性</v>
          </cell>
          <cell r="H773" t="str">
            <v>green</v>
          </cell>
          <cell r="I773">
            <v>3</v>
          </cell>
          <cell r="J773" t="str">
            <v>PremiumS</v>
          </cell>
          <cell r="K773" t="str">
            <v>attack</v>
          </cell>
          <cell r="L773" t="str">
            <v>攻撃タイプ</v>
          </cell>
          <cell r="M773" t="str">
            <v>human</v>
          </cell>
        </row>
        <row r="774">
          <cell r="A774">
            <v>773</v>
          </cell>
          <cell r="B774" t="str">
            <v>ja</v>
          </cell>
          <cell r="C774" t="str">
            <v>レイブン</v>
          </cell>
          <cell r="D774" t="str">
            <v>各属性相性良3・黄・R391</v>
          </cell>
          <cell r="E774" t="str">
            <v>執行者</v>
          </cell>
          <cell r="F774" t="str">
            <v>格好いい</v>
          </cell>
          <cell r="G774" t="str">
            <v>男性</v>
          </cell>
          <cell r="H774" t="str">
            <v>green</v>
          </cell>
          <cell r="I774">
            <v>4</v>
          </cell>
          <cell r="J774" t="str">
            <v>PremiumSS</v>
          </cell>
          <cell r="K774" t="str">
            <v>attack</v>
          </cell>
          <cell r="L774" t="str">
            <v>攻撃タイプ</v>
          </cell>
          <cell r="M774" t="str">
            <v>human</v>
          </cell>
        </row>
        <row r="775">
          <cell r="A775">
            <v>774</v>
          </cell>
          <cell r="B775" t="str">
            <v>ja</v>
          </cell>
          <cell r="C775" t="str">
            <v>レイブン</v>
          </cell>
          <cell r="D775" t="str">
            <v>各属性相性良3・黄・R392</v>
          </cell>
          <cell r="E775" t="str">
            <v>執行者</v>
          </cell>
          <cell r="F775" t="str">
            <v>格好いい</v>
          </cell>
          <cell r="G775" t="str">
            <v>男性</v>
          </cell>
          <cell r="H775" t="str">
            <v>green</v>
          </cell>
          <cell r="I775">
            <v>5</v>
          </cell>
          <cell r="J775" t="str">
            <v>PremiumSS</v>
          </cell>
          <cell r="K775" t="str">
            <v>attack</v>
          </cell>
          <cell r="L775" t="str">
            <v>攻撃タイプ</v>
          </cell>
          <cell r="M775" t="str">
            <v>human</v>
          </cell>
        </row>
        <row r="776">
          <cell r="A776">
            <v>775</v>
          </cell>
          <cell r="B776" t="str">
            <v>ja</v>
          </cell>
          <cell r="C776" t="str">
            <v>チャリオット</v>
          </cell>
          <cell r="D776" t="str">
            <v>各属性相性良3・黄・R393</v>
          </cell>
          <cell r="E776" t="str">
            <v>執行者</v>
          </cell>
          <cell r="F776" t="str">
            <v>格好いい</v>
          </cell>
          <cell r="G776" t="str">
            <v>男性</v>
          </cell>
          <cell r="H776" t="str">
            <v>blue</v>
          </cell>
          <cell r="I776">
            <v>4</v>
          </cell>
          <cell r="J776" t="str">
            <v>PremiumSS</v>
          </cell>
          <cell r="K776" t="str">
            <v>heal</v>
          </cell>
          <cell r="L776" t="str">
            <v>回復タイプ</v>
          </cell>
          <cell r="M776" t="str">
            <v>human</v>
          </cell>
        </row>
        <row r="777">
          <cell r="A777">
            <v>776</v>
          </cell>
          <cell r="B777" t="str">
            <v>ja</v>
          </cell>
          <cell r="C777" t="str">
            <v>チャリオット</v>
          </cell>
          <cell r="D777" t="str">
            <v>各属性相性良3・黄・R394</v>
          </cell>
          <cell r="E777" t="str">
            <v>執行者</v>
          </cell>
          <cell r="F777" t="str">
            <v>格好いい</v>
          </cell>
          <cell r="G777" t="str">
            <v>男性</v>
          </cell>
          <cell r="H777" t="str">
            <v>blue</v>
          </cell>
          <cell r="I777">
            <v>5</v>
          </cell>
          <cell r="J777" t="str">
            <v>PremiumSS</v>
          </cell>
          <cell r="K777" t="str">
            <v>heal</v>
          </cell>
          <cell r="L777" t="str">
            <v>回復タイプ</v>
          </cell>
          <cell r="M777" t="str">
            <v>human</v>
          </cell>
        </row>
        <row r="778">
          <cell r="A778">
            <v>777</v>
          </cell>
          <cell r="B778" t="str">
            <v>ja</v>
          </cell>
          <cell r="C778" t="str">
            <v>ミズチ</v>
          </cell>
          <cell r="D778" t="str">
            <v>各属性相性良3・黄・R395</v>
          </cell>
          <cell r="E778" t="str">
            <v>執行者</v>
          </cell>
          <cell r="F778" t="str">
            <v>格好いい</v>
          </cell>
          <cell r="G778" t="str">
            <v>男性</v>
          </cell>
          <cell r="H778" t="str">
            <v>blue</v>
          </cell>
          <cell r="I778">
            <v>3</v>
          </cell>
          <cell r="J778" t="str">
            <v>PremiumS</v>
          </cell>
          <cell r="K778" t="str">
            <v>balance</v>
          </cell>
          <cell r="L778" t="str">
            <v>バランスタイプ</v>
          </cell>
          <cell r="M778" t="str">
            <v>dragon</v>
          </cell>
        </row>
        <row r="779">
          <cell r="A779">
            <v>778</v>
          </cell>
          <cell r="B779" t="str">
            <v>ja</v>
          </cell>
          <cell r="C779" t="str">
            <v>ミズチ</v>
          </cell>
          <cell r="D779" t="str">
            <v>各属性相性良3・黄・R396</v>
          </cell>
          <cell r="E779" t="str">
            <v>執行者</v>
          </cell>
          <cell r="F779" t="str">
            <v>格好いい</v>
          </cell>
          <cell r="G779" t="str">
            <v>男性</v>
          </cell>
          <cell r="H779" t="str">
            <v>blue</v>
          </cell>
          <cell r="I779">
            <v>4</v>
          </cell>
          <cell r="J779" t="str">
            <v>PremiumS</v>
          </cell>
          <cell r="K779" t="str">
            <v>balance</v>
          </cell>
          <cell r="L779" t="str">
            <v>バランスタイプ</v>
          </cell>
          <cell r="M779" t="str">
            <v>dragon</v>
          </cell>
        </row>
        <row r="780">
          <cell r="A780">
            <v>779</v>
          </cell>
          <cell r="B780" t="str">
            <v>ja</v>
          </cell>
          <cell r="C780" t="str">
            <v>ミズチ</v>
          </cell>
          <cell r="D780" t="str">
            <v>各属性相性良3・黄・R397</v>
          </cell>
          <cell r="E780" t="str">
            <v>執行者</v>
          </cell>
          <cell r="F780" t="str">
            <v>格好いい</v>
          </cell>
          <cell r="G780" t="str">
            <v>男性</v>
          </cell>
          <cell r="H780" t="str">
            <v>blue</v>
          </cell>
          <cell r="I780">
            <v>5</v>
          </cell>
          <cell r="J780" t="str">
            <v>PremiumS</v>
          </cell>
          <cell r="K780" t="str">
            <v>balance</v>
          </cell>
          <cell r="L780" t="str">
            <v>バランスタイプ</v>
          </cell>
          <cell r="M780" t="str">
            <v>dragon</v>
          </cell>
        </row>
        <row r="781">
          <cell r="A781">
            <v>780</v>
          </cell>
          <cell r="B781" t="str">
            <v>ja</v>
          </cell>
          <cell r="C781" t="str">
            <v>ラブレター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連鎖告白型ラブレター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ラブレター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blue</v>
          </cell>
          <cell r="I783">
            <v>5</v>
          </cell>
          <cell r="J783" t="str">
            <v>PremiumS</v>
          </cell>
          <cell r="K783" t="str">
            <v>heal</v>
          </cell>
          <cell r="L783" t="str">
            <v>回復タイプ</v>
          </cell>
          <cell r="M783" t="str">
            <v>unknown</v>
          </cell>
        </row>
        <row r="784">
          <cell r="A784">
            <v>783</v>
          </cell>
          <cell r="B784" t="str">
            <v>ja</v>
          </cell>
          <cell r="C784" t="str">
            <v>ガレス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blue</v>
          </cell>
          <cell r="I784">
            <v>3</v>
          </cell>
          <cell r="J784" t="str">
            <v>PremiumS</v>
          </cell>
          <cell r="K784" t="str">
            <v>technical</v>
          </cell>
          <cell r="L784" t="str">
            <v>テクニカルタイプ</v>
          </cell>
          <cell r="M784" t="str">
            <v>human</v>
          </cell>
        </row>
        <row r="785">
          <cell r="A785">
            <v>784</v>
          </cell>
          <cell r="B785" t="str">
            <v>ja</v>
          </cell>
          <cell r="C785" t="str">
            <v>ガレス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4</v>
          </cell>
          <cell r="J785" t="str">
            <v>PremiumS</v>
          </cell>
          <cell r="K785" t="str">
            <v>technical</v>
          </cell>
          <cell r="L785" t="str">
            <v>テクニカルタイプ</v>
          </cell>
          <cell r="M785" t="str">
            <v>human</v>
          </cell>
        </row>
        <row r="786">
          <cell r="A786">
            <v>785</v>
          </cell>
          <cell r="B786" t="str">
            <v>ja</v>
          </cell>
          <cell r="C786" t="str">
            <v>ガレス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blue</v>
          </cell>
          <cell r="I786">
            <v>5</v>
          </cell>
          <cell r="J786" t="str">
            <v>PremiumS</v>
          </cell>
          <cell r="K786" t="str">
            <v>technical</v>
          </cell>
          <cell r="L786" t="str">
            <v>テクニカルタイプ</v>
          </cell>
          <cell r="M786" t="str">
            <v>human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各属性相性良3・黄・R404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hp</v>
          </cell>
          <cell r="L787" t="str">
            <v>体力タイプ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ヘイウェイ</v>
          </cell>
          <cell r="D788" t="str">
            <v>各属性相性良3・黄・R405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hp</v>
          </cell>
          <cell r="L788" t="str">
            <v>体力タイプ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各属性相性良3・黄・R408</v>
          </cell>
          <cell r="E791" t="str">
            <v>執行者</v>
          </cell>
          <cell r="F791" t="str">
            <v>格好いい</v>
          </cell>
          <cell r="G791" t="str">
            <v>男性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ノイマンR6</v>
          </cell>
          <cell r="D792" t="str">
            <v>各属性相性良3・黄・R409</v>
          </cell>
          <cell r="E792" t="str">
            <v>執行者</v>
          </cell>
          <cell r="F792" t="str">
            <v>格好いい</v>
          </cell>
          <cell r="G792" t="str">
            <v>男性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ゼノン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balance</v>
          </cell>
          <cell r="L793" t="str">
            <v>バランスタイプ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ゼノン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balance</v>
          </cell>
          <cell r="L794" t="str">
            <v>バランスタイプ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ラグランジュ</v>
          </cell>
          <cell r="D797" t="str">
            <v>各属性相性良3・黄・R414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blue</v>
          </cell>
          <cell r="I797">
            <v>6</v>
          </cell>
          <cell r="J797" t="str">
            <v>PremiumS</v>
          </cell>
          <cell r="K797" t="str">
            <v>attack</v>
          </cell>
          <cell r="L797" t="str">
            <v>攻撃タイプ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blue</v>
          </cell>
          <cell r="I798">
            <v>6</v>
          </cell>
          <cell r="J798" t="str">
            <v>PremiumS</v>
          </cell>
          <cell r="K798" t="str">
            <v>attack</v>
          </cell>
          <cell r="L798" t="str">
            <v>攻撃タイプ</v>
          </cell>
          <cell r="M798" t="str">
            <v>human</v>
          </cell>
        </row>
        <row r="799">
          <cell r="A799">
            <v>798</v>
          </cell>
          <cell r="B799" t="str">
            <v>ja</v>
          </cell>
          <cell r="C799" t="str">
            <v>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blue</v>
          </cell>
          <cell r="I799">
            <v>6</v>
          </cell>
          <cell r="J799" t="str">
            <v>PremiumS</v>
          </cell>
          <cell r="K799" t="str">
            <v>attack</v>
          </cell>
          <cell r="L799" t="str">
            <v>攻撃タイプ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blue</v>
          </cell>
          <cell r="I800">
            <v>6</v>
          </cell>
          <cell r="J800" t="str">
            <v>PremiumS</v>
          </cell>
          <cell r="K800" t="str">
            <v>attack</v>
          </cell>
          <cell r="L800" t="str">
            <v>攻撃タイプ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ヘンペルR6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PremiumS</v>
          </cell>
          <cell r="K802" t="str">
            <v>attack</v>
          </cell>
          <cell r="L802" t="str">
            <v>攻撃タイプ</v>
          </cell>
          <cell r="M802" t="str">
            <v>human</v>
          </cell>
        </row>
        <row r="803">
          <cell r="A803">
            <v>802</v>
          </cell>
          <cell r="B803" t="str">
            <v>ja</v>
          </cell>
          <cell r="C803" t="str">
            <v>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blue</v>
          </cell>
          <cell r="I803">
            <v>6</v>
          </cell>
          <cell r="J803" t="str">
            <v>PremiumS</v>
          </cell>
          <cell r="K803" t="str">
            <v>attack</v>
          </cell>
          <cell r="L803" t="str">
            <v>攻撃タイプ</v>
          </cell>
          <cell r="M803" t="str">
            <v>human</v>
          </cell>
        </row>
        <row r="804">
          <cell r="A804">
            <v>803</v>
          </cell>
          <cell r="B804" t="str">
            <v>ja</v>
          </cell>
          <cell r="C804" t="str">
            <v>パラケルスス(旧イゾルデ)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blue</v>
          </cell>
          <cell r="I804">
            <v>6</v>
          </cell>
          <cell r="J804" t="str">
            <v>PremiumS</v>
          </cell>
          <cell r="K804" t="str">
            <v>attack</v>
          </cell>
          <cell r="L804" t="str">
            <v>攻撃タイプ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ファラデー(旧トール)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blue</v>
          </cell>
          <cell r="I805">
            <v>6</v>
          </cell>
          <cell r="J805" t="str">
            <v>PremiumS</v>
          </cell>
          <cell r="K805" t="str">
            <v>attack</v>
          </cell>
          <cell r="L805" t="str">
            <v>攻撃タイプ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R6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PremiumN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R6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PremiumN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 xml:space="preserve">R6 フォルネウス 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PremiumN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R6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R6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R6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PremiumS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R6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R6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PremiumS</v>
          </cell>
          <cell r="K813" t="str">
            <v>attack</v>
          </cell>
          <cell r="L813" t="str">
            <v>攻撃タイプ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R6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R6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PremiumS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blue</v>
          </cell>
          <cell r="I816">
            <v>6</v>
          </cell>
          <cell r="J816" t="str">
            <v>PremiumSS</v>
          </cell>
          <cell r="K816" t="str">
            <v>attack</v>
          </cell>
          <cell r="L816" t="str">
            <v>攻撃タイプ</v>
          </cell>
          <cell r="M816" t="str">
            <v>human</v>
          </cell>
        </row>
        <row r="817">
          <cell r="A817">
            <v>816</v>
          </cell>
          <cell r="B817" t="str">
            <v>ja</v>
          </cell>
          <cell r="C817" t="str">
            <v>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blue</v>
          </cell>
          <cell r="I817">
            <v>6</v>
          </cell>
          <cell r="J817" t="str">
            <v>PremiumS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ドロシー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blue</v>
          </cell>
          <cell r="I818">
            <v>6</v>
          </cell>
          <cell r="J818" t="str">
            <v>PremiumSS</v>
          </cell>
          <cell r="K818" t="str">
            <v>attack</v>
          </cell>
          <cell r="L818" t="str">
            <v>攻撃タイプ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blue</v>
          </cell>
          <cell r="I819">
            <v>6</v>
          </cell>
          <cell r="J819" t="str">
            <v>PremiumS</v>
          </cell>
          <cell r="K819" t="str">
            <v>attack</v>
          </cell>
          <cell r="L819" t="str">
            <v>攻撃タイプ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attack</v>
          </cell>
          <cell r="L820" t="str">
            <v>攻撃タイプ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blue</v>
          </cell>
          <cell r="I821">
            <v>6</v>
          </cell>
          <cell r="J821" t="str">
            <v>PremiumS</v>
          </cell>
          <cell r="K821" t="str">
            <v>attack</v>
          </cell>
          <cell r="L821" t="str">
            <v>攻撃タイプ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ペロー(長靴をはいた猫)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blue</v>
          </cell>
          <cell r="I822">
            <v>6</v>
          </cell>
          <cell r="J822" t="str">
            <v>PremiumSS</v>
          </cell>
          <cell r="K822" t="str">
            <v>attack</v>
          </cell>
          <cell r="L822" t="str">
            <v>攻撃タイプ</v>
          </cell>
          <cell r="M822" t="str">
            <v>human</v>
          </cell>
        </row>
        <row r="823">
          <cell r="A823">
            <v>822</v>
          </cell>
          <cell r="B823" t="str">
            <v>ja</v>
          </cell>
          <cell r="C823" t="str">
            <v>グリム兄弟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blue</v>
          </cell>
          <cell r="I823">
            <v>6</v>
          </cell>
          <cell r="J823" t="str">
            <v>PremiumS</v>
          </cell>
          <cell r="K823" t="str">
            <v>attack</v>
          </cell>
          <cell r="L823" t="str">
            <v>攻撃タイプ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blue</v>
          </cell>
          <cell r="I824">
            <v>6</v>
          </cell>
          <cell r="J824" t="str">
            <v>PremiumSS</v>
          </cell>
          <cell r="K824" t="str">
            <v>attack</v>
          </cell>
          <cell r="L824" t="str">
            <v>攻撃タイプ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子供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blue</v>
          </cell>
          <cell r="I825">
            <v>6</v>
          </cell>
          <cell r="J825" t="str">
            <v>PremiumS</v>
          </cell>
          <cell r="K825" t="str">
            <v>attack</v>
          </cell>
          <cell r="L825" t="str">
            <v>攻撃タイプ</v>
          </cell>
          <cell r="M825" t="str">
            <v>human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attack</v>
          </cell>
          <cell r="L826" t="str">
            <v>攻撃タイプ</v>
          </cell>
          <cell r="M826" t="str">
            <v>human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blue</v>
          </cell>
          <cell r="I827">
            <v>6</v>
          </cell>
          <cell r="J827" t="str">
            <v>PremiumS</v>
          </cell>
          <cell r="K827" t="str">
            <v>attack</v>
          </cell>
          <cell r="L827" t="str">
            <v>攻撃タイプ</v>
          </cell>
          <cell r="M827" t="str">
            <v>human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blue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human</v>
          </cell>
        </row>
        <row r="829">
          <cell r="A829">
            <v>828</v>
          </cell>
          <cell r="B829" t="str">
            <v>ja</v>
          </cell>
          <cell r="C829" t="str">
            <v>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PremiumS</v>
          </cell>
          <cell r="K829" t="str">
            <v>attack</v>
          </cell>
          <cell r="L829" t="str">
            <v>攻撃タイプ</v>
          </cell>
          <cell r="M829" t="str">
            <v>human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blue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human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blue</v>
          </cell>
          <cell r="I831">
            <v>6</v>
          </cell>
          <cell r="J831" t="str">
            <v>PremiumS</v>
          </cell>
          <cell r="K831" t="str">
            <v>attack</v>
          </cell>
          <cell r="L831" t="str">
            <v>攻撃タイプ</v>
          </cell>
          <cell r="M831" t="str">
            <v>human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blue</v>
          </cell>
          <cell r="I832">
            <v>6</v>
          </cell>
          <cell r="J832" t="str">
            <v>PremiumSS</v>
          </cell>
          <cell r="K832" t="str">
            <v>attack</v>
          </cell>
          <cell r="L832" t="str">
            <v>攻撃タイプ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blue</v>
          </cell>
          <cell r="I833">
            <v>6</v>
          </cell>
          <cell r="J833" t="str">
            <v>PremiumS</v>
          </cell>
          <cell r="K833" t="str">
            <v>attack</v>
          </cell>
          <cell r="L833" t="str">
            <v>攻撃タイプ</v>
          </cell>
          <cell r="M833" t="str">
            <v>human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blue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human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PremiumS</v>
          </cell>
          <cell r="K835" t="str">
            <v>attack</v>
          </cell>
          <cell r="L835" t="str">
            <v>攻撃タイプ</v>
          </cell>
          <cell r="M835" t="str">
            <v>human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attack</v>
          </cell>
          <cell r="L836" t="str">
            <v>攻撃タイプ</v>
          </cell>
          <cell r="M836" t="str">
            <v>human</v>
          </cell>
        </row>
        <row r="837">
          <cell r="A837">
            <v>836</v>
          </cell>
          <cell r="B837" t="str">
            <v>ja</v>
          </cell>
          <cell r="C837" t="str">
            <v>マーラ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blue</v>
          </cell>
          <cell r="I837">
            <v>6</v>
          </cell>
          <cell r="J837" t="str">
            <v>PremiumS</v>
          </cell>
          <cell r="K837" t="str">
            <v>attack</v>
          </cell>
          <cell r="L837" t="str">
            <v>攻撃タイプ</v>
          </cell>
          <cell r="M837" t="str">
            <v>human</v>
          </cell>
        </row>
        <row r="838">
          <cell r="A838">
            <v>837</v>
          </cell>
          <cell r="B838" t="str">
            <v>ja</v>
          </cell>
          <cell r="C838" t="str">
            <v>ちびハンプティ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PremiumSS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</v>
          </cell>
          <cell r="K839" t="str">
            <v>attack</v>
          </cell>
          <cell r="L839" t="str">
            <v>攻撃タイプ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attack</v>
          </cell>
          <cell r="L840" t="str">
            <v>攻撃タイプ</v>
          </cell>
          <cell r="M840" t="str">
            <v>human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A5" sqref="A5"/>
    </sheetView>
  </sheetViews>
  <sheetFormatPr baseColWidth="12" defaultRowHeight="14" x14ac:dyDescent="0"/>
  <sheetData>
    <row r="1" spans="1:1">
      <c r="A1" t="s">
        <v>97</v>
      </c>
    </row>
    <row r="2" spans="1:1">
      <c r="A2" t="s">
        <v>98</v>
      </c>
    </row>
    <row r="3" spans="1:1">
      <c r="A3" t="s">
        <v>99</v>
      </c>
    </row>
    <row r="4" spans="1:1">
      <c r="A4" t="s">
        <v>100</v>
      </c>
    </row>
  </sheetData>
  <phoneticPr fontId="15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7"/>
  <sheetViews>
    <sheetView workbookViewId="0">
      <selection activeCell="A5" sqref="A5"/>
    </sheetView>
  </sheetViews>
  <sheetFormatPr baseColWidth="12" defaultRowHeight="18" x14ac:dyDescent="0"/>
  <cols>
    <col min="1" max="1" width="12.83203125" style="19"/>
    <col min="2" max="2" width="14.83203125" style="19" bestFit="1" customWidth="1"/>
    <col min="3" max="4" width="12.83203125" style="19"/>
    <col min="5" max="5" width="17.6640625" style="19" bestFit="1" customWidth="1"/>
    <col min="6" max="6" width="22.1640625" style="19" bestFit="1" customWidth="1"/>
    <col min="7" max="16384" width="12.83203125" style="19"/>
  </cols>
  <sheetData>
    <row r="1" spans="1:21">
      <c r="A1" s="29" t="s">
        <v>54</v>
      </c>
      <c r="B1" s="17" t="s">
        <v>41</v>
      </c>
      <c r="C1" s="17" t="s">
        <v>42</v>
      </c>
      <c r="D1" s="17" t="s">
        <v>43</v>
      </c>
      <c r="E1" s="17" t="s">
        <v>44</v>
      </c>
      <c r="F1" s="17" t="s">
        <v>45</v>
      </c>
      <c r="G1" s="17" t="s">
        <v>46</v>
      </c>
      <c r="H1" s="17"/>
      <c r="I1" s="17"/>
      <c r="J1" s="17"/>
      <c r="K1" s="17"/>
      <c r="L1" s="18"/>
      <c r="M1" s="18"/>
      <c r="N1" s="18"/>
      <c r="O1" s="18"/>
    </row>
    <row r="2" spans="1:21">
      <c r="A2" s="80" t="s">
        <v>149</v>
      </c>
      <c r="B2" s="20" t="s">
        <v>52</v>
      </c>
      <c r="C2" s="68" t="str">
        <f>RIGHT(F2,6)</f>
        <v>313010</v>
      </c>
      <c r="D2" s="20" t="s">
        <v>47</v>
      </c>
      <c r="E2" s="18" t="str">
        <f t="shared" ref="E2:E7" si="0">B2&amp;C2&amp;D2</f>
        <v>gacha_select_tables_313010.tmp</v>
      </c>
      <c r="F2" s="68" t="s">
        <v>146</v>
      </c>
      <c r="G2" s="67" t="s">
        <v>104</v>
      </c>
      <c r="H2" s="23" t="s">
        <v>0</v>
      </c>
      <c r="I2" s="23" t="s">
        <v>4</v>
      </c>
      <c r="J2" s="23" t="s">
        <v>5</v>
      </c>
      <c r="K2" s="23" t="s">
        <v>6</v>
      </c>
      <c r="L2" s="23" t="s">
        <v>7</v>
      </c>
      <c r="M2" s="23" t="s">
        <v>8</v>
      </c>
      <c r="N2" s="23" t="s">
        <v>9</v>
      </c>
      <c r="O2" s="23" t="s">
        <v>10</v>
      </c>
    </row>
    <row r="3" spans="1:21">
      <c r="A3" s="80" t="s">
        <v>149</v>
      </c>
      <c r="B3" s="20" t="s">
        <v>52</v>
      </c>
      <c r="C3" s="68" t="str">
        <f t="shared" ref="C3:C4" si="1">RIGHT(F3,6)</f>
        <v>313101</v>
      </c>
      <c r="D3" s="20" t="s">
        <v>47</v>
      </c>
      <c r="E3" s="18" t="str">
        <f t="shared" si="0"/>
        <v>gacha_select_tables_313101.tmp</v>
      </c>
      <c r="F3" s="68" t="s">
        <v>147</v>
      </c>
      <c r="G3" s="67" t="s">
        <v>104</v>
      </c>
      <c r="H3" s="23" t="s">
        <v>0</v>
      </c>
      <c r="I3" s="23" t="s">
        <v>4</v>
      </c>
      <c r="J3" s="23" t="s">
        <v>5</v>
      </c>
      <c r="K3" s="23" t="s">
        <v>6</v>
      </c>
      <c r="L3" s="23" t="s">
        <v>7</v>
      </c>
      <c r="M3" s="23" t="s">
        <v>8</v>
      </c>
      <c r="N3" s="23" t="s">
        <v>9</v>
      </c>
      <c r="O3" s="23" t="s">
        <v>10</v>
      </c>
    </row>
    <row r="4" spans="1:21">
      <c r="A4" s="80" t="s">
        <v>149</v>
      </c>
      <c r="B4" s="20" t="s">
        <v>52</v>
      </c>
      <c r="C4" s="68" t="str">
        <f t="shared" si="1"/>
        <v>313100</v>
      </c>
      <c r="D4" s="20" t="s">
        <v>48</v>
      </c>
      <c r="E4" s="18" t="str">
        <f t="shared" si="0"/>
        <v>gacha_select_tables_313100.tmp</v>
      </c>
      <c r="F4" s="68" t="s">
        <v>148</v>
      </c>
      <c r="G4" s="67" t="s">
        <v>104</v>
      </c>
      <c r="H4" s="23" t="s">
        <v>0</v>
      </c>
      <c r="I4" s="23" t="s">
        <v>4</v>
      </c>
      <c r="J4" s="23" t="s">
        <v>5</v>
      </c>
      <c r="K4" s="23" t="s">
        <v>6</v>
      </c>
      <c r="L4" s="23" t="s">
        <v>7</v>
      </c>
      <c r="M4" s="23" t="s">
        <v>8</v>
      </c>
      <c r="N4" s="23" t="s">
        <v>9</v>
      </c>
      <c r="O4" s="23" t="s">
        <v>10</v>
      </c>
    </row>
    <row r="5" spans="1:21">
      <c r="A5" s="44" t="s">
        <v>68</v>
      </c>
      <c r="B5" s="28" t="s">
        <v>53</v>
      </c>
      <c r="C5" s="46" t="s">
        <v>73</v>
      </c>
      <c r="D5" s="20" t="s">
        <v>48</v>
      </c>
      <c r="E5" s="18" t="str">
        <f t="shared" si="0"/>
        <v>gacha_bonus_tables_hogehoge.tmp</v>
      </c>
      <c r="F5" s="20" t="s">
        <v>49</v>
      </c>
      <c r="G5" s="22" t="s">
        <v>12</v>
      </c>
      <c r="H5" s="24" t="s">
        <v>15</v>
      </c>
      <c r="I5" s="22" t="s">
        <v>13</v>
      </c>
      <c r="J5" s="21"/>
      <c r="K5" s="21"/>
      <c r="L5" s="21"/>
      <c r="M5" s="21"/>
      <c r="N5" s="21"/>
      <c r="O5" s="21"/>
    </row>
    <row r="6" spans="1:21">
      <c r="A6" s="44" t="s">
        <v>68</v>
      </c>
      <c r="B6" s="20" t="s">
        <v>50</v>
      </c>
      <c r="C6" s="46" t="s">
        <v>73</v>
      </c>
      <c r="D6" s="20" t="s">
        <v>48</v>
      </c>
      <c r="E6" s="18" t="str">
        <f t="shared" si="0"/>
        <v>gifts_tmp_hogehoge.tmp</v>
      </c>
      <c r="F6" s="20" t="s">
        <v>49</v>
      </c>
      <c r="G6" s="24" t="s">
        <v>23</v>
      </c>
      <c r="H6" s="25" t="s">
        <v>31</v>
      </c>
      <c r="I6" s="24" t="s">
        <v>24</v>
      </c>
      <c r="J6" s="24" t="s">
        <v>25</v>
      </c>
      <c r="K6" s="24" t="s">
        <v>25</v>
      </c>
      <c r="L6" s="24" t="s">
        <v>26</v>
      </c>
      <c r="M6" s="24" t="s">
        <v>26</v>
      </c>
      <c r="N6" s="24" t="s">
        <v>26</v>
      </c>
      <c r="O6" s="69" t="s">
        <v>8</v>
      </c>
      <c r="P6" s="69" t="s">
        <v>10</v>
      </c>
      <c r="Q6" s="69" t="s">
        <v>7</v>
      </c>
      <c r="R6" s="69" t="s">
        <v>105</v>
      </c>
      <c r="S6" s="69" t="s">
        <v>9</v>
      </c>
      <c r="T6" s="69" t="s">
        <v>106</v>
      </c>
      <c r="U6" s="69" t="s">
        <v>6</v>
      </c>
    </row>
    <row r="7" spans="1:21">
      <c r="A7" s="44" t="s">
        <v>68</v>
      </c>
      <c r="B7" s="20" t="s">
        <v>51</v>
      </c>
      <c r="C7" s="46" t="s">
        <v>73</v>
      </c>
      <c r="D7" s="20" t="s">
        <v>48</v>
      </c>
      <c r="E7" s="18" t="str">
        <f t="shared" si="0"/>
        <v>gifts_i18n_hogehoge.tmp</v>
      </c>
      <c r="F7" s="20" t="s">
        <v>49</v>
      </c>
      <c r="G7" s="24" t="s">
        <v>14</v>
      </c>
      <c r="H7" s="26" t="s">
        <v>27</v>
      </c>
      <c r="I7" s="26" t="s">
        <v>28</v>
      </c>
      <c r="J7" s="26" t="s">
        <v>29</v>
      </c>
      <c r="K7" s="26" t="s">
        <v>30</v>
      </c>
      <c r="L7" s="27"/>
      <c r="M7" s="24"/>
      <c r="N7" s="24"/>
      <c r="O7" s="20"/>
    </row>
  </sheetData>
  <phoneticPr fontId="15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5"/>
  </sheetPr>
  <dimension ref="A1:R51"/>
  <sheetViews>
    <sheetView tabSelected="1" workbookViewId="0">
      <selection activeCell="E9" sqref="E9"/>
    </sheetView>
  </sheetViews>
  <sheetFormatPr baseColWidth="12" defaultRowHeight="14" x14ac:dyDescent="0"/>
  <sheetData>
    <row r="1" spans="1:18">
      <c r="A1" s="66" t="s">
        <v>101</v>
      </c>
      <c r="B1" s="66"/>
    </row>
    <row r="2" spans="1:18">
      <c r="A2" t="str">
        <f ca="1">RIGHT(RIGHT(CELL("filename",A2),LEN(CELL("filename",A2))-FIND("]",CELL("filename",A2))),6)</f>
        <v>313010</v>
      </c>
    </row>
    <row r="4" spans="1:18">
      <c r="A4" s="49" t="s">
        <v>69</v>
      </c>
      <c r="B4" s="49"/>
    </row>
    <row r="5" spans="1:18">
      <c r="A5" s="47" t="s">
        <v>86</v>
      </c>
      <c r="B5" s="48">
        <f>1-B6-B7</f>
        <v>0.5</v>
      </c>
    </row>
    <row r="6" spans="1:18">
      <c r="A6" s="47" t="s">
        <v>87</v>
      </c>
      <c r="B6" s="48">
        <v>0.45</v>
      </c>
    </row>
    <row r="7" spans="1:18">
      <c r="A7" s="47" t="s">
        <v>88</v>
      </c>
      <c r="B7" s="48">
        <v>0.05</v>
      </c>
    </row>
    <row r="9" spans="1:18">
      <c r="A9" s="50" t="s">
        <v>70</v>
      </c>
      <c r="B9" s="50"/>
    </row>
    <row r="10" spans="1:18">
      <c r="A10" s="47" t="s">
        <v>116</v>
      </c>
      <c r="B10" s="48">
        <f>1-B11-B12</f>
        <v>0.92999999999999994</v>
      </c>
    </row>
    <row r="11" spans="1:18">
      <c r="A11" s="47" t="s">
        <v>72</v>
      </c>
      <c r="B11" s="48">
        <v>0.05</v>
      </c>
    </row>
    <row r="12" spans="1:18">
      <c r="A12" s="47" t="s">
        <v>71</v>
      </c>
      <c r="B12" s="48">
        <v>0.02</v>
      </c>
    </row>
    <row r="15" spans="1:18">
      <c r="A15" s="52" t="s">
        <v>74</v>
      </c>
      <c r="B15" s="52"/>
      <c r="C15" t="s">
        <v>102</v>
      </c>
      <c r="L15" s="54" t="s">
        <v>79</v>
      </c>
      <c r="M15" s="54"/>
    </row>
    <row r="16" spans="1:18">
      <c r="A16" s="47" t="s">
        <v>77</v>
      </c>
      <c r="B16" s="47" t="s">
        <v>78</v>
      </c>
      <c r="C16" s="53" t="s">
        <v>79</v>
      </c>
      <c r="D16" s="53" t="s">
        <v>80</v>
      </c>
      <c r="E16" t="s">
        <v>90</v>
      </c>
      <c r="F16" t="s">
        <v>89</v>
      </c>
      <c r="G16" t="s">
        <v>92</v>
      </c>
      <c r="H16" t="s">
        <v>91</v>
      </c>
      <c r="I16" t="s">
        <v>93</v>
      </c>
      <c r="J16" t="s">
        <v>96</v>
      </c>
      <c r="L16" s="47" t="s">
        <v>33</v>
      </c>
      <c r="M16" s="53" t="s">
        <v>83</v>
      </c>
      <c r="N16" s="47" t="s">
        <v>81</v>
      </c>
      <c r="O16" s="53" t="s">
        <v>84</v>
      </c>
      <c r="P16" s="53" t="s">
        <v>85</v>
      </c>
      <c r="Q16" s="53" t="s">
        <v>82</v>
      </c>
      <c r="R16" s="61" t="s">
        <v>91</v>
      </c>
    </row>
    <row r="17" spans="1:17">
      <c r="A17" s="47" t="s">
        <v>117</v>
      </c>
      <c r="B17" s="79">
        <f>B5</f>
        <v>0.5</v>
      </c>
      <c r="C17" s="65">
        <f>SUMIF(Q:Q,A17,N:N)</f>
        <v>0</v>
      </c>
      <c r="D17" s="58">
        <f t="shared" ref="D17:D28" si="0">B17-C17</f>
        <v>0.5</v>
      </c>
      <c r="E17">
        <f>COUNTIF(tables_313010!B:B,input_313010!A17)-COUNTIF(Q:Q,A17)</f>
        <v>74</v>
      </c>
      <c r="F17" s="60">
        <f t="shared" ref="F17:F27" si="1">IFERROR(D17/E17,0)</f>
        <v>6.7567567567567571E-3</v>
      </c>
      <c r="G17">
        <f>A$36*D17</f>
        <v>13986000</v>
      </c>
      <c r="H17">
        <f t="shared" ref="H17:H27" si="2">IFERROR(ROUND(G17/E17,5),0)</f>
        <v>189000</v>
      </c>
      <c r="I17">
        <f>MOD(H17,1)</f>
        <v>0</v>
      </c>
      <c r="J17">
        <f t="shared" ref="J17:J27" si="3">IFERROR(1/I17,1)</f>
        <v>1</v>
      </c>
      <c r="L17" s="47"/>
      <c r="M17" s="53"/>
      <c r="N17" s="51"/>
      <c r="O17" s="53"/>
      <c r="P17" s="53"/>
      <c r="Q17" s="53"/>
    </row>
    <row r="18" spans="1:17">
      <c r="A18" s="47" t="s">
        <v>118</v>
      </c>
      <c r="B18" s="78">
        <f>B6-B19-B20-B21-B22</f>
        <v>0.40499999999999997</v>
      </c>
      <c r="C18" s="65">
        <f>SUMIF(Q:Q,A18,N:N)</f>
        <v>0</v>
      </c>
      <c r="D18" s="58">
        <f t="shared" si="0"/>
        <v>0.40499999999999997</v>
      </c>
      <c r="E18">
        <f>COUNTIF(tables_313010!B:B,input_313010!A18)-COUNTIF(Q:Q,A18)</f>
        <v>74</v>
      </c>
      <c r="F18" s="60">
        <f t="shared" si="1"/>
        <v>5.4729729729729726E-3</v>
      </c>
      <c r="G18">
        <f>A$36*D18</f>
        <v>11328660</v>
      </c>
      <c r="H18">
        <f t="shared" si="2"/>
        <v>153090</v>
      </c>
      <c r="I18">
        <f t="shared" ref="I18:I27" si="4">MOD(H18,1)</f>
        <v>0</v>
      </c>
      <c r="J18">
        <f t="shared" si="3"/>
        <v>1</v>
      </c>
      <c r="L18" s="47"/>
      <c r="M18" s="53"/>
      <c r="N18" s="51"/>
      <c r="O18" s="53"/>
      <c r="P18" s="53"/>
      <c r="Q18" s="53"/>
    </row>
    <row r="19" spans="1:17">
      <c r="A19" s="47" t="s">
        <v>128</v>
      </c>
      <c r="B19" s="75">
        <f>1.8%*1.5</f>
        <v>2.7000000000000003E-2</v>
      </c>
      <c r="C19" s="65">
        <f>SUMIF(Q:Q,A19,N:N)</f>
        <v>0</v>
      </c>
      <c r="D19" s="58">
        <f t="shared" si="0"/>
        <v>2.7000000000000003E-2</v>
      </c>
      <c r="E19">
        <f>COUNTIF(tables_313010!B:B,input_313010!A19)-COUNTIF(Q:Q,A19)</f>
        <v>14</v>
      </c>
      <c r="F19" s="60">
        <f t="shared" si="1"/>
        <v>1.9285714285714288E-3</v>
      </c>
      <c r="G19">
        <f>A$36*D19</f>
        <v>755244.00000000012</v>
      </c>
      <c r="H19">
        <f t="shared" si="2"/>
        <v>53946</v>
      </c>
      <c r="I19">
        <f t="shared" si="4"/>
        <v>0</v>
      </c>
      <c r="J19">
        <f t="shared" si="3"/>
        <v>1</v>
      </c>
      <c r="L19" s="47"/>
      <c r="M19" s="53"/>
      <c r="N19" s="51"/>
      <c r="O19" s="53"/>
      <c r="P19" s="53"/>
      <c r="Q19" s="53"/>
    </row>
    <row r="20" spans="1:17">
      <c r="A20" s="47" t="s">
        <v>130</v>
      </c>
      <c r="B20" s="75">
        <v>1.7999999999999999E-2</v>
      </c>
      <c r="C20" s="65">
        <f t="shared" ref="C20:C27" si="5">SUMIF(Q:Q,A20,N:N)</f>
        <v>0</v>
      </c>
      <c r="D20" s="58">
        <f t="shared" ref="D20:D27" si="6">B20-C20</f>
        <v>1.7999999999999999E-2</v>
      </c>
      <c r="E20">
        <f>COUNTIF(tables_313010!B:B,input_313010!A20)-COUNTIF(Q:Q,A20)</f>
        <v>12</v>
      </c>
      <c r="F20" s="60">
        <f t="shared" si="1"/>
        <v>1.4999999999999998E-3</v>
      </c>
      <c r="G20">
        <f>A$36*D20</f>
        <v>503495.99999999994</v>
      </c>
      <c r="H20">
        <f t="shared" si="2"/>
        <v>41958</v>
      </c>
      <c r="I20">
        <f t="shared" si="4"/>
        <v>0</v>
      </c>
      <c r="J20">
        <f t="shared" si="3"/>
        <v>1</v>
      </c>
      <c r="L20" s="47"/>
      <c r="M20" s="53"/>
      <c r="N20" s="51"/>
      <c r="O20" s="53"/>
      <c r="P20" s="53"/>
      <c r="Q20" s="53"/>
    </row>
    <row r="21" spans="1:17">
      <c r="A21" s="47" t="s">
        <v>132</v>
      </c>
      <c r="B21" s="76">
        <v>0</v>
      </c>
      <c r="C21" s="65">
        <f t="shared" si="5"/>
        <v>0</v>
      </c>
      <c r="D21" s="58">
        <f t="shared" si="6"/>
        <v>0</v>
      </c>
      <c r="E21">
        <f>COUNTIF(tables_313010!B:B,input_313010!A21)-COUNTIF(Q:Q,A21)</f>
        <v>0</v>
      </c>
      <c r="F21" s="60">
        <f t="shared" si="1"/>
        <v>0</v>
      </c>
      <c r="G21">
        <f t="shared" ref="G21:G27" si="7">A$36*D21</f>
        <v>0</v>
      </c>
      <c r="H21">
        <f t="shared" si="2"/>
        <v>0</v>
      </c>
      <c r="I21">
        <f t="shared" si="4"/>
        <v>0</v>
      </c>
      <c r="J21">
        <f t="shared" si="3"/>
        <v>1</v>
      </c>
      <c r="L21" s="47"/>
      <c r="M21" s="53"/>
      <c r="N21" s="51"/>
      <c r="O21" s="53"/>
      <c r="P21" s="53"/>
      <c r="Q21" s="53"/>
    </row>
    <row r="22" spans="1:17">
      <c r="A22" s="47" t="s">
        <v>134</v>
      </c>
      <c r="B22" s="76">
        <v>0</v>
      </c>
      <c r="C22" s="65">
        <f t="shared" si="5"/>
        <v>0</v>
      </c>
      <c r="D22" s="58">
        <f t="shared" si="6"/>
        <v>0</v>
      </c>
      <c r="E22">
        <f>COUNTIF(tables_313010!B:B,input_313010!A22)-COUNTIF(Q:Q,A22)</f>
        <v>0</v>
      </c>
      <c r="F22" s="60">
        <f t="shared" si="1"/>
        <v>0</v>
      </c>
      <c r="G22">
        <f t="shared" si="7"/>
        <v>0</v>
      </c>
      <c r="H22">
        <f t="shared" si="2"/>
        <v>0</v>
      </c>
      <c r="I22">
        <f t="shared" si="4"/>
        <v>0</v>
      </c>
      <c r="J22">
        <f t="shared" si="3"/>
        <v>1</v>
      </c>
      <c r="L22" s="47"/>
      <c r="M22" s="53"/>
      <c r="N22" s="51"/>
      <c r="O22" s="53"/>
      <c r="P22" s="53"/>
      <c r="Q22" s="53"/>
    </row>
    <row r="23" spans="1:17">
      <c r="A23" s="47" t="s">
        <v>119</v>
      </c>
      <c r="B23" s="77">
        <f>B7-B24-B25-B26-B27</f>
        <v>3.4999999999999996E-2</v>
      </c>
      <c r="C23" s="65">
        <f t="shared" si="5"/>
        <v>0</v>
      </c>
      <c r="D23" s="58">
        <f t="shared" si="6"/>
        <v>3.4999999999999996E-2</v>
      </c>
      <c r="E23">
        <f>COUNTIF(tables_313010!B:B,input_313010!A23)-COUNTIF(Q:Q,A23)</f>
        <v>54</v>
      </c>
      <c r="F23" s="60">
        <f t="shared" si="1"/>
        <v>6.4814814814814813E-4</v>
      </c>
      <c r="G23">
        <f>A$36*D23</f>
        <v>979019.99999999988</v>
      </c>
      <c r="H23">
        <f t="shared" si="2"/>
        <v>18130</v>
      </c>
      <c r="I23">
        <f t="shared" si="4"/>
        <v>0</v>
      </c>
      <c r="J23">
        <f t="shared" si="3"/>
        <v>1</v>
      </c>
      <c r="L23" s="47"/>
      <c r="M23" s="53"/>
      <c r="N23" s="47"/>
      <c r="O23" s="53"/>
      <c r="P23" s="53"/>
      <c r="Q23" s="53"/>
    </row>
    <row r="24" spans="1:17">
      <c r="A24" s="47" t="s">
        <v>136</v>
      </c>
      <c r="B24" s="74">
        <v>3.0000000000000001E-3</v>
      </c>
      <c r="C24" s="65">
        <f t="shared" si="5"/>
        <v>0</v>
      </c>
      <c r="D24" s="58">
        <f t="shared" si="6"/>
        <v>3.0000000000000001E-3</v>
      </c>
      <c r="E24">
        <f>COUNTIF(tables_313010!B:B,input_313010!A24)-COUNTIF(Q:Q,A24)</f>
        <v>14</v>
      </c>
      <c r="F24" s="60">
        <f t="shared" si="1"/>
        <v>2.142857142857143E-4</v>
      </c>
      <c r="G24">
        <f t="shared" si="7"/>
        <v>83916</v>
      </c>
      <c r="H24">
        <f t="shared" si="2"/>
        <v>5994</v>
      </c>
      <c r="I24">
        <f t="shared" si="4"/>
        <v>0</v>
      </c>
      <c r="J24">
        <f t="shared" si="3"/>
        <v>1</v>
      </c>
      <c r="L24" s="47"/>
      <c r="M24" s="53"/>
      <c r="N24" s="47"/>
      <c r="O24" s="53"/>
      <c r="P24" s="53"/>
      <c r="Q24" s="53"/>
    </row>
    <row r="25" spans="1:17">
      <c r="A25" s="47" t="s">
        <v>138</v>
      </c>
      <c r="B25" s="74">
        <v>2E-3</v>
      </c>
      <c r="C25" s="65">
        <f t="shared" si="5"/>
        <v>0</v>
      </c>
      <c r="D25" s="58">
        <f t="shared" si="6"/>
        <v>2E-3</v>
      </c>
      <c r="E25">
        <f>COUNTIF(tables_313010!B:B,input_313010!A25)-COUNTIF(Q:Q,A25)</f>
        <v>12</v>
      </c>
      <c r="F25" s="60">
        <f t="shared" si="1"/>
        <v>1.6666666666666666E-4</v>
      </c>
      <c r="G25">
        <f t="shared" si="7"/>
        <v>55944</v>
      </c>
      <c r="H25">
        <f t="shared" si="2"/>
        <v>4662</v>
      </c>
      <c r="I25">
        <f t="shared" si="4"/>
        <v>0</v>
      </c>
      <c r="J25">
        <f t="shared" si="3"/>
        <v>1</v>
      </c>
      <c r="L25" s="47"/>
      <c r="M25" s="53"/>
      <c r="N25" s="47"/>
      <c r="O25" s="53"/>
      <c r="P25" s="53"/>
      <c r="Q25" s="53"/>
    </row>
    <row r="26" spans="1:17">
      <c r="A26" s="47" t="s">
        <v>140</v>
      </c>
      <c r="B26" s="74">
        <f>1.5%/2</f>
        <v>7.4999999999999997E-3</v>
      </c>
      <c r="C26" s="65">
        <f t="shared" si="5"/>
        <v>0</v>
      </c>
      <c r="D26" s="58">
        <f t="shared" si="6"/>
        <v>7.4999999999999997E-3</v>
      </c>
      <c r="E26">
        <f>COUNTIF(tables_313010!B:B,input_313010!A26)-COUNTIF(Q:Q,A26)</f>
        <v>2</v>
      </c>
      <c r="F26" s="60">
        <f t="shared" si="1"/>
        <v>3.7499999999999999E-3</v>
      </c>
      <c r="G26">
        <f t="shared" si="7"/>
        <v>209790</v>
      </c>
      <c r="H26">
        <f t="shared" si="2"/>
        <v>104895</v>
      </c>
      <c r="I26">
        <f t="shared" si="4"/>
        <v>0</v>
      </c>
      <c r="J26">
        <f t="shared" si="3"/>
        <v>1</v>
      </c>
      <c r="L26" s="47"/>
      <c r="M26" s="53"/>
      <c r="N26" s="47"/>
      <c r="O26" s="53"/>
      <c r="P26" s="53"/>
      <c r="Q26" s="53"/>
    </row>
    <row r="27" spans="1:17">
      <c r="A27" s="47" t="s">
        <v>142</v>
      </c>
      <c r="B27" s="74">
        <f>0.5%/2</f>
        <v>2.5000000000000001E-3</v>
      </c>
      <c r="C27" s="65">
        <f t="shared" si="5"/>
        <v>0</v>
      </c>
      <c r="D27" s="58">
        <f t="shared" si="6"/>
        <v>2.5000000000000001E-3</v>
      </c>
      <c r="E27">
        <f>COUNTIF(tables_313010!B:B,input_313010!A27)-COUNTIF(Q:Q,A27)</f>
        <v>2</v>
      </c>
      <c r="F27" s="60">
        <f t="shared" si="1"/>
        <v>1.25E-3</v>
      </c>
      <c r="G27">
        <f t="shared" si="7"/>
        <v>69930</v>
      </c>
      <c r="H27">
        <f t="shared" si="2"/>
        <v>34965</v>
      </c>
      <c r="I27">
        <f t="shared" si="4"/>
        <v>0</v>
      </c>
      <c r="J27">
        <f t="shared" si="3"/>
        <v>1</v>
      </c>
      <c r="L27" s="47"/>
      <c r="M27" s="53"/>
      <c r="N27" s="47"/>
      <c r="O27" s="53"/>
      <c r="P27" s="53"/>
      <c r="Q27" s="53"/>
    </row>
    <row r="28" spans="1:17">
      <c r="A28" s="55" t="s">
        <v>76</v>
      </c>
      <c r="B28" s="56">
        <f>SUM(B17:B27)</f>
        <v>1</v>
      </c>
      <c r="C28" s="57">
        <f>SUM(C17:C26)</f>
        <v>0</v>
      </c>
      <c r="D28" s="59">
        <f t="shared" si="0"/>
        <v>1</v>
      </c>
      <c r="L28" s="47"/>
      <c r="M28" s="53"/>
      <c r="N28" s="47"/>
      <c r="O28" s="53"/>
      <c r="P28" s="53"/>
      <c r="Q28" s="53"/>
    </row>
    <row r="35" spans="1:6">
      <c r="A35" t="s">
        <v>91</v>
      </c>
    </row>
    <row r="36" spans="1:6">
      <c r="A36" s="34">
        <f>14*54*74*250*2</f>
        <v>27972000</v>
      </c>
    </row>
    <row r="38" spans="1:6">
      <c r="A38" s="64" t="s">
        <v>95</v>
      </c>
    </row>
    <row r="39" spans="1:6">
      <c r="A39" s="47" t="s">
        <v>77</v>
      </c>
      <c r="B39" t="s">
        <v>92</v>
      </c>
      <c r="C39" t="s">
        <v>120</v>
      </c>
      <c r="E39" t="s">
        <v>121</v>
      </c>
    </row>
    <row r="40" spans="1:6">
      <c r="A40" s="47" t="s">
        <v>143</v>
      </c>
      <c r="B40">
        <f ca="1">SUMIF(tables_313010!B:B,input_313010!A40,tables_313010!M:M)</f>
        <v>13986000</v>
      </c>
      <c r="C40" s="72">
        <f ca="1">B40/B$51</f>
        <v>0.5</v>
      </c>
      <c r="E40">
        <v>3</v>
      </c>
      <c r="F40" s="73">
        <f ca="1">C40</f>
        <v>0.5</v>
      </c>
    </row>
    <row r="41" spans="1:6">
      <c r="A41" s="47" t="s">
        <v>144</v>
      </c>
      <c r="B41">
        <f ca="1">SUMIF(tables_313010!B:B,input_313010!A41,tables_313010!M:M)</f>
        <v>11328660</v>
      </c>
      <c r="C41" s="72">
        <f t="shared" ref="C41:C50" ca="1" si="8">B41/B$51</f>
        <v>0.40500000000000003</v>
      </c>
      <c r="E41">
        <v>4</v>
      </c>
      <c r="F41" s="73">
        <f ca="1">SUM(C41:C45)</f>
        <v>0.45000000000000007</v>
      </c>
    </row>
    <row r="42" spans="1:6">
      <c r="A42" s="47" t="s">
        <v>127</v>
      </c>
      <c r="B42">
        <f ca="1">SUMIF(tables_313010!B:B,input_313010!A42,tables_313010!M:M)</f>
        <v>755244</v>
      </c>
      <c r="C42" s="72">
        <f t="shared" ca="1" si="8"/>
        <v>2.7E-2</v>
      </c>
      <c r="E42">
        <v>5</v>
      </c>
      <c r="F42" s="73">
        <f ca="1">SUM(C46:C50)</f>
        <v>5.000000000000001E-2</v>
      </c>
    </row>
    <row r="43" spans="1:6">
      <c r="A43" s="47" t="s">
        <v>129</v>
      </c>
      <c r="B43">
        <f ca="1">SUMIF(tables_313010!B:B,input_313010!A43,tables_313010!M:M)</f>
        <v>503496</v>
      </c>
      <c r="C43" s="72">
        <f t="shared" ca="1" si="8"/>
        <v>1.7999999999999999E-2</v>
      </c>
      <c r="F43" s="73"/>
    </row>
    <row r="44" spans="1:6">
      <c r="A44" s="47" t="s">
        <v>131</v>
      </c>
      <c r="B44">
        <f>SUMIF(tables_313010!B:B,input_313010!A44,tables_313010!M:M)</f>
        <v>0</v>
      </c>
      <c r="C44" s="72">
        <f t="shared" ca="1" si="8"/>
        <v>0</v>
      </c>
    </row>
    <row r="45" spans="1:6">
      <c r="A45" s="47" t="s">
        <v>133</v>
      </c>
      <c r="B45">
        <f>SUMIF(tables_313010!B:B,input_313010!A45,tables_313010!M:M)</f>
        <v>0</v>
      </c>
      <c r="C45" s="72">
        <f t="shared" ca="1" si="8"/>
        <v>0</v>
      </c>
    </row>
    <row r="46" spans="1:6">
      <c r="A46" s="47" t="s">
        <v>145</v>
      </c>
      <c r="B46">
        <f ca="1">SUMIF(tables_313010!B:B,input_313010!A46,tables_313010!M:M)</f>
        <v>979020</v>
      </c>
      <c r="C46" s="72">
        <f t="shared" ca="1" si="8"/>
        <v>3.5000000000000003E-2</v>
      </c>
      <c r="E46" t="s">
        <v>122</v>
      </c>
    </row>
    <row r="47" spans="1:6">
      <c r="A47" s="47" t="s">
        <v>135</v>
      </c>
      <c r="B47">
        <f ca="1">SUMIF(tables_313010!B:B,input_313010!A47,tables_313010!M:M)</f>
        <v>83916</v>
      </c>
      <c r="C47" s="72">
        <f ca="1">B47/B$51</f>
        <v>3.0000000000000001E-3</v>
      </c>
      <c r="E47" t="s">
        <v>123</v>
      </c>
      <c r="F47" s="73">
        <f ca="1">C40+C41+C46</f>
        <v>0.94000000000000006</v>
      </c>
    </row>
    <row r="48" spans="1:6">
      <c r="A48" s="47" t="s">
        <v>137</v>
      </c>
      <c r="B48">
        <f ca="1">SUMIF(tables_313010!B:B,input_313010!A48,tables_313010!M:M)</f>
        <v>55944</v>
      </c>
      <c r="C48" s="72">
        <f t="shared" ca="1" si="8"/>
        <v>2E-3</v>
      </c>
      <c r="F48" s="73"/>
    </row>
    <row r="49" spans="1:6">
      <c r="A49" s="47" t="s">
        <v>139</v>
      </c>
      <c r="B49">
        <f ca="1">SUMIF(tables_313010!B:B,input_313010!A49,tables_313010!M:M)</f>
        <v>209790</v>
      </c>
      <c r="C49" s="72">
        <f t="shared" ca="1" si="8"/>
        <v>7.4999999999999997E-3</v>
      </c>
      <c r="F49" s="73"/>
    </row>
    <row r="50" spans="1:6">
      <c r="A50" s="47" t="s">
        <v>141</v>
      </c>
      <c r="B50">
        <f ca="1">SUMIF(tables_313010!B:B,input_313010!A50,tables_313010!M:M)</f>
        <v>69930</v>
      </c>
      <c r="C50" s="72">
        <f t="shared" ca="1" si="8"/>
        <v>2.5000000000000001E-3</v>
      </c>
      <c r="E50" t="s">
        <v>124</v>
      </c>
      <c r="F50" s="73">
        <f ca="1">C42+C43+C47+C48</f>
        <v>0.05</v>
      </c>
    </row>
    <row r="51" spans="1:6">
      <c r="A51" s="55" t="s">
        <v>76</v>
      </c>
      <c r="B51">
        <f ca="1">SUM(B40:B50)</f>
        <v>27972000</v>
      </c>
      <c r="E51" t="s">
        <v>125</v>
      </c>
      <c r="F51" s="73">
        <f ca="1">C44+C45+C49+C50</f>
        <v>0.01</v>
      </c>
    </row>
  </sheetData>
  <phoneticPr fontId="15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T259"/>
  <sheetViews>
    <sheetView showGridLines="0" zoomScale="75" zoomScaleNormal="75" zoomScalePageLayoutView="75" workbookViewId="0">
      <pane ySplit="1" topLeftCell="A231" activePane="bottomLeft" state="frozen"/>
      <selection activeCell="A3" sqref="A3"/>
      <selection pane="bottomLeft" activeCell="E250" sqref="E250:E259"/>
    </sheetView>
  </sheetViews>
  <sheetFormatPr baseColWidth="12" defaultRowHeight="21" customHeight="1" outlineLevelCol="1" x14ac:dyDescent="0"/>
  <cols>
    <col min="1" max="1" width="12.6640625" style="1" bestFit="1" customWidth="1"/>
    <col min="2" max="2" width="17.6640625" style="1" bestFit="1" customWidth="1" outlineLevel="1"/>
    <col min="3" max="4" width="17.6640625" style="1" customWidth="1" outlineLevel="1"/>
    <col min="5" max="5" width="10.5" style="1" customWidth="1"/>
    <col min="6" max="6" width="23.33203125" style="1" customWidth="1" outlineLevel="1"/>
    <col min="7" max="7" width="13.6640625" style="1" customWidth="1" outlineLevel="1"/>
    <col min="8" max="8" width="9.6640625" style="1" customWidth="1" outlineLevel="1"/>
    <col min="9" max="9" width="10.5" style="4" customWidth="1" outlineLevel="1"/>
    <col min="10" max="10" width="18.83203125" style="1" customWidth="1" outlineLevel="1"/>
    <col min="11" max="12" width="19" style="1" customWidth="1" outlineLevel="1"/>
    <col min="13" max="13" width="11.33203125" style="1" bestFit="1" customWidth="1"/>
    <col min="14" max="14" width="11.33203125" style="1" customWidth="1"/>
    <col min="15" max="15" width="13.1640625" style="1" bestFit="1" customWidth="1"/>
    <col min="16" max="16384" width="12.83203125" style="1"/>
  </cols>
  <sheetData>
    <row r="1" spans="1:20" ht="21" customHeight="1">
      <c r="A1" s="14" t="s">
        <v>103</v>
      </c>
      <c r="B1" s="3" t="s">
        <v>32</v>
      </c>
      <c r="C1" s="3" t="s">
        <v>115</v>
      </c>
      <c r="D1" s="3" t="s">
        <v>126</v>
      </c>
      <c r="E1" s="16" t="s">
        <v>33</v>
      </c>
      <c r="F1" s="3" t="s">
        <v>34</v>
      </c>
      <c r="G1" s="3" t="s">
        <v>35</v>
      </c>
      <c r="H1" s="3" t="s">
        <v>36</v>
      </c>
      <c r="I1" s="3" t="s">
        <v>55</v>
      </c>
      <c r="J1" s="3" t="s">
        <v>37</v>
      </c>
      <c r="K1" s="3" t="s">
        <v>38</v>
      </c>
      <c r="L1" s="3" t="s">
        <v>75</v>
      </c>
      <c r="M1" s="16" t="s">
        <v>40</v>
      </c>
      <c r="N1" s="3" t="s">
        <v>94</v>
      </c>
      <c r="O1" s="16" t="s">
        <v>39</v>
      </c>
      <c r="P1" s="30" t="s">
        <v>6</v>
      </c>
      <c r="Q1" s="30" t="s">
        <v>7</v>
      </c>
      <c r="R1" s="30" t="s">
        <v>8</v>
      </c>
      <c r="S1" s="30" t="s">
        <v>9</v>
      </c>
      <c r="T1" s="30" t="s">
        <v>10</v>
      </c>
    </row>
    <row r="2" spans="1:20" ht="21" customHeight="1">
      <c r="A2" s="2" t="str">
        <f ca="1">input_313010!A$2</f>
        <v>313010</v>
      </c>
      <c r="B2" s="7" t="str">
        <f t="shared" ref="B2:B65" si="0">C2&amp;IF(C2="premium",,D2)&amp;H2</f>
        <v>Premium3</v>
      </c>
      <c r="C2" s="7" t="str">
        <f>IF(G2="PremiumSS",G2,IF(G2="PremiumSSS",G2,"Premium"))</f>
        <v>Premium</v>
      </c>
      <c r="D2" s="7" t="str">
        <f>IF(I2="red","ry",IF(I2="yellow","ry","bg"))</f>
        <v>ry</v>
      </c>
      <c r="E2" s="6">
        <v>126</v>
      </c>
      <c r="F2" s="7" t="str">
        <f>VLOOKUP(E2,[1]characters!$A:$C,3,FALSE)</f>
        <v>骨器使い ユノ</v>
      </c>
      <c r="G2" s="7" t="str">
        <f>VLOOKUP(E2,[1]characters!$A:$J,10,FALSE)</f>
        <v>PremiumW</v>
      </c>
      <c r="H2" s="7">
        <f>VLOOKUP(E2,[1]characters!$A:$I,9,FALSE)</f>
        <v>3</v>
      </c>
      <c r="I2" s="7" t="str">
        <f>VLOOKUP(E2,[1]characters!$A:$H,8,FALSE)</f>
        <v>red</v>
      </c>
      <c r="J2" s="7" t="str">
        <f>VLOOKUP(E2,[1]characters!$A:$K,11,FALSE)</f>
        <v>attack</v>
      </c>
      <c r="K2" s="7" t="str">
        <f>VLOOKUP(E2,[1]characters!$A:$M,13,FALSE)</f>
        <v>human</v>
      </c>
      <c r="L2" s="7" t="str">
        <f>VLOOKUP(E2,[1]characters!$A:$G,7,FALSE)</f>
        <v>女性</v>
      </c>
      <c r="M2" s="62">
        <f ca="1">IFERROR(VLOOKUP(E2,input_313010!L:R,7,FALSE),VLOOKUP(tables_313010!B2,input_313010!A:H,8,FALSE))</f>
        <v>189000</v>
      </c>
      <c r="N2" s="63">
        <f ca="1">M2/SUM(M:M)</f>
        <v>6.7567567567567571E-3</v>
      </c>
      <c r="O2" s="31">
        <f>IFERROR(VLOOKUP($E2,bug_conf_sheet!$A:$H,3,FALSE),VLOOKUP("other",bug_conf_sheet!$A:$H,3,FALSE))</f>
        <v>1</v>
      </c>
      <c r="P2" s="31">
        <f>IFERROR(VLOOKUP($E2,bug_conf_sheet!$A:$H,4,FALSE),VLOOKUP("other",bug_conf_sheet!$A:$H,4,FALSE))</f>
        <v>0</v>
      </c>
      <c r="Q2" s="31">
        <f>IFERROR(VLOOKUP($E2,bug_conf_sheet!$A:$H,5,FALSE),VLOOKUP("other",bug_conf_sheet!$A:$H,5,FALSE))</f>
        <v>0</v>
      </c>
      <c r="R2" s="31">
        <f>IFERROR(VLOOKUP($E2,bug_conf_sheet!$A:$H,6,FALSE),VLOOKUP("other",bug_conf_sheet!$A:$H,6,FALSE))</f>
        <v>0</v>
      </c>
      <c r="S2" s="31">
        <f>IFERROR(VLOOKUP($E2,bug_conf_sheet!$A:$H,7,FALSE),VLOOKUP("other",bug_conf_sheet!$A:$H,7,FALSE))</f>
        <v>0</v>
      </c>
      <c r="T2" s="31">
        <f>IFERROR(VLOOKUP($E2,bug_conf_sheet!$A:$H,8,FALSE),VLOOKUP("other",bug_conf_sheet!$A:$H,8,FALSE))</f>
        <v>1</v>
      </c>
    </row>
    <row r="3" spans="1:20" ht="21" customHeight="1">
      <c r="A3" s="2" t="str">
        <f ca="1">input_313010!A$2</f>
        <v>313010</v>
      </c>
      <c r="B3" s="7" t="str">
        <f t="shared" si="0"/>
        <v>Premium4</v>
      </c>
      <c r="C3" s="7" t="str">
        <f t="shared" ref="C3:C66" si="1">IF(G3="PremiumSS",G3,IF(G3="PremiumSSS",G3,"Premium"))</f>
        <v>Premium</v>
      </c>
      <c r="D3" s="7" t="str">
        <f t="shared" ref="D3:D66" si="2">IF(I3="red","ry",IF(I3="yellow","ry","bg"))</f>
        <v>ry</v>
      </c>
      <c r="E3" s="6">
        <v>127</v>
      </c>
      <c r="F3" s="7" t="str">
        <f>VLOOKUP(E3,[1]characters!$A:$C,3,FALSE)</f>
        <v>狂喜の賢者 ユノ</v>
      </c>
      <c r="G3" s="7" t="str">
        <f>VLOOKUP(E3,[1]characters!$A:$J,10,FALSE)</f>
        <v>PremiumW</v>
      </c>
      <c r="H3" s="7">
        <f>VLOOKUP(E3,[1]characters!$A:$I,9,FALSE)</f>
        <v>4</v>
      </c>
      <c r="I3" s="7" t="str">
        <f>VLOOKUP(E3,[1]characters!$A:$H,8,FALSE)</f>
        <v>red</v>
      </c>
      <c r="J3" s="7" t="str">
        <f>VLOOKUP(E3,[1]characters!$A:$K,11,FALSE)</f>
        <v>attack</v>
      </c>
      <c r="K3" s="7" t="str">
        <f>VLOOKUP(E3,[1]characters!$A:$M,13,FALSE)</f>
        <v>human</v>
      </c>
      <c r="L3" s="7" t="str">
        <f>VLOOKUP(E3,[1]characters!$A:$G,7,FALSE)</f>
        <v>女性</v>
      </c>
      <c r="M3" s="62">
        <f ca="1">IFERROR(VLOOKUP(E3,input_313010!L:R,7,FALSE),VLOOKUP(tables_313010!B3,input_313010!A:H,8,FALSE))</f>
        <v>153090</v>
      </c>
      <c r="N3" s="63">
        <f ca="1">M3/SUM(M:M)</f>
        <v>5.4729729729729726E-3</v>
      </c>
      <c r="O3" s="31">
        <f>IFERROR(VLOOKUP($E3,bug_conf_sheet!$A:$H,3,FALSE),VLOOKUP("other",bug_conf_sheet!$A:$H,3,FALSE))</f>
        <v>1</v>
      </c>
      <c r="P3" s="31">
        <f>IFERROR(VLOOKUP($E3,bug_conf_sheet!$A:$H,4,FALSE),VLOOKUP("other",bug_conf_sheet!$A:$H,4,FALSE))</f>
        <v>0</v>
      </c>
      <c r="Q3" s="31">
        <f>IFERROR(VLOOKUP($E3,bug_conf_sheet!$A:$H,5,FALSE),VLOOKUP("other",bug_conf_sheet!$A:$H,5,FALSE))</f>
        <v>0</v>
      </c>
      <c r="R3" s="31">
        <f>IFERROR(VLOOKUP($E3,bug_conf_sheet!$A:$H,6,FALSE),VLOOKUP("other",bug_conf_sheet!$A:$H,6,FALSE))</f>
        <v>0</v>
      </c>
      <c r="S3" s="31">
        <f>IFERROR(VLOOKUP($E3,bug_conf_sheet!$A:$H,7,FALSE),VLOOKUP("other",bug_conf_sheet!$A:$H,7,FALSE))</f>
        <v>0</v>
      </c>
      <c r="T3" s="31">
        <f>IFERROR(VLOOKUP($E3,bug_conf_sheet!$A:$H,8,FALSE),VLOOKUP("other",bug_conf_sheet!$A:$H,8,FALSE))</f>
        <v>1</v>
      </c>
    </row>
    <row r="4" spans="1:20" ht="21" customHeight="1">
      <c r="A4" s="2" t="str">
        <f ca="1">input_313010!A$2</f>
        <v>313010</v>
      </c>
      <c r="B4" s="7" t="str">
        <f t="shared" si="0"/>
        <v>Premium3</v>
      </c>
      <c r="C4" s="7" t="str">
        <f t="shared" si="1"/>
        <v>Premium</v>
      </c>
      <c r="D4" s="7" t="str">
        <f t="shared" si="2"/>
        <v>bg</v>
      </c>
      <c r="E4" s="6">
        <v>128</v>
      </c>
      <c r="F4" s="7" t="str">
        <f>VLOOKUP(E4,[1]characters!$A:$C,3,FALSE)</f>
        <v>野生児 アマラ</v>
      </c>
      <c r="G4" s="7" t="str">
        <f>VLOOKUP(E4,[1]characters!$A:$J,10,FALSE)</f>
        <v>PremiumW</v>
      </c>
      <c r="H4" s="7">
        <f>VLOOKUP(E4,[1]characters!$A:$I,9,FALSE)</f>
        <v>3</v>
      </c>
      <c r="I4" s="7" t="str">
        <f>VLOOKUP(E4,[1]characters!$A:$H,8,FALSE)</f>
        <v>green</v>
      </c>
      <c r="J4" s="7" t="str">
        <f>VLOOKUP(E4,[1]characters!$A:$K,11,FALSE)</f>
        <v>attack</v>
      </c>
      <c r="K4" s="7" t="str">
        <f>VLOOKUP(E4,[1]characters!$A:$M,13,FALSE)</f>
        <v>human</v>
      </c>
      <c r="L4" s="7" t="str">
        <f>VLOOKUP(E4,[1]characters!$A:$G,7,FALSE)</f>
        <v>女性</v>
      </c>
      <c r="M4" s="62">
        <f ca="1">IFERROR(VLOOKUP(E4,input_313010!L:R,7,FALSE),VLOOKUP(tables_313010!B4,input_313010!A:H,8,FALSE))</f>
        <v>189000</v>
      </c>
      <c r="N4" s="63">
        <f ca="1">M4/SUM(M:M)</f>
        <v>6.7567567567567571E-3</v>
      </c>
      <c r="O4" s="31">
        <f>IFERROR(VLOOKUP($E4,bug_conf_sheet!$A:$H,3,FALSE),VLOOKUP("other",bug_conf_sheet!$A:$H,3,FALSE))</f>
        <v>1</v>
      </c>
      <c r="P4" s="31">
        <f>IFERROR(VLOOKUP($E4,bug_conf_sheet!$A:$H,4,FALSE),VLOOKUP("other",bug_conf_sheet!$A:$H,4,FALSE))</f>
        <v>0</v>
      </c>
      <c r="Q4" s="31">
        <f>IFERROR(VLOOKUP($E4,bug_conf_sheet!$A:$H,5,FALSE),VLOOKUP("other",bug_conf_sheet!$A:$H,5,FALSE))</f>
        <v>0</v>
      </c>
      <c r="R4" s="31">
        <f>IFERROR(VLOOKUP($E4,bug_conf_sheet!$A:$H,6,FALSE),VLOOKUP("other",bug_conf_sheet!$A:$H,6,FALSE))</f>
        <v>0</v>
      </c>
      <c r="S4" s="31">
        <f>IFERROR(VLOOKUP($E4,bug_conf_sheet!$A:$H,7,FALSE),VLOOKUP("other",bug_conf_sheet!$A:$H,7,FALSE))</f>
        <v>0</v>
      </c>
      <c r="T4" s="31">
        <f>IFERROR(VLOOKUP($E4,bug_conf_sheet!$A:$H,8,FALSE),VLOOKUP("other",bug_conf_sheet!$A:$H,8,FALSE))</f>
        <v>1</v>
      </c>
    </row>
    <row r="5" spans="1:20" ht="21" customHeight="1">
      <c r="A5" s="2" t="str">
        <f ca="1">input_313010!A$2</f>
        <v>313010</v>
      </c>
      <c r="B5" s="7" t="str">
        <f t="shared" si="0"/>
        <v>Premium4</v>
      </c>
      <c r="C5" s="7" t="str">
        <f t="shared" si="1"/>
        <v>Premium</v>
      </c>
      <c r="D5" s="7" t="str">
        <f t="shared" si="2"/>
        <v>bg</v>
      </c>
      <c r="E5" s="6">
        <v>129</v>
      </c>
      <c r="F5" s="7" t="str">
        <f>VLOOKUP(E5,[1]characters!$A:$C,3,FALSE)</f>
        <v>孤高の狼憑き アマラ</v>
      </c>
      <c r="G5" s="7" t="str">
        <f>VLOOKUP(E5,[1]characters!$A:$J,10,FALSE)</f>
        <v>PremiumW</v>
      </c>
      <c r="H5" s="7">
        <f>VLOOKUP(E5,[1]characters!$A:$I,9,FALSE)</f>
        <v>4</v>
      </c>
      <c r="I5" s="7" t="str">
        <f>VLOOKUP(E5,[1]characters!$A:$H,8,FALSE)</f>
        <v>green</v>
      </c>
      <c r="J5" s="7" t="str">
        <f>VLOOKUP(E5,[1]characters!$A:$K,11,FALSE)</f>
        <v>attack</v>
      </c>
      <c r="K5" s="7" t="str">
        <f>VLOOKUP(E5,[1]characters!$A:$M,13,FALSE)</f>
        <v>human</v>
      </c>
      <c r="L5" s="7" t="str">
        <f>VLOOKUP(E5,[1]characters!$A:$G,7,FALSE)</f>
        <v>女性</v>
      </c>
      <c r="M5" s="62">
        <f ca="1">IFERROR(VLOOKUP(E5,input_313010!L:R,7,FALSE),VLOOKUP(tables_313010!B5,input_313010!A:H,8,FALSE))</f>
        <v>153090</v>
      </c>
      <c r="N5" s="63">
        <f ca="1">M5/SUM(M:M)</f>
        <v>5.4729729729729726E-3</v>
      </c>
      <c r="O5" s="31">
        <f>IFERROR(VLOOKUP($E5,bug_conf_sheet!$A:$H,3,FALSE),VLOOKUP("other",bug_conf_sheet!$A:$H,3,FALSE))</f>
        <v>1</v>
      </c>
      <c r="P5" s="31">
        <f>IFERROR(VLOOKUP($E5,bug_conf_sheet!$A:$H,4,FALSE),VLOOKUP("other",bug_conf_sheet!$A:$H,4,FALSE))</f>
        <v>0</v>
      </c>
      <c r="Q5" s="31">
        <f>IFERROR(VLOOKUP($E5,bug_conf_sheet!$A:$H,5,FALSE),VLOOKUP("other",bug_conf_sheet!$A:$H,5,FALSE))</f>
        <v>0</v>
      </c>
      <c r="R5" s="31">
        <f>IFERROR(VLOOKUP($E5,bug_conf_sheet!$A:$H,6,FALSE),VLOOKUP("other",bug_conf_sheet!$A:$H,6,FALSE))</f>
        <v>0</v>
      </c>
      <c r="S5" s="31">
        <f>IFERROR(VLOOKUP($E5,bug_conf_sheet!$A:$H,7,FALSE),VLOOKUP("other",bug_conf_sheet!$A:$H,7,FALSE))</f>
        <v>0</v>
      </c>
      <c r="T5" s="31">
        <f>IFERROR(VLOOKUP($E5,bug_conf_sheet!$A:$H,8,FALSE),VLOOKUP("other",bug_conf_sheet!$A:$H,8,FALSE))</f>
        <v>1</v>
      </c>
    </row>
    <row r="6" spans="1:20" ht="21" customHeight="1">
      <c r="A6" s="2" t="str">
        <f ca="1">input_313010!A$2</f>
        <v>313010</v>
      </c>
      <c r="B6" s="7" t="str">
        <f t="shared" si="0"/>
        <v>Premium3</v>
      </c>
      <c r="C6" s="7" t="str">
        <f t="shared" si="1"/>
        <v>Premium</v>
      </c>
      <c r="D6" s="7" t="str">
        <f t="shared" si="2"/>
        <v>bg</v>
      </c>
      <c r="E6" s="6">
        <v>130</v>
      </c>
      <c r="F6" s="7" t="str">
        <f>VLOOKUP(E6,[1]characters!$A:$C,3,FALSE)</f>
        <v>狼男 ローレンス</v>
      </c>
      <c r="G6" s="7" t="str">
        <f>VLOOKUP(E6,[1]characters!$A:$J,10,FALSE)</f>
        <v>PremiumW</v>
      </c>
      <c r="H6" s="7">
        <f>VLOOKUP(E6,[1]characters!$A:$I,9,FALSE)</f>
        <v>3</v>
      </c>
      <c r="I6" s="7" t="str">
        <f>VLOOKUP(E6,[1]characters!$A:$H,8,FALSE)</f>
        <v>blue</v>
      </c>
      <c r="J6" s="7" t="str">
        <f>VLOOKUP(E6,[1]characters!$A:$K,11,FALSE)</f>
        <v>attack</v>
      </c>
      <c r="K6" s="7" t="str">
        <f>VLOOKUP(E6,[1]characters!$A:$M,13,FALSE)</f>
        <v>animal</v>
      </c>
      <c r="L6" s="7" t="str">
        <f>VLOOKUP(E6,[1]characters!$A:$G,7,FALSE)</f>
        <v>不明</v>
      </c>
      <c r="M6" s="62">
        <f ca="1">IFERROR(VLOOKUP(E6,input_313010!L:R,7,FALSE),VLOOKUP(tables_313010!B6,input_313010!A:H,8,FALSE))</f>
        <v>189000</v>
      </c>
      <c r="N6" s="63">
        <f ca="1">M6/SUM(M:M)</f>
        <v>6.7567567567567571E-3</v>
      </c>
      <c r="O6" s="31">
        <f>IFERROR(VLOOKUP($E6,bug_conf_sheet!$A:$H,3,FALSE),VLOOKUP("other",bug_conf_sheet!$A:$H,3,FALSE))</f>
        <v>1</v>
      </c>
      <c r="P6" s="31">
        <f>IFERROR(VLOOKUP($E6,bug_conf_sheet!$A:$H,4,FALSE),VLOOKUP("other",bug_conf_sheet!$A:$H,4,FALSE))</f>
        <v>0</v>
      </c>
      <c r="Q6" s="31">
        <f>IFERROR(VLOOKUP($E6,bug_conf_sheet!$A:$H,5,FALSE),VLOOKUP("other",bug_conf_sheet!$A:$H,5,FALSE))</f>
        <v>0</v>
      </c>
      <c r="R6" s="31">
        <f>IFERROR(VLOOKUP($E6,bug_conf_sheet!$A:$H,6,FALSE),VLOOKUP("other",bug_conf_sheet!$A:$H,6,FALSE))</f>
        <v>0</v>
      </c>
      <c r="S6" s="31">
        <f>IFERROR(VLOOKUP($E6,bug_conf_sheet!$A:$H,7,FALSE),VLOOKUP("other",bug_conf_sheet!$A:$H,7,FALSE))</f>
        <v>0</v>
      </c>
      <c r="T6" s="31">
        <f>IFERROR(VLOOKUP($E6,bug_conf_sheet!$A:$H,8,FALSE),VLOOKUP("other",bug_conf_sheet!$A:$H,8,FALSE))</f>
        <v>1</v>
      </c>
    </row>
    <row r="7" spans="1:20" ht="21" customHeight="1">
      <c r="A7" s="2" t="str">
        <f ca="1">input_313010!A$2</f>
        <v>313010</v>
      </c>
      <c r="B7" s="7" t="str">
        <f t="shared" si="0"/>
        <v>Premium4</v>
      </c>
      <c r="C7" s="7" t="str">
        <f t="shared" si="1"/>
        <v>Premium</v>
      </c>
      <c r="D7" s="7" t="str">
        <f t="shared" si="2"/>
        <v>bg</v>
      </c>
      <c r="E7" s="6">
        <v>131</v>
      </c>
      <c r="F7" s="7" t="str">
        <f>VLOOKUP(E7,[1]characters!$A:$C,3,FALSE)</f>
        <v>月下の人狼 ローレンス</v>
      </c>
      <c r="G7" s="7" t="str">
        <f>VLOOKUP(E7,[1]characters!$A:$J,10,FALSE)</f>
        <v>PremiumW</v>
      </c>
      <c r="H7" s="7">
        <f>VLOOKUP(E7,[1]characters!$A:$I,9,FALSE)</f>
        <v>4</v>
      </c>
      <c r="I7" s="7" t="str">
        <f>VLOOKUP(E7,[1]characters!$A:$H,8,FALSE)</f>
        <v>blue</v>
      </c>
      <c r="J7" s="7" t="str">
        <f>VLOOKUP(E7,[1]characters!$A:$K,11,FALSE)</f>
        <v>attack</v>
      </c>
      <c r="K7" s="7" t="str">
        <f>VLOOKUP(E7,[1]characters!$A:$M,13,FALSE)</f>
        <v>animal</v>
      </c>
      <c r="L7" s="7" t="str">
        <f>VLOOKUP(E7,[1]characters!$A:$G,7,FALSE)</f>
        <v>不明</v>
      </c>
      <c r="M7" s="62">
        <f ca="1">IFERROR(VLOOKUP(E7,input_313010!L:R,7,FALSE),VLOOKUP(tables_313010!B7,input_313010!A:H,8,FALSE))</f>
        <v>153090</v>
      </c>
      <c r="N7" s="63">
        <f ca="1">M7/SUM(M:M)</f>
        <v>5.4729729729729726E-3</v>
      </c>
      <c r="O7" s="31">
        <f>IFERROR(VLOOKUP($E7,bug_conf_sheet!$A:$H,3,FALSE),VLOOKUP("other",bug_conf_sheet!$A:$H,3,FALSE))</f>
        <v>1</v>
      </c>
      <c r="P7" s="31">
        <f>IFERROR(VLOOKUP($E7,bug_conf_sheet!$A:$H,4,FALSE),VLOOKUP("other",bug_conf_sheet!$A:$H,4,FALSE))</f>
        <v>0</v>
      </c>
      <c r="Q7" s="31">
        <f>IFERROR(VLOOKUP($E7,bug_conf_sheet!$A:$H,5,FALSE),VLOOKUP("other",bug_conf_sheet!$A:$H,5,FALSE))</f>
        <v>0</v>
      </c>
      <c r="R7" s="31">
        <f>IFERROR(VLOOKUP($E7,bug_conf_sheet!$A:$H,6,FALSE),VLOOKUP("other",bug_conf_sheet!$A:$H,6,FALSE))</f>
        <v>0</v>
      </c>
      <c r="S7" s="31">
        <f>IFERROR(VLOOKUP($E7,bug_conf_sheet!$A:$H,7,FALSE),VLOOKUP("other",bug_conf_sheet!$A:$H,7,FALSE))</f>
        <v>0</v>
      </c>
      <c r="T7" s="31">
        <f>IFERROR(VLOOKUP($E7,bug_conf_sheet!$A:$H,8,FALSE),VLOOKUP("other",bug_conf_sheet!$A:$H,8,FALSE))</f>
        <v>1</v>
      </c>
    </row>
    <row r="8" spans="1:20" ht="21" customHeight="1">
      <c r="A8" s="2" t="str">
        <f ca="1">input_313010!A$2</f>
        <v>313010</v>
      </c>
      <c r="B8" s="7" t="str">
        <f t="shared" si="0"/>
        <v>Premium3</v>
      </c>
      <c r="C8" s="7" t="str">
        <f t="shared" si="1"/>
        <v>Premium</v>
      </c>
      <c r="D8" s="7" t="str">
        <f t="shared" si="2"/>
        <v>ry</v>
      </c>
      <c r="E8" s="6">
        <v>132</v>
      </c>
      <c r="F8" s="7" t="str">
        <f>VLOOKUP(E8,[1]characters!$A:$C,3,FALSE)</f>
        <v>鳥人ハヤト</v>
      </c>
      <c r="G8" s="7" t="str">
        <f>VLOOKUP(E8,[1]characters!$A:$J,10,FALSE)</f>
        <v>PremiumW</v>
      </c>
      <c r="H8" s="7">
        <f>VLOOKUP(E8,[1]characters!$A:$I,9,FALSE)</f>
        <v>3</v>
      </c>
      <c r="I8" s="7" t="str">
        <f>VLOOKUP(E8,[1]characters!$A:$H,8,FALSE)</f>
        <v>yellow</v>
      </c>
      <c r="J8" s="7" t="str">
        <f>VLOOKUP(E8,[1]characters!$A:$K,11,FALSE)</f>
        <v>attack</v>
      </c>
      <c r="K8" s="7" t="str">
        <f>VLOOKUP(E8,[1]characters!$A:$M,13,FALSE)</f>
        <v>human</v>
      </c>
      <c r="L8" s="7" t="str">
        <f>VLOOKUP(E8,[1]characters!$A:$G,7,FALSE)</f>
        <v>男性</v>
      </c>
      <c r="M8" s="62">
        <f ca="1">IFERROR(VLOOKUP(E8,input_313010!L:R,7,FALSE),VLOOKUP(tables_313010!B8,input_313010!A:H,8,FALSE))</f>
        <v>189000</v>
      </c>
      <c r="N8" s="63">
        <f ca="1">M8/SUM(M:M)</f>
        <v>6.7567567567567571E-3</v>
      </c>
      <c r="O8" s="31">
        <f>IFERROR(VLOOKUP($E8,bug_conf_sheet!$A:$H,3,FALSE),VLOOKUP("other",bug_conf_sheet!$A:$H,3,FALSE))</f>
        <v>1</v>
      </c>
      <c r="P8" s="31">
        <f>IFERROR(VLOOKUP($E8,bug_conf_sheet!$A:$H,4,FALSE),VLOOKUP("other",bug_conf_sheet!$A:$H,4,FALSE))</f>
        <v>0</v>
      </c>
      <c r="Q8" s="31">
        <f>IFERROR(VLOOKUP($E8,bug_conf_sheet!$A:$H,5,FALSE),VLOOKUP("other",bug_conf_sheet!$A:$H,5,FALSE))</f>
        <v>0</v>
      </c>
      <c r="R8" s="31">
        <f>IFERROR(VLOOKUP($E8,bug_conf_sheet!$A:$H,6,FALSE),VLOOKUP("other",bug_conf_sheet!$A:$H,6,FALSE))</f>
        <v>0</v>
      </c>
      <c r="S8" s="31">
        <f>IFERROR(VLOOKUP($E8,bug_conf_sheet!$A:$H,7,FALSE),VLOOKUP("other",bug_conf_sheet!$A:$H,7,FALSE))</f>
        <v>0</v>
      </c>
      <c r="T8" s="31">
        <f>IFERROR(VLOOKUP($E8,bug_conf_sheet!$A:$H,8,FALSE),VLOOKUP("other",bug_conf_sheet!$A:$H,8,FALSE))</f>
        <v>1</v>
      </c>
    </row>
    <row r="9" spans="1:20" ht="21" customHeight="1">
      <c r="A9" s="2" t="str">
        <f ca="1">input_313010!A$2</f>
        <v>313010</v>
      </c>
      <c r="B9" s="7" t="str">
        <f t="shared" si="0"/>
        <v>Premium4</v>
      </c>
      <c r="C9" s="7" t="str">
        <f t="shared" si="1"/>
        <v>Premium</v>
      </c>
      <c r="D9" s="7" t="str">
        <f t="shared" si="2"/>
        <v>ry</v>
      </c>
      <c r="E9" s="6">
        <v>133</v>
      </c>
      <c r="F9" s="7" t="str">
        <f>VLOOKUP(E9,[1]characters!$A:$C,3,FALSE)</f>
        <v>迅雷の刀剣 ハヤト</v>
      </c>
      <c r="G9" s="7" t="str">
        <f>VLOOKUP(E9,[1]characters!$A:$J,10,FALSE)</f>
        <v>PremiumW</v>
      </c>
      <c r="H9" s="7">
        <f>VLOOKUP(E9,[1]characters!$A:$I,9,FALSE)</f>
        <v>4</v>
      </c>
      <c r="I9" s="7" t="str">
        <f>VLOOKUP(E9,[1]characters!$A:$H,8,FALSE)</f>
        <v>yellow</v>
      </c>
      <c r="J9" s="7" t="str">
        <f>VLOOKUP(E9,[1]characters!$A:$K,11,FALSE)</f>
        <v>attack</v>
      </c>
      <c r="K9" s="7" t="str">
        <f>VLOOKUP(E9,[1]characters!$A:$M,13,FALSE)</f>
        <v>human</v>
      </c>
      <c r="L9" s="7" t="str">
        <f>VLOOKUP(E9,[1]characters!$A:$G,7,FALSE)</f>
        <v>男性</v>
      </c>
      <c r="M9" s="62">
        <f ca="1">IFERROR(VLOOKUP(E9,input_313010!L:R,7,FALSE),VLOOKUP(tables_313010!B9,input_313010!A:H,8,FALSE))</f>
        <v>153090</v>
      </c>
      <c r="N9" s="63">
        <f ca="1">M9/SUM(M:M)</f>
        <v>5.4729729729729726E-3</v>
      </c>
      <c r="O9" s="31">
        <f>IFERROR(VLOOKUP($E9,bug_conf_sheet!$A:$H,3,FALSE),VLOOKUP("other",bug_conf_sheet!$A:$H,3,FALSE))</f>
        <v>1</v>
      </c>
      <c r="P9" s="31">
        <f>IFERROR(VLOOKUP($E9,bug_conf_sheet!$A:$H,4,FALSE),VLOOKUP("other",bug_conf_sheet!$A:$H,4,FALSE))</f>
        <v>0</v>
      </c>
      <c r="Q9" s="31">
        <f>IFERROR(VLOOKUP($E9,bug_conf_sheet!$A:$H,5,FALSE),VLOOKUP("other",bug_conf_sheet!$A:$H,5,FALSE))</f>
        <v>0</v>
      </c>
      <c r="R9" s="31">
        <f>IFERROR(VLOOKUP($E9,bug_conf_sheet!$A:$H,6,FALSE),VLOOKUP("other",bug_conf_sheet!$A:$H,6,FALSE))</f>
        <v>0</v>
      </c>
      <c r="S9" s="31">
        <f>IFERROR(VLOOKUP($E9,bug_conf_sheet!$A:$H,7,FALSE),VLOOKUP("other",bug_conf_sheet!$A:$H,7,FALSE))</f>
        <v>0</v>
      </c>
      <c r="T9" s="31">
        <f>IFERROR(VLOOKUP($E9,bug_conf_sheet!$A:$H,8,FALSE),VLOOKUP("other",bug_conf_sheet!$A:$H,8,FALSE))</f>
        <v>1</v>
      </c>
    </row>
    <row r="10" spans="1:20" ht="21" customHeight="1">
      <c r="A10" s="2" t="str">
        <f ca="1">input_313010!A$2</f>
        <v>313010</v>
      </c>
      <c r="B10" s="7" t="str">
        <f t="shared" si="0"/>
        <v>Premium3</v>
      </c>
      <c r="C10" s="7" t="str">
        <f t="shared" si="1"/>
        <v>Premium</v>
      </c>
      <c r="D10" s="7" t="str">
        <f t="shared" si="2"/>
        <v>ry</v>
      </c>
      <c r="E10" s="6">
        <v>134</v>
      </c>
      <c r="F10" s="7" t="str">
        <f>VLOOKUP(E10,[1]characters!$A:$C,3,FALSE)</f>
        <v>妖炎の夕霧</v>
      </c>
      <c r="G10" s="7" t="str">
        <f>VLOOKUP(E10,[1]characters!$A:$J,10,FALSE)</f>
        <v>PremiumW</v>
      </c>
      <c r="H10" s="7">
        <f>VLOOKUP(E10,[1]characters!$A:$I,9,FALSE)</f>
        <v>3</v>
      </c>
      <c r="I10" s="7" t="str">
        <f>VLOOKUP(E10,[1]characters!$A:$H,8,FALSE)</f>
        <v>red</v>
      </c>
      <c r="J10" s="7" t="str">
        <f>VLOOKUP(E10,[1]characters!$A:$K,11,FALSE)</f>
        <v>balance</v>
      </c>
      <c r="K10" s="7" t="str">
        <f>VLOOKUP(E10,[1]characters!$A:$M,13,FALSE)</f>
        <v>human</v>
      </c>
      <c r="L10" s="7" t="str">
        <f>VLOOKUP(E10,[1]characters!$A:$G,7,FALSE)</f>
        <v>女性</v>
      </c>
      <c r="M10" s="62">
        <f ca="1">IFERROR(VLOOKUP(E10,input_313010!L:R,7,FALSE),VLOOKUP(tables_313010!B10,input_313010!A:H,8,FALSE))</f>
        <v>189000</v>
      </c>
      <c r="N10" s="63">
        <f ca="1">M10/SUM(M:M)</f>
        <v>6.7567567567567571E-3</v>
      </c>
      <c r="O10" s="31">
        <f>IFERROR(VLOOKUP($E10,bug_conf_sheet!$A:$H,3,FALSE),VLOOKUP("other",bug_conf_sheet!$A:$H,3,FALSE))</f>
        <v>1</v>
      </c>
      <c r="P10" s="31">
        <f>IFERROR(VLOOKUP($E10,bug_conf_sheet!$A:$H,4,FALSE),VLOOKUP("other",bug_conf_sheet!$A:$H,4,FALSE))</f>
        <v>0</v>
      </c>
      <c r="Q10" s="31">
        <f>IFERROR(VLOOKUP($E10,bug_conf_sheet!$A:$H,5,FALSE),VLOOKUP("other",bug_conf_sheet!$A:$H,5,FALSE))</f>
        <v>0</v>
      </c>
      <c r="R10" s="31">
        <f>IFERROR(VLOOKUP($E10,bug_conf_sheet!$A:$H,6,FALSE),VLOOKUP("other",bug_conf_sheet!$A:$H,6,FALSE))</f>
        <v>0</v>
      </c>
      <c r="S10" s="31">
        <f>IFERROR(VLOOKUP($E10,bug_conf_sheet!$A:$H,7,FALSE),VLOOKUP("other",bug_conf_sheet!$A:$H,7,FALSE))</f>
        <v>0</v>
      </c>
      <c r="T10" s="31">
        <f>IFERROR(VLOOKUP($E10,bug_conf_sheet!$A:$H,8,FALSE),VLOOKUP("other",bug_conf_sheet!$A:$H,8,FALSE))</f>
        <v>1</v>
      </c>
    </row>
    <row r="11" spans="1:20" ht="21" customHeight="1">
      <c r="A11" s="2" t="str">
        <f ca="1">input_313010!A$2</f>
        <v>313010</v>
      </c>
      <c r="B11" s="7" t="str">
        <f t="shared" si="0"/>
        <v>Premium4</v>
      </c>
      <c r="C11" s="7" t="str">
        <f t="shared" si="1"/>
        <v>Premium</v>
      </c>
      <c r="D11" s="7" t="str">
        <f t="shared" si="2"/>
        <v>ry</v>
      </c>
      <c r="E11" s="6">
        <v>135</v>
      </c>
      <c r="F11" s="7" t="str">
        <f>VLOOKUP(E11,[1]characters!$A:$C,3,FALSE)</f>
        <v>京の炎華夕霧</v>
      </c>
      <c r="G11" s="7" t="str">
        <f>VLOOKUP(E11,[1]characters!$A:$J,10,FALSE)</f>
        <v>PremiumW</v>
      </c>
      <c r="H11" s="7">
        <f>VLOOKUP(E11,[1]characters!$A:$I,9,FALSE)</f>
        <v>4</v>
      </c>
      <c r="I11" s="7" t="str">
        <f>VLOOKUP(E11,[1]characters!$A:$H,8,FALSE)</f>
        <v>red</v>
      </c>
      <c r="J11" s="7" t="str">
        <f>VLOOKUP(E11,[1]characters!$A:$K,11,FALSE)</f>
        <v>balance</v>
      </c>
      <c r="K11" s="7" t="str">
        <f>VLOOKUP(E11,[1]characters!$A:$M,13,FALSE)</f>
        <v>human</v>
      </c>
      <c r="L11" s="7" t="str">
        <f>VLOOKUP(E11,[1]characters!$A:$G,7,FALSE)</f>
        <v>女性</v>
      </c>
      <c r="M11" s="62">
        <f ca="1">IFERROR(VLOOKUP(E11,input_313010!L:R,7,FALSE),VLOOKUP(tables_313010!B11,input_313010!A:H,8,FALSE))</f>
        <v>153090</v>
      </c>
      <c r="N11" s="63">
        <f ca="1">M11/SUM(M:M)</f>
        <v>5.4729729729729726E-3</v>
      </c>
      <c r="O11" s="31">
        <f>IFERROR(VLOOKUP($E11,bug_conf_sheet!$A:$H,3,FALSE),VLOOKUP("other",bug_conf_sheet!$A:$H,3,FALSE))</f>
        <v>1</v>
      </c>
      <c r="P11" s="31">
        <f>IFERROR(VLOOKUP($E11,bug_conf_sheet!$A:$H,4,FALSE),VLOOKUP("other",bug_conf_sheet!$A:$H,4,FALSE))</f>
        <v>0</v>
      </c>
      <c r="Q11" s="31">
        <f>IFERROR(VLOOKUP($E11,bug_conf_sheet!$A:$H,5,FALSE),VLOOKUP("other",bug_conf_sheet!$A:$H,5,FALSE))</f>
        <v>0</v>
      </c>
      <c r="R11" s="31">
        <f>IFERROR(VLOOKUP($E11,bug_conf_sheet!$A:$H,6,FALSE),VLOOKUP("other",bug_conf_sheet!$A:$H,6,FALSE))</f>
        <v>0</v>
      </c>
      <c r="S11" s="31">
        <f>IFERROR(VLOOKUP($E11,bug_conf_sheet!$A:$H,7,FALSE),VLOOKUP("other",bug_conf_sheet!$A:$H,7,FALSE))</f>
        <v>0</v>
      </c>
      <c r="T11" s="31">
        <f>IFERROR(VLOOKUP($E11,bug_conf_sheet!$A:$H,8,FALSE),VLOOKUP("other",bug_conf_sheet!$A:$H,8,FALSE))</f>
        <v>1</v>
      </c>
    </row>
    <row r="12" spans="1:20" ht="21" customHeight="1">
      <c r="A12" s="2" t="str">
        <f ca="1">input_313010!A$2</f>
        <v>313010</v>
      </c>
      <c r="B12" s="7" t="str">
        <f t="shared" si="0"/>
        <v>Premium3</v>
      </c>
      <c r="C12" s="7" t="str">
        <f t="shared" si="1"/>
        <v>Premium</v>
      </c>
      <c r="D12" s="7" t="str">
        <f t="shared" si="2"/>
        <v>bg</v>
      </c>
      <c r="E12" s="8">
        <v>136</v>
      </c>
      <c r="F12" s="7" t="str">
        <f>VLOOKUP(E12,[1]characters!$A:$C,3,FALSE)</f>
        <v>お針子チハヤ</v>
      </c>
      <c r="G12" s="7" t="str">
        <f>VLOOKUP(E12,[1]characters!$A:$J,10,FALSE)</f>
        <v>PremiumW</v>
      </c>
      <c r="H12" s="7">
        <f>VLOOKUP(E12,[1]characters!$A:$I,9,FALSE)</f>
        <v>3</v>
      </c>
      <c r="I12" s="7" t="str">
        <f>VLOOKUP(E12,[1]characters!$A:$H,8,FALSE)</f>
        <v>green</v>
      </c>
      <c r="J12" s="7" t="str">
        <f>VLOOKUP(E12,[1]characters!$A:$K,11,FALSE)</f>
        <v>balance</v>
      </c>
      <c r="K12" s="7" t="str">
        <f>VLOOKUP(E12,[1]characters!$A:$M,13,FALSE)</f>
        <v>human</v>
      </c>
      <c r="L12" s="7" t="str">
        <f>VLOOKUP(E12,[1]characters!$A:$G,7,FALSE)</f>
        <v>女性</v>
      </c>
      <c r="M12" s="62">
        <f ca="1">IFERROR(VLOOKUP(E12,input_313010!L:R,7,FALSE),VLOOKUP(tables_313010!B12,input_313010!A:H,8,FALSE))</f>
        <v>189000</v>
      </c>
      <c r="N12" s="63">
        <f ca="1">M12/SUM(M:M)</f>
        <v>6.7567567567567571E-3</v>
      </c>
      <c r="O12" s="31">
        <f>IFERROR(VLOOKUP($E12,bug_conf_sheet!$A:$H,3,FALSE),VLOOKUP("other",bug_conf_sheet!$A:$H,3,FALSE))</f>
        <v>1</v>
      </c>
      <c r="P12" s="31">
        <f>IFERROR(VLOOKUP($E12,bug_conf_sheet!$A:$H,4,FALSE),VLOOKUP("other",bug_conf_sheet!$A:$H,4,FALSE))</f>
        <v>0</v>
      </c>
      <c r="Q12" s="31">
        <f>IFERROR(VLOOKUP($E12,bug_conf_sheet!$A:$H,5,FALSE),VLOOKUP("other",bug_conf_sheet!$A:$H,5,FALSE))</f>
        <v>0</v>
      </c>
      <c r="R12" s="31">
        <f>IFERROR(VLOOKUP($E12,bug_conf_sheet!$A:$H,6,FALSE),VLOOKUP("other",bug_conf_sheet!$A:$H,6,FALSE))</f>
        <v>0</v>
      </c>
      <c r="S12" s="31">
        <f>IFERROR(VLOOKUP($E12,bug_conf_sheet!$A:$H,7,FALSE),VLOOKUP("other",bug_conf_sheet!$A:$H,7,FALSE))</f>
        <v>0</v>
      </c>
      <c r="T12" s="31">
        <f>IFERROR(VLOOKUP($E12,bug_conf_sheet!$A:$H,8,FALSE),VLOOKUP("other",bug_conf_sheet!$A:$H,8,FALSE))</f>
        <v>1</v>
      </c>
    </row>
    <row r="13" spans="1:20" ht="21" customHeight="1">
      <c r="A13" s="2" t="str">
        <f ca="1">input_313010!A$2</f>
        <v>313010</v>
      </c>
      <c r="B13" s="7" t="str">
        <f t="shared" si="0"/>
        <v>Premium4</v>
      </c>
      <c r="C13" s="7" t="str">
        <f t="shared" si="1"/>
        <v>Premium</v>
      </c>
      <c r="D13" s="7" t="str">
        <f t="shared" si="2"/>
        <v>bg</v>
      </c>
      <c r="E13" s="8">
        <v>137</v>
      </c>
      <c r="F13" s="7" t="str">
        <f>VLOOKUP(E13,[1]characters!$A:$C,3,FALSE)</f>
        <v>清福の仕立屋 チハヤ</v>
      </c>
      <c r="G13" s="7" t="str">
        <f>VLOOKUP(E13,[1]characters!$A:$J,10,FALSE)</f>
        <v>PremiumW</v>
      </c>
      <c r="H13" s="7">
        <f>VLOOKUP(E13,[1]characters!$A:$I,9,FALSE)</f>
        <v>4</v>
      </c>
      <c r="I13" s="7" t="str">
        <f>VLOOKUP(E13,[1]characters!$A:$H,8,FALSE)</f>
        <v>green</v>
      </c>
      <c r="J13" s="7" t="str">
        <f>VLOOKUP(E13,[1]characters!$A:$K,11,FALSE)</f>
        <v>balance</v>
      </c>
      <c r="K13" s="7" t="str">
        <f>VLOOKUP(E13,[1]characters!$A:$M,13,FALSE)</f>
        <v>human</v>
      </c>
      <c r="L13" s="7" t="str">
        <f>VLOOKUP(E13,[1]characters!$A:$G,7,FALSE)</f>
        <v>女性</v>
      </c>
      <c r="M13" s="62">
        <f ca="1">IFERROR(VLOOKUP(E13,input_313010!L:R,7,FALSE),VLOOKUP(tables_313010!B13,input_313010!A:H,8,FALSE))</f>
        <v>153090</v>
      </c>
      <c r="N13" s="63">
        <f ca="1">M13/SUM(M:M)</f>
        <v>5.4729729729729726E-3</v>
      </c>
      <c r="O13" s="31">
        <f>IFERROR(VLOOKUP($E13,bug_conf_sheet!$A:$H,3,FALSE),VLOOKUP("other",bug_conf_sheet!$A:$H,3,FALSE))</f>
        <v>1</v>
      </c>
      <c r="P13" s="31">
        <f>IFERROR(VLOOKUP($E13,bug_conf_sheet!$A:$H,4,FALSE),VLOOKUP("other",bug_conf_sheet!$A:$H,4,FALSE))</f>
        <v>0</v>
      </c>
      <c r="Q13" s="31">
        <f>IFERROR(VLOOKUP($E13,bug_conf_sheet!$A:$H,5,FALSE),VLOOKUP("other",bug_conf_sheet!$A:$H,5,FALSE))</f>
        <v>0</v>
      </c>
      <c r="R13" s="31">
        <f>IFERROR(VLOOKUP($E13,bug_conf_sheet!$A:$H,6,FALSE),VLOOKUP("other",bug_conf_sheet!$A:$H,6,FALSE))</f>
        <v>0</v>
      </c>
      <c r="S13" s="31">
        <f>IFERROR(VLOOKUP($E13,bug_conf_sheet!$A:$H,7,FALSE),VLOOKUP("other",bug_conf_sheet!$A:$H,7,FALSE))</f>
        <v>0</v>
      </c>
      <c r="T13" s="31">
        <f>IFERROR(VLOOKUP($E13,bug_conf_sheet!$A:$H,8,FALSE),VLOOKUP("other",bug_conf_sheet!$A:$H,8,FALSE))</f>
        <v>1</v>
      </c>
    </row>
    <row r="14" spans="1:20" ht="21" customHeight="1">
      <c r="A14" s="2" t="str">
        <f ca="1">input_313010!A$2</f>
        <v>313010</v>
      </c>
      <c r="B14" s="7" t="str">
        <f t="shared" si="0"/>
        <v>Premium3</v>
      </c>
      <c r="C14" s="7" t="str">
        <f t="shared" si="1"/>
        <v>Premium</v>
      </c>
      <c r="D14" s="7" t="str">
        <f t="shared" si="2"/>
        <v>bg</v>
      </c>
      <c r="E14" s="6">
        <v>138</v>
      </c>
      <c r="F14" s="7" t="str">
        <f>VLOOKUP(E14,[1]characters!$A:$C,3,FALSE)</f>
        <v>蒼薙のトモエ</v>
      </c>
      <c r="G14" s="7" t="str">
        <f>VLOOKUP(E14,[1]characters!$A:$J,10,FALSE)</f>
        <v>PremiumW</v>
      </c>
      <c r="H14" s="7">
        <f>VLOOKUP(E14,[1]characters!$A:$I,9,FALSE)</f>
        <v>3</v>
      </c>
      <c r="I14" s="7" t="str">
        <f>VLOOKUP(E14,[1]characters!$A:$H,8,FALSE)</f>
        <v>blue</v>
      </c>
      <c r="J14" s="7" t="str">
        <f>VLOOKUP(E14,[1]characters!$A:$K,11,FALSE)</f>
        <v>balance</v>
      </c>
      <c r="K14" s="7" t="str">
        <f>VLOOKUP(E14,[1]characters!$A:$M,13,FALSE)</f>
        <v>human</v>
      </c>
      <c r="L14" s="7" t="str">
        <f>VLOOKUP(E14,[1]characters!$A:$G,7,FALSE)</f>
        <v>女性</v>
      </c>
      <c r="M14" s="62">
        <f ca="1">IFERROR(VLOOKUP(E14,input_313010!L:R,7,FALSE),VLOOKUP(tables_313010!B14,input_313010!A:H,8,FALSE))</f>
        <v>189000</v>
      </c>
      <c r="N14" s="63">
        <f ca="1">M14/SUM(M:M)</f>
        <v>6.7567567567567571E-3</v>
      </c>
      <c r="O14" s="31">
        <f>IFERROR(VLOOKUP($E14,bug_conf_sheet!$A:$H,3,FALSE),VLOOKUP("other",bug_conf_sheet!$A:$H,3,FALSE))</f>
        <v>1</v>
      </c>
      <c r="P14" s="31">
        <f>IFERROR(VLOOKUP($E14,bug_conf_sheet!$A:$H,4,FALSE),VLOOKUP("other",bug_conf_sheet!$A:$H,4,FALSE))</f>
        <v>0</v>
      </c>
      <c r="Q14" s="31">
        <f>IFERROR(VLOOKUP($E14,bug_conf_sheet!$A:$H,5,FALSE),VLOOKUP("other",bug_conf_sheet!$A:$H,5,FALSE))</f>
        <v>0</v>
      </c>
      <c r="R14" s="31">
        <f>IFERROR(VLOOKUP($E14,bug_conf_sheet!$A:$H,6,FALSE),VLOOKUP("other",bug_conf_sheet!$A:$H,6,FALSE))</f>
        <v>0</v>
      </c>
      <c r="S14" s="31">
        <f>IFERROR(VLOOKUP($E14,bug_conf_sheet!$A:$H,7,FALSE),VLOOKUP("other",bug_conf_sheet!$A:$H,7,FALSE))</f>
        <v>0</v>
      </c>
      <c r="T14" s="31">
        <f>IFERROR(VLOOKUP($E14,bug_conf_sheet!$A:$H,8,FALSE),VLOOKUP("other",bug_conf_sheet!$A:$H,8,FALSE))</f>
        <v>1</v>
      </c>
    </row>
    <row r="15" spans="1:20" ht="21" customHeight="1">
      <c r="A15" s="2" t="str">
        <f ca="1">input_313010!A$2</f>
        <v>313010</v>
      </c>
      <c r="B15" s="7" t="str">
        <f t="shared" si="0"/>
        <v>Premium4</v>
      </c>
      <c r="C15" s="7" t="str">
        <f t="shared" si="1"/>
        <v>Premium</v>
      </c>
      <c r="D15" s="7" t="str">
        <f t="shared" si="2"/>
        <v>bg</v>
      </c>
      <c r="E15" s="6">
        <v>139</v>
      </c>
      <c r="F15" s="7" t="str">
        <f>VLOOKUP(E15,[1]characters!$A:$C,3,FALSE)</f>
        <v>蒼昇刃姫 トモエ</v>
      </c>
      <c r="G15" s="7" t="str">
        <f>VLOOKUP(E15,[1]characters!$A:$J,10,FALSE)</f>
        <v>PremiumW</v>
      </c>
      <c r="H15" s="7">
        <f>VLOOKUP(E15,[1]characters!$A:$I,9,FALSE)</f>
        <v>4</v>
      </c>
      <c r="I15" s="7" t="str">
        <f>VLOOKUP(E15,[1]characters!$A:$H,8,FALSE)</f>
        <v>blue</v>
      </c>
      <c r="J15" s="7" t="str">
        <f>VLOOKUP(E15,[1]characters!$A:$K,11,FALSE)</f>
        <v>balance</v>
      </c>
      <c r="K15" s="7" t="str">
        <f>VLOOKUP(E15,[1]characters!$A:$M,13,FALSE)</f>
        <v>human</v>
      </c>
      <c r="L15" s="7" t="str">
        <f>VLOOKUP(E15,[1]characters!$A:$G,7,FALSE)</f>
        <v>女性</v>
      </c>
      <c r="M15" s="62">
        <f ca="1">IFERROR(VLOOKUP(E15,input_313010!L:R,7,FALSE),VLOOKUP(tables_313010!B15,input_313010!A:H,8,FALSE))</f>
        <v>153090</v>
      </c>
      <c r="N15" s="63">
        <f ca="1">M15/SUM(M:M)</f>
        <v>5.4729729729729726E-3</v>
      </c>
      <c r="O15" s="31">
        <f>IFERROR(VLOOKUP($E15,bug_conf_sheet!$A:$H,3,FALSE),VLOOKUP("other",bug_conf_sheet!$A:$H,3,FALSE))</f>
        <v>1</v>
      </c>
      <c r="P15" s="31">
        <f>IFERROR(VLOOKUP($E15,bug_conf_sheet!$A:$H,4,FALSE),VLOOKUP("other",bug_conf_sheet!$A:$H,4,FALSE))</f>
        <v>0</v>
      </c>
      <c r="Q15" s="31">
        <f>IFERROR(VLOOKUP($E15,bug_conf_sheet!$A:$H,5,FALSE),VLOOKUP("other",bug_conf_sheet!$A:$H,5,FALSE))</f>
        <v>0</v>
      </c>
      <c r="R15" s="31">
        <f>IFERROR(VLOOKUP($E15,bug_conf_sheet!$A:$H,6,FALSE),VLOOKUP("other",bug_conf_sheet!$A:$H,6,FALSE))</f>
        <v>0</v>
      </c>
      <c r="S15" s="31">
        <f>IFERROR(VLOOKUP($E15,bug_conf_sheet!$A:$H,7,FALSE),VLOOKUP("other",bug_conf_sheet!$A:$H,7,FALSE))</f>
        <v>0</v>
      </c>
      <c r="T15" s="31">
        <f>IFERROR(VLOOKUP($E15,bug_conf_sheet!$A:$H,8,FALSE),VLOOKUP("other",bug_conf_sheet!$A:$H,8,FALSE))</f>
        <v>1</v>
      </c>
    </row>
    <row r="16" spans="1:20" ht="21" customHeight="1">
      <c r="A16" s="2" t="str">
        <f ca="1">input_313010!A$2</f>
        <v>313010</v>
      </c>
      <c r="B16" s="7" t="str">
        <f t="shared" si="0"/>
        <v>Premium3</v>
      </c>
      <c r="C16" s="7" t="str">
        <f t="shared" si="1"/>
        <v>Premium</v>
      </c>
      <c r="D16" s="7" t="str">
        <f t="shared" si="2"/>
        <v>ry</v>
      </c>
      <c r="E16" s="10">
        <v>140</v>
      </c>
      <c r="F16" s="7" t="str">
        <f>VLOOKUP(E16,[1]characters!$A:$C,3,FALSE)</f>
        <v>秋祭のタマモ</v>
      </c>
      <c r="G16" s="7" t="str">
        <f>VLOOKUP(E16,[1]characters!$A:$J,10,FALSE)</f>
        <v>PremiumW</v>
      </c>
      <c r="H16" s="7">
        <f>VLOOKUP(E16,[1]characters!$A:$I,9,FALSE)</f>
        <v>3</v>
      </c>
      <c r="I16" s="7" t="str">
        <f>VLOOKUP(E16,[1]characters!$A:$H,8,FALSE)</f>
        <v>yellow</v>
      </c>
      <c r="J16" s="7" t="str">
        <f>VLOOKUP(E16,[1]characters!$A:$K,11,FALSE)</f>
        <v>balance</v>
      </c>
      <c r="K16" s="7" t="str">
        <f>VLOOKUP(E16,[1]characters!$A:$M,13,FALSE)</f>
        <v>animal</v>
      </c>
      <c r="L16" s="7" t="str">
        <f>VLOOKUP(E16,[1]characters!$A:$G,7,FALSE)</f>
        <v>女性</v>
      </c>
      <c r="M16" s="62">
        <f ca="1">IFERROR(VLOOKUP(E16,input_313010!L:R,7,FALSE),VLOOKUP(tables_313010!B16,input_313010!A:H,8,FALSE))</f>
        <v>189000</v>
      </c>
      <c r="N16" s="63">
        <f ca="1">M16/SUM(M:M)</f>
        <v>6.7567567567567571E-3</v>
      </c>
      <c r="O16" s="31">
        <f>IFERROR(VLOOKUP($E16,bug_conf_sheet!$A:$H,3,FALSE),VLOOKUP("other",bug_conf_sheet!$A:$H,3,FALSE))</f>
        <v>1</v>
      </c>
      <c r="P16" s="31">
        <f>IFERROR(VLOOKUP($E16,bug_conf_sheet!$A:$H,4,FALSE),VLOOKUP("other",bug_conf_sheet!$A:$H,4,FALSE))</f>
        <v>0</v>
      </c>
      <c r="Q16" s="31">
        <f>IFERROR(VLOOKUP($E16,bug_conf_sheet!$A:$H,5,FALSE),VLOOKUP("other",bug_conf_sheet!$A:$H,5,FALSE))</f>
        <v>0</v>
      </c>
      <c r="R16" s="31">
        <f>IFERROR(VLOOKUP($E16,bug_conf_sheet!$A:$H,6,FALSE),VLOOKUP("other",bug_conf_sheet!$A:$H,6,FALSE))</f>
        <v>0</v>
      </c>
      <c r="S16" s="31">
        <f>IFERROR(VLOOKUP($E16,bug_conf_sheet!$A:$H,7,FALSE),VLOOKUP("other",bug_conf_sheet!$A:$H,7,FALSE))</f>
        <v>0</v>
      </c>
      <c r="T16" s="31">
        <f>IFERROR(VLOOKUP($E16,bug_conf_sheet!$A:$H,8,FALSE),VLOOKUP("other",bug_conf_sheet!$A:$H,8,FALSE))</f>
        <v>1</v>
      </c>
    </row>
    <row r="17" spans="1:20" ht="21" customHeight="1">
      <c r="A17" s="2" t="str">
        <f ca="1">input_313010!A$2</f>
        <v>313010</v>
      </c>
      <c r="B17" s="7" t="str">
        <f t="shared" si="0"/>
        <v>Premium4</v>
      </c>
      <c r="C17" s="7" t="str">
        <f t="shared" si="1"/>
        <v>Premium</v>
      </c>
      <c r="D17" s="7" t="str">
        <f t="shared" si="2"/>
        <v>ry</v>
      </c>
      <c r="E17" s="11">
        <v>141</v>
      </c>
      <c r="F17" s="7" t="str">
        <f>VLOOKUP(E17,[1]characters!$A:$C,3,FALSE)</f>
        <v>妖狐演舞 タマモ</v>
      </c>
      <c r="G17" s="7" t="str">
        <f>VLOOKUP(E17,[1]characters!$A:$J,10,FALSE)</f>
        <v>PremiumW</v>
      </c>
      <c r="H17" s="7">
        <f>VLOOKUP(E17,[1]characters!$A:$I,9,FALSE)</f>
        <v>4</v>
      </c>
      <c r="I17" s="7" t="str">
        <f>VLOOKUP(E17,[1]characters!$A:$H,8,FALSE)</f>
        <v>yellow</v>
      </c>
      <c r="J17" s="7" t="str">
        <f>VLOOKUP(E17,[1]characters!$A:$K,11,FALSE)</f>
        <v>balance</v>
      </c>
      <c r="K17" s="7" t="str">
        <f>VLOOKUP(E17,[1]characters!$A:$M,13,FALSE)</f>
        <v>animal</v>
      </c>
      <c r="L17" s="7" t="str">
        <f>VLOOKUP(E17,[1]characters!$A:$G,7,FALSE)</f>
        <v>女性</v>
      </c>
      <c r="M17" s="62">
        <f ca="1">IFERROR(VLOOKUP(E17,input_313010!L:R,7,FALSE),VLOOKUP(tables_313010!B17,input_313010!A:H,8,FALSE))</f>
        <v>153090</v>
      </c>
      <c r="N17" s="63">
        <f ca="1">M17/SUM(M:M)</f>
        <v>5.4729729729729726E-3</v>
      </c>
      <c r="O17" s="31">
        <f>IFERROR(VLOOKUP($E17,bug_conf_sheet!$A:$H,3,FALSE),VLOOKUP("other",bug_conf_sheet!$A:$H,3,FALSE))</f>
        <v>1</v>
      </c>
      <c r="P17" s="31">
        <f>IFERROR(VLOOKUP($E17,bug_conf_sheet!$A:$H,4,FALSE),VLOOKUP("other",bug_conf_sheet!$A:$H,4,FALSE))</f>
        <v>0</v>
      </c>
      <c r="Q17" s="31">
        <f>IFERROR(VLOOKUP($E17,bug_conf_sheet!$A:$H,5,FALSE),VLOOKUP("other",bug_conf_sheet!$A:$H,5,FALSE))</f>
        <v>0</v>
      </c>
      <c r="R17" s="31">
        <f>IFERROR(VLOOKUP($E17,bug_conf_sheet!$A:$H,6,FALSE),VLOOKUP("other",bug_conf_sheet!$A:$H,6,FALSE))</f>
        <v>0</v>
      </c>
      <c r="S17" s="31">
        <f>IFERROR(VLOOKUP($E17,bug_conf_sheet!$A:$H,7,FALSE),VLOOKUP("other",bug_conf_sheet!$A:$H,7,FALSE))</f>
        <v>0</v>
      </c>
      <c r="T17" s="31">
        <f>IFERROR(VLOOKUP($E17,bug_conf_sheet!$A:$H,8,FALSE),VLOOKUP("other",bug_conf_sheet!$A:$H,8,FALSE))</f>
        <v>1</v>
      </c>
    </row>
    <row r="18" spans="1:20" ht="21" customHeight="1">
      <c r="A18" s="2" t="str">
        <f ca="1">input_313010!A$2</f>
        <v>313010</v>
      </c>
      <c r="B18" s="7" t="str">
        <f t="shared" si="0"/>
        <v>Premium3</v>
      </c>
      <c r="C18" s="7" t="str">
        <f t="shared" si="1"/>
        <v>Premium</v>
      </c>
      <c r="D18" s="7" t="str">
        <f t="shared" si="2"/>
        <v>ry</v>
      </c>
      <c r="E18" s="6">
        <v>142</v>
      </c>
      <c r="F18" s="7" t="str">
        <f>VLOOKUP(E18,[1]characters!$A:$C,3,FALSE)</f>
        <v>赤ずきん</v>
      </c>
      <c r="G18" s="7" t="str">
        <f>VLOOKUP(E18,[1]characters!$A:$J,10,FALSE)</f>
        <v>PremiumW</v>
      </c>
      <c r="H18" s="7">
        <f>VLOOKUP(E18,[1]characters!$A:$I,9,FALSE)</f>
        <v>3</v>
      </c>
      <c r="I18" s="7" t="str">
        <f>VLOOKUP(E18,[1]characters!$A:$H,8,FALSE)</f>
        <v>red</v>
      </c>
      <c r="J18" s="7" t="str">
        <f>VLOOKUP(E18,[1]characters!$A:$K,11,FALSE)</f>
        <v>balance</v>
      </c>
      <c r="K18" s="7" t="str">
        <f>VLOOKUP(E18,[1]characters!$A:$M,13,FALSE)</f>
        <v>human</v>
      </c>
      <c r="L18" s="7" t="str">
        <f>VLOOKUP(E18,[1]characters!$A:$G,7,FALSE)</f>
        <v>女性</v>
      </c>
      <c r="M18" s="62">
        <f ca="1">IFERROR(VLOOKUP(E18,input_313010!L:R,7,FALSE),VLOOKUP(tables_313010!B18,input_313010!A:H,8,FALSE))</f>
        <v>189000</v>
      </c>
      <c r="N18" s="63">
        <f ca="1">M18/SUM(M:M)</f>
        <v>6.7567567567567571E-3</v>
      </c>
      <c r="O18" s="31">
        <f>IFERROR(VLOOKUP($E18,bug_conf_sheet!$A:$H,3,FALSE),VLOOKUP("other",bug_conf_sheet!$A:$H,3,FALSE))</f>
        <v>1</v>
      </c>
      <c r="P18" s="31">
        <f>IFERROR(VLOOKUP($E18,bug_conf_sheet!$A:$H,4,FALSE),VLOOKUP("other",bug_conf_sheet!$A:$H,4,FALSE))</f>
        <v>0</v>
      </c>
      <c r="Q18" s="31">
        <f>IFERROR(VLOOKUP($E18,bug_conf_sheet!$A:$H,5,FALSE),VLOOKUP("other",bug_conf_sheet!$A:$H,5,FALSE))</f>
        <v>0</v>
      </c>
      <c r="R18" s="31">
        <f>IFERROR(VLOOKUP($E18,bug_conf_sheet!$A:$H,6,FALSE),VLOOKUP("other",bug_conf_sheet!$A:$H,6,FALSE))</f>
        <v>0</v>
      </c>
      <c r="S18" s="31">
        <f>IFERROR(VLOOKUP($E18,bug_conf_sheet!$A:$H,7,FALSE),VLOOKUP("other",bug_conf_sheet!$A:$H,7,FALSE))</f>
        <v>0</v>
      </c>
      <c r="T18" s="31">
        <f>IFERROR(VLOOKUP($E18,bug_conf_sheet!$A:$H,8,FALSE),VLOOKUP("other",bug_conf_sheet!$A:$H,8,FALSE))</f>
        <v>1</v>
      </c>
    </row>
    <row r="19" spans="1:20" s="12" customFormat="1" ht="21" customHeight="1" thickBot="1">
      <c r="A19" s="2" t="str">
        <f ca="1">input_313010!A$2</f>
        <v>313010</v>
      </c>
      <c r="B19" s="7" t="str">
        <f t="shared" si="0"/>
        <v>Premium4</v>
      </c>
      <c r="C19" s="7" t="str">
        <f t="shared" si="1"/>
        <v>Premium</v>
      </c>
      <c r="D19" s="7" t="str">
        <f t="shared" si="2"/>
        <v>ry</v>
      </c>
      <c r="E19" s="6">
        <v>143</v>
      </c>
      <c r="F19" s="7" t="str">
        <f>VLOOKUP(E19,[1]characters!$A:$C,3,FALSE)</f>
        <v>深紅の死神 赤ずきん</v>
      </c>
      <c r="G19" s="7" t="str">
        <f>VLOOKUP(E19,[1]characters!$A:$J,10,FALSE)</f>
        <v>PremiumW</v>
      </c>
      <c r="H19" s="7">
        <f>VLOOKUP(E19,[1]characters!$A:$I,9,FALSE)</f>
        <v>4</v>
      </c>
      <c r="I19" s="7" t="str">
        <f>VLOOKUP(E19,[1]characters!$A:$H,8,FALSE)</f>
        <v>red</v>
      </c>
      <c r="J19" s="7" t="str">
        <f>VLOOKUP(E19,[1]characters!$A:$K,11,FALSE)</f>
        <v>balance</v>
      </c>
      <c r="K19" s="7" t="str">
        <f>VLOOKUP(E19,[1]characters!$A:$M,13,FALSE)</f>
        <v>human</v>
      </c>
      <c r="L19" s="7" t="str">
        <f>VLOOKUP(E19,[1]characters!$A:$G,7,FALSE)</f>
        <v>女性</v>
      </c>
      <c r="M19" s="62">
        <f ca="1">IFERROR(VLOOKUP(E19,input_313010!L:R,7,FALSE),VLOOKUP(tables_313010!B19,input_313010!A:H,8,FALSE))</f>
        <v>153090</v>
      </c>
      <c r="N19" s="63">
        <f ca="1">M19/SUM(M:M)</f>
        <v>5.4729729729729726E-3</v>
      </c>
      <c r="O19" s="31">
        <f>IFERROR(VLOOKUP($E19,bug_conf_sheet!$A:$H,3,FALSE),VLOOKUP("other",bug_conf_sheet!$A:$H,3,FALSE))</f>
        <v>1</v>
      </c>
      <c r="P19" s="31">
        <f>IFERROR(VLOOKUP($E19,bug_conf_sheet!$A:$H,4,FALSE),VLOOKUP("other",bug_conf_sheet!$A:$H,4,FALSE))</f>
        <v>0</v>
      </c>
      <c r="Q19" s="31">
        <f>IFERROR(VLOOKUP($E19,bug_conf_sheet!$A:$H,5,FALSE),VLOOKUP("other",bug_conf_sheet!$A:$H,5,FALSE))</f>
        <v>0</v>
      </c>
      <c r="R19" s="31">
        <f>IFERROR(VLOOKUP($E19,bug_conf_sheet!$A:$H,6,FALSE),VLOOKUP("other",bug_conf_sheet!$A:$H,6,FALSE))</f>
        <v>0</v>
      </c>
      <c r="S19" s="31">
        <f>IFERROR(VLOOKUP($E19,bug_conf_sheet!$A:$H,7,FALSE),VLOOKUP("other",bug_conf_sheet!$A:$H,7,FALSE))</f>
        <v>0</v>
      </c>
      <c r="T19" s="31">
        <f>IFERROR(VLOOKUP($E19,bug_conf_sheet!$A:$H,8,FALSE),VLOOKUP("other",bug_conf_sheet!$A:$H,8,FALSE))</f>
        <v>1</v>
      </c>
    </row>
    <row r="20" spans="1:20" ht="21" customHeight="1">
      <c r="A20" s="2" t="str">
        <f ca="1">input_313010!A$2</f>
        <v>313010</v>
      </c>
      <c r="B20" s="7" t="str">
        <f t="shared" si="0"/>
        <v>Premium3</v>
      </c>
      <c r="C20" s="7" t="str">
        <f t="shared" si="1"/>
        <v>Premium</v>
      </c>
      <c r="D20" s="7" t="str">
        <f t="shared" si="2"/>
        <v>bg</v>
      </c>
      <c r="E20" s="10">
        <v>144</v>
      </c>
      <c r="F20" s="7" t="str">
        <f>VLOOKUP(E20,[1]characters!$A:$C,3,FALSE)</f>
        <v>かぐや</v>
      </c>
      <c r="G20" s="7" t="str">
        <f>VLOOKUP(E20,[1]characters!$A:$J,10,FALSE)</f>
        <v>PremiumW</v>
      </c>
      <c r="H20" s="7">
        <f>VLOOKUP(E20,[1]characters!$A:$I,9,FALSE)</f>
        <v>3</v>
      </c>
      <c r="I20" s="7" t="str">
        <f>VLOOKUP(E20,[1]characters!$A:$H,8,FALSE)</f>
        <v>green</v>
      </c>
      <c r="J20" s="7" t="str">
        <f>VLOOKUP(E20,[1]characters!$A:$K,11,FALSE)</f>
        <v>hp</v>
      </c>
      <c r="K20" s="7" t="str">
        <f>VLOOKUP(E20,[1]characters!$A:$M,13,FALSE)</f>
        <v>human</v>
      </c>
      <c r="L20" s="7" t="str">
        <f>VLOOKUP(E20,[1]characters!$A:$G,7,FALSE)</f>
        <v>女性</v>
      </c>
      <c r="M20" s="62">
        <f ca="1">IFERROR(VLOOKUP(E20,input_313010!L:R,7,FALSE),VLOOKUP(tables_313010!B20,input_313010!A:H,8,FALSE))</f>
        <v>189000</v>
      </c>
      <c r="N20" s="63">
        <f ca="1">M20/SUM(M:M)</f>
        <v>6.7567567567567571E-3</v>
      </c>
      <c r="O20" s="31">
        <f>IFERROR(VLOOKUP($E20,bug_conf_sheet!$A:$H,3,FALSE),VLOOKUP("other",bug_conf_sheet!$A:$H,3,FALSE))</f>
        <v>1</v>
      </c>
      <c r="P20" s="31">
        <f>IFERROR(VLOOKUP($E20,bug_conf_sheet!$A:$H,4,FALSE),VLOOKUP("other",bug_conf_sheet!$A:$H,4,FALSE))</f>
        <v>0</v>
      </c>
      <c r="Q20" s="31">
        <f>IFERROR(VLOOKUP($E20,bug_conf_sheet!$A:$H,5,FALSE),VLOOKUP("other",bug_conf_sheet!$A:$H,5,FALSE))</f>
        <v>0</v>
      </c>
      <c r="R20" s="31">
        <f>IFERROR(VLOOKUP($E20,bug_conf_sheet!$A:$H,6,FALSE),VLOOKUP("other",bug_conf_sheet!$A:$H,6,FALSE))</f>
        <v>0</v>
      </c>
      <c r="S20" s="31">
        <f>IFERROR(VLOOKUP($E20,bug_conf_sheet!$A:$H,7,FALSE),VLOOKUP("other",bug_conf_sheet!$A:$H,7,FALSE))</f>
        <v>0</v>
      </c>
      <c r="T20" s="31">
        <f>IFERROR(VLOOKUP($E20,bug_conf_sheet!$A:$H,8,FALSE),VLOOKUP("other",bug_conf_sheet!$A:$H,8,FALSE))</f>
        <v>1</v>
      </c>
    </row>
    <row r="21" spans="1:20" ht="21" customHeight="1">
      <c r="A21" s="2" t="str">
        <f ca="1">input_313010!A$2</f>
        <v>313010</v>
      </c>
      <c r="B21" s="7" t="str">
        <f t="shared" si="0"/>
        <v>Premium4</v>
      </c>
      <c r="C21" s="7" t="str">
        <f t="shared" si="1"/>
        <v>Premium</v>
      </c>
      <c r="D21" s="7" t="str">
        <f t="shared" si="2"/>
        <v>bg</v>
      </c>
      <c r="E21" s="6">
        <v>145</v>
      </c>
      <c r="F21" s="7" t="str">
        <f>VLOOKUP(E21,[1]characters!$A:$C,3,FALSE)</f>
        <v>魔性妖艶 かぐや</v>
      </c>
      <c r="G21" s="7" t="str">
        <f>VLOOKUP(E21,[1]characters!$A:$J,10,FALSE)</f>
        <v>PremiumW</v>
      </c>
      <c r="H21" s="7">
        <f>VLOOKUP(E21,[1]characters!$A:$I,9,FALSE)</f>
        <v>4</v>
      </c>
      <c r="I21" s="7" t="str">
        <f>VLOOKUP(E21,[1]characters!$A:$H,8,FALSE)</f>
        <v>green</v>
      </c>
      <c r="J21" s="7" t="str">
        <f>VLOOKUP(E21,[1]characters!$A:$K,11,FALSE)</f>
        <v>hp</v>
      </c>
      <c r="K21" s="7" t="str">
        <f>VLOOKUP(E21,[1]characters!$A:$M,13,FALSE)</f>
        <v>human</v>
      </c>
      <c r="L21" s="7" t="str">
        <f>VLOOKUP(E21,[1]characters!$A:$G,7,FALSE)</f>
        <v>女性</v>
      </c>
      <c r="M21" s="62">
        <f ca="1">IFERROR(VLOOKUP(E21,input_313010!L:R,7,FALSE),VLOOKUP(tables_313010!B21,input_313010!A:H,8,FALSE))</f>
        <v>153090</v>
      </c>
      <c r="N21" s="63">
        <f ca="1">M21/SUM(M:M)</f>
        <v>5.4729729729729726E-3</v>
      </c>
      <c r="O21" s="31">
        <f>IFERROR(VLOOKUP($E21,bug_conf_sheet!$A:$H,3,FALSE),VLOOKUP("other",bug_conf_sheet!$A:$H,3,FALSE))</f>
        <v>1</v>
      </c>
      <c r="P21" s="31">
        <f>IFERROR(VLOOKUP($E21,bug_conf_sheet!$A:$H,4,FALSE),VLOOKUP("other",bug_conf_sheet!$A:$H,4,FALSE))</f>
        <v>0</v>
      </c>
      <c r="Q21" s="31">
        <f>IFERROR(VLOOKUP($E21,bug_conf_sheet!$A:$H,5,FALSE),VLOOKUP("other",bug_conf_sheet!$A:$H,5,FALSE))</f>
        <v>0</v>
      </c>
      <c r="R21" s="31">
        <f>IFERROR(VLOOKUP($E21,bug_conf_sheet!$A:$H,6,FALSE),VLOOKUP("other",bug_conf_sheet!$A:$H,6,FALSE))</f>
        <v>0</v>
      </c>
      <c r="S21" s="31">
        <f>IFERROR(VLOOKUP($E21,bug_conf_sheet!$A:$H,7,FALSE),VLOOKUP("other",bug_conf_sheet!$A:$H,7,FALSE))</f>
        <v>0</v>
      </c>
      <c r="T21" s="31">
        <f>IFERROR(VLOOKUP($E21,bug_conf_sheet!$A:$H,8,FALSE),VLOOKUP("other",bug_conf_sheet!$A:$H,8,FALSE))</f>
        <v>1</v>
      </c>
    </row>
    <row r="22" spans="1:20" ht="21" customHeight="1">
      <c r="A22" s="2" t="str">
        <f ca="1">input_313010!A$2</f>
        <v>313010</v>
      </c>
      <c r="B22" s="7" t="str">
        <f t="shared" si="0"/>
        <v>Premium3</v>
      </c>
      <c r="C22" s="7" t="str">
        <f t="shared" si="1"/>
        <v>Premium</v>
      </c>
      <c r="D22" s="7" t="str">
        <f t="shared" si="2"/>
        <v>bg</v>
      </c>
      <c r="E22" s="6">
        <v>146</v>
      </c>
      <c r="F22" s="7" t="str">
        <f>VLOOKUP(E22,[1]characters!$A:$C,3,FALSE)</f>
        <v>マーメイド</v>
      </c>
      <c r="G22" s="7" t="str">
        <f>VLOOKUP(E22,[1]characters!$A:$J,10,FALSE)</f>
        <v>PremiumW</v>
      </c>
      <c r="H22" s="7">
        <f>VLOOKUP(E22,[1]characters!$A:$I,9,FALSE)</f>
        <v>3</v>
      </c>
      <c r="I22" s="7" t="str">
        <f>VLOOKUP(E22,[1]characters!$A:$H,8,FALSE)</f>
        <v>blue</v>
      </c>
      <c r="J22" s="7" t="str">
        <f>VLOOKUP(E22,[1]characters!$A:$K,11,FALSE)</f>
        <v>hp</v>
      </c>
      <c r="K22" s="7" t="str">
        <f>VLOOKUP(E22,[1]characters!$A:$M,13,FALSE)</f>
        <v>human</v>
      </c>
      <c r="L22" s="7" t="str">
        <f>VLOOKUP(E22,[1]characters!$A:$G,7,FALSE)</f>
        <v>女性</v>
      </c>
      <c r="M22" s="62">
        <f ca="1">IFERROR(VLOOKUP(E22,input_313010!L:R,7,FALSE),VLOOKUP(tables_313010!B22,input_313010!A:H,8,FALSE))</f>
        <v>189000</v>
      </c>
      <c r="N22" s="63">
        <f ca="1">M22/SUM(M:M)</f>
        <v>6.7567567567567571E-3</v>
      </c>
      <c r="O22" s="31">
        <f>IFERROR(VLOOKUP($E22,bug_conf_sheet!$A:$H,3,FALSE),VLOOKUP("other",bug_conf_sheet!$A:$H,3,FALSE))</f>
        <v>1</v>
      </c>
      <c r="P22" s="31">
        <f>IFERROR(VLOOKUP($E22,bug_conf_sheet!$A:$H,4,FALSE),VLOOKUP("other",bug_conf_sheet!$A:$H,4,FALSE))</f>
        <v>0</v>
      </c>
      <c r="Q22" s="31">
        <f>IFERROR(VLOOKUP($E22,bug_conf_sheet!$A:$H,5,FALSE),VLOOKUP("other",bug_conf_sheet!$A:$H,5,FALSE))</f>
        <v>0</v>
      </c>
      <c r="R22" s="31">
        <f>IFERROR(VLOOKUP($E22,bug_conf_sheet!$A:$H,6,FALSE),VLOOKUP("other",bug_conf_sheet!$A:$H,6,FALSE))</f>
        <v>0</v>
      </c>
      <c r="S22" s="31">
        <f>IFERROR(VLOOKUP($E22,bug_conf_sheet!$A:$H,7,FALSE),VLOOKUP("other",bug_conf_sheet!$A:$H,7,FALSE))</f>
        <v>0</v>
      </c>
      <c r="T22" s="31">
        <f>IFERROR(VLOOKUP($E22,bug_conf_sheet!$A:$H,8,FALSE),VLOOKUP("other",bug_conf_sheet!$A:$H,8,FALSE))</f>
        <v>1</v>
      </c>
    </row>
    <row r="23" spans="1:20" ht="21" customHeight="1">
      <c r="A23" s="2" t="str">
        <f ca="1">input_313010!A$2</f>
        <v>313010</v>
      </c>
      <c r="B23" s="7" t="str">
        <f t="shared" si="0"/>
        <v>Premium4</v>
      </c>
      <c r="C23" s="7" t="str">
        <f t="shared" si="1"/>
        <v>Premium</v>
      </c>
      <c r="D23" s="7" t="str">
        <f t="shared" si="2"/>
        <v>bg</v>
      </c>
      <c r="E23" s="6">
        <v>147</v>
      </c>
      <c r="F23" s="7" t="str">
        <f>VLOOKUP(E23,[1]characters!$A:$C,3,FALSE)</f>
        <v>蒼き閃光 元マーメイド</v>
      </c>
      <c r="G23" s="7" t="str">
        <f>VLOOKUP(E23,[1]characters!$A:$J,10,FALSE)</f>
        <v>PremiumW</v>
      </c>
      <c r="H23" s="7">
        <f>VLOOKUP(E23,[1]characters!$A:$I,9,FALSE)</f>
        <v>4</v>
      </c>
      <c r="I23" s="7" t="str">
        <f>VLOOKUP(E23,[1]characters!$A:$H,8,FALSE)</f>
        <v>blue</v>
      </c>
      <c r="J23" s="7" t="str">
        <f>VLOOKUP(E23,[1]characters!$A:$K,11,FALSE)</f>
        <v>hp</v>
      </c>
      <c r="K23" s="7" t="str">
        <f>VLOOKUP(E23,[1]characters!$A:$M,13,FALSE)</f>
        <v>human</v>
      </c>
      <c r="L23" s="7" t="str">
        <f>VLOOKUP(E23,[1]characters!$A:$G,7,FALSE)</f>
        <v>女性</v>
      </c>
      <c r="M23" s="62">
        <f ca="1">IFERROR(VLOOKUP(E23,input_313010!L:R,7,FALSE),VLOOKUP(tables_313010!B23,input_313010!A:H,8,FALSE))</f>
        <v>153090</v>
      </c>
      <c r="N23" s="63">
        <f ca="1">M23/SUM(M:M)</f>
        <v>5.4729729729729726E-3</v>
      </c>
      <c r="O23" s="31">
        <f>IFERROR(VLOOKUP($E23,bug_conf_sheet!$A:$H,3,FALSE),VLOOKUP("other",bug_conf_sheet!$A:$H,3,FALSE))</f>
        <v>1</v>
      </c>
      <c r="P23" s="31">
        <f>IFERROR(VLOOKUP($E23,bug_conf_sheet!$A:$H,4,FALSE),VLOOKUP("other",bug_conf_sheet!$A:$H,4,FALSE))</f>
        <v>0</v>
      </c>
      <c r="Q23" s="31">
        <f>IFERROR(VLOOKUP($E23,bug_conf_sheet!$A:$H,5,FALSE),VLOOKUP("other",bug_conf_sheet!$A:$H,5,FALSE))</f>
        <v>0</v>
      </c>
      <c r="R23" s="31">
        <f>IFERROR(VLOOKUP($E23,bug_conf_sheet!$A:$H,6,FALSE),VLOOKUP("other",bug_conf_sheet!$A:$H,6,FALSE))</f>
        <v>0</v>
      </c>
      <c r="S23" s="31">
        <f>IFERROR(VLOOKUP($E23,bug_conf_sheet!$A:$H,7,FALSE),VLOOKUP("other",bug_conf_sheet!$A:$H,7,FALSE))</f>
        <v>0</v>
      </c>
      <c r="T23" s="31">
        <f>IFERROR(VLOOKUP($E23,bug_conf_sheet!$A:$H,8,FALSE),VLOOKUP("other",bug_conf_sheet!$A:$H,8,FALSE))</f>
        <v>1</v>
      </c>
    </row>
    <row r="24" spans="1:20" ht="21" customHeight="1">
      <c r="A24" s="2" t="str">
        <f ca="1">input_313010!A$2</f>
        <v>313010</v>
      </c>
      <c r="B24" s="7" t="str">
        <f t="shared" si="0"/>
        <v>Premium3</v>
      </c>
      <c r="C24" s="7" t="str">
        <f t="shared" si="1"/>
        <v>Premium</v>
      </c>
      <c r="D24" s="7" t="str">
        <f t="shared" si="2"/>
        <v>ry</v>
      </c>
      <c r="E24" s="6">
        <v>148</v>
      </c>
      <c r="F24" s="7" t="str">
        <f>VLOOKUP(E24,[1]characters!$A:$C,3,FALSE)</f>
        <v>シンデレラ</v>
      </c>
      <c r="G24" s="7" t="str">
        <f>VLOOKUP(E24,[1]characters!$A:$J,10,FALSE)</f>
        <v>PremiumW</v>
      </c>
      <c r="H24" s="7">
        <f>VLOOKUP(E24,[1]characters!$A:$I,9,FALSE)</f>
        <v>3</v>
      </c>
      <c r="I24" s="7" t="str">
        <f>VLOOKUP(E24,[1]characters!$A:$H,8,FALSE)</f>
        <v>yellow</v>
      </c>
      <c r="J24" s="7" t="str">
        <f>VLOOKUP(E24,[1]characters!$A:$K,11,FALSE)</f>
        <v>balance</v>
      </c>
      <c r="K24" s="7" t="str">
        <f>VLOOKUP(E24,[1]characters!$A:$M,13,FALSE)</f>
        <v>human</v>
      </c>
      <c r="L24" s="7" t="str">
        <f>VLOOKUP(E24,[1]characters!$A:$G,7,FALSE)</f>
        <v>女性</v>
      </c>
      <c r="M24" s="62">
        <f ca="1">IFERROR(VLOOKUP(E24,input_313010!L:R,7,FALSE),VLOOKUP(tables_313010!B24,input_313010!A:H,8,FALSE))</f>
        <v>189000</v>
      </c>
      <c r="N24" s="63">
        <f ca="1">M24/SUM(M:M)</f>
        <v>6.7567567567567571E-3</v>
      </c>
      <c r="O24" s="31">
        <f>IFERROR(VLOOKUP($E24,bug_conf_sheet!$A:$H,3,FALSE),VLOOKUP("other",bug_conf_sheet!$A:$H,3,FALSE))</f>
        <v>1</v>
      </c>
      <c r="P24" s="31">
        <f>IFERROR(VLOOKUP($E24,bug_conf_sheet!$A:$H,4,FALSE),VLOOKUP("other",bug_conf_sheet!$A:$H,4,FALSE))</f>
        <v>0</v>
      </c>
      <c r="Q24" s="31">
        <f>IFERROR(VLOOKUP($E24,bug_conf_sheet!$A:$H,5,FALSE),VLOOKUP("other",bug_conf_sheet!$A:$H,5,FALSE))</f>
        <v>0</v>
      </c>
      <c r="R24" s="31">
        <f>IFERROR(VLOOKUP($E24,bug_conf_sheet!$A:$H,6,FALSE),VLOOKUP("other",bug_conf_sheet!$A:$H,6,FALSE))</f>
        <v>0</v>
      </c>
      <c r="S24" s="31">
        <f>IFERROR(VLOOKUP($E24,bug_conf_sheet!$A:$H,7,FALSE),VLOOKUP("other",bug_conf_sheet!$A:$H,7,FALSE))</f>
        <v>0</v>
      </c>
      <c r="T24" s="31">
        <f>IFERROR(VLOOKUP($E24,bug_conf_sheet!$A:$H,8,FALSE),VLOOKUP("other",bug_conf_sheet!$A:$H,8,FALSE))</f>
        <v>1</v>
      </c>
    </row>
    <row r="25" spans="1:20" ht="21" customHeight="1">
      <c r="A25" s="2" t="str">
        <f ca="1">input_313010!A$2</f>
        <v>313010</v>
      </c>
      <c r="B25" s="7" t="str">
        <f t="shared" si="0"/>
        <v>Premium4</v>
      </c>
      <c r="C25" s="7" t="str">
        <f t="shared" si="1"/>
        <v>Premium</v>
      </c>
      <c r="D25" s="7" t="str">
        <f t="shared" si="2"/>
        <v>ry</v>
      </c>
      <c r="E25" s="6">
        <v>149</v>
      </c>
      <c r="F25" s="7" t="str">
        <f>VLOOKUP(E25,[1]characters!$A:$C,3,FALSE)</f>
        <v>雷撃蹴技を極めし者 シンデレラ</v>
      </c>
      <c r="G25" s="7" t="str">
        <f>VLOOKUP(E25,[1]characters!$A:$J,10,FALSE)</f>
        <v>PremiumW</v>
      </c>
      <c r="H25" s="7">
        <f>VLOOKUP(E25,[1]characters!$A:$I,9,FALSE)</f>
        <v>4</v>
      </c>
      <c r="I25" s="7" t="str">
        <f>VLOOKUP(E25,[1]characters!$A:$H,8,FALSE)</f>
        <v>yellow</v>
      </c>
      <c r="J25" s="7" t="str">
        <f>VLOOKUP(E25,[1]characters!$A:$K,11,FALSE)</f>
        <v>balance</v>
      </c>
      <c r="K25" s="7" t="str">
        <f>VLOOKUP(E25,[1]characters!$A:$M,13,FALSE)</f>
        <v>human</v>
      </c>
      <c r="L25" s="7" t="str">
        <f>VLOOKUP(E25,[1]characters!$A:$G,7,FALSE)</f>
        <v>女性</v>
      </c>
      <c r="M25" s="62">
        <f ca="1">IFERROR(VLOOKUP(E25,input_313010!L:R,7,FALSE),VLOOKUP(tables_313010!B25,input_313010!A:H,8,FALSE))</f>
        <v>153090</v>
      </c>
      <c r="N25" s="63">
        <f ca="1">M25/SUM(M:M)</f>
        <v>5.4729729729729726E-3</v>
      </c>
      <c r="O25" s="31">
        <f>IFERROR(VLOOKUP($E25,bug_conf_sheet!$A:$H,3,FALSE),VLOOKUP("other",bug_conf_sheet!$A:$H,3,FALSE))</f>
        <v>1</v>
      </c>
      <c r="P25" s="31">
        <f>IFERROR(VLOOKUP($E25,bug_conf_sheet!$A:$H,4,FALSE),VLOOKUP("other",bug_conf_sheet!$A:$H,4,FALSE))</f>
        <v>0</v>
      </c>
      <c r="Q25" s="31">
        <f>IFERROR(VLOOKUP($E25,bug_conf_sheet!$A:$H,5,FALSE),VLOOKUP("other",bug_conf_sheet!$A:$H,5,FALSE))</f>
        <v>0</v>
      </c>
      <c r="R25" s="31">
        <f>IFERROR(VLOOKUP($E25,bug_conf_sheet!$A:$H,6,FALSE),VLOOKUP("other",bug_conf_sheet!$A:$H,6,FALSE))</f>
        <v>0</v>
      </c>
      <c r="S25" s="31">
        <f>IFERROR(VLOOKUP($E25,bug_conf_sheet!$A:$H,7,FALSE),VLOOKUP("other",bug_conf_sheet!$A:$H,7,FALSE))</f>
        <v>0</v>
      </c>
      <c r="T25" s="31">
        <f>IFERROR(VLOOKUP($E25,bug_conf_sheet!$A:$H,8,FALSE),VLOOKUP("other",bug_conf_sheet!$A:$H,8,FALSE))</f>
        <v>1</v>
      </c>
    </row>
    <row r="26" spans="1:20" ht="21" customHeight="1">
      <c r="A26" s="2" t="str">
        <f ca="1">input_313010!A$2</f>
        <v>313010</v>
      </c>
      <c r="B26" s="7" t="str">
        <f t="shared" si="0"/>
        <v>Premium3</v>
      </c>
      <c r="C26" s="7" t="str">
        <f t="shared" si="1"/>
        <v>Premium</v>
      </c>
      <c r="D26" s="7" t="str">
        <f t="shared" si="2"/>
        <v>ry</v>
      </c>
      <c r="E26" s="6">
        <v>150</v>
      </c>
      <c r="F26" s="7" t="str">
        <f>VLOOKUP(E26,[1]characters!$A:$C,3,FALSE)</f>
        <v>ポイズンマスターサキ</v>
      </c>
      <c r="G26" s="7" t="str">
        <f>VLOOKUP(E26,[1]characters!$A:$J,10,FALSE)</f>
        <v>PremiumW</v>
      </c>
      <c r="H26" s="7">
        <f>VLOOKUP(E26,[1]characters!$A:$I,9,FALSE)</f>
        <v>3</v>
      </c>
      <c r="I26" s="7" t="str">
        <f>VLOOKUP(E26,[1]characters!$A:$H,8,FALSE)</f>
        <v>red</v>
      </c>
      <c r="J26" s="7" t="str">
        <f>VLOOKUP(E26,[1]characters!$A:$K,11,FALSE)</f>
        <v>technical</v>
      </c>
      <c r="K26" s="7" t="str">
        <f>VLOOKUP(E26,[1]characters!$A:$M,13,FALSE)</f>
        <v>human</v>
      </c>
      <c r="L26" s="7" t="str">
        <f>VLOOKUP(E26,[1]characters!$A:$G,7,FALSE)</f>
        <v>女性</v>
      </c>
      <c r="M26" s="62">
        <f ca="1">IFERROR(VLOOKUP(E26,input_313010!L:R,7,FALSE),VLOOKUP(tables_313010!B26,input_313010!A:H,8,FALSE))</f>
        <v>189000</v>
      </c>
      <c r="N26" s="63">
        <f ca="1">M26/SUM(M:M)</f>
        <v>6.7567567567567571E-3</v>
      </c>
      <c r="O26" s="31">
        <f>IFERROR(VLOOKUP($E26,bug_conf_sheet!$A:$H,3,FALSE),VLOOKUP("other",bug_conf_sheet!$A:$H,3,FALSE))</f>
        <v>1</v>
      </c>
      <c r="P26" s="31">
        <f>IFERROR(VLOOKUP($E26,bug_conf_sheet!$A:$H,4,FALSE),VLOOKUP("other",bug_conf_sheet!$A:$H,4,FALSE))</f>
        <v>0</v>
      </c>
      <c r="Q26" s="31">
        <f>IFERROR(VLOOKUP($E26,bug_conf_sheet!$A:$H,5,FALSE),VLOOKUP("other",bug_conf_sheet!$A:$H,5,FALSE))</f>
        <v>0</v>
      </c>
      <c r="R26" s="31">
        <f>IFERROR(VLOOKUP($E26,bug_conf_sheet!$A:$H,6,FALSE),VLOOKUP("other",bug_conf_sheet!$A:$H,6,FALSE))</f>
        <v>0</v>
      </c>
      <c r="S26" s="31">
        <f>IFERROR(VLOOKUP($E26,bug_conf_sheet!$A:$H,7,FALSE),VLOOKUP("other",bug_conf_sheet!$A:$H,7,FALSE))</f>
        <v>0</v>
      </c>
      <c r="T26" s="31">
        <f>IFERROR(VLOOKUP($E26,bug_conf_sheet!$A:$H,8,FALSE),VLOOKUP("other",bug_conf_sheet!$A:$H,8,FALSE))</f>
        <v>1</v>
      </c>
    </row>
    <row r="27" spans="1:20" ht="21" customHeight="1">
      <c r="A27" s="2" t="str">
        <f ca="1">input_313010!A$2</f>
        <v>313010</v>
      </c>
      <c r="B27" s="7" t="str">
        <f t="shared" si="0"/>
        <v>Premium4</v>
      </c>
      <c r="C27" s="7" t="str">
        <f t="shared" si="1"/>
        <v>Premium</v>
      </c>
      <c r="D27" s="7" t="str">
        <f t="shared" si="2"/>
        <v>ry</v>
      </c>
      <c r="E27" s="6">
        <v>151</v>
      </c>
      <c r="F27" s="7" t="str">
        <f>VLOOKUP(E27,[1]characters!$A:$C,3,FALSE)</f>
        <v>毒煙の処刑人サキ</v>
      </c>
      <c r="G27" s="7" t="str">
        <f>VLOOKUP(E27,[1]characters!$A:$J,10,FALSE)</f>
        <v>PremiumW</v>
      </c>
      <c r="H27" s="7">
        <f>VLOOKUP(E27,[1]characters!$A:$I,9,FALSE)</f>
        <v>4</v>
      </c>
      <c r="I27" s="7" t="str">
        <f>VLOOKUP(E27,[1]characters!$A:$H,8,FALSE)</f>
        <v>red</v>
      </c>
      <c r="J27" s="7" t="str">
        <f>VLOOKUP(E27,[1]characters!$A:$K,11,FALSE)</f>
        <v>technical</v>
      </c>
      <c r="K27" s="7" t="str">
        <f>VLOOKUP(E27,[1]characters!$A:$M,13,FALSE)</f>
        <v>human</v>
      </c>
      <c r="L27" s="7" t="str">
        <f>VLOOKUP(E27,[1]characters!$A:$G,7,FALSE)</f>
        <v>女性</v>
      </c>
      <c r="M27" s="62">
        <f ca="1">IFERROR(VLOOKUP(E27,input_313010!L:R,7,FALSE),VLOOKUP(tables_313010!B27,input_313010!A:H,8,FALSE))</f>
        <v>153090</v>
      </c>
      <c r="N27" s="63">
        <f ca="1">M27/SUM(M:M)</f>
        <v>5.4729729729729726E-3</v>
      </c>
      <c r="O27" s="31">
        <f>IFERROR(VLOOKUP($E27,bug_conf_sheet!$A:$H,3,FALSE),VLOOKUP("other",bug_conf_sheet!$A:$H,3,FALSE))</f>
        <v>1</v>
      </c>
      <c r="P27" s="31">
        <f>IFERROR(VLOOKUP($E27,bug_conf_sheet!$A:$H,4,FALSE),VLOOKUP("other",bug_conf_sheet!$A:$H,4,FALSE))</f>
        <v>0</v>
      </c>
      <c r="Q27" s="31">
        <f>IFERROR(VLOOKUP($E27,bug_conf_sheet!$A:$H,5,FALSE),VLOOKUP("other",bug_conf_sheet!$A:$H,5,FALSE))</f>
        <v>0</v>
      </c>
      <c r="R27" s="31">
        <f>IFERROR(VLOOKUP($E27,bug_conf_sheet!$A:$H,6,FALSE),VLOOKUP("other",bug_conf_sheet!$A:$H,6,FALSE))</f>
        <v>0</v>
      </c>
      <c r="S27" s="31">
        <f>IFERROR(VLOOKUP($E27,bug_conf_sheet!$A:$H,7,FALSE),VLOOKUP("other",bug_conf_sheet!$A:$H,7,FALSE))</f>
        <v>0</v>
      </c>
      <c r="T27" s="31">
        <f>IFERROR(VLOOKUP($E27,bug_conf_sheet!$A:$H,8,FALSE),VLOOKUP("other",bug_conf_sheet!$A:$H,8,FALSE))</f>
        <v>1</v>
      </c>
    </row>
    <row r="28" spans="1:20" ht="21" customHeight="1">
      <c r="A28" s="2" t="str">
        <f ca="1">input_313010!A$2</f>
        <v>313010</v>
      </c>
      <c r="B28" s="7" t="str">
        <f t="shared" si="0"/>
        <v>Premium3</v>
      </c>
      <c r="C28" s="7" t="str">
        <f t="shared" si="1"/>
        <v>Premium</v>
      </c>
      <c r="D28" s="7" t="str">
        <f t="shared" si="2"/>
        <v>bg</v>
      </c>
      <c r="E28" s="6">
        <v>152</v>
      </c>
      <c r="F28" s="7" t="str">
        <f>VLOOKUP(E28,[1]characters!$A:$C,3,FALSE)</f>
        <v>功夫少女ランラン</v>
      </c>
      <c r="G28" s="7" t="str">
        <f>VLOOKUP(E28,[1]characters!$A:$J,10,FALSE)</f>
        <v>PremiumW</v>
      </c>
      <c r="H28" s="7">
        <f>VLOOKUP(E28,[1]characters!$A:$I,9,FALSE)</f>
        <v>3</v>
      </c>
      <c r="I28" s="7" t="str">
        <f>VLOOKUP(E28,[1]characters!$A:$H,8,FALSE)</f>
        <v>green</v>
      </c>
      <c r="J28" s="7" t="str">
        <f>VLOOKUP(E28,[1]characters!$A:$K,11,FALSE)</f>
        <v>heal</v>
      </c>
      <c r="K28" s="7" t="str">
        <f>VLOOKUP(E28,[1]characters!$A:$M,13,FALSE)</f>
        <v>human</v>
      </c>
      <c r="L28" s="7" t="str">
        <f>VLOOKUP(E28,[1]characters!$A:$G,7,FALSE)</f>
        <v>女性</v>
      </c>
      <c r="M28" s="62">
        <f ca="1">IFERROR(VLOOKUP(E28,input_313010!L:R,7,FALSE),VLOOKUP(tables_313010!B28,input_313010!A:H,8,FALSE))</f>
        <v>189000</v>
      </c>
      <c r="N28" s="63">
        <f ca="1">M28/SUM(M:M)</f>
        <v>6.7567567567567571E-3</v>
      </c>
      <c r="O28" s="31">
        <f>IFERROR(VLOOKUP($E28,bug_conf_sheet!$A:$H,3,FALSE),VLOOKUP("other",bug_conf_sheet!$A:$H,3,FALSE))</f>
        <v>1</v>
      </c>
      <c r="P28" s="31">
        <f>IFERROR(VLOOKUP($E28,bug_conf_sheet!$A:$H,4,FALSE),VLOOKUP("other",bug_conf_sheet!$A:$H,4,FALSE))</f>
        <v>0</v>
      </c>
      <c r="Q28" s="31">
        <f>IFERROR(VLOOKUP($E28,bug_conf_sheet!$A:$H,5,FALSE),VLOOKUP("other",bug_conf_sheet!$A:$H,5,FALSE))</f>
        <v>0</v>
      </c>
      <c r="R28" s="31">
        <f>IFERROR(VLOOKUP($E28,bug_conf_sheet!$A:$H,6,FALSE),VLOOKUP("other",bug_conf_sheet!$A:$H,6,FALSE))</f>
        <v>0</v>
      </c>
      <c r="S28" s="31">
        <f>IFERROR(VLOOKUP($E28,bug_conf_sheet!$A:$H,7,FALSE),VLOOKUP("other",bug_conf_sheet!$A:$H,7,FALSE))</f>
        <v>0</v>
      </c>
      <c r="T28" s="31">
        <f>IFERROR(VLOOKUP($E28,bug_conf_sheet!$A:$H,8,FALSE),VLOOKUP("other",bug_conf_sheet!$A:$H,8,FALSE))</f>
        <v>1</v>
      </c>
    </row>
    <row r="29" spans="1:20" ht="21" customHeight="1">
      <c r="A29" s="2" t="str">
        <f ca="1">input_313010!A$2</f>
        <v>313010</v>
      </c>
      <c r="B29" s="7" t="str">
        <f t="shared" si="0"/>
        <v>Premium4</v>
      </c>
      <c r="C29" s="7" t="str">
        <f t="shared" si="1"/>
        <v>Premium</v>
      </c>
      <c r="D29" s="7" t="str">
        <f t="shared" si="2"/>
        <v>bg</v>
      </c>
      <c r="E29" s="6">
        <v>153</v>
      </c>
      <c r="F29" s="7" t="str">
        <f>VLOOKUP(E29,[1]characters!$A:$C,3,FALSE)</f>
        <v>拳聖ランラン</v>
      </c>
      <c r="G29" s="7" t="str">
        <f>VLOOKUP(E29,[1]characters!$A:$J,10,FALSE)</f>
        <v>PremiumW</v>
      </c>
      <c r="H29" s="7">
        <f>VLOOKUP(E29,[1]characters!$A:$I,9,FALSE)</f>
        <v>4</v>
      </c>
      <c r="I29" s="7" t="str">
        <f>VLOOKUP(E29,[1]characters!$A:$H,8,FALSE)</f>
        <v>green</v>
      </c>
      <c r="J29" s="7" t="str">
        <f>VLOOKUP(E29,[1]characters!$A:$K,11,FALSE)</f>
        <v>heal</v>
      </c>
      <c r="K29" s="7" t="str">
        <f>VLOOKUP(E29,[1]characters!$A:$M,13,FALSE)</f>
        <v>human</v>
      </c>
      <c r="L29" s="7" t="str">
        <f>VLOOKUP(E29,[1]characters!$A:$G,7,FALSE)</f>
        <v>女性</v>
      </c>
      <c r="M29" s="62">
        <f ca="1">IFERROR(VLOOKUP(E29,input_313010!L:R,7,FALSE),VLOOKUP(tables_313010!B29,input_313010!A:H,8,FALSE))</f>
        <v>153090</v>
      </c>
      <c r="N29" s="63">
        <f ca="1">M29/SUM(M:M)</f>
        <v>5.4729729729729726E-3</v>
      </c>
      <c r="O29" s="31">
        <f>IFERROR(VLOOKUP($E29,bug_conf_sheet!$A:$H,3,FALSE),VLOOKUP("other",bug_conf_sheet!$A:$H,3,FALSE))</f>
        <v>1</v>
      </c>
      <c r="P29" s="31">
        <f>IFERROR(VLOOKUP($E29,bug_conf_sheet!$A:$H,4,FALSE),VLOOKUP("other",bug_conf_sheet!$A:$H,4,FALSE))</f>
        <v>0</v>
      </c>
      <c r="Q29" s="31">
        <f>IFERROR(VLOOKUP($E29,bug_conf_sheet!$A:$H,5,FALSE),VLOOKUP("other",bug_conf_sheet!$A:$H,5,FALSE))</f>
        <v>0</v>
      </c>
      <c r="R29" s="31">
        <f>IFERROR(VLOOKUP($E29,bug_conf_sheet!$A:$H,6,FALSE),VLOOKUP("other",bug_conf_sheet!$A:$H,6,FALSE))</f>
        <v>0</v>
      </c>
      <c r="S29" s="31">
        <f>IFERROR(VLOOKUP($E29,bug_conf_sheet!$A:$H,7,FALSE),VLOOKUP("other",bug_conf_sheet!$A:$H,7,FALSE))</f>
        <v>0</v>
      </c>
      <c r="T29" s="31">
        <f>IFERROR(VLOOKUP($E29,bug_conf_sheet!$A:$H,8,FALSE),VLOOKUP("other",bug_conf_sheet!$A:$H,8,FALSE))</f>
        <v>1</v>
      </c>
    </row>
    <row r="30" spans="1:20" ht="21" customHeight="1">
      <c r="A30" s="2" t="str">
        <f ca="1">input_313010!A$2</f>
        <v>313010</v>
      </c>
      <c r="B30" s="7" t="str">
        <f t="shared" si="0"/>
        <v>Premium3</v>
      </c>
      <c r="C30" s="7" t="str">
        <f t="shared" si="1"/>
        <v>Premium</v>
      </c>
      <c r="D30" s="7" t="str">
        <f t="shared" si="2"/>
        <v>bg</v>
      </c>
      <c r="E30" s="6">
        <v>154</v>
      </c>
      <c r="F30" s="7" t="str">
        <f>VLOOKUP(E30,[1]characters!$A:$C,3,FALSE)</f>
        <v>始末屋 ハンナ</v>
      </c>
      <c r="G30" s="7" t="str">
        <f>VLOOKUP(E30,[1]characters!$A:$J,10,FALSE)</f>
        <v>PremiumW</v>
      </c>
      <c r="H30" s="7">
        <f>VLOOKUP(E30,[1]characters!$A:$I,9,FALSE)</f>
        <v>3</v>
      </c>
      <c r="I30" s="7" t="str">
        <f>VLOOKUP(E30,[1]characters!$A:$H,8,FALSE)</f>
        <v>blue</v>
      </c>
      <c r="J30" s="7" t="str">
        <f>VLOOKUP(E30,[1]characters!$A:$K,11,FALSE)</f>
        <v>heal</v>
      </c>
      <c r="K30" s="7" t="str">
        <f>VLOOKUP(E30,[1]characters!$A:$M,13,FALSE)</f>
        <v>human</v>
      </c>
      <c r="L30" s="7" t="str">
        <f>VLOOKUP(E30,[1]characters!$A:$G,7,FALSE)</f>
        <v>女性</v>
      </c>
      <c r="M30" s="62">
        <f ca="1">IFERROR(VLOOKUP(E30,input_313010!L:R,7,FALSE),VLOOKUP(tables_313010!B30,input_313010!A:H,8,FALSE))</f>
        <v>189000</v>
      </c>
      <c r="N30" s="63">
        <f ca="1">M30/SUM(M:M)</f>
        <v>6.7567567567567571E-3</v>
      </c>
      <c r="O30" s="31">
        <f>IFERROR(VLOOKUP($E30,bug_conf_sheet!$A:$H,3,FALSE),VLOOKUP("other",bug_conf_sheet!$A:$H,3,FALSE))</f>
        <v>1</v>
      </c>
      <c r="P30" s="31">
        <f>IFERROR(VLOOKUP($E30,bug_conf_sheet!$A:$H,4,FALSE),VLOOKUP("other",bug_conf_sheet!$A:$H,4,FALSE))</f>
        <v>0</v>
      </c>
      <c r="Q30" s="31">
        <f>IFERROR(VLOOKUP($E30,bug_conf_sheet!$A:$H,5,FALSE),VLOOKUP("other",bug_conf_sheet!$A:$H,5,FALSE))</f>
        <v>0</v>
      </c>
      <c r="R30" s="31">
        <f>IFERROR(VLOOKUP($E30,bug_conf_sheet!$A:$H,6,FALSE),VLOOKUP("other",bug_conf_sheet!$A:$H,6,FALSE))</f>
        <v>0</v>
      </c>
      <c r="S30" s="31">
        <f>IFERROR(VLOOKUP($E30,bug_conf_sheet!$A:$H,7,FALSE),VLOOKUP("other",bug_conf_sheet!$A:$H,7,FALSE))</f>
        <v>0</v>
      </c>
      <c r="T30" s="31">
        <f>IFERROR(VLOOKUP($E30,bug_conf_sheet!$A:$H,8,FALSE),VLOOKUP("other",bug_conf_sheet!$A:$H,8,FALSE))</f>
        <v>1</v>
      </c>
    </row>
    <row r="31" spans="1:20" ht="21" customHeight="1">
      <c r="A31" s="2" t="str">
        <f ca="1">input_313010!A$2</f>
        <v>313010</v>
      </c>
      <c r="B31" s="7" t="str">
        <f t="shared" si="0"/>
        <v>Premium4</v>
      </c>
      <c r="C31" s="7" t="str">
        <f t="shared" si="1"/>
        <v>Premium</v>
      </c>
      <c r="D31" s="7" t="str">
        <f t="shared" si="2"/>
        <v>bg</v>
      </c>
      <c r="E31" s="6">
        <v>155</v>
      </c>
      <c r="F31" s="7" t="str">
        <f>VLOOKUP(E31,[1]characters!$A:$C,3,FALSE)</f>
        <v>隻眼の掃除屋 ハンナ</v>
      </c>
      <c r="G31" s="7" t="str">
        <f>VLOOKUP(E31,[1]characters!$A:$J,10,FALSE)</f>
        <v>PremiumW</v>
      </c>
      <c r="H31" s="7">
        <f>VLOOKUP(E31,[1]characters!$A:$I,9,FALSE)</f>
        <v>4</v>
      </c>
      <c r="I31" s="7" t="str">
        <f>VLOOKUP(E31,[1]characters!$A:$H,8,FALSE)</f>
        <v>blue</v>
      </c>
      <c r="J31" s="7" t="str">
        <f>VLOOKUP(E31,[1]characters!$A:$K,11,FALSE)</f>
        <v>heal</v>
      </c>
      <c r="K31" s="7" t="str">
        <f>VLOOKUP(E31,[1]characters!$A:$M,13,FALSE)</f>
        <v>human</v>
      </c>
      <c r="L31" s="7" t="str">
        <f>VLOOKUP(E31,[1]characters!$A:$G,7,FALSE)</f>
        <v>女性</v>
      </c>
      <c r="M31" s="62">
        <f ca="1">IFERROR(VLOOKUP(E31,input_313010!L:R,7,FALSE),VLOOKUP(tables_313010!B31,input_313010!A:H,8,FALSE))</f>
        <v>153090</v>
      </c>
      <c r="N31" s="63">
        <f ca="1">M31/SUM(M:M)</f>
        <v>5.4729729729729726E-3</v>
      </c>
      <c r="O31" s="31">
        <f>IFERROR(VLOOKUP($E31,bug_conf_sheet!$A:$H,3,FALSE),VLOOKUP("other",bug_conf_sheet!$A:$H,3,FALSE))</f>
        <v>1</v>
      </c>
      <c r="P31" s="31">
        <f>IFERROR(VLOOKUP($E31,bug_conf_sheet!$A:$H,4,FALSE),VLOOKUP("other",bug_conf_sheet!$A:$H,4,FALSE))</f>
        <v>0</v>
      </c>
      <c r="Q31" s="31">
        <f>IFERROR(VLOOKUP($E31,bug_conf_sheet!$A:$H,5,FALSE),VLOOKUP("other",bug_conf_sheet!$A:$H,5,FALSE))</f>
        <v>0</v>
      </c>
      <c r="R31" s="31">
        <f>IFERROR(VLOOKUP($E31,bug_conf_sheet!$A:$H,6,FALSE),VLOOKUP("other",bug_conf_sheet!$A:$H,6,FALSE))</f>
        <v>0</v>
      </c>
      <c r="S31" s="31">
        <f>IFERROR(VLOOKUP($E31,bug_conf_sheet!$A:$H,7,FALSE),VLOOKUP("other",bug_conf_sheet!$A:$H,7,FALSE))</f>
        <v>0</v>
      </c>
      <c r="T31" s="31">
        <f>IFERROR(VLOOKUP($E31,bug_conf_sheet!$A:$H,8,FALSE),VLOOKUP("other",bug_conf_sheet!$A:$H,8,FALSE))</f>
        <v>1</v>
      </c>
    </row>
    <row r="32" spans="1:20" ht="21" customHeight="1">
      <c r="A32" s="2" t="str">
        <f ca="1">input_313010!A$2</f>
        <v>313010</v>
      </c>
      <c r="B32" s="7" t="str">
        <f t="shared" si="0"/>
        <v>Premium3</v>
      </c>
      <c r="C32" s="7" t="str">
        <f t="shared" si="1"/>
        <v>Premium</v>
      </c>
      <c r="D32" s="7" t="str">
        <f t="shared" si="2"/>
        <v>ry</v>
      </c>
      <c r="E32" s="6">
        <v>156</v>
      </c>
      <c r="F32" s="7" t="str">
        <f>VLOOKUP(E32,[1]characters!$A:$C,3,FALSE)</f>
        <v>踊り子 エレナ</v>
      </c>
      <c r="G32" s="7" t="str">
        <f>VLOOKUP(E32,[1]characters!$A:$J,10,FALSE)</f>
        <v>PremiumW</v>
      </c>
      <c r="H32" s="7">
        <f>VLOOKUP(E32,[1]characters!$A:$I,9,FALSE)</f>
        <v>3</v>
      </c>
      <c r="I32" s="7" t="str">
        <f>VLOOKUP(E32,[1]characters!$A:$H,8,FALSE)</f>
        <v>yellow</v>
      </c>
      <c r="J32" s="7" t="str">
        <f>VLOOKUP(E32,[1]characters!$A:$K,11,FALSE)</f>
        <v>heal</v>
      </c>
      <c r="K32" s="7" t="str">
        <f>VLOOKUP(E32,[1]characters!$A:$M,13,FALSE)</f>
        <v>human</v>
      </c>
      <c r="L32" s="7" t="str">
        <f>VLOOKUP(E32,[1]characters!$A:$G,7,FALSE)</f>
        <v>女性</v>
      </c>
      <c r="M32" s="62">
        <f ca="1">IFERROR(VLOOKUP(E32,input_313010!L:R,7,FALSE),VLOOKUP(tables_313010!B32,input_313010!A:H,8,FALSE))</f>
        <v>189000</v>
      </c>
      <c r="N32" s="63">
        <f ca="1">M32/SUM(M:M)</f>
        <v>6.7567567567567571E-3</v>
      </c>
      <c r="O32" s="31">
        <f>IFERROR(VLOOKUP($E32,bug_conf_sheet!$A:$H,3,FALSE),VLOOKUP("other",bug_conf_sheet!$A:$H,3,FALSE))</f>
        <v>1</v>
      </c>
      <c r="P32" s="31">
        <f>IFERROR(VLOOKUP($E32,bug_conf_sheet!$A:$H,4,FALSE),VLOOKUP("other",bug_conf_sheet!$A:$H,4,FALSE))</f>
        <v>0</v>
      </c>
      <c r="Q32" s="31">
        <f>IFERROR(VLOOKUP($E32,bug_conf_sheet!$A:$H,5,FALSE),VLOOKUP("other",bug_conf_sheet!$A:$H,5,FALSE))</f>
        <v>0</v>
      </c>
      <c r="R32" s="31">
        <f>IFERROR(VLOOKUP($E32,bug_conf_sheet!$A:$H,6,FALSE),VLOOKUP("other",bug_conf_sheet!$A:$H,6,FALSE))</f>
        <v>0</v>
      </c>
      <c r="S32" s="31">
        <f>IFERROR(VLOOKUP($E32,bug_conf_sheet!$A:$H,7,FALSE),VLOOKUP("other",bug_conf_sheet!$A:$H,7,FALSE))</f>
        <v>0</v>
      </c>
      <c r="T32" s="31">
        <f>IFERROR(VLOOKUP($E32,bug_conf_sheet!$A:$H,8,FALSE),VLOOKUP("other",bug_conf_sheet!$A:$H,8,FALSE))</f>
        <v>1</v>
      </c>
    </row>
    <row r="33" spans="1:20" ht="21" customHeight="1">
      <c r="A33" s="2" t="str">
        <f ca="1">input_313010!A$2</f>
        <v>313010</v>
      </c>
      <c r="B33" s="7" t="str">
        <f t="shared" si="0"/>
        <v>Premium4</v>
      </c>
      <c r="C33" s="7" t="str">
        <f t="shared" si="1"/>
        <v>Premium</v>
      </c>
      <c r="D33" s="7" t="str">
        <f t="shared" si="2"/>
        <v>ry</v>
      </c>
      <c r="E33" s="6">
        <v>157</v>
      </c>
      <c r="F33" s="7" t="str">
        <f>VLOOKUP(E33,[1]characters!$A:$C,3,FALSE)</f>
        <v>雷光舞姫 エレナ</v>
      </c>
      <c r="G33" s="7" t="str">
        <f>VLOOKUP(E33,[1]characters!$A:$J,10,FALSE)</f>
        <v>PremiumW</v>
      </c>
      <c r="H33" s="7">
        <f>VLOOKUP(E33,[1]characters!$A:$I,9,FALSE)</f>
        <v>4</v>
      </c>
      <c r="I33" s="7" t="str">
        <f>VLOOKUP(E33,[1]characters!$A:$H,8,FALSE)</f>
        <v>yellow</v>
      </c>
      <c r="J33" s="7" t="str">
        <f>VLOOKUP(E33,[1]characters!$A:$K,11,FALSE)</f>
        <v>heal</v>
      </c>
      <c r="K33" s="7" t="str">
        <f>VLOOKUP(E33,[1]characters!$A:$M,13,FALSE)</f>
        <v>human</v>
      </c>
      <c r="L33" s="7" t="str">
        <f>VLOOKUP(E33,[1]characters!$A:$G,7,FALSE)</f>
        <v>女性</v>
      </c>
      <c r="M33" s="62">
        <f ca="1">IFERROR(VLOOKUP(E33,input_313010!L:R,7,FALSE),VLOOKUP(tables_313010!B33,input_313010!A:H,8,FALSE))</f>
        <v>153090</v>
      </c>
      <c r="N33" s="63">
        <f ca="1">M33/SUM(M:M)</f>
        <v>5.4729729729729726E-3</v>
      </c>
      <c r="O33" s="31">
        <f>IFERROR(VLOOKUP($E33,bug_conf_sheet!$A:$H,3,FALSE),VLOOKUP("other",bug_conf_sheet!$A:$H,3,FALSE))</f>
        <v>1</v>
      </c>
      <c r="P33" s="31">
        <f>IFERROR(VLOOKUP($E33,bug_conf_sheet!$A:$H,4,FALSE),VLOOKUP("other",bug_conf_sheet!$A:$H,4,FALSE))</f>
        <v>0</v>
      </c>
      <c r="Q33" s="31">
        <f>IFERROR(VLOOKUP($E33,bug_conf_sheet!$A:$H,5,FALSE),VLOOKUP("other",bug_conf_sheet!$A:$H,5,FALSE))</f>
        <v>0</v>
      </c>
      <c r="R33" s="31">
        <f>IFERROR(VLOOKUP($E33,bug_conf_sheet!$A:$H,6,FALSE),VLOOKUP("other",bug_conf_sheet!$A:$H,6,FALSE))</f>
        <v>0</v>
      </c>
      <c r="S33" s="31">
        <f>IFERROR(VLOOKUP($E33,bug_conf_sheet!$A:$H,7,FALSE),VLOOKUP("other",bug_conf_sheet!$A:$H,7,FALSE))</f>
        <v>0</v>
      </c>
      <c r="T33" s="31">
        <f>IFERROR(VLOOKUP($E33,bug_conf_sheet!$A:$H,8,FALSE),VLOOKUP("other",bug_conf_sheet!$A:$H,8,FALSE))</f>
        <v>1</v>
      </c>
    </row>
    <row r="34" spans="1:20" ht="21" customHeight="1">
      <c r="A34" s="2" t="str">
        <f ca="1">input_313010!A$2</f>
        <v>313010</v>
      </c>
      <c r="B34" s="7" t="str">
        <f t="shared" si="0"/>
        <v>Premium3</v>
      </c>
      <c r="C34" s="7" t="str">
        <f t="shared" si="1"/>
        <v>Premium</v>
      </c>
      <c r="D34" s="7" t="str">
        <f t="shared" si="2"/>
        <v>ry</v>
      </c>
      <c r="E34" s="6">
        <v>158</v>
      </c>
      <c r="F34" s="7" t="str">
        <f>VLOOKUP(E34,[1]characters!$A:$C,3,FALSE)</f>
        <v>シスター シャルロッテ</v>
      </c>
      <c r="G34" s="7" t="str">
        <f>VLOOKUP(E34,[1]characters!$A:$J,10,FALSE)</f>
        <v>PremiumW</v>
      </c>
      <c r="H34" s="7">
        <f>VLOOKUP(E34,[1]characters!$A:$I,9,FALSE)</f>
        <v>3</v>
      </c>
      <c r="I34" s="7" t="str">
        <f>VLOOKUP(E34,[1]characters!$A:$H,8,FALSE)</f>
        <v>red</v>
      </c>
      <c r="J34" s="7" t="str">
        <f>VLOOKUP(E34,[1]characters!$A:$K,11,FALSE)</f>
        <v>heal</v>
      </c>
      <c r="K34" s="7" t="str">
        <f>VLOOKUP(E34,[1]characters!$A:$M,13,FALSE)</f>
        <v>human</v>
      </c>
      <c r="L34" s="7" t="str">
        <f>VLOOKUP(E34,[1]characters!$A:$G,7,FALSE)</f>
        <v>女性</v>
      </c>
      <c r="M34" s="62">
        <f ca="1">IFERROR(VLOOKUP(E34,input_313010!L:R,7,FALSE),VLOOKUP(tables_313010!B34,input_313010!A:H,8,FALSE))</f>
        <v>189000</v>
      </c>
      <c r="N34" s="63">
        <f ca="1">M34/SUM(M:M)</f>
        <v>6.7567567567567571E-3</v>
      </c>
      <c r="O34" s="31">
        <f>IFERROR(VLOOKUP($E34,bug_conf_sheet!$A:$H,3,FALSE),VLOOKUP("other",bug_conf_sheet!$A:$H,3,FALSE))</f>
        <v>1</v>
      </c>
      <c r="P34" s="31">
        <f>IFERROR(VLOOKUP($E34,bug_conf_sheet!$A:$H,4,FALSE),VLOOKUP("other",bug_conf_sheet!$A:$H,4,FALSE))</f>
        <v>0</v>
      </c>
      <c r="Q34" s="31">
        <f>IFERROR(VLOOKUP($E34,bug_conf_sheet!$A:$H,5,FALSE),VLOOKUP("other",bug_conf_sheet!$A:$H,5,FALSE))</f>
        <v>0</v>
      </c>
      <c r="R34" s="31">
        <f>IFERROR(VLOOKUP($E34,bug_conf_sheet!$A:$H,6,FALSE),VLOOKUP("other",bug_conf_sheet!$A:$H,6,FALSE))</f>
        <v>0</v>
      </c>
      <c r="S34" s="31">
        <f>IFERROR(VLOOKUP($E34,bug_conf_sheet!$A:$H,7,FALSE),VLOOKUP("other",bug_conf_sheet!$A:$H,7,FALSE))</f>
        <v>0</v>
      </c>
      <c r="T34" s="31">
        <f>IFERROR(VLOOKUP($E34,bug_conf_sheet!$A:$H,8,FALSE),VLOOKUP("other",bug_conf_sheet!$A:$H,8,FALSE))</f>
        <v>1</v>
      </c>
    </row>
    <row r="35" spans="1:20" ht="21" customHeight="1">
      <c r="A35" s="2" t="str">
        <f ca="1">input_313010!A$2</f>
        <v>313010</v>
      </c>
      <c r="B35" s="7" t="str">
        <f t="shared" si="0"/>
        <v>Premium4</v>
      </c>
      <c r="C35" s="7" t="str">
        <f t="shared" si="1"/>
        <v>Premium</v>
      </c>
      <c r="D35" s="7" t="str">
        <f t="shared" si="2"/>
        <v>ry</v>
      </c>
      <c r="E35" s="6">
        <v>159</v>
      </c>
      <c r="F35" s="7" t="str">
        <f>VLOOKUP(E35,[1]characters!$A:$C,3,FALSE)</f>
        <v>邪を狩りし者 シャルロッテ</v>
      </c>
      <c r="G35" s="7" t="str">
        <f>VLOOKUP(E35,[1]characters!$A:$J,10,FALSE)</f>
        <v>PremiumW</v>
      </c>
      <c r="H35" s="7">
        <f>VLOOKUP(E35,[1]characters!$A:$I,9,FALSE)</f>
        <v>4</v>
      </c>
      <c r="I35" s="7" t="str">
        <f>VLOOKUP(E35,[1]characters!$A:$H,8,FALSE)</f>
        <v>red</v>
      </c>
      <c r="J35" s="7" t="str">
        <f>VLOOKUP(E35,[1]characters!$A:$K,11,FALSE)</f>
        <v>heal</v>
      </c>
      <c r="K35" s="7" t="str">
        <f>VLOOKUP(E35,[1]characters!$A:$M,13,FALSE)</f>
        <v>human</v>
      </c>
      <c r="L35" s="7" t="str">
        <f>VLOOKUP(E35,[1]characters!$A:$G,7,FALSE)</f>
        <v>女性</v>
      </c>
      <c r="M35" s="62">
        <f ca="1">IFERROR(VLOOKUP(E35,input_313010!L:R,7,FALSE),VLOOKUP(tables_313010!B35,input_313010!A:H,8,FALSE))</f>
        <v>153090</v>
      </c>
      <c r="N35" s="63">
        <f ca="1">M35/SUM(M:M)</f>
        <v>5.4729729729729726E-3</v>
      </c>
      <c r="O35" s="31">
        <f>IFERROR(VLOOKUP($E35,bug_conf_sheet!$A:$H,3,FALSE),VLOOKUP("other",bug_conf_sheet!$A:$H,3,FALSE))</f>
        <v>1</v>
      </c>
      <c r="P35" s="31">
        <f>IFERROR(VLOOKUP($E35,bug_conf_sheet!$A:$H,4,FALSE),VLOOKUP("other",bug_conf_sheet!$A:$H,4,FALSE))</f>
        <v>0</v>
      </c>
      <c r="Q35" s="31">
        <f>IFERROR(VLOOKUP($E35,bug_conf_sheet!$A:$H,5,FALSE),VLOOKUP("other",bug_conf_sheet!$A:$H,5,FALSE))</f>
        <v>0</v>
      </c>
      <c r="R35" s="31">
        <f>IFERROR(VLOOKUP($E35,bug_conf_sheet!$A:$H,6,FALSE),VLOOKUP("other",bug_conf_sheet!$A:$H,6,FALSE))</f>
        <v>0</v>
      </c>
      <c r="S35" s="31">
        <f>IFERROR(VLOOKUP($E35,bug_conf_sheet!$A:$H,7,FALSE),VLOOKUP("other",bug_conf_sheet!$A:$H,7,FALSE))</f>
        <v>0</v>
      </c>
      <c r="T35" s="31">
        <f>IFERROR(VLOOKUP($E35,bug_conf_sheet!$A:$H,8,FALSE),VLOOKUP("other",bug_conf_sheet!$A:$H,8,FALSE))</f>
        <v>1</v>
      </c>
    </row>
    <row r="36" spans="1:20" ht="21" customHeight="1">
      <c r="A36" s="2" t="str">
        <f ca="1">input_313010!A$2</f>
        <v>313010</v>
      </c>
      <c r="B36" s="7" t="str">
        <f t="shared" si="0"/>
        <v>Premium3</v>
      </c>
      <c r="C36" s="7" t="str">
        <f t="shared" si="1"/>
        <v>Premium</v>
      </c>
      <c r="D36" s="7" t="str">
        <f t="shared" si="2"/>
        <v>bg</v>
      </c>
      <c r="E36" s="6">
        <v>160</v>
      </c>
      <c r="F36" s="7" t="str">
        <f>VLOOKUP(E36,[1]characters!$A:$C,3,FALSE)</f>
        <v>反逆者 クリエ</v>
      </c>
      <c r="G36" s="7" t="str">
        <f>VLOOKUP(E36,[1]characters!$A:$J,10,FALSE)</f>
        <v>PremiumW</v>
      </c>
      <c r="H36" s="7">
        <f>VLOOKUP(E36,[1]characters!$A:$I,9,FALSE)</f>
        <v>3</v>
      </c>
      <c r="I36" s="7" t="str">
        <f>VLOOKUP(E36,[1]characters!$A:$H,8,FALSE)</f>
        <v>green</v>
      </c>
      <c r="J36" s="7" t="str">
        <f>VLOOKUP(E36,[1]characters!$A:$K,11,FALSE)</f>
        <v>balance</v>
      </c>
      <c r="K36" s="7" t="str">
        <f>VLOOKUP(E36,[1]characters!$A:$M,13,FALSE)</f>
        <v>human</v>
      </c>
      <c r="L36" s="7" t="str">
        <f>VLOOKUP(E36,[1]characters!$A:$G,7,FALSE)</f>
        <v>女性</v>
      </c>
      <c r="M36" s="62">
        <f ca="1">IFERROR(VLOOKUP(E36,input_313010!L:R,7,FALSE),VLOOKUP(tables_313010!B36,input_313010!A:H,8,FALSE))</f>
        <v>189000</v>
      </c>
      <c r="N36" s="63">
        <f ca="1">M36/SUM(M:M)</f>
        <v>6.7567567567567571E-3</v>
      </c>
      <c r="O36" s="31">
        <f>IFERROR(VLOOKUP($E36,bug_conf_sheet!$A:$H,3,FALSE),VLOOKUP("other",bug_conf_sheet!$A:$H,3,FALSE))</f>
        <v>1</v>
      </c>
      <c r="P36" s="31">
        <f>IFERROR(VLOOKUP($E36,bug_conf_sheet!$A:$H,4,FALSE),VLOOKUP("other",bug_conf_sheet!$A:$H,4,FALSE))</f>
        <v>0</v>
      </c>
      <c r="Q36" s="31">
        <f>IFERROR(VLOOKUP($E36,bug_conf_sheet!$A:$H,5,FALSE),VLOOKUP("other",bug_conf_sheet!$A:$H,5,FALSE))</f>
        <v>0</v>
      </c>
      <c r="R36" s="31">
        <f>IFERROR(VLOOKUP($E36,bug_conf_sheet!$A:$H,6,FALSE),VLOOKUP("other",bug_conf_sheet!$A:$H,6,FALSE))</f>
        <v>0</v>
      </c>
      <c r="S36" s="31">
        <f>IFERROR(VLOOKUP($E36,bug_conf_sheet!$A:$H,7,FALSE),VLOOKUP("other",bug_conf_sheet!$A:$H,7,FALSE))</f>
        <v>0</v>
      </c>
      <c r="T36" s="31">
        <f>IFERROR(VLOOKUP($E36,bug_conf_sheet!$A:$H,8,FALSE),VLOOKUP("other",bug_conf_sheet!$A:$H,8,FALSE))</f>
        <v>1</v>
      </c>
    </row>
    <row r="37" spans="1:20" ht="21" customHeight="1">
      <c r="A37" s="2" t="str">
        <f ca="1">input_313010!A$2</f>
        <v>313010</v>
      </c>
      <c r="B37" s="7" t="str">
        <f t="shared" si="0"/>
        <v>Premium4</v>
      </c>
      <c r="C37" s="7" t="str">
        <f t="shared" si="1"/>
        <v>Premium</v>
      </c>
      <c r="D37" s="7" t="str">
        <f t="shared" si="2"/>
        <v>bg</v>
      </c>
      <c r="E37" s="6">
        <v>161</v>
      </c>
      <c r="F37" s="7" t="str">
        <f>VLOOKUP(E37,[1]characters!$A:$C,3,FALSE)</f>
        <v>咆哮の先導者 クリエ</v>
      </c>
      <c r="G37" s="7" t="str">
        <f>VLOOKUP(E37,[1]characters!$A:$J,10,FALSE)</f>
        <v>PremiumW</v>
      </c>
      <c r="H37" s="7">
        <f>VLOOKUP(E37,[1]characters!$A:$I,9,FALSE)</f>
        <v>4</v>
      </c>
      <c r="I37" s="7" t="str">
        <f>VLOOKUP(E37,[1]characters!$A:$H,8,FALSE)</f>
        <v>green</v>
      </c>
      <c r="J37" s="7" t="str">
        <f>VLOOKUP(E37,[1]characters!$A:$K,11,FALSE)</f>
        <v>balance</v>
      </c>
      <c r="K37" s="7" t="str">
        <f>VLOOKUP(E37,[1]characters!$A:$M,13,FALSE)</f>
        <v>human</v>
      </c>
      <c r="L37" s="7" t="str">
        <f>VLOOKUP(E37,[1]characters!$A:$G,7,FALSE)</f>
        <v>女性</v>
      </c>
      <c r="M37" s="62">
        <f ca="1">IFERROR(VLOOKUP(E37,input_313010!L:R,7,FALSE),VLOOKUP(tables_313010!B37,input_313010!A:H,8,FALSE))</f>
        <v>153090</v>
      </c>
      <c r="N37" s="63">
        <f ca="1">M37/SUM(M:M)</f>
        <v>5.4729729729729726E-3</v>
      </c>
      <c r="O37" s="31">
        <f>IFERROR(VLOOKUP($E37,bug_conf_sheet!$A:$H,3,FALSE),VLOOKUP("other",bug_conf_sheet!$A:$H,3,FALSE))</f>
        <v>1</v>
      </c>
      <c r="P37" s="31">
        <f>IFERROR(VLOOKUP($E37,bug_conf_sheet!$A:$H,4,FALSE),VLOOKUP("other",bug_conf_sheet!$A:$H,4,FALSE))</f>
        <v>0</v>
      </c>
      <c r="Q37" s="31">
        <f>IFERROR(VLOOKUP($E37,bug_conf_sheet!$A:$H,5,FALSE),VLOOKUP("other",bug_conf_sheet!$A:$H,5,FALSE))</f>
        <v>0</v>
      </c>
      <c r="R37" s="31">
        <f>IFERROR(VLOOKUP($E37,bug_conf_sheet!$A:$H,6,FALSE),VLOOKUP("other",bug_conf_sheet!$A:$H,6,FALSE))</f>
        <v>0</v>
      </c>
      <c r="S37" s="31">
        <f>IFERROR(VLOOKUP($E37,bug_conf_sheet!$A:$H,7,FALSE),VLOOKUP("other",bug_conf_sheet!$A:$H,7,FALSE))</f>
        <v>0</v>
      </c>
      <c r="T37" s="31">
        <f>IFERROR(VLOOKUP($E37,bug_conf_sheet!$A:$H,8,FALSE),VLOOKUP("other",bug_conf_sheet!$A:$H,8,FALSE))</f>
        <v>1</v>
      </c>
    </row>
    <row r="38" spans="1:20" ht="21" customHeight="1">
      <c r="A38" s="2" t="str">
        <f ca="1">input_313010!A$2</f>
        <v>313010</v>
      </c>
      <c r="B38" s="7" t="str">
        <f t="shared" si="0"/>
        <v>Premium3</v>
      </c>
      <c r="C38" s="7" t="str">
        <f t="shared" si="1"/>
        <v>Premium</v>
      </c>
      <c r="D38" s="7" t="str">
        <f t="shared" si="2"/>
        <v>bg</v>
      </c>
      <c r="E38" s="6">
        <v>162</v>
      </c>
      <c r="F38" s="7" t="str">
        <f>VLOOKUP(E38,[1]characters!$A:$C,3,FALSE)</f>
        <v>狂女 クララ</v>
      </c>
      <c r="G38" s="7" t="str">
        <f>VLOOKUP(E38,[1]characters!$A:$J,10,FALSE)</f>
        <v>PremiumW</v>
      </c>
      <c r="H38" s="7">
        <f>VLOOKUP(E38,[1]characters!$A:$I,9,FALSE)</f>
        <v>3</v>
      </c>
      <c r="I38" s="7" t="str">
        <f>VLOOKUP(E38,[1]characters!$A:$H,8,FALSE)</f>
        <v>blue</v>
      </c>
      <c r="J38" s="7" t="str">
        <f>VLOOKUP(E38,[1]characters!$A:$K,11,FALSE)</f>
        <v>attack</v>
      </c>
      <c r="K38" s="7" t="str">
        <f>VLOOKUP(E38,[1]characters!$A:$M,13,FALSE)</f>
        <v>human</v>
      </c>
      <c r="L38" s="7" t="str">
        <f>VLOOKUP(E38,[1]characters!$A:$G,7,FALSE)</f>
        <v>女性</v>
      </c>
      <c r="M38" s="62">
        <f ca="1">IFERROR(VLOOKUP(E38,input_313010!L:R,7,FALSE),VLOOKUP(tables_313010!B38,input_313010!A:H,8,FALSE))</f>
        <v>189000</v>
      </c>
      <c r="N38" s="63">
        <f ca="1">M38/SUM(M:M)</f>
        <v>6.7567567567567571E-3</v>
      </c>
      <c r="O38" s="31">
        <f>IFERROR(VLOOKUP($E38,bug_conf_sheet!$A:$H,3,FALSE),VLOOKUP("other",bug_conf_sheet!$A:$H,3,FALSE))</f>
        <v>1</v>
      </c>
      <c r="P38" s="31">
        <f>IFERROR(VLOOKUP($E38,bug_conf_sheet!$A:$H,4,FALSE),VLOOKUP("other",bug_conf_sheet!$A:$H,4,FALSE))</f>
        <v>0</v>
      </c>
      <c r="Q38" s="31">
        <f>IFERROR(VLOOKUP($E38,bug_conf_sheet!$A:$H,5,FALSE),VLOOKUP("other",bug_conf_sheet!$A:$H,5,FALSE))</f>
        <v>0</v>
      </c>
      <c r="R38" s="31">
        <f>IFERROR(VLOOKUP($E38,bug_conf_sheet!$A:$H,6,FALSE),VLOOKUP("other",bug_conf_sheet!$A:$H,6,FALSE))</f>
        <v>0</v>
      </c>
      <c r="S38" s="31">
        <f>IFERROR(VLOOKUP($E38,bug_conf_sheet!$A:$H,7,FALSE),VLOOKUP("other",bug_conf_sheet!$A:$H,7,FALSE))</f>
        <v>0</v>
      </c>
      <c r="T38" s="31">
        <f>IFERROR(VLOOKUP($E38,bug_conf_sheet!$A:$H,8,FALSE),VLOOKUP("other",bug_conf_sheet!$A:$H,8,FALSE))</f>
        <v>1</v>
      </c>
    </row>
    <row r="39" spans="1:20" ht="21" customHeight="1">
      <c r="A39" s="2" t="str">
        <f ca="1">input_313010!A$2</f>
        <v>313010</v>
      </c>
      <c r="B39" s="7" t="str">
        <f t="shared" si="0"/>
        <v>Premium4</v>
      </c>
      <c r="C39" s="7" t="str">
        <f t="shared" si="1"/>
        <v>Premium</v>
      </c>
      <c r="D39" s="7" t="str">
        <f t="shared" si="2"/>
        <v>bg</v>
      </c>
      <c r="E39" s="6">
        <v>163</v>
      </c>
      <c r="F39" s="7" t="str">
        <f>VLOOKUP(E39,[1]characters!$A:$C,3,FALSE)</f>
        <v>冷酷な狂嬢 クララ</v>
      </c>
      <c r="G39" s="7" t="str">
        <f>VLOOKUP(E39,[1]characters!$A:$J,10,FALSE)</f>
        <v>PremiumW</v>
      </c>
      <c r="H39" s="7">
        <f>VLOOKUP(E39,[1]characters!$A:$I,9,FALSE)</f>
        <v>4</v>
      </c>
      <c r="I39" s="7" t="str">
        <f>VLOOKUP(E39,[1]characters!$A:$H,8,FALSE)</f>
        <v>blue</v>
      </c>
      <c r="J39" s="7" t="str">
        <f>VLOOKUP(E39,[1]characters!$A:$K,11,FALSE)</f>
        <v>attack</v>
      </c>
      <c r="K39" s="7" t="str">
        <f>VLOOKUP(E39,[1]characters!$A:$M,13,FALSE)</f>
        <v>human</v>
      </c>
      <c r="L39" s="7" t="str">
        <f>VLOOKUP(E39,[1]characters!$A:$G,7,FALSE)</f>
        <v>女性</v>
      </c>
      <c r="M39" s="62">
        <f ca="1">IFERROR(VLOOKUP(E39,input_313010!L:R,7,FALSE),VLOOKUP(tables_313010!B39,input_313010!A:H,8,FALSE))</f>
        <v>153090</v>
      </c>
      <c r="N39" s="63">
        <f ca="1">M39/SUM(M:M)</f>
        <v>5.4729729729729726E-3</v>
      </c>
      <c r="O39" s="31">
        <f>IFERROR(VLOOKUP($E39,bug_conf_sheet!$A:$H,3,FALSE),VLOOKUP("other",bug_conf_sheet!$A:$H,3,FALSE))</f>
        <v>1</v>
      </c>
      <c r="P39" s="31">
        <f>IFERROR(VLOOKUP($E39,bug_conf_sheet!$A:$H,4,FALSE),VLOOKUP("other",bug_conf_sheet!$A:$H,4,FALSE))</f>
        <v>0</v>
      </c>
      <c r="Q39" s="31">
        <f>IFERROR(VLOOKUP($E39,bug_conf_sheet!$A:$H,5,FALSE),VLOOKUP("other",bug_conf_sheet!$A:$H,5,FALSE))</f>
        <v>0</v>
      </c>
      <c r="R39" s="31">
        <f>IFERROR(VLOOKUP($E39,bug_conf_sheet!$A:$H,6,FALSE),VLOOKUP("other",bug_conf_sheet!$A:$H,6,FALSE))</f>
        <v>0</v>
      </c>
      <c r="S39" s="31">
        <f>IFERROR(VLOOKUP($E39,bug_conf_sheet!$A:$H,7,FALSE),VLOOKUP("other",bug_conf_sheet!$A:$H,7,FALSE))</f>
        <v>0</v>
      </c>
      <c r="T39" s="31">
        <f>IFERROR(VLOOKUP($E39,bug_conf_sheet!$A:$H,8,FALSE),VLOOKUP("other",bug_conf_sheet!$A:$H,8,FALSE))</f>
        <v>1</v>
      </c>
    </row>
    <row r="40" spans="1:20" ht="21" customHeight="1">
      <c r="A40" s="2" t="str">
        <f ca="1">input_313010!A$2</f>
        <v>313010</v>
      </c>
      <c r="B40" s="7" t="str">
        <f t="shared" si="0"/>
        <v>Premium3</v>
      </c>
      <c r="C40" s="7" t="str">
        <f t="shared" si="1"/>
        <v>Premium</v>
      </c>
      <c r="D40" s="7" t="str">
        <f t="shared" si="2"/>
        <v>ry</v>
      </c>
      <c r="E40" s="6">
        <v>164</v>
      </c>
      <c r="F40" s="7" t="str">
        <f>VLOOKUP(E40,[1]characters!$A:$C,3,FALSE)</f>
        <v>イブとトモダチ</v>
      </c>
      <c r="G40" s="7" t="str">
        <f>VLOOKUP(E40,[1]characters!$A:$J,10,FALSE)</f>
        <v>PremiumW</v>
      </c>
      <c r="H40" s="7">
        <f>VLOOKUP(E40,[1]characters!$A:$I,9,FALSE)</f>
        <v>3</v>
      </c>
      <c r="I40" s="7" t="str">
        <f>VLOOKUP(E40,[1]characters!$A:$H,8,FALSE)</f>
        <v>yellow</v>
      </c>
      <c r="J40" s="7" t="str">
        <f>VLOOKUP(E40,[1]characters!$A:$K,11,FALSE)</f>
        <v>technical</v>
      </c>
      <c r="K40" s="7" t="str">
        <f>VLOOKUP(E40,[1]characters!$A:$M,13,FALSE)</f>
        <v>human</v>
      </c>
      <c r="L40" s="7" t="str">
        <f>VLOOKUP(E40,[1]characters!$A:$G,7,FALSE)</f>
        <v>女性</v>
      </c>
      <c r="M40" s="62">
        <f ca="1">IFERROR(VLOOKUP(E40,input_313010!L:R,7,FALSE),VLOOKUP(tables_313010!B40,input_313010!A:H,8,FALSE))</f>
        <v>189000</v>
      </c>
      <c r="N40" s="63">
        <f ca="1">M40/SUM(M:M)</f>
        <v>6.7567567567567571E-3</v>
      </c>
      <c r="O40" s="31">
        <f>IFERROR(VLOOKUP($E40,bug_conf_sheet!$A:$H,3,FALSE),VLOOKUP("other",bug_conf_sheet!$A:$H,3,FALSE))</f>
        <v>1</v>
      </c>
      <c r="P40" s="31">
        <f>IFERROR(VLOOKUP($E40,bug_conf_sheet!$A:$H,4,FALSE),VLOOKUP("other",bug_conf_sheet!$A:$H,4,FALSE))</f>
        <v>0</v>
      </c>
      <c r="Q40" s="31">
        <f>IFERROR(VLOOKUP($E40,bug_conf_sheet!$A:$H,5,FALSE),VLOOKUP("other",bug_conf_sheet!$A:$H,5,FALSE))</f>
        <v>0</v>
      </c>
      <c r="R40" s="31">
        <f>IFERROR(VLOOKUP($E40,bug_conf_sheet!$A:$H,6,FALSE),VLOOKUP("other",bug_conf_sheet!$A:$H,6,FALSE))</f>
        <v>0</v>
      </c>
      <c r="S40" s="31">
        <f>IFERROR(VLOOKUP($E40,bug_conf_sheet!$A:$H,7,FALSE),VLOOKUP("other",bug_conf_sheet!$A:$H,7,FALSE))</f>
        <v>0</v>
      </c>
      <c r="T40" s="31">
        <f>IFERROR(VLOOKUP($E40,bug_conf_sheet!$A:$H,8,FALSE),VLOOKUP("other",bug_conf_sheet!$A:$H,8,FALSE))</f>
        <v>1</v>
      </c>
    </row>
    <row r="41" spans="1:20" ht="21" customHeight="1">
      <c r="A41" s="2" t="str">
        <f ca="1">input_313010!A$2</f>
        <v>313010</v>
      </c>
      <c r="B41" s="7" t="str">
        <f t="shared" si="0"/>
        <v>Premium4</v>
      </c>
      <c r="C41" s="7" t="str">
        <f t="shared" si="1"/>
        <v>Premium</v>
      </c>
      <c r="D41" s="7" t="str">
        <f t="shared" si="2"/>
        <v>ry</v>
      </c>
      <c r="E41" s="6">
        <v>165</v>
      </c>
      <c r="F41" s="7" t="str">
        <f>VLOOKUP(E41,[1]characters!$A:$C,3,FALSE)</f>
        <v>イブとたったひとりのトモダチ</v>
      </c>
      <c r="G41" s="7" t="str">
        <f>VLOOKUP(E41,[1]characters!$A:$J,10,FALSE)</f>
        <v>PremiumW</v>
      </c>
      <c r="H41" s="7">
        <f>VLOOKUP(E41,[1]characters!$A:$I,9,FALSE)</f>
        <v>4</v>
      </c>
      <c r="I41" s="7" t="str">
        <f>VLOOKUP(E41,[1]characters!$A:$H,8,FALSE)</f>
        <v>yellow</v>
      </c>
      <c r="J41" s="7" t="str">
        <f>VLOOKUP(E41,[1]characters!$A:$K,11,FALSE)</f>
        <v>technical</v>
      </c>
      <c r="K41" s="7" t="str">
        <f>VLOOKUP(E41,[1]characters!$A:$M,13,FALSE)</f>
        <v>human</v>
      </c>
      <c r="L41" s="7" t="str">
        <f>VLOOKUP(E41,[1]characters!$A:$G,7,FALSE)</f>
        <v>女性</v>
      </c>
      <c r="M41" s="62">
        <f ca="1">IFERROR(VLOOKUP(E41,input_313010!L:R,7,FALSE),VLOOKUP(tables_313010!B41,input_313010!A:H,8,FALSE))</f>
        <v>153090</v>
      </c>
      <c r="N41" s="63">
        <f ca="1">M41/SUM(M:M)</f>
        <v>5.4729729729729726E-3</v>
      </c>
      <c r="O41" s="31">
        <f>IFERROR(VLOOKUP($E41,bug_conf_sheet!$A:$H,3,FALSE),VLOOKUP("other",bug_conf_sheet!$A:$H,3,FALSE))</f>
        <v>1</v>
      </c>
      <c r="P41" s="31">
        <f>IFERROR(VLOOKUP($E41,bug_conf_sheet!$A:$H,4,FALSE),VLOOKUP("other",bug_conf_sheet!$A:$H,4,FALSE))</f>
        <v>0</v>
      </c>
      <c r="Q41" s="31">
        <f>IFERROR(VLOOKUP($E41,bug_conf_sheet!$A:$H,5,FALSE),VLOOKUP("other",bug_conf_sheet!$A:$H,5,FALSE))</f>
        <v>0</v>
      </c>
      <c r="R41" s="31">
        <f>IFERROR(VLOOKUP($E41,bug_conf_sheet!$A:$H,6,FALSE),VLOOKUP("other",bug_conf_sheet!$A:$H,6,FALSE))</f>
        <v>0</v>
      </c>
      <c r="S41" s="31">
        <f>IFERROR(VLOOKUP($E41,bug_conf_sheet!$A:$H,7,FALSE),VLOOKUP("other",bug_conf_sheet!$A:$H,7,FALSE))</f>
        <v>0</v>
      </c>
      <c r="T41" s="31">
        <f>IFERROR(VLOOKUP($E41,bug_conf_sheet!$A:$H,8,FALSE),VLOOKUP("other",bug_conf_sheet!$A:$H,8,FALSE))</f>
        <v>1</v>
      </c>
    </row>
    <row r="42" spans="1:20" ht="21" customHeight="1">
      <c r="A42" s="2" t="str">
        <f ca="1">input_313010!A$2</f>
        <v>313010</v>
      </c>
      <c r="B42" s="7" t="str">
        <f t="shared" si="0"/>
        <v>Premium3</v>
      </c>
      <c r="C42" s="7" t="str">
        <f t="shared" si="1"/>
        <v>Premium</v>
      </c>
      <c r="D42" s="7" t="str">
        <f t="shared" si="2"/>
        <v>ry</v>
      </c>
      <c r="E42" s="6">
        <v>166</v>
      </c>
      <c r="F42" s="7" t="str">
        <f>VLOOKUP(E42,[1]characters!$A:$C,3,FALSE)</f>
        <v>ベリアル</v>
      </c>
      <c r="G42" s="7" t="str">
        <f>VLOOKUP(E42,[1]characters!$A:$J,10,FALSE)</f>
        <v>PremiumN</v>
      </c>
      <c r="H42" s="7">
        <f>VLOOKUP(E42,[1]characters!$A:$I,9,FALSE)</f>
        <v>3</v>
      </c>
      <c r="I42" s="7" t="str">
        <f>VLOOKUP(E42,[1]characters!$A:$H,8,FALSE)</f>
        <v>red</v>
      </c>
      <c r="J42" s="7" t="str">
        <f>VLOOKUP(E42,[1]characters!$A:$K,11,FALSE)</f>
        <v>attack</v>
      </c>
      <c r="K42" s="7" t="str">
        <f>VLOOKUP(E42,[1]characters!$A:$M,13,FALSE)</f>
        <v>god</v>
      </c>
      <c r="L42" s="7" t="str">
        <f>VLOOKUP(E42,[1]characters!$A:$G,7,FALSE)</f>
        <v>男性</v>
      </c>
      <c r="M42" s="62">
        <f ca="1">IFERROR(VLOOKUP(E42,input_313010!L:R,7,FALSE),VLOOKUP(tables_313010!B42,input_313010!A:H,8,FALSE))</f>
        <v>189000</v>
      </c>
      <c r="N42" s="63">
        <f ca="1">M42/SUM(M:M)</f>
        <v>6.7567567567567571E-3</v>
      </c>
      <c r="O42" s="31">
        <f>IFERROR(VLOOKUP($E42,bug_conf_sheet!$A:$H,3,FALSE),VLOOKUP("other",bug_conf_sheet!$A:$H,3,FALSE))</f>
        <v>1</v>
      </c>
      <c r="P42" s="31">
        <f>IFERROR(VLOOKUP($E42,bug_conf_sheet!$A:$H,4,FALSE),VLOOKUP("other",bug_conf_sheet!$A:$H,4,FALSE))</f>
        <v>0</v>
      </c>
      <c r="Q42" s="31">
        <f>IFERROR(VLOOKUP($E42,bug_conf_sheet!$A:$H,5,FALSE),VLOOKUP("other",bug_conf_sheet!$A:$H,5,FALSE))</f>
        <v>0</v>
      </c>
      <c r="R42" s="31">
        <f>IFERROR(VLOOKUP($E42,bug_conf_sheet!$A:$H,6,FALSE),VLOOKUP("other",bug_conf_sheet!$A:$H,6,FALSE))</f>
        <v>0</v>
      </c>
      <c r="S42" s="31">
        <f>IFERROR(VLOOKUP($E42,bug_conf_sheet!$A:$H,7,FALSE),VLOOKUP("other",bug_conf_sheet!$A:$H,7,FALSE))</f>
        <v>0</v>
      </c>
      <c r="T42" s="31">
        <f>IFERROR(VLOOKUP($E42,bug_conf_sheet!$A:$H,8,FALSE),VLOOKUP("other",bug_conf_sheet!$A:$H,8,FALSE))</f>
        <v>1</v>
      </c>
    </row>
    <row r="43" spans="1:20" ht="21" customHeight="1">
      <c r="A43" s="2" t="str">
        <f ca="1">input_313010!A$2</f>
        <v>313010</v>
      </c>
      <c r="B43" s="7" t="str">
        <f t="shared" si="0"/>
        <v>Premium4</v>
      </c>
      <c r="C43" s="7" t="str">
        <f t="shared" si="1"/>
        <v>Premium</v>
      </c>
      <c r="D43" s="7" t="str">
        <f t="shared" si="2"/>
        <v>ry</v>
      </c>
      <c r="E43" s="6">
        <v>167</v>
      </c>
      <c r="F43" s="7" t="str">
        <f>VLOOKUP(E43,[1]characters!$A:$C,3,FALSE)</f>
        <v>逆徒 ベリアル</v>
      </c>
      <c r="G43" s="7" t="str">
        <f>VLOOKUP(E43,[1]characters!$A:$J,10,FALSE)</f>
        <v>PremiumN</v>
      </c>
      <c r="H43" s="7">
        <f>VLOOKUP(E43,[1]characters!$A:$I,9,FALSE)</f>
        <v>4</v>
      </c>
      <c r="I43" s="7" t="str">
        <f>VLOOKUP(E43,[1]characters!$A:$H,8,FALSE)</f>
        <v>red</v>
      </c>
      <c r="J43" s="7" t="str">
        <f>VLOOKUP(E43,[1]characters!$A:$K,11,FALSE)</f>
        <v>attack</v>
      </c>
      <c r="K43" s="7" t="str">
        <f>VLOOKUP(E43,[1]characters!$A:$M,13,FALSE)</f>
        <v>god</v>
      </c>
      <c r="L43" s="7" t="str">
        <f>VLOOKUP(E43,[1]characters!$A:$G,7,FALSE)</f>
        <v>男性</v>
      </c>
      <c r="M43" s="62">
        <f ca="1">IFERROR(VLOOKUP(E43,input_313010!L:R,7,FALSE),VLOOKUP(tables_313010!B43,input_313010!A:H,8,FALSE))</f>
        <v>153090</v>
      </c>
      <c r="N43" s="63">
        <f ca="1">M43/SUM(M:M)</f>
        <v>5.4729729729729726E-3</v>
      </c>
      <c r="O43" s="31">
        <f>IFERROR(VLOOKUP($E43,bug_conf_sheet!$A:$H,3,FALSE),VLOOKUP("other",bug_conf_sheet!$A:$H,3,FALSE))</f>
        <v>1</v>
      </c>
      <c r="P43" s="31">
        <f>IFERROR(VLOOKUP($E43,bug_conf_sheet!$A:$H,4,FALSE),VLOOKUP("other",bug_conf_sheet!$A:$H,4,FALSE))</f>
        <v>0</v>
      </c>
      <c r="Q43" s="31">
        <f>IFERROR(VLOOKUP($E43,bug_conf_sheet!$A:$H,5,FALSE),VLOOKUP("other",bug_conf_sheet!$A:$H,5,FALSE))</f>
        <v>0</v>
      </c>
      <c r="R43" s="31">
        <f>IFERROR(VLOOKUP($E43,bug_conf_sheet!$A:$H,6,FALSE),VLOOKUP("other",bug_conf_sheet!$A:$H,6,FALSE))</f>
        <v>0</v>
      </c>
      <c r="S43" s="31">
        <f>IFERROR(VLOOKUP($E43,bug_conf_sheet!$A:$H,7,FALSE),VLOOKUP("other",bug_conf_sheet!$A:$H,7,FALSE))</f>
        <v>0</v>
      </c>
      <c r="T43" s="31">
        <f>IFERROR(VLOOKUP($E43,bug_conf_sheet!$A:$H,8,FALSE),VLOOKUP("other",bug_conf_sheet!$A:$H,8,FALSE))</f>
        <v>1</v>
      </c>
    </row>
    <row r="44" spans="1:20" ht="21" customHeight="1">
      <c r="A44" s="2" t="str">
        <f ca="1">input_313010!A$2</f>
        <v>313010</v>
      </c>
      <c r="B44" s="7" t="str">
        <f t="shared" si="0"/>
        <v>Premium5</v>
      </c>
      <c r="C44" s="7" t="str">
        <f t="shared" si="1"/>
        <v>Premium</v>
      </c>
      <c r="D44" s="7" t="str">
        <f t="shared" si="2"/>
        <v>ry</v>
      </c>
      <c r="E44" s="6">
        <v>168</v>
      </c>
      <c r="F44" s="7" t="str">
        <f>VLOOKUP(E44,[1]characters!$A:$C,3,FALSE)</f>
        <v>猛進の大逆者 ベリアル</v>
      </c>
      <c r="G44" s="7" t="str">
        <f>VLOOKUP(E44,[1]characters!$A:$J,10,FALSE)</f>
        <v>PremiumN</v>
      </c>
      <c r="H44" s="7">
        <f>VLOOKUP(E44,[1]characters!$A:$I,9,FALSE)</f>
        <v>5</v>
      </c>
      <c r="I44" s="7" t="str">
        <f>VLOOKUP(E44,[1]characters!$A:$H,8,FALSE)</f>
        <v>red</v>
      </c>
      <c r="J44" s="7" t="str">
        <f>VLOOKUP(E44,[1]characters!$A:$K,11,FALSE)</f>
        <v>attack</v>
      </c>
      <c r="K44" s="7" t="str">
        <f>VLOOKUP(E44,[1]characters!$A:$M,13,FALSE)</f>
        <v>god</v>
      </c>
      <c r="L44" s="7" t="str">
        <f>VLOOKUP(E44,[1]characters!$A:$G,7,FALSE)</f>
        <v>男性</v>
      </c>
      <c r="M44" s="62">
        <f ca="1">IFERROR(VLOOKUP(E44,input_313010!L:R,7,FALSE),VLOOKUP(tables_313010!B44,input_313010!A:H,8,FALSE))</f>
        <v>18130</v>
      </c>
      <c r="N44" s="63">
        <f ca="1">M44/SUM(M:M)</f>
        <v>6.4814814814814813E-4</v>
      </c>
      <c r="O44" s="31">
        <f>IFERROR(VLOOKUP($E44,bug_conf_sheet!$A:$H,3,FALSE),VLOOKUP("other",bug_conf_sheet!$A:$H,3,FALSE))</f>
        <v>1</v>
      </c>
      <c r="P44" s="31">
        <f>IFERROR(VLOOKUP($E44,bug_conf_sheet!$A:$H,4,FALSE),VLOOKUP("other",bug_conf_sheet!$A:$H,4,FALSE))</f>
        <v>0</v>
      </c>
      <c r="Q44" s="31">
        <f>IFERROR(VLOOKUP($E44,bug_conf_sheet!$A:$H,5,FALSE),VLOOKUP("other",bug_conf_sheet!$A:$H,5,FALSE))</f>
        <v>0</v>
      </c>
      <c r="R44" s="31">
        <f>IFERROR(VLOOKUP($E44,bug_conf_sheet!$A:$H,6,FALSE),VLOOKUP("other",bug_conf_sheet!$A:$H,6,FALSE))</f>
        <v>0</v>
      </c>
      <c r="S44" s="31">
        <f>IFERROR(VLOOKUP($E44,bug_conf_sheet!$A:$H,7,FALSE),VLOOKUP("other",bug_conf_sheet!$A:$H,7,FALSE))</f>
        <v>0</v>
      </c>
      <c r="T44" s="31">
        <f>IFERROR(VLOOKUP($E44,bug_conf_sheet!$A:$H,8,FALSE),VLOOKUP("other",bug_conf_sheet!$A:$H,8,FALSE))</f>
        <v>1</v>
      </c>
    </row>
    <row r="45" spans="1:20" ht="21" customHeight="1">
      <c r="A45" s="2" t="str">
        <f ca="1">input_313010!A$2</f>
        <v>313010</v>
      </c>
      <c r="B45" s="7" t="str">
        <f t="shared" si="0"/>
        <v>Premium3</v>
      </c>
      <c r="C45" s="7" t="str">
        <f t="shared" si="1"/>
        <v>Premium</v>
      </c>
      <c r="D45" s="7" t="str">
        <f t="shared" si="2"/>
        <v>bg</v>
      </c>
      <c r="E45" s="6">
        <v>169</v>
      </c>
      <c r="F45" s="7" t="str">
        <f>VLOOKUP(E45,[1]characters!$A:$C,3,FALSE)</f>
        <v>オセ</v>
      </c>
      <c r="G45" s="7" t="str">
        <f>VLOOKUP(E45,[1]characters!$A:$J,10,FALSE)</f>
        <v>PremiumN</v>
      </c>
      <c r="H45" s="7">
        <f>VLOOKUP(E45,[1]characters!$A:$I,9,FALSE)</f>
        <v>3</v>
      </c>
      <c r="I45" s="7" t="str">
        <f>VLOOKUP(E45,[1]characters!$A:$H,8,FALSE)</f>
        <v>green</v>
      </c>
      <c r="J45" s="7" t="str">
        <f>VLOOKUP(E45,[1]characters!$A:$K,11,FALSE)</f>
        <v>attack</v>
      </c>
      <c r="K45" s="7" t="str">
        <f>VLOOKUP(E45,[1]characters!$A:$M,13,FALSE)</f>
        <v>god</v>
      </c>
      <c r="L45" s="7" t="str">
        <f>VLOOKUP(E45,[1]characters!$A:$G,7,FALSE)</f>
        <v>女性</v>
      </c>
      <c r="M45" s="62">
        <f ca="1">IFERROR(VLOOKUP(E45,input_313010!L:R,7,FALSE),VLOOKUP(tables_313010!B45,input_313010!A:H,8,FALSE))</f>
        <v>189000</v>
      </c>
      <c r="N45" s="63">
        <f ca="1">M45/SUM(M:M)</f>
        <v>6.7567567567567571E-3</v>
      </c>
      <c r="O45" s="31">
        <f>IFERROR(VLOOKUP($E45,bug_conf_sheet!$A:$H,3,FALSE),VLOOKUP("other",bug_conf_sheet!$A:$H,3,FALSE))</f>
        <v>1</v>
      </c>
      <c r="P45" s="31">
        <f>IFERROR(VLOOKUP($E45,bug_conf_sheet!$A:$H,4,FALSE),VLOOKUP("other",bug_conf_sheet!$A:$H,4,FALSE))</f>
        <v>0</v>
      </c>
      <c r="Q45" s="31">
        <f>IFERROR(VLOOKUP($E45,bug_conf_sheet!$A:$H,5,FALSE),VLOOKUP("other",bug_conf_sheet!$A:$H,5,FALSE))</f>
        <v>0</v>
      </c>
      <c r="R45" s="31">
        <f>IFERROR(VLOOKUP($E45,bug_conf_sheet!$A:$H,6,FALSE),VLOOKUP("other",bug_conf_sheet!$A:$H,6,FALSE))</f>
        <v>0</v>
      </c>
      <c r="S45" s="31">
        <f>IFERROR(VLOOKUP($E45,bug_conf_sheet!$A:$H,7,FALSE),VLOOKUP("other",bug_conf_sheet!$A:$H,7,FALSE))</f>
        <v>0</v>
      </c>
      <c r="T45" s="31">
        <f>IFERROR(VLOOKUP($E45,bug_conf_sheet!$A:$H,8,FALSE),VLOOKUP("other",bug_conf_sheet!$A:$H,8,FALSE))</f>
        <v>1</v>
      </c>
    </row>
    <row r="46" spans="1:20" ht="21" customHeight="1">
      <c r="A46" s="2" t="str">
        <f ca="1">input_313010!A$2</f>
        <v>313010</v>
      </c>
      <c r="B46" s="7" t="str">
        <f t="shared" si="0"/>
        <v>Premium4</v>
      </c>
      <c r="C46" s="7" t="str">
        <f t="shared" si="1"/>
        <v>Premium</v>
      </c>
      <c r="D46" s="7" t="str">
        <f t="shared" si="2"/>
        <v>bg</v>
      </c>
      <c r="E46" s="6">
        <v>170</v>
      </c>
      <c r="F46" s="7" t="str">
        <f>VLOOKUP(E46,[1]characters!$A:$C,3,FALSE)</f>
        <v>識徒 オセ</v>
      </c>
      <c r="G46" s="7" t="str">
        <f>VLOOKUP(E46,[1]characters!$A:$J,10,FALSE)</f>
        <v>PremiumN</v>
      </c>
      <c r="H46" s="7">
        <f>VLOOKUP(E46,[1]characters!$A:$I,9,FALSE)</f>
        <v>4</v>
      </c>
      <c r="I46" s="7" t="str">
        <f>VLOOKUP(E46,[1]characters!$A:$H,8,FALSE)</f>
        <v>green</v>
      </c>
      <c r="J46" s="7" t="str">
        <f>VLOOKUP(E46,[1]characters!$A:$K,11,FALSE)</f>
        <v>attack</v>
      </c>
      <c r="K46" s="7" t="str">
        <f>VLOOKUP(E46,[1]characters!$A:$M,13,FALSE)</f>
        <v>god</v>
      </c>
      <c r="L46" s="7" t="str">
        <f>VLOOKUP(E46,[1]characters!$A:$G,7,FALSE)</f>
        <v>女性</v>
      </c>
      <c r="M46" s="62">
        <f ca="1">IFERROR(VLOOKUP(E46,input_313010!L:R,7,FALSE),VLOOKUP(tables_313010!B46,input_313010!A:H,8,FALSE))</f>
        <v>153090</v>
      </c>
      <c r="N46" s="63">
        <f ca="1">M46/SUM(M:M)</f>
        <v>5.4729729729729726E-3</v>
      </c>
      <c r="O46" s="31">
        <f>IFERROR(VLOOKUP($E46,bug_conf_sheet!$A:$H,3,FALSE),VLOOKUP("other",bug_conf_sheet!$A:$H,3,FALSE))</f>
        <v>1</v>
      </c>
      <c r="P46" s="31">
        <f>IFERROR(VLOOKUP($E46,bug_conf_sheet!$A:$H,4,FALSE),VLOOKUP("other",bug_conf_sheet!$A:$H,4,FALSE))</f>
        <v>0</v>
      </c>
      <c r="Q46" s="31">
        <f>IFERROR(VLOOKUP($E46,bug_conf_sheet!$A:$H,5,FALSE),VLOOKUP("other",bug_conf_sheet!$A:$H,5,FALSE))</f>
        <v>0</v>
      </c>
      <c r="R46" s="31">
        <f>IFERROR(VLOOKUP($E46,bug_conf_sheet!$A:$H,6,FALSE),VLOOKUP("other",bug_conf_sheet!$A:$H,6,FALSE))</f>
        <v>0</v>
      </c>
      <c r="S46" s="31">
        <f>IFERROR(VLOOKUP($E46,bug_conf_sheet!$A:$H,7,FALSE),VLOOKUP("other",bug_conf_sheet!$A:$H,7,FALSE))</f>
        <v>0</v>
      </c>
      <c r="T46" s="31">
        <f>IFERROR(VLOOKUP($E46,bug_conf_sheet!$A:$H,8,FALSE),VLOOKUP("other",bug_conf_sheet!$A:$H,8,FALSE))</f>
        <v>1</v>
      </c>
    </row>
    <row r="47" spans="1:20" ht="21" customHeight="1">
      <c r="A47" s="2" t="str">
        <f ca="1">input_313010!A$2</f>
        <v>313010</v>
      </c>
      <c r="B47" s="7" t="str">
        <f t="shared" si="0"/>
        <v>Premium5</v>
      </c>
      <c r="C47" s="7" t="str">
        <f t="shared" si="1"/>
        <v>Premium</v>
      </c>
      <c r="D47" s="7" t="str">
        <f t="shared" si="2"/>
        <v>bg</v>
      </c>
      <c r="E47" s="6">
        <v>171</v>
      </c>
      <c r="F47" s="7" t="str">
        <f>VLOOKUP(E47,[1]characters!$A:$C,3,FALSE)</f>
        <v>精解の預知者 オセ</v>
      </c>
      <c r="G47" s="7" t="str">
        <f>VLOOKUP(E47,[1]characters!$A:$J,10,FALSE)</f>
        <v>PremiumN</v>
      </c>
      <c r="H47" s="7">
        <f>VLOOKUP(E47,[1]characters!$A:$I,9,FALSE)</f>
        <v>5</v>
      </c>
      <c r="I47" s="7" t="str">
        <f>VLOOKUP(E47,[1]characters!$A:$H,8,FALSE)</f>
        <v>green</v>
      </c>
      <c r="J47" s="7" t="str">
        <f>VLOOKUP(E47,[1]characters!$A:$K,11,FALSE)</f>
        <v>attack</v>
      </c>
      <c r="K47" s="7" t="str">
        <f>VLOOKUP(E47,[1]characters!$A:$M,13,FALSE)</f>
        <v>god</v>
      </c>
      <c r="L47" s="7" t="str">
        <f>VLOOKUP(E47,[1]characters!$A:$G,7,FALSE)</f>
        <v>女性</v>
      </c>
      <c r="M47" s="62">
        <f ca="1">IFERROR(VLOOKUP(E47,input_313010!L:R,7,FALSE),VLOOKUP(tables_313010!B47,input_313010!A:H,8,FALSE))</f>
        <v>18130</v>
      </c>
      <c r="N47" s="63">
        <f ca="1">M47/SUM(M:M)</f>
        <v>6.4814814814814813E-4</v>
      </c>
      <c r="O47" s="31">
        <f>IFERROR(VLOOKUP($E47,bug_conf_sheet!$A:$H,3,FALSE),VLOOKUP("other",bug_conf_sheet!$A:$H,3,FALSE))</f>
        <v>1</v>
      </c>
      <c r="P47" s="31">
        <f>IFERROR(VLOOKUP($E47,bug_conf_sheet!$A:$H,4,FALSE),VLOOKUP("other",bug_conf_sheet!$A:$H,4,FALSE))</f>
        <v>0</v>
      </c>
      <c r="Q47" s="31">
        <f>IFERROR(VLOOKUP($E47,bug_conf_sheet!$A:$H,5,FALSE),VLOOKUP("other",bug_conf_sheet!$A:$H,5,FALSE))</f>
        <v>0</v>
      </c>
      <c r="R47" s="31">
        <f>IFERROR(VLOOKUP($E47,bug_conf_sheet!$A:$H,6,FALSE),VLOOKUP("other",bug_conf_sheet!$A:$H,6,FALSE))</f>
        <v>0</v>
      </c>
      <c r="S47" s="31">
        <f>IFERROR(VLOOKUP($E47,bug_conf_sheet!$A:$H,7,FALSE),VLOOKUP("other",bug_conf_sheet!$A:$H,7,FALSE))</f>
        <v>0</v>
      </c>
      <c r="T47" s="31">
        <f>IFERROR(VLOOKUP($E47,bug_conf_sheet!$A:$H,8,FALSE),VLOOKUP("other",bug_conf_sheet!$A:$H,8,FALSE))</f>
        <v>1</v>
      </c>
    </row>
    <row r="48" spans="1:20" ht="21" customHeight="1">
      <c r="A48" s="2" t="str">
        <f ca="1">input_313010!A$2</f>
        <v>313010</v>
      </c>
      <c r="B48" s="7" t="str">
        <f t="shared" si="0"/>
        <v>Premium3</v>
      </c>
      <c r="C48" s="7" t="str">
        <f t="shared" si="1"/>
        <v>Premium</v>
      </c>
      <c r="D48" s="7" t="str">
        <f t="shared" si="2"/>
        <v>bg</v>
      </c>
      <c r="E48" s="6">
        <v>172</v>
      </c>
      <c r="F48" s="7" t="str">
        <f>VLOOKUP(E48,[1]characters!$A:$C,3,FALSE)</f>
        <v>フォルネウス</v>
      </c>
      <c r="G48" s="7" t="str">
        <f>VLOOKUP(E48,[1]characters!$A:$J,10,FALSE)</f>
        <v>PremiumN</v>
      </c>
      <c r="H48" s="7">
        <f>VLOOKUP(E48,[1]characters!$A:$I,9,FALSE)</f>
        <v>3</v>
      </c>
      <c r="I48" s="7" t="str">
        <f>VLOOKUP(E48,[1]characters!$A:$H,8,FALSE)</f>
        <v>blue</v>
      </c>
      <c r="J48" s="7" t="str">
        <f>VLOOKUP(E48,[1]characters!$A:$K,11,FALSE)</f>
        <v>attack</v>
      </c>
      <c r="K48" s="7" t="str">
        <f>VLOOKUP(E48,[1]characters!$A:$M,13,FALSE)</f>
        <v>god</v>
      </c>
      <c r="L48" s="7" t="str">
        <f>VLOOKUP(E48,[1]characters!$A:$G,7,FALSE)</f>
        <v>女性</v>
      </c>
      <c r="M48" s="62">
        <f ca="1">IFERROR(VLOOKUP(E48,input_313010!L:R,7,FALSE),VLOOKUP(tables_313010!B48,input_313010!A:H,8,FALSE))</f>
        <v>189000</v>
      </c>
      <c r="N48" s="63">
        <f ca="1">M48/SUM(M:M)</f>
        <v>6.7567567567567571E-3</v>
      </c>
      <c r="O48" s="31">
        <f>IFERROR(VLOOKUP($E48,bug_conf_sheet!$A:$H,3,FALSE),VLOOKUP("other",bug_conf_sheet!$A:$H,3,FALSE))</f>
        <v>1</v>
      </c>
      <c r="P48" s="31">
        <f>IFERROR(VLOOKUP($E48,bug_conf_sheet!$A:$H,4,FALSE),VLOOKUP("other",bug_conf_sheet!$A:$H,4,FALSE))</f>
        <v>0</v>
      </c>
      <c r="Q48" s="31">
        <f>IFERROR(VLOOKUP($E48,bug_conf_sheet!$A:$H,5,FALSE),VLOOKUP("other",bug_conf_sheet!$A:$H,5,FALSE))</f>
        <v>0</v>
      </c>
      <c r="R48" s="31">
        <f>IFERROR(VLOOKUP($E48,bug_conf_sheet!$A:$H,6,FALSE),VLOOKUP("other",bug_conf_sheet!$A:$H,6,FALSE))</f>
        <v>0</v>
      </c>
      <c r="S48" s="31">
        <f>IFERROR(VLOOKUP($E48,bug_conf_sheet!$A:$H,7,FALSE),VLOOKUP("other",bug_conf_sheet!$A:$H,7,FALSE))</f>
        <v>0</v>
      </c>
      <c r="T48" s="31">
        <f>IFERROR(VLOOKUP($E48,bug_conf_sheet!$A:$H,8,FALSE),VLOOKUP("other",bug_conf_sheet!$A:$H,8,FALSE))</f>
        <v>1</v>
      </c>
    </row>
    <row r="49" spans="1:20" ht="21" customHeight="1">
      <c r="A49" s="2" t="str">
        <f ca="1">input_313010!A$2</f>
        <v>313010</v>
      </c>
      <c r="B49" s="7" t="str">
        <f t="shared" si="0"/>
        <v>Premium4</v>
      </c>
      <c r="C49" s="7" t="str">
        <f t="shared" si="1"/>
        <v>Premium</v>
      </c>
      <c r="D49" s="7" t="str">
        <f t="shared" si="2"/>
        <v>bg</v>
      </c>
      <c r="E49" s="6">
        <v>173</v>
      </c>
      <c r="F49" s="7" t="str">
        <f>VLOOKUP(E49,[1]characters!$A:$C,3,FALSE)</f>
        <v>公爵 フォルネウス</v>
      </c>
      <c r="G49" s="7" t="str">
        <f>VLOOKUP(E49,[1]characters!$A:$J,10,FALSE)</f>
        <v>PremiumN</v>
      </c>
      <c r="H49" s="7">
        <f>VLOOKUP(E49,[1]characters!$A:$I,9,FALSE)</f>
        <v>4</v>
      </c>
      <c r="I49" s="7" t="str">
        <f>VLOOKUP(E49,[1]characters!$A:$H,8,FALSE)</f>
        <v>blue</v>
      </c>
      <c r="J49" s="7" t="str">
        <f>VLOOKUP(E49,[1]characters!$A:$K,11,FALSE)</f>
        <v>attack</v>
      </c>
      <c r="K49" s="7" t="str">
        <f>VLOOKUP(E49,[1]characters!$A:$M,13,FALSE)</f>
        <v>god</v>
      </c>
      <c r="L49" s="7" t="str">
        <f>VLOOKUP(E49,[1]characters!$A:$G,7,FALSE)</f>
        <v>女性</v>
      </c>
      <c r="M49" s="62">
        <f ca="1">IFERROR(VLOOKUP(E49,input_313010!L:R,7,FALSE),VLOOKUP(tables_313010!B49,input_313010!A:H,8,FALSE))</f>
        <v>153090</v>
      </c>
      <c r="N49" s="63">
        <f ca="1">M49/SUM(M:M)</f>
        <v>5.4729729729729726E-3</v>
      </c>
      <c r="O49" s="31">
        <f>IFERROR(VLOOKUP($E49,bug_conf_sheet!$A:$H,3,FALSE),VLOOKUP("other",bug_conf_sheet!$A:$H,3,FALSE))</f>
        <v>1</v>
      </c>
      <c r="P49" s="31">
        <f>IFERROR(VLOOKUP($E49,bug_conf_sheet!$A:$H,4,FALSE),VLOOKUP("other",bug_conf_sheet!$A:$H,4,FALSE))</f>
        <v>0</v>
      </c>
      <c r="Q49" s="31">
        <f>IFERROR(VLOOKUP($E49,bug_conf_sheet!$A:$H,5,FALSE),VLOOKUP("other",bug_conf_sheet!$A:$H,5,FALSE))</f>
        <v>0</v>
      </c>
      <c r="R49" s="31">
        <f>IFERROR(VLOOKUP($E49,bug_conf_sheet!$A:$H,6,FALSE),VLOOKUP("other",bug_conf_sheet!$A:$H,6,FALSE))</f>
        <v>0</v>
      </c>
      <c r="S49" s="31">
        <f>IFERROR(VLOOKUP($E49,bug_conf_sheet!$A:$H,7,FALSE),VLOOKUP("other",bug_conf_sheet!$A:$H,7,FALSE))</f>
        <v>0</v>
      </c>
      <c r="T49" s="31">
        <f>IFERROR(VLOOKUP($E49,bug_conf_sheet!$A:$H,8,FALSE),VLOOKUP("other",bug_conf_sheet!$A:$H,8,FALSE))</f>
        <v>1</v>
      </c>
    </row>
    <row r="50" spans="1:20" ht="21" customHeight="1">
      <c r="A50" s="2" t="str">
        <f ca="1">input_313010!A$2</f>
        <v>313010</v>
      </c>
      <c r="B50" s="7" t="str">
        <f t="shared" si="0"/>
        <v>Premium5</v>
      </c>
      <c r="C50" s="7" t="str">
        <f t="shared" si="1"/>
        <v>Premium</v>
      </c>
      <c r="D50" s="7" t="str">
        <f t="shared" si="2"/>
        <v>bg</v>
      </c>
      <c r="E50" s="6">
        <v>174</v>
      </c>
      <c r="F50" s="7" t="str">
        <f>VLOOKUP(E50,[1]characters!$A:$C,3,FALSE)</f>
        <v>偽愛の大公爵 フォルネウス</v>
      </c>
      <c r="G50" s="7" t="str">
        <f>VLOOKUP(E50,[1]characters!$A:$J,10,FALSE)</f>
        <v>PremiumN</v>
      </c>
      <c r="H50" s="7">
        <f>VLOOKUP(E50,[1]characters!$A:$I,9,FALSE)</f>
        <v>5</v>
      </c>
      <c r="I50" s="7" t="str">
        <f>VLOOKUP(E50,[1]characters!$A:$H,8,FALSE)</f>
        <v>blue</v>
      </c>
      <c r="J50" s="7" t="str">
        <f>VLOOKUP(E50,[1]characters!$A:$K,11,FALSE)</f>
        <v>attack</v>
      </c>
      <c r="K50" s="7" t="str">
        <f>VLOOKUP(E50,[1]characters!$A:$M,13,FALSE)</f>
        <v>god</v>
      </c>
      <c r="L50" s="7" t="str">
        <f>VLOOKUP(E50,[1]characters!$A:$G,7,FALSE)</f>
        <v>女性</v>
      </c>
      <c r="M50" s="62">
        <f ca="1">IFERROR(VLOOKUP(E50,input_313010!L:R,7,FALSE),VLOOKUP(tables_313010!B50,input_313010!A:H,8,FALSE))</f>
        <v>18130</v>
      </c>
      <c r="N50" s="63">
        <f ca="1">M50/SUM(M:M)</f>
        <v>6.4814814814814813E-4</v>
      </c>
      <c r="O50" s="31">
        <f>IFERROR(VLOOKUP($E50,bug_conf_sheet!$A:$H,3,FALSE),VLOOKUP("other",bug_conf_sheet!$A:$H,3,FALSE))</f>
        <v>1</v>
      </c>
      <c r="P50" s="31">
        <f>IFERROR(VLOOKUP($E50,bug_conf_sheet!$A:$H,4,FALSE),VLOOKUP("other",bug_conf_sheet!$A:$H,4,FALSE))</f>
        <v>0</v>
      </c>
      <c r="Q50" s="31">
        <f>IFERROR(VLOOKUP($E50,bug_conf_sheet!$A:$H,5,FALSE),VLOOKUP("other",bug_conf_sheet!$A:$H,5,FALSE))</f>
        <v>0</v>
      </c>
      <c r="R50" s="31">
        <f>IFERROR(VLOOKUP($E50,bug_conf_sheet!$A:$H,6,FALSE),VLOOKUP("other",bug_conf_sheet!$A:$H,6,FALSE))</f>
        <v>0</v>
      </c>
      <c r="S50" s="31">
        <f>IFERROR(VLOOKUP($E50,bug_conf_sheet!$A:$H,7,FALSE),VLOOKUP("other",bug_conf_sheet!$A:$H,7,FALSE))</f>
        <v>0</v>
      </c>
      <c r="T50" s="31">
        <f>IFERROR(VLOOKUP($E50,bug_conf_sheet!$A:$H,8,FALSE),VLOOKUP("other",bug_conf_sheet!$A:$H,8,FALSE))</f>
        <v>1</v>
      </c>
    </row>
    <row r="51" spans="1:20" ht="21" customHeight="1">
      <c r="A51" s="2" t="str">
        <f ca="1">input_313010!A$2</f>
        <v>313010</v>
      </c>
      <c r="B51" s="7" t="str">
        <f t="shared" si="0"/>
        <v>Premium3</v>
      </c>
      <c r="C51" s="7" t="str">
        <f t="shared" si="1"/>
        <v>Premium</v>
      </c>
      <c r="D51" s="7" t="str">
        <f t="shared" si="2"/>
        <v>ry</v>
      </c>
      <c r="E51" s="6">
        <v>175</v>
      </c>
      <c r="F51" s="7" t="str">
        <f>VLOOKUP(E51,[1]characters!$A:$C,3,FALSE)</f>
        <v>バフォメット</v>
      </c>
      <c r="G51" s="7" t="str">
        <f>VLOOKUP(E51,[1]characters!$A:$J,10,FALSE)</f>
        <v>PremiumN</v>
      </c>
      <c r="H51" s="7">
        <f>VLOOKUP(E51,[1]characters!$A:$I,9,FALSE)</f>
        <v>3</v>
      </c>
      <c r="I51" s="7" t="str">
        <f>VLOOKUP(E51,[1]characters!$A:$H,8,FALSE)</f>
        <v>yellow</v>
      </c>
      <c r="J51" s="7" t="str">
        <f>VLOOKUP(E51,[1]characters!$A:$K,11,FALSE)</f>
        <v>attack</v>
      </c>
      <c r="K51" s="7" t="str">
        <f>VLOOKUP(E51,[1]characters!$A:$M,13,FALSE)</f>
        <v>god</v>
      </c>
      <c r="L51" s="7" t="str">
        <f>VLOOKUP(E51,[1]characters!$A:$G,7,FALSE)</f>
        <v>女性</v>
      </c>
      <c r="M51" s="62">
        <f ca="1">IFERROR(VLOOKUP(E51,input_313010!L:R,7,FALSE),VLOOKUP(tables_313010!B51,input_313010!A:H,8,FALSE))</f>
        <v>189000</v>
      </c>
      <c r="N51" s="63">
        <f ca="1">M51/SUM(M:M)</f>
        <v>6.7567567567567571E-3</v>
      </c>
      <c r="O51" s="31">
        <f>IFERROR(VLOOKUP($E51,bug_conf_sheet!$A:$H,3,FALSE),VLOOKUP("other",bug_conf_sheet!$A:$H,3,FALSE))</f>
        <v>1</v>
      </c>
      <c r="P51" s="31">
        <f>IFERROR(VLOOKUP($E51,bug_conf_sheet!$A:$H,4,FALSE),VLOOKUP("other",bug_conf_sheet!$A:$H,4,FALSE))</f>
        <v>0</v>
      </c>
      <c r="Q51" s="31">
        <f>IFERROR(VLOOKUP($E51,bug_conf_sheet!$A:$H,5,FALSE),VLOOKUP("other",bug_conf_sheet!$A:$H,5,FALSE))</f>
        <v>0</v>
      </c>
      <c r="R51" s="31">
        <f>IFERROR(VLOOKUP($E51,bug_conf_sheet!$A:$H,6,FALSE),VLOOKUP("other",bug_conf_sheet!$A:$H,6,FALSE))</f>
        <v>0</v>
      </c>
      <c r="S51" s="31">
        <f>IFERROR(VLOOKUP($E51,bug_conf_sheet!$A:$H,7,FALSE),VLOOKUP("other",bug_conf_sheet!$A:$H,7,FALSE))</f>
        <v>0</v>
      </c>
      <c r="T51" s="31">
        <f>IFERROR(VLOOKUP($E51,bug_conf_sheet!$A:$H,8,FALSE),VLOOKUP("other",bug_conf_sheet!$A:$H,8,FALSE))</f>
        <v>1</v>
      </c>
    </row>
    <row r="52" spans="1:20" ht="21" customHeight="1">
      <c r="A52" s="2" t="str">
        <f ca="1">input_313010!A$2</f>
        <v>313010</v>
      </c>
      <c r="B52" s="7" t="str">
        <f t="shared" si="0"/>
        <v>Premium4</v>
      </c>
      <c r="C52" s="7" t="str">
        <f t="shared" si="1"/>
        <v>Premium</v>
      </c>
      <c r="D52" s="7" t="str">
        <f t="shared" si="2"/>
        <v>ry</v>
      </c>
      <c r="E52" s="6">
        <v>176</v>
      </c>
      <c r="F52" s="7" t="str">
        <f>VLOOKUP(E52,[1]characters!$A:$C,3,FALSE)</f>
        <v>異教徒 バフォメット</v>
      </c>
      <c r="G52" s="7" t="str">
        <f>VLOOKUP(E52,[1]characters!$A:$J,10,FALSE)</f>
        <v>PremiumN</v>
      </c>
      <c r="H52" s="7">
        <f>VLOOKUP(E52,[1]characters!$A:$I,9,FALSE)</f>
        <v>4</v>
      </c>
      <c r="I52" s="7" t="str">
        <f>VLOOKUP(E52,[1]characters!$A:$H,8,FALSE)</f>
        <v>yellow</v>
      </c>
      <c r="J52" s="7" t="str">
        <f>VLOOKUP(E52,[1]characters!$A:$K,11,FALSE)</f>
        <v>attack</v>
      </c>
      <c r="K52" s="7" t="str">
        <f>VLOOKUP(E52,[1]characters!$A:$M,13,FALSE)</f>
        <v>god</v>
      </c>
      <c r="L52" s="7" t="str">
        <f>VLOOKUP(E52,[1]characters!$A:$G,7,FALSE)</f>
        <v>女性</v>
      </c>
      <c r="M52" s="62">
        <f ca="1">IFERROR(VLOOKUP(E52,input_313010!L:R,7,FALSE),VLOOKUP(tables_313010!B52,input_313010!A:H,8,FALSE))</f>
        <v>153090</v>
      </c>
      <c r="N52" s="63">
        <f ca="1">M52/SUM(M:M)</f>
        <v>5.4729729729729726E-3</v>
      </c>
      <c r="O52" s="31">
        <f>IFERROR(VLOOKUP($E52,bug_conf_sheet!$A:$H,3,FALSE),VLOOKUP("other",bug_conf_sheet!$A:$H,3,FALSE))</f>
        <v>1</v>
      </c>
      <c r="P52" s="31">
        <f>IFERROR(VLOOKUP($E52,bug_conf_sheet!$A:$H,4,FALSE),VLOOKUP("other",bug_conf_sheet!$A:$H,4,FALSE))</f>
        <v>0</v>
      </c>
      <c r="Q52" s="31">
        <f>IFERROR(VLOOKUP($E52,bug_conf_sheet!$A:$H,5,FALSE),VLOOKUP("other",bug_conf_sheet!$A:$H,5,FALSE))</f>
        <v>0</v>
      </c>
      <c r="R52" s="31">
        <f>IFERROR(VLOOKUP($E52,bug_conf_sheet!$A:$H,6,FALSE),VLOOKUP("other",bug_conf_sheet!$A:$H,6,FALSE))</f>
        <v>0</v>
      </c>
      <c r="S52" s="31">
        <f>IFERROR(VLOOKUP($E52,bug_conf_sheet!$A:$H,7,FALSE),VLOOKUP("other",bug_conf_sheet!$A:$H,7,FALSE))</f>
        <v>0</v>
      </c>
      <c r="T52" s="31">
        <f>IFERROR(VLOOKUP($E52,bug_conf_sheet!$A:$H,8,FALSE),VLOOKUP("other",bug_conf_sheet!$A:$H,8,FALSE))</f>
        <v>1</v>
      </c>
    </row>
    <row r="53" spans="1:20" ht="21" customHeight="1">
      <c r="A53" s="2" t="str">
        <f ca="1">input_313010!A$2</f>
        <v>313010</v>
      </c>
      <c r="B53" s="7" t="str">
        <f t="shared" si="0"/>
        <v>Premium5</v>
      </c>
      <c r="C53" s="7" t="str">
        <f t="shared" si="1"/>
        <v>Premium</v>
      </c>
      <c r="D53" s="7" t="str">
        <f t="shared" si="2"/>
        <v>ry</v>
      </c>
      <c r="E53" s="6">
        <v>177</v>
      </c>
      <c r="F53" s="7" t="str">
        <f>VLOOKUP(E53,[1]characters!$A:$C,3,FALSE)</f>
        <v>黒魔の異端師 バフォメット</v>
      </c>
      <c r="G53" s="7" t="str">
        <f>VLOOKUP(E53,[1]characters!$A:$J,10,FALSE)</f>
        <v>PremiumN</v>
      </c>
      <c r="H53" s="7">
        <f>VLOOKUP(E53,[1]characters!$A:$I,9,FALSE)</f>
        <v>5</v>
      </c>
      <c r="I53" s="7" t="str">
        <f>VLOOKUP(E53,[1]characters!$A:$H,8,FALSE)</f>
        <v>yellow</v>
      </c>
      <c r="J53" s="7" t="str">
        <f>VLOOKUP(E53,[1]characters!$A:$K,11,FALSE)</f>
        <v>attack</v>
      </c>
      <c r="K53" s="7" t="str">
        <f>VLOOKUP(E53,[1]characters!$A:$M,13,FALSE)</f>
        <v>god</v>
      </c>
      <c r="L53" s="7" t="str">
        <f>VLOOKUP(E53,[1]characters!$A:$G,7,FALSE)</f>
        <v>女性</v>
      </c>
      <c r="M53" s="62">
        <f ca="1">IFERROR(VLOOKUP(E53,input_313010!L:R,7,FALSE),VLOOKUP(tables_313010!B53,input_313010!A:H,8,FALSE))</f>
        <v>18130</v>
      </c>
      <c r="N53" s="63">
        <f ca="1">M53/SUM(M:M)</f>
        <v>6.4814814814814813E-4</v>
      </c>
      <c r="O53" s="31">
        <f>IFERROR(VLOOKUP($E53,bug_conf_sheet!$A:$H,3,FALSE),VLOOKUP("other",bug_conf_sheet!$A:$H,3,FALSE))</f>
        <v>1</v>
      </c>
      <c r="P53" s="31">
        <f>IFERROR(VLOOKUP($E53,bug_conf_sheet!$A:$H,4,FALSE),VLOOKUP("other",bug_conf_sheet!$A:$H,4,FALSE))</f>
        <v>0</v>
      </c>
      <c r="Q53" s="31">
        <f>IFERROR(VLOOKUP($E53,bug_conf_sheet!$A:$H,5,FALSE),VLOOKUP("other",bug_conf_sheet!$A:$H,5,FALSE))</f>
        <v>0</v>
      </c>
      <c r="R53" s="31">
        <f>IFERROR(VLOOKUP($E53,bug_conf_sheet!$A:$H,6,FALSE),VLOOKUP("other",bug_conf_sheet!$A:$H,6,FALSE))</f>
        <v>0</v>
      </c>
      <c r="S53" s="31">
        <f>IFERROR(VLOOKUP($E53,bug_conf_sheet!$A:$H,7,FALSE),VLOOKUP("other",bug_conf_sheet!$A:$H,7,FALSE))</f>
        <v>0</v>
      </c>
      <c r="T53" s="31">
        <f>IFERROR(VLOOKUP($E53,bug_conf_sheet!$A:$H,8,FALSE),VLOOKUP("other",bug_conf_sheet!$A:$H,8,FALSE))</f>
        <v>1</v>
      </c>
    </row>
    <row r="54" spans="1:20" ht="21" customHeight="1">
      <c r="A54" s="2" t="str">
        <f ca="1">input_313010!A$2</f>
        <v>313010</v>
      </c>
      <c r="B54" s="7" t="str">
        <f t="shared" si="0"/>
        <v>Premium3</v>
      </c>
      <c r="C54" s="7" t="str">
        <f t="shared" si="1"/>
        <v>Premium</v>
      </c>
      <c r="D54" s="7" t="str">
        <f t="shared" si="2"/>
        <v>ry</v>
      </c>
      <c r="E54" s="6">
        <v>178</v>
      </c>
      <c r="F54" s="7" t="str">
        <f>VLOOKUP(E54,[1]characters!$A:$C,3,FALSE)</f>
        <v>ケルベロス</v>
      </c>
      <c r="G54" s="7" t="str">
        <f>VLOOKUP(E54,[1]characters!$A:$J,10,FALSE)</f>
        <v>PremiumN</v>
      </c>
      <c r="H54" s="7">
        <f>VLOOKUP(E54,[1]characters!$A:$I,9,FALSE)</f>
        <v>3</v>
      </c>
      <c r="I54" s="7" t="str">
        <f>VLOOKUP(E54,[1]characters!$A:$H,8,FALSE)</f>
        <v>red</v>
      </c>
      <c r="J54" s="7" t="str">
        <f>VLOOKUP(E54,[1]characters!$A:$K,11,FALSE)</f>
        <v>balance</v>
      </c>
      <c r="K54" s="7" t="str">
        <f>VLOOKUP(E54,[1]characters!$A:$M,13,FALSE)</f>
        <v>animal</v>
      </c>
      <c r="L54" s="7" t="str">
        <f>VLOOKUP(E54,[1]characters!$A:$G,7,FALSE)</f>
        <v>女性</v>
      </c>
      <c r="M54" s="62">
        <f ca="1">IFERROR(VLOOKUP(E54,input_313010!L:R,7,FALSE),VLOOKUP(tables_313010!B54,input_313010!A:H,8,FALSE))</f>
        <v>189000</v>
      </c>
      <c r="N54" s="63">
        <f ca="1">M54/SUM(M:M)</f>
        <v>6.7567567567567571E-3</v>
      </c>
      <c r="O54" s="31">
        <f>IFERROR(VLOOKUP($E54,bug_conf_sheet!$A:$H,3,FALSE),VLOOKUP("other",bug_conf_sheet!$A:$H,3,FALSE))</f>
        <v>1</v>
      </c>
      <c r="P54" s="31">
        <f>IFERROR(VLOOKUP($E54,bug_conf_sheet!$A:$H,4,FALSE),VLOOKUP("other",bug_conf_sheet!$A:$H,4,FALSE))</f>
        <v>0</v>
      </c>
      <c r="Q54" s="31">
        <f>IFERROR(VLOOKUP($E54,bug_conf_sheet!$A:$H,5,FALSE),VLOOKUP("other",bug_conf_sheet!$A:$H,5,FALSE))</f>
        <v>0</v>
      </c>
      <c r="R54" s="31">
        <f>IFERROR(VLOOKUP($E54,bug_conf_sheet!$A:$H,6,FALSE),VLOOKUP("other",bug_conf_sheet!$A:$H,6,FALSE))</f>
        <v>0</v>
      </c>
      <c r="S54" s="31">
        <f>IFERROR(VLOOKUP($E54,bug_conf_sheet!$A:$H,7,FALSE),VLOOKUP("other",bug_conf_sheet!$A:$H,7,FALSE))</f>
        <v>0</v>
      </c>
      <c r="T54" s="31">
        <f>IFERROR(VLOOKUP($E54,bug_conf_sheet!$A:$H,8,FALSE),VLOOKUP("other",bug_conf_sheet!$A:$H,8,FALSE))</f>
        <v>1</v>
      </c>
    </row>
    <row r="55" spans="1:20" ht="21" customHeight="1">
      <c r="A55" s="2" t="str">
        <f ca="1">input_313010!A$2</f>
        <v>313010</v>
      </c>
      <c r="B55" s="7" t="str">
        <f t="shared" si="0"/>
        <v>Premium4</v>
      </c>
      <c r="C55" s="7" t="str">
        <f t="shared" si="1"/>
        <v>Premium</v>
      </c>
      <c r="D55" s="7" t="str">
        <f t="shared" si="2"/>
        <v>ry</v>
      </c>
      <c r="E55" s="6">
        <v>179</v>
      </c>
      <c r="F55" s="7" t="str">
        <f>VLOOKUP(E55,[1]characters!$A:$C,3,FALSE)</f>
        <v>番犬 ケルベロス</v>
      </c>
      <c r="G55" s="7" t="str">
        <f>VLOOKUP(E55,[1]characters!$A:$J,10,FALSE)</f>
        <v>PremiumN</v>
      </c>
      <c r="H55" s="7">
        <f>VLOOKUP(E55,[1]characters!$A:$I,9,FALSE)</f>
        <v>4</v>
      </c>
      <c r="I55" s="7" t="str">
        <f>VLOOKUP(E55,[1]characters!$A:$H,8,FALSE)</f>
        <v>red</v>
      </c>
      <c r="J55" s="7" t="str">
        <f>VLOOKUP(E55,[1]characters!$A:$K,11,FALSE)</f>
        <v>balance</v>
      </c>
      <c r="K55" s="7" t="str">
        <f>VLOOKUP(E55,[1]characters!$A:$M,13,FALSE)</f>
        <v>animal</v>
      </c>
      <c r="L55" s="7" t="str">
        <f>VLOOKUP(E55,[1]characters!$A:$G,7,FALSE)</f>
        <v>女性</v>
      </c>
      <c r="M55" s="62">
        <f ca="1">IFERROR(VLOOKUP(E55,input_313010!L:R,7,FALSE),VLOOKUP(tables_313010!B55,input_313010!A:H,8,FALSE))</f>
        <v>153090</v>
      </c>
      <c r="N55" s="63">
        <f ca="1">M55/SUM(M:M)</f>
        <v>5.4729729729729726E-3</v>
      </c>
      <c r="O55" s="31">
        <f>IFERROR(VLOOKUP($E55,bug_conf_sheet!$A:$H,3,FALSE),VLOOKUP("other",bug_conf_sheet!$A:$H,3,FALSE))</f>
        <v>1</v>
      </c>
      <c r="P55" s="31">
        <f>IFERROR(VLOOKUP($E55,bug_conf_sheet!$A:$H,4,FALSE),VLOOKUP("other",bug_conf_sheet!$A:$H,4,FALSE))</f>
        <v>0</v>
      </c>
      <c r="Q55" s="31">
        <f>IFERROR(VLOOKUP($E55,bug_conf_sheet!$A:$H,5,FALSE),VLOOKUP("other",bug_conf_sheet!$A:$H,5,FALSE))</f>
        <v>0</v>
      </c>
      <c r="R55" s="31">
        <f>IFERROR(VLOOKUP($E55,bug_conf_sheet!$A:$H,6,FALSE),VLOOKUP("other",bug_conf_sheet!$A:$H,6,FALSE))</f>
        <v>0</v>
      </c>
      <c r="S55" s="31">
        <f>IFERROR(VLOOKUP($E55,bug_conf_sheet!$A:$H,7,FALSE),VLOOKUP("other",bug_conf_sheet!$A:$H,7,FALSE))</f>
        <v>0</v>
      </c>
      <c r="T55" s="31">
        <f>IFERROR(VLOOKUP($E55,bug_conf_sheet!$A:$H,8,FALSE),VLOOKUP("other",bug_conf_sheet!$A:$H,8,FALSE))</f>
        <v>1</v>
      </c>
    </row>
    <row r="56" spans="1:20" ht="21" customHeight="1">
      <c r="A56" s="2" t="str">
        <f ca="1">input_313010!A$2</f>
        <v>313010</v>
      </c>
      <c r="B56" s="7" t="str">
        <f t="shared" si="0"/>
        <v>Premium5</v>
      </c>
      <c r="C56" s="7" t="str">
        <f t="shared" si="1"/>
        <v>Premium</v>
      </c>
      <c r="D56" s="7" t="str">
        <f t="shared" si="2"/>
        <v>ry</v>
      </c>
      <c r="E56" s="6">
        <v>180</v>
      </c>
      <c r="F56" s="7" t="str">
        <f>VLOOKUP(E56,[1]characters!$A:$C,3,FALSE)</f>
        <v>地獄の大門番 ケルベロス</v>
      </c>
      <c r="G56" s="7" t="str">
        <f>VLOOKUP(E56,[1]characters!$A:$J,10,FALSE)</f>
        <v>PremiumN</v>
      </c>
      <c r="H56" s="7">
        <f>VLOOKUP(E56,[1]characters!$A:$I,9,FALSE)</f>
        <v>5</v>
      </c>
      <c r="I56" s="7" t="str">
        <f>VLOOKUP(E56,[1]characters!$A:$H,8,FALSE)</f>
        <v>red</v>
      </c>
      <c r="J56" s="7" t="str">
        <f>VLOOKUP(E56,[1]characters!$A:$K,11,FALSE)</f>
        <v>balance</v>
      </c>
      <c r="K56" s="7" t="str">
        <f>VLOOKUP(E56,[1]characters!$A:$M,13,FALSE)</f>
        <v>animal</v>
      </c>
      <c r="L56" s="7" t="str">
        <f>VLOOKUP(E56,[1]characters!$A:$G,7,FALSE)</f>
        <v>女性</v>
      </c>
      <c r="M56" s="62">
        <f ca="1">IFERROR(VLOOKUP(E56,input_313010!L:R,7,FALSE),VLOOKUP(tables_313010!B56,input_313010!A:H,8,FALSE))</f>
        <v>18130</v>
      </c>
      <c r="N56" s="63">
        <f ca="1">M56/SUM(M:M)</f>
        <v>6.4814814814814813E-4</v>
      </c>
      <c r="O56" s="31">
        <f>IFERROR(VLOOKUP($E56,bug_conf_sheet!$A:$H,3,FALSE),VLOOKUP("other",bug_conf_sheet!$A:$H,3,FALSE))</f>
        <v>1</v>
      </c>
      <c r="P56" s="31">
        <f>IFERROR(VLOOKUP($E56,bug_conf_sheet!$A:$H,4,FALSE),VLOOKUP("other",bug_conf_sheet!$A:$H,4,FALSE))</f>
        <v>0</v>
      </c>
      <c r="Q56" s="31">
        <f>IFERROR(VLOOKUP($E56,bug_conf_sheet!$A:$H,5,FALSE),VLOOKUP("other",bug_conf_sheet!$A:$H,5,FALSE))</f>
        <v>0</v>
      </c>
      <c r="R56" s="31">
        <f>IFERROR(VLOOKUP($E56,bug_conf_sheet!$A:$H,6,FALSE),VLOOKUP("other",bug_conf_sheet!$A:$H,6,FALSE))</f>
        <v>0</v>
      </c>
      <c r="S56" s="31">
        <f>IFERROR(VLOOKUP($E56,bug_conf_sheet!$A:$H,7,FALSE),VLOOKUP("other",bug_conf_sheet!$A:$H,7,FALSE))</f>
        <v>0</v>
      </c>
      <c r="T56" s="31">
        <f>IFERROR(VLOOKUP($E56,bug_conf_sheet!$A:$H,8,FALSE),VLOOKUP("other",bug_conf_sheet!$A:$H,8,FALSE))</f>
        <v>1</v>
      </c>
    </row>
    <row r="57" spans="1:20" ht="21" customHeight="1">
      <c r="A57" s="2" t="str">
        <f ca="1">input_313010!A$2</f>
        <v>313010</v>
      </c>
      <c r="B57" s="7" t="str">
        <f t="shared" si="0"/>
        <v>Premium3</v>
      </c>
      <c r="C57" s="7" t="str">
        <f t="shared" si="1"/>
        <v>Premium</v>
      </c>
      <c r="D57" s="7" t="str">
        <f t="shared" si="2"/>
        <v>bg</v>
      </c>
      <c r="E57" s="6">
        <v>181</v>
      </c>
      <c r="F57" s="7" t="str">
        <f>VLOOKUP(E57,[1]characters!$A:$C,3,FALSE)</f>
        <v>ベヒモス</v>
      </c>
      <c r="G57" s="7" t="str">
        <f>VLOOKUP(E57,[1]characters!$A:$J,10,FALSE)</f>
        <v>PremiumN</v>
      </c>
      <c r="H57" s="7">
        <f>VLOOKUP(E57,[1]characters!$A:$I,9,FALSE)</f>
        <v>3</v>
      </c>
      <c r="I57" s="7" t="str">
        <f>VLOOKUP(E57,[1]characters!$A:$H,8,FALSE)</f>
        <v>green</v>
      </c>
      <c r="J57" s="7" t="str">
        <f>VLOOKUP(E57,[1]characters!$A:$K,11,FALSE)</f>
        <v>hp</v>
      </c>
      <c r="K57" s="7" t="str">
        <f>VLOOKUP(E57,[1]characters!$A:$M,13,FALSE)</f>
        <v>animal</v>
      </c>
      <c r="L57" s="7" t="str">
        <f>VLOOKUP(E57,[1]characters!$A:$G,7,FALSE)</f>
        <v>女性</v>
      </c>
      <c r="M57" s="62">
        <f ca="1">IFERROR(VLOOKUP(E57,input_313010!L:R,7,FALSE),VLOOKUP(tables_313010!B57,input_313010!A:H,8,FALSE))</f>
        <v>189000</v>
      </c>
      <c r="N57" s="63">
        <f ca="1">M57/SUM(M:M)</f>
        <v>6.7567567567567571E-3</v>
      </c>
      <c r="O57" s="31">
        <f>IFERROR(VLOOKUP($E57,bug_conf_sheet!$A:$H,3,FALSE),VLOOKUP("other",bug_conf_sheet!$A:$H,3,FALSE))</f>
        <v>1</v>
      </c>
      <c r="P57" s="31">
        <f>IFERROR(VLOOKUP($E57,bug_conf_sheet!$A:$H,4,FALSE),VLOOKUP("other",bug_conf_sheet!$A:$H,4,FALSE))</f>
        <v>0</v>
      </c>
      <c r="Q57" s="31">
        <f>IFERROR(VLOOKUP($E57,bug_conf_sheet!$A:$H,5,FALSE),VLOOKUP("other",bug_conf_sheet!$A:$H,5,FALSE))</f>
        <v>0</v>
      </c>
      <c r="R57" s="31">
        <f>IFERROR(VLOOKUP($E57,bug_conf_sheet!$A:$H,6,FALSE),VLOOKUP("other",bug_conf_sheet!$A:$H,6,FALSE))</f>
        <v>0</v>
      </c>
      <c r="S57" s="31">
        <f>IFERROR(VLOOKUP($E57,bug_conf_sheet!$A:$H,7,FALSE),VLOOKUP("other",bug_conf_sheet!$A:$H,7,FALSE))</f>
        <v>0</v>
      </c>
      <c r="T57" s="31">
        <f>IFERROR(VLOOKUP($E57,bug_conf_sheet!$A:$H,8,FALSE),VLOOKUP("other",bug_conf_sheet!$A:$H,8,FALSE))</f>
        <v>1</v>
      </c>
    </row>
    <row r="58" spans="1:20" ht="21" customHeight="1">
      <c r="A58" s="2" t="str">
        <f ca="1">input_313010!A$2</f>
        <v>313010</v>
      </c>
      <c r="B58" s="7" t="str">
        <f t="shared" si="0"/>
        <v>Premium4</v>
      </c>
      <c r="C58" s="7" t="str">
        <f t="shared" si="1"/>
        <v>Premium</v>
      </c>
      <c r="D58" s="7" t="str">
        <f t="shared" si="2"/>
        <v>bg</v>
      </c>
      <c r="E58" s="6">
        <v>182</v>
      </c>
      <c r="F58" s="7" t="str">
        <f>VLOOKUP(E58,[1]characters!$A:$C,3,FALSE)</f>
        <v>放蕩者 ベヒモス</v>
      </c>
      <c r="G58" s="7" t="str">
        <f>VLOOKUP(E58,[1]characters!$A:$J,10,FALSE)</f>
        <v>PremiumN</v>
      </c>
      <c r="H58" s="7">
        <f>VLOOKUP(E58,[1]characters!$A:$I,9,FALSE)</f>
        <v>4</v>
      </c>
      <c r="I58" s="7" t="str">
        <f>VLOOKUP(E58,[1]characters!$A:$H,8,FALSE)</f>
        <v>green</v>
      </c>
      <c r="J58" s="7" t="str">
        <f>VLOOKUP(E58,[1]characters!$A:$K,11,FALSE)</f>
        <v>hp</v>
      </c>
      <c r="K58" s="7" t="str">
        <f>VLOOKUP(E58,[1]characters!$A:$M,13,FALSE)</f>
        <v>animal</v>
      </c>
      <c r="L58" s="7" t="str">
        <f>VLOOKUP(E58,[1]characters!$A:$G,7,FALSE)</f>
        <v>女性</v>
      </c>
      <c r="M58" s="62">
        <f ca="1">IFERROR(VLOOKUP(E58,input_313010!L:R,7,FALSE),VLOOKUP(tables_313010!B58,input_313010!A:H,8,FALSE))</f>
        <v>153090</v>
      </c>
      <c r="N58" s="63">
        <f ca="1">M58/SUM(M:M)</f>
        <v>5.4729729729729726E-3</v>
      </c>
      <c r="O58" s="31">
        <f>IFERROR(VLOOKUP($E58,bug_conf_sheet!$A:$H,3,FALSE),VLOOKUP("other",bug_conf_sheet!$A:$H,3,FALSE))</f>
        <v>1</v>
      </c>
      <c r="P58" s="31">
        <f>IFERROR(VLOOKUP($E58,bug_conf_sheet!$A:$H,4,FALSE),VLOOKUP("other",bug_conf_sheet!$A:$H,4,FALSE))</f>
        <v>0</v>
      </c>
      <c r="Q58" s="31">
        <f>IFERROR(VLOOKUP($E58,bug_conf_sheet!$A:$H,5,FALSE),VLOOKUP("other",bug_conf_sheet!$A:$H,5,FALSE))</f>
        <v>0</v>
      </c>
      <c r="R58" s="31">
        <f>IFERROR(VLOOKUP($E58,bug_conf_sheet!$A:$H,6,FALSE),VLOOKUP("other",bug_conf_sheet!$A:$H,6,FALSE))</f>
        <v>0</v>
      </c>
      <c r="S58" s="31">
        <f>IFERROR(VLOOKUP($E58,bug_conf_sheet!$A:$H,7,FALSE),VLOOKUP("other",bug_conf_sheet!$A:$H,7,FALSE))</f>
        <v>0</v>
      </c>
      <c r="T58" s="31">
        <f>IFERROR(VLOOKUP($E58,bug_conf_sheet!$A:$H,8,FALSE),VLOOKUP("other",bug_conf_sheet!$A:$H,8,FALSE))</f>
        <v>1</v>
      </c>
    </row>
    <row r="59" spans="1:20" ht="21" customHeight="1">
      <c r="A59" s="2" t="str">
        <f ca="1">input_313010!A$2</f>
        <v>313010</v>
      </c>
      <c r="B59" s="7" t="str">
        <f t="shared" si="0"/>
        <v>Premium5</v>
      </c>
      <c r="C59" s="7" t="str">
        <f t="shared" si="1"/>
        <v>Premium</v>
      </c>
      <c r="D59" s="7" t="str">
        <f t="shared" si="2"/>
        <v>bg</v>
      </c>
      <c r="E59" s="6">
        <v>183</v>
      </c>
      <c r="F59" s="7" t="str">
        <f>VLOOKUP(E59,[1]characters!$A:$C,3,FALSE)</f>
        <v>鈍重な彷徨者 ベヒモス</v>
      </c>
      <c r="G59" s="7" t="str">
        <f>VLOOKUP(E59,[1]characters!$A:$J,10,FALSE)</f>
        <v>PremiumN</v>
      </c>
      <c r="H59" s="7">
        <f>VLOOKUP(E59,[1]characters!$A:$I,9,FALSE)</f>
        <v>5</v>
      </c>
      <c r="I59" s="7" t="str">
        <f>VLOOKUP(E59,[1]characters!$A:$H,8,FALSE)</f>
        <v>green</v>
      </c>
      <c r="J59" s="7" t="str">
        <f>VLOOKUP(E59,[1]characters!$A:$K,11,FALSE)</f>
        <v>hp</v>
      </c>
      <c r="K59" s="7" t="str">
        <f>VLOOKUP(E59,[1]characters!$A:$M,13,FALSE)</f>
        <v>animal</v>
      </c>
      <c r="L59" s="7" t="str">
        <f>VLOOKUP(E59,[1]characters!$A:$G,7,FALSE)</f>
        <v>女性</v>
      </c>
      <c r="M59" s="62">
        <f ca="1">IFERROR(VLOOKUP(E59,input_313010!L:R,7,FALSE),VLOOKUP(tables_313010!B59,input_313010!A:H,8,FALSE))</f>
        <v>18130</v>
      </c>
      <c r="N59" s="63">
        <f ca="1">M59/SUM(M:M)</f>
        <v>6.4814814814814813E-4</v>
      </c>
      <c r="O59" s="31">
        <f>IFERROR(VLOOKUP($E59,bug_conf_sheet!$A:$H,3,FALSE),VLOOKUP("other",bug_conf_sheet!$A:$H,3,FALSE))</f>
        <v>1</v>
      </c>
      <c r="P59" s="31">
        <f>IFERROR(VLOOKUP($E59,bug_conf_sheet!$A:$H,4,FALSE),VLOOKUP("other",bug_conf_sheet!$A:$H,4,FALSE))</f>
        <v>0</v>
      </c>
      <c r="Q59" s="31">
        <f>IFERROR(VLOOKUP($E59,bug_conf_sheet!$A:$H,5,FALSE),VLOOKUP("other",bug_conf_sheet!$A:$H,5,FALSE))</f>
        <v>0</v>
      </c>
      <c r="R59" s="31">
        <f>IFERROR(VLOOKUP($E59,bug_conf_sheet!$A:$H,6,FALSE),VLOOKUP("other",bug_conf_sheet!$A:$H,6,FALSE))</f>
        <v>0</v>
      </c>
      <c r="S59" s="31">
        <f>IFERROR(VLOOKUP($E59,bug_conf_sheet!$A:$H,7,FALSE),VLOOKUP("other",bug_conf_sheet!$A:$H,7,FALSE))</f>
        <v>0</v>
      </c>
      <c r="T59" s="31">
        <f>IFERROR(VLOOKUP($E59,bug_conf_sheet!$A:$H,8,FALSE),VLOOKUP("other",bug_conf_sheet!$A:$H,8,FALSE))</f>
        <v>1</v>
      </c>
    </row>
    <row r="60" spans="1:20" ht="21" customHeight="1">
      <c r="A60" s="2" t="str">
        <f ca="1">input_313010!A$2</f>
        <v>313010</v>
      </c>
      <c r="B60" s="7" t="str">
        <f t="shared" si="0"/>
        <v>Premium3</v>
      </c>
      <c r="C60" s="7" t="str">
        <f t="shared" si="1"/>
        <v>Premium</v>
      </c>
      <c r="D60" s="7" t="str">
        <f t="shared" si="2"/>
        <v>bg</v>
      </c>
      <c r="E60" s="6">
        <v>184</v>
      </c>
      <c r="F60" s="7" t="str">
        <f>VLOOKUP(E60,[1]characters!$A:$C,3,FALSE)</f>
        <v>クラーケン</v>
      </c>
      <c r="G60" s="7" t="str">
        <f>VLOOKUP(E60,[1]characters!$A:$J,10,FALSE)</f>
        <v>PremiumN</v>
      </c>
      <c r="H60" s="7">
        <f>VLOOKUP(E60,[1]characters!$A:$I,9,FALSE)</f>
        <v>3</v>
      </c>
      <c r="I60" s="7" t="str">
        <f>VLOOKUP(E60,[1]characters!$A:$H,8,FALSE)</f>
        <v>blue</v>
      </c>
      <c r="J60" s="7" t="str">
        <f>VLOOKUP(E60,[1]characters!$A:$K,11,FALSE)</f>
        <v>heal</v>
      </c>
      <c r="K60" s="7" t="str">
        <f>VLOOKUP(E60,[1]characters!$A:$M,13,FALSE)</f>
        <v>animal</v>
      </c>
      <c r="L60" s="7" t="str">
        <f>VLOOKUP(E60,[1]characters!$A:$G,7,FALSE)</f>
        <v>女性</v>
      </c>
      <c r="M60" s="62">
        <f ca="1">IFERROR(VLOOKUP(E60,input_313010!L:R,7,FALSE),VLOOKUP(tables_313010!B60,input_313010!A:H,8,FALSE))</f>
        <v>189000</v>
      </c>
      <c r="N60" s="63">
        <f ca="1">M60/SUM(M:M)</f>
        <v>6.7567567567567571E-3</v>
      </c>
      <c r="O60" s="31">
        <f>IFERROR(VLOOKUP($E60,bug_conf_sheet!$A:$H,3,FALSE),VLOOKUP("other",bug_conf_sheet!$A:$H,3,FALSE))</f>
        <v>1</v>
      </c>
      <c r="P60" s="31">
        <f>IFERROR(VLOOKUP($E60,bug_conf_sheet!$A:$H,4,FALSE),VLOOKUP("other",bug_conf_sheet!$A:$H,4,FALSE))</f>
        <v>0</v>
      </c>
      <c r="Q60" s="31">
        <f>IFERROR(VLOOKUP($E60,bug_conf_sheet!$A:$H,5,FALSE),VLOOKUP("other",bug_conf_sheet!$A:$H,5,FALSE))</f>
        <v>0</v>
      </c>
      <c r="R60" s="31">
        <f>IFERROR(VLOOKUP($E60,bug_conf_sheet!$A:$H,6,FALSE),VLOOKUP("other",bug_conf_sheet!$A:$H,6,FALSE))</f>
        <v>0</v>
      </c>
      <c r="S60" s="31">
        <f>IFERROR(VLOOKUP($E60,bug_conf_sheet!$A:$H,7,FALSE),VLOOKUP("other",bug_conf_sheet!$A:$H,7,FALSE))</f>
        <v>0</v>
      </c>
      <c r="T60" s="31">
        <f>IFERROR(VLOOKUP($E60,bug_conf_sheet!$A:$H,8,FALSE),VLOOKUP("other",bug_conf_sheet!$A:$H,8,FALSE))</f>
        <v>1</v>
      </c>
    </row>
    <row r="61" spans="1:20" ht="21" customHeight="1">
      <c r="A61" s="2" t="str">
        <f ca="1">input_313010!A$2</f>
        <v>313010</v>
      </c>
      <c r="B61" s="7" t="str">
        <f t="shared" si="0"/>
        <v>Premium4</v>
      </c>
      <c r="C61" s="7" t="str">
        <f t="shared" si="1"/>
        <v>Premium</v>
      </c>
      <c r="D61" s="7" t="str">
        <f t="shared" si="2"/>
        <v>bg</v>
      </c>
      <c r="E61" s="6">
        <v>185</v>
      </c>
      <c r="F61" s="7" t="str">
        <f>VLOOKUP(E61,[1]characters!$A:$C,3,FALSE)</f>
        <v>海姫 クラーケン</v>
      </c>
      <c r="G61" s="7" t="str">
        <f>VLOOKUP(E61,[1]characters!$A:$J,10,FALSE)</f>
        <v>PremiumN</v>
      </c>
      <c r="H61" s="7">
        <f>VLOOKUP(E61,[1]characters!$A:$I,9,FALSE)</f>
        <v>4</v>
      </c>
      <c r="I61" s="7" t="str">
        <f>VLOOKUP(E61,[1]characters!$A:$H,8,FALSE)</f>
        <v>blue</v>
      </c>
      <c r="J61" s="7" t="str">
        <f>VLOOKUP(E61,[1]characters!$A:$K,11,FALSE)</f>
        <v>heal</v>
      </c>
      <c r="K61" s="7" t="str">
        <f>VLOOKUP(E61,[1]characters!$A:$M,13,FALSE)</f>
        <v>animal</v>
      </c>
      <c r="L61" s="7" t="str">
        <f>VLOOKUP(E61,[1]characters!$A:$G,7,FALSE)</f>
        <v>女性</v>
      </c>
      <c r="M61" s="62">
        <f ca="1">IFERROR(VLOOKUP(E61,input_313010!L:R,7,FALSE),VLOOKUP(tables_313010!B61,input_313010!A:H,8,FALSE))</f>
        <v>153090</v>
      </c>
      <c r="N61" s="63">
        <f ca="1">M61/SUM(M:M)</f>
        <v>5.4729729729729726E-3</v>
      </c>
      <c r="O61" s="31">
        <f>IFERROR(VLOOKUP($E61,bug_conf_sheet!$A:$H,3,FALSE),VLOOKUP("other",bug_conf_sheet!$A:$H,3,FALSE))</f>
        <v>1</v>
      </c>
      <c r="P61" s="31">
        <f>IFERROR(VLOOKUP($E61,bug_conf_sheet!$A:$H,4,FALSE),VLOOKUP("other",bug_conf_sheet!$A:$H,4,FALSE))</f>
        <v>0</v>
      </c>
      <c r="Q61" s="31">
        <f>IFERROR(VLOOKUP($E61,bug_conf_sheet!$A:$H,5,FALSE),VLOOKUP("other",bug_conf_sheet!$A:$H,5,FALSE))</f>
        <v>0</v>
      </c>
      <c r="R61" s="31">
        <f>IFERROR(VLOOKUP($E61,bug_conf_sheet!$A:$H,6,FALSE),VLOOKUP("other",bug_conf_sheet!$A:$H,6,FALSE))</f>
        <v>0</v>
      </c>
      <c r="S61" s="31">
        <f>IFERROR(VLOOKUP($E61,bug_conf_sheet!$A:$H,7,FALSE),VLOOKUP("other",bug_conf_sheet!$A:$H,7,FALSE))</f>
        <v>0</v>
      </c>
      <c r="T61" s="31">
        <f>IFERROR(VLOOKUP($E61,bug_conf_sheet!$A:$H,8,FALSE),VLOOKUP("other",bug_conf_sheet!$A:$H,8,FALSE))</f>
        <v>1</v>
      </c>
    </row>
    <row r="62" spans="1:20" ht="21" customHeight="1">
      <c r="A62" s="2" t="str">
        <f ca="1">input_313010!A$2</f>
        <v>313010</v>
      </c>
      <c r="B62" s="7" t="str">
        <f t="shared" si="0"/>
        <v>Premium5</v>
      </c>
      <c r="C62" s="7" t="str">
        <f t="shared" si="1"/>
        <v>Premium</v>
      </c>
      <c r="D62" s="7" t="str">
        <f t="shared" si="2"/>
        <v>bg</v>
      </c>
      <c r="E62" s="8">
        <v>186</v>
      </c>
      <c r="F62" s="7" t="str">
        <f>VLOOKUP(E62,[1]characters!$A:$C,3,FALSE)</f>
        <v>誇り高き多触姫・クラーケン</v>
      </c>
      <c r="G62" s="7" t="str">
        <f>VLOOKUP(E62,[1]characters!$A:$J,10,FALSE)</f>
        <v>PremiumN</v>
      </c>
      <c r="H62" s="7">
        <f>VLOOKUP(E62,[1]characters!$A:$I,9,FALSE)</f>
        <v>5</v>
      </c>
      <c r="I62" s="7" t="str">
        <f>VLOOKUP(E62,[1]characters!$A:$H,8,FALSE)</f>
        <v>blue</v>
      </c>
      <c r="J62" s="7" t="str">
        <f>VLOOKUP(E62,[1]characters!$A:$K,11,FALSE)</f>
        <v>heal</v>
      </c>
      <c r="K62" s="7" t="str">
        <f>VLOOKUP(E62,[1]characters!$A:$M,13,FALSE)</f>
        <v>animal</v>
      </c>
      <c r="L62" s="7" t="str">
        <f>VLOOKUP(E62,[1]characters!$A:$G,7,FALSE)</f>
        <v>女性</v>
      </c>
      <c r="M62" s="62">
        <f ca="1">IFERROR(VLOOKUP(E62,input_313010!L:R,7,FALSE),VLOOKUP(tables_313010!B62,input_313010!A:H,8,FALSE))</f>
        <v>18130</v>
      </c>
      <c r="N62" s="63">
        <f ca="1">M62/SUM(M:M)</f>
        <v>6.4814814814814813E-4</v>
      </c>
      <c r="O62" s="31">
        <f>IFERROR(VLOOKUP($E62,bug_conf_sheet!$A:$H,3,FALSE),VLOOKUP("other",bug_conf_sheet!$A:$H,3,FALSE))</f>
        <v>1</v>
      </c>
      <c r="P62" s="31">
        <f>IFERROR(VLOOKUP($E62,bug_conf_sheet!$A:$H,4,FALSE),VLOOKUP("other",bug_conf_sheet!$A:$H,4,FALSE))</f>
        <v>0</v>
      </c>
      <c r="Q62" s="31">
        <f>IFERROR(VLOOKUP($E62,bug_conf_sheet!$A:$H,5,FALSE),VLOOKUP("other",bug_conf_sheet!$A:$H,5,FALSE))</f>
        <v>0</v>
      </c>
      <c r="R62" s="31">
        <f>IFERROR(VLOOKUP($E62,bug_conf_sheet!$A:$H,6,FALSE),VLOOKUP("other",bug_conf_sheet!$A:$H,6,FALSE))</f>
        <v>0</v>
      </c>
      <c r="S62" s="31">
        <f>IFERROR(VLOOKUP($E62,bug_conf_sheet!$A:$H,7,FALSE),VLOOKUP("other",bug_conf_sheet!$A:$H,7,FALSE))</f>
        <v>0</v>
      </c>
      <c r="T62" s="31">
        <f>IFERROR(VLOOKUP($E62,bug_conf_sheet!$A:$H,8,FALSE),VLOOKUP("other",bug_conf_sheet!$A:$H,8,FALSE))</f>
        <v>1</v>
      </c>
    </row>
    <row r="63" spans="1:20" ht="21" customHeight="1">
      <c r="A63" s="2" t="str">
        <f ca="1">input_313010!A$2</f>
        <v>313010</v>
      </c>
      <c r="B63" s="7" t="str">
        <f t="shared" si="0"/>
        <v>Premium3</v>
      </c>
      <c r="C63" s="7" t="str">
        <f t="shared" si="1"/>
        <v>Premium</v>
      </c>
      <c r="D63" s="7" t="str">
        <f t="shared" si="2"/>
        <v>ry</v>
      </c>
      <c r="E63" s="8">
        <v>187</v>
      </c>
      <c r="F63" s="7" t="str">
        <f>VLOOKUP(E63,[1]characters!$A:$C,3,FALSE)</f>
        <v>ホルス</v>
      </c>
      <c r="G63" s="7" t="str">
        <f>VLOOKUP(E63,[1]characters!$A:$J,10,FALSE)</f>
        <v>PremiumN</v>
      </c>
      <c r="H63" s="7">
        <f>VLOOKUP(E63,[1]characters!$A:$I,9,FALSE)</f>
        <v>3</v>
      </c>
      <c r="I63" s="7" t="str">
        <f>VLOOKUP(E63,[1]characters!$A:$H,8,FALSE)</f>
        <v>yellow</v>
      </c>
      <c r="J63" s="7" t="str">
        <f>VLOOKUP(E63,[1]characters!$A:$K,11,FALSE)</f>
        <v>attack</v>
      </c>
      <c r="K63" s="7" t="str">
        <f>VLOOKUP(E63,[1]characters!$A:$M,13,FALSE)</f>
        <v>animal</v>
      </c>
      <c r="L63" s="7" t="str">
        <f>VLOOKUP(E63,[1]characters!$A:$G,7,FALSE)</f>
        <v>女性</v>
      </c>
      <c r="M63" s="62">
        <f ca="1">IFERROR(VLOOKUP(E63,input_313010!L:R,7,FALSE),VLOOKUP(tables_313010!B63,input_313010!A:H,8,FALSE))</f>
        <v>189000</v>
      </c>
      <c r="N63" s="63">
        <f ca="1">M63/SUM(M:M)</f>
        <v>6.7567567567567571E-3</v>
      </c>
      <c r="O63" s="31">
        <f>IFERROR(VLOOKUP($E63,bug_conf_sheet!$A:$H,3,FALSE),VLOOKUP("other",bug_conf_sheet!$A:$H,3,FALSE))</f>
        <v>1</v>
      </c>
      <c r="P63" s="31">
        <f>IFERROR(VLOOKUP($E63,bug_conf_sheet!$A:$H,4,FALSE),VLOOKUP("other",bug_conf_sheet!$A:$H,4,FALSE))</f>
        <v>0</v>
      </c>
      <c r="Q63" s="31">
        <f>IFERROR(VLOOKUP($E63,bug_conf_sheet!$A:$H,5,FALSE),VLOOKUP("other",bug_conf_sheet!$A:$H,5,FALSE))</f>
        <v>0</v>
      </c>
      <c r="R63" s="31">
        <f>IFERROR(VLOOKUP($E63,bug_conf_sheet!$A:$H,6,FALSE),VLOOKUP("other",bug_conf_sheet!$A:$H,6,FALSE))</f>
        <v>0</v>
      </c>
      <c r="S63" s="31">
        <f>IFERROR(VLOOKUP($E63,bug_conf_sheet!$A:$H,7,FALSE),VLOOKUP("other",bug_conf_sheet!$A:$H,7,FALSE))</f>
        <v>0</v>
      </c>
      <c r="T63" s="31">
        <f>IFERROR(VLOOKUP($E63,bug_conf_sheet!$A:$H,8,FALSE),VLOOKUP("other",bug_conf_sheet!$A:$H,8,FALSE))</f>
        <v>1</v>
      </c>
    </row>
    <row r="64" spans="1:20" ht="21" customHeight="1">
      <c r="A64" s="2" t="str">
        <f ca="1">input_313010!A$2</f>
        <v>313010</v>
      </c>
      <c r="B64" s="7" t="str">
        <f t="shared" si="0"/>
        <v>Premium4</v>
      </c>
      <c r="C64" s="7" t="str">
        <f t="shared" si="1"/>
        <v>Premium</v>
      </c>
      <c r="D64" s="7" t="str">
        <f t="shared" si="2"/>
        <v>ry</v>
      </c>
      <c r="E64" s="8">
        <v>188</v>
      </c>
      <c r="F64" s="7" t="str">
        <f>VLOOKUP(E64,[1]characters!$A:$C,3,FALSE)</f>
        <v>猛禽 ホルス</v>
      </c>
      <c r="G64" s="7" t="str">
        <f>VLOOKUP(E64,[1]characters!$A:$J,10,FALSE)</f>
        <v>PremiumN</v>
      </c>
      <c r="H64" s="7">
        <f>VLOOKUP(E64,[1]characters!$A:$I,9,FALSE)</f>
        <v>4</v>
      </c>
      <c r="I64" s="7" t="str">
        <f>VLOOKUP(E64,[1]characters!$A:$H,8,FALSE)</f>
        <v>yellow</v>
      </c>
      <c r="J64" s="7" t="str">
        <f>VLOOKUP(E64,[1]characters!$A:$K,11,FALSE)</f>
        <v>attack</v>
      </c>
      <c r="K64" s="7" t="str">
        <f>VLOOKUP(E64,[1]characters!$A:$M,13,FALSE)</f>
        <v>animal</v>
      </c>
      <c r="L64" s="7" t="str">
        <f>VLOOKUP(E64,[1]characters!$A:$G,7,FALSE)</f>
        <v>女性</v>
      </c>
      <c r="M64" s="62">
        <f ca="1">IFERROR(VLOOKUP(E64,input_313010!L:R,7,FALSE),VLOOKUP(tables_313010!B64,input_313010!A:H,8,FALSE))</f>
        <v>153090</v>
      </c>
      <c r="N64" s="63">
        <f ca="1">M64/SUM(M:M)</f>
        <v>5.4729729729729726E-3</v>
      </c>
      <c r="O64" s="31">
        <f>IFERROR(VLOOKUP($E64,bug_conf_sheet!$A:$H,3,FALSE),VLOOKUP("other",bug_conf_sheet!$A:$H,3,FALSE))</f>
        <v>1</v>
      </c>
      <c r="P64" s="31">
        <f>IFERROR(VLOOKUP($E64,bug_conf_sheet!$A:$H,4,FALSE),VLOOKUP("other",bug_conf_sheet!$A:$H,4,FALSE))</f>
        <v>0</v>
      </c>
      <c r="Q64" s="31">
        <f>IFERROR(VLOOKUP($E64,bug_conf_sheet!$A:$H,5,FALSE),VLOOKUP("other",bug_conf_sheet!$A:$H,5,FALSE))</f>
        <v>0</v>
      </c>
      <c r="R64" s="31">
        <f>IFERROR(VLOOKUP($E64,bug_conf_sheet!$A:$H,6,FALSE),VLOOKUP("other",bug_conf_sheet!$A:$H,6,FALSE))</f>
        <v>0</v>
      </c>
      <c r="S64" s="31">
        <f>IFERROR(VLOOKUP($E64,bug_conf_sheet!$A:$H,7,FALSE),VLOOKUP("other",bug_conf_sheet!$A:$H,7,FALSE))</f>
        <v>0</v>
      </c>
      <c r="T64" s="31">
        <f>IFERROR(VLOOKUP($E64,bug_conf_sheet!$A:$H,8,FALSE),VLOOKUP("other",bug_conf_sheet!$A:$H,8,FALSE))</f>
        <v>1</v>
      </c>
    </row>
    <row r="65" spans="1:20" ht="21" customHeight="1">
      <c r="A65" s="2" t="str">
        <f ca="1">input_313010!A$2</f>
        <v>313010</v>
      </c>
      <c r="B65" s="7" t="str">
        <f t="shared" si="0"/>
        <v>Premium5</v>
      </c>
      <c r="C65" s="7" t="str">
        <f t="shared" si="1"/>
        <v>Premium</v>
      </c>
      <c r="D65" s="7" t="str">
        <f t="shared" si="2"/>
        <v>ry</v>
      </c>
      <c r="E65" s="8">
        <v>189</v>
      </c>
      <c r="F65" s="7" t="str">
        <f>VLOOKUP(E65,[1]characters!$A:$C,3,FALSE)</f>
        <v>迅雷の王禽 ホルス</v>
      </c>
      <c r="G65" s="7" t="str">
        <f>VLOOKUP(E65,[1]characters!$A:$J,10,FALSE)</f>
        <v>PremiumN</v>
      </c>
      <c r="H65" s="7">
        <f>VLOOKUP(E65,[1]characters!$A:$I,9,FALSE)</f>
        <v>5</v>
      </c>
      <c r="I65" s="7" t="str">
        <f>VLOOKUP(E65,[1]characters!$A:$H,8,FALSE)</f>
        <v>yellow</v>
      </c>
      <c r="J65" s="7" t="str">
        <f>VLOOKUP(E65,[1]characters!$A:$K,11,FALSE)</f>
        <v>attack</v>
      </c>
      <c r="K65" s="7" t="str">
        <f>VLOOKUP(E65,[1]characters!$A:$M,13,FALSE)</f>
        <v>animal</v>
      </c>
      <c r="L65" s="7" t="str">
        <f>VLOOKUP(E65,[1]characters!$A:$G,7,FALSE)</f>
        <v>女性</v>
      </c>
      <c r="M65" s="62">
        <f ca="1">IFERROR(VLOOKUP(E65,input_313010!L:R,7,FALSE),VLOOKUP(tables_313010!B65,input_313010!A:H,8,FALSE))</f>
        <v>18130</v>
      </c>
      <c r="N65" s="63">
        <f ca="1">M65/SUM(M:M)</f>
        <v>6.4814814814814813E-4</v>
      </c>
      <c r="O65" s="31">
        <f>IFERROR(VLOOKUP($E65,bug_conf_sheet!$A:$H,3,FALSE),VLOOKUP("other",bug_conf_sheet!$A:$H,3,FALSE))</f>
        <v>1</v>
      </c>
      <c r="P65" s="31">
        <f>IFERROR(VLOOKUP($E65,bug_conf_sheet!$A:$H,4,FALSE),VLOOKUP("other",bug_conf_sheet!$A:$H,4,FALSE))</f>
        <v>0</v>
      </c>
      <c r="Q65" s="31">
        <f>IFERROR(VLOOKUP($E65,bug_conf_sheet!$A:$H,5,FALSE),VLOOKUP("other",bug_conf_sheet!$A:$H,5,FALSE))</f>
        <v>0</v>
      </c>
      <c r="R65" s="31">
        <f>IFERROR(VLOOKUP($E65,bug_conf_sheet!$A:$H,6,FALSE),VLOOKUP("other",bug_conf_sheet!$A:$H,6,FALSE))</f>
        <v>0</v>
      </c>
      <c r="S65" s="31">
        <f>IFERROR(VLOOKUP($E65,bug_conf_sheet!$A:$H,7,FALSE),VLOOKUP("other",bug_conf_sheet!$A:$H,7,FALSE))</f>
        <v>0</v>
      </c>
      <c r="T65" s="31">
        <f>IFERROR(VLOOKUP($E65,bug_conf_sheet!$A:$H,8,FALSE),VLOOKUP("other",bug_conf_sheet!$A:$H,8,FALSE))</f>
        <v>1</v>
      </c>
    </row>
    <row r="66" spans="1:20" s="9" customFormat="1" ht="21" customHeight="1" thickBot="1">
      <c r="A66" s="2" t="str">
        <f ca="1">input_313010!A$2</f>
        <v>313010</v>
      </c>
      <c r="B66" s="7" t="str">
        <f t="shared" ref="B66:B129" si="3">C66&amp;IF(C66="premium",,D66)&amp;H66</f>
        <v>Premium3</v>
      </c>
      <c r="C66" s="7" t="str">
        <f t="shared" si="1"/>
        <v>Premium</v>
      </c>
      <c r="D66" s="7" t="str">
        <f t="shared" si="2"/>
        <v>ry</v>
      </c>
      <c r="E66" s="6">
        <v>190</v>
      </c>
      <c r="F66" s="7" t="str">
        <f>VLOOKUP(E66,[1]characters!$A:$C,3,FALSE)</f>
        <v>卑弥呼</v>
      </c>
      <c r="G66" s="7" t="str">
        <f>VLOOKUP(E66,[1]characters!$A:$J,10,FALSE)</f>
        <v>PremiumN</v>
      </c>
      <c r="H66" s="7">
        <f>VLOOKUP(E66,[1]characters!$A:$I,9,FALSE)</f>
        <v>3</v>
      </c>
      <c r="I66" s="7" t="str">
        <f>VLOOKUP(E66,[1]characters!$A:$H,8,FALSE)</f>
        <v>red</v>
      </c>
      <c r="J66" s="7" t="str">
        <f>VLOOKUP(E66,[1]characters!$A:$K,11,FALSE)</f>
        <v>balance</v>
      </c>
      <c r="K66" s="7" t="str">
        <f>VLOOKUP(E66,[1]characters!$A:$M,13,FALSE)</f>
        <v>human</v>
      </c>
      <c r="L66" s="7" t="str">
        <f>VLOOKUP(E66,[1]characters!$A:$G,7,FALSE)</f>
        <v>女性</v>
      </c>
      <c r="M66" s="62">
        <f ca="1">IFERROR(VLOOKUP(E66,input_313010!L:R,7,FALSE),VLOOKUP(tables_313010!B66,input_313010!A:H,8,FALSE))</f>
        <v>189000</v>
      </c>
      <c r="N66" s="63">
        <f ca="1">M66/SUM(M:M)</f>
        <v>6.7567567567567571E-3</v>
      </c>
      <c r="O66" s="31">
        <f>IFERROR(VLOOKUP($E66,bug_conf_sheet!$A:$H,3,FALSE),VLOOKUP("other",bug_conf_sheet!$A:$H,3,FALSE))</f>
        <v>1</v>
      </c>
      <c r="P66" s="31">
        <f>IFERROR(VLOOKUP($E66,bug_conf_sheet!$A:$H,4,FALSE),VLOOKUP("other",bug_conf_sheet!$A:$H,4,FALSE))</f>
        <v>0</v>
      </c>
      <c r="Q66" s="31">
        <f>IFERROR(VLOOKUP($E66,bug_conf_sheet!$A:$H,5,FALSE),VLOOKUP("other",bug_conf_sheet!$A:$H,5,FALSE))</f>
        <v>0</v>
      </c>
      <c r="R66" s="31">
        <f>IFERROR(VLOOKUP($E66,bug_conf_sheet!$A:$H,6,FALSE),VLOOKUP("other",bug_conf_sheet!$A:$H,6,FALSE))</f>
        <v>0</v>
      </c>
      <c r="S66" s="31">
        <f>IFERROR(VLOOKUP($E66,bug_conf_sheet!$A:$H,7,FALSE),VLOOKUP("other",bug_conf_sheet!$A:$H,7,FALSE))</f>
        <v>0</v>
      </c>
      <c r="T66" s="31">
        <f>IFERROR(VLOOKUP($E66,bug_conf_sheet!$A:$H,8,FALSE),VLOOKUP("other",bug_conf_sheet!$A:$H,8,FALSE))</f>
        <v>1</v>
      </c>
    </row>
    <row r="67" spans="1:20" ht="21" customHeight="1">
      <c r="A67" s="2" t="str">
        <f ca="1">input_313010!A$2</f>
        <v>313010</v>
      </c>
      <c r="B67" s="7" t="str">
        <f t="shared" si="3"/>
        <v>Premium4</v>
      </c>
      <c r="C67" s="7" t="str">
        <f t="shared" ref="C67:C130" si="4">IF(G67="PremiumSS",G67,IF(G67="PremiumSSS",G67,"Premium"))</f>
        <v>Premium</v>
      </c>
      <c r="D67" s="7" t="str">
        <f t="shared" ref="D67:D130" si="5">IF(I67="red","ry",IF(I67="yellow","ry","bg"))</f>
        <v>ry</v>
      </c>
      <c r="E67" s="6">
        <v>191</v>
      </c>
      <c r="F67" s="7" t="str">
        <f>VLOOKUP(E67,[1]characters!$A:$C,3,FALSE)</f>
        <v>始祖 卑弥呼</v>
      </c>
      <c r="G67" s="7" t="str">
        <f>VLOOKUP(E67,[1]characters!$A:$J,10,FALSE)</f>
        <v>PremiumN</v>
      </c>
      <c r="H67" s="7">
        <f>VLOOKUP(E67,[1]characters!$A:$I,9,FALSE)</f>
        <v>4</v>
      </c>
      <c r="I67" s="7" t="str">
        <f>VLOOKUP(E67,[1]characters!$A:$H,8,FALSE)</f>
        <v>red</v>
      </c>
      <c r="J67" s="7" t="str">
        <f>VLOOKUP(E67,[1]characters!$A:$K,11,FALSE)</f>
        <v>balance</v>
      </c>
      <c r="K67" s="7" t="str">
        <f>VLOOKUP(E67,[1]characters!$A:$M,13,FALSE)</f>
        <v>human</v>
      </c>
      <c r="L67" s="7" t="str">
        <f>VLOOKUP(E67,[1]characters!$A:$G,7,FALSE)</f>
        <v>女性</v>
      </c>
      <c r="M67" s="62">
        <f ca="1">IFERROR(VLOOKUP(E67,input_313010!L:R,7,FALSE),VLOOKUP(tables_313010!B67,input_313010!A:H,8,FALSE))</f>
        <v>153090</v>
      </c>
      <c r="N67" s="63">
        <f ca="1">M67/SUM(M:M)</f>
        <v>5.4729729729729726E-3</v>
      </c>
      <c r="O67" s="31">
        <f>IFERROR(VLOOKUP($E67,bug_conf_sheet!$A:$H,3,FALSE),VLOOKUP("other",bug_conf_sheet!$A:$H,3,FALSE))</f>
        <v>1</v>
      </c>
      <c r="P67" s="31">
        <f>IFERROR(VLOOKUP($E67,bug_conf_sheet!$A:$H,4,FALSE),VLOOKUP("other",bug_conf_sheet!$A:$H,4,FALSE))</f>
        <v>0</v>
      </c>
      <c r="Q67" s="31">
        <f>IFERROR(VLOOKUP($E67,bug_conf_sheet!$A:$H,5,FALSE),VLOOKUP("other",bug_conf_sheet!$A:$H,5,FALSE))</f>
        <v>0</v>
      </c>
      <c r="R67" s="31">
        <f>IFERROR(VLOOKUP($E67,bug_conf_sheet!$A:$H,6,FALSE),VLOOKUP("other",bug_conf_sheet!$A:$H,6,FALSE))</f>
        <v>0</v>
      </c>
      <c r="S67" s="31">
        <f>IFERROR(VLOOKUP($E67,bug_conf_sheet!$A:$H,7,FALSE),VLOOKUP("other",bug_conf_sheet!$A:$H,7,FALSE))</f>
        <v>0</v>
      </c>
      <c r="T67" s="31">
        <f>IFERROR(VLOOKUP($E67,bug_conf_sheet!$A:$H,8,FALSE),VLOOKUP("other",bug_conf_sheet!$A:$H,8,FALSE))</f>
        <v>1</v>
      </c>
    </row>
    <row r="68" spans="1:20" ht="21" customHeight="1">
      <c r="A68" s="2" t="str">
        <f ca="1">input_313010!A$2</f>
        <v>313010</v>
      </c>
      <c r="B68" s="7" t="str">
        <f t="shared" si="3"/>
        <v>Premium5</v>
      </c>
      <c r="C68" s="7" t="str">
        <f t="shared" si="4"/>
        <v>Premium</v>
      </c>
      <c r="D68" s="7" t="str">
        <f t="shared" si="5"/>
        <v>ry</v>
      </c>
      <c r="E68" s="6">
        <v>192</v>
      </c>
      <c r="F68" s="7" t="str">
        <f>VLOOKUP(E68,[1]characters!$A:$C,3,FALSE)</f>
        <v>荘厳なる始祖帝 卑弥呼</v>
      </c>
      <c r="G68" s="7" t="str">
        <f>VLOOKUP(E68,[1]characters!$A:$J,10,FALSE)</f>
        <v>PremiumN</v>
      </c>
      <c r="H68" s="7">
        <f>VLOOKUP(E68,[1]characters!$A:$I,9,FALSE)</f>
        <v>5</v>
      </c>
      <c r="I68" s="7" t="str">
        <f>VLOOKUP(E68,[1]characters!$A:$H,8,FALSE)</f>
        <v>red</v>
      </c>
      <c r="J68" s="7" t="str">
        <f>VLOOKUP(E68,[1]characters!$A:$K,11,FALSE)</f>
        <v>balance</v>
      </c>
      <c r="K68" s="7" t="str">
        <f>VLOOKUP(E68,[1]characters!$A:$M,13,FALSE)</f>
        <v>human</v>
      </c>
      <c r="L68" s="7" t="str">
        <f>VLOOKUP(E68,[1]characters!$A:$G,7,FALSE)</f>
        <v>女性</v>
      </c>
      <c r="M68" s="62">
        <f ca="1">IFERROR(VLOOKUP(E68,input_313010!L:R,7,FALSE),VLOOKUP(tables_313010!B68,input_313010!A:H,8,FALSE))</f>
        <v>18130</v>
      </c>
      <c r="N68" s="63">
        <f ca="1">M68/SUM(M:M)</f>
        <v>6.4814814814814813E-4</v>
      </c>
      <c r="O68" s="31">
        <f>IFERROR(VLOOKUP($E68,bug_conf_sheet!$A:$H,3,FALSE),VLOOKUP("other",bug_conf_sheet!$A:$H,3,FALSE))</f>
        <v>1</v>
      </c>
      <c r="P68" s="31">
        <f>IFERROR(VLOOKUP($E68,bug_conf_sheet!$A:$H,4,FALSE),VLOOKUP("other",bug_conf_sheet!$A:$H,4,FALSE))</f>
        <v>0</v>
      </c>
      <c r="Q68" s="31">
        <f>IFERROR(VLOOKUP($E68,bug_conf_sheet!$A:$H,5,FALSE),VLOOKUP("other",bug_conf_sheet!$A:$H,5,FALSE))</f>
        <v>0</v>
      </c>
      <c r="R68" s="31">
        <f>IFERROR(VLOOKUP($E68,bug_conf_sheet!$A:$H,6,FALSE),VLOOKUP("other",bug_conf_sheet!$A:$H,6,FALSE))</f>
        <v>0</v>
      </c>
      <c r="S68" s="31">
        <f>IFERROR(VLOOKUP($E68,bug_conf_sheet!$A:$H,7,FALSE),VLOOKUP("other",bug_conf_sheet!$A:$H,7,FALSE))</f>
        <v>0</v>
      </c>
      <c r="T68" s="31">
        <f>IFERROR(VLOOKUP($E68,bug_conf_sheet!$A:$H,8,FALSE),VLOOKUP("other",bug_conf_sheet!$A:$H,8,FALSE))</f>
        <v>1</v>
      </c>
    </row>
    <row r="69" spans="1:20" ht="21" customHeight="1">
      <c r="A69" s="2" t="str">
        <f ca="1">input_313010!A$2</f>
        <v>313010</v>
      </c>
      <c r="B69" s="7" t="str">
        <f t="shared" si="3"/>
        <v>Premium3</v>
      </c>
      <c r="C69" s="7" t="str">
        <f t="shared" si="4"/>
        <v>Premium</v>
      </c>
      <c r="D69" s="7" t="str">
        <f t="shared" si="5"/>
        <v>bg</v>
      </c>
      <c r="E69" s="6">
        <v>193</v>
      </c>
      <c r="F69" s="7" t="str">
        <f>VLOOKUP(E69,[1]characters!$A:$C,3,FALSE)</f>
        <v>ロビンフッド</v>
      </c>
      <c r="G69" s="7" t="str">
        <f>VLOOKUP(E69,[1]characters!$A:$J,10,FALSE)</f>
        <v>PremiumN</v>
      </c>
      <c r="H69" s="7">
        <f>VLOOKUP(E69,[1]characters!$A:$I,9,FALSE)</f>
        <v>3</v>
      </c>
      <c r="I69" s="7" t="str">
        <f>VLOOKUP(E69,[1]characters!$A:$H,8,FALSE)</f>
        <v>green</v>
      </c>
      <c r="J69" s="7" t="str">
        <f>VLOOKUP(E69,[1]characters!$A:$K,11,FALSE)</f>
        <v>balance</v>
      </c>
      <c r="K69" s="7" t="str">
        <f>VLOOKUP(E69,[1]characters!$A:$M,13,FALSE)</f>
        <v>human</v>
      </c>
      <c r="L69" s="7" t="str">
        <f>VLOOKUP(E69,[1]characters!$A:$G,7,FALSE)</f>
        <v>女性</v>
      </c>
      <c r="M69" s="62">
        <f ca="1">IFERROR(VLOOKUP(E69,input_313010!L:R,7,FALSE),VLOOKUP(tables_313010!B69,input_313010!A:H,8,FALSE))</f>
        <v>189000</v>
      </c>
      <c r="N69" s="63">
        <f ca="1">M69/SUM(M:M)</f>
        <v>6.7567567567567571E-3</v>
      </c>
      <c r="O69" s="31">
        <f>IFERROR(VLOOKUP($E69,bug_conf_sheet!$A:$H,3,FALSE),VLOOKUP("other",bug_conf_sheet!$A:$H,3,FALSE))</f>
        <v>1</v>
      </c>
      <c r="P69" s="31">
        <f>IFERROR(VLOOKUP($E69,bug_conf_sheet!$A:$H,4,FALSE),VLOOKUP("other",bug_conf_sheet!$A:$H,4,FALSE))</f>
        <v>0</v>
      </c>
      <c r="Q69" s="31">
        <f>IFERROR(VLOOKUP($E69,bug_conf_sheet!$A:$H,5,FALSE),VLOOKUP("other",bug_conf_sheet!$A:$H,5,FALSE))</f>
        <v>0</v>
      </c>
      <c r="R69" s="31">
        <f>IFERROR(VLOOKUP($E69,bug_conf_sheet!$A:$H,6,FALSE),VLOOKUP("other",bug_conf_sheet!$A:$H,6,FALSE))</f>
        <v>0</v>
      </c>
      <c r="S69" s="31">
        <f>IFERROR(VLOOKUP($E69,bug_conf_sheet!$A:$H,7,FALSE),VLOOKUP("other",bug_conf_sheet!$A:$H,7,FALSE))</f>
        <v>0</v>
      </c>
      <c r="T69" s="31">
        <f>IFERROR(VLOOKUP($E69,bug_conf_sheet!$A:$H,8,FALSE),VLOOKUP("other",bug_conf_sheet!$A:$H,8,FALSE))</f>
        <v>1</v>
      </c>
    </row>
    <row r="70" spans="1:20" ht="21" customHeight="1">
      <c r="A70" s="2" t="str">
        <f ca="1">input_313010!A$2</f>
        <v>313010</v>
      </c>
      <c r="B70" s="7" t="str">
        <f t="shared" si="3"/>
        <v>Premium4</v>
      </c>
      <c r="C70" s="7" t="str">
        <f t="shared" si="4"/>
        <v>Premium</v>
      </c>
      <c r="D70" s="7" t="str">
        <f t="shared" si="5"/>
        <v>bg</v>
      </c>
      <c r="E70" s="10">
        <v>194</v>
      </c>
      <c r="F70" s="7" t="str">
        <f>VLOOKUP(E70,[1]characters!$A:$C,3,FALSE)</f>
        <v>スナイパー ロビンフッド</v>
      </c>
      <c r="G70" s="7" t="str">
        <f>VLOOKUP(E70,[1]characters!$A:$J,10,FALSE)</f>
        <v>PremiumN</v>
      </c>
      <c r="H70" s="7">
        <f>VLOOKUP(E70,[1]characters!$A:$I,9,FALSE)</f>
        <v>4</v>
      </c>
      <c r="I70" s="7" t="str">
        <f>VLOOKUP(E70,[1]characters!$A:$H,8,FALSE)</f>
        <v>green</v>
      </c>
      <c r="J70" s="7" t="str">
        <f>VLOOKUP(E70,[1]characters!$A:$K,11,FALSE)</f>
        <v>balance</v>
      </c>
      <c r="K70" s="7" t="str">
        <f>VLOOKUP(E70,[1]characters!$A:$M,13,FALSE)</f>
        <v>human</v>
      </c>
      <c r="L70" s="7" t="str">
        <f>VLOOKUP(E70,[1]characters!$A:$G,7,FALSE)</f>
        <v>女性</v>
      </c>
      <c r="M70" s="62">
        <f ca="1">IFERROR(VLOOKUP(E70,input_313010!L:R,7,FALSE),VLOOKUP(tables_313010!B70,input_313010!A:H,8,FALSE))</f>
        <v>153090</v>
      </c>
      <c r="N70" s="63">
        <f ca="1">M70/SUM(M:M)</f>
        <v>5.4729729729729726E-3</v>
      </c>
      <c r="O70" s="31">
        <f>IFERROR(VLOOKUP($E70,bug_conf_sheet!$A:$H,3,FALSE),VLOOKUP("other",bug_conf_sheet!$A:$H,3,FALSE))</f>
        <v>1</v>
      </c>
      <c r="P70" s="31">
        <f>IFERROR(VLOOKUP($E70,bug_conf_sheet!$A:$H,4,FALSE),VLOOKUP("other",bug_conf_sheet!$A:$H,4,FALSE))</f>
        <v>0</v>
      </c>
      <c r="Q70" s="31">
        <f>IFERROR(VLOOKUP($E70,bug_conf_sheet!$A:$H,5,FALSE),VLOOKUP("other",bug_conf_sheet!$A:$H,5,FALSE))</f>
        <v>0</v>
      </c>
      <c r="R70" s="31">
        <f>IFERROR(VLOOKUP($E70,bug_conf_sheet!$A:$H,6,FALSE),VLOOKUP("other",bug_conf_sheet!$A:$H,6,FALSE))</f>
        <v>0</v>
      </c>
      <c r="S70" s="31">
        <f>IFERROR(VLOOKUP($E70,bug_conf_sheet!$A:$H,7,FALSE),VLOOKUP("other",bug_conf_sheet!$A:$H,7,FALSE))</f>
        <v>0</v>
      </c>
      <c r="T70" s="31">
        <f>IFERROR(VLOOKUP($E70,bug_conf_sheet!$A:$H,8,FALSE),VLOOKUP("other",bug_conf_sheet!$A:$H,8,FALSE))</f>
        <v>1</v>
      </c>
    </row>
    <row r="71" spans="1:20" ht="21" customHeight="1">
      <c r="A71" s="2" t="str">
        <f ca="1">input_313010!A$2</f>
        <v>313010</v>
      </c>
      <c r="B71" s="7" t="str">
        <f t="shared" si="3"/>
        <v>Premium5</v>
      </c>
      <c r="C71" s="7" t="str">
        <f t="shared" si="4"/>
        <v>Premium</v>
      </c>
      <c r="D71" s="7" t="str">
        <f t="shared" si="5"/>
        <v>bg</v>
      </c>
      <c r="E71" s="6">
        <v>195</v>
      </c>
      <c r="F71" s="7" t="str">
        <f>VLOOKUP(E71,[1]characters!$A:$C,3,FALSE)</f>
        <v>グランドハンター ロビンフッド</v>
      </c>
      <c r="G71" s="7" t="str">
        <f>VLOOKUP(E71,[1]characters!$A:$J,10,FALSE)</f>
        <v>PremiumN</v>
      </c>
      <c r="H71" s="7">
        <f>VLOOKUP(E71,[1]characters!$A:$I,9,FALSE)</f>
        <v>5</v>
      </c>
      <c r="I71" s="7" t="str">
        <f>VLOOKUP(E71,[1]characters!$A:$H,8,FALSE)</f>
        <v>green</v>
      </c>
      <c r="J71" s="7" t="str">
        <f>VLOOKUP(E71,[1]characters!$A:$K,11,FALSE)</f>
        <v>balance</v>
      </c>
      <c r="K71" s="7" t="str">
        <f>VLOOKUP(E71,[1]characters!$A:$M,13,FALSE)</f>
        <v>human</v>
      </c>
      <c r="L71" s="7" t="str">
        <f>VLOOKUP(E71,[1]characters!$A:$G,7,FALSE)</f>
        <v>女性</v>
      </c>
      <c r="M71" s="62">
        <f ca="1">IFERROR(VLOOKUP(E71,input_313010!L:R,7,FALSE),VLOOKUP(tables_313010!B71,input_313010!A:H,8,FALSE))</f>
        <v>18130</v>
      </c>
      <c r="N71" s="63">
        <f ca="1">M71/SUM(M:M)</f>
        <v>6.4814814814814813E-4</v>
      </c>
      <c r="O71" s="31">
        <f>IFERROR(VLOOKUP($E71,bug_conf_sheet!$A:$H,3,FALSE),VLOOKUP("other",bug_conf_sheet!$A:$H,3,FALSE))</f>
        <v>1</v>
      </c>
      <c r="P71" s="31">
        <f>IFERROR(VLOOKUP($E71,bug_conf_sheet!$A:$H,4,FALSE),VLOOKUP("other",bug_conf_sheet!$A:$H,4,FALSE))</f>
        <v>0</v>
      </c>
      <c r="Q71" s="31">
        <f>IFERROR(VLOOKUP($E71,bug_conf_sheet!$A:$H,5,FALSE),VLOOKUP("other",bug_conf_sheet!$A:$H,5,FALSE))</f>
        <v>0</v>
      </c>
      <c r="R71" s="31">
        <f>IFERROR(VLOOKUP($E71,bug_conf_sheet!$A:$H,6,FALSE),VLOOKUP("other",bug_conf_sheet!$A:$H,6,FALSE))</f>
        <v>0</v>
      </c>
      <c r="S71" s="31">
        <f>IFERROR(VLOOKUP($E71,bug_conf_sheet!$A:$H,7,FALSE),VLOOKUP("other",bug_conf_sheet!$A:$H,7,FALSE))</f>
        <v>0</v>
      </c>
      <c r="T71" s="31">
        <f>IFERROR(VLOOKUP($E71,bug_conf_sheet!$A:$H,8,FALSE),VLOOKUP("other",bug_conf_sheet!$A:$H,8,FALSE))</f>
        <v>1</v>
      </c>
    </row>
    <row r="72" spans="1:20" ht="21" customHeight="1">
      <c r="A72" s="2" t="str">
        <f ca="1">input_313010!A$2</f>
        <v>313010</v>
      </c>
      <c r="B72" s="7" t="str">
        <f t="shared" si="3"/>
        <v>Premium3</v>
      </c>
      <c r="C72" s="7" t="str">
        <f t="shared" si="4"/>
        <v>Premium</v>
      </c>
      <c r="D72" s="7" t="str">
        <f t="shared" si="5"/>
        <v>ry</v>
      </c>
      <c r="E72" s="10">
        <v>196</v>
      </c>
      <c r="F72" s="7" t="str">
        <f>VLOOKUP(E72,[1]characters!$A:$C,3,FALSE)</f>
        <v>アキレス</v>
      </c>
      <c r="G72" s="7" t="str">
        <f>VLOOKUP(E72,[1]characters!$A:$J,10,FALSE)</f>
        <v>PremiumN</v>
      </c>
      <c r="H72" s="7">
        <f>VLOOKUP(E72,[1]characters!$A:$I,9,FALSE)</f>
        <v>3</v>
      </c>
      <c r="I72" s="7" t="str">
        <f>VLOOKUP(E72,[1]characters!$A:$H,8,FALSE)</f>
        <v>yellow</v>
      </c>
      <c r="J72" s="7" t="str">
        <f>VLOOKUP(E72,[1]characters!$A:$K,11,FALSE)</f>
        <v>balance</v>
      </c>
      <c r="K72" s="7" t="str">
        <f>VLOOKUP(E72,[1]characters!$A:$M,13,FALSE)</f>
        <v>human</v>
      </c>
      <c r="L72" s="7" t="str">
        <f>VLOOKUP(E72,[1]characters!$A:$G,7,FALSE)</f>
        <v>女性</v>
      </c>
      <c r="M72" s="62">
        <f ca="1">IFERROR(VLOOKUP(E72,input_313010!L:R,7,FALSE),VLOOKUP(tables_313010!B72,input_313010!A:H,8,FALSE))</f>
        <v>189000</v>
      </c>
      <c r="N72" s="63">
        <f ca="1">M72/SUM(M:M)</f>
        <v>6.7567567567567571E-3</v>
      </c>
      <c r="O72" s="31">
        <f>IFERROR(VLOOKUP($E72,bug_conf_sheet!$A:$H,3,FALSE),VLOOKUP("other",bug_conf_sheet!$A:$H,3,FALSE))</f>
        <v>1</v>
      </c>
      <c r="P72" s="31">
        <f>IFERROR(VLOOKUP($E72,bug_conf_sheet!$A:$H,4,FALSE),VLOOKUP("other",bug_conf_sheet!$A:$H,4,FALSE))</f>
        <v>0</v>
      </c>
      <c r="Q72" s="31">
        <f>IFERROR(VLOOKUP($E72,bug_conf_sheet!$A:$H,5,FALSE),VLOOKUP("other",bug_conf_sheet!$A:$H,5,FALSE))</f>
        <v>0</v>
      </c>
      <c r="R72" s="31">
        <f>IFERROR(VLOOKUP($E72,bug_conf_sheet!$A:$H,6,FALSE),VLOOKUP("other",bug_conf_sheet!$A:$H,6,FALSE))</f>
        <v>0</v>
      </c>
      <c r="S72" s="31">
        <f>IFERROR(VLOOKUP($E72,bug_conf_sheet!$A:$H,7,FALSE),VLOOKUP("other",bug_conf_sheet!$A:$H,7,FALSE))</f>
        <v>0</v>
      </c>
      <c r="T72" s="31">
        <f>IFERROR(VLOOKUP($E72,bug_conf_sheet!$A:$H,8,FALSE),VLOOKUP("other",bug_conf_sheet!$A:$H,8,FALSE))</f>
        <v>1</v>
      </c>
    </row>
    <row r="73" spans="1:20" ht="21" customHeight="1">
      <c r="A73" s="2" t="str">
        <f ca="1">input_313010!A$2</f>
        <v>313010</v>
      </c>
      <c r="B73" s="7" t="str">
        <f t="shared" si="3"/>
        <v>Premium4</v>
      </c>
      <c r="C73" s="7" t="str">
        <f t="shared" si="4"/>
        <v>Premium</v>
      </c>
      <c r="D73" s="7" t="str">
        <f t="shared" si="5"/>
        <v>ry</v>
      </c>
      <c r="E73" s="11">
        <v>197</v>
      </c>
      <c r="F73" s="7" t="str">
        <f>VLOOKUP(E73,[1]characters!$A:$C,3,FALSE)</f>
        <v>鉄腕 アキレス</v>
      </c>
      <c r="G73" s="7" t="str">
        <f>VLOOKUP(E73,[1]characters!$A:$J,10,FALSE)</f>
        <v>PremiumN</v>
      </c>
      <c r="H73" s="7">
        <f>VLOOKUP(E73,[1]characters!$A:$I,9,FALSE)</f>
        <v>4</v>
      </c>
      <c r="I73" s="7" t="str">
        <f>VLOOKUP(E73,[1]characters!$A:$H,8,FALSE)</f>
        <v>yellow</v>
      </c>
      <c r="J73" s="7" t="str">
        <f>VLOOKUP(E73,[1]characters!$A:$K,11,FALSE)</f>
        <v>balance</v>
      </c>
      <c r="K73" s="7" t="str">
        <f>VLOOKUP(E73,[1]characters!$A:$M,13,FALSE)</f>
        <v>human</v>
      </c>
      <c r="L73" s="7" t="str">
        <f>VLOOKUP(E73,[1]characters!$A:$G,7,FALSE)</f>
        <v>女性</v>
      </c>
      <c r="M73" s="62">
        <f ca="1">IFERROR(VLOOKUP(E73,input_313010!L:R,7,FALSE),VLOOKUP(tables_313010!B73,input_313010!A:H,8,FALSE))</f>
        <v>153090</v>
      </c>
      <c r="N73" s="63">
        <f ca="1">M73/SUM(M:M)</f>
        <v>5.4729729729729726E-3</v>
      </c>
      <c r="O73" s="31">
        <f>IFERROR(VLOOKUP($E73,bug_conf_sheet!$A:$H,3,FALSE),VLOOKUP("other",bug_conf_sheet!$A:$H,3,FALSE))</f>
        <v>1</v>
      </c>
      <c r="P73" s="31">
        <f>IFERROR(VLOOKUP($E73,bug_conf_sheet!$A:$H,4,FALSE),VLOOKUP("other",bug_conf_sheet!$A:$H,4,FALSE))</f>
        <v>0</v>
      </c>
      <c r="Q73" s="31">
        <f>IFERROR(VLOOKUP($E73,bug_conf_sheet!$A:$H,5,FALSE),VLOOKUP("other",bug_conf_sheet!$A:$H,5,FALSE))</f>
        <v>0</v>
      </c>
      <c r="R73" s="31">
        <f>IFERROR(VLOOKUP($E73,bug_conf_sheet!$A:$H,6,FALSE),VLOOKUP("other",bug_conf_sheet!$A:$H,6,FALSE))</f>
        <v>0</v>
      </c>
      <c r="S73" s="31">
        <f>IFERROR(VLOOKUP($E73,bug_conf_sheet!$A:$H,7,FALSE),VLOOKUP("other",bug_conf_sheet!$A:$H,7,FALSE))</f>
        <v>0</v>
      </c>
      <c r="T73" s="31">
        <f>IFERROR(VLOOKUP($E73,bug_conf_sheet!$A:$H,8,FALSE),VLOOKUP("other",bug_conf_sheet!$A:$H,8,FALSE))</f>
        <v>1</v>
      </c>
    </row>
    <row r="74" spans="1:20" ht="21" customHeight="1">
      <c r="A74" s="2" t="str">
        <f ca="1">input_313010!A$2</f>
        <v>313010</v>
      </c>
      <c r="B74" s="7" t="str">
        <f t="shared" si="3"/>
        <v>Premium5</v>
      </c>
      <c r="C74" s="7" t="str">
        <f t="shared" si="4"/>
        <v>Premium</v>
      </c>
      <c r="D74" s="7" t="str">
        <f t="shared" si="5"/>
        <v>ry</v>
      </c>
      <c r="E74" s="6">
        <v>198</v>
      </c>
      <c r="F74" s="7" t="str">
        <f>VLOOKUP(E74,[1]characters!$A:$C,3,FALSE)</f>
        <v>砕骨の剛腕 アキレス</v>
      </c>
      <c r="G74" s="7" t="str">
        <f>VLOOKUP(E74,[1]characters!$A:$J,10,FALSE)</f>
        <v>PremiumN</v>
      </c>
      <c r="H74" s="7">
        <f>VLOOKUP(E74,[1]characters!$A:$I,9,FALSE)</f>
        <v>5</v>
      </c>
      <c r="I74" s="7" t="str">
        <f>VLOOKUP(E74,[1]characters!$A:$H,8,FALSE)</f>
        <v>yellow</v>
      </c>
      <c r="J74" s="7" t="str">
        <f>VLOOKUP(E74,[1]characters!$A:$K,11,FALSE)</f>
        <v>balance</v>
      </c>
      <c r="K74" s="7" t="str">
        <f>VLOOKUP(E74,[1]characters!$A:$M,13,FALSE)</f>
        <v>human</v>
      </c>
      <c r="L74" s="7" t="str">
        <f>VLOOKUP(E74,[1]characters!$A:$G,7,FALSE)</f>
        <v>女性</v>
      </c>
      <c r="M74" s="62">
        <f ca="1">IFERROR(VLOOKUP(E74,input_313010!L:R,7,FALSE),VLOOKUP(tables_313010!B74,input_313010!A:H,8,FALSE))</f>
        <v>18130</v>
      </c>
      <c r="N74" s="63">
        <f ca="1">M74/SUM(M:M)</f>
        <v>6.4814814814814813E-4</v>
      </c>
      <c r="O74" s="31">
        <f>IFERROR(VLOOKUP($E74,bug_conf_sheet!$A:$H,3,FALSE),VLOOKUP("other",bug_conf_sheet!$A:$H,3,FALSE))</f>
        <v>1</v>
      </c>
      <c r="P74" s="31">
        <f>IFERROR(VLOOKUP($E74,bug_conf_sheet!$A:$H,4,FALSE),VLOOKUP("other",bug_conf_sheet!$A:$H,4,FALSE))</f>
        <v>0</v>
      </c>
      <c r="Q74" s="31">
        <f>IFERROR(VLOOKUP($E74,bug_conf_sheet!$A:$H,5,FALSE),VLOOKUP("other",bug_conf_sheet!$A:$H,5,FALSE))</f>
        <v>0</v>
      </c>
      <c r="R74" s="31">
        <f>IFERROR(VLOOKUP($E74,bug_conf_sheet!$A:$H,6,FALSE),VLOOKUP("other",bug_conf_sheet!$A:$H,6,FALSE))</f>
        <v>0</v>
      </c>
      <c r="S74" s="31">
        <f>IFERROR(VLOOKUP($E74,bug_conf_sheet!$A:$H,7,FALSE),VLOOKUP("other",bug_conf_sheet!$A:$H,7,FALSE))</f>
        <v>0</v>
      </c>
      <c r="T74" s="31">
        <f>IFERROR(VLOOKUP($E74,bug_conf_sheet!$A:$H,8,FALSE),VLOOKUP("other",bug_conf_sheet!$A:$H,8,FALSE))</f>
        <v>1</v>
      </c>
    </row>
    <row r="75" spans="1:20" ht="21" customHeight="1">
      <c r="A75" s="2" t="str">
        <f ca="1">input_313010!A$2</f>
        <v>313010</v>
      </c>
      <c r="B75" s="7" t="str">
        <f t="shared" si="3"/>
        <v>Premium3</v>
      </c>
      <c r="C75" s="7" t="str">
        <f t="shared" si="4"/>
        <v>Premium</v>
      </c>
      <c r="D75" s="7" t="str">
        <f t="shared" si="5"/>
        <v>bg</v>
      </c>
      <c r="E75" s="6">
        <v>199</v>
      </c>
      <c r="F75" s="7" t="str">
        <f>VLOOKUP(E75,[1]characters!$A:$C,3,FALSE)</f>
        <v>ジークフリート</v>
      </c>
      <c r="G75" s="7" t="str">
        <f>VLOOKUP(E75,[1]characters!$A:$J,10,FALSE)</f>
        <v>PremiumN</v>
      </c>
      <c r="H75" s="7">
        <f>VLOOKUP(E75,[1]characters!$A:$I,9,FALSE)</f>
        <v>3</v>
      </c>
      <c r="I75" s="7" t="str">
        <f>VLOOKUP(E75,[1]characters!$A:$H,8,FALSE)</f>
        <v>blue</v>
      </c>
      <c r="J75" s="7" t="str">
        <f>VLOOKUP(E75,[1]characters!$A:$K,11,FALSE)</f>
        <v>balance</v>
      </c>
      <c r="K75" s="7" t="str">
        <f>VLOOKUP(E75,[1]characters!$A:$M,13,FALSE)</f>
        <v>human</v>
      </c>
      <c r="L75" s="7" t="str">
        <f>VLOOKUP(E75,[1]characters!$A:$G,7,FALSE)</f>
        <v>男性</v>
      </c>
      <c r="M75" s="62">
        <f ca="1">IFERROR(VLOOKUP(E75,input_313010!L:R,7,FALSE),VLOOKUP(tables_313010!B75,input_313010!A:H,8,FALSE))</f>
        <v>189000</v>
      </c>
      <c r="N75" s="63">
        <f ca="1">M75/SUM(M:M)</f>
        <v>6.7567567567567571E-3</v>
      </c>
      <c r="O75" s="31">
        <f>IFERROR(VLOOKUP($E75,bug_conf_sheet!$A:$H,3,FALSE),VLOOKUP("other",bug_conf_sheet!$A:$H,3,FALSE))</f>
        <v>1</v>
      </c>
      <c r="P75" s="31">
        <f>IFERROR(VLOOKUP($E75,bug_conf_sheet!$A:$H,4,FALSE),VLOOKUP("other",bug_conf_sheet!$A:$H,4,FALSE))</f>
        <v>0</v>
      </c>
      <c r="Q75" s="31">
        <f>IFERROR(VLOOKUP($E75,bug_conf_sheet!$A:$H,5,FALSE),VLOOKUP("other",bug_conf_sheet!$A:$H,5,FALSE))</f>
        <v>0</v>
      </c>
      <c r="R75" s="31">
        <f>IFERROR(VLOOKUP($E75,bug_conf_sheet!$A:$H,6,FALSE),VLOOKUP("other",bug_conf_sheet!$A:$H,6,FALSE))</f>
        <v>0</v>
      </c>
      <c r="S75" s="31">
        <f>IFERROR(VLOOKUP($E75,bug_conf_sheet!$A:$H,7,FALSE),VLOOKUP("other",bug_conf_sheet!$A:$H,7,FALSE))</f>
        <v>0</v>
      </c>
      <c r="T75" s="31">
        <f>IFERROR(VLOOKUP($E75,bug_conf_sheet!$A:$H,8,FALSE),VLOOKUP("other",bug_conf_sheet!$A:$H,8,FALSE))</f>
        <v>1</v>
      </c>
    </row>
    <row r="76" spans="1:20" ht="21" customHeight="1">
      <c r="A76" s="2" t="str">
        <f ca="1">input_313010!A$2</f>
        <v>313010</v>
      </c>
      <c r="B76" s="7" t="str">
        <f t="shared" si="3"/>
        <v>Premium4</v>
      </c>
      <c r="C76" s="7" t="str">
        <f t="shared" si="4"/>
        <v>Premium</v>
      </c>
      <c r="D76" s="7" t="str">
        <f t="shared" si="5"/>
        <v>bg</v>
      </c>
      <c r="E76" s="6">
        <v>200</v>
      </c>
      <c r="F76" s="7" t="str">
        <f>VLOOKUP(E76,[1]characters!$A:$C,3,FALSE)</f>
        <v>大剣士 ジークフリート</v>
      </c>
      <c r="G76" s="7" t="str">
        <f>VLOOKUP(E76,[1]characters!$A:$J,10,FALSE)</f>
        <v>PremiumN</v>
      </c>
      <c r="H76" s="7">
        <f>VLOOKUP(E76,[1]characters!$A:$I,9,FALSE)</f>
        <v>4</v>
      </c>
      <c r="I76" s="7" t="str">
        <f>VLOOKUP(E76,[1]characters!$A:$H,8,FALSE)</f>
        <v>blue</v>
      </c>
      <c r="J76" s="7" t="str">
        <f>VLOOKUP(E76,[1]characters!$A:$K,11,FALSE)</f>
        <v>balance</v>
      </c>
      <c r="K76" s="7" t="str">
        <f>VLOOKUP(E76,[1]characters!$A:$M,13,FALSE)</f>
        <v>human</v>
      </c>
      <c r="L76" s="7" t="str">
        <f>VLOOKUP(E76,[1]characters!$A:$G,7,FALSE)</f>
        <v>男性</v>
      </c>
      <c r="M76" s="62">
        <f ca="1">IFERROR(VLOOKUP(E76,input_313010!L:R,7,FALSE),VLOOKUP(tables_313010!B76,input_313010!A:H,8,FALSE))</f>
        <v>153090</v>
      </c>
      <c r="N76" s="63">
        <f ca="1">M76/SUM(M:M)</f>
        <v>5.4729729729729726E-3</v>
      </c>
      <c r="O76" s="31">
        <f>IFERROR(VLOOKUP($E76,bug_conf_sheet!$A:$H,3,FALSE),VLOOKUP("other",bug_conf_sheet!$A:$H,3,FALSE))</f>
        <v>1</v>
      </c>
      <c r="P76" s="31">
        <f>IFERROR(VLOOKUP($E76,bug_conf_sheet!$A:$H,4,FALSE),VLOOKUP("other",bug_conf_sheet!$A:$H,4,FALSE))</f>
        <v>0</v>
      </c>
      <c r="Q76" s="31">
        <f>IFERROR(VLOOKUP($E76,bug_conf_sheet!$A:$H,5,FALSE),VLOOKUP("other",bug_conf_sheet!$A:$H,5,FALSE))</f>
        <v>0</v>
      </c>
      <c r="R76" s="31">
        <f>IFERROR(VLOOKUP($E76,bug_conf_sheet!$A:$H,6,FALSE),VLOOKUP("other",bug_conf_sheet!$A:$H,6,FALSE))</f>
        <v>0</v>
      </c>
      <c r="S76" s="31">
        <f>IFERROR(VLOOKUP($E76,bug_conf_sheet!$A:$H,7,FALSE),VLOOKUP("other",bug_conf_sheet!$A:$H,7,FALSE))</f>
        <v>0</v>
      </c>
      <c r="T76" s="31">
        <f>IFERROR(VLOOKUP($E76,bug_conf_sheet!$A:$H,8,FALSE),VLOOKUP("other",bug_conf_sheet!$A:$H,8,FALSE))</f>
        <v>1</v>
      </c>
    </row>
    <row r="77" spans="1:20" ht="21" customHeight="1">
      <c r="A77" s="2" t="str">
        <f ca="1">input_313010!A$2</f>
        <v>313010</v>
      </c>
      <c r="B77" s="7" t="str">
        <f t="shared" si="3"/>
        <v>Premium5</v>
      </c>
      <c r="C77" s="7" t="str">
        <f t="shared" si="4"/>
        <v>Premium</v>
      </c>
      <c r="D77" s="7" t="str">
        <f t="shared" si="5"/>
        <v>bg</v>
      </c>
      <c r="E77" s="5">
        <v>201</v>
      </c>
      <c r="F77" s="7" t="str">
        <f>VLOOKUP(E77,[1]characters!$A:$C,3,FALSE)</f>
        <v>斬空の大破剣 ジークフリート</v>
      </c>
      <c r="G77" s="7" t="str">
        <f>VLOOKUP(E77,[1]characters!$A:$J,10,FALSE)</f>
        <v>PremiumN</v>
      </c>
      <c r="H77" s="7">
        <f>VLOOKUP(E77,[1]characters!$A:$I,9,FALSE)</f>
        <v>5</v>
      </c>
      <c r="I77" s="7" t="str">
        <f>VLOOKUP(E77,[1]characters!$A:$H,8,FALSE)</f>
        <v>blue</v>
      </c>
      <c r="J77" s="7" t="str">
        <f>VLOOKUP(E77,[1]characters!$A:$K,11,FALSE)</f>
        <v>balance</v>
      </c>
      <c r="K77" s="7" t="str">
        <f>VLOOKUP(E77,[1]characters!$A:$M,13,FALSE)</f>
        <v>human</v>
      </c>
      <c r="L77" s="7" t="str">
        <f>VLOOKUP(E77,[1]characters!$A:$G,7,FALSE)</f>
        <v>男性</v>
      </c>
      <c r="M77" s="62">
        <f ca="1">IFERROR(VLOOKUP(E77,input_313010!L:R,7,FALSE),VLOOKUP(tables_313010!B77,input_313010!A:H,8,FALSE))</f>
        <v>18130</v>
      </c>
      <c r="N77" s="63">
        <f ca="1">M77/SUM(M:M)</f>
        <v>6.4814814814814813E-4</v>
      </c>
      <c r="O77" s="31">
        <f>IFERROR(VLOOKUP($E77,bug_conf_sheet!$A:$H,3,FALSE),VLOOKUP("other",bug_conf_sheet!$A:$H,3,FALSE))</f>
        <v>1</v>
      </c>
      <c r="P77" s="31">
        <f>IFERROR(VLOOKUP($E77,bug_conf_sheet!$A:$H,4,FALSE),VLOOKUP("other",bug_conf_sheet!$A:$H,4,FALSE))</f>
        <v>0</v>
      </c>
      <c r="Q77" s="31">
        <f>IFERROR(VLOOKUP($E77,bug_conf_sheet!$A:$H,5,FALSE),VLOOKUP("other",bug_conf_sheet!$A:$H,5,FALSE))</f>
        <v>0</v>
      </c>
      <c r="R77" s="31">
        <f>IFERROR(VLOOKUP($E77,bug_conf_sheet!$A:$H,6,FALSE),VLOOKUP("other",bug_conf_sheet!$A:$H,6,FALSE))</f>
        <v>0</v>
      </c>
      <c r="S77" s="31">
        <f>IFERROR(VLOOKUP($E77,bug_conf_sheet!$A:$H,7,FALSE),VLOOKUP("other",bug_conf_sheet!$A:$H,7,FALSE))</f>
        <v>0</v>
      </c>
      <c r="T77" s="31">
        <f>IFERROR(VLOOKUP($E77,bug_conf_sheet!$A:$H,8,FALSE),VLOOKUP("other",bug_conf_sheet!$A:$H,8,FALSE))</f>
        <v>1</v>
      </c>
    </row>
    <row r="78" spans="1:20" ht="21" customHeight="1">
      <c r="A78" s="2" t="str">
        <f ca="1">input_313010!A$2</f>
        <v>313010</v>
      </c>
      <c r="B78" s="7" t="str">
        <f t="shared" si="3"/>
        <v>Premium3</v>
      </c>
      <c r="C78" s="7" t="str">
        <f t="shared" si="4"/>
        <v>Premium</v>
      </c>
      <c r="D78" s="7" t="str">
        <f t="shared" si="5"/>
        <v>ry</v>
      </c>
      <c r="E78" s="5">
        <v>202</v>
      </c>
      <c r="F78" s="7" t="str">
        <f>VLOOKUP(E78,[1]characters!$A:$C,3,FALSE)</f>
        <v>プロメテウス</v>
      </c>
      <c r="G78" s="7" t="str">
        <f>VLOOKUP(E78,[1]characters!$A:$J,10,FALSE)</f>
        <v>PremiumN</v>
      </c>
      <c r="H78" s="7">
        <f>VLOOKUP(E78,[1]characters!$A:$I,9,FALSE)</f>
        <v>3</v>
      </c>
      <c r="I78" s="7" t="str">
        <f>VLOOKUP(E78,[1]characters!$A:$H,8,FALSE)</f>
        <v>red</v>
      </c>
      <c r="J78" s="7" t="str">
        <f>VLOOKUP(E78,[1]characters!$A:$K,11,FALSE)</f>
        <v>hp</v>
      </c>
      <c r="K78" s="7" t="str">
        <f>VLOOKUP(E78,[1]characters!$A:$M,13,FALSE)</f>
        <v>god</v>
      </c>
      <c r="L78" s="7" t="str">
        <f>VLOOKUP(E78,[1]characters!$A:$G,7,FALSE)</f>
        <v>男性</v>
      </c>
      <c r="M78" s="62">
        <f ca="1">IFERROR(VLOOKUP(E78,input_313010!L:R,7,FALSE),VLOOKUP(tables_313010!B78,input_313010!A:H,8,FALSE))</f>
        <v>189000</v>
      </c>
      <c r="N78" s="63">
        <f ca="1">M78/SUM(M:M)</f>
        <v>6.7567567567567571E-3</v>
      </c>
      <c r="O78" s="31">
        <f>IFERROR(VLOOKUP($E78,bug_conf_sheet!$A:$H,3,FALSE),VLOOKUP("other",bug_conf_sheet!$A:$H,3,FALSE))</f>
        <v>1</v>
      </c>
      <c r="P78" s="31">
        <f>IFERROR(VLOOKUP($E78,bug_conf_sheet!$A:$H,4,FALSE),VLOOKUP("other",bug_conf_sheet!$A:$H,4,FALSE))</f>
        <v>0</v>
      </c>
      <c r="Q78" s="31">
        <f>IFERROR(VLOOKUP($E78,bug_conf_sheet!$A:$H,5,FALSE),VLOOKUP("other",bug_conf_sheet!$A:$H,5,FALSE))</f>
        <v>0</v>
      </c>
      <c r="R78" s="31">
        <f>IFERROR(VLOOKUP($E78,bug_conf_sheet!$A:$H,6,FALSE),VLOOKUP("other",bug_conf_sheet!$A:$H,6,FALSE))</f>
        <v>0</v>
      </c>
      <c r="S78" s="31">
        <f>IFERROR(VLOOKUP($E78,bug_conf_sheet!$A:$H,7,FALSE),VLOOKUP("other",bug_conf_sheet!$A:$H,7,FALSE))</f>
        <v>0</v>
      </c>
      <c r="T78" s="31">
        <f>IFERROR(VLOOKUP($E78,bug_conf_sheet!$A:$H,8,FALSE),VLOOKUP("other",bug_conf_sheet!$A:$H,8,FALSE))</f>
        <v>1</v>
      </c>
    </row>
    <row r="79" spans="1:20" ht="21" customHeight="1">
      <c r="A79" s="2" t="str">
        <f ca="1">input_313010!A$2</f>
        <v>313010</v>
      </c>
      <c r="B79" s="7" t="str">
        <f t="shared" si="3"/>
        <v>Premium4</v>
      </c>
      <c r="C79" s="7" t="str">
        <f t="shared" si="4"/>
        <v>Premium</v>
      </c>
      <c r="D79" s="7" t="str">
        <f t="shared" si="5"/>
        <v>ry</v>
      </c>
      <c r="E79" s="5">
        <v>203</v>
      </c>
      <c r="F79" s="7" t="str">
        <f>VLOOKUP(E79,[1]characters!$A:$C,3,FALSE)</f>
        <v>焔神 プロメテウス</v>
      </c>
      <c r="G79" s="7" t="str">
        <f>VLOOKUP(E79,[1]characters!$A:$J,10,FALSE)</f>
        <v>PremiumN</v>
      </c>
      <c r="H79" s="7">
        <f>VLOOKUP(E79,[1]characters!$A:$I,9,FALSE)</f>
        <v>4</v>
      </c>
      <c r="I79" s="7" t="str">
        <f>VLOOKUP(E79,[1]characters!$A:$H,8,FALSE)</f>
        <v>red</v>
      </c>
      <c r="J79" s="7" t="str">
        <f>VLOOKUP(E79,[1]characters!$A:$K,11,FALSE)</f>
        <v>hp</v>
      </c>
      <c r="K79" s="7" t="str">
        <f>VLOOKUP(E79,[1]characters!$A:$M,13,FALSE)</f>
        <v>god</v>
      </c>
      <c r="L79" s="7" t="str">
        <f>VLOOKUP(E79,[1]characters!$A:$G,7,FALSE)</f>
        <v>男性</v>
      </c>
      <c r="M79" s="62">
        <f ca="1">IFERROR(VLOOKUP(E79,input_313010!L:R,7,FALSE),VLOOKUP(tables_313010!B79,input_313010!A:H,8,FALSE))</f>
        <v>153090</v>
      </c>
      <c r="N79" s="63">
        <f ca="1">M79/SUM(M:M)</f>
        <v>5.4729729729729726E-3</v>
      </c>
      <c r="O79" s="31">
        <f>IFERROR(VLOOKUP($E79,bug_conf_sheet!$A:$H,3,FALSE),VLOOKUP("other",bug_conf_sheet!$A:$H,3,FALSE))</f>
        <v>1</v>
      </c>
      <c r="P79" s="31">
        <f>IFERROR(VLOOKUP($E79,bug_conf_sheet!$A:$H,4,FALSE),VLOOKUP("other",bug_conf_sheet!$A:$H,4,FALSE))</f>
        <v>0</v>
      </c>
      <c r="Q79" s="31">
        <f>IFERROR(VLOOKUP($E79,bug_conf_sheet!$A:$H,5,FALSE),VLOOKUP("other",bug_conf_sheet!$A:$H,5,FALSE))</f>
        <v>0</v>
      </c>
      <c r="R79" s="31">
        <f>IFERROR(VLOOKUP($E79,bug_conf_sheet!$A:$H,6,FALSE),VLOOKUP("other",bug_conf_sheet!$A:$H,6,FALSE))</f>
        <v>0</v>
      </c>
      <c r="S79" s="31">
        <f>IFERROR(VLOOKUP($E79,bug_conf_sheet!$A:$H,7,FALSE),VLOOKUP("other",bug_conf_sheet!$A:$H,7,FALSE))</f>
        <v>0</v>
      </c>
      <c r="T79" s="31">
        <f>IFERROR(VLOOKUP($E79,bug_conf_sheet!$A:$H,8,FALSE),VLOOKUP("other",bug_conf_sheet!$A:$H,8,FALSE))</f>
        <v>1</v>
      </c>
    </row>
    <row r="80" spans="1:20" ht="21" customHeight="1">
      <c r="A80" s="2" t="str">
        <f ca="1">input_313010!A$2</f>
        <v>313010</v>
      </c>
      <c r="B80" s="7" t="str">
        <f t="shared" si="3"/>
        <v>Premium5</v>
      </c>
      <c r="C80" s="7" t="str">
        <f t="shared" si="4"/>
        <v>Premium</v>
      </c>
      <c r="D80" s="7" t="str">
        <f t="shared" si="5"/>
        <v>ry</v>
      </c>
      <c r="E80" s="5">
        <v>204</v>
      </c>
      <c r="F80" s="7" t="str">
        <f>VLOOKUP(E80,[1]characters!$A:$C,3,FALSE)</f>
        <v>慟哭の巨焔 プロメテウス</v>
      </c>
      <c r="G80" s="7" t="str">
        <f>VLOOKUP(E80,[1]characters!$A:$J,10,FALSE)</f>
        <v>PremiumN</v>
      </c>
      <c r="H80" s="7">
        <f>VLOOKUP(E80,[1]characters!$A:$I,9,FALSE)</f>
        <v>5</v>
      </c>
      <c r="I80" s="7" t="str">
        <f>VLOOKUP(E80,[1]characters!$A:$H,8,FALSE)</f>
        <v>red</v>
      </c>
      <c r="J80" s="7" t="str">
        <f>VLOOKUP(E80,[1]characters!$A:$K,11,FALSE)</f>
        <v>hp</v>
      </c>
      <c r="K80" s="7" t="str">
        <f>VLOOKUP(E80,[1]characters!$A:$M,13,FALSE)</f>
        <v>god</v>
      </c>
      <c r="L80" s="7" t="str">
        <f>VLOOKUP(E80,[1]characters!$A:$G,7,FALSE)</f>
        <v>男性</v>
      </c>
      <c r="M80" s="62">
        <f ca="1">IFERROR(VLOOKUP(E80,input_313010!L:R,7,FALSE),VLOOKUP(tables_313010!B80,input_313010!A:H,8,FALSE))</f>
        <v>18130</v>
      </c>
      <c r="N80" s="63">
        <f ca="1">M80/SUM(M:M)</f>
        <v>6.4814814814814813E-4</v>
      </c>
      <c r="O80" s="31">
        <f>IFERROR(VLOOKUP($E80,bug_conf_sheet!$A:$H,3,FALSE),VLOOKUP("other",bug_conf_sheet!$A:$H,3,FALSE))</f>
        <v>1</v>
      </c>
      <c r="P80" s="31">
        <f>IFERROR(VLOOKUP($E80,bug_conf_sheet!$A:$H,4,FALSE),VLOOKUP("other",bug_conf_sheet!$A:$H,4,FALSE))</f>
        <v>0</v>
      </c>
      <c r="Q80" s="31">
        <f>IFERROR(VLOOKUP($E80,bug_conf_sheet!$A:$H,5,FALSE),VLOOKUP("other",bug_conf_sheet!$A:$H,5,FALSE))</f>
        <v>0</v>
      </c>
      <c r="R80" s="31">
        <f>IFERROR(VLOOKUP($E80,bug_conf_sheet!$A:$H,6,FALSE),VLOOKUP("other",bug_conf_sheet!$A:$H,6,FALSE))</f>
        <v>0</v>
      </c>
      <c r="S80" s="31">
        <f>IFERROR(VLOOKUP($E80,bug_conf_sheet!$A:$H,7,FALSE),VLOOKUP("other",bug_conf_sheet!$A:$H,7,FALSE))</f>
        <v>0</v>
      </c>
      <c r="T80" s="31">
        <f>IFERROR(VLOOKUP($E80,bug_conf_sheet!$A:$H,8,FALSE),VLOOKUP("other",bug_conf_sheet!$A:$H,8,FALSE))</f>
        <v>1</v>
      </c>
    </row>
    <row r="81" spans="1:20" ht="21" customHeight="1">
      <c r="A81" s="2" t="str">
        <f ca="1">input_313010!A$2</f>
        <v>313010</v>
      </c>
      <c r="B81" s="7" t="str">
        <f t="shared" si="3"/>
        <v>Premium3</v>
      </c>
      <c r="C81" s="7" t="str">
        <f t="shared" si="4"/>
        <v>Premium</v>
      </c>
      <c r="D81" s="7" t="str">
        <f t="shared" si="5"/>
        <v>bg</v>
      </c>
      <c r="E81" s="5">
        <v>205</v>
      </c>
      <c r="F81" s="7" t="str">
        <f>VLOOKUP(E81,[1]characters!$A:$C,3,FALSE)</f>
        <v>アフロディーテ</v>
      </c>
      <c r="G81" s="7" t="str">
        <f>VLOOKUP(E81,[1]characters!$A:$J,10,FALSE)</f>
        <v>PremiumN</v>
      </c>
      <c r="H81" s="7">
        <f>VLOOKUP(E81,[1]characters!$A:$I,9,FALSE)</f>
        <v>3</v>
      </c>
      <c r="I81" s="7" t="str">
        <f>VLOOKUP(E81,[1]characters!$A:$H,8,FALSE)</f>
        <v>green</v>
      </c>
      <c r="J81" s="7" t="str">
        <f>VLOOKUP(E81,[1]characters!$A:$K,11,FALSE)</f>
        <v>hp</v>
      </c>
      <c r="K81" s="7" t="str">
        <f>VLOOKUP(E81,[1]characters!$A:$M,13,FALSE)</f>
        <v>god</v>
      </c>
      <c r="L81" s="7" t="str">
        <f>VLOOKUP(E81,[1]characters!$A:$G,7,FALSE)</f>
        <v>女性</v>
      </c>
      <c r="M81" s="62">
        <f ca="1">IFERROR(VLOOKUP(E81,input_313010!L:R,7,FALSE),VLOOKUP(tables_313010!B81,input_313010!A:H,8,FALSE))</f>
        <v>189000</v>
      </c>
      <c r="N81" s="63">
        <f ca="1">M81/SUM(M:M)</f>
        <v>6.7567567567567571E-3</v>
      </c>
      <c r="O81" s="31">
        <f>IFERROR(VLOOKUP($E81,bug_conf_sheet!$A:$H,3,FALSE),VLOOKUP("other",bug_conf_sheet!$A:$H,3,FALSE))</f>
        <v>1</v>
      </c>
      <c r="P81" s="31">
        <f>IFERROR(VLOOKUP($E81,bug_conf_sheet!$A:$H,4,FALSE),VLOOKUP("other",bug_conf_sheet!$A:$H,4,FALSE))</f>
        <v>0</v>
      </c>
      <c r="Q81" s="31">
        <f>IFERROR(VLOOKUP($E81,bug_conf_sheet!$A:$H,5,FALSE),VLOOKUP("other",bug_conf_sheet!$A:$H,5,FALSE))</f>
        <v>0</v>
      </c>
      <c r="R81" s="31">
        <f>IFERROR(VLOOKUP($E81,bug_conf_sheet!$A:$H,6,FALSE),VLOOKUP("other",bug_conf_sheet!$A:$H,6,FALSE))</f>
        <v>0</v>
      </c>
      <c r="S81" s="31">
        <f>IFERROR(VLOOKUP($E81,bug_conf_sheet!$A:$H,7,FALSE),VLOOKUP("other",bug_conf_sheet!$A:$H,7,FALSE))</f>
        <v>0</v>
      </c>
      <c r="T81" s="31">
        <f>IFERROR(VLOOKUP($E81,bug_conf_sheet!$A:$H,8,FALSE),VLOOKUP("other",bug_conf_sheet!$A:$H,8,FALSE))</f>
        <v>1</v>
      </c>
    </row>
    <row r="82" spans="1:20" ht="21" customHeight="1">
      <c r="A82" s="2" t="str">
        <f ca="1">input_313010!A$2</f>
        <v>313010</v>
      </c>
      <c r="B82" s="7" t="str">
        <f t="shared" si="3"/>
        <v>Premium4</v>
      </c>
      <c r="C82" s="7" t="str">
        <f t="shared" si="4"/>
        <v>Premium</v>
      </c>
      <c r="D82" s="7" t="str">
        <f t="shared" si="5"/>
        <v>bg</v>
      </c>
      <c r="E82" s="5">
        <v>206</v>
      </c>
      <c r="F82" s="7" t="str">
        <f>VLOOKUP(E82,[1]characters!$A:$C,3,FALSE)</f>
        <v>美神 アフロディーテ</v>
      </c>
      <c r="G82" s="7" t="str">
        <f>VLOOKUP(E82,[1]characters!$A:$J,10,FALSE)</f>
        <v>PremiumN</v>
      </c>
      <c r="H82" s="7">
        <f>VLOOKUP(E82,[1]characters!$A:$I,9,FALSE)</f>
        <v>4</v>
      </c>
      <c r="I82" s="7" t="str">
        <f>VLOOKUP(E82,[1]characters!$A:$H,8,FALSE)</f>
        <v>green</v>
      </c>
      <c r="J82" s="7" t="str">
        <f>VLOOKUP(E82,[1]characters!$A:$K,11,FALSE)</f>
        <v>hp</v>
      </c>
      <c r="K82" s="7" t="str">
        <f>VLOOKUP(E82,[1]characters!$A:$M,13,FALSE)</f>
        <v>god</v>
      </c>
      <c r="L82" s="7" t="str">
        <f>VLOOKUP(E82,[1]characters!$A:$G,7,FALSE)</f>
        <v>女性</v>
      </c>
      <c r="M82" s="62">
        <f ca="1">IFERROR(VLOOKUP(E82,input_313010!L:R,7,FALSE),VLOOKUP(tables_313010!B82,input_313010!A:H,8,FALSE))</f>
        <v>153090</v>
      </c>
      <c r="N82" s="63">
        <f ca="1">M82/SUM(M:M)</f>
        <v>5.4729729729729726E-3</v>
      </c>
      <c r="O82" s="31">
        <f>IFERROR(VLOOKUP($E82,bug_conf_sheet!$A:$H,3,FALSE),VLOOKUP("other",bug_conf_sheet!$A:$H,3,FALSE))</f>
        <v>1</v>
      </c>
      <c r="P82" s="31">
        <f>IFERROR(VLOOKUP($E82,bug_conf_sheet!$A:$H,4,FALSE),VLOOKUP("other",bug_conf_sheet!$A:$H,4,FALSE))</f>
        <v>0</v>
      </c>
      <c r="Q82" s="31">
        <f>IFERROR(VLOOKUP($E82,bug_conf_sheet!$A:$H,5,FALSE),VLOOKUP("other",bug_conf_sheet!$A:$H,5,FALSE))</f>
        <v>0</v>
      </c>
      <c r="R82" s="31">
        <f>IFERROR(VLOOKUP($E82,bug_conf_sheet!$A:$H,6,FALSE),VLOOKUP("other",bug_conf_sheet!$A:$H,6,FALSE))</f>
        <v>0</v>
      </c>
      <c r="S82" s="31">
        <f>IFERROR(VLOOKUP($E82,bug_conf_sheet!$A:$H,7,FALSE),VLOOKUP("other",bug_conf_sheet!$A:$H,7,FALSE))</f>
        <v>0</v>
      </c>
      <c r="T82" s="31">
        <f>IFERROR(VLOOKUP($E82,bug_conf_sheet!$A:$H,8,FALSE),VLOOKUP("other",bug_conf_sheet!$A:$H,8,FALSE))</f>
        <v>1</v>
      </c>
    </row>
    <row r="83" spans="1:20" ht="21" customHeight="1">
      <c r="A83" s="2" t="str">
        <f ca="1">input_313010!A$2</f>
        <v>313010</v>
      </c>
      <c r="B83" s="7" t="str">
        <f t="shared" si="3"/>
        <v>Premium5</v>
      </c>
      <c r="C83" s="7" t="str">
        <f t="shared" si="4"/>
        <v>Premium</v>
      </c>
      <c r="D83" s="7" t="str">
        <f t="shared" si="5"/>
        <v>bg</v>
      </c>
      <c r="E83" s="5">
        <v>207</v>
      </c>
      <c r="F83" s="7" t="str">
        <f>VLOOKUP(E83,[1]characters!$A:$C,3,FALSE)</f>
        <v>豊穣の麗神・アフロディーテ</v>
      </c>
      <c r="G83" s="7" t="str">
        <f>VLOOKUP(E83,[1]characters!$A:$J,10,FALSE)</f>
        <v>PremiumN</v>
      </c>
      <c r="H83" s="7">
        <f>VLOOKUP(E83,[1]characters!$A:$I,9,FALSE)</f>
        <v>5</v>
      </c>
      <c r="I83" s="7" t="str">
        <f>VLOOKUP(E83,[1]characters!$A:$H,8,FALSE)</f>
        <v>green</v>
      </c>
      <c r="J83" s="7" t="str">
        <f>VLOOKUP(E83,[1]characters!$A:$K,11,FALSE)</f>
        <v>hp</v>
      </c>
      <c r="K83" s="7" t="str">
        <f>VLOOKUP(E83,[1]characters!$A:$M,13,FALSE)</f>
        <v>god</v>
      </c>
      <c r="L83" s="7" t="str">
        <f>VLOOKUP(E83,[1]characters!$A:$G,7,FALSE)</f>
        <v>女性</v>
      </c>
      <c r="M83" s="62">
        <f ca="1">IFERROR(VLOOKUP(E83,input_313010!L:R,7,FALSE),VLOOKUP(tables_313010!B83,input_313010!A:H,8,FALSE))</f>
        <v>18130</v>
      </c>
      <c r="N83" s="63">
        <f ca="1">M83/SUM(M:M)</f>
        <v>6.4814814814814813E-4</v>
      </c>
      <c r="O83" s="31">
        <f>IFERROR(VLOOKUP($E83,bug_conf_sheet!$A:$H,3,FALSE),VLOOKUP("other",bug_conf_sheet!$A:$H,3,FALSE))</f>
        <v>1</v>
      </c>
      <c r="P83" s="31">
        <f>IFERROR(VLOOKUP($E83,bug_conf_sheet!$A:$H,4,FALSE),VLOOKUP("other",bug_conf_sheet!$A:$H,4,FALSE))</f>
        <v>0</v>
      </c>
      <c r="Q83" s="31">
        <f>IFERROR(VLOOKUP($E83,bug_conf_sheet!$A:$H,5,FALSE),VLOOKUP("other",bug_conf_sheet!$A:$H,5,FALSE))</f>
        <v>0</v>
      </c>
      <c r="R83" s="31">
        <f>IFERROR(VLOOKUP($E83,bug_conf_sheet!$A:$H,6,FALSE),VLOOKUP("other",bug_conf_sheet!$A:$H,6,FALSE))</f>
        <v>0</v>
      </c>
      <c r="S83" s="31">
        <f>IFERROR(VLOOKUP($E83,bug_conf_sheet!$A:$H,7,FALSE),VLOOKUP("other",bug_conf_sheet!$A:$H,7,FALSE))</f>
        <v>0</v>
      </c>
      <c r="T83" s="31">
        <f>IFERROR(VLOOKUP($E83,bug_conf_sheet!$A:$H,8,FALSE),VLOOKUP("other",bug_conf_sheet!$A:$H,8,FALSE))</f>
        <v>1</v>
      </c>
    </row>
    <row r="84" spans="1:20" ht="21" customHeight="1">
      <c r="A84" s="2" t="str">
        <f ca="1">input_313010!A$2</f>
        <v>313010</v>
      </c>
      <c r="B84" s="7" t="str">
        <f t="shared" si="3"/>
        <v>Premium3</v>
      </c>
      <c r="C84" s="7" t="str">
        <f t="shared" si="4"/>
        <v>Premium</v>
      </c>
      <c r="D84" s="7" t="str">
        <f t="shared" si="5"/>
        <v>bg</v>
      </c>
      <c r="E84" s="5">
        <v>208</v>
      </c>
      <c r="F84" s="7" t="str">
        <f>VLOOKUP(E84,[1]characters!$A:$C,3,FALSE)</f>
        <v>テティス</v>
      </c>
      <c r="G84" s="7" t="str">
        <f>VLOOKUP(E84,[1]characters!$A:$J,10,FALSE)</f>
        <v>PremiumN</v>
      </c>
      <c r="H84" s="7">
        <f>VLOOKUP(E84,[1]characters!$A:$I,9,FALSE)</f>
        <v>3</v>
      </c>
      <c r="I84" s="7" t="str">
        <f>VLOOKUP(E84,[1]characters!$A:$H,8,FALSE)</f>
        <v>blue</v>
      </c>
      <c r="J84" s="7" t="str">
        <f>VLOOKUP(E84,[1]characters!$A:$K,11,FALSE)</f>
        <v>hp</v>
      </c>
      <c r="K84" s="7" t="str">
        <f>VLOOKUP(E84,[1]characters!$A:$M,13,FALSE)</f>
        <v>god</v>
      </c>
      <c r="L84" s="7" t="str">
        <f>VLOOKUP(E84,[1]characters!$A:$G,7,FALSE)</f>
        <v>女性</v>
      </c>
      <c r="M84" s="62">
        <f ca="1">IFERROR(VLOOKUP(E84,input_313010!L:R,7,FALSE),VLOOKUP(tables_313010!B84,input_313010!A:H,8,FALSE))</f>
        <v>189000</v>
      </c>
      <c r="N84" s="63">
        <f ca="1">M84/SUM(M:M)</f>
        <v>6.7567567567567571E-3</v>
      </c>
      <c r="O84" s="31">
        <f>IFERROR(VLOOKUP($E84,bug_conf_sheet!$A:$H,3,FALSE),VLOOKUP("other",bug_conf_sheet!$A:$H,3,FALSE))</f>
        <v>1</v>
      </c>
      <c r="P84" s="31">
        <f>IFERROR(VLOOKUP($E84,bug_conf_sheet!$A:$H,4,FALSE),VLOOKUP("other",bug_conf_sheet!$A:$H,4,FALSE))</f>
        <v>0</v>
      </c>
      <c r="Q84" s="31">
        <f>IFERROR(VLOOKUP($E84,bug_conf_sheet!$A:$H,5,FALSE),VLOOKUP("other",bug_conf_sheet!$A:$H,5,FALSE))</f>
        <v>0</v>
      </c>
      <c r="R84" s="31">
        <f>IFERROR(VLOOKUP($E84,bug_conf_sheet!$A:$H,6,FALSE),VLOOKUP("other",bug_conf_sheet!$A:$H,6,FALSE))</f>
        <v>0</v>
      </c>
      <c r="S84" s="31">
        <f>IFERROR(VLOOKUP($E84,bug_conf_sheet!$A:$H,7,FALSE),VLOOKUP("other",bug_conf_sheet!$A:$H,7,FALSE))</f>
        <v>0</v>
      </c>
      <c r="T84" s="31">
        <f>IFERROR(VLOOKUP($E84,bug_conf_sheet!$A:$H,8,FALSE),VLOOKUP("other",bug_conf_sheet!$A:$H,8,FALSE))</f>
        <v>1</v>
      </c>
    </row>
    <row r="85" spans="1:20" ht="21" customHeight="1">
      <c r="A85" s="2" t="str">
        <f ca="1">input_313010!A$2</f>
        <v>313010</v>
      </c>
      <c r="B85" s="7" t="str">
        <f t="shared" si="3"/>
        <v>Premium4</v>
      </c>
      <c r="C85" s="7" t="str">
        <f t="shared" si="4"/>
        <v>Premium</v>
      </c>
      <c r="D85" s="7" t="str">
        <f t="shared" si="5"/>
        <v>bg</v>
      </c>
      <c r="E85" s="5">
        <v>209</v>
      </c>
      <c r="F85" s="7" t="str">
        <f>VLOOKUP(E85,[1]characters!$A:$C,3,FALSE)</f>
        <v>孤神 テティス</v>
      </c>
      <c r="G85" s="7" t="str">
        <f>VLOOKUP(E85,[1]characters!$A:$J,10,FALSE)</f>
        <v>PremiumN</v>
      </c>
      <c r="H85" s="7">
        <f>VLOOKUP(E85,[1]characters!$A:$I,9,FALSE)</f>
        <v>4</v>
      </c>
      <c r="I85" s="7" t="str">
        <f>VLOOKUP(E85,[1]characters!$A:$H,8,FALSE)</f>
        <v>blue</v>
      </c>
      <c r="J85" s="7" t="str">
        <f>VLOOKUP(E85,[1]characters!$A:$K,11,FALSE)</f>
        <v>hp</v>
      </c>
      <c r="K85" s="7" t="str">
        <f>VLOOKUP(E85,[1]characters!$A:$M,13,FALSE)</f>
        <v>god</v>
      </c>
      <c r="L85" s="7" t="str">
        <f>VLOOKUP(E85,[1]characters!$A:$G,7,FALSE)</f>
        <v>女性</v>
      </c>
      <c r="M85" s="62">
        <f ca="1">IFERROR(VLOOKUP(E85,input_313010!L:R,7,FALSE),VLOOKUP(tables_313010!B85,input_313010!A:H,8,FALSE))</f>
        <v>153090</v>
      </c>
      <c r="N85" s="63">
        <f ca="1">M85/SUM(M:M)</f>
        <v>5.4729729729729726E-3</v>
      </c>
      <c r="O85" s="31">
        <f>IFERROR(VLOOKUP($E85,bug_conf_sheet!$A:$H,3,FALSE),VLOOKUP("other",bug_conf_sheet!$A:$H,3,FALSE))</f>
        <v>1</v>
      </c>
      <c r="P85" s="31">
        <f>IFERROR(VLOOKUP($E85,bug_conf_sheet!$A:$H,4,FALSE),VLOOKUP("other",bug_conf_sheet!$A:$H,4,FALSE))</f>
        <v>0</v>
      </c>
      <c r="Q85" s="31">
        <f>IFERROR(VLOOKUP($E85,bug_conf_sheet!$A:$H,5,FALSE),VLOOKUP("other",bug_conf_sheet!$A:$H,5,FALSE))</f>
        <v>0</v>
      </c>
      <c r="R85" s="31">
        <f>IFERROR(VLOOKUP($E85,bug_conf_sheet!$A:$H,6,FALSE),VLOOKUP("other",bug_conf_sheet!$A:$H,6,FALSE))</f>
        <v>0</v>
      </c>
      <c r="S85" s="31">
        <f>IFERROR(VLOOKUP($E85,bug_conf_sheet!$A:$H,7,FALSE),VLOOKUP("other",bug_conf_sheet!$A:$H,7,FALSE))</f>
        <v>0</v>
      </c>
      <c r="T85" s="31">
        <f>IFERROR(VLOOKUP($E85,bug_conf_sheet!$A:$H,8,FALSE),VLOOKUP("other",bug_conf_sheet!$A:$H,8,FALSE))</f>
        <v>1</v>
      </c>
    </row>
    <row r="86" spans="1:20" ht="21" customHeight="1">
      <c r="A86" s="2" t="str">
        <f ca="1">input_313010!A$2</f>
        <v>313010</v>
      </c>
      <c r="B86" s="7" t="str">
        <f t="shared" si="3"/>
        <v>Premium5</v>
      </c>
      <c r="C86" s="7" t="str">
        <f t="shared" si="4"/>
        <v>Premium</v>
      </c>
      <c r="D86" s="7" t="str">
        <f t="shared" si="5"/>
        <v>bg</v>
      </c>
      <c r="E86" s="5">
        <v>210</v>
      </c>
      <c r="F86" s="7" t="str">
        <f>VLOOKUP(E86,[1]characters!$A:$C,3,FALSE)</f>
        <v>海底の孤高神 テティス</v>
      </c>
      <c r="G86" s="7" t="str">
        <f>VLOOKUP(E86,[1]characters!$A:$J,10,FALSE)</f>
        <v>PremiumN</v>
      </c>
      <c r="H86" s="7">
        <f>VLOOKUP(E86,[1]characters!$A:$I,9,FALSE)</f>
        <v>5</v>
      </c>
      <c r="I86" s="7" t="str">
        <f>VLOOKUP(E86,[1]characters!$A:$H,8,FALSE)</f>
        <v>blue</v>
      </c>
      <c r="J86" s="7" t="str">
        <f>VLOOKUP(E86,[1]characters!$A:$K,11,FALSE)</f>
        <v>hp</v>
      </c>
      <c r="K86" s="7" t="str">
        <f>VLOOKUP(E86,[1]characters!$A:$M,13,FALSE)</f>
        <v>god</v>
      </c>
      <c r="L86" s="7" t="str">
        <f>VLOOKUP(E86,[1]characters!$A:$G,7,FALSE)</f>
        <v>女性</v>
      </c>
      <c r="M86" s="62">
        <f ca="1">IFERROR(VLOOKUP(E86,input_313010!L:R,7,FALSE),VLOOKUP(tables_313010!B86,input_313010!A:H,8,FALSE))</f>
        <v>18130</v>
      </c>
      <c r="N86" s="63">
        <f ca="1">M86/SUM(M:M)</f>
        <v>6.4814814814814813E-4</v>
      </c>
      <c r="O86" s="31">
        <f>IFERROR(VLOOKUP($E86,bug_conf_sheet!$A:$H,3,FALSE),VLOOKUP("other",bug_conf_sheet!$A:$H,3,FALSE))</f>
        <v>1</v>
      </c>
      <c r="P86" s="31">
        <f>IFERROR(VLOOKUP($E86,bug_conf_sheet!$A:$H,4,FALSE),VLOOKUP("other",bug_conf_sheet!$A:$H,4,FALSE))</f>
        <v>0</v>
      </c>
      <c r="Q86" s="31">
        <f>IFERROR(VLOOKUP($E86,bug_conf_sheet!$A:$H,5,FALSE),VLOOKUP("other",bug_conf_sheet!$A:$H,5,FALSE))</f>
        <v>0</v>
      </c>
      <c r="R86" s="31">
        <f>IFERROR(VLOOKUP($E86,bug_conf_sheet!$A:$H,6,FALSE),VLOOKUP("other",bug_conf_sheet!$A:$H,6,FALSE))</f>
        <v>0</v>
      </c>
      <c r="S86" s="31">
        <f>IFERROR(VLOOKUP($E86,bug_conf_sheet!$A:$H,7,FALSE),VLOOKUP("other",bug_conf_sheet!$A:$H,7,FALSE))</f>
        <v>0</v>
      </c>
      <c r="T86" s="31">
        <f>IFERROR(VLOOKUP($E86,bug_conf_sheet!$A:$H,8,FALSE),VLOOKUP("other",bug_conf_sheet!$A:$H,8,FALSE))</f>
        <v>1</v>
      </c>
    </row>
    <row r="87" spans="1:20" ht="21" customHeight="1">
      <c r="A87" s="2" t="str">
        <f ca="1">input_313010!A$2</f>
        <v>313010</v>
      </c>
      <c r="B87" s="7" t="str">
        <f t="shared" si="3"/>
        <v>Premium3</v>
      </c>
      <c r="C87" s="7" t="str">
        <f t="shared" si="4"/>
        <v>Premium</v>
      </c>
      <c r="D87" s="7" t="str">
        <f t="shared" si="5"/>
        <v>ry</v>
      </c>
      <c r="E87" s="5">
        <v>211</v>
      </c>
      <c r="F87" s="7" t="str">
        <f>VLOOKUP(E87,[1]characters!$A:$C,3,FALSE)</f>
        <v>アストライアー</v>
      </c>
      <c r="G87" s="7" t="str">
        <f>VLOOKUP(E87,[1]characters!$A:$J,10,FALSE)</f>
        <v>PremiumN</v>
      </c>
      <c r="H87" s="7">
        <f>VLOOKUP(E87,[1]characters!$A:$I,9,FALSE)</f>
        <v>3</v>
      </c>
      <c r="I87" s="7" t="str">
        <f>VLOOKUP(E87,[1]characters!$A:$H,8,FALSE)</f>
        <v>yellow</v>
      </c>
      <c r="J87" s="7" t="str">
        <f>VLOOKUP(E87,[1]characters!$A:$K,11,FALSE)</f>
        <v>balance</v>
      </c>
      <c r="K87" s="7" t="str">
        <f>VLOOKUP(E87,[1]characters!$A:$M,13,FALSE)</f>
        <v>god</v>
      </c>
      <c r="L87" s="7" t="str">
        <f>VLOOKUP(E87,[1]characters!$A:$G,7,FALSE)</f>
        <v>女性</v>
      </c>
      <c r="M87" s="62">
        <f ca="1">IFERROR(VLOOKUP(E87,input_313010!L:R,7,FALSE),VLOOKUP(tables_313010!B87,input_313010!A:H,8,FALSE))</f>
        <v>189000</v>
      </c>
      <c r="N87" s="63">
        <f ca="1">M87/SUM(M:M)</f>
        <v>6.7567567567567571E-3</v>
      </c>
      <c r="O87" s="31">
        <f>IFERROR(VLOOKUP($E87,bug_conf_sheet!$A:$H,3,FALSE),VLOOKUP("other",bug_conf_sheet!$A:$H,3,FALSE))</f>
        <v>1</v>
      </c>
      <c r="P87" s="31">
        <f>IFERROR(VLOOKUP($E87,bug_conf_sheet!$A:$H,4,FALSE),VLOOKUP("other",bug_conf_sheet!$A:$H,4,FALSE))</f>
        <v>0</v>
      </c>
      <c r="Q87" s="31">
        <f>IFERROR(VLOOKUP($E87,bug_conf_sheet!$A:$H,5,FALSE),VLOOKUP("other",bug_conf_sheet!$A:$H,5,FALSE))</f>
        <v>0</v>
      </c>
      <c r="R87" s="31">
        <f>IFERROR(VLOOKUP($E87,bug_conf_sheet!$A:$H,6,FALSE),VLOOKUP("other",bug_conf_sheet!$A:$H,6,FALSE))</f>
        <v>0</v>
      </c>
      <c r="S87" s="31">
        <f>IFERROR(VLOOKUP($E87,bug_conf_sheet!$A:$H,7,FALSE),VLOOKUP("other",bug_conf_sheet!$A:$H,7,FALSE))</f>
        <v>0</v>
      </c>
      <c r="T87" s="31">
        <f>IFERROR(VLOOKUP($E87,bug_conf_sheet!$A:$H,8,FALSE),VLOOKUP("other",bug_conf_sheet!$A:$H,8,FALSE))</f>
        <v>1</v>
      </c>
    </row>
    <row r="88" spans="1:20" ht="21" customHeight="1">
      <c r="A88" s="2" t="str">
        <f ca="1">input_313010!A$2</f>
        <v>313010</v>
      </c>
      <c r="B88" s="7" t="str">
        <f t="shared" si="3"/>
        <v>Premium4</v>
      </c>
      <c r="C88" s="7" t="str">
        <f t="shared" si="4"/>
        <v>Premium</v>
      </c>
      <c r="D88" s="7" t="str">
        <f t="shared" si="5"/>
        <v>ry</v>
      </c>
      <c r="E88" s="5">
        <v>212</v>
      </c>
      <c r="F88" s="7" t="str">
        <f>VLOOKUP(E88,[1]characters!$A:$C,3,FALSE)</f>
        <v>星神 アストライアー</v>
      </c>
      <c r="G88" s="7" t="str">
        <f>VLOOKUP(E88,[1]characters!$A:$J,10,FALSE)</f>
        <v>PremiumN</v>
      </c>
      <c r="H88" s="7">
        <f>VLOOKUP(E88,[1]characters!$A:$I,9,FALSE)</f>
        <v>4</v>
      </c>
      <c r="I88" s="7" t="str">
        <f>VLOOKUP(E88,[1]characters!$A:$H,8,FALSE)</f>
        <v>yellow</v>
      </c>
      <c r="J88" s="7" t="str">
        <f>VLOOKUP(E88,[1]characters!$A:$K,11,FALSE)</f>
        <v>balance</v>
      </c>
      <c r="K88" s="7" t="str">
        <f>VLOOKUP(E88,[1]characters!$A:$M,13,FALSE)</f>
        <v>god</v>
      </c>
      <c r="L88" s="7" t="str">
        <f>VLOOKUP(E88,[1]characters!$A:$G,7,FALSE)</f>
        <v>女性</v>
      </c>
      <c r="M88" s="62">
        <f ca="1">IFERROR(VLOOKUP(E88,input_313010!L:R,7,FALSE),VLOOKUP(tables_313010!B88,input_313010!A:H,8,FALSE))</f>
        <v>153090</v>
      </c>
      <c r="N88" s="63">
        <f ca="1">M88/SUM(M:M)</f>
        <v>5.4729729729729726E-3</v>
      </c>
      <c r="O88" s="31">
        <f>IFERROR(VLOOKUP($E88,bug_conf_sheet!$A:$H,3,FALSE),VLOOKUP("other",bug_conf_sheet!$A:$H,3,FALSE))</f>
        <v>1</v>
      </c>
      <c r="P88" s="31">
        <f>IFERROR(VLOOKUP($E88,bug_conf_sheet!$A:$H,4,FALSE),VLOOKUP("other",bug_conf_sheet!$A:$H,4,FALSE))</f>
        <v>0</v>
      </c>
      <c r="Q88" s="31">
        <f>IFERROR(VLOOKUP($E88,bug_conf_sheet!$A:$H,5,FALSE),VLOOKUP("other",bug_conf_sheet!$A:$H,5,FALSE))</f>
        <v>0</v>
      </c>
      <c r="R88" s="31">
        <f>IFERROR(VLOOKUP($E88,bug_conf_sheet!$A:$H,6,FALSE),VLOOKUP("other",bug_conf_sheet!$A:$H,6,FALSE))</f>
        <v>0</v>
      </c>
      <c r="S88" s="31">
        <f>IFERROR(VLOOKUP($E88,bug_conf_sheet!$A:$H,7,FALSE),VLOOKUP("other",bug_conf_sheet!$A:$H,7,FALSE))</f>
        <v>0</v>
      </c>
      <c r="T88" s="31">
        <f>IFERROR(VLOOKUP($E88,bug_conf_sheet!$A:$H,8,FALSE),VLOOKUP("other",bug_conf_sheet!$A:$H,8,FALSE))</f>
        <v>1</v>
      </c>
    </row>
    <row r="89" spans="1:20" ht="21" customHeight="1">
      <c r="A89" s="2" t="str">
        <f ca="1">input_313010!A$2</f>
        <v>313010</v>
      </c>
      <c r="B89" s="7" t="str">
        <f t="shared" si="3"/>
        <v>Premium5</v>
      </c>
      <c r="C89" s="7" t="str">
        <f t="shared" si="4"/>
        <v>Premium</v>
      </c>
      <c r="D89" s="7" t="str">
        <f t="shared" si="5"/>
        <v>ry</v>
      </c>
      <c r="E89" s="5">
        <v>213</v>
      </c>
      <c r="F89" s="7" t="str">
        <f>VLOOKUP(E89,[1]characters!$A:$C,3,FALSE)</f>
        <v>満天の星降神 アストライアー</v>
      </c>
      <c r="G89" s="7" t="str">
        <f>VLOOKUP(E89,[1]characters!$A:$J,10,FALSE)</f>
        <v>PremiumN</v>
      </c>
      <c r="H89" s="7">
        <f>VLOOKUP(E89,[1]characters!$A:$I,9,FALSE)</f>
        <v>5</v>
      </c>
      <c r="I89" s="7" t="str">
        <f>VLOOKUP(E89,[1]characters!$A:$H,8,FALSE)</f>
        <v>yellow</v>
      </c>
      <c r="J89" s="7" t="str">
        <f>VLOOKUP(E89,[1]characters!$A:$K,11,FALSE)</f>
        <v>balance</v>
      </c>
      <c r="K89" s="7" t="str">
        <f>VLOOKUP(E89,[1]characters!$A:$M,13,FALSE)</f>
        <v>god</v>
      </c>
      <c r="L89" s="7" t="str">
        <f>VLOOKUP(E89,[1]characters!$A:$G,7,FALSE)</f>
        <v>女性</v>
      </c>
      <c r="M89" s="62">
        <f ca="1">IFERROR(VLOOKUP(E89,input_313010!L:R,7,FALSE),VLOOKUP(tables_313010!B89,input_313010!A:H,8,FALSE))</f>
        <v>18130</v>
      </c>
      <c r="N89" s="63">
        <f ca="1">M89/SUM(M:M)</f>
        <v>6.4814814814814813E-4</v>
      </c>
      <c r="O89" s="31">
        <f>IFERROR(VLOOKUP($E89,bug_conf_sheet!$A:$H,3,FALSE),VLOOKUP("other",bug_conf_sheet!$A:$H,3,FALSE))</f>
        <v>1</v>
      </c>
      <c r="P89" s="31">
        <f>IFERROR(VLOOKUP($E89,bug_conf_sheet!$A:$H,4,FALSE),VLOOKUP("other",bug_conf_sheet!$A:$H,4,FALSE))</f>
        <v>0</v>
      </c>
      <c r="Q89" s="31">
        <f>IFERROR(VLOOKUP($E89,bug_conf_sheet!$A:$H,5,FALSE),VLOOKUP("other",bug_conf_sheet!$A:$H,5,FALSE))</f>
        <v>0</v>
      </c>
      <c r="R89" s="31">
        <f>IFERROR(VLOOKUP($E89,bug_conf_sheet!$A:$H,6,FALSE),VLOOKUP("other",bug_conf_sheet!$A:$H,6,FALSE))</f>
        <v>0</v>
      </c>
      <c r="S89" s="31">
        <f>IFERROR(VLOOKUP($E89,bug_conf_sheet!$A:$H,7,FALSE),VLOOKUP("other",bug_conf_sheet!$A:$H,7,FALSE))</f>
        <v>0</v>
      </c>
      <c r="T89" s="31">
        <f>IFERROR(VLOOKUP($E89,bug_conf_sheet!$A:$H,8,FALSE),VLOOKUP("other",bug_conf_sheet!$A:$H,8,FALSE))</f>
        <v>1</v>
      </c>
    </row>
    <row r="90" spans="1:20" ht="21" customHeight="1">
      <c r="A90" s="2" t="str">
        <f ca="1">input_313010!A$2</f>
        <v>313010</v>
      </c>
      <c r="B90" s="7" t="str">
        <f t="shared" si="3"/>
        <v>Premium3</v>
      </c>
      <c r="C90" s="7" t="str">
        <f t="shared" si="4"/>
        <v>Premium</v>
      </c>
      <c r="D90" s="7" t="str">
        <f t="shared" si="5"/>
        <v>ry</v>
      </c>
      <c r="E90" s="5">
        <v>214</v>
      </c>
      <c r="F90" s="7" t="str">
        <f>VLOOKUP(E90,[1]characters!$A:$C,3,FALSE)</f>
        <v>アズラエル</v>
      </c>
      <c r="G90" s="7" t="str">
        <f>VLOOKUP(E90,[1]characters!$A:$J,10,FALSE)</f>
        <v>PremiumN</v>
      </c>
      <c r="H90" s="7">
        <f>VLOOKUP(E90,[1]characters!$A:$I,9,FALSE)</f>
        <v>3</v>
      </c>
      <c r="I90" s="7" t="str">
        <f>VLOOKUP(E90,[1]characters!$A:$H,8,FALSE)</f>
        <v>red</v>
      </c>
      <c r="J90" s="7" t="str">
        <f>VLOOKUP(E90,[1]characters!$A:$K,11,FALSE)</f>
        <v>balance</v>
      </c>
      <c r="K90" s="7" t="str">
        <f>VLOOKUP(E90,[1]characters!$A:$M,13,FALSE)</f>
        <v>god</v>
      </c>
      <c r="L90" s="7" t="str">
        <f>VLOOKUP(E90,[1]characters!$A:$G,7,FALSE)</f>
        <v>女性</v>
      </c>
      <c r="M90" s="62">
        <f ca="1">IFERROR(VLOOKUP(E90,input_313010!L:R,7,FALSE),VLOOKUP(tables_313010!B90,input_313010!A:H,8,FALSE))</f>
        <v>189000</v>
      </c>
      <c r="N90" s="63">
        <f ca="1">M90/SUM(M:M)</f>
        <v>6.7567567567567571E-3</v>
      </c>
      <c r="O90" s="31">
        <f>IFERROR(VLOOKUP($E90,bug_conf_sheet!$A:$H,3,FALSE),VLOOKUP("other",bug_conf_sheet!$A:$H,3,FALSE))</f>
        <v>1</v>
      </c>
      <c r="P90" s="31">
        <f>IFERROR(VLOOKUP($E90,bug_conf_sheet!$A:$H,4,FALSE),VLOOKUP("other",bug_conf_sheet!$A:$H,4,FALSE))</f>
        <v>0</v>
      </c>
      <c r="Q90" s="31">
        <f>IFERROR(VLOOKUP($E90,bug_conf_sheet!$A:$H,5,FALSE),VLOOKUP("other",bug_conf_sheet!$A:$H,5,FALSE))</f>
        <v>0</v>
      </c>
      <c r="R90" s="31">
        <f>IFERROR(VLOOKUP($E90,bug_conf_sheet!$A:$H,6,FALSE),VLOOKUP("other",bug_conf_sheet!$A:$H,6,FALSE))</f>
        <v>0</v>
      </c>
      <c r="S90" s="31">
        <f>IFERROR(VLOOKUP($E90,bug_conf_sheet!$A:$H,7,FALSE),VLOOKUP("other",bug_conf_sheet!$A:$H,7,FALSE))</f>
        <v>0</v>
      </c>
      <c r="T90" s="31">
        <f>IFERROR(VLOOKUP($E90,bug_conf_sheet!$A:$H,8,FALSE),VLOOKUP("other",bug_conf_sheet!$A:$H,8,FALSE))</f>
        <v>1</v>
      </c>
    </row>
    <row r="91" spans="1:20" ht="21" customHeight="1">
      <c r="A91" s="2" t="str">
        <f ca="1">input_313010!A$2</f>
        <v>313010</v>
      </c>
      <c r="B91" s="7" t="str">
        <f t="shared" si="3"/>
        <v>Premium4</v>
      </c>
      <c r="C91" s="7" t="str">
        <f t="shared" si="4"/>
        <v>Premium</v>
      </c>
      <c r="D91" s="7" t="str">
        <f t="shared" si="5"/>
        <v>ry</v>
      </c>
      <c r="E91" s="5">
        <v>215</v>
      </c>
      <c r="F91" s="7" t="str">
        <f>VLOOKUP(E91,[1]characters!$A:$C,3,FALSE)</f>
        <v>死導者 アズラエル</v>
      </c>
      <c r="G91" s="7" t="str">
        <f>VLOOKUP(E91,[1]characters!$A:$J,10,FALSE)</f>
        <v>PremiumN</v>
      </c>
      <c r="H91" s="7">
        <f>VLOOKUP(E91,[1]characters!$A:$I,9,FALSE)</f>
        <v>4</v>
      </c>
      <c r="I91" s="7" t="str">
        <f>VLOOKUP(E91,[1]characters!$A:$H,8,FALSE)</f>
        <v>red</v>
      </c>
      <c r="J91" s="7" t="str">
        <f>VLOOKUP(E91,[1]characters!$A:$K,11,FALSE)</f>
        <v>balance</v>
      </c>
      <c r="K91" s="7" t="str">
        <f>VLOOKUP(E91,[1]characters!$A:$M,13,FALSE)</f>
        <v>god</v>
      </c>
      <c r="L91" s="7" t="str">
        <f>VLOOKUP(E91,[1]characters!$A:$G,7,FALSE)</f>
        <v>女性</v>
      </c>
      <c r="M91" s="62">
        <f ca="1">IFERROR(VLOOKUP(E91,input_313010!L:R,7,FALSE),VLOOKUP(tables_313010!B91,input_313010!A:H,8,FALSE))</f>
        <v>153090</v>
      </c>
      <c r="N91" s="63">
        <f ca="1">M91/SUM(M:M)</f>
        <v>5.4729729729729726E-3</v>
      </c>
      <c r="O91" s="31">
        <f>IFERROR(VLOOKUP($E91,bug_conf_sheet!$A:$H,3,FALSE),VLOOKUP("other",bug_conf_sheet!$A:$H,3,FALSE))</f>
        <v>1</v>
      </c>
      <c r="P91" s="31">
        <f>IFERROR(VLOOKUP($E91,bug_conf_sheet!$A:$H,4,FALSE),VLOOKUP("other",bug_conf_sheet!$A:$H,4,FALSE))</f>
        <v>0</v>
      </c>
      <c r="Q91" s="31">
        <f>IFERROR(VLOOKUP($E91,bug_conf_sheet!$A:$H,5,FALSE),VLOOKUP("other",bug_conf_sheet!$A:$H,5,FALSE))</f>
        <v>0</v>
      </c>
      <c r="R91" s="31">
        <f>IFERROR(VLOOKUP($E91,bug_conf_sheet!$A:$H,6,FALSE),VLOOKUP("other",bug_conf_sheet!$A:$H,6,FALSE))</f>
        <v>0</v>
      </c>
      <c r="S91" s="31">
        <f>IFERROR(VLOOKUP($E91,bug_conf_sheet!$A:$H,7,FALSE),VLOOKUP("other",bug_conf_sheet!$A:$H,7,FALSE))</f>
        <v>0</v>
      </c>
      <c r="T91" s="31">
        <f>IFERROR(VLOOKUP($E91,bug_conf_sheet!$A:$H,8,FALSE),VLOOKUP("other",bug_conf_sheet!$A:$H,8,FALSE))</f>
        <v>1</v>
      </c>
    </row>
    <row r="92" spans="1:20" ht="21" customHeight="1">
      <c r="A92" s="2" t="str">
        <f ca="1">input_313010!A$2</f>
        <v>313010</v>
      </c>
      <c r="B92" s="7" t="str">
        <f t="shared" si="3"/>
        <v>Premium5</v>
      </c>
      <c r="C92" s="7" t="str">
        <f t="shared" si="4"/>
        <v>Premium</v>
      </c>
      <c r="D92" s="7" t="str">
        <f t="shared" si="5"/>
        <v>ry</v>
      </c>
      <c r="E92" s="5">
        <v>216</v>
      </c>
      <c r="F92" s="7" t="str">
        <f>VLOOKUP(E92,[1]characters!$A:$C,3,FALSE)</f>
        <v>百読の死導司書 アズラエル</v>
      </c>
      <c r="G92" s="7" t="str">
        <f>VLOOKUP(E92,[1]characters!$A:$J,10,FALSE)</f>
        <v>PremiumN</v>
      </c>
      <c r="H92" s="7">
        <f>VLOOKUP(E92,[1]characters!$A:$I,9,FALSE)</f>
        <v>5</v>
      </c>
      <c r="I92" s="7" t="str">
        <f>VLOOKUP(E92,[1]characters!$A:$H,8,FALSE)</f>
        <v>red</v>
      </c>
      <c r="J92" s="7" t="str">
        <f>VLOOKUP(E92,[1]characters!$A:$K,11,FALSE)</f>
        <v>balance</v>
      </c>
      <c r="K92" s="7" t="str">
        <f>VLOOKUP(E92,[1]characters!$A:$M,13,FALSE)</f>
        <v>god</v>
      </c>
      <c r="L92" s="7" t="str">
        <f>VLOOKUP(E92,[1]characters!$A:$G,7,FALSE)</f>
        <v>女性</v>
      </c>
      <c r="M92" s="62">
        <f ca="1">IFERROR(VLOOKUP(E92,input_313010!L:R,7,FALSE),VLOOKUP(tables_313010!B92,input_313010!A:H,8,FALSE))</f>
        <v>18130</v>
      </c>
      <c r="N92" s="63">
        <f ca="1">M92/SUM(M:M)</f>
        <v>6.4814814814814813E-4</v>
      </c>
      <c r="O92" s="31">
        <f>IFERROR(VLOOKUP($E92,bug_conf_sheet!$A:$H,3,FALSE),VLOOKUP("other",bug_conf_sheet!$A:$H,3,FALSE))</f>
        <v>1</v>
      </c>
      <c r="P92" s="31">
        <f>IFERROR(VLOOKUP($E92,bug_conf_sheet!$A:$H,4,FALSE),VLOOKUP("other",bug_conf_sheet!$A:$H,4,FALSE))</f>
        <v>0</v>
      </c>
      <c r="Q92" s="31">
        <f>IFERROR(VLOOKUP($E92,bug_conf_sheet!$A:$H,5,FALSE),VLOOKUP("other",bug_conf_sheet!$A:$H,5,FALSE))</f>
        <v>0</v>
      </c>
      <c r="R92" s="31">
        <f>IFERROR(VLOOKUP($E92,bug_conf_sheet!$A:$H,6,FALSE),VLOOKUP("other",bug_conf_sheet!$A:$H,6,FALSE))</f>
        <v>0</v>
      </c>
      <c r="S92" s="31">
        <f>IFERROR(VLOOKUP($E92,bug_conf_sheet!$A:$H,7,FALSE),VLOOKUP("other",bug_conf_sheet!$A:$H,7,FALSE))</f>
        <v>0</v>
      </c>
      <c r="T92" s="31">
        <f>IFERROR(VLOOKUP($E92,bug_conf_sheet!$A:$H,8,FALSE),VLOOKUP("other",bug_conf_sheet!$A:$H,8,FALSE))</f>
        <v>1</v>
      </c>
    </row>
    <row r="93" spans="1:20" ht="21" customHeight="1">
      <c r="A93" s="2" t="str">
        <f ca="1">input_313010!A$2</f>
        <v>313010</v>
      </c>
      <c r="B93" s="7" t="str">
        <f t="shared" si="3"/>
        <v>Premium3</v>
      </c>
      <c r="C93" s="7" t="str">
        <f t="shared" si="4"/>
        <v>Premium</v>
      </c>
      <c r="D93" s="7" t="str">
        <f t="shared" si="5"/>
        <v>bg</v>
      </c>
      <c r="E93" s="5">
        <v>217</v>
      </c>
      <c r="F93" s="7" t="str">
        <f>VLOOKUP(E93,[1]characters!$A:$C,3,FALSE)</f>
        <v>ケツァクアトル</v>
      </c>
      <c r="G93" s="7" t="str">
        <f>VLOOKUP(E93,[1]characters!$A:$J,10,FALSE)</f>
        <v>PremiumN</v>
      </c>
      <c r="H93" s="7">
        <f>VLOOKUP(E93,[1]characters!$A:$I,9,FALSE)</f>
        <v>3</v>
      </c>
      <c r="I93" s="7" t="str">
        <f>VLOOKUP(E93,[1]characters!$A:$H,8,FALSE)</f>
        <v>green</v>
      </c>
      <c r="J93" s="7" t="str">
        <f>VLOOKUP(E93,[1]characters!$A:$K,11,FALSE)</f>
        <v>hp</v>
      </c>
      <c r="K93" s="7" t="str">
        <f>VLOOKUP(E93,[1]characters!$A:$M,13,FALSE)</f>
        <v>dragon</v>
      </c>
      <c r="L93" s="7" t="str">
        <f>VLOOKUP(E93,[1]characters!$A:$G,7,FALSE)</f>
        <v>女性</v>
      </c>
      <c r="M93" s="62">
        <f ca="1">IFERROR(VLOOKUP(E93,input_313010!L:R,7,FALSE),VLOOKUP(tables_313010!B93,input_313010!A:H,8,FALSE))</f>
        <v>189000</v>
      </c>
      <c r="N93" s="63">
        <f ca="1">M93/SUM(M:M)</f>
        <v>6.7567567567567571E-3</v>
      </c>
      <c r="O93" s="31">
        <f>IFERROR(VLOOKUP($E93,bug_conf_sheet!$A:$H,3,FALSE),VLOOKUP("other",bug_conf_sheet!$A:$H,3,FALSE))</f>
        <v>1</v>
      </c>
      <c r="P93" s="31">
        <f>IFERROR(VLOOKUP($E93,bug_conf_sheet!$A:$H,4,FALSE),VLOOKUP("other",bug_conf_sheet!$A:$H,4,FALSE))</f>
        <v>0</v>
      </c>
      <c r="Q93" s="31">
        <f>IFERROR(VLOOKUP($E93,bug_conf_sheet!$A:$H,5,FALSE),VLOOKUP("other",bug_conf_sheet!$A:$H,5,FALSE))</f>
        <v>0</v>
      </c>
      <c r="R93" s="31">
        <f>IFERROR(VLOOKUP($E93,bug_conf_sheet!$A:$H,6,FALSE),VLOOKUP("other",bug_conf_sheet!$A:$H,6,FALSE))</f>
        <v>0</v>
      </c>
      <c r="S93" s="31">
        <f>IFERROR(VLOOKUP($E93,bug_conf_sheet!$A:$H,7,FALSE),VLOOKUP("other",bug_conf_sheet!$A:$H,7,FALSE))</f>
        <v>0</v>
      </c>
      <c r="T93" s="31">
        <f>IFERROR(VLOOKUP($E93,bug_conf_sheet!$A:$H,8,FALSE),VLOOKUP("other",bug_conf_sheet!$A:$H,8,FALSE))</f>
        <v>1</v>
      </c>
    </row>
    <row r="94" spans="1:20" ht="21" customHeight="1">
      <c r="A94" s="2" t="str">
        <f ca="1">input_313010!A$2</f>
        <v>313010</v>
      </c>
      <c r="B94" s="7" t="str">
        <f t="shared" si="3"/>
        <v>Premium4</v>
      </c>
      <c r="C94" s="7" t="str">
        <f t="shared" si="4"/>
        <v>Premium</v>
      </c>
      <c r="D94" s="7" t="str">
        <f t="shared" si="5"/>
        <v>bg</v>
      </c>
      <c r="E94" s="5">
        <v>218</v>
      </c>
      <c r="F94" s="7" t="str">
        <f>VLOOKUP(E94,[1]characters!$A:$C,3,FALSE)</f>
        <v>聖蛇 ケツァクアトル</v>
      </c>
      <c r="G94" s="7" t="str">
        <f>VLOOKUP(E94,[1]characters!$A:$J,10,FALSE)</f>
        <v>PremiumN</v>
      </c>
      <c r="H94" s="7">
        <f>VLOOKUP(E94,[1]characters!$A:$I,9,FALSE)</f>
        <v>4</v>
      </c>
      <c r="I94" s="7" t="str">
        <f>VLOOKUP(E94,[1]characters!$A:$H,8,FALSE)</f>
        <v>green</v>
      </c>
      <c r="J94" s="7" t="str">
        <f>VLOOKUP(E94,[1]characters!$A:$K,11,FALSE)</f>
        <v>hp</v>
      </c>
      <c r="K94" s="7" t="str">
        <f>VLOOKUP(E94,[1]characters!$A:$M,13,FALSE)</f>
        <v>dragon</v>
      </c>
      <c r="L94" s="7" t="str">
        <f>VLOOKUP(E94,[1]characters!$A:$G,7,FALSE)</f>
        <v>女性</v>
      </c>
      <c r="M94" s="62">
        <f ca="1">IFERROR(VLOOKUP(E94,input_313010!L:R,7,FALSE),VLOOKUP(tables_313010!B94,input_313010!A:H,8,FALSE))</f>
        <v>153090</v>
      </c>
      <c r="N94" s="63">
        <f ca="1">M94/SUM(M:M)</f>
        <v>5.4729729729729726E-3</v>
      </c>
      <c r="O94" s="31">
        <f>IFERROR(VLOOKUP($E94,bug_conf_sheet!$A:$H,3,FALSE),VLOOKUP("other",bug_conf_sheet!$A:$H,3,FALSE))</f>
        <v>1</v>
      </c>
      <c r="P94" s="31">
        <f>IFERROR(VLOOKUP($E94,bug_conf_sheet!$A:$H,4,FALSE),VLOOKUP("other",bug_conf_sheet!$A:$H,4,FALSE))</f>
        <v>0</v>
      </c>
      <c r="Q94" s="31">
        <f>IFERROR(VLOOKUP($E94,bug_conf_sheet!$A:$H,5,FALSE),VLOOKUP("other",bug_conf_sheet!$A:$H,5,FALSE))</f>
        <v>0</v>
      </c>
      <c r="R94" s="31">
        <f>IFERROR(VLOOKUP($E94,bug_conf_sheet!$A:$H,6,FALSE),VLOOKUP("other",bug_conf_sheet!$A:$H,6,FALSE))</f>
        <v>0</v>
      </c>
      <c r="S94" s="31">
        <f>IFERROR(VLOOKUP($E94,bug_conf_sheet!$A:$H,7,FALSE),VLOOKUP("other",bug_conf_sheet!$A:$H,7,FALSE))</f>
        <v>0</v>
      </c>
      <c r="T94" s="31">
        <f>IFERROR(VLOOKUP($E94,bug_conf_sheet!$A:$H,8,FALSE),VLOOKUP("other",bug_conf_sheet!$A:$H,8,FALSE))</f>
        <v>1</v>
      </c>
    </row>
    <row r="95" spans="1:20" ht="21" customHeight="1">
      <c r="A95" s="2" t="str">
        <f ca="1">input_313010!A$2</f>
        <v>313010</v>
      </c>
      <c r="B95" s="7" t="str">
        <f t="shared" si="3"/>
        <v>Premium5</v>
      </c>
      <c r="C95" s="7" t="str">
        <f t="shared" si="4"/>
        <v>Premium</v>
      </c>
      <c r="D95" s="7" t="str">
        <f t="shared" si="5"/>
        <v>bg</v>
      </c>
      <c r="E95" s="5">
        <v>219</v>
      </c>
      <c r="F95" s="7" t="str">
        <f>VLOOKUP(E95,[1]characters!$A:$C,3,FALSE)</f>
        <v>覇翼の聖蛇竜 ケツァクアトル</v>
      </c>
      <c r="G95" s="7" t="str">
        <f>VLOOKUP(E95,[1]characters!$A:$J,10,FALSE)</f>
        <v>PremiumN</v>
      </c>
      <c r="H95" s="7">
        <f>VLOOKUP(E95,[1]characters!$A:$I,9,FALSE)</f>
        <v>5</v>
      </c>
      <c r="I95" s="7" t="str">
        <f>VLOOKUP(E95,[1]characters!$A:$H,8,FALSE)</f>
        <v>green</v>
      </c>
      <c r="J95" s="7" t="str">
        <f>VLOOKUP(E95,[1]characters!$A:$K,11,FALSE)</f>
        <v>hp</v>
      </c>
      <c r="K95" s="7" t="str">
        <f>VLOOKUP(E95,[1]characters!$A:$M,13,FALSE)</f>
        <v>dragon</v>
      </c>
      <c r="L95" s="7" t="str">
        <f>VLOOKUP(E95,[1]characters!$A:$G,7,FALSE)</f>
        <v>女性</v>
      </c>
      <c r="M95" s="62">
        <f ca="1">IFERROR(VLOOKUP(E95,input_313010!L:R,7,FALSE),VLOOKUP(tables_313010!B95,input_313010!A:H,8,FALSE))</f>
        <v>18130</v>
      </c>
      <c r="N95" s="63">
        <f ca="1">M95/SUM(M:M)</f>
        <v>6.4814814814814813E-4</v>
      </c>
      <c r="O95" s="31">
        <f>IFERROR(VLOOKUP($E95,bug_conf_sheet!$A:$H,3,FALSE),VLOOKUP("other",bug_conf_sheet!$A:$H,3,FALSE))</f>
        <v>1</v>
      </c>
      <c r="P95" s="31">
        <f>IFERROR(VLOOKUP($E95,bug_conf_sheet!$A:$H,4,FALSE),VLOOKUP("other",bug_conf_sheet!$A:$H,4,FALSE))</f>
        <v>0</v>
      </c>
      <c r="Q95" s="31">
        <f>IFERROR(VLOOKUP($E95,bug_conf_sheet!$A:$H,5,FALSE),VLOOKUP("other",bug_conf_sheet!$A:$H,5,FALSE))</f>
        <v>0</v>
      </c>
      <c r="R95" s="31">
        <f>IFERROR(VLOOKUP($E95,bug_conf_sheet!$A:$H,6,FALSE),VLOOKUP("other",bug_conf_sheet!$A:$H,6,FALSE))</f>
        <v>0</v>
      </c>
      <c r="S95" s="31">
        <f>IFERROR(VLOOKUP($E95,bug_conf_sheet!$A:$H,7,FALSE),VLOOKUP("other",bug_conf_sheet!$A:$H,7,FALSE))</f>
        <v>0</v>
      </c>
      <c r="T95" s="31">
        <f>IFERROR(VLOOKUP($E95,bug_conf_sheet!$A:$H,8,FALSE),VLOOKUP("other",bug_conf_sheet!$A:$H,8,FALSE))</f>
        <v>1</v>
      </c>
    </row>
    <row r="96" spans="1:20" ht="21" customHeight="1">
      <c r="A96" s="2" t="str">
        <f ca="1">input_313010!A$2</f>
        <v>313010</v>
      </c>
      <c r="B96" s="7" t="str">
        <f t="shared" si="3"/>
        <v>Premium3</v>
      </c>
      <c r="C96" s="7" t="str">
        <f t="shared" si="4"/>
        <v>Premium</v>
      </c>
      <c r="D96" s="7" t="str">
        <f t="shared" si="5"/>
        <v>bg</v>
      </c>
      <c r="E96" s="5">
        <v>220</v>
      </c>
      <c r="F96" s="7" t="str">
        <f>VLOOKUP(E96,[1]characters!$A:$C,3,FALSE)</f>
        <v>ルキフグス</v>
      </c>
      <c r="G96" s="7" t="str">
        <f>VLOOKUP(E96,[1]characters!$A:$J,10,FALSE)</f>
        <v>PremiumN</v>
      </c>
      <c r="H96" s="7">
        <f>VLOOKUP(E96,[1]characters!$A:$I,9,FALSE)</f>
        <v>3</v>
      </c>
      <c r="I96" s="7" t="str">
        <f>VLOOKUP(E96,[1]characters!$A:$H,8,FALSE)</f>
        <v>blue</v>
      </c>
      <c r="J96" s="7" t="str">
        <f>VLOOKUP(E96,[1]characters!$A:$K,11,FALSE)</f>
        <v>balance</v>
      </c>
      <c r="K96" s="7" t="str">
        <f>VLOOKUP(E96,[1]characters!$A:$M,13,FALSE)</f>
        <v>god</v>
      </c>
      <c r="L96" s="7" t="str">
        <f>VLOOKUP(E96,[1]characters!$A:$G,7,FALSE)</f>
        <v>女性</v>
      </c>
      <c r="M96" s="62">
        <f ca="1">IFERROR(VLOOKUP(E96,input_313010!L:R,7,FALSE),VLOOKUP(tables_313010!B96,input_313010!A:H,8,FALSE))</f>
        <v>189000</v>
      </c>
      <c r="N96" s="63">
        <f ca="1">M96/SUM(M:M)</f>
        <v>6.7567567567567571E-3</v>
      </c>
      <c r="O96" s="31">
        <f>IFERROR(VLOOKUP($E96,bug_conf_sheet!$A:$H,3,FALSE),VLOOKUP("other",bug_conf_sheet!$A:$H,3,FALSE))</f>
        <v>1</v>
      </c>
      <c r="P96" s="31">
        <f>IFERROR(VLOOKUP($E96,bug_conf_sheet!$A:$H,4,FALSE),VLOOKUP("other",bug_conf_sheet!$A:$H,4,FALSE))</f>
        <v>0</v>
      </c>
      <c r="Q96" s="31">
        <f>IFERROR(VLOOKUP($E96,bug_conf_sheet!$A:$H,5,FALSE),VLOOKUP("other",bug_conf_sheet!$A:$H,5,FALSE))</f>
        <v>0</v>
      </c>
      <c r="R96" s="31">
        <f>IFERROR(VLOOKUP($E96,bug_conf_sheet!$A:$H,6,FALSE),VLOOKUP("other",bug_conf_sheet!$A:$H,6,FALSE))</f>
        <v>0</v>
      </c>
      <c r="S96" s="31">
        <f>IFERROR(VLOOKUP($E96,bug_conf_sheet!$A:$H,7,FALSE),VLOOKUP("other",bug_conf_sheet!$A:$H,7,FALSE))</f>
        <v>0</v>
      </c>
      <c r="T96" s="31">
        <f>IFERROR(VLOOKUP($E96,bug_conf_sheet!$A:$H,8,FALSE),VLOOKUP("other",bug_conf_sheet!$A:$H,8,FALSE))</f>
        <v>1</v>
      </c>
    </row>
    <row r="97" spans="1:20" ht="21" customHeight="1">
      <c r="A97" s="2" t="str">
        <f ca="1">input_313010!A$2</f>
        <v>313010</v>
      </c>
      <c r="B97" s="7" t="str">
        <f t="shared" si="3"/>
        <v>Premium4</v>
      </c>
      <c r="C97" s="7" t="str">
        <f t="shared" si="4"/>
        <v>Premium</v>
      </c>
      <c r="D97" s="7" t="str">
        <f t="shared" si="5"/>
        <v>bg</v>
      </c>
      <c r="E97" s="5">
        <v>221</v>
      </c>
      <c r="F97" s="7" t="str">
        <f>VLOOKUP(E97,[1]characters!$A:$C,3,FALSE)</f>
        <v>宰相 ルキフグス</v>
      </c>
      <c r="G97" s="7" t="str">
        <f>VLOOKUP(E97,[1]characters!$A:$J,10,FALSE)</f>
        <v>PremiumN</v>
      </c>
      <c r="H97" s="7">
        <f>VLOOKUP(E97,[1]characters!$A:$I,9,FALSE)</f>
        <v>4</v>
      </c>
      <c r="I97" s="7" t="str">
        <f>VLOOKUP(E97,[1]characters!$A:$H,8,FALSE)</f>
        <v>blue</v>
      </c>
      <c r="J97" s="7" t="str">
        <f>VLOOKUP(E97,[1]characters!$A:$K,11,FALSE)</f>
        <v>balance</v>
      </c>
      <c r="K97" s="7" t="str">
        <f>VLOOKUP(E97,[1]characters!$A:$M,13,FALSE)</f>
        <v>god</v>
      </c>
      <c r="L97" s="7" t="str">
        <f>VLOOKUP(E97,[1]characters!$A:$G,7,FALSE)</f>
        <v>女性</v>
      </c>
      <c r="M97" s="62">
        <f ca="1">IFERROR(VLOOKUP(E97,input_313010!L:R,7,FALSE),VLOOKUP(tables_313010!B97,input_313010!A:H,8,FALSE))</f>
        <v>153090</v>
      </c>
      <c r="N97" s="63">
        <f ca="1">M97/SUM(M:M)</f>
        <v>5.4729729729729726E-3</v>
      </c>
      <c r="O97" s="31">
        <f>IFERROR(VLOOKUP($E97,bug_conf_sheet!$A:$H,3,FALSE),VLOOKUP("other",bug_conf_sheet!$A:$H,3,FALSE))</f>
        <v>1</v>
      </c>
      <c r="P97" s="31">
        <f>IFERROR(VLOOKUP($E97,bug_conf_sheet!$A:$H,4,FALSE),VLOOKUP("other",bug_conf_sheet!$A:$H,4,FALSE))</f>
        <v>0</v>
      </c>
      <c r="Q97" s="31">
        <f>IFERROR(VLOOKUP($E97,bug_conf_sheet!$A:$H,5,FALSE),VLOOKUP("other",bug_conf_sheet!$A:$H,5,FALSE))</f>
        <v>0</v>
      </c>
      <c r="R97" s="31">
        <f>IFERROR(VLOOKUP($E97,bug_conf_sheet!$A:$H,6,FALSE),VLOOKUP("other",bug_conf_sheet!$A:$H,6,FALSE))</f>
        <v>0</v>
      </c>
      <c r="S97" s="31">
        <f>IFERROR(VLOOKUP($E97,bug_conf_sheet!$A:$H,7,FALSE),VLOOKUP("other",bug_conf_sheet!$A:$H,7,FALSE))</f>
        <v>0</v>
      </c>
      <c r="T97" s="31">
        <f>IFERROR(VLOOKUP($E97,bug_conf_sheet!$A:$H,8,FALSE),VLOOKUP("other",bug_conf_sheet!$A:$H,8,FALSE))</f>
        <v>1</v>
      </c>
    </row>
    <row r="98" spans="1:20" ht="21" customHeight="1">
      <c r="A98" s="2" t="str">
        <f ca="1">input_313010!A$2</f>
        <v>313010</v>
      </c>
      <c r="B98" s="7" t="str">
        <f t="shared" si="3"/>
        <v>Premium5</v>
      </c>
      <c r="C98" s="7" t="str">
        <f t="shared" si="4"/>
        <v>Premium</v>
      </c>
      <c r="D98" s="7" t="str">
        <f t="shared" si="5"/>
        <v>bg</v>
      </c>
      <c r="E98" s="5">
        <v>222</v>
      </c>
      <c r="F98" s="7" t="str">
        <f>VLOOKUP(E98,[1]characters!$A:$C,3,FALSE)</f>
        <v>避光の鉄鎖宰相 ルキフグス</v>
      </c>
      <c r="G98" s="7" t="str">
        <f>VLOOKUP(E98,[1]characters!$A:$J,10,FALSE)</f>
        <v>PremiumN</v>
      </c>
      <c r="H98" s="7">
        <f>VLOOKUP(E98,[1]characters!$A:$I,9,FALSE)</f>
        <v>5</v>
      </c>
      <c r="I98" s="7" t="str">
        <f>VLOOKUP(E98,[1]characters!$A:$H,8,FALSE)</f>
        <v>blue</v>
      </c>
      <c r="J98" s="7" t="str">
        <f>VLOOKUP(E98,[1]characters!$A:$K,11,FALSE)</f>
        <v>balance</v>
      </c>
      <c r="K98" s="7" t="str">
        <f>VLOOKUP(E98,[1]characters!$A:$M,13,FALSE)</f>
        <v>god</v>
      </c>
      <c r="L98" s="7" t="str">
        <f>VLOOKUP(E98,[1]characters!$A:$G,7,FALSE)</f>
        <v>女性</v>
      </c>
      <c r="M98" s="62">
        <f ca="1">IFERROR(VLOOKUP(E98,input_313010!L:R,7,FALSE),VLOOKUP(tables_313010!B98,input_313010!A:H,8,FALSE))</f>
        <v>18130</v>
      </c>
      <c r="N98" s="63">
        <f ca="1">M98/SUM(M:M)</f>
        <v>6.4814814814814813E-4</v>
      </c>
      <c r="O98" s="31">
        <f>IFERROR(VLOOKUP($E98,bug_conf_sheet!$A:$H,3,FALSE),VLOOKUP("other",bug_conf_sheet!$A:$H,3,FALSE))</f>
        <v>1</v>
      </c>
      <c r="P98" s="31">
        <f>IFERROR(VLOOKUP($E98,bug_conf_sheet!$A:$H,4,FALSE),VLOOKUP("other",bug_conf_sheet!$A:$H,4,FALSE))</f>
        <v>0</v>
      </c>
      <c r="Q98" s="31">
        <f>IFERROR(VLOOKUP($E98,bug_conf_sheet!$A:$H,5,FALSE),VLOOKUP("other",bug_conf_sheet!$A:$H,5,FALSE))</f>
        <v>0</v>
      </c>
      <c r="R98" s="31">
        <f>IFERROR(VLOOKUP($E98,bug_conf_sheet!$A:$H,6,FALSE),VLOOKUP("other",bug_conf_sheet!$A:$H,6,FALSE))</f>
        <v>0</v>
      </c>
      <c r="S98" s="31">
        <f>IFERROR(VLOOKUP($E98,bug_conf_sheet!$A:$H,7,FALSE),VLOOKUP("other",bug_conf_sheet!$A:$H,7,FALSE))</f>
        <v>0</v>
      </c>
      <c r="T98" s="31">
        <f>IFERROR(VLOOKUP($E98,bug_conf_sheet!$A:$H,8,FALSE),VLOOKUP("other",bug_conf_sheet!$A:$H,8,FALSE))</f>
        <v>1</v>
      </c>
    </row>
    <row r="99" spans="1:20" ht="21" customHeight="1">
      <c r="A99" s="2" t="str">
        <f ca="1">input_313010!A$2</f>
        <v>313010</v>
      </c>
      <c r="B99" s="7" t="str">
        <f t="shared" si="3"/>
        <v>Premium3</v>
      </c>
      <c r="C99" s="7" t="str">
        <f t="shared" si="4"/>
        <v>Premium</v>
      </c>
      <c r="D99" s="7" t="str">
        <f t="shared" si="5"/>
        <v>ry</v>
      </c>
      <c r="E99" s="5">
        <v>223</v>
      </c>
      <c r="F99" s="7" t="str">
        <f>VLOOKUP(E99,[1]characters!$A:$C,3,FALSE)</f>
        <v>ヘラクレス</v>
      </c>
      <c r="G99" s="7" t="str">
        <f>VLOOKUP(E99,[1]characters!$A:$J,10,FALSE)</f>
        <v>PremiumN</v>
      </c>
      <c r="H99" s="7">
        <f>VLOOKUP(E99,[1]characters!$A:$I,9,FALSE)</f>
        <v>3</v>
      </c>
      <c r="I99" s="7" t="str">
        <f>VLOOKUP(E99,[1]characters!$A:$H,8,FALSE)</f>
        <v>yellow</v>
      </c>
      <c r="J99" s="7" t="str">
        <f>VLOOKUP(E99,[1]characters!$A:$K,11,FALSE)</f>
        <v>balance</v>
      </c>
      <c r="K99" s="7" t="str">
        <f>VLOOKUP(E99,[1]characters!$A:$M,13,FALSE)</f>
        <v>human</v>
      </c>
      <c r="L99" s="7" t="str">
        <f>VLOOKUP(E99,[1]characters!$A:$G,7,FALSE)</f>
        <v>男性</v>
      </c>
      <c r="M99" s="62">
        <f ca="1">IFERROR(VLOOKUP(E99,input_313010!L:R,7,FALSE),VLOOKUP(tables_313010!B99,input_313010!A:H,8,FALSE))</f>
        <v>189000</v>
      </c>
      <c r="N99" s="63">
        <f ca="1">M99/SUM(M:M)</f>
        <v>6.7567567567567571E-3</v>
      </c>
      <c r="O99" s="31">
        <f>IFERROR(VLOOKUP($E99,bug_conf_sheet!$A:$H,3,FALSE),VLOOKUP("other",bug_conf_sheet!$A:$H,3,FALSE))</f>
        <v>1</v>
      </c>
      <c r="P99" s="31">
        <f>IFERROR(VLOOKUP($E99,bug_conf_sheet!$A:$H,4,FALSE),VLOOKUP("other",bug_conf_sheet!$A:$H,4,FALSE))</f>
        <v>0</v>
      </c>
      <c r="Q99" s="31">
        <f>IFERROR(VLOOKUP($E99,bug_conf_sheet!$A:$H,5,FALSE),VLOOKUP("other",bug_conf_sheet!$A:$H,5,FALSE))</f>
        <v>0</v>
      </c>
      <c r="R99" s="31">
        <f>IFERROR(VLOOKUP($E99,bug_conf_sheet!$A:$H,6,FALSE),VLOOKUP("other",bug_conf_sheet!$A:$H,6,FALSE))</f>
        <v>0</v>
      </c>
      <c r="S99" s="31">
        <f>IFERROR(VLOOKUP($E99,bug_conf_sheet!$A:$H,7,FALSE),VLOOKUP("other",bug_conf_sheet!$A:$H,7,FALSE))</f>
        <v>0</v>
      </c>
      <c r="T99" s="31">
        <f>IFERROR(VLOOKUP($E99,bug_conf_sheet!$A:$H,8,FALSE),VLOOKUP("other",bug_conf_sheet!$A:$H,8,FALSE))</f>
        <v>1</v>
      </c>
    </row>
    <row r="100" spans="1:20" ht="21" customHeight="1">
      <c r="A100" s="2" t="str">
        <f ca="1">input_313010!A$2</f>
        <v>313010</v>
      </c>
      <c r="B100" s="7" t="str">
        <f t="shared" si="3"/>
        <v>Premium4</v>
      </c>
      <c r="C100" s="7" t="str">
        <f t="shared" si="4"/>
        <v>Premium</v>
      </c>
      <c r="D100" s="7" t="str">
        <f t="shared" si="5"/>
        <v>ry</v>
      </c>
      <c r="E100" s="5">
        <v>224</v>
      </c>
      <c r="F100" s="7" t="str">
        <f>VLOOKUP(E100,[1]characters!$A:$C,3,FALSE)</f>
        <v>巨腕 ヘラクレス</v>
      </c>
      <c r="G100" s="7" t="str">
        <f>VLOOKUP(E100,[1]characters!$A:$J,10,FALSE)</f>
        <v>PremiumN</v>
      </c>
      <c r="H100" s="7">
        <f>VLOOKUP(E100,[1]characters!$A:$I,9,FALSE)</f>
        <v>4</v>
      </c>
      <c r="I100" s="7" t="str">
        <f>VLOOKUP(E100,[1]characters!$A:$H,8,FALSE)</f>
        <v>yellow</v>
      </c>
      <c r="J100" s="7" t="str">
        <f>VLOOKUP(E100,[1]characters!$A:$K,11,FALSE)</f>
        <v>balance</v>
      </c>
      <c r="K100" s="7" t="str">
        <f>VLOOKUP(E100,[1]characters!$A:$M,13,FALSE)</f>
        <v>human</v>
      </c>
      <c r="L100" s="7" t="str">
        <f>VLOOKUP(E100,[1]characters!$A:$G,7,FALSE)</f>
        <v>男性</v>
      </c>
      <c r="M100" s="62">
        <f ca="1">IFERROR(VLOOKUP(E100,input_313010!L:R,7,FALSE),VLOOKUP(tables_313010!B100,input_313010!A:H,8,FALSE))</f>
        <v>153090</v>
      </c>
      <c r="N100" s="63">
        <f ca="1">M100/SUM(M:M)</f>
        <v>5.4729729729729726E-3</v>
      </c>
      <c r="O100" s="31">
        <f>IFERROR(VLOOKUP($E100,bug_conf_sheet!$A:$H,3,FALSE),VLOOKUP("other",bug_conf_sheet!$A:$H,3,FALSE))</f>
        <v>1</v>
      </c>
      <c r="P100" s="31">
        <f>IFERROR(VLOOKUP($E100,bug_conf_sheet!$A:$H,4,FALSE),VLOOKUP("other",bug_conf_sheet!$A:$H,4,FALSE))</f>
        <v>0</v>
      </c>
      <c r="Q100" s="31">
        <f>IFERROR(VLOOKUP($E100,bug_conf_sheet!$A:$H,5,FALSE),VLOOKUP("other",bug_conf_sheet!$A:$H,5,FALSE))</f>
        <v>0</v>
      </c>
      <c r="R100" s="31">
        <f>IFERROR(VLOOKUP($E100,bug_conf_sheet!$A:$H,6,FALSE),VLOOKUP("other",bug_conf_sheet!$A:$H,6,FALSE))</f>
        <v>0</v>
      </c>
      <c r="S100" s="31">
        <f>IFERROR(VLOOKUP($E100,bug_conf_sheet!$A:$H,7,FALSE),VLOOKUP("other",bug_conf_sheet!$A:$H,7,FALSE))</f>
        <v>0</v>
      </c>
      <c r="T100" s="31">
        <f>IFERROR(VLOOKUP($E100,bug_conf_sheet!$A:$H,8,FALSE),VLOOKUP("other",bug_conf_sheet!$A:$H,8,FALSE))</f>
        <v>1</v>
      </c>
    </row>
    <row r="101" spans="1:20" ht="21" customHeight="1">
      <c r="A101" s="2" t="str">
        <f ca="1">input_313010!A$2</f>
        <v>313010</v>
      </c>
      <c r="B101" s="7" t="str">
        <f t="shared" si="3"/>
        <v>Premium5</v>
      </c>
      <c r="C101" s="7" t="str">
        <f t="shared" si="4"/>
        <v>Premium</v>
      </c>
      <c r="D101" s="7" t="str">
        <f t="shared" si="5"/>
        <v>ry</v>
      </c>
      <c r="E101" s="5">
        <v>225</v>
      </c>
      <c r="F101" s="7" t="str">
        <f>VLOOKUP(E101,[1]characters!$A:$C,3,FALSE)</f>
        <v>咆哮の巨獅腕 ヘラクレス</v>
      </c>
      <c r="G101" s="7" t="str">
        <f>VLOOKUP(E101,[1]characters!$A:$J,10,FALSE)</f>
        <v>PremiumN</v>
      </c>
      <c r="H101" s="7">
        <f>VLOOKUP(E101,[1]characters!$A:$I,9,FALSE)</f>
        <v>5</v>
      </c>
      <c r="I101" s="7" t="str">
        <f>VLOOKUP(E101,[1]characters!$A:$H,8,FALSE)</f>
        <v>yellow</v>
      </c>
      <c r="J101" s="7" t="str">
        <f>VLOOKUP(E101,[1]characters!$A:$K,11,FALSE)</f>
        <v>balance</v>
      </c>
      <c r="K101" s="7" t="str">
        <f>VLOOKUP(E101,[1]characters!$A:$M,13,FALSE)</f>
        <v>human</v>
      </c>
      <c r="L101" s="7" t="str">
        <f>VLOOKUP(E101,[1]characters!$A:$G,7,FALSE)</f>
        <v>男性</v>
      </c>
      <c r="M101" s="62">
        <f ca="1">IFERROR(VLOOKUP(E101,input_313010!L:R,7,FALSE),VLOOKUP(tables_313010!B101,input_313010!A:H,8,FALSE))</f>
        <v>18130</v>
      </c>
      <c r="N101" s="63">
        <f ca="1">M101/SUM(M:M)</f>
        <v>6.4814814814814813E-4</v>
      </c>
      <c r="O101" s="31">
        <f>IFERROR(VLOOKUP($E101,bug_conf_sheet!$A:$H,3,FALSE),VLOOKUP("other",bug_conf_sheet!$A:$H,3,FALSE))</f>
        <v>1</v>
      </c>
      <c r="P101" s="31">
        <f>IFERROR(VLOOKUP($E101,bug_conf_sheet!$A:$H,4,FALSE),VLOOKUP("other",bug_conf_sheet!$A:$H,4,FALSE))</f>
        <v>0</v>
      </c>
      <c r="Q101" s="31">
        <f>IFERROR(VLOOKUP($E101,bug_conf_sheet!$A:$H,5,FALSE),VLOOKUP("other",bug_conf_sheet!$A:$H,5,FALSE))</f>
        <v>0</v>
      </c>
      <c r="R101" s="31">
        <f>IFERROR(VLOOKUP($E101,bug_conf_sheet!$A:$H,6,FALSE),VLOOKUP("other",bug_conf_sheet!$A:$H,6,FALSE))</f>
        <v>0</v>
      </c>
      <c r="S101" s="31">
        <f>IFERROR(VLOOKUP($E101,bug_conf_sheet!$A:$H,7,FALSE),VLOOKUP("other",bug_conf_sheet!$A:$H,7,FALSE))</f>
        <v>0</v>
      </c>
      <c r="T101" s="31">
        <f>IFERROR(VLOOKUP($E101,bug_conf_sheet!$A:$H,8,FALSE),VLOOKUP("other",bug_conf_sheet!$A:$H,8,FALSE))</f>
        <v>1</v>
      </c>
    </row>
    <row r="102" spans="1:20" ht="21" customHeight="1">
      <c r="A102" s="2" t="str">
        <f ca="1">input_313010!A$2</f>
        <v>313010</v>
      </c>
      <c r="B102" s="7" t="str">
        <f t="shared" si="3"/>
        <v>Premium3</v>
      </c>
      <c r="C102" s="7" t="str">
        <f t="shared" si="4"/>
        <v>Premium</v>
      </c>
      <c r="D102" s="7" t="str">
        <f t="shared" si="5"/>
        <v>ry</v>
      </c>
      <c r="E102" s="5">
        <v>226</v>
      </c>
      <c r="F102" s="7" t="str">
        <f>VLOOKUP(E102,[1]characters!$A:$C,3,FALSE)</f>
        <v>アレス</v>
      </c>
      <c r="G102" s="7" t="str">
        <f>VLOOKUP(E102,[1]characters!$A:$J,10,FALSE)</f>
        <v>PremiumS</v>
      </c>
      <c r="H102" s="7">
        <f>VLOOKUP(E102,[1]characters!$A:$I,9,FALSE)</f>
        <v>3</v>
      </c>
      <c r="I102" s="7" t="str">
        <f>VLOOKUP(E102,[1]characters!$A:$H,8,FALSE)</f>
        <v>red</v>
      </c>
      <c r="J102" s="7" t="str">
        <f>VLOOKUP(E102,[1]characters!$A:$K,11,FALSE)</f>
        <v>attack</v>
      </c>
      <c r="K102" s="7" t="str">
        <f>VLOOKUP(E102,[1]characters!$A:$M,13,FALSE)</f>
        <v>god</v>
      </c>
      <c r="L102" s="7" t="str">
        <f>VLOOKUP(E102,[1]characters!$A:$G,7,FALSE)</f>
        <v>男性</v>
      </c>
      <c r="M102" s="62">
        <f ca="1">IFERROR(VLOOKUP(E102,input_313010!L:R,7,FALSE),VLOOKUP(tables_313010!B102,input_313010!A:H,8,FALSE))</f>
        <v>189000</v>
      </c>
      <c r="N102" s="63">
        <f ca="1">M102/SUM(M:M)</f>
        <v>6.7567567567567571E-3</v>
      </c>
      <c r="O102" s="31">
        <f>IFERROR(VLOOKUP($E102,bug_conf_sheet!$A:$H,3,FALSE),VLOOKUP("other",bug_conf_sheet!$A:$H,3,FALSE))</f>
        <v>1</v>
      </c>
      <c r="P102" s="31">
        <f>IFERROR(VLOOKUP($E102,bug_conf_sheet!$A:$H,4,FALSE),VLOOKUP("other",bug_conf_sheet!$A:$H,4,FALSE))</f>
        <v>0</v>
      </c>
      <c r="Q102" s="31">
        <f>IFERROR(VLOOKUP($E102,bug_conf_sheet!$A:$H,5,FALSE),VLOOKUP("other",bug_conf_sheet!$A:$H,5,FALSE))</f>
        <v>0</v>
      </c>
      <c r="R102" s="31">
        <f>IFERROR(VLOOKUP($E102,bug_conf_sheet!$A:$H,6,FALSE),VLOOKUP("other",bug_conf_sheet!$A:$H,6,FALSE))</f>
        <v>0</v>
      </c>
      <c r="S102" s="31">
        <f>IFERROR(VLOOKUP($E102,bug_conf_sheet!$A:$H,7,FALSE),VLOOKUP("other",bug_conf_sheet!$A:$H,7,FALSE))</f>
        <v>0</v>
      </c>
      <c r="T102" s="31">
        <f>IFERROR(VLOOKUP($E102,bug_conf_sheet!$A:$H,8,FALSE),VLOOKUP("other",bug_conf_sheet!$A:$H,8,FALSE))</f>
        <v>1</v>
      </c>
    </row>
    <row r="103" spans="1:20" ht="21" customHeight="1">
      <c r="A103" s="2" t="str">
        <f ca="1">input_313010!A$2</f>
        <v>313010</v>
      </c>
      <c r="B103" s="7" t="str">
        <f t="shared" si="3"/>
        <v>Premium4</v>
      </c>
      <c r="C103" s="7" t="str">
        <f t="shared" si="4"/>
        <v>Premium</v>
      </c>
      <c r="D103" s="7" t="str">
        <f t="shared" si="5"/>
        <v>ry</v>
      </c>
      <c r="E103" s="5">
        <v>227</v>
      </c>
      <c r="F103" s="7" t="str">
        <f>VLOOKUP(E103,[1]characters!$A:$C,3,FALSE)</f>
        <v>滅弾 アレス</v>
      </c>
      <c r="G103" s="7" t="str">
        <f>VLOOKUP(E103,[1]characters!$A:$J,10,FALSE)</f>
        <v>PremiumS</v>
      </c>
      <c r="H103" s="7">
        <f>VLOOKUP(E103,[1]characters!$A:$I,9,FALSE)</f>
        <v>4</v>
      </c>
      <c r="I103" s="7" t="str">
        <f>VLOOKUP(E103,[1]characters!$A:$H,8,FALSE)</f>
        <v>red</v>
      </c>
      <c r="J103" s="7" t="str">
        <f>VLOOKUP(E103,[1]characters!$A:$K,11,FALSE)</f>
        <v>attack</v>
      </c>
      <c r="K103" s="7" t="str">
        <f>VLOOKUP(E103,[1]characters!$A:$M,13,FALSE)</f>
        <v>god</v>
      </c>
      <c r="L103" s="7" t="str">
        <f>VLOOKUP(E103,[1]characters!$A:$G,7,FALSE)</f>
        <v>男性</v>
      </c>
      <c r="M103" s="62">
        <f ca="1">IFERROR(VLOOKUP(E103,input_313010!L:R,7,FALSE),VLOOKUP(tables_313010!B103,input_313010!A:H,8,FALSE))</f>
        <v>153090</v>
      </c>
      <c r="N103" s="63">
        <f ca="1">M103/SUM(M:M)</f>
        <v>5.4729729729729726E-3</v>
      </c>
      <c r="O103" s="31">
        <f>IFERROR(VLOOKUP($E103,bug_conf_sheet!$A:$H,3,FALSE),VLOOKUP("other",bug_conf_sheet!$A:$H,3,FALSE))</f>
        <v>1</v>
      </c>
      <c r="P103" s="31">
        <f>IFERROR(VLOOKUP($E103,bug_conf_sheet!$A:$H,4,FALSE),VLOOKUP("other",bug_conf_sheet!$A:$H,4,FALSE))</f>
        <v>0</v>
      </c>
      <c r="Q103" s="31">
        <f>IFERROR(VLOOKUP($E103,bug_conf_sheet!$A:$H,5,FALSE),VLOOKUP("other",bug_conf_sheet!$A:$H,5,FALSE))</f>
        <v>0</v>
      </c>
      <c r="R103" s="31">
        <f>IFERROR(VLOOKUP($E103,bug_conf_sheet!$A:$H,6,FALSE),VLOOKUP("other",bug_conf_sheet!$A:$H,6,FALSE))</f>
        <v>0</v>
      </c>
      <c r="S103" s="31">
        <f>IFERROR(VLOOKUP($E103,bug_conf_sheet!$A:$H,7,FALSE),VLOOKUP("other",bug_conf_sheet!$A:$H,7,FALSE))</f>
        <v>0</v>
      </c>
      <c r="T103" s="31">
        <f>IFERROR(VLOOKUP($E103,bug_conf_sheet!$A:$H,8,FALSE),VLOOKUP("other",bug_conf_sheet!$A:$H,8,FALSE))</f>
        <v>1</v>
      </c>
    </row>
    <row r="104" spans="1:20" ht="21" customHeight="1">
      <c r="A104" s="2" t="str">
        <f ca="1">input_313010!A$2</f>
        <v>313010</v>
      </c>
      <c r="B104" s="7" t="str">
        <f t="shared" si="3"/>
        <v>Premium5</v>
      </c>
      <c r="C104" s="7" t="str">
        <f t="shared" si="4"/>
        <v>Premium</v>
      </c>
      <c r="D104" s="7" t="str">
        <f t="shared" si="5"/>
        <v>ry</v>
      </c>
      <c r="E104" s="5">
        <v>228</v>
      </c>
      <c r="F104" s="7" t="str">
        <f>VLOOKUP(E104,[1]characters!$A:$C,3,FALSE)</f>
        <v>殲滅の掃射砲 アレス</v>
      </c>
      <c r="G104" s="7" t="str">
        <f>VLOOKUP(E104,[1]characters!$A:$J,10,FALSE)</f>
        <v>PremiumS</v>
      </c>
      <c r="H104" s="7">
        <f>VLOOKUP(E104,[1]characters!$A:$I,9,FALSE)</f>
        <v>5</v>
      </c>
      <c r="I104" s="7" t="str">
        <f>VLOOKUP(E104,[1]characters!$A:$H,8,FALSE)</f>
        <v>red</v>
      </c>
      <c r="J104" s="7" t="str">
        <f>VLOOKUP(E104,[1]characters!$A:$K,11,FALSE)</f>
        <v>attack</v>
      </c>
      <c r="K104" s="7" t="str">
        <f>VLOOKUP(E104,[1]characters!$A:$M,13,FALSE)</f>
        <v>god</v>
      </c>
      <c r="L104" s="7" t="str">
        <f>VLOOKUP(E104,[1]characters!$A:$G,7,FALSE)</f>
        <v>男性</v>
      </c>
      <c r="M104" s="62">
        <f ca="1">IFERROR(VLOOKUP(E104,input_313010!L:R,7,FALSE),VLOOKUP(tables_313010!B104,input_313010!A:H,8,FALSE))</f>
        <v>18130</v>
      </c>
      <c r="N104" s="63">
        <f ca="1">M104/SUM(M:M)</f>
        <v>6.4814814814814813E-4</v>
      </c>
      <c r="O104" s="31">
        <f>IFERROR(VLOOKUP($E104,bug_conf_sheet!$A:$H,3,FALSE),VLOOKUP("other",bug_conf_sheet!$A:$H,3,FALSE))</f>
        <v>1</v>
      </c>
      <c r="P104" s="31">
        <f>IFERROR(VLOOKUP($E104,bug_conf_sheet!$A:$H,4,FALSE),VLOOKUP("other",bug_conf_sheet!$A:$H,4,FALSE))</f>
        <v>0</v>
      </c>
      <c r="Q104" s="31">
        <f>IFERROR(VLOOKUP($E104,bug_conf_sheet!$A:$H,5,FALSE),VLOOKUP("other",bug_conf_sheet!$A:$H,5,FALSE))</f>
        <v>0</v>
      </c>
      <c r="R104" s="31">
        <f>IFERROR(VLOOKUP($E104,bug_conf_sheet!$A:$H,6,FALSE),VLOOKUP("other",bug_conf_sheet!$A:$H,6,FALSE))</f>
        <v>0</v>
      </c>
      <c r="S104" s="31">
        <f>IFERROR(VLOOKUP($E104,bug_conf_sheet!$A:$H,7,FALSE),VLOOKUP("other",bug_conf_sheet!$A:$H,7,FALSE))</f>
        <v>0</v>
      </c>
      <c r="T104" s="31">
        <f>IFERROR(VLOOKUP($E104,bug_conf_sheet!$A:$H,8,FALSE),VLOOKUP("other",bug_conf_sheet!$A:$H,8,FALSE))</f>
        <v>1</v>
      </c>
    </row>
    <row r="105" spans="1:20" ht="21" customHeight="1">
      <c r="A105" s="2" t="str">
        <f ca="1">input_313010!A$2</f>
        <v>313010</v>
      </c>
      <c r="B105" s="7" t="str">
        <f t="shared" si="3"/>
        <v>Premium3</v>
      </c>
      <c r="C105" s="7" t="str">
        <f t="shared" si="4"/>
        <v>Premium</v>
      </c>
      <c r="D105" s="7" t="str">
        <f t="shared" si="5"/>
        <v>bg</v>
      </c>
      <c r="E105" s="5">
        <v>229</v>
      </c>
      <c r="F105" s="7" t="str">
        <f>VLOOKUP(E105,[1]characters!$A:$C,3,FALSE)</f>
        <v>ヨルムンガンド</v>
      </c>
      <c r="G105" s="7" t="str">
        <f>VLOOKUP(E105,[1]characters!$A:$J,10,FALSE)</f>
        <v>PremiumS</v>
      </c>
      <c r="H105" s="7">
        <f>VLOOKUP(E105,[1]characters!$A:$I,9,FALSE)</f>
        <v>3</v>
      </c>
      <c r="I105" s="7" t="str">
        <f>VLOOKUP(E105,[1]characters!$A:$H,8,FALSE)</f>
        <v>green</v>
      </c>
      <c r="J105" s="7" t="str">
        <f>VLOOKUP(E105,[1]characters!$A:$K,11,FALSE)</f>
        <v>technical</v>
      </c>
      <c r="K105" s="7" t="str">
        <f>VLOOKUP(E105,[1]characters!$A:$M,13,FALSE)</f>
        <v>dragon</v>
      </c>
      <c r="L105" s="7" t="str">
        <f>VLOOKUP(E105,[1]characters!$A:$G,7,FALSE)</f>
        <v>女性</v>
      </c>
      <c r="M105" s="62">
        <f ca="1">IFERROR(VLOOKUP(E105,input_313010!L:R,7,FALSE),VLOOKUP(tables_313010!B105,input_313010!A:H,8,FALSE))</f>
        <v>189000</v>
      </c>
      <c r="N105" s="63">
        <f ca="1">M105/SUM(M:M)</f>
        <v>6.7567567567567571E-3</v>
      </c>
      <c r="O105" s="31">
        <f>IFERROR(VLOOKUP($E105,bug_conf_sheet!$A:$H,3,FALSE),VLOOKUP("other",bug_conf_sheet!$A:$H,3,FALSE))</f>
        <v>1</v>
      </c>
      <c r="P105" s="31">
        <f>IFERROR(VLOOKUP($E105,bug_conf_sheet!$A:$H,4,FALSE),VLOOKUP("other",bug_conf_sheet!$A:$H,4,FALSE))</f>
        <v>0</v>
      </c>
      <c r="Q105" s="31">
        <f>IFERROR(VLOOKUP($E105,bug_conf_sheet!$A:$H,5,FALSE),VLOOKUP("other",bug_conf_sheet!$A:$H,5,FALSE))</f>
        <v>0</v>
      </c>
      <c r="R105" s="31">
        <f>IFERROR(VLOOKUP($E105,bug_conf_sheet!$A:$H,6,FALSE),VLOOKUP("other",bug_conf_sheet!$A:$H,6,FALSE))</f>
        <v>0</v>
      </c>
      <c r="S105" s="31">
        <f>IFERROR(VLOOKUP($E105,bug_conf_sheet!$A:$H,7,FALSE),VLOOKUP("other",bug_conf_sheet!$A:$H,7,FALSE))</f>
        <v>0</v>
      </c>
      <c r="T105" s="31">
        <f>IFERROR(VLOOKUP($E105,bug_conf_sheet!$A:$H,8,FALSE),VLOOKUP("other",bug_conf_sheet!$A:$H,8,FALSE))</f>
        <v>1</v>
      </c>
    </row>
    <row r="106" spans="1:20" ht="21" customHeight="1">
      <c r="A106" s="2" t="str">
        <f ca="1">input_313010!A$2</f>
        <v>313010</v>
      </c>
      <c r="B106" s="7" t="str">
        <f t="shared" si="3"/>
        <v>Premium4</v>
      </c>
      <c r="C106" s="7" t="str">
        <f t="shared" si="4"/>
        <v>Premium</v>
      </c>
      <c r="D106" s="7" t="str">
        <f t="shared" si="5"/>
        <v>bg</v>
      </c>
      <c r="E106" s="5">
        <v>230</v>
      </c>
      <c r="F106" s="7" t="str">
        <f>VLOOKUP(E106,[1]characters!$A:$C,3,FALSE)</f>
        <v>毒銃 ヨルムンガンド</v>
      </c>
      <c r="G106" s="7" t="str">
        <f>VLOOKUP(E106,[1]characters!$A:$J,10,FALSE)</f>
        <v>PremiumS</v>
      </c>
      <c r="H106" s="7">
        <f>VLOOKUP(E106,[1]characters!$A:$I,9,FALSE)</f>
        <v>4</v>
      </c>
      <c r="I106" s="7" t="str">
        <f>VLOOKUP(E106,[1]characters!$A:$H,8,FALSE)</f>
        <v>green</v>
      </c>
      <c r="J106" s="7" t="str">
        <f>VLOOKUP(E106,[1]characters!$A:$K,11,FALSE)</f>
        <v>technical</v>
      </c>
      <c r="K106" s="7" t="str">
        <f>VLOOKUP(E106,[1]characters!$A:$M,13,FALSE)</f>
        <v>dragon</v>
      </c>
      <c r="L106" s="7" t="str">
        <f>VLOOKUP(E106,[1]characters!$A:$G,7,FALSE)</f>
        <v>女性</v>
      </c>
      <c r="M106" s="62">
        <f ca="1">IFERROR(VLOOKUP(E106,input_313010!L:R,7,FALSE),VLOOKUP(tables_313010!B106,input_313010!A:H,8,FALSE))</f>
        <v>153090</v>
      </c>
      <c r="N106" s="63">
        <f ca="1">M106/SUM(M:M)</f>
        <v>5.4729729729729726E-3</v>
      </c>
      <c r="O106" s="31">
        <f>IFERROR(VLOOKUP($E106,bug_conf_sheet!$A:$H,3,FALSE),VLOOKUP("other",bug_conf_sheet!$A:$H,3,FALSE))</f>
        <v>1</v>
      </c>
      <c r="P106" s="31">
        <f>IFERROR(VLOOKUP($E106,bug_conf_sheet!$A:$H,4,FALSE),VLOOKUP("other",bug_conf_sheet!$A:$H,4,FALSE))</f>
        <v>0</v>
      </c>
      <c r="Q106" s="31">
        <f>IFERROR(VLOOKUP($E106,bug_conf_sheet!$A:$H,5,FALSE),VLOOKUP("other",bug_conf_sheet!$A:$H,5,FALSE))</f>
        <v>0</v>
      </c>
      <c r="R106" s="31">
        <f>IFERROR(VLOOKUP($E106,bug_conf_sheet!$A:$H,6,FALSE),VLOOKUP("other",bug_conf_sheet!$A:$H,6,FALSE))</f>
        <v>0</v>
      </c>
      <c r="S106" s="31">
        <f>IFERROR(VLOOKUP($E106,bug_conf_sheet!$A:$H,7,FALSE),VLOOKUP("other",bug_conf_sheet!$A:$H,7,FALSE))</f>
        <v>0</v>
      </c>
      <c r="T106" s="31">
        <f>IFERROR(VLOOKUP($E106,bug_conf_sheet!$A:$H,8,FALSE),VLOOKUP("other",bug_conf_sheet!$A:$H,8,FALSE))</f>
        <v>1</v>
      </c>
    </row>
    <row r="107" spans="1:20" ht="21" customHeight="1">
      <c r="A107" s="2" t="str">
        <f ca="1">input_313010!A$2</f>
        <v>313010</v>
      </c>
      <c r="B107" s="7" t="str">
        <f t="shared" si="3"/>
        <v>Premium5</v>
      </c>
      <c r="C107" s="7" t="str">
        <f t="shared" si="4"/>
        <v>Premium</v>
      </c>
      <c r="D107" s="7" t="str">
        <f t="shared" si="5"/>
        <v>bg</v>
      </c>
      <c r="E107" s="5">
        <v>231</v>
      </c>
      <c r="F107" s="7" t="str">
        <f>VLOOKUP(E107,[1]characters!$A:$C,3,FALSE)</f>
        <v>必中の咬銃 ヨルムンガンド</v>
      </c>
      <c r="G107" s="7" t="str">
        <f>VLOOKUP(E107,[1]characters!$A:$J,10,FALSE)</f>
        <v>PremiumS</v>
      </c>
      <c r="H107" s="7">
        <f>VLOOKUP(E107,[1]characters!$A:$I,9,FALSE)</f>
        <v>5</v>
      </c>
      <c r="I107" s="7" t="str">
        <f>VLOOKUP(E107,[1]characters!$A:$H,8,FALSE)</f>
        <v>green</v>
      </c>
      <c r="J107" s="7" t="str">
        <f>VLOOKUP(E107,[1]characters!$A:$K,11,FALSE)</f>
        <v>technical</v>
      </c>
      <c r="K107" s="7" t="str">
        <f>VLOOKUP(E107,[1]characters!$A:$M,13,FALSE)</f>
        <v>dragon</v>
      </c>
      <c r="L107" s="7" t="str">
        <f>VLOOKUP(E107,[1]characters!$A:$G,7,FALSE)</f>
        <v>女性</v>
      </c>
      <c r="M107" s="62">
        <f ca="1">IFERROR(VLOOKUP(E107,input_313010!L:R,7,FALSE),VLOOKUP(tables_313010!B107,input_313010!A:H,8,FALSE))</f>
        <v>18130</v>
      </c>
      <c r="N107" s="63">
        <f ca="1">M107/SUM(M:M)</f>
        <v>6.4814814814814813E-4</v>
      </c>
      <c r="O107" s="31">
        <f>IFERROR(VLOOKUP($E107,bug_conf_sheet!$A:$H,3,FALSE),VLOOKUP("other",bug_conf_sheet!$A:$H,3,FALSE))</f>
        <v>1</v>
      </c>
      <c r="P107" s="31">
        <f>IFERROR(VLOOKUP($E107,bug_conf_sheet!$A:$H,4,FALSE),VLOOKUP("other",bug_conf_sheet!$A:$H,4,FALSE))</f>
        <v>0</v>
      </c>
      <c r="Q107" s="31">
        <f>IFERROR(VLOOKUP($E107,bug_conf_sheet!$A:$H,5,FALSE),VLOOKUP("other",bug_conf_sheet!$A:$H,5,FALSE))</f>
        <v>0</v>
      </c>
      <c r="R107" s="31">
        <f>IFERROR(VLOOKUP($E107,bug_conf_sheet!$A:$H,6,FALSE),VLOOKUP("other",bug_conf_sheet!$A:$H,6,FALSE))</f>
        <v>0</v>
      </c>
      <c r="S107" s="31">
        <f>IFERROR(VLOOKUP($E107,bug_conf_sheet!$A:$H,7,FALSE),VLOOKUP("other",bug_conf_sheet!$A:$H,7,FALSE))</f>
        <v>0</v>
      </c>
      <c r="T107" s="31">
        <f>IFERROR(VLOOKUP($E107,bug_conf_sheet!$A:$H,8,FALSE),VLOOKUP("other",bug_conf_sheet!$A:$H,8,FALSE))</f>
        <v>1</v>
      </c>
    </row>
    <row r="108" spans="1:20" ht="21" customHeight="1">
      <c r="A108" s="2" t="str">
        <f ca="1">input_313010!A$2</f>
        <v>313010</v>
      </c>
      <c r="B108" s="7" t="str">
        <f t="shared" si="3"/>
        <v>Premium3</v>
      </c>
      <c r="C108" s="7" t="str">
        <f t="shared" si="4"/>
        <v>Premium</v>
      </c>
      <c r="D108" s="7" t="str">
        <f t="shared" si="5"/>
        <v>bg</v>
      </c>
      <c r="E108" s="5">
        <v>232</v>
      </c>
      <c r="F108" s="7" t="str">
        <f>VLOOKUP(E108,[1]characters!$A:$C,3,FALSE)</f>
        <v>パーシヴァル</v>
      </c>
      <c r="G108" s="7" t="str">
        <f>VLOOKUP(E108,[1]characters!$A:$J,10,FALSE)</f>
        <v>PremiumS</v>
      </c>
      <c r="H108" s="7">
        <f>VLOOKUP(E108,[1]characters!$A:$I,9,FALSE)</f>
        <v>3</v>
      </c>
      <c r="I108" s="7" t="str">
        <f>VLOOKUP(E108,[1]characters!$A:$H,8,FALSE)</f>
        <v>blue</v>
      </c>
      <c r="J108" s="7" t="str">
        <f>VLOOKUP(E108,[1]characters!$A:$K,11,FALSE)</f>
        <v>technical</v>
      </c>
      <c r="K108" s="7" t="str">
        <f>VLOOKUP(E108,[1]characters!$A:$M,13,FALSE)</f>
        <v>human</v>
      </c>
      <c r="L108" s="7" t="str">
        <f>VLOOKUP(E108,[1]characters!$A:$G,7,FALSE)</f>
        <v>女性</v>
      </c>
      <c r="M108" s="62">
        <f ca="1">IFERROR(VLOOKUP(E108,input_313010!L:R,7,FALSE),VLOOKUP(tables_313010!B108,input_313010!A:H,8,FALSE))</f>
        <v>189000</v>
      </c>
      <c r="N108" s="63">
        <f ca="1">M108/SUM(M:M)</f>
        <v>6.7567567567567571E-3</v>
      </c>
      <c r="O108" s="31">
        <f>IFERROR(VLOOKUP($E108,bug_conf_sheet!$A:$H,3,FALSE),VLOOKUP("other",bug_conf_sheet!$A:$H,3,FALSE))</f>
        <v>1</v>
      </c>
      <c r="P108" s="31">
        <f>IFERROR(VLOOKUP($E108,bug_conf_sheet!$A:$H,4,FALSE),VLOOKUP("other",bug_conf_sheet!$A:$H,4,FALSE))</f>
        <v>0</v>
      </c>
      <c r="Q108" s="31">
        <f>IFERROR(VLOOKUP($E108,bug_conf_sheet!$A:$H,5,FALSE),VLOOKUP("other",bug_conf_sheet!$A:$H,5,FALSE))</f>
        <v>0</v>
      </c>
      <c r="R108" s="31">
        <f>IFERROR(VLOOKUP($E108,bug_conf_sheet!$A:$H,6,FALSE),VLOOKUP("other",bug_conf_sheet!$A:$H,6,FALSE))</f>
        <v>0</v>
      </c>
      <c r="S108" s="31">
        <f>IFERROR(VLOOKUP($E108,bug_conf_sheet!$A:$H,7,FALSE),VLOOKUP("other",bug_conf_sheet!$A:$H,7,FALSE))</f>
        <v>0</v>
      </c>
      <c r="T108" s="31">
        <f>IFERROR(VLOOKUP($E108,bug_conf_sheet!$A:$H,8,FALSE),VLOOKUP("other",bug_conf_sheet!$A:$H,8,FALSE))</f>
        <v>1</v>
      </c>
    </row>
    <row r="109" spans="1:20" ht="21" customHeight="1">
      <c r="A109" s="2" t="str">
        <f ca="1">input_313010!A$2</f>
        <v>313010</v>
      </c>
      <c r="B109" s="7" t="str">
        <f t="shared" si="3"/>
        <v>Premium4</v>
      </c>
      <c r="C109" s="7" t="str">
        <f t="shared" si="4"/>
        <v>Premium</v>
      </c>
      <c r="D109" s="7" t="str">
        <f t="shared" si="5"/>
        <v>bg</v>
      </c>
      <c r="E109" s="5">
        <v>233</v>
      </c>
      <c r="F109" s="7" t="str">
        <f>VLOOKUP(E109,[1]characters!$A:$C,3,FALSE)</f>
        <v>遂行 パーシヴァル</v>
      </c>
      <c r="G109" s="7" t="str">
        <f>VLOOKUP(E109,[1]characters!$A:$J,10,FALSE)</f>
        <v>PremiumS</v>
      </c>
      <c r="H109" s="7">
        <f>VLOOKUP(E109,[1]characters!$A:$I,9,FALSE)</f>
        <v>4</v>
      </c>
      <c r="I109" s="7" t="str">
        <f>VLOOKUP(E109,[1]characters!$A:$H,8,FALSE)</f>
        <v>blue</v>
      </c>
      <c r="J109" s="7" t="str">
        <f>VLOOKUP(E109,[1]characters!$A:$K,11,FALSE)</f>
        <v>technical</v>
      </c>
      <c r="K109" s="7" t="str">
        <f>VLOOKUP(E109,[1]characters!$A:$M,13,FALSE)</f>
        <v>human</v>
      </c>
      <c r="L109" s="7" t="str">
        <f>VLOOKUP(E109,[1]characters!$A:$G,7,FALSE)</f>
        <v>女性</v>
      </c>
      <c r="M109" s="62">
        <f ca="1">IFERROR(VLOOKUP(E109,input_313010!L:R,7,FALSE),VLOOKUP(tables_313010!B109,input_313010!A:H,8,FALSE))</f>
        <v>153090</v>
      </c>
      <c r="N109" s="63">
        <f ca="1">M109/SUM(M:M)</f>
        <v>5.4729729729729726E-3</v>
      </c>
      <c r="O109" s="31">
        <f>IFERROR(VLOOKUP($E109,bug_conf_sheet!$A:$H,3,FALSE),VLOOKUP("other",bug_conf_sheet!$A:$H,3,FALSE))</f>
        <v>1</v>
      </c>
      <c r="P109" s="31">
        <f>IFERROR(VLOOKUP($E109,bug_conf_sheet!$A:$H,4,FALSE),VLOOKUP("other",bug_conf_sheet!$A:$H,4,FALSE))</f>
        <v>0</v>
      </c>
      <c r="Q109" s="31">
        <f>IFERROR(VLOOKUP($E109,bug_conf_sheet!$A:$H,5,FALSE),VLOOKUP("other",bug_conf_sheet!$A:$H,5,FALSE))</f>
        <v>0</v>
      </c>
      <c r="R109" s="31">
        <f>IFERROR(VLOOKUP($E109,bug_conf_sheet!$A:$H,6,FALSE),VLOOKUP("other",bug_conf_sheet!$A:$H,6,FALSE))</f>
        <v>0</v>
      </c>
      <c r="S109" s="31">
        <f>IFERROR(VLOOKUP($E109,bug_conf_sheet!$A:$H,7,FALSE),VLOOKUP("other",bug_conf_sheet!$A:$H,7,FALSE))</f>
        <v>0</v>
      </c>
      <c r="T109" s="31">
        <f>IFERROR(VLOOKUP($E109,bug_conf_sheet!$A:$H,8,FALSE),VLOOKUP("other",bug_conf_sheet!$A:$H,8,FALSE))</f>
        <v>1</v>
      </c>
    </row>
    <row r="110" spans="1:20" ht="21" customHeight="1">
      <c r="A110" s="2" t="str">
        <f ca="1">input_313010!A$2</f>
        <v>313010</v>
      </c>
      <c r="B110" s="7" t="str">
        <f t="shared" si="3"/>
        <v>Premium5</v>
      </c>
      <c r="C110" s="7" t="str">
        <f t="shared" si="4"/>
        <v>Premium</v>
      </c>
      <c r="D110" s="7" t="str">
        <f t="shared" si="5"/>
        <v>bg</v>
      </c>
      <c r="E110" s="5">
        <v>234</v>
      </c>
      <c r="F110" s="7" t="str">
        <f>VLOOKUP(E110,[1]characters!$A:$C,3,FALSE)</f>
        <v>精密なる照準 パーシヴァル</v>
      </c>
      <c r="G110" s="7" t="str">
        <f>VLOOKUP(E110,[1]characters!$A:$J,10,FALSE)</f>
        <v>PremiumS</v>
      </c>
      <c r="H110" s="7">
        <f>VLOOKUP(E110,[1]characters!$A:$I,9,FALSE)</f>
        <v>5</v>
      </c>
      <c r="I110" s="7" t="str">
        <f>VLOOKUP(E110,[1]characters!$A:$H,8,FALSE)</f>
        <v>blue</v>
      </c>
      <c r="J110" s="7" t="str">
        <f>VLOOKUP(E110,[1]characters!$A:$K,11,FALSE)</f>
        <v>technical</v>
      </c>
      <c r="K110" s="7" t="str">
        <f>VLOOKUP(E110,[1]characters!$A:$M,13,FALSE)</f>
        <v>human</v>
      </c>
      <c r="L110" s="7" t="str">
        <f>VLOOKUP(E110,[1]characters!$A:$G,7,FALSE)</f>
        <v>女性</v>
      </c>
      <c r="M110" s="62">
        <f ca="1">IFERROR(VLOOKUP(E110,input_313010!L:R,7,FALSE),VLOOKUP(tables_313010!B110,input_313010!A:H,8,FALSE))</f>
        <v>18130</v>
      </c>
      <c r="N110" s="63">
        <f ca="1">M110/SUM(M:M)</f>
        <v>6.4814814814814813E-4</v>
      </c>
      <c r="O110" s="31">
        <f>IFERROR(VLOOKUP($E110,bug_conf_sheet!$A:$H,3,FALSE),VLOOKUP("other",bug_conf_sheet!$A:$H,3,FALSE))</f>
        <v>1</v>
      </c>
      <c r="P110" s="31">
        <f>IFERROR(VLOOKUP($E110,bug_conf_sheet!$A:$H,4,FALSE),VLOOKUP("other",bug_conf_sheet!$A:$H,4,FALSE))</f>
        <v>0</v>
      </c>
      <c r="Q110" s="31">
        <f>IFERROR(VLOOKUP($E110,bug_conf_sheet!$A:$H,5,FALSE),VLOOKUP("other",bug_conf_sheet!$A:$H,5,FALSE))</f>
        <v>0</v>
      </c>
      <c r="R110" s="31">
        <f>IFERROR(VLOOKUP($E110,bug_conf_sheet!$A:$H,6,FALSE),VLOOKUP("other",bug_conf_sheet!$A:$H,6,FALSE))</f>
        <v>0</v>
      </c>
      <c r="S110" s="31">
        <f>IFERROR(VLOOKUP($E110,bug_conf_sheet!$A:$H,7,FALSE),VLOOKUP("other",bug_conf_sheet!$A:$H,7,FALSE))</f>
        <v>0</v>
      </c>
      <c r="T110" s="31">
        <f>IFERROR(VLOOKUP($E110,bug_conf_sheet!$A:$H,8,FALSE),VLOOKUP("other",bug_conf_sheet!$A:$H,8,FALSE))</f>
        <v>1</v>
      </c>
    </row>
    <row r="111" spans="1:20" ht="21" customHeight="1">
      <c r="A111" s="2" t="str">
        <f ca="1">input_313010!A$2</f>
        <v>313010</v>
      </c>
      <c r="B111" s="7" t="str">
        <f t="shared" si="3"/>
        <v>Premium3</v>
      </c>
      <c r="C111" s="7" t="str">
        <f t="shared" si="4"/>
        <v>Premium</v>
      </c>
      <c r="D111" s="7" t="str">
        <f t="shared" si="5"/>
        <v>ry</v>
      </c>
      <c r="E111" s="5">
        <v>235</v>
      </c>
      <c r="F111" s="7" t="str">
        <f>VLOOKUP(E111,[1]characters!$A:$C,3,FALSE)</f>
        <v>イザナミ</v>
      </c>
      <c r="G111" s="7" t="str">
        <f>VLOOKUP(E111,[1]characters!$A:$J,10,FALSE)</f>
        <v>PremiumS</v>
      </c>
      <c r="H111" s="7">
        <f>VLOOKUP(E111,[1]characters!$A:$I,9,FALSE)</f>
        <v>3</v>
      </c>
      <c r="I111" s="7" t="str">
        <f>VLOOKUP(E111,[1]characters!$A:$H,8,FALSE)</f>
        <v>yellow</v>
      </c>
      <c r="J111" s="7" t="str">
        <f>VLOOKUP(E111,[1]characters!$A:$K,11,FALSE)</f>
        <v>attack</v>
      </c>
      <c r="K111" s="7" t="str">
        <f>VLOOKUP(E111,[1]characters!$A:$M,13,FALSE)</f>
        <v>god</v>
      </c>
      <c r="L111" s="7" t="str">
        <f>VLOOKUP(E111,[1]characters!$A:$G,7,FALSE)</f>
        <v>女性</v>
      </c>
      <c r="M111" s="62">
        <f ca="1">IFERROR(VLOOKUP(E111,input_313010!L:R,7,FALSE),VLOOKUP(tables_313010!B111,input_313010!A:H,8,FALSE))</f>
        <v>189000</v>
      </c>
      <c r="N111" s="63">
        <f ca="1">M111/SUM(M:M)</f>
        <v>6.7567567567567571E-3</v>
      </c>
      <c r="O111" s="31">
        <f>IFERROR(VLOOKUP($E111,bug_conf_sheet!$A:$H,3,FALSE),VLOOKUP("other",bug_conf_sheet!$A:$H,3,FALSE))</f>
        <v>1</v>
      </c>
      <c r="P111" s="31">
        <f>IFERROR(VLOOKUP($E111,bug_conf_sheet!$A:$H,4,FALSE),VLOOKUP("other",bug_conf_sheet!$A:$H,4,FALSE))</f>
        <v>0</v>
      </c>
      <c r="Q111" s="31">
        <f>IFERROR(VLOOKUP($E111,bug_conf_sheet!$A:$H,5,FALSE),VLOOKUP("other",bug_conf_sheet!$A:$H,5,FALSE))</f>
        <v>0</v>
      </c>
      <c r="R111" s="31">
        <f>IFERROR(VLOOKUP($E111,bug_conf_sheet!$A:$H,6,FALSE),VLOOKUP("other",bug_conf_sheet!$A:$H,6,FALSE))</f>
        <v>0</v>
      </c>
      <c r="S111" s="31">
        <f>IFERROR(VLOOKUP($E111,bug_conf_sheet!$A:$H,7,FALSE),VLOOKUP("other",bug_conf_sheet!$A:$H,7,FALSE))</f>
        <v>0</v>
      </c>
      <c r="T111" s="31">
        <f>IFERROR(VLOOKUP($E111,bug_conf_sheet!$A:$H,8,FALSE),VLOOKUP("other",bug_conf_sheet!$A:$H,8,FALSE))</f>
        <v>1</v>
      </c>
    </row>
    <row r="112" spans="1:20" ht="21" customHeight="1">
      <c r="A112" s="2" t="str">
        <f ca="1">input_313010!A$2</f>
        <v>313010</v>
      </c>
      <c r="B112" s="7" t="str">
        <f t="shared" si="3"/>
        <v>Premium4</v>
      </c>
      <c r="C112" s="7" t="str">
        <f t="shared" si="4"/>
        <v>Premium</v>
      </c>
      <c r="D112" s="7" t="str">
        <f t="shared" si="5"/>
        <v>ry</v>
      </c>
      <c r="E112" s="5">
        <v>236</v>
      </c>
      <c r="F112" s="7" t="str">
        <f>VLOOKUP(E112,[1]characters!$A:$C,3,FALSE)</f>
        <v>神産 イザナミ</v>
      </c>
      <c r="G112" s="7" t="str">
        <f>VLOOKUP(E112,[1]characters!$A:$J,10,FALSE)</f>
        <v>PremiumS</v>
      </c>
      <c r="H112" s="7">
        <f>VLOOKUP(E112,[1]characters!$A:$I,9,FALSE)</f>
        <v>4</v>
      </c>
      <c r="I112" s="7" t="str">
        <f>VLOOKUP(E112,[1]characters!$A:$H,8,FALSE)</f>
        <v>yellow</v>
      </c>
      <c r="J112" s="7" t="str">
        <f>VLOOKUP(E112,[1]characters!$A:$K,11,FALSE)</f>
        <v>attack</v>
      </c>
      <c r="K112" s="7" t="str">
        <f>VLOOKUP(E112,[1]characters!$A:$M,13,FALSE)</f>
        <v>god</v>
      </c>
      <c r="L112" s="7" t="str">
        <f>VLOOKUP(E112,[1]characters!$A:$G,7,FALSE)</f>
        <v>女性</v>
      </c>
      <c r="M112" s="62">
        <f ca="1">IFERROR(VLOOKUP(E112,input_313010!L:R,7,FALSE),VLOOKUP(tables_313010!B112,input_313010!A:H,8,FALSE))</f>
        <v>153090</v>
      </c>
      <c r="N112" s="63">
        <f ca="1">M112/SUM(M:M)</f>
        <v>5.4729729729729726E-3</v>
      </c>
      <c r="O112" s="31">
        <f>IFERROR(VLOOKUP($E112,bug_conf_sheet!$A:$H,3,FALSE),VLOOKUP("other",bug_conf_sheet!$A:$H,3,FALSE))</f>
        <v>1</v>
      </c>
      <c r="P112" s="31">
        <f>IFERROR(VLOOKUP($E112,bug_conf_sheet!$A:$H,4,FALSE),VLOOKUP("other",bug_conf_sheet!$A:$H,4,FALSE))</f>
        <v>0</v>
      </c>
      <c r="Q112" s="31">
        <f>IFERROR(VLOOKUP($E112,bug_conf_sheet!$A:$H,5,FALSE),VLOOKUP("other",bug_conf_sheet!$A:$H,5,FALSE))</f>
        <v>0</v>
      </c>
      <c r="R112" s="31">
        <f>IFERROR(VLOOKUP($E112,bug_conf_sheet!$A:$H,6,FALSE),VLOOKUP("other",bug_conf_sheet!$A:$H,6,FALSE))</f>
        <v>0</v>
      </c>
      <c r="S112" s="31">
        <f>IFERROR(VLOOKUP($E112,bug_conf_sheet!$A:$H,7,FALSE),VLOOKUP("other",bug_conf_sheet!$A:$H,7,FALSE))</f>
        <v>0</v>
      </c>
      <c r="T112" s="31">
        <f>IFERROR(VLOOKUP($E112,bug_conf_sheet!$A:$H,8,FALSE),VLOOKUP("other",bug_conf_sheet!$A:$H,8,FALSE))</f>
        <v>1</v>
      </c>
    </row>
    <row r="113" spans="1:20" ht="21" customHeight="1">
      <c r="A113" s="2" t="str">
        <f ca="1">input_313010!A$2</f>
        <v>313010</v>
      </c>
      <c r="B113" s="7" t="str">
        <f t="shared" si="3"/>
        <v>Premium5</v>
      </c>
      <c r="C113" s="7" t="str">
        <f t="shared" si="4"/>
        <v>Premium</v>
      </c>
      <c r="D113" s="7" t="str">
        <f t="shared" si="5"/>
        <v>ry</v>
      </c>
      <c r="E113" s="5">
        <v>237</v>
      </c>
      <c r="F113" s="7" t="str">
        <f>VLOOKUP(E113,[1]characters!$A:$C,3,FALSE)</f>
        <v>森羅万象の神母 イザナミ</v>
      </c>
      <c r="G113" s="7" t="str">
        <f>VLOOKUP(E113,[1]characters!$A:$J,10,FALSE)</f>
        <v>PremiumS</v>
      </c>
      <c r="H113" s="7">
        <f>VLOOKUP(E113,[1]characters!$A:$I,9,FALSE)</f>
        <v>5</v>
      </c>
      <c r="I113" s="7" t="str">
        <f>VLOOKUP(E113,[1]characters!$A:$H,8,FALSE)</f>
        <v>yellow</v>
      </c>
      <c r="J113" s="7" t="str">
        <f>VLOOKUP(E113,[1]characters!$A:$K,11,FALSE)</f>
        <v>attack</v>
      </c>
      <c r="K113" s="7" t="str">
        <f>VLOOKUP(E113,[1]characters!$A:$M,13,FALSE)</f>
        <v>god</v>
      </c>
      <c r="L113" s="7" t="str">
        <f>VLOOKUP(E113,[1]characters!$A:$G,7,FALSE)</f>
        <v>女性</v>
      </c>
      <c r="M113" s="62">
        <f ca="1">IFERROR(VLOOKUP(E113,input_313010!L:R,7,FALSE),VLOOKUP(tables_313010!B113,input_313010!A:H,8,FALSE))</f>
        <v>18130</v>
      </c>
      <c r="N113" s="63">
        <f ca="1">M113/SUM(M:M)</f>
        <v>6.4814814814814813E-4</v>
      </c>
      <c r="O113" s="31">
        <f>IFERROR(VLOOKUP($E113,bug_conf_sheet!$A:$H,3,FALSE),VLOOKUP("other",bug_conf_sheet!$A:$H,3,FALSE))</f>
        <v>1</v>
      </c>
      <c r="P113" s="31">
        <f>IFERROR(VLOOKUP($E113,bug_conf_sheet!$A:$H,4,FALSE),VLOOKUP("other",bug_conf_sheet!$A:$H,4,FALSE))</f>
        <v>0</v>
      </c>
      <c r="Q113" s="31">
        <f>IFERROR(VLOOKUP($E113,bug_conf_sheet!$A:$H,5,FALSE),VLOOKUP("other",bug_conf_sheet!$A:$H,5,FALSE))</f>
        <v>0</v>
      </c>
      <c r="R113" s="31">
        <f>IFERROR(VLOOKUP($E113,bug_conf_sheet!$A:$H,6,FALSE),VLOOKUP("other",bug_conf_sheet!$A:$H,6,FALSE))</f>
        <v>0</v>
      </c>
      <c r="S113" s="31">
        <f>IFERROR(VLOOKUP($E113,bug_conf_sheet!$A:$H,7,FALSE),VLOOKUP("other",bug_conf_sheet!$A:$H,7,FALSE))</f>
        <v>0</v>
      </c>
      <c r="T113" s="31">
        <f>IFERROR(VLOOKUP($E113,bug_conf_sheet!$A:$H,8,FALSE),VLOOKUP("other",bug_conf_sheet!$A:$H,8,FALSE))</f>
        <v>1</v>
      </c>
    </row>
    <row r="114" spans="1:20" ht="21" customHeight="1">
      <c r="A114" s="2" t="str">
        <f ca="1">input_313010!A$2</f>
        <v>313010</v>
      </c>
      <c r="B114" s="7" t="str">
        <f t="shared" si="3"/>
        <v>Premium3</v>
      </c>
      <c r="C114" s="7" t="str">
        <f t="shared" si="4"/>
        <v>Premium</v>
      </c>
      <c r="D114" s="7" t="str">
        <f t="shared" si="5"/>
        <v>ry</v>
      </c>
      <c r="E114" s="5">
        <v>238</v>
      </c>
      <c r="F114" s="7" t="str">
        <f>VLOOKUP(E114,[1]characters!$A:$C,3,FALSE)</f>
        <v>ウリエル</v>
      </c>
      <c r="G114" s="7" t="str">
        <f>VLOOKUP(E114,[1]characters!$A:$J,10,FALSE)</f>
        <v>PremiumS</v>
      </c>
      <c r="H114" s="7">
        <f>VLOOKUP(E114,[1]characters!$A:$I,9,FALSE)</f>
        <v>3</v>
      </c>
      <c r="I114" s="7" t="str">
        <f>VLOOKUP(E114,[1]characters!$A:$H,8,FALSE)</f>
        <v>red</v>
      </c>
      <c r="J114" s="7" t="str">
        <f>VLOOKUP(E114,[1]characters!$A:$K,11,FALSE)</f>
        <v>hp</v>
      </c>
      <c r="K114" s="7" t="str">
        <f>VLOOKUP(E114,[1]characters!$A:$M,13,FALSE)</f>
        <v>machine</v>
      </c>
      <c r="L114" s="7" t="str">
        <f>VLOOKUP(E114,[1]characters!$A:$G,7,FALSE)</f>
        <v>女性</v>
      </c>
      <c r="M114" s="62">
        <f ca="1">IFERROR(VLOOKUP(E114,input_313010!L:R,7,FALSE),VLOOKUP(tables_313010!B114,input_313010!A:H,8,FALSE))</f>
        <v>189000</v>
      </c>
      <c r="N114" s="63">
        <f ca="1">M114/SUM(M:M)</f>
        <v>6.7567567567567571E-3</v>
      </c>
      <c r="O114" s="31">
        <f>IFERROR(VLOOKUP($E114,bug_conf_sheet!$A:$H,3,FALSE),VLOOKUP("other",bug_conf_sheet!$A:$H,3,FALSE))</f>
        <v>1</v>
      </c>
      <c r="P114" s="31">
        <f>IFERROR(VLOOKUP($E114,bug_conf_sheet!$A:$H,4,FALSE),VLOOKUP("other",bug_conf_sheet!$A:$H,4,FALSE))</f>
        <v>0</v>
      </c>
      <c r="Q114" s="31">
        <f>IFERROR(VLOOKUP($E114,bug_conf_sheet!$A:$H,5,FALSE),VLOOKUP("other",bug_conf_sheet!$A:$H,5,FALSE))</f>
        <v>0</v>
      </c>
      <c r="R114" s="31">
        <f>IFERROR(VLOOKUP($E114,bug_conf_sheet!$A:$H,6,FALSE),VLOOKUP("other",bug_conf_sheet!$A:$H,6,FALSE))</f>
        <v>0</v>
      </c>
      <c r="S114" s="31">
        <f>IFERROR(VLOOKUP($E114,bug_conf_sheet!$A:$H,7,FALSE),VLOOKUP("other",bug_conf_sheet!$A:$H,7,FALSE))</f>
        <v>0</v>
      </c>
      <c r="T114" s="31">
        <f>IFERROR(VLOOKUP($E114,bug_conf_sheet!$A:$H,8,FALSE),VLOOKUP("other",bug_conf_sheet!$A:$H,8,FALSE))</f>
        <v>1</v>
      </c>
    </row>
    <row r="115" spans="1:20" ht="21" customHeight="1">
      <c r="A115" s="2" t="str">
        <f ca="1">input_313010!A$2</f>
        <v>313010</v>
      </c>
      <c r="B115" s="7" t="str">
        <f t="shared" si="3"/>
        <v>Premium4</v>
      </c>
      <c r="C115" s="7" t="str">
        <f t="shared" si="4"/>
        <v>Premium</v>
      </c>
      <c r="D115" s="7" t="str">
        <f t="shared" si="5"/>
        <v>ry</v>
      </c>
      <c r="E115" s="5">
        <v>239</v>
      </c>
      <c r="F115" s="7" t="str">
        <f>VLOOKUP(E115,[1]characters!$A:$C,3,FALSE)</f>
        <v>豪炎の天使 ウリエル</v>
      </c>
      <c r="G115" s="7" t="str">
        <f>VLOOKUP(E115,[1]characters!$A:$J,10,FALSE)</f>
        <v>PremiumS</v>
      </c>
      <c r="H115" s="7">
        <f>VLOOKUP(E115,[1]characters!$A:$I,9,FALSE)</f>
        <v>4</v>
      </c>
      <c r="I115" s="7" t="str">
        <f>VLOOKUP(E115,[1]characters!$A:$H,8,FALSE)</f>
        <v>red</v>
      </c>
      <c r="J115" s="7" t="str">
        <f>VLOOKUP(E115,[1]characters!$A:$K,11,FALSE)</f>
        <v>hp</v>
      </c>
      <c r="K115" s="7" t="str">
        <f>VLOOKUP(E115,[1]characters!$A:$M,13,FALSE)</f>
        <v>machine</v>
      </c>
      <c r="L115" s="7" t="str">
        <f>VLOOKUP(E115,[1]characters!$A:$G,7,FALSE)</f>
        <v>女性</v>
      </c>
      <c r="M115" s="62">
        <f ca="1">IFERROR(VLOOKUP(E115,input_313010!L:R,7,FALSE),VLOOKUP(tables_313010!B115,input_313010!A:H,8,FALSE))</f>
        <v>153090</v>
      </c>
      <c r="N115" s="63">
        <f ca="1">M115/SUM(M:M)</f>
        <v>5.4729729729729726E-3</v>
      </c>
      <c r="O115" s="31">
        <f>IFERROR(VLOOKUP($E115,bug_conf_sheet!$A:$H,3,FALSE),VLOOKUP("other",bug_conf_sheet!$A:$H,3,FALSE))</f>
        <v>1</v>
      </c>
      <c r="P115" s="31">
        <f>IFERROR(VLOOKUP($E115,bug_conf_sheet!$A:$H,4,FALSE),VLOOKUP("other",bug_conf_sheet!$A:$H,4,FALSE))</f>
        <v>0</v>
      </c>
      <c r="Q115" s="31">
        <f>IFERROR(VLOOKUP($E115,bug_conf_sheet!$A:$H,5,FALSE),VLOOKUP("other",bug_conf_sheet!$A:$H,5,FALSE))</f>
        <v>0</v>
      </c>
      <c r="R115" s="31">
        <f>IFERROR(VLOOKUP($E115,bug_conf_sheet!$A:$H,6,FALSE),VLOOKUP("other",bug_conf_sheet!$A:$H,6,FALSE))</f>
        <v>0</v>
      </c>
      <c r="S115" s="31">
        <f>IFERROR(VLOOKUP($E115,bug_conf_sheet!$A:$H,7,FALSE),VLOOKUP("other",bug_conf_sheet!$A:$H,7,FALSE))</f>
        <v>0</v>
      </c>
      <c r="T115" s="31">
        <f>IFERROR(VLOOKUP($E115,bug_conf_sheet!$A:$H,8,FALSE),VLOOKUP("other",bug_conf_sheet!$A:$H,8,FALSE))</f>
        <v>1</v>
      </c>
    </row>
    <row r="116" spans="1:20" ht="21" customHeight="1">
      <c r="A116" s="2" t="str">
        <f ca="1">input_313010!A$2</f>
        <v>313010</v>
      </c>
      <c r="B116" s="7" t="str">
        <f t="shared" si="3"/>
        <v>Premium5</v>
      </c>
      <c r="C116" s="7" t="str">
        <f t="shared" si="4"/>
        <v>Premium</v>
      </c>
      <c r="D116" s="7" t="str">
        <f t="shared" si="5"/>
        <v>ry</v>
      </c>
      <c r="E116" s="5">
        <v>240</v>
      </c>
      <c r="F116" s="7" t="str">
        <f>VLOOKUP(E116,[1]characters!$A:$C,3,FALSE)</f>
        <v>轟炎の天使 ウリエル・スレイヤー</v>
      </c>
      <c r="G116" s="7" t="str">
        <f>VLOOKUP(E116,[1]characters!$A:$J,10,FALSE)</f>
        <v>PremiumS</v>
      </c>
      <c r="H116" s="7">
        <f>VLOOKUP(E116,[1]characters!$A:$I,9,FALSE)</f>
        <v>5</v>
      </c>
      <c r="I116" s="7" t="str">
        <f>VLOOKUP(E116,[1]characters!$A:$H,8,FALSE)</f>
        <v>red</v>
      </c>
      <c r="J116" s="7" t="str">
        <f>VLOOKUP(E116,[1]characters!$A:$K,11,FALSE)</f>
        <v>hp</v>
      </c>
      <c r="K116" s="7" t="str">
        <f>VLOOKUP(E116,[1]characters!$A:$M,13,FALSE)</f>
        <v>machine</v>
      </c>
      <c r="L116" s="7" t="str">
        <f>VLOOKUP(E116,[1]characters!$A:$G,7,FALSE)</f>
        <v>女性</v>
      </c>
      <c r="M116" s="62">
        <f ca="1">IFERROR(VLOOKUP(E116,input_313010!L:R,7,FALSE),VLOOKUP(tables_313010!B116,input_313010!A:H,8,FALSE))</f>
        <v>18130</v>
      </c>
      <c r="N116" s="63">
        <f ca="1">M116/SUM(M:M)</f>
        <v>6.4814814814814813E-4</v>
      </c>
      <c r="O116" s="31">
        <f>IFERROR(VLOOKUP($E116,bug_conf_sheet!$A:$H,3,FALSE),VLOOKUP("other",bug_conf_sheet!$A:$H,3,FALSE))</f>
        <v>1</v>
      </c>
      <c r="P116" s="31">
        <f>IFERROR(VLOOKUP($E116,bug_conf_sheet!$A:$H,4,FALSE),VLOOKUP("other",bug_conf_sheet!$A:$H,4,FALSE))</f>
        <v>0</v>
      </c>
      <c r="Q116" s="31">
        <f>IFERROR(VLOOKUP($E116,bug_conf_sheet!$A:$H,5,FALSE),VLOOKUP("other",bug_conf_sheet!$A:$H,5,FALSE))</f>
        <v>0</v>
      </c>
      <c r="R116" s="31">
        <f>IFERROR(VLOOKUP($E116,bug_conf_sheet!$A:$H,6,FALSE),VLOOKUP("other",bug_conf_sheet!$A:$H,6,FALSE))</f>
        <v>0</v>
      </c>
      <c r="S116" s="31">
        <f>IFERROR(VLOOKUP($E116,bug_conf_sheet!$A:$H,7,FALSE),VLOOKUP("other",bug_conf_sheet!$A:$H,7,FALSE))</f>
        <v>0</v>
      </c>
      <c r="T116" s="31">
        <f>IFERROR(VLOOKUP($E116,bug_conf_sheet!$A:$H,8,FALSE),VLOOKUP("other",bug_conf_sheet!$A:$H,8,FALSE))</f>
        <v>1</v>
      </c>
    </row>
    <row r="117" spans="1:20" ht="21" customHeight="1">
      <c r="A117" s="2" t="str">
        <f ca="1">input_313010!A$2</f>
        <v>313010</v>
      </c>
      <c r="B117" s="7" t="str">
        <f t="shared" si="3"/>
        <v>Premium3</v>
      </c>
      <c r="C117" s="7" t="str">
        <f t="shared" si="4"/>
        <v>Premium</v>
      </c>
      <c r="D117" s="7" t="str">
        <f t="shared" si="5"/>
        <v>bg</v>
      </c>
      <c r="E117" s="5">
        <v>241</v>
      </c>
      <c r="F117" s="7" t="str">
        <f>VLOOKUP(E117,[1]characters!$A:$C,3,FALSE)</f>
        <v>ガブリエル</v>
      </c>
      <c r="G117" s="7" t="str">
        <f>VLOOKUP(E117,[1]characters!$A:$J,10,FALSE)</f>
        <v>PremiumS</v>
      </c>
      <c r="H117" s="7">
        <f>VLOOKUP(E117,[1]characters!$A:$I,9,FALSE)</f>
        <v>3</v>
      </c>
      <c r="I117" s="7" t="str">
        <f>VLOOKUP(E117,[1]characters!$A:$H,8,FALSE)</f>
        <v>green</v>
      </c>
      <c r="J117" s="7" t="str">
        <f>VLOOKUP(E117,[1]characters!$A:$K,11,FALSE)</f>
        <v>balance</v>
      </c>
      <c r="K117" s="7" t="str">
        <f>VLOOKUP(E117,[1]characters!$A:$M,13,FALSE)</f>
        <v>machine</v>
      </c>
      <c r="L117" s="7" t="str">
        <f>VLOOKUP(E117,[1]characters!$A:$G,7,FALSE)</f>
        <v>女性</v>
      </c>
      <c r="M117" s="62">
        <f ca="1">IFERROR(VLOOKUP(E117,input_313010!L:R,7,FALSE),VLOOKUP(tables_313010!B117,input_313010!A:H,8,FALSE))</f>
        <v>189000</v>
      </c>
      <c r="N117" s="63">
        <f ca="1">M117/SUM(M:M)</f>
        <v>6.7567567567567571E-3</v>
      </c>
      <c r="O117" s="31">
        <f>IFERROR(VLOOKUP($E117,bug_conf_sheet!$A:$H,3,FALSE),VLOOKUP("other",bug_conf_sheet!$A:$H,3,FALSE))</f>
        <v>1</v>
      </c>
      <c r="P117" s="31">
        <f>IFERROR(VLOOKUP($E117,bug_conf_sheet!$A:$H,4,FALSE),VLOOKUP("other",bug_conf_sheet!$A:$H,4,FALSE))</f>
        <v>0</v>
      </c>
      <c r="Q117" s="31">
        <f>IFERROR(VLOOKUP($E117,bug_conf_sheet!$A:$H,5,FALSE),VLOOKUP("other",bug_conf_sheet!$A:$H,5,FALSE))</f>
        <v>0</v>
      </c>
      <c r="R117" s="31">
        <f>IFERROR(VLOOKUP($E117,bug_conf_sheet!$A:$H,6,FALSE),VLOOKUP("other",bug_conf_sheet!$A:$H,6,FALSE))</f>
        <v>0</v>
      </c>
      <c r="S117" s="31">
        <f>IFERROR(VLOOKUP($E117,bug_conf_sheet!$A:$H,7,FALSE),VLOOKUP("other",bug_conf_sheet!$A:$H,7,FALSE))</f>
        <v>0</v>
      </c>
      <c r="T117" s="31">
        <f>IFERROR(VLOOKUP($E117,bug_conf_sheet!$A:$H,8,FALSE),VLOOKUP("other",bug_conf_sheet!$A:$H,8,FALSE))</f>
        <v>1</v>
      </c>
    </row>
    <row r="118" spans="1:20" ht="21" customHeight="1">
      <c r="A118" s="2" t="str">
        <f ca="1">input_313010!A$2</f>
        <v>313010</v>
      </c>
      <c r="B118" s="7" t="str">
        <f t="shared" si="3"/>
        <v>Premium4</v>
      </c>
      <c r="C118" s="7" t="str">
        <f t="shared" si="4"/>
        <v>Premium</v>
      </c>
      <c r="D118" s="7" t="str">
        <f t="shared" si="5"/>
        <v>bg</v>
      </c>
      <c r="E118" s="5">
        <v>242</v>
      </c>
      <c r="F118" s="7" t="str">
        <f>VLOOKUP(E118,[1]characters!$A:$C,3,FALSE)</f>
        <v>百花の天使 ガブリエル</v>
      </c>
      <c r="G118" s="7" t="str">
        <f>VLOOKUP(E118,[1]characters!$A:$J,10,FALSE)</f>
        <v>PremiumS</v>
      </c>
      <c r="H118" s="7">
        <f>VLOOKUP(E118,[1]characters!$A:$I,9,FALSE)</f>
        <v>4</v>
      </c>
      <c r="I118" s="7" t="str">
        <f>VLOOKUP(E118,[1]characters!$A:$H,8,FALSE)</f>
        <v>green</v>
      </c>
      <c r="J118" s="7" t="str">
        <f>VLOOKUP(E118,[1]characters!$A:$K,11,FALSE)</f>
        <v>balance</v>
      </c>
      <c r="K118" s="7" t="str">
        <f>VLOOKUP(E118,[1]characters!$A:$M,13,FALSE)</f>
        <v>machine</v>
      </c>
      <c r="L118" s="7" t="str">
        <f>VLOOKUP(E118,[1]characters!$A:$G,7,FALSE)</f>
        <v>女性</v>
      </c>
      <c r="M118" s="62">
        <f ca="1">IFERROR(VLOOKUP(E118,input_313010!L:R,7,FALSE),VLOOKUP(tables_313010!B118,input_313010!A:H,8,FALSE))</f>
        <v>153090</v>
      </c>
      <c r="N118" s="63">
        <f ca="1">M118/SUM(M:M)</f>
        <v>5.4729729729729726E-3</v>
      </c>
      <c r="O118" s="31">
        <f>IFERROR(VLOOKUP($E118,bug_conf_sheet!$A:$H,3,FALSE),VLOOKUP("other",bug_conf_sheet!$A:$H,3,FALSE))</f>
        <v>1</v>
      </c>
      <c r="P118" s="31">
        <f>IFERROR(VLOOKUP($E118,bug_conf_sheet!$A:$H,4,FALSE),VLOOKUP("other",bug_conf_sheet!$A:$H,4,FALSE))</f>
        <v>0</v>
      </c>
      <c r="Q118" s="31">
        <f>IFERROR(VLOOKUP($E118,bug_conf_sheet!$A:$H,5,FALSE),VLOOKUP("other",bug_conf_sheet!$A:$H,5,FALSE))</f>
        <v>0</v>
      </c>
      <c r="R118" s="31">
        <f>IFERROR(VLOOKUP($E118,bug_conf_sheet!$A:$H,6,FALSE),VLOOKUP("other",bug_conf_sheet!$A:$H,6,FALSE))</f>
        <v>0</v>
      </c>
      <c r="S118" s="31">
        <f>IFERROR(VLOOKUP($E118,bug_conf_sheet!$A:$H,7,FALSE),VLOOKUP("other",bug_conf_sheet!$A:$H,7,FALSE))</f>
        <v>0</v>
      </c>
      <c r="T118" s="31">
        <f>IFERROR(VLOOKUP($E118,bug_conf_sheet!$A:$H,8,FALSE),VLOOKUP("other",bug_conf_sheet!$A:$H,8,FALSE))</f>
        <v>1</v>
      </c>
    </row>
    <row r="119" spans="1:20" ht="21" customHeight="1">
      <c r="A119" s="2" t="str">
        <f ca="1">input_313010!A$2</f>
        <v>313010</v>
      </c>
      <c r="B119" s="7" t="str">
        <f t="shared" si="3"/>
        <v>Premium5</v>
      </c>
      <c r="C119" s="7" t="str">
        <f t="shared" si="4"/>
        <v>Premium</v>
      </c>
      <c r="D119" s="7" t="str">
        <f t="shared" si="5"/>
        <v>bg</v>
      </c>
      <c r="E119" s="5">
        <v>243</v>
      </c>
      <c r="F119" s="7" t="str">
        <f>VLOOKUP(E119,[1]characters!$A:$C,3,FALSE)</f>
        <v>万花の天使 ガブリエル・ブルーム</v>
      </c>
      <c r="G119" s="7" t="str">
        <f>VLOOKUP(E119,[1]characters!$A:$J,10,FALSE)</f>
        <v>PremiumS</v>
      </c>
      <c r="H119" s="7">
        <f>VLOOKUP(E119,[1]characters!$A:$I,9,FALSE)</f>
        <v>5</v>
      </c>
      <c r="I119" s="7" t="str">
        <f>VLOOKUP(E119,[1]characters!$A:$H,8,FALSE)</f>
        <v>green</v>
      </c>
      <c r="J119" s="7" t="str">
        <f>VLOOKUP(E119,[1]characters!$A:$K,11,FALSE)</f>
        <v>balance</v>
      </c>
      <c r="K119" s="7" t="str">
        <f>VLOOKUP(E119,[1]characters!$A:$M,13,FALSE)</f>
        <v>machine</v>
      </c>
      <c r="L119" s="7" t="str">
        <f>VLOOKUP(E119,[1]characters!$A:$G,7,FALSE)</f>
        <v>女性</v>
      </c>
      <c r="M119" s="62">
        <f ca="1">IFERROR(VLOOKUP(E119,input_313010!L:R,7,FALSE),VLOOKUP(tables_313010!B119,input_313010!A:H,8,FALSE))</f>
        <v>18130</v>
      </c>
      <c r="N119" s="63">
        <f ca="1">M119/SUM(M:M)</f>
        <v>6.4814814814814813E-4</v>
      </c>
      <c r="O119" s="31">
        <f>IFERROR(VLOOKUP($E119,bug_conf_sheet!$A:$H,3,FALSE),VLOOKUP("other",bug_conf_sheet!$A:$H,3,FALSE))</f>
        <v>1</v>
      </c>
      <c r="P119" s="31">
        <f>IFERROR(VLOOKUP($E119,bug_conf_sheet!$A:$H,4,FALSE),VLOOKUP("other",bug_conf_sheet!$A:$H,4,FALSE))</f>
        <v>0</v>
      </c>
      <c r="Q119" s="31">
        <f>IFERROR(VLOOKUP($E119,bug_conf_sheet!$A:$H,5,FALSE),VLOOKUP("other",bug_conf_sheet!$A:$H,5,FALSE))</f>
        <v>0</v>
      </c>
      <c r="R119" s="31">
        <f>IFERROR(VLOOKUP($E119,bug_conf_sheet!$A:$H,6,FALSE),VLOOKUP("other",bug_conf_sheet!$A:$H,6,FALSE))</f>
        <v>0</v>
      </c>
      <c r="S119" s="31">
        <f>IFERROR(VLOOKUP($E119,bug_conf_sheet!$A:$H,7,FALSE),VLOOKUP("other",bug_conf_sheet!$A:$H,7,FALSE))</f>
        <v>0</v>
      </c>
      <c r="T119" s="31">
        <f>IFERROR(VLOOKUP($E119,bug_conf_sheet!$A:$H,8,FALSE),VLOOKUP("other",bug_conf_sheet!$A:$H,8,FALSE))</f>
        <v>1</v>
      </c>
    </row>
    <row r="120" spans="1:20" ht="21" customHeight="1">
      <c r="A120" s="2" t="str">
        <f ca="1">input_313010!A$2</f>
        <v>313010</v>
      </c>
      <c r="B120" s="7" t="str">
        <f t="shared" si="3"/>
        <v>Premium3</v>
      </c>
      <c r="C120" s="7" t="str">
        <f t="shared" si="4"/>
        <v>Premium</v>
      </c>
      <c r="D120" s="7" t="str">
        <f t="shared" si="5"/>
        <v>bg</v>
      </c>
      <c r="E120" s="5">
        <v>244</v>
      </c>
      <c r="F120" s="7" t="str">
        <f>VLOOKUP(E120,[1]characters!$A:$C,3,FALSE)</f>
        <v>ラファエル</v>
      </c>
      <c r="G120" s="7" t="str">
        <f>VLOOKUP(E120,[1]characters!$A:$J,10,FALSE)</f>
        <v>PremiumS</v>
      </c>
      <c r="H120" s="7">
        <f>VLOOKUP(E120,[1]characters!$A:$I,9,FALSE)</f>
        <v>3</v>
      </c>
      <c r="I120" s="7" t="str">
        <f>VLOOKUP(E120,[1]characters!$A:$H,8,FALSE)</f>
        <v>blue</v>
      </c>
      <c r="J120" s="7" t="str">
        <f>VLOOKUP(E120,[1]characters!$A:$K,11,FALSE)</f>
        <v>balance</v>
      </c>
      <c r="K120" s="7" t="str">
        <f>VLOOKUP(E120,[1]characters!$A:$M,13,FALSE)</f>
        <v>machine</v>
      </c>
      <c r="L120" s="7" t="str">
        <f>VLOOKUP(E120,[1]characters!$A:$G,7,FALSE)</f>
        <v>女性</v>
      </c>
      <c r="M120" s="62">
        <f ca="1">IFERROR(VLOOKUP(E120,input_313010!L:R,7,FALSE),VLOOKUP(tables_313010!B120,input_313010!A:H,8,FALSE))</f>
        <v>189000</v>
      </c>
      <c r="N120" s="63">
        <f ca="1">M120/SUM(M:M)</f>
        <v>6.7567567567567571E-3</v>
      </c>
      <c r="O120" s="31">
        <f>IFERROR(VLOOKUP($E120,bug_conf_sheet!$A:$H,3,FALSE),VLOOKUP("other",bug_conf_sheet!$A:$H,3,FALSE))</f>
        <v>1</v>
      </c>
      <c r="P120" s="31">
        <f>IFERROR(VLOOKUP($E120,bug_conf_sheet!$A:$H,4,FALSE),VLOOKUP("other",bug_conf_sheet!$A:$H,4,FALSE))</f>
        <v>0</v>
      </c>
      <c r="Q120" s="31">
        <f>IFERROR(VLOOKUP($E120,bug_conf_sheet!$A:$H,5,FALSE),VLOOKUP("other",bug_conf_sheet!$A:$H,5,FALSE))</f>
        <v>0</v>
      </c>
      <c r="R120" s="31">
        <f>IFERROR(VLOOKUP($E120,bug_conf_sheet!$A:$H,6,FALSE),VLOOKUP("other",bug_conf_sheet!$A:$H,6,FALSE))</f>
        <v>0</v>
      </c>
      <c r="S120" s="31">
        <f>IFERROR(VLOOKUP($E120,bug_conf_sheet!$A:$H,7,FALSE),VLOOKUP("other",bug_conf_sheet!$A:$H,7,FALSE))</f>
        <v>0</v>
      </c>
      <c r="T120" s="31">
        <f>IFERROR(VLOOKUP($E120,bug_conf_sheet!$A:$H,8,FALSE),VLOOKUP("other",bug_conf_sheet!$A:$H,8,FALSE))</f>
        <v>1</v>
      </c>
    </row>
    <row r="121" spans="1:20" ht="21" customHeight="1">
      <c r="A121" s="2" t="str">
        <f ca="1">input_313010!A$2</f>
        <v>313010</v>
      </c>
      <c r="B121" s="7" t="str">
        <f t="shared" si="3"/>
        <v>Premium4</v>
      </c>
      <c r="C121" s="7" t="str">
        <f t="shared" si="4"/>
        <v>Premium</v>
      </c>
      <c r="D121" s="7" t="str">
        <f t="shared" si="5"/>
        <v>bg</v>
      </c>
      <c r="E121" s="5">
        <v>245</v>
      </c>
      <c r="F121" s="7" t="str">
        <f>VLOOKUP(E121,[1]characters!$A:$C,3,FALSE)</f>
        <v>鎮癒の天使 ラファエル</v>
      </c>
      <c r="G121" s="7" t="str">
        <f>VLOOKUP(E121,[1]characters!$A:$J,10,FALSE)</f>
        <v>PremiumS</v>
      </c>
      <c r="H121" s="7">
        <f>VLOOKUP(E121,[1]characters!$A:$I,9,FALSE)</f>
        <v>4</v>
      </c>
      <c r="I121" s="7" t="str">
        <f>VLOOKUP(E121,[1]characters!$A:$H,8,FALSE)</f>
        <v>blue</v>
      </c>
      <c r="J121" s="7" t="str">
        <f>VLOOKUP(E121,[1]characters!$A:$K,11,FALSE)</f>
        <v>balance</v>
      </c>
      <c r="K121" s="7" t="str">
        <f>VLOOKUP(E121,[1]characters!$A:$M,13,FALSE)</f>
        <v>machine</v>
      </c>
      <c r="L121" s="7" t="str">
        <f>VLOOKUP(E121,[1]characters!$A:$G,7,FALSE)</f>
        <v>女性</v>
      </c>
      <c r="M121" s="62">
        <f ca="1">IFERROR(VLOOKUP(E121,input_313010!L:R,7,FALSE),VLOOKUP(tables_313010!B121,input_313010!A:H,8,FALSE))</f>
        <v>153090</v>
      </c>
      <c r="N121" s="63">
        <f ca="1">M121/SUM(M:M)</f>
        <v>5.4729729729729726E-3</v>
      </c>
      <c r="O121" s="31">
        <f>IFERROR(VLOOKUP($E121,bug_conf_sheet!$A:$H,3,FALSE),VLOOKUP("other",bug_conf_sheet!$A:$H,3,FALSE))</f>
        <v>1</v>
      </c>
      <c r="P121" s="31">
        <f>IFERROR(VLOOKUP($E121,bug_conf_sheet!$A:$H,4,FALSE),VLOOKUP("other",bug_conf_sheet!$A:$H,4,FALSE))</f>
        <v>0</v>
      </c>
      <c r="Q121" s="31">
        <f>IFERROR(VLOOKUP($E121,bug_conf_sheet!$A:$H,5,FALSE),VLOOKUP("other",bug_conf_sheet!$A:$H,5,FALSE))</f>
        <v>0</v>
      </c>
      <c r="R121" s="31">
        <f>IFERROR(VLOOKUP($E121,bug_conf_sheet!$A:$H,6,FALSE),VLOOKUP("other",bug_conf_sheet!$A:$H,6,FALSE))</f>
        <v>0</v>
      </c>
      <c r="S121" s="31">
        <f>IFERROR(VLOOKUP($E121,bug_conf_sheet!$A:$H,7,FALSE),VLOOKUP("other",bug_conf_sheet!$A:$H,7,FALSE))</f>
        <v>0</v>
      </c>
      <c r="T121" s="31">
        <f>IFERROR(VLOOKUP($E121,bug_conf_sheet!$A:$H,8,FALSE),VLOOKUP("other",bug_conf_sheet!$A:$H,8,FALSE))</f>
        <v>1</v>
      </c>
    </row>
    <row r="122" spans="1:20" ht="21" customHeight="1">
      <c r="A122" s="2" t="str">
        <f ca="1">input_313010!A$2</f>
        <v>313010</v>
      </c>
      <c r="B122" s="7" t="str">
        <f t="shared" si="3"/>
        <v>Premium5</v>
      </c>
      <c r="C122" s="7" t="str">
        <f t="shared" si="4"/>
        <v>Premium</v>
      </c>
      <c r="D122" s="7" t="str">
        <f t="shared" si="5"/>
        <v>bg</v>
      </c>
      <c r="E122" s="5">
        <v>246</v>
      </c>
      <c r="F122" s="7" t="str">
        <f>VLOOKUP(E122,[1]characters!$A:$C,3,FALSE)</f>
        <v>真癒の天使 ラファエル・メディカ</v>
      </c>
      <c r="G122" s="7" t="str">
        <f>VLOOKUP(E122,[1]characters!$A:$J,10,FALSE)</f>
        <v>PremiumS</v>
      </c>
      <c r="H122" s="7">
        <f>VLOOKUP(E122,[1]characters!$A:$I,9,FALSE)</f>
        <v>5</v>
      </c>
      <c r="I122" s="7" t="str">
        <f>VLOOKUP(E122,[1]characters!$A:$H,8,FALSE)</f>
        <v>blue</v>
      </c>
      <c r="J122" s="7" t="str">
        <f>VLOOKUP(E122,[1]characters!$A:$K,11,FALSE)</f>
        <v>balance</v>
      </c>
      <c r="K122" s="7" t="str">
        <f>VLOOKUP(E122,[1]characters!$A:$M,13,FALSE)</f>
        <v>machine</v>
      </c>
      <c r="L122" s="7" t="str">
        <f>VLOOKUP(E122,[1]characters!$A:$G,7,FALSE)</f>
        <v>女性</v>
      </c>
      <c r="M122" s="62">
        <f ca="1">IFERROR(VLOOKUP(E122,input_313010!L:R,7,FALSE),VLOOKUP(tables_313010!B122,input_313010!A:H,8,FALSE))</f>
        <v>18130</v>
      </c>
      <c r="N122" s="63">
        <f ca="1">M122/SUM(M:M)</f>
        <v>6.4814814814814813E-4</v>
      </c>
      <c r="O122" s="31">
        <f>IFERROR(VLOOKUP($E122,bug_conf_sheet!$A:$H,3,FALSE),VLOOKUP("other",bug_conf_sheet!$A:$H,3,FALSE))</f>
        <v>1</v>
      </c>
      <c r="P122" s="31">
        <f>IFERROR(VLOOKUP($E122,bug_conf_sheet!$A:$H,4,FALSE),VLOOKUP("other",bug_conf_sheet!$A:$H,4,FALSE))</f>
        <v>0</v>
      </c>
      <c r="Q122" s="31">
        <f>IFERROR(VLOOKUP($E122,bug_conf_sheet!$A:$H,5,FALSE),VLOOKUP("other",bug_conf_sheet!$A:$H,5,FALSE))</f>
        <v>0</v>
      </c>
      <c r="R122" s="31">
        <f>IFERROR(VLOOKUP($E122,bug_conf_sheet!$A:$H,6,FALSE),VLOOKUP("other",bug_conf_sheet!$A:$H,6,FALSE))</f>
        <v>0</v>
      </c>
      <c r="S122" s="31">
        <f>IFERROR(VLOOKUP($E122,bug_conf_sheet!$A:$H,7,FALSE),VLOOKUP("other",bug_conf_sheet!$A:$H,7,FALSE))</f>
        <v>0</v>
      </c>
      <c r="T122" s="31">
        <f>IFERROR(VLOOKUP($E122,bug_conf_sheet!$A:$H,8,FALSE),VLOOKUP("other",bug_conf_sheet!$A:$H,8,FALSE))</f>
        <v>1</v>
      </c>
    </row>
    <row r="123" spans="1:20" ht="21" customHeight="1">
      <c r="A123" s="2" t="str">
        <f ca="1">input_313010!A$2</f>
        <v>313010</v>
      </c>
      <c r="B123" s="7" t="str">
        <f t="shared" si="3"/>
        <v>Premium3</v>
      </c>
      <c r="C123" s="7" t="str">
        <f t="shared" si="4"/>
        <v>Premium</v>
      </c>
      <c r="D123" s="7" t="str">
        <f t="shared" si="5"/>
        <v>ry</v>
      </c>
      <c r="E123" s="5">
        <v>247</v>
      </c>
      <c r="F123" s="7" t="str">
        <f>VLOOKUP(E123,[1]characters!$A:$C,3,FALSE)</f>
        <v>ミカエル</v>
      </c>
      <c r="G123" s="7" t="str">
        <f>VLOOKUP(E123,[1]characters!$A:$J,10,FALSE)</f>
        <v>PremiumS</v>
      </c>
      <c r="H123" s="7">
        <f>VLOOKUP(E123,[1]characters!$A:$I,9,FALSE)</f>
        <v>3</v>
      </c>
      <c r="I123" s="7" t="str">
        <f>VLOOKUP(E123,[1]characters!$A:$H,8,FALSE)</f>
        <v>yellow</v>
      </c>
      <c r="J123" s="7" t="str">
        <f>VLOOKUP(E123,[1]characters!$A:$K,11,FALSE)</f>
        <v>attack</v>
      </c>
      <c r="K123" s="7" t="str">
        <f>VLOOKUP(E123,[1]characters!$A:$M,13,FALSE)</f>
        <v>machine</v>
      </c>
      <c r="L123" s="7" t="str">
        <f>VLOOKUP(E123,[1]characters!$A:$G,7,FALSE)</f>
        <v>女性</v>
      </c>
      <c r="M123" s="62">
        <f ca="1">IFERROR(VLOOKUP(E123,input_313010!L:R,7,FALSE),VLOOKUP(tables_313010!B123,input_313010!A:H,8,FALSE))</f>
        <v>189000</v>
      </c>
      <c r="N123" s="63">
        <f ca="1">M123/SUM(M:M)</f>
        <v>6.7567567567567571E-3</v>
      </c>
      <c r="O123" s="31">
        <f>IFERROR(VLOOKUP($E123,bug_conf_sheet!$A:$H,3,FALSE),VLOOKUP("other",bug_conf_sheet!$A:$H,3,FALSE))</f>
        <v>1</v>
      </c>
      <c r="P123" s="31">
        <f>IFERROR(VLOOKUP($E123,bug_conf_sheet!$A:$H,4,FALSE),VLOOKUP("other",bug_conf_sheet!$A:$H,4,FALSE))</f>
        <v>0</v>
      </c>
      <c r="Q123" s="31">
        <f>IFERROR(VLOOKUP($E123,bug_conf_sheet!$A:$H,5,FALSE),VLOOKUP("other",bug_conf_sheet!$A:$H,5,FALSE))</f>
        <v>0</v>
      </c>
      <c r="R123" s="31">
        <f>IFERROR(VLOOKUP($E123,bug_conf_sheet!$A:$H,6,FALSE),VLOOKUP("other",bug_conf_sheet!$A:$H,6,FALSE))</f>
        <v>0</v>
      </c>
      <c r="S123" s="31">
        <f>IFERROR(VLOOKUP($E123,bug_conf_sheet!$A:$H,7,FALSE),VLOOKUP("other",bug_conf_sheet!$A:$H,7,FALSE))</f>
        <v>0</v>
      </c>
      <c r="T123" s="31">
        <f>IFERROR(VLOOKUP($E123,bug_conf_sheet!$A:$H,8,FALSE),VLOOKUP("other",bug_conf_sheet!$A:$H,8,FALSE))</f>
        <v>1</v>
      </c>
    </row>
    <row r="124" spans="1:20" ht="21" customHeight="1">
      <c r="A124" s="2" t="str">
        <f ca="1">input_313010!A$2</f>
        <v>313010</v>
      </c>
      <c r="B124" s="7" t="str">
        <f t="shared" si="3"/>
        <v>Premium4</v>
      </c>
      <c r="C124" s="7" t="str">
        <f t="shared" si="4"/>
        <v>Premium</v>
      </c>
      <c r="D124" s="7" t="str">
        <f t="shared" si="5"/>
        <v>ry</v>
      </c>
      <c r="E124" s="5">
        <v>248</v>
      </c>
      <c r="F124" s="7" t="str">
        <f>VLOOKUP(E124,[1]characters!$A:$C,3,FALSE)</f>
        <v>彩電の天使 ミカエル</v>
      </c>
      <c r="G124" s="7" t="str">
        <f>VLOOKUP(E124,[1]characters!$A:$J,10,FALSE)</f>
        <v>PremiumS</v>
      </c>
      <c r="H124" s="7">
        <f>VLOOKUP(E124,[1]characters!$A:$I,9,FALSE)</f>
        <v>4</v>
      </c>
      <c r="I124" s="7" t="str">
        <f>VLOOKUP(E124,[1]characters!$A:$H,8,FALSE)</f>
        <v>yellow</v>
      </c>
      <c r="J124" s="7" t="str">
        <f>VLOOKUP(E124,[1]characters!$A:$K,11,FALSE)</f>
        <v>attack</v>
      </c>
      <c r="K124" s="7" t="str">
        <f>VLOOKUP(E124,[1]characters!$A:$M,13,FALSE)</f>
        <v>machine</v>
      </c>
      <c r="L124" s="7" t="str">
        <f>VLOOKUP(E124,[1]characters!$A:$G,7,FALSE)</f>
        <v>女性</v>
      </c>
      <c r="M124" s="62">
        <f ca="1">IFERROR(VLOOKUP(E124,input_313010!L:R,7,FALSE),VLOOKUP(tables_313010!B124,input_313010!A:H,8,FALSE))</f>
        <v>153090</v>
      </c>
      <c r="N124" s="63">
        <f ca="1">M124/SUM(M:M)</f>
        <v>5.4729729729729726E-3</v>
      </c>
      <c r="O124" s="31">
        <f>IFERROR(VLOOKUP($E124,bug_conf_sheet!$A:$H,3,FALSE),VLOOKUP("other",bug_conf_sheet!$A:$H,3,FALSE))</f>
        <v>1</v>
      </c>
      <c r="P124" s="31">
        <f>IFERROR(VLOOKUP($E124,bug_conf_sheet!$A:$H,4,FALSE),VLOOKUP("other",bug_conf_sheet!$A:$H,4,FALSE))</f>
        <v>0</v>
      </c>
      <c r="Q124" s="31">
        <f>IFERROR(VLOOKUP($E124,bug_conf_sheet!$A:$H,5,FALSE),VLOOKUP("other",bug_conf_sheet!$A:$H,5,FALSE))</f>
        <v>0</v>
      </c>
      <c r="R124" s="31">
        <f>IFERROR(VLOOKUP($E124,bug_conf_sheet!$A:$H,6,FALSE),VLOOKUP("other",bug_conf_sheet!$A:$H,6,FALSE))</f>
        <v>0</v>
      </c>
      <c r="S124" s="31">
        <f>IFERROR(VLOOKUP($E124,bug_conf_sheet!$A:$H,7,FALSE),VLOOKUP("other",bug_conf_sheet!$A:$H,7,FALSE))</f>
        <v>0</v>
      </c>
      <c r="T124" s="31">
        <f>IFERROR(VLOOKUP($E124,bug_conf_sheet!$A:$H,8,FALSE),VLOOKUP("other",bug_conf_sheet!$A:$H,8,FALSE))</f>
        <v>1</v>
      </c>
    </row>
    <row r="125" spans="1:20" ht="21" customHeight="1">
      <c r="A125" s="2" t="str">
        <f ca="1">input_313010!A$2</f>
        <v>313010</v>
      </c>
      <c r="B125" s="7" t="str">
        <f t="shared" si="3"/>
        <v>Premium5</v>
      </c>
      <c r="C125" s="7" t="str">
        <f t="shared" si="4"/>
        <v>Premium</v>
      </c>
      <c r="D125" s="7" t="str">
        <f t="shared" si="5"/>
        <v>ry</v>
      </c>
      <c r="E125" s="6">
        <v>249</v>
      </c>
      <c r="F125" s="7" t="str">
        <f>VLOOKUP(E125,[1]characters!$A:$C,3,FALSE)</f>
        <v>雷電の天使 ミカエル・ゲイナー</v>
      </c>
      <c r="G125" s="7" t="str">
        <f>VLOOKUP(E125,[1]characters!$A:$J,10,FALSE)</f>
        <v>PremiumS</v>
      </c>
      <c r="H125" s="7">
        <f>VLOOKUP(E125,[1]characters!$A:$I,9,FALSE)</f>
        <v>5</v>
      </c>
      <c r="I125" s="7" t="str">
        <f>VLOOKUP(E125,[1]characters!$A:$H,8,FALSE)</f>
        <v>yellow</v>
      </c>
      <c r="J125" s="7" t="str">
        <f>VLOOKUP(E125,[1]characters!$A:$K,11,FALSE)</f>
        <v>attack</v>
      </c>
      <c r="K125" s="7" t="str">
        <f>VLOOKUP(E125,[1]characters!$A:$M,13,FALSE)</f>
        <v>machine</v>
      </c>
      <c r="L125" s="7" t="str">
        <f>VLOOKUP(E125,[1]characters!$A:$G,7,FALSE)</f>
        <v>女性</v>
      </c>
      <c r="M125" s="62">
        <f ca="1">IFERROR(VLOOKUP(E125,input_313010!L:R,7,FALSE),VLOOKUP(tables_313010!B125,input_313010!A:H,8,FALSE))</f>
        <v>18130</v>
      </c>
      <c r="N125" s="63">
        <f ca="1">M125/SUM(M:M)</f>
        <v>6.4814814814814813E-4</v>
      </c>
      <c r="O125" s="31">
        <f>IFERROR(VLOOKUP($E125,bug_conf_sheet!$A:$H,3,FALSE),VLOOKUP("other",bug_conf_sheet!$A:$H,3,FALSE))</f>
        <v>1</v>
      </c>
      <c r="P125" s="31">
        <f>IFERROR(VLOOKUP($E125,bug_conf_sheet!$A:$H,4,FALSE),VLOOKUP("other",bug_conf_sheet!$A:$H,4,FALSE))</f>
        <v>0</v>
      </c>
      <c r="Q125" s="31">
        <f>IFERROR(VLOOKUP($E125,bug_conf_sheet!$A:$H,5,FALSE),VLOOKUP("other",bug_conf_sheet!$A:$H,5,FALSE))</f>
        <v>0</v>
      </c>
      <c r="R125" s="31">
        <f>IFERROR(VLOOKUP($E125,bug_conf_sheet!$A:$H,6,FALSE),VLOOKUP("other",bug_conf_sheet!$A:$H,6,FALSE))</f>
        <v>0</v>
      </c>
      <c r="S125" s="31">
        <f>IFERROR(VLOOKUP($E125,bug_conf_sheet!$A:$H,7,FALSE),VLOOKUP("other",bug_conf_sheet!$A:$H,7,FALSE))</f>
        <v>0</v>
      </c>
      <c r="T125" s="31">
        <f>IFERROR(VLOOKUP($E125,bug_conf_sheet!$A:$H,8,FALSE),VLOOKUP("other",bug_conf_sheet!$A:$H,8,FALSE))</f>
        <v>1</v>
      </c>
    </row>
    <row r="126" spans="1:20" ht="21" customHeight="1">
      <c r="A126" s="2" t="str">
        <f ca="1">input_313010!A$2</f>
        <v>313010</v>
      </c>
      <c r="B126" s="7" t="str">
        <f t="shared" si="3"/>
        <v>Premium3</v>
      </c>
      <c r="C126" s="7" t="str">
        <f t="shared" si="4"/>
        <v>Premium</v>
      </c>
      <c r="D126" s="7" t="str">
        <f t="shared" si="5"/>
        <v>ry</v>
      </c>
      <c r="E126" s="6">
        <v>250</v>
      </c>
      <c r="F126" s="7" t="str">
        <f>VLOOKUP(E126,[1]characters!$A:$C,3,FALSE)</f>
        <v>マンモン</v>
      </c>
      <c r="G126" s="7" t="str">
        <f>VLOOKUP(E126,[1]characters!$A:$J,10,FALSE)</f>
        <v>PremiumS</v>
      </c>
      <c r="H126" s="7">
        <f>VLOOKUP(E126,[1]characters!$A:$I,9,FALSE)</f>
        <v>3</v>
      </c>
      <c r="I126" s="7" t="str">
        <f>VLOOKUP(E126,[1]characters!$A:$H,8,FALSE)</f>
        <v>red</v>
      </c>
      <c r="J126" s="7" t="str">
        <f>VLOOKUP(E126,[1]characters!$A:$K,11,FALSE)</f>
        <v>balance</v>
      </c>
      <c r="K126" s="7" t="str">
        <f>VLOOKUP(E126,[1]characters!$A:$M,13,FALSE)</f>
        <v>god</v>
      </c>
      <c r="L126" s="7" t="str">
        <f>VLOOKUP(E126,[1]characters!$A:$G,7,FALSE)</f>
        <v>女性</v>
      </c>
      <c r="M126" s="62">
        <f ca="1">IFERROR(VLOOKUP(E126,input_313010!L:R,7,FALSE),VLOOKUP(tables_313010!B126,input_313010!A:H,8,FALSE))</f>
        <v>189000</v>
      </c>
      <c r="N126" s="63">
        <f ca="1">M126/SUM(M:M)</f>
        <v>6.7567567567567571E-3</v>
      </c>
      <c r="O126" s="31">
        <f>IFERROR(VLOOKUP($E126,bug_conf_sheet!$A:$H,3,FALSE),VLOOKUP("other",bug_conf_sheet!$A:$H,3,FALSE))</f>
        <v>1</v>
      </c>
      <c r="P126" s="31">
        <f>IFERROR(VLOOKUP($E126,bug_conf_sheet!$A:$H,4,FALSE),VLOOKUP("other",bug_conf_sheet!$A:$H,4,FALSE))</f>
        <v>0</v>
      </c>
      <c r="Q126" s="31">
        <f>IFERROR(VLOOKUP($E126,bug_conf_sheet!$A:$H,5,FALSE),VLOOKUP("other",bug_conf_sheet!$A:$H,5,FALSE))</f>
        <v>0</v>
      </c>
      <c r="R126" s="31">
        <f>IFERROR(VLOOKUP($E126,bug_conf_sheet!$A:$H,6,FALSE),VLOOKUP("other",bug_conf_sheet!$A:$H,6,FALSE))</f>
        <v>0</v>
      </c>
      <c r="S126" s="31">
        <f>IFERROR(VLOOKUP($E126,bug_conf_sheet!$A:$H,7,FALSE),VLOOKUP("other",bug_conf_sheet!$A:$H,7,FALSE))</f>
        <v>0</v>
      </c>
      <c r="T126" s="31">
        <f>IFERROR(VLOOKUP($E126,bug_conf_sheet!$A:$H,8,FALSE),VLOOKUP("other",bug_conf_sheet!$A:$H,8,FALSE))</f>
        <v>1</v>
      </c>
    </row>
    <row r="127" spans="1:20" ht="21" customHeight="1">
      <c r="A127" s="2" t="str">
        <f ca="1">input_313010!A$2</f>
        <v>313010</v>
      </c>
      <c r="B127" s="7" t="str">
        <f t="shared" si="3"/>
        <v>Premium4</v>
      </c>
      <c r="C127" s="7" t="str">
        <f t="shared" si="4"/>
        <v>Premium</v>
      </c>
      <c r="D127" s="7" t="str">
        <f t="shared" si="5"/>
        <v>ry</v>
      </c>
      <c r="E127" s="6">
        <v>251</v>
      </c>
      <c r="F127" s="7" t="str">
        <f>VLOOKUP(E127,[1]characters!$A:$C,3,FALSE)</f>
        <v>強欲 マンモン</v>
      </c>
      <c r="G127" s="7" t="str">
        <f>VLOOKUP(E127,[1]characters!$A:$J,10,FALSE)</f>
        <v>PremiumS</v>
      </c>
      <c r="H127" s="7">
        <f>VLOOKUP(E127,[1]characters!$A:$I,9,FALSE)</f>
        <v>4</v>
      </c>
      <c r="I127" s="7" t="str">
        <f>VLOOKUP(E127,[1]characters!$A:$H,8,FALSE)</f>
        <v>red</v>
      </c>
      <c r="J127" s="7" t="str">
        <f>VLOOKUP(E127,[1]characters!$A:$K,11,FALSE)</f>
        <v>balance</v>
      </c>
      <c r="K127" s="7" t="str">
        <f>VLOOKUP(E127,[1]characters!$A:$M,13,FALSE)</f>
        <v>god</v>
      </c>
      <c r="L127" s="7" t="str">
        <f>VLOOKUP(E127,[1]characters!$A:$G,7,FALSE)</f>
        <v>女性</v>
      </c>
      <c r="M127" s="62">
        <f ca="1">IFERROR(VLOOKUP(E127,input_313010!L:R,7,FALSE),VLOOKUP(tables_313010!B127,input_313010!A:H,8,FALSE))</f>
        <v>153090</v>
      </c>
      <c r="N127" s="63">
        <f ca="1">M127/SUM(M:M)</f>
        <v>5.4729729729729726E-3</v>
      </c>
      <c r="O127" s="31">
        <f>IFERROR(VLOOKUP($E127,bug_conf_sheet!$A:$H,3,FALSE),VLOOKUP("other",bug_conf_sheet!$A:$H,3,FALSE))</f>
        <v>1</v>
      </c>
      <c r="P127" s="31">
        <f>IFERROR(VLOOKUP($E127,bug_conf_sheet!$A:$H,4,FALSE),VLOOKUP("other",bug_conf_sheet!$A:$H,4,FALSE))</f>
        <v>0</v>
      </c>
      <c r="Q127" s="31">
        <f>IFERROR(VLOOKUP($E127,bug_conf_sheet!$A:$H,5,FALSE),VLOOKUP("other",bug_conf_sheet!$A:$H,5,FALSE))</f>
        <v>0</v>
      </c>
      <c r="R127" s="31">
        <f>IFERROR(VLOOKUP($E127,bug_conf_sheet!$A:$H,6,FALSE),VLOOKUP("other",bug_conf_sheet!$A:$H,6,FALSE))</f>
        <v>0</v>
      </c>
      <c r="S127" s="31">
        <f>IFERROR(VLOOKUP($E127,bug_conf_sheet!$A:$H,7,FALSE),VLOOKUP("other",bug_conf_sheet!$A:$H,7,FALSE))</f>
        <v>0</v>
      </c>
      <c r="T127" s="31">
        <f>IFERROR(VLOOKUP($E127,bug_conf_sheet!$A:$H,8,FALSE),VLOOKUP("other",bug_conf_sheet!$A:$H,8,FALSE))</f>
        <v>1</v>
      </c>
    </row>
    <row r="128" spans="1:20" ht="21" customHeight="1">
      <c r="A128" s="2" t="str">
        <f ca="1">input_313010!A$2</f>
        <v>313010</v>
      </c>
      <c r="B128" s="7" t="str">
        <f t="shared" si="3"/>
        <v>Premium5</v>
      </c>
      <c r="C128" s="7" t="str">
        <f t="shared" si="4"/>
        <v>Premium</v>
      </c>
      <c r="D128" s="7" t="str">
        <f t="shared" si="5"/>
        <v>ry</v>
      </c>
      <c r="E128" s="6">
        <v>252</v>
      </c>
      <c r="F128" s="7" t="str">
        <f>VLOOKUP(E128,[1]characters!$A:$C,3,FALSE)</f>
        <v>強欲の沸騰 マンモン</v>
      </c>
      <c r="G128" s="7" t="str">
        <f>VLOOKUP(E128,[1]characters!$A:$J,10,FALSE)</f>
        <v>PremiumS</v>
      </c>
      <c r="H128" s="7">
        <f>VLOOKUP(E128,[1]characters!$A:$I,9,FALSE)</f>
        <v>5</v>
      </c>
      <c r="I128" s="7" t="str">
        <f>VLOOKUP(E128,[1]characters!$A:$H,8,FALSE)</f>
        <v>red</v>
      </c>
      <c r="J128" s="7" t="str">
        <f>VLOOKUP(E128,[1]characters!$A:$K,11,FALSE)</f>
        <v>balance</v>
      </c>
      <c r="K128" s="7" t="str">
        <f>VLOOKUP(E128,[1]characters!$A:$M,13,FALSE)</f>
        <v>god</v>
      </c>
      <c r="L128" s="7" t="str">
        <f>VLOOKUP(E128,[1]characters!$A:$G,7,FALSE)</f>
        <v>女性</v>
      </c>
      <c r="M128" s="62">
        <f ca="1">IFERROR(VLOOKUP(E128,input_313010!L:R,7,FALSE),VLOOKUP(tables_313010!B128,input_313010!A:H,8,FALSE))</f>
        <v>18130</v>
      </c>
      <c r="N128" s="63">
        <f ca="1">M128/SUM(M:M)</f>
        <v>6.4814814814814813E-4</v>
      </c>
      <c r="O128" s="31">
        <f>IFERROR(VLOOKUP($E128,bug_conf_sheet!$A:$H,3,FALSE),VLOOKUP("other",bug_conf_sheet!$A:$H,3,FALSE))</f>
        <v>1</v>
      </c>
      <c r="P128" s="31">
        <f>IFERROR(VLOOKUP($E128,bug_conf_sheet!$A:$H,4,FALSE),VLOOKUP("other",bug_conf_sheet!$A:$H,4,FALSE))</f>
        <v>0</v>
      </c>
      <c r="Q128" s="31">
        <f>IFERROR(VLOOKUP($E128,bug_conf_sheet!$A:$H,5,FALSE),VLOOKUP("other",bug_conf_sheet!$A:$H,5,FALSE))</f>
        <v>0</v>
      </c>
      <c r="R128" s="31">
        <f>IFERROR(VLOOKUP($E128,bug_conf_sheet!$A:$H,6,FALSE),VLOOKUP("other",bug_conf_sheet!$A:$H,6,FALSE))</f>
        <v>0</v>
      </c>
      <c r="S128" s="31">
        <f>IFERROR(VLOOKUP($E128,bug_conf_sheet!$A:$H,7,FALSE),VLOOKUP("other",bug_conf_sheet!$A:$H,7,FALSE))</f>
        <v>0</v>
      </c>
      <c r="T128" s="31">
        <f>IFERROR(VLOOKUP($E128,bug_conf_sheet!$A:$H,8,FALSE),VLOOKUP("other",bug_conf_sheet!$A:$H,8,FALSE))</f>
        <v>1</v>
      </c>
    </row>
    <row r="129" spans="1:20" ht="21" customHeight="1">
      <c r="A129" s="2" t="str">
        <f ca="1">input_313010!A$2</f>
        <v>313010</v>
      </c>
      <c r="B129" s="7" t="str">
        <f t="shared" si="3"/>
        <v>Premium3</v>
      </c>
      <c r="C129" s="7" t="str">
        <f t="shared" si="4"/>
        <v>Premium</v>
      </c>
      <c r="D129" s="7" t="str">
        <f t="shared" si="5"/>
        <v>bg</v>
      </c>
      <c r="E129" s="6">
        <v>253</v>
      </c>
      <c r="F129" s="7" t="str">
        <f>VLOOKUP(E129,[1]characters!$A:$C,3,FALSE)</f>
        <v>ベルフェゴール</v>
      </c>
      <c r="G129" s="7" t="str">
        <f>VLOOKUP(E129,[1]characters!$A:$J,10,FALSE)</f>
        <v>PremiumS</v>
      </c>
      <c r="H129" s="7">
        <f>VLOOKUP(E129,[1]characters!$A:$I,9,FALSE)</f>
        <v>3</v>
      </c>
      <c r="I129" s="7" t="str">
        <f>VLOOKUP(E129,[1]characters!$A:$H,8,FALSE)</f>
        <v>green</v>
      </c>
      <c r="J129" s="7" t="str">
        <f>VLOOKUP(E129,[1]characters!$A:$K,11,FALSE)</f>
        <v>technical</v>
      </c>
      <c r="K129" s="7" t="str">
        <f>VLOOKUP(E129,[1]characters!$A:$M,13,FALSE)</f>
        <v>god</v>
      </c>
      <c r="L129" s="7" t="str">
        <f>VLOOKUP(E129,[1]characters!$A:$G,7,FALSE)</f>
        <v>女性</v>
      </c>
      <c r="M129" s="62">
        <f ca="1">IFERROR(VLOOKUP(E129,input_313010!L:R,7,FALSE),VLOOKUP(tables_313010!B129,input_313010!A:H,8,FALSE))</f>
        <v>189000</v>
      </c>
      <c r="N129" s="63">
        <f ca="1">M129/SUM(M:M)</f>
        <v>6.7567567567567571E-3</v>
      </c>
      <c r="O129" s="31">
        <f>IFERROR(VLOOKUP($E129,bug_conf_sheet!$A:$H,3,FALSE),VLOOKUP("other",bug_conf_sheet!$A:$H,3,FALSE))</f>
        <v>1</v>
      </c>
      <c r="P129" s="31">
        <f>IFERROR(VLOOKUP($E129,bug_conf_sheet!$A:$H,4,FALSE),VLOOKUP("other",bug_conf_sheet!$A:$H,4,FALSE))</f>
        <v>0</v>
      </c>
      <c r="Q129" s="31">
        <f>IFERROR(VLOOKUP($E129,bug_conf_sheet!$A:$H,5,FALSE),VLOOKUP("other",bug_conf_sheet!$A:$H,5,FALSE))</f>
        <v>0</v>
      </c>
      <c r="R129" s="31">
        <f>IFERROR(VLOOKUP($E129,bug_conf_sheet!$A:$H,6,FALSE),VLOOKUP("other",bug_conf_sheet!$A:$H,6,FALSE))</f>
        <v>0</v>
      </c>
      <c r="S129" s="31">
        <f>IFERROR(VLOOKUP($E129,bug_conf_sheet!$A:$H,7,FALSE),VLOOKUP("other",bug_conf_sheet!$A:$H,7,FALSE))</f>
        <v>0</v>
      </c>
      <c r="T129" s="31">
        <f>IFERROR(VLOOKUP($E129,bug_conf_sheet!$A:$H,8,FALSE),VLOOKUP("other",bug_conf_sheet!$A:$H,8,FALSE))</f>
        <v>1</v>
      </c>
    </row>
    <row r="130" spans="1:20" ht="21" customHeight="1">
      <c r="A130" s="2" t="str">
        <f ca="1">input_313010!A$2</f>
        <v>313010</v>
      </c>
      <c r="B130" s="7" t="str">
        <f t="shared" ref="B130:B193" si="6">C130&amp;IF(C130="premium",,D130)&amp;H130</f>
        <v>Premium4</v>
      </c>
      <c r="C130" s="7" t="str">
        <f t="shared" si="4"/>
        <v>Premium</v>
      </c>
      <c r="D130" s="7" t="str">
        <f t="shared" si="5"/>
        <v>bg</v>
      </c>
      <c r="E130" s="6">
        <v>254</v>
      </c>
      <c r="F130" s="7" t="str">
        <f>VLOOKUP(E130,[1]characters!$A:$C,3,FALSE)</f>
        <v>怠惰 ベルフェゴール</v>
      </c>
      <c r="G130" s="7" t="str">
        <f>VLOOKUP(E130,[1]characters!$A:$J,10,FALSE)</f>
        <v>PremiumS</v>
      </c>
      <c r="H130" s="7">
        <f>VLOOKUP(E130,[1]characters!$A:$I,9,FALSE)</f>
        <v>4</v>
      </c>
      <c r="I130" s="7" t="str">
        <f>VLOOKUP(E130,[1]characters!$A:$H,8,FALSE)</f>
        <v>green</v>
      </c>
      <c r="J130" s="7" t="str">
        <f>VLOOKUP(E130,[1]characters!$A:$K,11,FALSE)</f>
        <v>technical</v>
      </c>
      <c r="K130" s="7" t="str">
        <f>VLOOKUP(E130,[1]characters!$A:$M,13,FALSE)</f>
        <v>god</v>
      </c>
      <c r="L130" s="7" t="str">
        <f>VLOOKUP(E130,[1]characters!$A:$G,7,FALSE)</f>
        <v>女性</v>
      </c>
      <c r="M130" s="62">
        <f ca="1">IFERROR(VLOOKUP(E130,input_313010!L:R,7,FALSE),VLOOKUP(tables_313010!B130,input_313010!A:H,8,FALSE))</f>
        <v>153090</v>
      </c>
      <c r="N130" s="63">
        <f ca="1">M130/SUM(M:M)</f>
        <v>5.4729729729729726E-3</v>
      </c>
      <c r="O130" s="31">
        <f>IFERROR(VLOOKUP($E130,bug_conf_sheet!$A:$H,3,FALSE),VLOOKUP("other",bug_conf_sheet!$A:$H,3,FALSE))</f>
        <v>1</v>
      </c>
      <c r="P130" s="31">
        <f>IFERROR(VLOOKUP($E130,bug_conf_sheet!$A:$H,4,FALSE),VLOOKUP("other",bug_conf_sheet!$A:$H,4,FALSE))</f>
        <v>0</v>
      </c>
      <c r="Q130" s="31">
        <f>IFERROR(VLOOKUP($E130,bug_conf_sheet!$A:$H,5,FALSE),VLOOKUP("other",bug_conf_sheet!$A:$H,5,FALSE))</f>
        <v>0</v>
      </c>
      <c r="R130" s="31">
        <f>IFERROR(VLOOKUP($E130,bug_conf_sheet!$A:$H,6,FALSE),VLOOKUP("other",bug_conf_sheet!$A:$H,6,FALSE))</f>
        <v>0</v>
      </c>
      <c r="S130" s="31">
        <f>IFERROR(VLOOKUP($E130,bug_conf_sheet!$A:$H,7,FALSE),VLOOKUP("other",bug_conf_sheet!$A:$H,7,FALSE))</f>
        <v>0</v>
      </c>
      <c r="T130" s="31">
        <f>IFERROR(VLOOKUP($E130,bug_conf_sheet!$A:$H,8,FALSE),VLOOKUP("other",bug_conf_sheet!$A:$H,8,FALSE))</f>
        <v>1</v>
      </c>
    </row>
    <row r="131" spans="1:20" ht="21" customHeight="1">
      <c r="A131" s="2" t="str">
        <f ca="1">input_313010!A$2</f>
        <v>313010</v>
      </c>
      <c r="B131" s="7" t="str">
        <f t="shared" si="6"/>
        <v>Premium5</v>
      </c>
      <c r="C131" s="7" t="str">
        <f t="shared" ref="C131:C194" si="7">IF(G131="PremiumSS",G131,IF(G131="PremiumSSS",G131,"Premium"))</f>
        <v>Premium</v>
      </c>
      <c r="D131" s="7" t="str">
        <f t="shared" ref="D131:D194" si="8">IF(I131="red","ry",IF(I131="yellow","ry","bg"))</f>
        <v>bg</v>
      </c>
      <c r="E131" s="6">
        <v>255</v>
      </c>
      <c r="F131" s="7" t="str">
        <f>VLOOKUP(E131,[1]characters!$A:$C,3,FALSE)</f>
        <v>怠惰の頂点 ベルフェゴール</v>
      </c>
      <c r="G131" s="7" t="str">
        <f>VLOOKUP(E131,[1]characters!$A:$J,10,FALSE)</f>
        <v>PremiumS</v>
      </c>
      <c r="H131" s="7">
        <f>VLOOKUP(E131,[1]characters!$A:$I,9,FALSE)</f>
        <v>5</v>
      </c>
      <c r="I131" s="7" t="str">
        <f>VLOOKUP(E131,[1]characters!$A:$H,8,FALSE)</f>
        <v>green</v>
      </c>
      <c r="J131" s="7" t="str">
        <f>VLOOKUP(E131,[1]characters!$A:$K,11,FALSE)</f>
        <v>technical</v>
      </c>
      <c r="K131" s="7" t="str">
        <f>VLOOKUP(E131,[1]characters!$A:$M,13,FALSE)</f>
        <v>god</v>
      </c>
      <c r="L131" s="7" t="str">
        <f>VLOOKUP(E131,[1]characters!$A:$G,7,FALSE)</f>
        <v>女性</v>
      </c>
      <c r="M131" s="62">
        <f ca="1">IFERROR(VLOOKUP(E131,input_313010!L:R,7,FALSE),VLOOKUP(tables_313010!B131,input_313010!A:H,8,FALSE))</f>
        <v>18130</v>
      </c>
      <c r="N131" s="63">
        <f ca="1">M131/SUM(M:M)</f>
        <v>6.4814814814814813E-4</v>
      </c>
      <c r="O131" s="31">
        <f>IFERROR(VLOOKUP($E131,bug_conf_sheet!$A:$H,3,FALSE),VLOOKUP("other",bug_conf_sheet!$A:$H,3,FALSE))</f>
        <v>1</v>
      </c>
      <c r="P131" s="31">
        <f>IFERROR(VLOOKUP($E131,bug_conf_sheet!$A:$H,4,FALSE),VLOOKUP("other",bug_conf_sheet!$A:$H,4,FALSE))</f>
        <v>0</v>
      </c>
      <c r="Q131" s="31">
        <f>IFERROR(VLOOKUP($E131,bug_conf_sheet!$A:$H,5,FALSE),VLOOKUP("other",bug_conf_sheet!$A:$H,5,FALSE))</f>
        <v>0</v>
      </c>
      <c r="R131" s="31">
        <f>IFERROR(VLOOKUP($E131,bug_conf_sheet!$A:$H,6,FALSE),VLOOKUP("other",bug_conf_sheet!$A:$H,6,FALSE))</f>
        <v>0</v>
      </c>
      <c r="S131" s="31">
        <f>IFERROR(VLOOKUP($E131,bug_conf_sheet!$A:$H,7,FALSE),VLOOKUP("other",bug_conf_sheet!$A:$H,7,FALSE))</f>
        <v>0</v>
      </c>
      <c r="T131" s="31">
        <f>IFERROR(VLOOKUP($E131,bug_conf_sheet!$A:$H,8,FALSE),VLOOKUP("other",bug_conf_sheet!$A:$H,8,FALSE))</f>
        <v>1</v>
      </c>
    </row>
    <row r="132" spans="1:20" ht="21" customHeight="1">
      <c r="A132" s="2" t="str">
        <f ca="1">input_313010!A$2</f>
        <v>313010</v>
      </c>
      <c r="B132" s="7" t="str">
        <f t="shared" si="6"/>
        <v>Premium3</v>
      </c>
      <c r="C132" s="7" t="str">
        <f t="shared" si="7"/>
        <v>Premium</v>
      </c>
      <c r="D132" s="7" t="str">
        <f t="shared" si="8"/>
        <v>bg</v>
      </c>
      <c r="E132" s="6">
        <v>256</v>
      </c>
      <c r="F132" s="7" t="str">
        <f>VLOOKUP(E132,[1]characters!$A:$C,3,FALSE)</f>
        <v>アスモデウス</v>
      </c>
      <c r="G132" s="7" t="str">
        <f>VLOOKUP(E132,[1]characters!$A:$J,10,FALSE)</f>
        <v>PremiumS</v>
      </c>
      <c r="H132" s="7">
        <f>VLOOKUP(E132,[1]characters!$A:$I,9,FALSE)</f>
        <v>3</v>
      </c>
      <c r="I132" s="7" t="str">
        <f>VLOOKUP(E132,[1]characters!$A:$H,8,FALSE)</f>
        <v>blue</v>
      </c>
      <c r="J132" s="7" t="str">
        <f>VLOOKUP(E132,[1]characters!$A:$K,11,FALSE)</f>
        <v>attack</v>
      </c>
      <c r="K132" s="7" t="str">
        <f>VLOOKUP(E132,[1]characters!$A:$M,13,FALSE)</f>
        <v>god</v>
      </c>
      <c r="L132" s="7" t="str">
        <f>VLOOKUP(E132,[1]characters!$A:$G,7,FALSE)</f>
        <v>女性</v>
      </c>
      <c r="M132" s="62">
        <f ca="1">IFERROR(VLOOKUP(E132,input_313010!L:R,7,FALSE),VLOOKUP(tables_313010!B132,input_313010!A:H,8,FALSE))</f>
        <v>189000</v>
      </c>
      <c r="N132" s="63">
        <f ca="1">M132/SUM(M:M)</f>
        <v>6.7567567567567571E-3</v>
      </c>
      <c r="O132" s="31">
        <f>IFERROR(VLOOKUP($E132,bug_conf_sheet!$A:$H,3,FALSE),VLOOKUP("other",bug_conf_sheet!$A:$H,3,FALSE))</f>
        <v>1</v>
      </c>
      <c r="P132" s="31">
        <f>IFERROR(VLOOKUP($E132,bug_conf_sheet!$A:$H,4,FALSE),VLOOKUP("other",bug_conf_sheet!$A:$H,4,FALSE))</f>
        <v>0</v>
      </c>
      <c r="Q132" s="31">
        <f>IFERROR(VLOOKUP($E132,bug_conf_sheet!$A:$H,5,FALSE),VLOOKUP("other",bug_conf_sheet!$A:$H,5,FALSE))</f>
        <v>0</v>
      </c>
      <c r="R132" s="31">
        <f>IFERROR(VLOOKUP($E132,bug_conf_sheet!$A:$H,6,FALSE),VLOOKUP("other",bug_conf_sheet!$A:$H,6,FALSE))</f>
        <v>0</v>
      </c>
      <c r="S132" s="31">
        <f>IFERROR(VLOOKUP($E132,bug_conf_sheet!$A:$H,7,FALSE),VLOOKUP("other",bug_conf_sheet!$A:$H,7,FALSE))</f>
        <v>0</v>
      </c>
      <c r="T132" s="31">
        <f>IFERROR(VLOOKUP($E132,bug_conf_sheet!$A:$H,8,FALSE),VLOOKUP("other",bug_conf_sheet!$A:$H,8,FALSE))</f>
        <v>1</v>
      </c>
    </row>
    <row r="133" spans="1:20" ht="21" customHeight="1">
      <c r="A133" s="2" t="str">
        <f ca="1">input_313010!A$2</f>
        <v>313010</v>
      </c>
      <c r="B133" s="7" t="str">
        <f t="shared" si="6"/>
        <v>Premium4</v>
      </c>
      <c r="C133" s="7" t="str">
        <f t="shared" si="7"/>
        <v>Premium</v>
      </c>
      <c r="D133" s="7" t="str">
        <f t="shared" si="8"/>
        <v>bg</v>
      </c>
      <c r="E133" s="6">
        <v>257</v>
      </c>
      <c r="F133" s="7" t="str">
        <f>VLOOKUP(E133,[1]characters!$A:$C,3,FALSE)</f>
        <v>色欲 アスモデウス</v>
      </c>
      <c r="G133" s="7" t="str">
        <f>VLOOKUP(E133,[1]characters!$A:$J,10,FALSE)</f>
        <v>PremiumS</v>
      </c>
      <c r="H133" s="7">
        <f>VLOOKUP(E133,[1]characters!$A:$I,9,FALSE)</f>
        <v>4</v>
      </c>
      <c r="I133" s="7" t="str">
        <f>VLOOKUP(E133,[1]characters!$A:$H,8,FALSE)</f>
        <v>blue</v>
      </c>
      <c r="J133" s="7" t="str">
        <f>VLOOKUP(E133,[1]characters!$A:$K,11,FALSE)</f>
        <v>attack</v>
      </c>
      <c r="K133" s="7" t="str">
        <f>VLOOKUP(E133,[1]characters!$A:$M,13,FALSE)</f>
        <v>god</v>
      </c>
      <c r="L133" s="7" t="str">
        <f>VLOOKUP(E133,[1]characters!$A:$G,7,FALSE)</f>
        <v>女性</v>
      </c>
      <c r="M133" s="62">
        <f ca="1">IFERROR(VLOOKUP(E133,input_313010!L:R,7,FALSE),VLOOKUP(tables_313010!B133,input_313010!A:H,8,FALSE))</f>
        <v>153090</v>
      </c>
      <c r="N133" s="63">
        <f ca="1">M133/SUM(M:M)</f>
        <v>5.4729729729729726E-3</v>
      </c>
      <c r="O133" s="31">
        <f>IFERROR(VLOOKUP($E133,bug_conf_sheet!$A:$H,3,FALSE),VLOOKUP("other",bug_conf_sheet!$A:$H,3,FALSE))</f>
        <v>1</v>
      </c>
      <c r="P133" s="31">
        <f>IFERROR(VLOOKUP($E133,bug_conf_sheet!$A:$H,4,FALSE),VLOOKUP("other",bug_conf_sheet!$A:$H,4,FALSE))</f>
        <v>0</v>
      </c>
      <c r="Q133" s="31">
        <f>IFERROR(VLOOKUP($E133,bug_conf_sheet!$A:$H,5,FALSE),VLOOKUP("other",bug_conf_sheet!$A:$H,5,FALSE))</f>
        <v>0</v>
      </c>
      <c r="R133" s="31">
        <f>IFERROR(VLOOKUP($E133,bug_conf_sheet!$A:$H,6,FALSE),VLOOKUP("other",bug_conf_sheet!$A:$H,6,FALSE))</f>
        <v>0</v>
      </c>
      <c r="S133" s="31">
        <f>IFERROR(VLOOKUP($E133,bug_conf_sheet!$A:$H,7,FALSE),VLOOKUP("other",bug_conf_sheet!$A:$H,7,FALSE))</f>
        <v>0</v>
      </c>
      <c r="T133" s="31">
        <f>IFERROR(VLOOKUP($E133,bug_conf_sheet!$A:$H,8,FALSE),VLOOKUP("other",bug_conf_sheet!$A:$H,8,FALSE))</f>
        <v>1</v>
      </c>
    </row>
    <row r="134" spans="1:20" ht="21" customHeight="1">
      <c r="A134" s="2" t="str">
        <f ca="1">input_313010!A$2</f>
        <v>313010</v>
      </c>
      <c r="B134" s="7" t="str">
        <f t="shared" si="6"/>
        <v>Premium5</v>
      </c>
      <c r="C134" s="7" t="str">
        <f t="shared" si="7"/>
        <v>Premium</v>
      </c>
      <c r="D134" s="7" t="str">
        <f t="shared" si="8"/>
        <v>bg</v>
      </c>
      <c r="E134" s="6">
        <v>258</v>
      </c>
      <c r="F134" s="7" t="str">
        <f>VLOOKUP(E134,[1]characters!$A:$C,3,FALSE)</f>
        <v>色欲の源流 アスモデウス</v>
      </c>
      <c r="G134" s="7" t="str">
        <f>VLOOKUP(E134,[1]characters!$A:$J,10,FALSE)</f>
        <v>PremiumS</v>
      </c>
      <c r="H134" s="7">
        <f>VLOOKUP(E134,[1]characters!$A:$I,9,FALSE)</f>
        <v>5</v>
      </c>
      <c r="I134" s="7" t="str">
        <f>VLOOKUP(E134,[1]characters!$A:$H,8,FALSE)</f>
        <v>blue</v>
      </c>
      <c r="J134" s="7" t="str">
        <f>VLOOKUP(E134,[1]characters!$A:$K,11,FALSE)</f>
        <v>attack</v>
      </c>
      <c r="K134" s="7" t="str">
        <f>VLOOKUP(E134,[1]characters!$A:$M,13,FALSE)</f>
        <v>god</v>
      </c>
      <c r="L134" s="7" t="str">
        <f>VLOOKUP(E134,[1]characters!$A:$G,7,FALSE)</f>
        <v>女性</v>
      </c>
      <c r="M134" s="62">
        <f ca="1">IFERROR(VLOOKUP(E134,input_313010!L:R,7,FALSE),VLOOKUP(tables_313010!B134,input_313010!A:H,8,FALSE))</f>
        <v>18130</v>
      </c>
      <c r="N134" s="63">
        <f ca="1">M134/SUM(M:M)</f>
        <v>6.4814814814814813E-4</v>
      </c>
      <c r="O134" s="31">
        <f>IFERROR(VLOOKUP($E134,bug_conf_sheet!$A:$H,3,FALSE),VLOOKUP("other",bug_conf_sheet!$A:$H,3,FALSE))</f>
        <v>1</v>
      </c>
      <c r="P134" s="31">
        <f>IFERROR(VLOOKUP($E134,bug_conf_sheet!$A:$H,4,FALSE),VLOOKUP("other",bug_conf_sheet!$A:$H,4,FALSE))</f>
        <v>0</v>
      </c>
      <c r="Q134" s="31">
        <f>IFERROR(VLOOKUP($E134,bug_conf_sheet!$A:$H,5,FALSE),VLOOKUP("other",bug_conf_sheet!$A:$H,5,FALSE))</f>
        <v>0</v>
      </c>
      <c r="R134" s="31">
        <f>IFERROR(VLOOKUP($E134,bug_conf_sheet!$A:$H,6,FALSE),VLOOKUP("other",bug_conf_sheet!$A:$H,6,FALSE))</f>
        <v>0</v>
      </c>
      <c r="S134" s="31">
        <f>IFERROR(VLOOKUP($E134,bug_conf_sheet!$A:$H,7,FALSE),VLOOKUP("other",bug_conf_sheet!$A:$H,7,FALSE))</f>
        <v>0</v>
      </c>
      <c r="T134" s="31">
        <f>IFERROR(VLOOKUP($E134,bug_conf_sheet!$A:$H,8,FALSE),VLOOKUP("other",bug_conf_sheet!$A:$H,8,FALSE))</f>
        <v>1</v>
      </c>
    </row>
    <row r="135" spans="1:20" ht="21" customHeight="1">
      <c r="A135" s="2" t="str">
        <f ca="1">input_313010!A$2</f>
        <v>313010</v>
      </c>
      <c r="B135" s="7" t="str">
        <f t="shared" si="6"/>
        <v>Premium3</v>
      </c>
      <c r="C135" s="7" t="str">
        <f t="shared" si="7"/>
        <v>Premium</v>
      </c>
      <c r="D135" s="7" t="str">
        <f t="shared" si="8"/>
        <v>ry</v>
      </c>
      <c r="E135" s="6">
        <v>259</v>
      </c>
      <c r="F135" s="7" t="str">
        <f>VLOOKUP(E135,[1]characters!$A:$C,3,FALSE)</f>
        <v>ウロボロス</v>
      </c>
      <c r="G135" s="7" t="str">
        <f>VLOOKUP(E135,[1]characters!$A:$J,10,FALSE)</f>
        <v>PremiumS</v>
      </c>
      <c r="H135" s="7">
        <f>VLOOKUP(E135,[1]characters!$A:$I,9,FALSE)</f>
        <v>3</v>
      </c>
      <c r="I135" s="7" t="str">
        <f>VLOOKUP(E135,[1]characters!$A:$H,8,FALSE)</f>
        <v>yellow</v>
      </c>
      <c r="J135" s="7" t="str">
        <f>VLOOKUP(E135,[1]characters!$A:$K,11,FALSE)</f>
        <v>balance</v>
      </c>
      <c r="K135" s="7" t="str">
        <f>VLOOKUP(E135,[1]characters!$A:$M,13,FALSE)</f>
        <v>dragon</v>
      </c>
      <c r="L135" s="7" t="str">
        <f>VLOOKUP(E135,[1]characters!$A:$G,7,FALSE)</f>
        <v>女性</v>
      </c>
      <c r="M135" s="62">
        <f ca="1">IFERROR(VLOOKUP(E135,input_313010!L:R,7,FALSE),VLOOKUP(tables_313010!B135,input_313010!A:H,8,FALSE))</f>
        <v>189000</v>
      </c>
      <c r="N135" s="63">
        <f ca="1">M135/SUM(M:M)</f>
        <v>6.7567567567567571E-3</v>
      </c>
      <c r="O135" s="31">
        <f>IFERROR(VLOOKUP($E135,bug_conf_sheet!$A:$H,3,FALSE),VLOOKUP("other",bug_conf_sheet!$A:$H,3,FALSE))</f>
        <v>1</v>
      </c>
      <c r="P135" s="31">
        <f>IFERROR(VLOOKUP($E135,bug_conf_sheet!$A:$H,4,FALSE),VLOOKUP("other",bug_conf_sheet!$A:$H,4,FALSE))</f>
        <v>0</v>
      </c>
      <c r="Q135" s="31">
        <f>IFERROR(VLOOKUP($E135,bug_conf_sheet!$A:$H,5,FALSE),VLOOKUP("other",bug_conf_sheet!$A:$H,5,FALSE))</f>
        <v>0</v>
      </c>
      <c r="R135" s="31">
        <f>IFERROR(VLOOKUP($E135,bug_conf_sheet!$A:$H,6,FALSE),VLOOKUP("other",bug_conf_sheet!$A:$H,6,FALSE))</f>
        <v>0</v>
      </c>
      <c r="S135" s="31">
        <f>IFERROR(VLOOKUP($E135,bug_conf_sheet!$A:$H,7,FALSE),VLOOKUP("other",bug_conf_sheet!$A:$H,7,FALSE))</f>
        <v>0</v>
      </c>
      <c r="T135" s="31">
        <f>IFERROR(VLOOKUP($E135,bug_conf_sheet!$A:$H,8,FALSE),VLOOKUP("other",bug_conf_sheet!$A:$H,8,FALSE))</f>
        <v>1</v>
      </c>
    </row>
    <row r="136" spans="1:20" ht="21" customHeight="1">
      <c r="A136" s="2" t="str">
        <f ca="1">input_313010!A$2</f>
        <v>313010</v>
      </c>
      <c r="B136" s="7" t="str">
        <f t="shared" si="6"/>
        <v>Premium4</v>
      </c>
      <c r="C136" s="7" t="str">
        <f t="shared" si="7"/>
        <v>Premium</v>
      </c>
      <c r="D136" s="7" t="str">
        <f t="shared" si="8"/>
        <v>ry</v>
      </c>
      <c r="E136" s="8">
        <v>260</v>
      </c>
      <c r="F136" s="7" t="str">
        <f>VLOOKUP(E136,[1]characters!$A:$C,3,FALSE)</f>
        <v>輪廻 ウロボロス</v>
      </c>
      <c r="G136" s="7" t="str">
        <f>VLOOKUP(E136,[1]characters!$A:$J,10,FALSE)</f>
        <v>PremiumS</v>
      </c>
      <c r="H136" s="7">
        <f>VLOOKUP(E136,[1]characters!$A:$I,9,FALSE)</f>
        <v>4</v>
      </c>
      <c r="I136" s="7" t="str">
        <f>VLOOKUP(E136,[1]characters!$A:$H,8,FALSE)</f>
        <v>yellow</v>
      </c>
      <c r="J136" s="7" t="str">
        <f>VLOOKUP(E136,[1]characters!$A:$K,11,FALSE)</f>
        <v>balance</v>
      </c>
      <c r="K136" s="7" t="str">
        <f>VLOOKUP(E136,[1]characters!$A:$M,13,FALSE)</f>
        <v>dragon</v>
      </c>
      <c r="L136" s="7" t="str">
        <f>VLOOKUP(E136,[1]characters!$A:$G,7,FALSE)</f>
        <v>女性</v>
      </c>
      <c r="M136" s="62">
        <f ca="1">IFERROR(VLOOKUP(E136,input_313010!L:R,7,FALSE),VLOOKUP(tables_313010!B136,input_313010!A:H,8,FALSE))</f>
        <v>153090</v>
      </c>
      <c r="N136" s="63">
        <f ca="1">M136/SUM(M:M)</f>
        <v>5.4729729729729726E-3</v>
      </c>
      <c r="O136" s="31">
        <f>IFERROR(VLOOKUP($E136,bug_conf_sheet!$A:$H,3,FALSE),VLOOKUP("other",bug_conf_sheet!$A:$H,3,FALSE))</f>
        <v>1</v>
      </c>
      <c r="P136" s="31">
        <f>IFERROR(VLOOKUP($E136,bug_conf_sheet!$A:$H,4,FALSE),VLOOKUP("other",bug_conf_sheet!$A:$H,4,FALSE))</f>
        <v>0</v>
      </c>
      <c r="Q136" s="31">
        <f>IFERROR(VLOOKUP($E136,bug_conf_sheet!$A:$H,5,FALSE),VLOOKUP("other",bug_conf_sheet!$A:$H,5,FALSE))</f>
        <v>0</v>
      </c>
      <c r="R136" s="31">
        <f>IFERROR(VLOOKUP($E136,bug_conf_sheet!$A:$H,6,FALSE),VLOOKUP("other",bug_conf_sheet!$A:$H,6,FALSE))</f>
        <v>0</v>
      </c>
      <c r="S136" s="31">
        <f>IFERROR(VLOOKUP($E136,bug_conf_sheet!$A:$H,7,FALSE),VLOOKUP("other",bug_conf_sheet!$A:$H,7,FALSE))</f>
        <v>0</v>
      </c>
      <c r="T136" s="31">
        <f>IFERROR(VLOOKUP($E136,bug_conf_sheet!$A:$H,8,FALSE),VLOOKUP("other",bug_conf_sheet!$A:$H,8,FALSE))</f>
        <v>1</v>
      </c>
    </row>
    <row r="137" spans="1:20" ht="21" customHeight="1">
      <c r="A137" s="2" t="str">
        <f ca="1">input_313010!A$2</f>
        <v>313010</v>
      </c>
      <c r="B137" s="7" t="str">
        <f t="shared" si="6"/>
        <v>Premium5</v>
      </c>
      <c r="C137" s="7" t="str">
        <f t="shared" si="7"/>
        <v>Premium</v>
      </c>
      <c r="D137" s="7" t="str">
        <f t="shared" si="8"/>
        <v>ry</v>
      </c>
      <c r="E137" s="8">
        <v>261</v>
      </c>
      <c r="F137" s="7" t="str">
        <f>VLOOKUP(E137,[1]characters!$A:$C,3,FALSE)</f>
        <v>輪廻の蛇龍 ウロボロス</v>
      </c>
      <c r="G137" s="7" t="str">
        <f>VLOOKUP(E137,[1]characters!$A:$J,10,FALSE)</f>
        <v>PremiumS</v>
      </c>
      <c r="H137" s="7">
        <f>VLOOKUP(E137,[1]characters!$A:$I,9,FALSE)</f>
        <v>5</v>
      </c>
      <c r="I137" s="7" t="str">
        <f>VLOOKUP(E137,[1]characters!$A:$H,8,FALSE)</f>
        <v>yellow</v>
      </c>
      <c r="J137" s="7" t="str">
        <f>VLOOKUP(E137,[1]characters!$A:$K,11,FALSE)</f>
        <v>balance</v>
      </c>
      <c r="K137" s="7" t="str">
        <f>VLOOKUP(E137,[1]characters!$A:$M,13,FALSE)</f>
        <v>dragon</v>
      </c>
      <c r="L137" s="7" t="str">
        <f>VLOOKUP(E137,[1]characters!$A:$G,7,FALSE)</f>
        <v>女性</v>
      </c>
      <c r="M137" s="62">
        <f ca="1">IFERROR(VLOOKUP(E137,input_313010!L:R,7,FALSE),VLOOKUP(tables_313010!B137,input_313010!A:H,8,FALSE))</f>
        <v>18130</v>
      </c>
      <c r="N137" s="63">
        <f ca="1">M137/SUM(M:M)</f>
        <v>6.4814814814814813E-4</v>
      </c>
      <c r="O137" s="31">
        <f>IFERROR(VLOOKUP($E137,bug_conf_sheet!$A:$H,3,FALSE),VLOOKUP("other",bug_conf_sheet!$A:$H,3,FALSE))</f>
        <v>1</v>
      </c>
      <c r="P137" s="31">
        <f>IFERROR(VLOOKUP($E137,bug_conf_sheet!$A:$H,4,FALSE),VLOOKUP("other",bug_conf_sheet!$A:$H,4,FALSE))</f>
        <v>0</v>
      </c>
      <c r="Q137" s="31">
        <f>IFERROR(VLOOKUP($E137,bug_conf_sheet!$A:$H,5,FALSE),VLOOKUP("other",bug_conf_sheet!$A:$H,5,FALSE))</f>
        <v>0</v>
      </c>
      <c r="R137" s="31">
        <f>IFERROR(VLOOKUP($E137,bug_conf_sheet!$A:$H,6,FALSE),VLOOKUP("other",bug_conf_sheet!$A:$H,6,FALSE))</f>
        <v>0</v>
      </c>
      <c r="S137" s="31">
        <f>IFERROR(VLOOKUP($E137,bug_conf_sheet!$A:$H,7,FALSE),VLOOKUP("other",bug_conf_sheet!$A:$H,7,FALSE))</f>
        <v>0</v>
      </c>
      <c r="T137" s="31">
        <f>IFERROR(VLOOKUP($E137,bug_conf_sheet!$A:$H,8,FALSE),VLOOKUP("other",bug_conf_sheet!$A:$H,8,FALSE))</f>
        <v>1</v>
      </c>
    </row>
    <row r="138" spans="1:20" ht="21" customHeight="1">
      <c r="A138" s="2" t="str">
        <f ca="1">input_313010!A$2</f>
        <v>313010</v>
      </c>
      <c r="B138" s="7" t="str">
        <f t="shared" si="6"/>
        <v>PremiumSSry4</v>
      </c>
      <c r="C138" s="7" t="str">
        <f t="shared" si="7"/>
        <v>PremiumSS</v>
      </c>
      <c r="D138" s="7" t="str">
        <f t="shared" si="8"/>
        <v>ry</v>
      </c>
      <c r="E138" s="6">
        <v>320</v>
      </c>
      <c r="F138" s="7" t="str">
        <f>VLOOKUP(E138,[1]characters!$A:$C,3,FALSE)</f>
        <v>烈志士 近藤勇</v>
      </c>
      <c r="G138" s="7" t="str">
        <f>VLOOKUP(E138,[1]characters!$A:$J,10,FALSE)</f>
        <v>PremiumSS</v>
      </c>
      <c r="H138" s="7">
        <f>VLOOKUP(E138,[1]characters!$A:$I,9,FALSE)</f>
        <v>4</v>
      </c>
      <c r="I138" s="7" t="str">
        <f>VLOOKUP(E138,[1]characters!$A:$H,8,FALSE)</f>
        <v>red</v>
      </c>
      <c r="J138" s="7" t="str">
        <f>VLOOKUP(E138,[1]characters!$A:$K,11,FALSE)</f>
        <v>hp</v>
      </c>
      <c r="K138" s="7" t="str">
        <f>VLOOKUP(E138,[1]characters!$A:$M,13,FALSE)</f>
        <v>human</v>
      </c>
      <c r="L138" s="7" t="str">
        <f>VLOOKUP(E138,[1]characters!$A:$G,7,FALSE)</f>
        <v>男性</v>
      </c>
      <c r="M138" s="62">
        <f ca="1">IFERROR(VLOOKUP(E138,input_313010!L:R,7,FALSE),VLOOKUP(tables_313010!B138,input_313010!A:H,8,FALSE))</f>
        <v>53946</v>
      </c>
      <c r="N138" s="63">
        <f ca="1">M138/SUM(M:M)</f>
        <v>1.9285714285714286E-3</v>
      </c>
      <c r="O138" s="31">
        <f>IFERROR(VLOOKUP($E138,bug_conf_sheet!$A:$H,3,FALSE),VLOOKUP("other",bug_conf_sheet!$A:$H,3,FALSE))</f>
        <v>1</v>
      </c>
      <c r="P138" s="31">
        <f>IFERROR(VLOOKUP($E138,bug_conf_sheet!$A:$H,4,FALSE),VLOOKUP("other",bug_conf_sheet!$A:$H,4,FALSE))</f>
        <v>0</v>
      </c>
      <c r="Q138" s="31">
        <f>IFERROR(VLOOKUP($E138,bug_conf_sheet!$A:$H,5,FALSE),VLOOKUP("other",bug_conf_sheet!$A:$H,5,FALSE))</f>
        <v>0</v>
      </c>
      <c r="R138" s="31">
        <f>IFERROR(VLOOKUP($E138,bug_conf_sheet!$A:$H,6,FALSE),VLOOKUP("other",bug_conf_sheet!$A:$H,6,FALSE))</f>
        <v>0</v>
      </c>
      <c r="S138" s="31">
        <f>IFERROR(VLOOKUP($E138,bug_conf_sheet!$A:$H,7,FALSE),VLOOKUP("other",bug_conf_sheet!$A:$H,7,FALSE))</f>
        <v>0</v>
      </c>
      <c r="T138" s="31">
        <f>IFERROR(VLOOKUP($E138,bug_conf_sheet!$A:$H,8,FALSE),VLOOKUP("other",bug_conf_sheet!$A:$H,8,FALSE))</f>
        <v>1</v>
      </c>
    </row>
    <row r="139" spans="1:20" ht="21" customHeight="1">
      <c r="A139" s="2" t="str">
        <f ca="1">input_313010!A$2</f>
        <v>313010</v>
      </c>
      <c r="B139" s="7" t="str">
        <f t="shared" si="6"/>
        <v>PremiumSSry5</v>
      </c>
      <c r="C139" s="7" t="str">
        <f t="shared" si="7"/>
        <v>PremiumSS</v>
      </c>
      <c r="D139" s="7" t="str">
        <f t="shared" si="8"/>
        <v>ry</v>
      </c>
      <c r="E139" s="6">
        <v>321</v>
      </c>
      <c r="F139" s="7" t="str">
        <f>VLOOKUP(E139,[1]characters!$A:$C,3,FALSE)</f>
        <v>巌鉄の烈志士 近藤勇</v>
      </c>
      <c r="G139" s="7" t="str">
        <f>VLOOKUP(E139,[1]characters!$A:$J,10,FALSE)</f>
        <v>PremiumSS</v>
      </c>
      <c r="H139" s="7">
        <f>VLOOKUP(E139,[1]characters!$A:$I,9,FALSE)</f>
        <v>5</v>
      </c>
      <c r="I139" s="7" t="str">
        <f>VLOOKUP(E139,[1]characters!$A:$H,8,FALSE)</f>
        <v>red</v>
      </c>
      <c r="J139" s="7" t="str">
        <f>VLOOKUP(E139,[1]characters!$A:$K,11,FALSE)</f>
        <v>hp</v>
      </c>
      <c r="K139" s="7" t="str">
        <f>VLOOKUP(E139,[1]characters!$A:$M,13,FALSE)</f>
        <v>human</v>
      </c>
      <c r="L139" s="7" t="str">
        <f>VLOOKUP(E139,[1]characters!$A:$G,7,FALSE)</f>
        <v>男性</v>
      </c>
      <c r="M139" s="62">
        <f ca="1">IFERROR(VLOOKUP(E139,input_313010!L:R,7,FALSE),VLOOKUP(tables_313010!B139,input_313010!A:H,8,FALSE))</f>
        <v>5994</v>
      </c>
      <c r="N139" s="63">
        <f ca="1">M139/SUM(M:M)</f>
        <v>2.1428571428571427E-4</v>
      </c>
      <c r="O139" s="31">
        <f>IFERROR(VLOOKUP($E139,bug_conf_sheet!$A:$H,3,FALSE),VLOOKUP("other",bug_conf_sheet!$A:$H,3,FALSE))</f>
        <v>1</v>
      </c>
      <c r="P139" s="31">
        <f>IFERROR(VLOOKUP($E139,bug_conf_sheet!$A:$H,4,FALSE),VLOOKUP("other",bug_conf_sheet!$A:$H,4,FALSE))</f>
        <v>0</v>
      </c>
      <c r="Q139" s="31">
        <f>IFERROR(VLOOKUP($E139,bug_conf_sheet!$A:$H,5,FALSE),VLOOKUP("other",bug_conf_sheet!$A:$H,5,FALSE))</f>
        <v>0</v>
      </c>
      <c r="R139" s="31">
        <f>IFERROR(VLOOKUP($E139,bug_conf_sheet!$A:$H,6,FALSE),VLOOKUP("other",bug_conf_sheet!$A:$H,6,FALSE))</f>
        <v>0</v>
      </c>
      <c r="S139" s="31">
        <f>IFERROR(VLOOKUP($E139,bug_conf_sheet!$A:$H,7,FALSE),VLOOKUP("other",bug_conf_sheet!$A:$H,7,FALSE))</f>
        <v>0</v>
      </c>
      <c r="T139" s="31">
        <f>IFERROR(VLOOKUP($E139,bug_conf_sheet!$A:$H,8,FALSE),VLOOKUP("other",bug_conf_sheet!$A:$H,8,FALSE))</f>
        <v>1</v>
      </c>
    </row>
    <row r="140" spans="1:20" ht="21" customHeight="1">
      <c r="A140" s="2" t="str">
        <f ca="1">input_313010!A$2</f>
        <v>313010</v>
      </c>
      <c r="B140" s="7" t="str">
        <f t="shared" si="6"/>
        <v>PremiumSSbg4</v>
      </c>
      <c r="C140" s="7" t="str">
        <f t="shared" si="7"/>
        <v>PremiumSS</v>
      </c>
      <c r="D140" s="7" t="str">
        <f t="shared" si="8"/>
        <v>bg</v>
      </c>
      <c r="E140" s="6">
        <v>322</v>
      </c>
      <c r="F140" s="7" t="str">
        <f>VLOOKUP(E140,[1]characters!$A:$C,3,FALSE)</f>
        <v>愛志士 土方歳三</v>
      </c>
      <c r="G140" s="7" t="str">
        <f>VLOOKUP(E140,[1]characters!$A:$J,10,FALSE)</f>
        <v>PremiumSS</v>
      </c>
      <c r="H140" s="7">
        <f>VLOOKUP(E140,[1]characters!$A:$I,9,FALSE)</f>
        <v>4</v>
      </c>
      <c r="I140" s="7" t="str">
        <f>VLOOKUP(E140,[1]characters!$A:$H,8,FALSE)</f>
        <v>green</v>
      </c>
      <c r="J140" s="7" t="str">
        <f>VLOOKUP(E140,[1]characters!$A:$K,11,FALSE)</f>
        <v>attack</v>
      </c>
      <c r="K140" s="7" t="str">
        <f>VLOOKUP(E140,[1]characters!$A:$M,13,FALSE)</f>
        <v>human</v>
      </c>
      <c r="L140" s="7" t="str">
        <f>VLOOKUP(E140,[1]characters!$A:$G,7,FALSE)</f>
        <v>女性</v>
      </c>
      <c r="M140" s="62">
        <f ca="1">IFERROR(VLOOKUP(E140,input_313010!L:R,7,FALSE),VLOOKUP(tables_313010!B140,input_313010!A:H,8,FALSE))</f>
        <v>41958</v>
      </c>
      <c r="N140" s="63">
        <f ca="1">M140/SUM(M:M)</f>
        <v>1.5E-3</v>
      </c>
      <c r="O140" s="31">
        <f>IFERROR(VLOOKUP($E140,bug_conf_sheet!$A:$H,3,FALSE),VLOOKUP("other",bug_conf_sheet!$A:$H,3,FALSE))</f>
        <v>1</v>
      </c>
      <c r="P140" s="31">
        <f>IFERROR(VLOOKUP($E140,bug_conf_sheet!$A:$H,4,FALSE),VLOOKUP("other",bug_conf_sheet!$A:$H,4,FALSE))</f>
        <v>0</v>
      </c>
      <c r="Q140" s="31">
        <f>IFERROR(VLOOKUP($E140,bug_conf_sheet!$A:$H,5,FALSE),VLOOKUP("other",bug_conf_sheet!$A:$H,5,FALSE))</f>
        <v>0</v>
      </c>
      <c r="R140" s="31">
        <f>IFERROR(VLOOKUP($E140,bug_conf_sheet!$A:$H,6,FALSE),VLOOKUP("other",bug_conf_sheet!$A:$H,6,FALSE))</f>
        <v>0</v>
      </c>
      <c r="S140" s="31">
        <f>IFERROR(VLOOKUP($E140,bug_conf_sheet!$A:$H,7,FALSE),VLOOKUP("other",bug_conf_sheet!$A:$H,7,FALSE))</f>
        <v>0</v>
      </c>
      <c r="T140" s="31">
        <f>IFERROR(VLOOKUP($E140,bug_conf_sheet!$A:$H,8,FALSE),VLOOKUP("other",bug_conf_sheet!$A:$H,8,FALSE))</f>
        <v>1</v>
      </c>
    </row>
    <row r="141" spans="1:20" ht="21" customHeight="1">
      <c r="A141" s="2" t="str">
        <f ca="1">input_313010!A$2</f>
        <v>313010</v>
      </c>
      <c r="B141" s="7" t="str">
        <f t="shared" si="6"/>
        <v>PremiumSSbg5</v>
      </c>
      <c r="C141" s="7" t="str">
        <f t="shared" si="7"/>
        <v>PremiumSS</v>
      </c>
      <c r="D141" s="7" t="str">
        <f t="shared" si="8"/>
        <v>bg</v>
      </c>
      <c r="E141" s="6">
        <v>323</v>
      </c>
      <c r="F141" s="7" t="str">
        <f>VLOOKUP(E141,[1]characters!$A:$C,3,FALSE)</f>
        <v>流麗の愛志士 土方歳三</v>
      </c>
      <c r="G141" s="7" t="str">
        <f>VLOOKUP(E141,[1]characters!$A:$J,10,FALSE)</f>
        <v>PremiumSS</v>
      </c>
      <c r="H141" s="7">
        <f>VLOOKUP(E141,[1]characters!$A:$I,9,FALSE)</f>
        <v>5</v>
      </c>
      <c r="I141" s="7" t="str">
        <f>VLOOKUP(E141,[1]characters!$A:$H,8,FALSE)</f>
        <v>green</v>
      </c>
      <c r="J141" s="7" t="str">
        <f>VLOOKUP(E141,[1]characters!$A:$K,11,FALSE)</f>
        <v>attack</v>
      </c>
      <c r="K141" s="7" t="str">
        <f>VLOOKUP(E141,[1]characters!$A:$M,13,FALSE)</f>
        <v>human</v>
      </c>
      <c r="L141" s="7" t="str">
        <f>VLOOKUP(E141,[1]characters!$A:$G,7,FALSE)</f>
        <v>女性</v>
      </c>
      <c r="M141" s="62">
        <f ca="1">IFERROR(VLOOKUP(E141,input_313010!L:R,7,FALSE),VLOOKUP(tables_313010!B141,input_313010!A:H,8,FALSE))</f>
        <v>4662</v>
      </c>
      <c r="N141" s="63">
        <f ca="1">M141/SUM(M:M)</f>
        <v>1.6666666666666666E-4</v>
      </c>
      <c r="O141" s="31">
        <f>IFERROR(VLOOKUP($E141,bug_conf_sheet!$A:$H,3,FALSE),VLOOKUP("other",bug_conf_sheet!$A:$H,3,FALSE))</f>
        <v>1</v>
      </c>
      <c r="P141" s="31">
        <f>IFERROR(VLOOKUP($E141,bug_conf_sheet!$A:$H,4,FALSE),VLOOKUP("other",bug_conf_sheet!$A:$H,4,FALSE))</f>
        <v>0</v>
      </c>
      <c r="Q141" s="31">
        <f>IFERROR(VLOOKUP($E141,bug_conf_sheet!$A:$H,5,FALSE),VLOOKUP("other",bug_conf_sheet!$A:$H,5,FALSE))</f>
        <v>0</v>
      </c>
      <c r="R141" s="31">
        <f>IFERROR(VLOOKUP($E141,bug_conf_sheet!$A:$H,6,FALSE),VLOOKUP("other",bug_conf_sheet!$A:$H,6,FALSE))</f>
        <v>0</v>
      </c>
      <c r="S141" s="31">
        <f>IFERROR(VLOOKUP($E141,bug_conf_sheet!$A:$H,7,FALSE),VLOOKUP("other",bug_conf_sheet!$A:$H,7,FALSE))</f>
        <v>0</v>
      </c>
      <c r="T141" s="31">
        <f>IFERROR(VLOOKUP($E141,bug_conf_sheet!$A:$H,8,FALSE),VLOOKUP("other",bug_conf_sheet!$A:$H,8,FALSE))</f>
        <v>1</v>
      </c>
    </row>
    <row r="142" spans="1:20" ht="21" customHeight="1">
      <c r="A142" s="2" t="str">
        <f ca="1">input_313010!A$2</f>
        <v>313010</v>
      </c>
      <c r="B142" s="7" t="str">
        <f t="shared" si="6"/>
        <v>PremiumSSbg4</v>
      </c>
      <c r="C142" s="7" t="str">
        <f t="shared" si="7"/>
        <v>PremiumSS</v>
      </c>
      <c r="D142" s="7" t="str">
        <f t="shared" si="8"/>
        <v>bg</v>
      </c>
      <c r="E142" s="6">
        <v>324</v>
      </c>
      <c r="F142" s="7" t="str">
        <f>VLOOKUP(E142,[1]characters!$A:$C,3,FALSE)</f>
        <v>凛志士 沖田総司</v>
      </c>
      <c r="G142" s="7" t="str">
        <f>VLOOKUP(E142,[1]characters!$A:$J,10,FALSE)</f>
        <v>PremiumSS</v>
      </c>
      <c r="H142" s="7">
        <f>VLOOKUP(E142,[1]characters!$A:$I,9,FALSE)</f>
        <v>4</v>
      </c>
      <c r="I142" s="7" t="str">
        <f>VLOOKUP(E142,[1]characters!$A:$H,8,FALSE)</f>
        <v>blue</v>
      </c>
      <c r="J142" s="7" t="str">
        <f>VLOOKUP(E142,[1]characters!$A:$K,11,FALSE)</f>
        <v>balance</v>
      </c>
      <c r="K142" s="7" t="str">
        <f>VLOOKUP(E142,[1]characters!$A:$M,13,FALSE)</f>
        <v>human</v>
      </c>
      <c r="L142" s="7" t="str">
        <f>VLOOKUP(E142,[1]characters!$A:$G,7,FALSE)</f>
        <v>女性</v>
      </c>
      <c r="M142" s="62">
        <f ca="1">IFERROR(VLOOKUP(E142,input_313010!L:R,7,FALSE),VLOOKUP(tables_313010!B142,input_313010!A:H,8,FALSE))</f>
        <v>41958</v>
      </c>
      <c r="N142" s="63">
        <f ca="1">M142/SUM(M:M)</f>
        <v>1.5E-3</v>
      </c>
      <c r="O142" s="31">
        <f>IFERROR(VLOOKUP($E142,bug_conf_sheet!$A:$H,3,FALSE),VLOOKUP("other",bug_conf_sheet!$A:$H,3,FALSE))</f>
        <v>1</v>
      </c>
      <c r="P142" s="31">
        <f>IFERROR(VLOOKUP($E142,bug_conf_sheet!$A:$H,4,FALSE),VLOOKUP("other",bug_conf_sheet!$A:$H,4,FALSE))</f>
        <v>0</v>
      </c>
      <c r="Q142" s="31">
        <f>IFERROR(VLOOKUP($E142,bug_conf_sheet!$A:$H,5,FALSE),VLOOKUP("other",bug_conf_sheet!$A:$H,5,FALSE))</f>
        <v>0</v>
      </c>
      <c r="R142" s="31">
        <f>IFERROR(VLOOKUP($E142,bug_conf_sheet!$A:$H,6,FALSE),VLOOKUP("other",bug_conf_sheet!$A:$H,6,FALSE))</f>
        <v>0</v>
      </c>
      <c r="S142" s="31">
        <f>IFERROR(VLOOKUP($E142,bug_conf_sheet!$A:$H,7,FALSE),VLOOKUP("other",bug_conf_sheet!$A:$H,7,FALSE))</f>
        <v>0</v>
      </c>
      <c r="T142" s="31">
        <f>IFERROR(VLOOKUP($E142,bug_conf_sheet!$A:$H,8,FALSE),VLOOKUP("other",bug_conf_sheet!$A:$H,8,FALSE))</f>
        <v>1</v>
      </c>
    </row>
    <row r="143" spans="1:20" s="12" customFormat="1" ht="21" customHeight="1" thickBot="1">
      <c r="A143" s="2" t="str">
        <f ca="1">input_313010!A$2</f>
        <v>313010</v>
      </c>
      <c r="B143" s="7" t="str">
        <f t="shared" si="6"/>
        <v>PremiumSSbg5</v>
      </c>
      <c r="C143" s="7" t="str">
        <f t="shared" si="7"/>
        <v>PremiumSS</v>
      </c>
      <c r="D143" s="7" t="str">
        <f t="shared" si="8"/>
        <v>bg</v>
      </c>
      <c r="E143" s="6">
        <v>325</v>
      </c>
      <c r="F143" s="7" t="str">
        <f>VLOOKUP(E143,[1]characters!$A:$C,3,FALSE)</f>
        <v>天賦の凛志士 沖田総司</v>
      </c>
      <c r="G143" s="7" t="str">
        <f>VLOOKUP(E143,[1]characters!$A:$J,10,FALSE)</f>
        <v>PremiumSS</v>
      </c>
      <c r="H143" s="7">
        <f>VLOOKUP(E143,[1]characters!$A:$I,9,FALSE)</f>
        <v>5</v>
      </c>
      <c r="I143" s="7" t="str">
        <f>VLOOKUP(E143,[1]characters!$A:$H,8,FALSE)</f>
        <v>blue</v>
      </c>
      <c r="J143" s="7" t="str">
        <f>VLOOKUP(E143,[1]characters!$A:$K,11,FALSE)</f>
        <v>balance</v>
      </c>
      <c r="K143" s="7" t="str">
        <f>VLOOKUP(E143,[1]characters!$A:$M,13,FALSE)</f>
        <v>human</v>
      </c>
      <c r="L143" s="7" t="str">
        <f>VLOOKUP(E143,[1]characters!$A:$G,7,FALSE)</f>
        <v>女性</v>
      </c>
      <c r="M143" s="62">
        <f ca="1">IFERROR(VLOOKUP(E143,input_313010!L:R,7,FALSE),VLOOKUP(tables_313010!B143,input_313010!A:H,8,FALSE))</f>
        <v>4662</v>
      </c>
      <c r="N143" s="63">
        <f ca="1">M143/SUM(M:M)</f>
        <v>1.6666666666666666E-4</v>
      </c>
      <c r="O143" s="31">
        <f>IFERROR(VLOOKUP($E143,bug_conf_sheet!$A:$H,3,FALSE),VLOOKUP("other",bug_conf_sheet!$A:$H,3,FALSE))</f>
        <v>1</v>
      </c>
      <c r="P143" s="31">
        <f>IFERROR(VLOOKUP($E143,bug_conf_sheet!$A:$H,4,FALSE),VLOOKUP("other",bug_conf_sheet!$A:$H,4,FALSE))</f>
        <v>0</v>
      </c>
      <c r="Q143" s="31">
        <f>IFERROR(VLOOKUP($E143,bug_conf_sheet!$A:$H,5,FALSE),VLOOKUP("other",bug_conf_sheet!$A:$H,5,FALSE))</f>
        <v>0</v>
      </c>
      <c r="R143" s="31">
        <f>IFERROR(VLOOKUP($E143,bug_conf_sheet!$A:$H,6,FALSE),VLOOKUP("other",bug_conf_sheet!$A:$H,6,FALSE))</f>
        <v>0</v>
      </c>
      <c r="S143" s="31">
        <f>IFERROR(VLOOKUP($E143,bug_conf_sheet!$A:$H,7,FALSE),VLOOKUP("other",bug_conf_sheet!$A:$H,7,FALSE))</f>
        <v>0</v>
      </c>
      <c r="T143" s="31">
        <f>IFERROR(VLOOKUP($E143,bug_conf_sheet!$A:$H,8,FALSE),VLOOKUP("other",bug_conf_sheet!$A:$H,8,FALSE))</f>
        <v>1</v>
      </c>
    </row>
    <row r="144" spans="1:20" ht="21" customHeight="1">
      <c r="A144" s="2" t="str">
        <f ca="1">input_313010!A$2</f>
        <v>313010</v>
      </c>
      <c r="B144" s="7" t="str">
        <f t="shared" si="6"/>
        <v>PremiumSSry4</v>
      </c>
      <c r="C144" s="7" t="str">
        <f t="shared" si="7"/>
        <v>PremiumSS</v>
      </c>
      <c r="D144" s="7" t="str">
        <f t="shared" si="8"/>
        <v>ry</v>
      </c>
      <c r="E144" s="6">
        <v>326</v>
      </c>
      <c r="F144" s="7" t="str">
        <f>VLOOKUP(E144,[1]characters!$A:$C,3,FALSE)</f>
        <v>妖志士 斎藤一</v>
      </c>
      <c r="G144" s="7" t="str">
        <f>VLOOKUP(E144,[1]characters!$A:$J,10,FALSE)</f>
        <v>PremiumSS</v>
      </c>
      <c r="H144" s="7">
        <f>VLOOKUP(E144,[1]characters!$A:$I,9,FALSE)</f>
        <v>4</v>
      </c>
      <c r="I144" s="7" t="str">
        <f>VLOOKUP(E144,[1]characters!$A:$H,8,FALSE)</f>
        <v>yellow</v>
      </c>
      <c r="J144" s="7" t="str">
        <f>VLOOKUP(E144,[1]characters!$A:$K,11,FALSE)</f>
        <v>technical</v>
      </c>
      <c r="K144" s="7" t="str">
        <f>VLOOKUP(E144,[1]characters!$A:$M,13,FALSE)</f>
        <v>human</v>
      </c>
      <c r="L144" s="7" t="str">
        <f>VLOOKUP(E144,[1]characters!$A:$G,7,FALSE)</f>
        <v>女性</v>
      </c>
      <c r="M144" s="62">
        <f ca="1">IFERROR(VLOOKUP(E144,input_313010!L:R,7,FALSE),VLOOKUP(tables_313010!B144,input_313010!A:H,8,FALSE))</f>
        <v>53946</v>
      </c>
      <c r="N144" s="63">
        <f ca="1">M144/SUM(M:M)</f>
        <v>1.9285714285714286E-3</v>
      </c>
      <c r="O144" s="31">
        <f>IFERROR(VLOOKUP($E144,bug_conf_sheet!$A:$H,3,FALSE),VLOOKUP("other",bug_conf_sheet!$A:$H,3,FALSE))</f>
        <v>1</v>
      </c>
      <c r="P144" s="31">
        <f>IFERROR(VLOOKUP($E144,bug_conf_sheet!$A:$H,4,FALSE),VLOOKUP("other",bug_conf_sheet!$A:$H,4,FALSE))</f>
        <v>0</v>
      </c>
      <c r="Q144" s="31">
        <f>IFERROR(VLOOKUP($E144,bug_conf_sheet!$A:$H,5,FALSE),VLOOKUP("other",bug_conf_sheet!$A:$H,5,FALSE))</f>
        <v>0</v>
      </c>
      <c r="R144" s="31">
        <f>IFERROR(VLOOKUP($E144,bug_conf_sheet!$A:$H,6,FALSE),VLOOKUP("other",bug_conf_sheet!$A:$H,6,FALSE))</f>
        <v>0</v>
      </c>
      <c r="S144" s="31">
        <f>IFERROR(VLOOKUP($E144,bug_conf_sheet!$A:$H,7,FALSE),VLOOKUP("other",bug_conf_sheet!$A:$H,7,FALSE))</f>
        <v>0</v>
      </c>
      <c r="T144" s="31">
        <f>IFERROR(VLOOKUP($E144,bug_conf_sheet!$A:$H,8,FALSE),VLOOKUP("other",bug_conf_sheet!$A:$H,8,FALSE))</f>
        <v>1</v>
      </c>
    </row>
    <row r="145" spans="1:20" ht="21" customHeight="1">
      <c r="A145" s="2" t="str">
        <f ca="1">input_313010!A$2</f>
        <v>313010</v>
      </c>
      <c r="B145" s="7" t="str">
        <f t="shared" si="6"/>
        <v>PremiumSSry5</v>
      </c>
      <c r="C145" s="7" t="str">
        <f t="shared" si="7"/>
        <v>PremiumSS</v>
      </c>
      <c r="D145" s="7" t="str">
        <f t="shared" si="8"/>
        <v>ry</v>
      </c>
      <c r="E145" s="6">
        <v>327</v>
      </c>
      <c r="F145" s="7" t="str">
        <f>VLOOKUP(E145,[1]characters!$A:$C,3,FALSE)</f>
        <v>千殺の妖志士 斎藤一</v>
      </c>
      <c r="G145" s="7" t="str">
        <f>VLOOKUP(E145,[1]characters!$A:$J,10,FALSE)</f>
        <v>PremiumSS</v>
      </c>
      <c r="H145" s="7">
        <f>VLOOKUP(E145,[1]characters!$A:$I,9,FALSE)</f>
        <v>5</v>
      </c>
      <c r="I145" s="7" t="str">
        <f>VLOOKUP(E145,[1]characters!$A:$H,8,FALSE)</f>
        <v>yellow</v>
      </c>
      <c r="J145" s="7" t="str">
        <f>VLOOKUP(E145,[1]characters!$A:$K,11,FALSE)</f>
        <v>technical</v>
      </c>
      <c r="K145" s="7" t="str">
        <f>VLOOKUP(E145,[1]characters!$A:$M,13,FALSE)</f>
        <v>human</v>
      </c>
      <c r="L145" s="7" t="str">
        <f>VLOOKUP(E145,[1]characters!$A:$G,7,FALSE)</f>
        <v>女性</v>
      </c>
      <c r="M145" s="62">
        <f ca="1">IFERROR(VLOOKUP(E145,input_313010!L:R,7,FALSE),VLOOKUP(tables_313010!B145,input_313010!A:H,8,FALSE))</f>
        <v>5994</v>
      </c>
      <c r="N145" s="63">
        <f ca="1">M145/SUM(M:M)</f>
        <v>2.1428571428571427E-4</v>
      </c>
      <c r="O145" s="31">
        <f>IFERROR(VLOOKUP($E145,bug_conf_sheet!$A:$H,3,FALSE),VLOOKUP("other",bug_conf_sheet!$A:$H,3,FALSE))</f>
        <v>1</v>
      </c>
      <c r="P145" s="31">
        <f>IFERROR(VLOOKUP($E145,bug_conf_sheet!$A:$H,4,FALSE),VLOOKUP("other",bug_conf_sheet!$A:$H,4,FALSE))</f>
        <v>0</v>
      </c>
      <c r="Q145" s="31">
        <f>IFERROR(VLOOKUP($E145,bug_conf_sheet!$A:$H,5,FALSE),VLOOKUP("other",bug_conf_sheet!$A:$H,5,FALSE))</f>
        <v>0</v>
      </c>
      <c r="R145" s="31">
        <f>IFERROR(VLOOKUP($E145,bug_conf_sheet!$A:$H,6,FALSE),VLOOKUP("other",bug_conf_sheet!$A:$H,6,FALSE))</f>
        <v>0</v>
      </c>
      <c r="S145" s="31">
        <f>IFERROR(VLOOKUP($E145,bug_conf_sheet!$A:$H,7,FALSE),VLOOKUP("other",bug_conf_sheet!$A:$H,7,FALSE))</f>
        <v>0</v>
      </c>
      <c r="T145" s="31">
        <f>IFERROR(VLOOKUP($E145,bug_conf_sheet!$A:$H,8,FALSE),VLOOKUP("other",bug_conf_sheet!$A:$H,8,FALSE))</f>
        <v>1</v>
      </c>
    </row>
    <row r="146" spans="1:20" ht="21" customHeight="1">
      <c r="A146" s="2" t="str">
        <f ca="1">input_313010!A$2</f>
        <v>313010</v>
      </c>
      <c r="B146" s="7" t="str">
        <f t="shared" si="6"/>
        <v>Premium3</v>
      </c>
      <c r="C146" s="7" t="str">
        <f t="shared" si="7"/>
        <v>Premium</v>
      </c>
      <c r="D146" s="7" t="str">
        <f t="shared" si="8"/>
        <v>ry</v>
      </c>
      <c r="E146" s="6">
        <v>380</v>
      </c>
      <c r="F146" s="7" t="str">
        <f>VLOOKUP(E146,[1]characters!$A:$C,3,FALSE)</f>
        <v>バハムート</v>
      </c>
      <c r="G146" s="7" t="str">
        <f>VLOOKUP(E146,[1]characters!$A:$J,10,FALSE)</f>
        <v>PremiumS</v>
      </c>
      <c r="H146" s="7">
        <f>VLOOKUP(E146,[1]characters!$A:$I,9,FALSE)</f>
        <v>3</v>
      </c>
      <c r="I146" s="7" t="str">
        <f>VLOOKUP(E146,[1]characters!$A:$H,8,FALSE)</f>
        <v>red</v>
      </c>
      <c r="J146" s="7" t="str">
        <f>VLOOKUP(E146,[1]characters!$A:$K,11,FALSE)</f>
        <v>technical</v>
      </c>
      <c r="K146" s="7" t="str">
        <f>VLOOKUP(E146,[1]characters!$A:$M,13,FALSE)</f>
        <v>dragon</v>
      </c>
      <c r="L146" s="7" t="str">
        <f>VLOOKUP(E146,[1]characters!$A:$G,7,FALSE)</f>
        <v>女性</v>
      </c>
      <c r="M146" s="62">
        <f ca="1">IFERROR(VLOOKUP(E146,input_313010!L:R,7,FALSE),VLOOKUP(tables_313010!B146,input_313010!A:H,8,FALSE))</f>
        <v>189000</v>
      </c>
      <c r="N146" s="63">
        <f ca="1">M146/SUM(M:M)</f>
        <v>6.7567567567567571E-3</v>
      </c>
      <c r="O146" s="31">
        <f>IFERROR(VLOOKUP($E146,bug_conf_sheet!$A:$H,3,FALSE),VLOOKUP("other",bug_conf_sheet!$A:$H,3,FALSE))</f>
        <v>1</v>
      </c>
      <c r="P146" s="31">
        <f>IFERROR(VLOOKUP($E146,bug_conf_sheet!$A:$H,4,FALSE),VLOOKUP("other",bug_conf_sheet!$A:$H,4,FALSE))</f>
        <v>0</v>
      </c>
      <c r="Q146" s="31">
        <f>IFERROR(VLOOKUP($E146,bug_conf_sheet!$A:$H,5,FALSE),VLOOKUP("other",bug_conf_sheet!$A:$H,5,FALSE))</f>
        <v>0</v>
      </c>
      <c r="R146" s="31">
        <f>IFERROR(VLOOKUP($E146,bug_conf_sheet!$A:$H,6,FALSE),VLOOKUP("other",bug_conf_sheet!$A:$H,6,FALSE))</f>
        <v>0</v>
      </c>
      <c r="S146" s="31">
        <f>IFERROR(VLOOKUP($E146,bug_conf_sheet!$A:$H,7,FALSE),VLOOKUP("other",bug_conf_sheet!$A:$H,7,FALSE))</f>
        <v>0</v>
      </c>
      <c r="T146" s="31">
        <f>IFERROR(VLOOKUP($E146,bug_conf_sheet!$A:$H,8,FALSE),VLOOKUP("other",bug_conf_sheet!$A:$H,8,FALSE))</f>
        <v>1</v>
      </c>
    </row>
    <row r="147" spans="1:20" ht="21" customHeight="1">
      <c r="A147" s="2" t="str">
        <f ca="1">input_313010!A$2</f>
        <v>313010</v>
      </c>
      <c r="B147" s="7" t="str">
        <f t="shared" si="6"/>
        <v>Premium4</v>
      </c>
      <c r="C147" s="7" t="str">
        <f t="shared" si="7"/>
        <v>Premium</v>
      </c>
      <c r="D147" s="7" t="str">
        <f t="shared" si="8"/>
        <v>ry</v>
      </c>
      <c r="E147" s="6">
        <v>381</v>
      </c>
      <c r="F147" s="7" t="str">
        <f>VLOOKUP(E147,[1]characters!$A:$C,3,FALSE)</f>
        <v>肉食の恋火 バハムート</v>
      </c>
      <c r="G147" s="7" t="str">
        <f>VLOOKUP(E147,[1]characters!$A:$J,10,FALSE)</f>
        <v>PremiumS</v>
      </c>
      <c r="H147" s="7">
        <f>VLOOKUP(E147,[1]characters!$A:$I,9,FALSE)</f>
        <v>4</v>
      </c>
      <c r="I147" s="7" t="str">
        <f>VLOOKUP(E147,[1]characters!$A:$H,8,FALSE)</f>
        <v>red</v>
      </c>
      <c r="J147" s="7" t="str">
        <f>VLOOKUP(E147,[1]characters!$A:$K,11,FALSE)</f>
        <v>technical</v>
      </c>
      <c r="K147" s="7" t="str">
        <f>VLOOKUP(E147,[1]characters!$A:$M,13,FALSE)</f>
        <v>dragon</v>
      </c>
      <c r="L147" s="7" t="str">
        <f>VLOOKUP(E147,[1]characters!$A:$G,7,FALSE)</f>
        <v>女性</v>
      </c>
      <c r="M147" s="62">
        <f ca="1">IFERROR(VLOOKUP(E147,input_313010!L:R,7,FALSE),VLOOKUP(tables_313010!B147,input_313010!A:H,8,FALSE))</f>
        <v>153090</v>
      </c>
      <c r="N147" s="63">
        <f ca="1">M147/SUM(M:M)</f>
        <v>5.4729729729729726E-3</v>
      </c>
      <c r="O147" s="31">
        <f>IFERROR(VLOOKUP($E147,bug_conf_sheet!$A:$H,3,FALSE),VLOOKUP("other",bug_conf_sheet!$A:$H,3,FALSE))</f>
        <v>1</v>
      </c>
      <c r="P147" s="31">
        <f>IFERROR(VLOOKUP($E147,bug_conf_sheet!$A:$H,4,FALSE),VLOOKUP("other",bug_conf_sheet!$A:$H,4,FALSE))</f>
        <v>0</v>
      </c>
      <c r="Q147" s="31">
        <f>IFERROR(VLOOKUP($E147,bug_conf_sheet!$A:$H,5,FALSE),VLOOKUP("other",bug_conf_sheet!$A:$H,5,FALSE))</f>
        <v>0</v>
      </c>
      <c r="R147" s="31">
        <f>IFERROR(VLOOKUP($E147,bug_conf_sheet!$A:$H,6,FALSE),VLOOKUP("other",bug_conf_sheet!$A:$H,6,FALSE))</f>
        <v>0</v>
      </c>
      <c r="S147" s="31">
        <f>IFERROR(VLOOKUP($E147,bug_conf_sheet!$A:$H,7,FALSE),VLOOKUP("other",bug_conf_sheet!$A:$H,7,FALSE))</f>
        <v>0</v>
      </c>
      <c r="T147" s="31">
        <f>IFERROR(VLOOKUP($E147,bug_conf_sheet!$A:$H,8,FALSE),VLOOKUP("other",bug_conf_sheet!$A:$H,8,FALSE))</f>
        <v>1</v>
      </c>
    </row>
    <row r="148" spans="1:20" ht="21" customHeight="1">
      <c r="A148" s="2" t="str">
        <f ca="1">input_313010!A$2</f>
        <v>313010</v>
      </c>
      <c r="B148" s="7" t="str">
        <f t="shared" si="6"/>
        <v>Premium5</v>
      </c>
      <c r="C148" s="7" t="str">
        <f t="shared" si="7"/>
        <v>Premium</v>
      </c>
      <c r="D148" s="7" t="str">
        <f t="shared" si="8"/>
        <v>ry</v>
      </c>
      <c r="E148" s="6">
        <v>382</v>
      </c>
      <c r="F148" s="7" t="str">
        <f>VLOOKUP(E148,[1]characters!$A:$C,3,FALSE)</f>
        <v>激情の愛炎 バハムート</v>
      </c>
      <c r="G148" s="7" t="str">
        <f>VLOOKUP(E148,[1]characters!$A:$J,10,FALSE)</f>
        <v>PremiumS</v>
      </c>
      <c r="H148" s="7">
        <f>VLOOKUP(E148,[1]characters!$A:$I,9,FALSE)</f>
        <v>5</v>
      </c>
      <c r="I148" s="7" t="str">
        <f>VLOOKUP(E148,[1]characters!$A:$H,8,FALSE)</f>
        <v>red</v>
      </c>
      <c r="J148" s="7" t="str">
        <f>VLOOKUP(E148,[1]characters!$A:$K,11,FALSE)</f>
        <v>technical</v>
      </c>
      <c r="K148" s="7" t="str">
        <f>VLOOKUP(E148,[1]characters!$A:$M,13,FALSE)</f>
        <v>dragon</v>
      </c>
      <c r="L148" s="7" t="str">
        <f>VLOOKUP(E148,[1]characters!$A:$G,7,FALSE)</f>
        <v>女性</v>
      </c>
      <c r="M148" s="62">
        <f ca="1">IFERROR(VLOOKUP(E148,input_313010!L:R,7,FALSE),VLOOKUP(tables_313010!B148,input_313010!A:H,8,FALSE))</f>
        <v>18130</v>
      </c>
      <c r="N148" s="63">
        <f ca="1">M148/SUM(M:M)</f>
        <v>6.4814814814814813E-4</v>
      </c>
      <c r="O148" s="31">
        <f>IFERROR(VLOOKUP($E148,bug_conf_sheet!$A:$H,3,FALSE),VLOOKUP("other",bug_conf_sheet!$A:$H,3,FALSE))</f>
        <v>1</v>
      </c>
      <c r="P148" s="31">
        <f>IFERROR(VLOOKUP($E148,bug_conf_sheet!$A:$H,4,FALSE),VLOOKUP("other",bug_conf_sheet!$A:$H,4,FALSE))</f>
        <v>0</v>
      </c>
      <c r="Q148" s="31">
        <f>IFERROR(VLOOKUP($E148,bug_conf_sheet!$A:$H,5,FALSE),VLOOKUP("other",bug_conf_sheet!$A:$H,5,FALSE))</f>
        <v>0</v>
      </c>
      <c r="R148" s="31">
        <f>IFERROR(VLOOKUP($E148,bug_conf_sheet!$A:$H,6,FALSE),VLOOKUP("other",bug_conf_sheet!$A:$H,6,FALSE))</f>
        <v>0</v>
      </c>
      <c r="S148" s="31">
        <f>IFERROR(VLOOKUP($E148,bug_conf_sheet!$A:$H,7,FALSE),VLOOKUP("other",bug_conf_sheet!$A:$H,7,FALSE))</f>
        <v>0</v>
      </c>
      <c r="T148" s="31">
        <f>IFERROR(VLOOKUP($E148,bug_conf_sheet!$A:$H,8,FALSE),VLOOKUP("other",bug_conf_sheet!$A:$H,8,FALSE))</f>
        <v>1</v>
      </c>
    </row>
    <row r="149" spans="1:20" ht="21" customHeight="1">
      <c r="A149" s="2" t="str">
        <f ca="1">input_313010!A$2</f>
        <v>313010</v>
      </c>
      <c r="B149" s="7" t="str">
        <f t="shared" si="6"/>
        <v>PremiumSSbg4</v>
      </c>
      <c r="C149" s="7" t="str">
        <f t="shared" si="7"/>
        <v>PremiumSS</v>
      </c>
      <c r="D149" s="7" t="str">
        <f t="shared" si="8"/>
        <v>bg</v>
      </c>
      <c r="E149" s="6">
        <v>383</v>
      </c>
      <c r="F149" s="7" t="str">
        <f>VLOOKUP(E149,[1]characters!$A:$C,3,FALSE)</f>
        <v>酒宴の蟒蛇 ヤマタノオロチ</v>
      </c>
      <c r="G149" s="7" t="str">
        <f>VLOOKUP(E149,[1]characters!$A:$J,10,FALSE)</f>
        <v>PremiumSS</v>
      </c>
      <c r="H149" s="7">
        <f>VLOOKUP(E149,[1]characters!$A:$I,9,FALSE)</f>
        <v>4</v>
      </c>
      <c r="I149" s="7" t="str">
        <f>VLOOKUP(E149,[1]characters!$A:$H,8,FALSE)</f>
        <v>green</v>
      </c>
      <c r="J149" s="7" t="str">
        <f>VLOOKUP(E149,[1]characters!$A:$K,11,FALSE)</f>
        <v>hp</v>
      </c>
      <c r="K149" s="7" t="str">
        <f>VLOOKUP(E149,[1]characters!$A:$M,13,FALSE)</f>
        <v>dragon</v>
      </c>
      <c r="L149" s="7" t="str">
        <f>VLOOKUP(E149,[1]characters!$A:$G,7,FALSE)</f>
        <v>女性</v>
      </c>
      <c r="M149" s="62">
        <f ca="1">IFERROR(VLOOKUP(E149,input_313010!L:R,7,FALSE),VLOOKUP(tables_313010!B149,input_313010!A:H,8,FALSE))</f>
        <v>41958</v>
      </c>
      <c r="N149" s="63">
        <f ca="1">M149/SUM(M:M)</f>
        <v>1.5E-3</v>
      </c>
      <c r="O149" s="31">
        <f>IFERROR(VLOOKUP($E149,bug_conf_sheet!$A:$H,3,FALSE),VLOOKUP("other",bug_conf_sheet!$A:$H,3,FALSE))</f>
        <v>1</v>
      </c>
      <c r="P149" s="31">
        <f>IFERROR(VLOOKUP($E149,bug_conf_sheet!$A:$H,4,FALSE),VLOOKUP("other",bug_conf_sheet!$A:$H,4,FALSE))</f>
        <v>0</v>
      </c>
      <c r="Q149" s="31">
        <f>IFERROR(VLOOKUP($E149,bug_conf_sheet!$A:$H,5,FALSE),VLOOKUP("other",bug_conf_sheet!$A:$H,5,FALSE))</f>
        <v>0</v>
      </c>
      <c r="R149" s="31">
        <f>IFERROR(VLOOKUP($E149,bug_conf_sheet!$A:$H,6,FALSE),VLOOKUP("other",bug_conf_sheet!$A:$H,6,FALSE))</f>
        <v>0</v>
      </c>
      <c r="S149" s="31">
        <f>IFERROR(VLOOKUP($E149,bug_conf_sheet!$A:$H,7,FALSE),VLOOKUP("other",bug_conf_sheet!$A:$H,7,FALSE))</f>
        <v>0</v>
      </c>
      <c r="T149" s="31">
        <f>IFERROR(VLOOKUP($E149,bug_conf_sheet!$A:$H,8,FALSE),VLOOKUP("other",bug_conf_sheet!$A:$H,8,FALSE))</f>
        <v>1</v>
      </c>
    </row>
    <row r="150" spans="1:20" ht="21" customHeight="1">
      <c r="A150" s="2" t="str">
        <f ca="1">input_313010!A$2</f>
        <v>313010</v>
      </c>
      <c r="B150" s="7" t="str">
        <f t="shared" si="6"/>
        <v>PremiumSSbg5</v>
      </c>
      <c r="C150" s="7" t="str">
        <f t="shared" si="7"/>
        <v>PremiumSS</v>
      </c>
      <c r="D150" s="7" t="str">
        <f t="shared" si="8"/>
        <v>bg</v>
      </c>
      <c r="E150" s="6">
        <v>384</v>
      </c>
      <c r="F150" s="7" t="str">
        <f>VLOOKUP(E150,[1]characters!$A:$C,3,FALSE)</f>
        <v>破国の呑龍 ヤマタノオロチ</v>
      </c>
      <c r="G150" s="7" t="str">
        <f>VLOOKUP(E150,[1]characters!$A:$J,10,FALSE)</f>
        <v>PremiumSS</v>
      </c>
      <c r="H150" s="7">
        <f>VLOOKUP(E150,[1]characters!$A:$I,9,FALSE)</f>
        <v>5</v>
      </c>
      <c r="I150" s="7" t="str">
        <f>VLOOKUP(E150,[1]characters!$A:$H,8,FALSE)</f>
        <v>green</v>
      </c>
      <c r="J150" s="7" t="str">
        <f>VLOOKUP(E150,[1]characters!$A:$K,11,FALSE)</f>
        <v>hp</v>
      </c>
      <c r="K150" s="7" t="str">
        <f>VLOOKUP(E150,[1]characters!$A:$M,13,FALSE)</f>
        <v>dragon</v>
      </c>
      <c r="L150" s="7" t="str">
        <f>VLOOKUP(E150,[1]characters!$A:$G,7,FALSE)</f>
        <v>女性</v>
      </c>
      <c r="M150" s="62">
        <f ca="1">IFERROR(VLOOKUP(E150,input_313010!L:R,7,FALSE),VLOOKUP(tables_313010!B150,input_313010!A:H,8,FALSE))</f>
        <v>4662</v>
      </c>
      <c r="N150" s="63">
        <f ca="1">M150/SUM(M:M)</f>
        <v>1.6666666666666666E-4</v>
      </c>
      <c r="O150" s="31">
        <f>IFERROR(VLOOKUP($E150,bug_conf_sheet!$A:$H,3,FALSE),VLOOKUP("other",bug_conf_sheet!$A:$H,3,FALSE))</f>
        <v>1</v>
      </c>
      <c r="P150" s="31">
        <f>IFERROR(VLOOKUP($E150,bug_conf_sheet!$A:$H,4,FALSE),VLOOKUP("other",bug_conf_sheet!$A:$H,4,FALSE))</f>
        <v>0</v>
      </c>
      <c r="Q150" s="31">
        <f>IFERROR(VLOOKUP($E150,bug_conf_sheet!$A:$H,5,FALSE),VLOOKUP("other",bug_conf_sheet!$A:$H,5,FALSE))</f>
        <v>0</v>
      </c>
      <c r="R150" s="31">
        <f>IFERROR(VLOOKUP($E150,bug_conf_sheet!$A:$H,6,FALSE),VLOOKUP("other",bug_conf_sheet!$A:$H,6,FALSE))</f>
        <v>0</v>
      </c>
      <c r="S150" s="31">
        <f>IFERROR(VLOOKUP($E150,bug_conf_sheet!$A:$H,7,FALSE),VLOOKUP("other",bug_conf_sheet!$A:$H,7,FALSE))</f>
        <v>0</v>
      </c>
      <c r="T150" s="31">
        <f>IFERROR(VLOOKUP($E150,bug_conf_sheet!$A:$H,8,FALSE),VLOOKUP("other",bug_conf_sheet!$A:$H,8,FALSE))</f>
        <v>1</v>
      </c>
    </row>
    <row r="151" spans="1:20" ht="21" customHeight="1">
      <c r="A151" s="2" t="str">
        <f ca="1">input_313010!A$2</f>
        <v>313010</v>
      </c>
      <c r="B151" s="7" t="str">
        <f t="shared" si="6"/>
        <v>PremiumSSbg4</v>
      </c>
      <c r="C151" s="7" t="str">
        <f t="shared" si="7"/>
        <v>PremiumSS</v>
      </c>
      <c r="D151" s="7" t="str">
        <f t="shared" si="8"/>
        <v>bg</v>
      </c>
      <c r="E151" s="6">
        <v>385</v>
      </c>
      <c r="F151" s="7" t="str">
        <f>VLOOKUP(E151,[1]characters!$A:$C,3,FALSE)</f>
        <v>波烈の出奔 リヴァイアサン</v>
      </c>
      <c r="G151" s="7" t="str">
        <f>VLOOKUP(E151,[1]characters!$A:$J,10,FALSE)</f>
        <v>PremiumSS</v>
      </c>
      <c r="H151" s="7">
        <f>VLOOKUP(E151,[1]characters!$A:$I,9,FALSE)</f>
        <v>4</v>
      </c>
      <c r="I151" s="7" t="str">
        <f>VLOOKUP(E151,[1]characters!$A:$H,8,FALSE)</f>
        <v>blue</v>
      </c>
      <c r="J151" s="7" t="str">
        <f>VLOOKUP(E151,[1]characters!$A:$K,11,FALSE)</f>
        <v>balance</v>
      </c>
      <c r="K151" s="7" t="str">
        <f>VLOOKUP(E151,[1]characters!$A:$M,13,FALSE)</f>
        <v>dragon</v>
      </c>
      <c r="L151" s="7" t="str">
        <f>VLOOKUP(E151,[1]characters!$A:$G,7,FALSE)</f>
        <v>女性</v>
      </c>
      <c r="M151" s="62">
        <f ca="1">IFERROR(VLOOKUP(E151,input_313010!L:R,7,FALSE),VLOOKUP(tables_313010!B151,input_313010!A:H,8,FALSE))</f>
        <v>41958</v>
      </c>
      <c r="N151" s="63">
        <f ca="1">M151/SUM(M:M)</f>
        <v>1.5E-3</v>
      </c>
      <c r="O151" s="31">
        <f>IFERROR(VLOOKUP($E151,bug_conf_sheet!$A:$H,3,FALSE),VLOOKUP("other",bug_conf_sheet!$A:$H,3,FALSE))</f>
        <v>1</v>
      </c>
      <c r="P151" s="31">
        <f>IFERROR(VLOOKUP($E151,bug_conf_sheet!$A:$H,4,FALSE),VLOOKUP("other",bug_conf_sheet!$A:$H,4,FALSE))</f>
        <v>0</v>
      </c>
      <c r="Q151" s="31">
        <f>IFERROR(VLOOKUP($E151,bug_conf_sheet!$A:$H,5,FALSE),VLOOKUP("other",bug_conf_sheet!$A:$H,5,FALSE))</f>
        <v>0</v>
      </c>
      <c r="R151" s="31">
        <f>IFERROR(VLOOKUP($E151,bug_conf_sheet!$A:$H,6,FALSE),VLOOKUP("other",bug_conf_sheet!$A:$H,6,FALSE))</f>
        <v>0</v>
      </c>
      <c r="S151" s="31">
        <f>IFERROR(VLOOKUP($E151,bug_conf_sheet!$A:$H,7,FALSE),VLOOKUP("other",bug_conf_sheet!$A:$H,7,FALSE))</f>
        <v>0</v>
      </c>
      <c r="T151" s="31">
        <f>IFERROR(VLOOKUP($E151,bug_conf_sheet!$A:$H,8,FALSE),VLOOKUP("other",bug_conf_sheet!$A:$H,8,FALSE))</f>
        <v>1</v>
      </c>
    </row>
    <row r="152" spans="1:20" ht="21" customHeight="1">
      <c r="A152" s="2" t="str">
        <f ca="1">input_313010!A$2</f>
        <v>313010</v>
      </c>
      <c r="B152" s="7" t="str">
        <f t="shared" si="6"/>
        <v>PremiumSSbg5</v>
      </c>
      <c r="C152" s="7" t="str">
        <f t="shared" si="7"/>
        <v>PremiumSS</v>
      </c>
      <c r="D152" s="7" t="str">
        <f t="shared" si="8"/>
        <v>bg</v>
      </c>
      <c r="E152" s="6">
        <v>386</v>
      </c>
      <c r="F152" s="7" t="str">
        <f>VLOOKUP(E152,[1]characters!$A:$C,3,FALSE)</f>
        <v>氾乱の海龍 リヴァイアサン</v>
      </c>
      <c r="G152" s="7" t="str">
        <f>VLOOKUP(E152,[1]characters!$A:$J,10,FALSE)</f>
        <v>PremiumSS</v>
      </c>
      <c r="H152" s="7">
        <f>VLOOKUP(E152,[1]characters!$A:$I,9,FALSE)</f>
        <v>5</v>
      </c>
      <c r="I152" s="7" t="str">
        <f>VLOOKUP(E152,[1]characters!$A:$H,8,FALSE)</f>
        <v>blue</v>
      </c>
      <c r="J152" s="7" t="str">
        <f>VLOOKUP(E152,[1]characters!$A:$K,11,FALSE)</f>
        <v>balance</v>
      </c>
      <c r="K152" s="7" t="str">
        <f>VLOOKUP(E152,[1]characters!$A:$M,13,FALSE)</f>
        <v>dragon</v>
      </c>
      <c r="L152" s="7" t="str">
        <f>VLOOKUP(E152,[1]characters!$A:$G,7,FALSE)</f>
        <v>女性</v>
      </c>
      <c r="M152" s="62">
        <f ca="1">IFERROR(VLOOKUP(E152,input_313010!L:R,7,FALSE),VLOOKUP(tables_313010!B152,input_313010!A:H,8,FALSE))</f>
        <v>4662</v>
      </c>
      <c r="N152" s="63">
        <f ca="1">M152/SUM(M:M)</f>
        <v>1.6666666666666666E-4</v>
      </c>
      <c r="O152" s="31">
        <f>IFERROR(VLOOKUP($E152,bug_conf_sheet!$A:$H,3,FALSE),VLOOKUP("other",bug_conf_sheet!$A:$H,3,FALSE))</f>
        <v>1</v>
      </c>
      <c r="P152" s="31">
        <f>IFERROR(VLOOKUP($E152,bug_conf_sheet!$A:$H,4,FALSE),VLOOKUP("other",bug_conf_sheet!$A:$H,4,FALSE))</f>
        <v>0</v>
      </c>
      <c r="Q152" s="31">
        <f>IFERROR(VLOOKUP($E152,bug_conf_sheet!$A:$H,5,FALSE),VLOOKUP("other",bug_conf_sheet!$A:$H,5,FALSE))</f>
        <v>0</v>
      </c>
      <c r="R152" s="31">
        <f>IFERROR(VLOOKUP($E152,bug_conf_sheet!$A:$H,6,FALSE),VLOOKUP("other",bug_conf_sheet!$A:$H,6,FALSE))</f>
        <v>0</v>
      </c>
      <c r="S152" s="31">
        <f>IFERROR(VLOOKUP($E152,bug_conf_sheet!$A:$H,7,FALSE),VLOOKUP("other",bug_conf_sheet!$A:$H,7,FALSE))</f>
        <v>0</v>
      </c>
      <c r="T152" s="31">
        <f>IFERROR(VLOOKUP($E152,bug_conf_sheet!$A:$H,8,FALSE),VLOOKUP("other",bug_conf_sheet!$A:$H,8,FALSE))</f>
        <v>1</v>
      </c>
    </row>
    <row r="153" spans="1:20" ht="21" customHeight="1">
      <c r="A153" s="2" t="str">
        <f ca="1">input_313010!A$2</f>
        <v>313010</v>
      </c>
      <c r="B153" s="7" t="str">
        <f t="shared" si="6"/>
        <v>Premium3</v>
      </c>
      <c r="C153" s="7" t="str">
        <f t="shared" si="7"/>
        <v>Premium</v>
      </c>
      <c r="D153" s="7" t="str">
        <f t="shared" si="8"/>
        <v>ry</v>
      </c>
      <c r="E153" s="6">
        <v>387</v>
      </c>
      <c r="F153" s="7" t="str">
        <f>VLOOKUP(E153,[1]characters!$A:$C,3,FALSE)</f>
        <v>スフィンクス</v>
      </c>
      <c r="G153" s="7" t="str">
        <f>VLOOKUP(E153,[1]characters!$A:$J,10,FALSE)</f>
        <v>PremiumS</v>
      </c>
      <c r="H153" s="7">
        <f>VLOOKUP(E153,[1]characters!$A:$I,9,FALSE)</f>
        <v>3</v>
      </c>
      <c r="I153" s="7" t="str">
        <f>VLOOKUP(E153,[1]characters!$A:$H,8,FALSE)</f>
        <v>yellow</v>
      </c>
      <c r="J153" s="7" t="str">
        <f>VLOOKUP(E153,[1]characters!$A:$K,11,FALSE)</f>
        <v>heal</v>
      </c>
      <c r="K153" s="7" t="str">
        <f>VLOOKUP(E153,[1]characters!$A:$M,13,FALSE)</f>
        <v>animal</v>
      </c>
      <c r="L153" s="7" t="str">
        <f>VLOOKUP(E153,[1]characters!$A:$G,7,FALSE)</f>
        <v>女性</v>
      </c>
      <c r="M153" s="62">
        <f ca="1">IFERROR(VLOOKUP(E153,input_313010!L:R,7,FALSE),VLOOKUP(tables_313010!B153,input_313010!A:H,8,FALSE))</f>
        <v>189000</v>
      </c>
      <c r="N153" s="63">
        <f ca="1">M153/SUM(M:M)</f>
        <v>6.7567567567567571E-3</v>
      </c>
      <c r="O153" s="31">
        <f>IFERROR(VLOOKUP($E153,bug_conf_sheet!$A:$H,3,FALSE),VLOOKUP("other",bug_conf_sheet!$A:$H,3,FALSE))</f>
        <v>1</v>
      </c>
      <c r="P153" s="31">
        <f>IFERROR(VLOOKUP($E153,bug_conf_sheet!$A:$H,4,FALSE),VLOOKUP("other",bug_conf_sheet!$A:$H,4,FALSE))</f>
        <v>0</v>
      </c>
      <c r="Q153" s="31">
        <f>IFERROR(VLOOKUP($E153,bug_conf_sheet!$A:$H,5,FALSE),VLOOKUP("other",bug_conf_sheet!$A:$H,5,FALSE))</f>
        <v>0</v>
      </c>
      <c r="R153" s="31">
        <f>IFERROR(VLOOKUP($E153,bug_conf_sheet!$A:$H,6,FALSE),VLOOKUP("other",bug_conf_sheet!$A:$H,6,FALSE))</f>
        <v>0</v>
      </c>
      <c r="S153" s="31">
        <f>IFERROR(VLOOKUP($E153,bug_conf_sheet!$A:$H,7,FALSE),VLOOKUP("other",bug_conf_sheet!$A:$H,7,FALSE))</f>
        <v>0</v>
      </c>
      <c r="T153" s="31">
        <f>IFERROR(VLOOKUP($E153,bug_conf_sheet!$A:$H,8,FALSE),VLOOKUP("other",bug_conf_sheet!$A:$H,8,FALSE))</f>
        <v>1</v>
      </c>
    </row>
    <row r="154" spans="1:20" ht="21" customHeight="1">
      <c r="A154" s="2" t="str">
        <f ca="1">input_313010!A$2</f>
        <v>313010</v>
      </c>
      <c r="B154" s="7" t="str">
        <f t="shared" si="6"/>
        <v>Premium4</v>
      </c>
      <c r="C154" s="7" t="str">
        <f t="shared" si="7"/>
        <v>Premium</v>
      </c>
      <c r="D154" s="7" t="str">
        <f t="shared" si="8"/>
        <v>ry</v>
      </c>
      <c r="E154" s="6">
        <v>388</v>
      </c>
      <c r="F154" s="7" t="str">
        <f>VLOOKUP(E154,[1]characters!$A:$C,3,FALSE)</f>
        <v>神円の恋姫 スフィンクス</v>
      </c>
      <c r="G154" s="7" t="str">
        <f>VLOOKUP(E154,[1]characters!$A:$J,10,FALSE)</f>
        <v>PremiumS</v>
      </c>
      <c r="H154" s="7">
        <f>VLOOKUP(E154,[1]characters!$A:$I,9,FALSE)</f>
        <v>4</v>
      </c>
      <c r="I154" s="7" t="str">
        <f>VLOOKUP(E154,[1]characters!$A:$H,8,FALSE)</f>
        <v>yellow</v>
      </c>
      <c r="J154" s="7" t="str">
        <f>VLOOKUP(E154,[1]characters!$A:$K,11,FALSE)</f>
        <v>heal</v>
      </c>
      <c r="K154" s="7" t="str">
        <f>VLOOKUP(E154,[1]characters!$A:$M,13,FALSE)</f>
        <v>animal</v>
      </c>
      <c r="L154" s="7" t="str">
        <f>VLOOKUP(E154,[1]characters!$A:$G,7,FALSE)</f>
        <v>女性</v>
      </c>
      <c r="M154" s="62">
        <f ca="1">IFERROR(VLOOKUP(E154,input_313010!L:R,7,FALSE),VLOOKUP(tables_313010!B154,input_313010!A:H,8,FALSE))</f>
        <v>153090</v>
      </c>
      <c r="N154" s="63">
        <f ca="1">M154/SUM(M:M)</f>
        <v>5.4729729729729726E-3</v>
      </c>
      <c r="O154" s="31">
        <f>IFERROR(VLOOKUP($E154,bug_conf_sheet!$A:$H,3,FALSE),VLOOKUP("other",bug_conf_sheet!$A:$H,3,FALSE))</f>
        <v>1</v>
      </c>
      <c r="P154" s="31">
        <f>IFERROR(VLOOKUP($E154,bug_conf_sheet!$A:$H,4,FALSE),VLOOKUP("other",bug_conf_sheet!$A:$H,4,FALSE))</f>
        <v>0</v>
      </c>
      <c r="Q154" s="31">
        <f>IFERROR(VLOOKUP($E154,bug_conf_sheet!$A:$H,5,FALSE),VLOOKUP("other",bug_conf_sheet!$A:$H,5,FALSE))</f>
        <v>0</v>
      </c>
      <c r="R154" s="31">
        <f>IFERROR(VLOOKUP($E154,bug_conf_sheet!$A:$H,6,FALSE),VLOOKUP("other",bug_conf_sheet!$A:$H,6,FALSE))</f>
        <v>0</v>
      </c>
      <c r="S154" s="31">
        <f>IFERROR(VLOOKUP($E154,bug_conf_sheet!$A:$H,7,FALSE),VLOOKUP("other",bug_conf_sheet!$A:$H,7,FALSE))</f>
        <v>0</v>
      </c>
      <c r="T154" s="31">
        <f>IFERROR(VLOOKUP($E154,bug_conf_sheet!$A:$H,8,FALSE),VLOOKUP("other",bug_conf_sheet!$A:$H,8,FALSE))</f>
        <v>1</v>
      </c>
    </row>
    <row r="155" spans="1:20" ht="21" customHeight="1">
      <c r="A155" s="2" t="str">
        <f ca="1">input_313010!A$2</f>
        <v>313010</v>
      </c>
      <c r="B155" s="7" t="str">
        <f t="shared" si="6"/>
        <v>Premium5</v>
      </c>
      <c r="C155" s="7" t="str">
        <f t="shared" si="7"/>
        <v>Premium</v>
      </c>
      <c r="D155" s="7" t="str">
        <f t="shared" si="8"/>
        <v>ry</v>
      </c>
      <c r="E155" s="6">
        <v>389</v>
      </c>
      <c r="F155" s="7" t="str">
        <f>VLOOKUP(E155,[1]characters!$A:$C,3,FALSE)</f>
        <v>操神の愛姫 スフィンクス</v>
      </c>
      <c r="G155" s="7" t="str">
        <f>VLOOKUP(E155,[1]characters!$A:$J,10,FALSE)</f>
        <v>PremiumS</v>
      </c>
      <c r="H155" s="7">
        <f>VLOOKUP(E155,[1]characters!$A:$I,9,FALSE)</f>
        <v>5</v>
      </c>
      <c r="I155" s="7" t="str">
        <f>VLOOKUP(E155,[1]characters!$A:$H,8,FALSE)</f>
        <v>yellow</v>
      </c>
      <c r="J155" s="7" t="str">
        <f>VLOOKUP(E155,[1]characters!$A:$K,11,FALSE)</f>
        <v>heal</v>
      </c>
      <c r="K155" s="7" t="str">
        <f>VLOOKUP(E155,[1]characters!$A:$M,13,FALSE)</f>
        <v>animal</v>
      </c>
      <c r="L155" s="7" t="str">
        <f>VLOOKUP(E155,[1]characters!$A:$G,7,FALSE)</f>
        <v>女性</v>
      </c>
      <c r="M155" s="62">
        <f ca="1">IFERROR(VLOOKUP(E155,input_313010!L:R,7,FALSE),VLOOKUP(tables_313010!B155,input_313010!A:H,8,FALSE))</f>
        <v>18130</v>
      </c>
      <c r="N155" s="63">
        <f ca="1">M155/SUM(M:M)</f>
        <v>6.4814814814814813E-4</v>
      </c>
      <c r="O155" s="31">
        <f>IFERROR(VLOOKUP($E155,bug_conf_sheet!$A:$H,3,FALSE),VLOOKUP("other",bug_conf_sheet!$A:$H,3,FALSE))</f>
        <v>1</v>
      </c>
      <c r="P155" s="31">
        <f>IFERROR(VLOOKUP($E155,bug_conf_sheet!$A:$H,4,FALSE),VLOOKUP("other",bug_conf_sheet!$A:$H,4,FALSE))</f>
        <v>0</v>
      </c>
      <c r="Q155" s="31">
        <f>IFERROR(VLOOKUP($E155,bug_conf_sheet!$A:$H,5,FALSE),VLOOKUP("other",bug_conf_sheet!$A:$H,5,FALSE))</f>
        <v>0</v>
      </c>
      <c r="R155" s="31">
        <f>IFERROR(VLOOKUP($E155,bug_conf_sheet!$A:$H,6,FALSE),VLOOKUP("other",bug_conf_sheet!$A:$H,6,FALSE))</f>
        <v>0</v>
      </c>
      <c r="S155" s="31">
        <f>IFERROR(VLOOKUP($E155,bug_conf_sheet!$A:$H,7,FALSE),VLOOKUP("other",bug_conf_sheet!$A:$H,7,FALSE))</f>
        <v>0</v>
      </c>
      <c r="T155" s="31">
        <f>IFERROR(VLOOKUP($E155,bug_conf_sheet!$A:$H,8,FALSE),VLOOKUP("other",bug_conf_sheet!$A:$H,8,FALSE))</f>
        <v>1</v>
      </c>
    </row>
    <row r="156" spans="1:20" ht="21" customHeight="1">
      <c r="A156" s="2" t="str">
        <f ca="1">input_313010!A$2</f>
        <v>313010</v>
      </c>
      <c r="B156" s="7" t="str">
        <f t="shared" si="6"/>
        <v>PremiumSSry4</v>
      </c>
      <c r="C156" s="7" t="str">
        <f t="shared" si="7"/>
        <v>PremiumSS</v>
      </c>
      <c r="D156" s="7" t="str">
        <f t="shared" si="8"/>
        <v>ry</v>
      </c>
      <c r="E156" s="6">
        <v>390</v>
      </c>
      <c r="F156" s="7" t="str">
        <f>VLOOKUP(E156,[1]characters!$A:$C,3,FALSE)</f>
        <v>華環の旅客 親指姫</v>
      </c>
      <c r="G156" s="7" t="str">
        <f>VLOOKUP(E156,[1]characters!$A:$J,10,FALSE)</f>
        <v>PremiumSS</v>
      </c>
      <c r="H156" s="7">
        <f>VLOOKUP(E156,[1]characters!$A:$I,9,FALSE)</f>
        <v>4</v>
      </c>
      <c r="I156" s="7" t="str">
        <f>VLOOKUP(E156,[1]characters!$A:$H,8,FALSE)</f>
        <v>red</v>
      </c>
      <c r="J156" s="7" t="str">
        <f>VLOOKUP(E156,[1]characters!$A:$K,11,FALSE)</f>
        <v>heal</v>
      </c>
      <c r="K156" s="7" t="str">
        <f>VLOOKUP(E156,[1]characters!$A:$M,13,FALSE)</f>
        <v>human</v>
      </c>
      <c r="L156" s="7" t="str">
        <f>VLOOKUP(E156,[1]characters!$A:$G,7,FALSE)</f>
        <v>女性</v>
      </c>
      <c r="M156" s="62">
        <f ca="1">IFERROR(VLOOKUP(E156,input_313010!L:R,7,FALSE),VLOOKUP(tables_313010!B156,input_313010!A:H,8,FALSE))</f>
        <v>53946</v>
      </c>
      <c r="N156" s="63">
        <f ca="1">M156/SUM(M:M)</f>
        <v>1.9285714285714286E-3</v>
      </c>
      <c r="O156" s="31">
        <f>IFERROR(VLOOKUP($E156,bug_conf_sheet!$A:$H,3,FALSE),VLOOKUP("other",bug_conf_sheet!$A:$H,3,FALSE))</f>
        <v>1</v>
      </c>
      <c r="P156" s="31">
        <f>IFERROR(VLOOKUP($E156,bug_conf_sheet!$A:$H,4,FALSE),VLOOKUP("other",bug_conf_sheet!$A:$H,4,FALSE))</f>
        <v>0</v>
      </c>
      <c r="Q156" s="31">
        <f>IFERROR(VLOOKUP($E156,bug_conf_sheet!$A:$H,5,FALSE),VLOOKUP("other",bug_conf_sheet!$A:$H,5,FALSE))</f>
        <v>0</v>
      </c>
      <c r="R156" s="31">
        <f>IFERROR(VLOOKUP($E156,bug_conf_sheet!$A:$H,6,FALSE),VLOOKUP("other",bug_conf_sheet!$A:$H,6,FALSE))</f>
        <v>0</v>
      </c>
      <c r="S156" s="31">
        <f>IFERROR(VLOOKUP($E156,bug_conf_sheet!$A:$H,7,FALSE),VLOOKUP("other",bug_conf_sheet!$A:$H,7,FALSE))</f>
        <v>0</v>
      </c>
      <c r="T156" s="31">
        <f>IFERROR(VLOOKUP($E156,bug_conf_sheet!$A:$H,8,FALSE),VLOOKUP("other",bug_conf_sheet!$A:$H,8,FALSE))</f>
        <v>1</v>
      </c>
    </row>
    <row r="157" spans="1:20" ht="21" customHeight="1">
      <c r="A157" s="2" t="str">
        <f ca="1">input_313010!A$2</f>
        <v>313010</v>
      </c>
      <c r="B157" s="7" t="str">
        <f t="shared" si="6"/>
        <v>PremiumSSry5</v>
      </c>
      <c r="C157" s="7" t="str">
        <f t="shared" si="7"/>
        <v>PremiumSS</v>
      </c>
      <c r="D157" s="7" t="str">
        <f t="shared" si="8"/>
        <v>ry</v>
      </c>
      <c r="E157" s="6">
        <v>391</v>
      </c>
      <c r="F157" s="7" t="str">
        <f>VLOOKUP(E157,[1]characters!$A:$C,3,FALSE)</f>
        <v>燕翼の旅人 親指姫</v>
      </c>
      <c r="G157" s="7" t="str">
        <f>VLOOKUP(E157,[1]characters!$A:$J,10,FALSE)</f>
        <v>PremiumSS</v>
      </c>
      <c r="H157" s="7">
        <f>VLOOKUP(E157,[1]characters!$A:$I,9,FALSE)</f>
        <v>5</v>
      </c>
      <c r="I157" s="7" t="str">
        <f>VLOOKUP(E157,[1]characters!$A:$H,8,FALSE)</f>
        <v>red</v>
      </c>
      <c r="J157" s="7" t="str">
        <f>VLOOKUP(E157,[1]characters!$A:$K,11,FALSE)</f>
        <v>heal</v>
      </c>
      <c r="K157" s="7" t="str">
        <f>VLOOKUP(E157,[1]characters!$A:$M,13,FALSE)</f>
        <v>human</v>
      </c>
      <c r="L157" s="7" t="str">
        <f>VLOOKUP(E157,[1]characters!$A:$G,7,FALSE)</f>
        <v>女性</v>
      </c>
      <c r="M157" s="62">
        <f ca="1">IFERROR(VLOOKUP(E157,input_313010!L:R,7,FALSE),VLOOKUP(tables_313010!B157,input_313010!A:H,8,FALSE))</f>
        <v>5994</v>
      </c>
      <c r="N157" s="63">
        <f ca="1">M157/SUM(M:M)</f>
        <v>2.1428571428571427E-4</v>
      </c>
      <c r="O157" s="31">
        <f>IFERROR(VLOOKUP($E157,bug_conf_sheet!$A:$H,3,FALSE),VLOOKUP("other",bug_conf_sheet!$A:$H,3,FALSE))</f>
        <v>1</v>
      </c>
      <c r="P157" s="31">
        <f>IFERROR(VLOOKUP($E157,bug_conf_sheet!$A:$H,4,FALSE),VLOOKUP("other",bug_conf_sheet!$A:$H,4,FALSE))</f>
        <v>0</v>
      </c>
      <c r="Q157" s="31">
        <f>IFERROR(VLOOKUP($E157,bug_conf_sheet!$A:$H,5,FALSE),VLOOKUP("other",bug_conf_sheet!$A:$H,5,FALSE))</f>
        <v>0</v>
      </c>
      <c r="R157" s="31">
        <f>IFERROR(VLOOKUP($E157,bug_conf_sheet!$A:$H,6,FALSE),VLOOKUP("other",bug_conf_sheet!$A:$H,6,FALSE))</f>
        <v>0</v>
      </c>
      <c r="S157" s="31">
        <f>IFERROR(VLOOKUP($E157,bug_conf_sheet!$A:$H,7,FALSE),VLOOKUP("other",bug_conf_sheet!$A:$H,7,FALSE))</f>
        <v>0</v>
      </c>
      <c r="T157" s="31">
        <f>IFERROR(VLOOKUP($E157,bug_conf_sheet!$A:$H,8,FALSE),VLOOKUP("other",bug_conf_sheet!$A:$H,8,FALSE))</f>
        <v>1</v>
      </c>
    </row>
    <row r="158" spans="1:20" ht="21" customHeight="1">
      <c r="A158" s="2" t="str">
        <f ca="1">input_313010!A$2</f>
        <v>313010</v>
      </c>
      <c r="B158" s="7" t="str">
        <f t="shared" si="6"/>
        <v>Premium3</v>
      </c>
      <c r="C158" s="7" t="str">
        <f t="shared" si="7"/>
        <v>Premium</v>
      </c>
      <c r="D158" s="7" t="str">
        <f t="shared" si="8"/>
        <v>bg</v>
      </c>
      <c r="E158" s="6">
        <v>392</v>
      </c>
      <c r="F158" s="7" t="str">
        <f>VLOOKUP(E158,[1]characters!$A:$C,3,FALSE)</f>
        <v>ピーターパン</v>
      </c>
      <c r="G158" s="7" t="str">
        <f>VLOOKUP(E158,[1]characters!$A:$J,10,FALSE)</f>
        <v>PremiumS</v>
      </c>
      <c r="H158" s="7">
        <f>VLOOKUP(E158,[1]characters!$A:$I,9,FALSE)</f>
        <v>3</v>
      </c>
      <c r="I158" s="7" t="str">
        <f>VLOOKUP(E158,[1]characters!$A:$H,8,FALSE)</f>
        <v>green</v>
      </c>
      <c r="J158" s="7" t="str">
        <f>VLOOKUP(E158,[1]characters!$A:$K,11,FALSE)</f>
        <v>attack</v>
      </c>
      <c r="K158" s="7" t="str">
        <f>VLOOKUP(E158,[1]characters!$A:$M,13,FALSE)</f>
        <v>human</v>
      </c>
      <c r="L158" s="7" t="str">
        <f>VLOOKUP(E158,[1]characters!$A:$G,7,FALSE)</f>
        <v>男性</v>
      </c>
      <c r="M158" s="62">
        <f ca="1">IFERROR(VLOOKUP(E158,input_313010!L:R,7,FALSE),VLOOKUP(tables_313010!B158,input_313010!A:H,8,FALSE))</f>
        <v>189000</v>
      </c>
      <c r="N158" s="63">
        <f ca="1">M158/SUM(M:M)</f>
        <v>6.7567567567567571E-3</v>
      </c>
      <c r="O158" s="31">
        <f>IFERROR(VLOOKUP($E158,bug_conf_sheet!$A:$H,3,FALSE),VLOOKUP("other",bug_conf_sheet!$A:$H,3,FALSE))</f>
        <v>1</v>
      </c>
      <c r="P158" s="31">
        <f>IFERROR(VLOOKUP($E158,bug_conf_sheet!$A:$H,4,FALSE),VLOOKUP("other",bug_conf_sheet!$A:$H,4,FALSE))</f>
        <v>0</v>
      </c>
      <c r="Q158" s="31">
        <f>IFERROR(VLOOKUP($E158,bug_conf_sheet!$A:$H,5,FALSE),VLOOKUP("other",bug_conf_sheet!$A:$H,5,FALSE))</f>
        <v>0</v>
      </c>
      <c r="R158" s="31">
        <f>IFERROR(VLOOKUP($E158,bug_conf_sheet!$A:$H,6,FALSE),VLOOKUP("other",bug_conf_sheet!$A:$H,6,FALSE))</f>
        <v>0</v>
      </c>
      <c r="S158" s="31">
        <f>IFERROR(VLOOKUP($E158,bug_conf_sheet!$A:$H,7,FALSE),VLOOKUP("other",bug_conf_sheet!$A:$H,7,FALSE))</f>
        <v>0</v>
      </c>
      <c r="T158" s="31">
        <f>IFERROR(VLOOKUP($E158,bug_conf_sheet!$A:$H,8,FALSE),VLOOKUP("other",bug_conf_sheet!$A:$H,8,FALSE))</f>
        <v>1</v>
      </c>
    </row>
    <row r="159" spans="1:20" ht="21" customHeight="1">
      <c r="A159" s="2" t="str">
        <f ca="1">input_313010!A$2</f>
        <v>313010</v>
      </c>
      <c r="B159" s="7" t="str">
        <f t="shared" si="6"/>
        <v>Premium4</v>
      </c>
      <c r="C159" s="7" t="str">
        <f t="shared" si="7"/>
        <v>Premium</v>
      </c>
      <c r="D159" s="7" t="str">
        <f t="shared" si="8"/>
        <v>bg</v>
      </c>
      <c r="E159" s="6">
        <v>393</v>
      </c>
      <c r="F159" s="7" t="str">
        <f>VLOOKUP(E159,[1]characters!$A:$C,3,FALSE)</f>
        <v>影縫い ピーターパン</v>
      </c>
      <c r="G159" s="7" t="str">
        <f>VLOOKUP(E159,[1]characters!$A:$J,10,FALSE)</f>
        <v>PremiumS</v>
      </c>
      <c r="H159" s="7">
        <f>VLOOKUP(E159,[1]characters!$A:$I,9,FALSE)</f>
        <v>4</v>
      </c>
      <c r="I159" s="7" t="str">
        <f>VLOOKUP(E159,[1]characters!$A:$H,8,FALSE)</f>
        <v>green</v>
      </c>
      <c r="J159" s="7" t="str">
        <f>VLOOKUP(E159,[1]characters!$A:$K,11,FALSE)</f>
        <v>attack</v>
      </c>
      <c r="K159" s="7" t="str">
        <f>VLOOKUP(E159,[1]characters!$A:$M,13,FALSE)</f>
        <v>human</v>
      </c>
      <c r="L159" s="7" t="str">
        <f>VLOOKUP(E159,[1]characters!$A:$G,7,FALSE)</f>
        <v>男性</v>
      </c>
      <c r="M159" s="62">
        <f ca="1">IFERROR(VLOOKUP(E159,input_313010!L:R,7,FALSE),VLOOKUP(tables_313010!B159,input_313010!A:H,8,FALSE))</f>
        <v>153090</v>
      </c>
      <c r="N159" s="63">
        <f ca="1">M159/SUM(M:M)</f>
        <v>5.4729729729729726E-3</v>
      </c>
      <c r="O159" s="31">
        <f>IFERROR(VLOOKUP($E159,bug_conf_sheet!$A:$H,3,FALSE),VLOOKUP("other",bug_conf_sheet!$A:$H,3,FALSE))</f>
        <v>1</v>
      </c>
      <c r="P159" s="31">
        <f>IFERROR(VLOOKUP($E159,bug_conf_sheet!$A:$H,4,FALSE),VLOOKUP("other",bug_conf_sheet!$A:$H,4,FALSE))</f>
        <v>0</v>
      </c>
      <c r="Q159" s="31">
        <f>IFERROR(VLOOKUP($E159,bug_conf_sheet!$A:$H,5,FALSE),VLOOKUP("other",bug_conf_sheet!$A:$H,5,FALSE))</f>
        <v>0</v>
      </c>
      <c r="R159" s="31">
        <f>IFERROR(VLOOKUP($E159,bug_conf_sheet!$A:$H,6,FALSE),VLOOKUP("other",bug_conf_sheet!$A:$H,6,FALSE))</f>
        <v>0</v>
      </c>
      <c r="S159" s="31">
        <f>IFERROR(VLOOKUP($E159,bug_conf_sheet!$A:$H,7,FALSE),VLOOKUP("other",bug_conf_sheet!$A:$H,7,FALSE))</f>
        <v>0</v>
      </c>
      <c r="T159" s="31">
        <f>IFERROR(VLOOKUP($E159,bug_conf_sheet!$A:$H,8,FALSE),VLOOKUP("other",bug_conf_sheet!$A:$H,8,FALSE))</f>
        <v>1</v>
      </c>
    </row>
    <row r="160" spans="1:20" ht="21" customHeight="1">
      <c r="A160" s="2" t="str">
        <f ca="1">input_313010!A$2</f>
        <v>313010</v>
      </c>
      <c r="B160" s="7" t="str">
        <f t="shared" si="6"/>
        <v>Premium5</v>
      </c>
      <c r="C160" s="7" t="str">
        <f t="shared" si="7"/>
        <v>Premium</v>
      </c>
      <c r="D160" s="7" t="str">
        <f t="shared" si="8"/>
        <v>bg</v>
      </c>
      <c r="E160" s="6">
        <v>394</v>
      </c>
      <c r="F160" s="7" t="str">
        <f>VLOOKUP(E160,[1]characters!$A:$C,3,FALSE)</f>
        <v>影求の悪童 ピーターパン</v>
      </c>
      <c r="G160" s="7" t="str">
        <f>VLOOKUP(E160,[1]characters!$A:$J,10,FALSE)</f>
        <v>PremiumS</v>
      </c>
      <c r="H160" s="7">
        <f>VLOOKUP(E160,[1]characters!$A:$I,9,FALSE)</f>
        <v>5</v>
      </c>
      <c r="I160" s="7" t="str">
        <f>VLOOKUP(E160,[1]characters!$A:$H,8,FALSE)</f>
        <v>green</v>
      </c>
      <c r="J160" s="7" t="str">
        <f>VLOOKUP(E160,[1]characters!$A:$K,11,FALSE)</f>
        <v>attack</v>
      </c>
      <c r="K160" s="7" t="str">
        <f>VLOOKUP(E160,[1]characters!$A:$M,13,FALSE)</f>
        <v>human</v>
      </c>
      <c r="L160" s="7" t="str">
        <f>VLOOKUP(E160,[1]characters!$A:$G,7,FALSE)</f>
        <v>男性</v>
      </c>
      <c r="M160" s="62">
        <f ca="1">IFERROR(VLOOKUP(E160,input_313010!L:R,7,FALSE),VLOOKUP(tables_313010!B160,input_313010!A:H,8,FALSE))</f>
        <v>18130</v>
      </c>
      <c r="N160" s="63">
        <f ca="1">M160/SUM(M:M)</f>
        <v>6.4814814814814813E-4</v>
      </c>
      <c r="O160" s="31">
        <f>IFERROR(VLOOKUP($E160,bug_conf_sheet!$A:$H,3,FALSE),VLOOKUP("other",bug_conf_sheet!$A:$H,3,FALSE))</f>
        <v>1</v>
      </c>
      <c r="P160" s="31">
        <f>IFERROR(VLOOKUP($E160,bug_conf_sheet!$A:$H,4,FALSE),VLOOKUP("other",bug_conf_sheet!$A:$H,4,FALSE))</f>
        <v>0</v>
      </c>
      <c r="Q160" s="31">
        <f>IFERROR(VLOOKUP($E160,bug_conf_sheet!$A:$H,5,FALSE),VLOOKUP("other",bug_conf_sheet!$A:$H,5,FALSE))</f>
        <v>0</v>
      </c>
      <c r="R160" s="31">
        <f>IFERROR(VLOOKUP($E160,bug_conf_sheet!$A:$H,6,FALSE),VLOOKUP("other",bug_conf_sheet!$A:$H,6,FALSE))</f>
        <v>0</v>
      </c>
      <c r="S160" s="31">
        <f>IFERROR(VLOOKUP($E160,bug_conf_sheet!$A:$H,7,FALSE),VLOOKUP("other",bug_conf_sheet!$A:$H,7,FALSE))</f>
        <v>0</v>
      </c>
      <c r="T160" s="31">
        <f>IFERROR(VLOOKUP($E160,bug_conf_sheet!$A:$H,8,FALSE),VLOOKUP("other",bug_conf_sheet!$A:$H,8,FALSE))</f>
        <v>1</v>
      </c>
    </row>
    <row r="161" spans="1:20" ht="21" customHeight="1">
      <c r="A161" s="2" t="str">
        <f ca="1">input_313010!A$2</f>
        <v>313010</v>
      </c>
      <c r="B161" s="7" t="str">
        <f t="shared" si="6"/>
        <v>Premium3</v>
      </c>
      <c r="C161" s="7" t="str">
        <f t="shared" si="7"/>
        <v>Premium</v>
      </c>
      <c r="D161" s="7" t="str">
        <f t="shared" si="8"/>
        <v>bg</v>
      </c>
      <c r="E161" s="6">
        <v>395</v>
      </c>
      <c r="F161" s="7" t="str">
        <f>VLOOKUP(E161,[1]characters!$A:$C,3,FALSE)</f>
        <v>乙姫</v>
      </c>
      <c r="G161" s="7" t="str">
        <f>VLOOKUP(E161,[1]characters!$A:$J,10,FALSE)</f>
        <v>PremiumS</v>
      </c>
      <c r="H161" s="7">
        <f>VLOOKUP(E161,[1]characters!$A:$I,9,FALSE)</f>
        <v>3</v>
      </c>
      <c r="I161" s="7" t="str">
        <f>VLOOKUP(E161,[1]characters!$A:$H,8,FALSE)</f>
        <v>blue</v>
      </c>
      <c r="J161" s="7" t="str">
        <f>VLOOKUP(E161,[1]characters!$A:$K,11,FALSE)</f>
        <v>hp</v>
      </c>
      <c r="K161" s="7" t="str">
        <f>VLOOKUP(E161,[1]characters!$A:$M,13,FALSE)</f>
        <v>human</v>
      </c>
      <c r="L161" s="7" t="str">
        <f>VLOOKUP(E161,[1]characters!$A:$G,7,FALSE)</f>
        <v>女性</v>
      </c>
      <c r="M161" s="62">
        <f ca="1">IFERROR(VLOOKUP(E161,input_313010!L:R,7,FALSE),VLOOKUP(tables_313010!B161,input_313010!A:H,8,FALSE))</f>
        <v>189000</v>
      </c>
      <c r="N161" s="63">
        <f ca="1">M161/SUM(M:M)</f>
        <v>6.7567567567567571E-3</v>
      </c>
      <c r="O161" s="31">
        <f>IFERROR(VLOOKUP($E161,bug_conf_sheet!$A:$H,3,FALSE),VLOOKUP("other",bug_conf_sheet!$A:$H,3,FALSE))</f>
        <v>1</v>
      </c>
      <c r="P161" s="31">
        <f>IFERROR(VLOOKUP($E161,bug_conf_sheet!$A:$H,4,FALSE),VLOOKUP("other",bug_conf_sheet!$A:$H,4,FALSE))</f>
        <v>0</v>
      </c>
      <c r="Q161" s="31">
        <f>IFERROR(VLOOKUP($E161,bug_conf_sheet!$A:$H,5,FALSE),VLOOKUP("other",bug_conf_sheet!$A:$H,5,FALSE))</f>
        <v>0</v>
      </c>
      <c r="R161" s="31">
        <f>IFERROR(VLOOKUP($E161,bug_conf_sheet!$A:$H,6,FALSE),VLOOKUP("other",bug_conf_sheet!$A:$H,6,FALSE))</f>
        <v>0</v>
      </c>
      <c r="S161" s="31">
        <f>IFERROR(VLOOKUP($E161,bug_conf_sheet!$A:$H,7,FALSE),VLOOKUP("other",bug_conf_sheet!$A:$H,7,FALSE))</f>
        <v>0</v>
      </c>
      <c r="T161" s="31">
        <f>IFERROR(VLOOKUP($E161,bug_conf_sheet!$A:$H,8,FALSE),VLOOKUP("other",bug_conf_sheet!$A:$H,8,FALSE))</f>
        <v>1</v>
      </c>
    </row>
    <row r="162" spans="1:20" ht="21" customHeight="1">
      <c r="A162" s="2" t="str">
        <f ca="1">input_313010!A$2</f>
        <v>313010</v>
      </c>
      <c r="B162" s="7" t="str">
        <f t="shared" si="6"/>
        <v>Premium4</v>
      </c>
      <c r="C162" s="7" t="str">
        <f t="shared" si="7"/>
        <v>Premium</v>
      </c>
      <c r="D162" s="7" t="str">
        <f t="shared" si="8"/>
        <v>bg</v>
      </c>
      <c r="E162" s="6">
        <v>396</v>
      </c>
      <c r="F162" s="7" t="str">
        <f>VLOOKUP(E162,[1]characters!$A:$C,3,FALSE)</f>
        <v>竜宮の水雷 乙姫</v>
      </c>
      <c r="G162" s="7" t="str">
        <f>VLOOKUP(E162,[1]characters!$A:$J,10,FALSE)</f>
        <v>PremiumS</v>
      </c>
      <c r="H162" s="7">
        <f>VLOOKUP(E162,[1]characters!$A:$I,9,FALSE)</f>
        <v>4</v>
      </c>
      <c r="I162" s="7" t="str">
        <f>VLOOKUP(E162,[1]characters!$A:$H,8,FALSE)</f>
        <v>blue</v>
      </c>
      <c r="J162" s="7" t="str">
        <f>VLOOKUP(E162,[1]characters!$A:$K,11,FALSE)</f>
        <v>hp</v>
      </c>
      <c r="K162" s="7" t="str">
        <f>VLOOKUP(E162,[1]characters!$A:$M,13,FALSE)</f>
        <v>human</v>
      </c>
      <c r="L162" s="7" t="str">
        <f>VLOOKUP(E162,[1]characters!$A:$G,7,FALSE)</f>
        <v>女性</v>
      </c>
      <c r="M162" s="62">
        <f ca="1">IFERROR(VLOOKUP(E162,input_313010!L:R,7,FALSE),VLOOKUP(tables_313010!B162,input_313010!A:H,8,FALSE))</f>
        <v>153090</v>
      </c>
      <c r="N162" s="63">
        <f ca="1">M162/SUM(M:M)</f>
        <v>5.4729729729729726E-3</v>
      </c>
      <c r="O162" s="31">
        <f>IFERROR(VLOOKUP($E162,bug_conf_sheet!$A:$H,3,FALSE),VLOOKUP("other",bug_conf_sheet!$A:$H,3,FALSE))</f>
        <v>1</v>
      </c>
      <c r="P162" s="31">
        <f>IFERROR(VLOOKUP($E162,bug_conf_sheet!$A:$H,4,FALSE),VLOOKUP("other",bug_conf_sheet!$A:$H,4,FALSE))</f>
        <v>0</v>
      </c>
      <c r="Q162" s="31">
        <f>IFERROR(VLOOKUP($E162,bug_conf_sheet!$A:$H,5,FALSE),VLOOKUP("other",bug_conf_sheet!$A:$H,5,FALSE))</f>
        <v>0</v>
      </c>
      <c r="R162" s="31">
        <f>IFERROR(VLOOKUP($E162,bug_conf_sheet!$A:$H,6,FALSE),VLOOKUP("other",bug_conf_sheet!$A:$H,6,FALSE))</f>
        <v>0</v>
      </c>
      <c r="S162" s="31">
        <f>IFERROR(VLOOKUP($E162,bug_conf_sheet!$A:$H,7,FALSE),VLOOKUP("other",bug_conf_sheet!$A:$H,7,FALSE))</f>
        <v>0</v>
      </c>
      <c r="T162" s="31">
        <f>IFERROR(VLOOKUP($E162,bug_conf_sheet!$A:$H,8,FALSE),VLOOKUP("other",bug_conf_sheet!$A:$H,8,FALSE))</f>
        <v>1</v>
      </c>
    </row>
    <row r="163" spans="1:20" ht="21" customHeight="1">
      <c r="A163" s="2" t="str">
        <f ca="1">input_313010!A$2</f>
        <v>313010</v>
      </c>
      <c r="B163" s="7" t="str">
        <f t="shared" si="6"/>
        <v>Premium5</v>
      </c>
      <c r="C163" s="7" t="str">
        <f t="shared" si="7"/>
        <v>Premium</v>
      </c>
      <c r="D163" s="7" t="str">
        <f t="shared" si="8"/>
        <v>bg</v>
      </c>
      <c r="E163" s="6">
        <v>397</v>
      </c>
      <c r="F163" s="7" t="str">
        <f>VLOOKUP(E163,[1]characters!$A:$C,3,FALSE)</f>
        <v>禁断の追箱 乙姫</v>
      </c>
      <c r="G163" s="7" t="str">
        <f>VLOOKUP(E163,[1]characters!$A:$J,10,FALSE)</f>
        <v>PremiumS</v>
      </c>
      <c r="H163" s="7">
        <f>VLOOKUP(E163,[1]characters!$A:$I,9,FALSE)</f>
        <v>5</v>
      </c>
      <c r="I163" s="7" t="str">
        <f>VLOOKUP(E163,[1]characters!$A:$H,8,FALSE)</f>
        <v>blue</v>
      </c>
      <c r="J163" s="7" t="str">
        <f>VLOOKUP(E163,[1]characters!$A:$K,11,FALSE)</f>
        <v>hp</v>
      </c>
      <c r="K163" s="7" t="str">
        <f>VLOOKUP(E163,[1]characters!$A:$M,13,FALSE)</f>
        <v>human</v>
      </c>
      <c r="L163" s="7" t="str">
        <f>VLOOKUP(E163,[1]characters!$A:$G,7,FALSE)</f>
        <v>女性</v>
      </c>
      <c r="M163" s="62">
        <f ca="1">IFERROR(VLOOKUP(E163,input_313010!L:R,7,FALSE),VLOOKUP(tables_313010!B163,input_313010!A:H,8,FALSE))</f>
        <v>18130</v>
      </c>
      <c r="N163" s="63">
        <f ca="1">M163/SUM(M:M)</f>
        <v>6.4814814814814813E-4</v>
      </c>
      <c r="O163" s="31">
        <f>IFERROR(VLOOKUP($E163,bug_conf_sheet!$A:$H,3,FALSE),VLOOKUP("other",bug_conf_sheet!$A:$H,3,FALSE))</f>
        <v>1</v>
      </c>
      <c r="P163" s="31">
        <f>IFERROR(VLOOKUP($E163,bug_conf_sheet!$A:$H,4,FALSE),VLOOKUP("other",bug_conf_sheet!$A:$H,4,FALSE))</f>
        <v>0</v>
      </c>
      <c r="Q163" s="31">
        <f>IFERROR(VLOOKUP($E163,bug_conf_sheet!$A:$H,5,FALSE),VLOOKUP("other",bug_conf_sheet!$A:$H,5,FALSE))</f>
        <v>0</v>
      </c>
      <c r="R163" s="31">
        <f>IFERROR(VLOOKUP($E163,bug_conf_sheet!$A:$H,6,FALSE),VLOOKUP("other",bug_conf_sheet!$A:$H,6,FALSE))</f>
        <v>0</v>
      </c>
      <c r="S163" s="31">
        <f>IFERROR(VLOOKUP($E163,bug_conf_sheet!$A:$H,7,FALSE),VLOOKUP("other",bug_conf_sheet!$A:$H,7,FALSE))</f>
        <v>0</v>
      </c>
      <c r="T163" s="31">
        <f>IFERROR(VLOOKUP($E163,bug_conf_sheet!$A:$H,8,FALSE),VLOOKUP("other",bug_conf_sheet!$A:$H,8,FALSE))</f>
        <v>1</v>
      </c>
    </row>
    <row r="164" spans="1:20" ht="21" customHeight="1">
      <c r="A164" s="2" t="str">
        <f ca="1">input_313010!A$2</f>
        <v>313010</v>
      </c>
      <c r="B164" s="7" t="str">
        <f t="shared" si="6"/>
        <v>PremiumSSry4</v>
      </c>
      <c r="C164" s="7" t="str">
        <f t="shared" si="7"/>
        <v>PremiumSS</v>
      </c>
      <c r="D164" s="7" t="str">
        <f t="shared" si="8"/>
        <v>ry</v>
      </c>
      <c r="E164" s="6">
        <v>398</v>
      </c>
      <c r="F164" s="7" t="str">
        <f>VLOOKUP(E164,[1]characters!$A:$C,3,FALSE)</f>
        <v>ヘンゼル＆グレーテル</v>
      </c>
      <c r="G164" s="7" t="str">
        <f>VLOOKUP(E164,[1]characters!$A:$J,10,FALSE)</f>
        <v>PremiumSS</v>
      </c>
      <c r="H164" s="7">
        <f>VLOOKUP(E164,[1]characters!$A:$I,9,FALSE)</f>
        <v>4</v>
      </c>
      <c r="I164" s="7" t="str">
        <f>VLOOKUP(E164,[1]characters!$A:$H,8,FALSE)</f>
        <v>yellow</v>
      </c>
      <c r="J164" s="7" t="str">
        <f>VLOOKUP(E164,[1]characters!$A:$K,11,FALSE)</f>
        <v>balance</v>
      </c>
      <c r="K164" s="7" t="str">
        <f>VLOOKUP(E164,[1]characters!$A:$M,13,FALSE)</f>
        <v>human</v>
      </c>
      <c r="L164" s="7" t="str">
        <f>VLOOKUP(E164,[1]characters!$A:$G,7,FALSE)</f>
        <v>女性</v>
      </c>
      <c r="M164" s="62">
        <f ca="1">IFERROR(VLOOKUP(E164,input_313010!L:R,7,FALSE),VLOOKUP(tables_313010!B164,input_313010!A:H,8,FALSE))</f>
        <v>53946</v>
      </c>
      <c r="N164" s="63">
        <f ca="1">M164/SUM(M:M)</f>
        <v>1.9285714285714286E-3</v>
      </c>
      <c r="O164" s="31">
        <f>IFERROR(VLOOKUP($E164,bug_conf_sheet!$A:$H,3,FALSE),VLOOKUP("other",bug_conf_sheet!$A:$H,3,FALSE))</f>
        <v>1</v>
      </c>
      <c r="P164" s="31">
        <f>IFERROR(VLOOKUP($E164,bug_conf_sheet!$A:$H,4,FALSE),VLOOKUP("other",bug_conf_sheet!$A:$H,4,FALSE))</f>
        <v>0</v>
      </c>
      <c r="Q164" s="31">
        <f>IFERROR(VLOOKUP($E164,bug_conf_sheet!$A:$H,5,FALSE),VLOOKUP("other",bug_conf_sheet!$A:$H,5,FALSE))</f>
        <v>0</v>
      </c>
      <c r="R164" s="31">
        <f>IFERROR(VLOOKUP($E164,bug_conf_sheet!$A:$H,6,FALSE),VLOOKUP("other",bug_conf_sheet!$A:$H,6,FALSE))</f>
        <v>0</v>
      </c>
      <c r="S164" s="31">
        <f>IFERROR(VLOOKUP($E164,bug_conf_sheet!$A:$H,7,FALSE),VLOOKUP("other",bug_conf_sheet!$A:$H,7,FALSE))</f>
        <v>0</v>
      </c>
      <c r="T164" s="31">
        <f>IFERROR(VLOOKUP($E164,bug_conf_sheet!$A:$H,8,FALSE),VLOOKUP("other",bug_conf_sheet!$A:$H,8,FALSE))</f>
        <v>1</v>
      </c>
    </row>
    <row r="165" spans="1:20" ht="21" customHeight="1">
      <c r="A165" s="2" t="str">
        <f ca="1">input_313010!A$2</f>
        <v>313010</v>
      </c>
      <c r="B165" s="7" t="str">
        <f t="shared" si="6"/>
        <v>PremiumSSry5</v>
      </c>
      <c r="C165" s="7" t="str">
        <f t="shared" si="7"/>
        <v>PremiumSS</v>
      </c>
      <c r="D165" s="7" t="str">
        <f t="shared" si="8"/>
        <v>ry</v>
      </c>
      <c r="E165" s="6">
        <v>399</v>
      </c>
      <c r="F165" s="7" t="str">
        <f>VLOOKUP(E165,[1]characters!$A:$C,3,FALSE)</f>
        <v>信愛の兄妹 ヘンゼル＆グレーテル</v>
      </c>
      <c r="G165" s="7" t="str">
        <f>VLOOKUP(E165,[1]characters!$A:$J,10,FALSE)</f>
        <v>PremiumSS</v>
      </c>
      <c r="H165" s="7">
        <f>VLOOKUP(E165,[1]characters!$A:$I,9,FALSE)</f>
        <v>5</v>
      </c>
      <c r="I165" s="7" t="str">
        <f>VLOOKUP(E165,[1]characters!$A:$H,8,FALSE)</f>
        <v>yellow</v>
      </c>
      <c r="J165" s="7" t="str">
        <f>VLOOKUP(E165,[1]characters!$A:$K,11,FALSE)</f>
        <v>balance</v>
      </c>
      <c r="K165" s="7" t="str">
        <f>VLOOKUP(E165,[1]characters!$A:$M,13,FALSE)</f>
        <v>human</v>
      </c>
      <c r="L165" s="7" t="str">
        <f>VLOOKUP(E165,[1]characters!$A:$G,7,FALSE)</f>
        <v>女性</v>
      </c>
      <c r="M165" s="62">
        <f ca="1">IFERROR(VLOOKUP(E165,input_313010!L:R,7,FALSE),VLOOKUP(tables_313010!B165,input_313010!A:H,8,FALSE))</f>
        <v>5994</v>
      </c>
      <c r="N165" s="63">
        <f ca="1">M165/SUM(M:M)</f>
        <v>2.1428571428571427E-4</v>
      </c>
      <c r="O165" s="31">
        <f>IFERROR(VLOOKUP($E165,bug_conf_sheet!$A:$H,3,FALSE),VLOOKUP("other",bug_conf_sheet!$A:$H,3,FALSE))</f>
        <v>1</v>
      </c>
      <c r="P165" s="31">
        <f>IFERROR(VLOOKUP($E165,bug_conf_sheet!$A:$H,4,FALSE),VLOOKUP("other",bug_conf_sheet!$A:$H,4,FALSE))</f>
        <v>0</v>
      </c>
      <c r="Q165" s="31">
        <f>IFERROR(VLOOKUP($E165,bug_conf_sheet!$A:$H,5,FALSE),VLOOKUP("other",bug_conf_sheet!$A:$H,5,FALSE))</f>
        <v>0</v>
      </c>
      <c r="R165" s="31">
        <f>IFERROR(VLOOKUP($E165,bug_conf_sheet!$A:$H,6,FALSE),VLOOKUP("other",bug_conf_sheet!$A:$H,6,FALSE))</f>
        <v>0</v>
      </c>
      <c r="S165" s="31">
        <f>IFERROR(VLOOKUP($E165,bug_conf_sheet!$A:$H,7,FALSE),VLOOKUP("other",bug_conf_sheet!$A:$H,7,FALSE))</f>
        <v>0</v>
      </c>
      <c r="T165" s="31">
        <f>IFERROR(VLOOKUP($E165,bug_conf_sheet!$A:$H,8,FALSE),VLOOKUP("other",bug_conf_sheet!$A:$H,8,FALSE))</f>
        <v>1</v>
      </c>
    </row>
    <row r="166" spans="1:20" ht="21" customHeight="1">
      <c r="A166" s="2" t="str">
        <f ca="1">input_313010!A$2</f>
        <v>313010</v>
      </c>
      <c r="B166" s="7" t="str">
        <f t="shared" si="6"/>
        <v>Premium3</v>
      </c>
      <c r="C166" s="7" t="str">
        <f t="shared" si="7"/>
        <v>Premium</v>
      </c>
      <c r="D166" s="7" t="str">
        <f t="shared" si="8"/>
        <v>ry</v>
      </c>
      <c r="E166" s="6">
        <v>400</v>
      </c>
      <c r="F166" s="7" t="str">
        <f>VLOOKUP(E166,[1]characters!$A:$C,3,FALSE)</f>
        <v>フェンリル</v>
      </c>
      <c r="G166" s="7" t="str">
        <f>VLOOKUP(E166,[1]characters!$A:$J,10,FALSE)</f>
        <v>PremiumS</v>
      </c>
      <c r="H166" s="7">
        <f>VLOOKUP(E166,[1]characters!$A:$I,9,FALSE)</f>
        <v>3</v>
      </c>
      <c r="I166" s="7" t="str">
        <f>VLOOKUP(E166,[1]characters!$A:$H,8,FALSE)</f>
        <v>red</v>
      </c>
      <c r="J166" s="7" t="str">
        <f>VLOOKUP(E166,[1]characters!$A:$K,11,FALSE)</f>
        <v>attack</v>
      </c>
      <c r="K166" s="7" t="str">
        <f>VLOOKUP(E166,[1]characters!$A:$M,13,FALSE)</f>
        <v>animal</v>
      </c>
      <c r="L166" s="7" t="str">
        <f>VLOOKUP(E166,[1]characters!$A:$G,7,FALSE)</f>
        <v>女性</v>
      </c>
      <c r="M166" s="62">
        <f ca="1">IFERROR(VLOOKUP(E166,input_313010!L:R,7,FALSE),VLOOKUP(tables_313010!B166,input_313010!A:H,8,FALSE))</f>
        <v>189000</v>
      </c>
      <c r="N166" s="63">
        <f ca="1">M166/SUM(M:M)</f>
        <v>6.7567567567567571E-3</v>
      </c>
      <c r="O166" s="31">
        <f>IFERROR(VLOOKUP($E166,bug_conf_sheet!$A:$H,3,FALSE),VLOOKUP("other",bug_conf_sheet!$A:$H,3,FALSE))</f>
        <v>1</v>
      </c>
      <c r="P166" s="31">
        <f>IFERROR(VLOOKUP($E166,bug_conf_sheet!$A:$H,4,FALSE),VLOOKUP("other",bug_conf_sheet!$A:$H,4,FALSE))</f>
        <v>0</v>
      </c>
      <c r="Q166" s="31">
        <f>IFERROR(VLOOKUP($E166,bug_conf_sheet!$A:$H,5,FALSE),VLOOKUP("other",bug_conf_sheet!$A:$H,5,FALSE))</f>
        <v>0</v>
      </c>
      <c r="R166" s="31">
        <f>IFERROR(VLOOKUP($E166,bug_conf_sheet!$A:$H,6,FALSE),VLOOKUP("other",bug_conf_sheet!$A:$H,6,FALSE))</f>
        <v>0</v>
      </c>
      <c r="S166" s="31">
        <f>IFERROR(VLOOKUP($E166,bug_conf_sheet!$A:$H,7,FALSE),VLOOKUP("other",bug_conf_sheet!$A:$H,7,FALSE))</f>
        <v>0</v>
      </c>
      <c r="T166" s="31">
        <f>IFERROR(VLOOKUP($E166,bug_conf_sheet!$A:$H,8,FALSE),VLOOKUP("other",bug_conf_sheet!$A:$H,8,FALSE))</f>
        <v>1</v>
      </c>
    </row>
    <row r="167" spans="1:20" ht="21" customHeight="1">
      <c r="A167" s="2" t="str">
        <f ca="1">input_313010!A$2</f>
        <v>313010</v>
      </c>
      <c r="B167" s="7" t="str">
        <f t="shared" si="6"/>
        <v>Premium4</v>
      </c>
      <c r="C167" s="7" t="str">
        <f t="shared" si="7"/>
        <v>Premium</v>
      </c>
      <c r="D167" s="7" t="str">
        <f t="shared" si="8"/>
        <v>ry</v>
      </c>
      <c r="E167" s="6">
        <v>401</v>
      </c>
      <c r="F167" s="7" t="str">
        <f>VLOOKUP(E167,[1]characters!$A:$C,3,FALSE)</f>
        <v>紅銀の孤狼 フェンリル</v>
      </c>
      <c r="G167" s="7" t="str">
        <f>VLOOKUP(E167,[1]characters!$A:$J,10,FALSE)</f>
        <v>PremiumS</v>
      </c>
      <c r="H167" s="7">
        <f>VLOOKUP(E167,[1]characters!$A:$I,9,FALSE)</f>
        <v>4</v>
      </c>
      <c r="I167" s="7" t="str">
        <f>VLOOKUP(E167,[1]characters!$A:$H,8,FALSE)</f>
        <v>red</v>
      </c>
      <c r="J167" s="7" t="str">
        <f>VLOOKUP(E167,[1]characters!$A:$K,11,FALSE)</f>
        <v>attack</v>
      </c>
      <c r="K167" s="7" t="str">
        <f>VLOOKUP(E167,[1]characters!$A:$M,13,FALSE)</f>
        <v>animal</v>
      </c>
      <c r="L167" s="7" t="str">
        <f>VLOOKUP(E167,[1]characters!$A:$G,7,FALSE)</f>
        <v>女性</v>
      </c>
      <c r="M167" s="62">
        <f ca="1">IFERROR(VLOOKUP(E167,input_313010!L:R,7,FALSE),VLOOKUP(tables_313010!B167,input_313010!A:H,8,FALSE))</f>
        <v>153090</v>
      </c>
      <c r="N167" s="63">
        <f ca="1">M167/SUM(M:M)</f>
        <v>5.4729729729729726E-3</v>
      </c>
      <c r="O167" s="31">
        <f>IFERROR(VLOOKUP($E167,bug_conf_sheet!$A:$H,3,FALSE),VLOOKUP("other",bug_conf_sheet!$A:$H,3,FALSE))</f>
        <v>1</v>
      </c>
      <c r="P167" s="31">
        <f>IFERROR(VLOOKUP($E167,bug_conf_sheet!$A:$H,4,FALSE),VLOOKUP("other",bug_conf_sheet!$A:$H,4,FALSE))</f>
        <v>0</v>
      </c>
      <c r="Q167" s="31">
        <f>IFERROR(VLOOKUP($E167,bug_conf_sheet!$A:$H,5,FALSE),VLOOKUP("other",bug_conf_sheet!$A:$H,5,FALSE))</f>
        <v>0</v>
      </c>
      <c r="R167" s="31">
        <f>IFERROR(VLOOKUP($E167,bug_conf_sheet!$A:$H,6,FALSE),VLOOKUP("other",bug_conf_sheet!$A:$H,6,FALSE))</f>
        <v>0</v>
      </c>
      <c r="S167" s="31">
        <f>IFERROR(VLOOKUP($E167,bug_conf_sheet!$A:$H,7,FALSE),VLOOKUP("other",bug_conf_sheet!$A:$H,7,FALSE))</f>
        <v>0</v>
      </c>
      <c r="T167" s="31">
        <f>IFERROR(VLOOKUP($E167,bug_conf_sheet!$A:$H,8,FALSE),VLOOKUP("other",bug_conf_sheet!$A:$H,8,FALSE))</f>
        <v>1</v>
      </c>
    </row>
    <row r="168" spans="1:20" ht="21" customHeight="1">
      <c r="A168" s="2" t="str">
        <f ca="1">input_313010!A$2</f>
        <v>313010</v>
      </c>
      <c r="B168" s="7" t="str">
        <f t="shared" si="6"/>
        <v>Premium5</v>
      </c>
      <c r="C168" s="7" t="str">
        <f t="shared" si="7"/>
        <v>Premium</v>
      </c>
      <c r="D168" s="7" t="str">
        <f t="shared" si="8"/>
        <v>ry</v>
      </c>
      <c r="E168" s="6">
        <v>402</v>
      </c>
      <c r="F168" s="7" t="str">
        <f>VLOOKUP(E168,[1]characters!$A:$C,3,FALSE)</f>
        <v>天災の神狼 フェンリル</v>
      </c>
      <c r="G168" s="7" t="str">
        <f>VLOOKUP(E168,[1]characters!$A:$J,10,FALSE)</f>
        <v>PremiumS</v>
      </c>
      <c r="H168" s="7">
        <f>VLOOKUP(E168,[1]characters!$A:$I,9,FALSE)</f>
        <v>5</v>
      </c>
      <c r="I168" s="7" t="str">
        <f>VLOOKUP(E168,[1]characters!$A:$H,8,FALSE)</f>
        <v>red</v>
      </c>
      <c r="J168" s="7" t="str">
        <f>VLOOKUP(E168,[1]characters!$A:$K,11,FALSE)</f>
        <v>attack</v>
      </c>
      <c r="K168" s="7" t="str">
        <f>VLOOKUP(E168,[1]characters!$A:$M,13,FALSE)</f>
        <v>animal</v>
      </c>
      <c r="L168" s="7" t="str">
        <f>VLOOKUP(E168,[1]characters!$A:$G,7,FALSE)</f>
        <v>女性</v>
      </c>
      <c r="M168" s="62">
        <f ca="1">IFERROR(VLOOKUP(E168,input_313010!L:R,7,FALSE),VLOOKUP(tables_313010!B168,input_313010!A:H,8,FALSE))</f>
        <v>18130</v>
      </c>
      <c r="N168" s="63">
        <f ca="1">M168/SUM(M:M)</f>
        <v>6.4814814814814813E-4</v>
      </c>
      <c r="O168" s="31">
        <f>IFERROR(VLOOKUP($E168,bug_conf_sheet!$A:$H,3,FALSE),VLOOKUP("other",bug_conf_sheet!$A:$H,3,FALSE))</f>
        <v>1</v>
      </c>
      <c r="P168" s="31">
        <f>IFERROR(VLOOKUP($E168,bug_conf_sheet!$A:$H,4,FALSE),VLOOKUP("other",bug_conf_sheet!$A:$H,4,FALSE))</f>
        <v>0</v>
      </c>
      <c r="Q168" s="31">
        <f>IFERROR(VLOOKUP($E168,bug_conf_sheet!$A:$H,5,FALSE),VLOOKUP("other",bug_conf_sheet!$A:$H,5,FALSE))</f>
        <v>0</v>
      </c>
      <c r="R168" s="31">
        <f>IFERROR(VLOOKUP($E168,bug_conf_sheet!$A:$H,6,FALSE),VLOOKUP("other",bug_conf_sheet!$A:$H,6,FALSE))</f>
        <v>0</v>
      </c>
      <c r="S168" s="31">
        <f>IFERROR(VLOOKUP($E168,bug_conf_sheet!$A:$H,7,FALSE),VLOOKUP("other",bug_conf_sheet!$A:$H,7,FALSE))</f>
        <v>0</v>
      </c>
      <c r="T168" s="31">
        <f>IFERROR(VLOOKUP($E168,bug_conf_sheet!$A:$H,8,FALSE),VLOOKUP("other",bug_conf_sheet!$A:$H,8,FALSE))</f>
        <v>1</v>
      </c>
    </row>
    <row r="169" spans="1:20" ht="21" customHeight="1">
      <c r="A169" s="2" t="str">
        <f ca="1">input_313010!A$2</f>
        <v>313010</v>
      </c>
      <c r="B169" s="7" t="str">
        <f t="shared" si="6"/>
        <v>PremiumSSbg4</v>
      </c>
      <c r="C169" s="7" t="str">
        <f t="shared" si="7"/>
        <v>PremiumSS</v>
      </c>
      <c r="D169" s="7" t="str">
        <f t="shared" si="8"/>
        <v>bg</v>
      </c>
      <c r="E169" s="6">
        <v>403</v>
      </c>
      <c r="F169" s="7" t="str">
        <f>VLOOKUP(E169,[1]characters!$A:$C,3,FALSE)</f>
        <v>静撃の翠眼 八咫烏</v>
      </c>
      <c r="G169" s="7" t="str">
        <f>VLOOKUP(E169,[1]characters!$A:$J,10,FALSE)</f>
        <v>PremiumSS</v>
      </c>
      <c r="H169" s="7">
        <f>VLOOKUP(E169,[1]characters!$A:$I,9,FALSE)</f>
        <v>4</v>
      </c>
      <c r="I169" s="7" t="str">
        <f>VLOOKUP(E169,[1]characters!$A:$H,8,FALSE)</f>
        <v>green</v>
      </c>
      <c r="J169" s="7" t="str">
        <f>VLOOKUP(E169,[1]characters!$A:$K,11,FALSE)</f>
        <v>balance</v>
      </c>
      <c r="K169" s="7" t="str">
        <f>VLOOKUP(E169,[1]characters!$A:$M,13,FALSE)</f>
        <v>animal</v>
      </c>
      <c r="L169" s="7" t="str">
        <f>VLOOKUP(E169,[1]characters!$A:$G,7,FALSE)</f>
        <v>女性</v>
      </c>
      <c r="M169" s="62">
        <f ca="1">IFERROR(VLOOKUP(E169,input_313010!L:R,7,FALSE),VLOOKUP(tables_313010!B169,input_313010!A:H,8,FALSE))</f>
        <v>41958</v>
      </c>
      <c r="N169" s="63">
        <f ca="1">M169/SUM(M:M)</f>
        <v>1.5E-3</v>
      </c>
      <c r="O169" s="31">
        <f>IFERROR(VLOOKUP($E169,bug_conf_sheet!$A:$H,3,FALSE),VLOOKUP("other",bug_conf_sheet!$A:$H,3,FALSE))</f>
        <v>1</v>
      </c>
      <c r="P169" s="31">
        <f>IFERROR(VLOOKUP($E169,bug_conf_sheet!$A:$H,4,FALSE),VLOOKUP("other",bug_conf_sheet!$A:$H,4,FALSE))</f>
        <v>0</v>
      </c>
      <c r="Q169" s="31">
        <f>IFERROR(VLOOKUP($E169,bug_conf_sheet!$A:$H,5,FALSE),VLOOKUP("other",bug_conf_sheet!$A:$H,5,FALSE))</f>
        <v>0</v>
      </c>
      <c r="R169" s="31">
        <f>IFERROR(VLOOKUP($E169,bug_conf_sheet!$A:$H,6,FALSE),VLOOKUP("other",bug_conf_sheet!$A:$H,6,FALSE))</f>
        <v>0</v>
      </c>
      <c r="S169" s="31">
        <f>IFERROR(VLOOKUP($E169,bug_conf_sheet!$A:$H,7,FALSE),VLOOKUP("other",bug_conf_sheet!$A:$H,7,FALSE))</f>
        <v>0</v>
      </c>
      <c r="T169" s="31">
        <f>IFERROR(VLOOKUP($E169,bug_conf_sheet!$A:$H,8,FALSE),VLOOKUP("other",bug_conf_sheet!$A:$H,8,FALSE))</f>
        <v>1</v>
      </c>
    </row>
    <row r="170" spans="1:20" ht="21" customHeight="1">
      <c r="A170" s="2" t="str">
        <f ca="1">input_313010!A$2</f>
        <v>313010</v>
      </c>
      <c r="B170" s="7" t="str">
        <f t="shared" si="6"/>
        <v>PremiumSSbg5</v>
      </c>
      <c r="C170" s="7" t="str">
        <f t="shared" si="7"/>
        <v>PremiumSS</v>
      </c>
      <c r="D170" s="7" t="str">
        <f t="shared" si="8"/>
        <v>bg</v>
      </c>
      <c r="E170" s="6">
        <v>404</v>
      </c>
      <c r="F170" s="7" t="str">
        <f>VLOOKUP(E170,[1]characters!$A:$C,3,FALSE)</f>
        <v>空襲の神眼 八咫烏</v>
      </c>
      <c r="G170" s="7" t="str">
        <f>VLOOKUP(E170,[1]characters!$A:$J,10,FALSE)</f>
        <v>PremiumSS</v>
      </c>
      <c r="H170" s="7">
        <f>VLOOKUP(E170,[1]characters!$A:$I,9,FALSE)</f>
        <v>5</v>
      </c>
      <c r="I170" s="7" t="str">
        <f>VLOOKUP(E170,[1]characters!$A:$H,8,FALSE)</f>
        <v>green</v>
      </c>
      <c r="J170" s="7" t="str">
        <f>VLOOKUP(E170,[1]characters!$A:$K,11,FALSE)</f>
        <v>balance</v>
      </c>
      <c r="K170" s="7" t="str">
        <f>VLOOKUP(E170,[1]characters!$A:$M,13,FALSE)</f>
        <v>animal</v>
      </c>
      <c r="L170" s="7" t="str">
        <f>VLOOKUP(E170,[1]characters!$A:$G,7,FALSE)</f>
        <v>女性</v>
      </c>
      <c r="M170" s="62">
        <f ca="1">IFERROR(VLOOKUP(E170,input_313010!L:R,7,FALSE),VLOOKUP(tables_313010!B170,input_313010!A:H,8,FALSE))</f>
        <v>4662</v>
      </c>
      <c r="N170" s="63">
        <f ca="1">M170/SUM(M:M)</f>
        <v>1.6666666666666666E-4</v>
      </c>
      <c r="O170" s="31">
        <f>IFERROR(VLOOKUP($E170,bug_conf_sheet!$A:$H,3,FALSE),VLOOKUP("other",bug_conf_sheet!$A:$H,3,FALSE))</f>
        <v>1</v>
      </c>
      <c r="P170" s="31">
        <f>IFERROR(VLOOKUP($E170,bug_conf_sheet!$A:$H,4,FALSE),VLOOKUP("other",bug_conf_sheet!$A:$H,4,FALSE))</f>
        <v>0</v>
      </c>
      <c r="Q170" s="31">
        <f>IFERROR(VLOOKUP($E170,bug_conf_sheet!$A:$H,5,FALSE),VLOOKUP("other",bug_conf_sheet!$A:$H,5,FALSE))</f>
        <v>0</v>
      </c>
      <c r="R170" s="31">
        <f>IFERROR(VLOOKUP($E170,bug_conf_sheet!$A:$H,6,FALSE),VLOOKUP("other",bug_conf_sheet!$A:$H,6,FALSE))</f>
        <v>0</v>
      </c>
      <c r="S170" s="31">
        <f>IFERROR(VLOOKUP($E170,bug_conf_sheet!$A:$H,7,FALSE),VLOOKUP("other",bug_conf_sheet!$A:$H,7,FALSE))</f>
        <v>0</v>
      </c>
      <c r="T170" s="31">
        <f>IFERROR(VLOOKUP($E170,bug_conf_sheet!$A:$H,8,FALSE),VLOOKUP("other",bug_conf_sheet!$A:$H,8,FALSE))</f>
        <v>1</v>
      </c>
    </row>
    <row r="171" spans="1:20" ht="21" customHeight="1">
      <c r="A171" s="2" t="str">
        <f ca="1">input_313010!A$2</f>
        <v>313010</v>
      </c>
      <c r="B171" s="7" t="str">
        <f t="shared" si="6"/>
        <v>Premium3</v>
      </c>
      <c r="C171" s="7" t="str">
        <f t="shared" si="7"/>
        <v>Premium</v>
      </c>
      <c r="D171" s="7" t="str">
        <f t="shared" si="8"/>
        <v>bg</v>
      </c>
      <c r="E171" s="6">
        <v>405</v>
      </c>
      <c r="F171" s="7" t="str">
        <f>VLOOKUP(E171,[1]characters!$A:$C,3,FALSE)</f>
        <v>エキドナ</v>
      </c>
      <c r="G171" s="7" t="str">
        <f>VLOOKUP(E171,[1]characters!$A:$J,10,FALSE)</f>
        <v>PremiumS</v>
      </c>
      <c r="H171" s="7">
        <f>VLOOKUP(E171,[1]characters!$A:$I,9,FALSE)</f>
        <v>3</v>
      </c>
      <c r="I171" s="7" t="str">
        <f>VLOOKUP(E171,[1]characters!$A:$H,8,FALSE)</f>
        <v>blue</v>
      </c>
      <c r="J171" s="7" t="str">
        <f>VLOOKUP(E171,[1]characters!$A:$K,11,FALSE)</f>
        <v>technical</v>
      </c>
      <c r="K171" s="7" t="str">
        <f>VLOOKUP(E171,[1]characters!$A:$M,13,FALSE)</f>
        <v>animal</v>
      </c>
      <c r="L171" s="7" t="str">
        <f>VLOOKUP(E171,[1]characters!$A:$G,7,FALSE)</f>
        <v>女性</v>
      </c>
      <c r="M171" s="62">
        <f ca="1">IFERROR(VLOOKUP(E171,input_313010!L:R,7,FALSE),VLOOKUP(tables_313010!B171,input_313010!A:H,8,FALSE))</f>
        <v>189000</v>
      </c>
      <c r="N171" s="63">
        <f ca="1">M171/SUM(M:M)</f>
        <v>6.7567567567567571E-3</v>
      </c>
      <c r="O171" s="31">
        <f>IFERROR(VLOOKUP($E171,bug_conf_sheet!$A:$H,3,FALSE),VLOOKUP("other",bug_conf_sheet!$A:$H,3,FALSE))</f>
        <v>1</v>
      </c>
      <c r="P171" s="31">
        <f>IFERROR(VLOOKUP($E171,bug_conf_sheet!$A:$H,4,FALSE),VLOOKUP("other",bug_conf_sheet!$A:$H,4,FALSE))</f>
        <v>0</v>
      </c>
      <c r="Q171" s="31">
        <f>IFERROR(VLOOKUP($E171,bug_conf_sheet!$A:$H,5,FALSE),VLOOKUP("other",bug_conf_sheet!$A:$H,5,FALSE))</f>
        <v>0</v>
      </c>
      <c r="R171" s="31">
        <f>IFERROR(VLOOKUP($E171,bug_conf_sheet!$A:$H,6,FALSE),VLOOKUP("other",bug_conf_sheet!$A:$H,6,FALSE))</f>
        <v>0</v>
      </c>
      <c r="S171" s="31">
        <f>IFERROR(VLOOKUP($E171,bug_conf_sheet!$A:$H,7,FALSE),VLOOKUP("other",bug_conf_sheet!$A:$H,7,FALSE))</f>
        <v>0</v>
      </c>
      <c r="T171" s="31">
        <f>IFERROR(VLOOKUP($E171,bug_conf_sheet!$A:$H,8,FALSE),VLOOKUP("other",bug_conf_sheet!$A:$H,8,FALSE))</f>
        <v>1</v>
      </c>
    </row>
    <row r="172" spans="1:20" ht="21" customHeight="1">
      <c r="A172" s="2" t="str">
        <f ca="1">input_313010!A$2</f>
        <v>313010</v>
      </c>
      <c r="B172" s="7" t="str">
        <f t="shared" si="6"/>
        <v>Premium4</v>
      </c>
      <c r="C172" s="7" t="str">
        <f t="shared" si="7"/>
        <v>Premium</v>
      </c>
      <c r="D172" s="7" t="str">
        <f t="shared" si="8"/>
        <v>bg</v>
      </c>
      <c r="E172" s="6">
        <v>406</v>
      </c>
      <c r="F172" s="7" t="str">
        <f>VLOOKUP(E172,[1]characters!$A:$C,3,FALSE)</f>
        <v>美笑の蒼蛇 エキドナ</v>
      </c>
      <c r="G172" s="7" t="str">
        <f>VLOOKUP(E172,[1]characters!$A:$J,10,FALSE)</f>
        <v>PremiumS</v>
      </c>
      <c r="H172" s="7">
        <f>VLOOKUP(E172,[1]characters!$A:$I,9,FALSE)</f>
        <v>4</v>
      </c>
      <c r="I172" s="7" t="str">
        <f>VLOOKUP(E172,[1]characters!$A:$H,8,FALSE)</f>
        <v>blue</v>
      </c>
      <c r="J172" s="7" t="str">
        <f>VLOOKUP(E172,[1]characters!$A:$K,11,FALSE)</f>
        <v>technical</v>
      </c>
      <c r="K172" s="7" t="str">
        <f>VLOOKUP(E172,[1]characters!$A:$M,13,FALSE)</f>
        <v>animal</v>
      </c>
      <c r="L172" s="7" t="str">
        <f>VLOOKUP(E172,[1]characters!$A:$G,7,FALSE)</f>
        <v>女性</v>
      </c>
      <c r="M172" s="62">
        <f ca="1">IFERROR(VLOOKUP(E172,input_313010!L:R,7,FALSE),VLOOKUP(tables_313010!B172,input_313010!A:H,8,FALSE))</f>
        <v>153090</v>
      </c>
      <c r="N172" s="63">
        <f ca="1">M172/SUM(M:M)</f>
        <v>5.4729729729729726E-3</v>
      </c>
      <c r="O172" s="31">
        <f>IFERROR(VLOOKUP($E172,bug_conf_sheet!$A:$H,3,FALSE),VLOOKUP("other",bug_conf_sheet!$A:$H,3,FALSE))</f>
        <v>1</v>
      </c>
      <c r="P172" s="31">
        <f>IFERROR(VLOOKUP($E172,bug_conf_sheet!$A:$H,4,FALSE),VLOOKUP("other",bug_conf_sheet!$A:$H,4,FALSE))</f>
        <v>0</v>
      </c>
      <c r="Q172" s="31">
        <f>IFERROR(VLOOKUP($E172,bug_conf_sheet!$A:$H,5,FALSE),VLOOKUP("other",bug_conf_sheet!$A:$H,5,FALSE))</f>
        <v>0</v>
      </c>
      <c r="R172" s="31">
        <f>IFERROR(VLOOKUP($E172,bug_conf_sheet!$A:$H,6,FALSE),VLOOKUP("other",bug_conf_sheet!$A:$H,6,FALSE))</f>
        <v>0</v>
      </c>
      <c r="S172" s="31">
        <f>IFERROR(VLOOKUP($E172,bug_conf_sheet!$A:$H,7,FALSE),VLOOKUP("other",bug_conf_sheet!$A:$H,7,FALSE))</f>
        <v>0</v>
      </c>
      <c r="T172" s="31">
        <f>IFERROR(VLOOKUP($E172,bug_conf_sheet!$A:$H,8,FALSE),VLOOKUP("other",bug_conf_sheet!$A:$H,8,FALSE))</f>
        <v>1</v>
      </c>
    </row>
    <row r="173" spans="1:20" ht="21" customHeight="1">
      <c r="A173" s="2" t="str">
        <f ca="1">input_313010!A$2</f>
        <v>313010</v>
      </c>
      <c r="B173" s="7" t="str">
        <f t="shared" si="6"/>
        <v>Premium5</v>
      </c>
      <c r="C173" s="7" t="str">
        <f t="shared" si="7"/>
        <v>Premium</v>
      </c>
      <c r="D173" s="7" t="str">
        <f t="shared" si="8"/>
        <v>bg</v>
      </c>
      <c r="E173" s="6">
        <v>407</v>
      </c>
      <c r="F173" s="7" t="str">
        <f>VLOOKUP(E173,[1]characters!$A:$C,3,FALSE)</f>
        <v>蠱惑の飛刀 エキドナ</v>
      </c>
      <c r="G173" s="7" t="str">
        <f>VLOOKUP(E173,[1]characters!$A:$J,10,FALSE)</f>
        <v>PremiumS</v>
      </c>
      <c r="H173" s="7">
        <f>VLOOKUP(E173,[1]characters!$A:$I,9,FALSE)</f>
        <v>5</v>
      </c>
      <c r="I173" s="7" t="str">
        <f>VLOOKUP(E173,[1]characters!$A:$H,8,FALSE)</f>
        <v>blue</v>
      </c>
      <c r="J173" s="7" t="str">
        <f>VLOOKUP(E173,[1]characters!$A:$K,11,FALSE)</f>
        <v>technical</v>
      </c>
      <c r="K173" s="7" t="str">
        <f>VLOOKUP(E173,[1]characters!$A:$M,13,FALSE)</f>
        <v>animal</v>
      </c>
      <c r="L173" s="7" t="str">
        <f>VLOOKUP(E173,[1]characters!$A:$G,7,FALSE)</f>
        <v>女性</v>
      </c>
      <c r="M173" s="62">
        <f ca="1">IFERROR(VLOOKUP(E173,input_313010!L:R,7,FALSE),VLOOKUP(tables_313010!B173,input_313010!A:H,8,FALSE))</f>
        <v>18130</v>
      </c>
      <c r="N173" s="63">
        <f ca="1">M173/SUM(M:M)</f>
        <v>6.4814814814814813E-4</v>
      </c>
      <c r="O173" s="31">
        <f>IFERROR(VLOOKUP($E173,bug_conf_sheet!$A:$H,3,FALSE),VLOOKUP("other",bug_conf_sheet!$A:$H,3,FALSE))</f>
        <v>1</v>
      </c>
      <c r="P173" s="31">
        <f>IFERROR(VLOOKUP($E173,bug_conf_sheet!$A:$H,4,FALSE),VLOOKUP("other",bug_conf_sheet!$A:$H,4,FALSE))</f>
        <v>0</v>
      </c>
      <c r="Q173" s="31">
        <f>IFERROR(VLOOKUP($E173,bug_conf_sheet!$A:$H,5,FALSE),VLOOKUP("other",bug_conf_sheet!$A:$H,5,FALSE))</f>
        <v>0</v>
      </c>
      <c r="R173" s="31">
        <f>IFERROR(VLOOKUP($E173,bug_conf_sheet!$A:$H,6,FALSE),VLOOKUP("other",bug_conf_sheet!$A:$H,6,FALSE))</f>
        <v>0</v>
      </c>
      <c r="S173" s="31">
        <f>IFERROR(VLOOKUP($E173,bug_conf_sheet!$A:$H,7,FALSE),VLOOKUP("other",bug_conf_sheet!$A:$H,7,FALSE))</f>
        <v>0</v>
      </c>
      <c r="T173" s="31">
        <f>IFERROR(VLOOKUP($E173,bug_conf_sheet!$A:$H,8,FALSE),VLOOKUP("other",bug_conf_sheet!$A:$H,8,FALSE))</f>
        <v>1</v>
      </c>
    </row>
    <row r="174" spans="1:20" ht="21" customHeight="1">
      <c r="A174" s="2" t="str">
        <f ca="1">input_313010!A$2</f>
        <v>313010</v>
      </c>
      <c r="B174" s="7" t="str">
        <f t="shared" si="6"/>
        <v>PremiumSSry4</v>
      </c>
      <c r="C174" s="7" t="str">
        <f t="shared" si="7"/>
        <v>PremiumSS</v>
      </c>
      <c r="D174" s="7" t="str">
        <f t="shared" si="8"/>
        <v>ry</v>
      </c>
      <c r="E174" s="6">
        <v>408</v>
      </c>
      <c r="F174" s="7" t="str">
        <f>VLOOKUP(E174,[1]characters!$A:$C,3,FALSE)</f>
        <v>皇魔 アスタロト</v>
      </c>
      <c r="G174" s="7" t="str">
        <f>VLOOKUP(E174,[1]characters!$A:$J,10,FALSE)</f>
        <v>PremiumSS</v>
      </c>
      <c r="H174" s="7">
        <f>VLOOKUP(E174,[1]characters!$A:$I,9,FALSE)</f>
        <v>4</v>
      </c>
      <c r="I174" s="7" t="str">
        <f>VLOOKUP(E174,[1]characters!$A:$H,8,FALSE)</f>
        <v>yellow</v>
      </c>
      <c r="J174" s="7" t="str">
        <f>VLOOKUP(E174,[1]characters!$A:$K,11,FALSE)</f>
        <v>attack</v>
      </c>
      <c r="K174" s="7" t="str">
        <f>VLOOKUP(E174,[1]characters!$A:$M,13,FALSE)</f>
        <v>god</v>
      </c>
      <c r="L174" s="7" t="str">
        <f>VLOOKUP(E174,[1]characters!$A:$G,7,FALSE)</f>
        <v>男性</v>
      </c>
      <c r="M174" s="62">
        <f ca="1">IFERROR(VLOOKUP(E174,input_313010!L:R,7,FALSE),VLOOKUP(tables_313010!B174,input_313010!A:H,8,FALSE))</f>
        <v>53946</v>
      </c>
      <c r="N174" s="63">
        <f ca="1">M174/SUM(M:M)</f>
        <v>1.9285714285714286E-3</v>
      </c>
      <c r="O174" s="31">
        <f>IFERROR(VLOOKUP($E174,bug_conf_sheet!$A:$H,3,FALSE),VLOOKUP("other",bug_conf_sheet!$A:$H,3,FALSE))</f>
        <v>1</v>
      </c>
      <c r="P174" s="31">
        <f>IFERROR(VLOOKUP($E174,bug_conf_sheet!$A:$H,4,FALSE),VLOOKUP("other",bug_conf_sheet!$A:$H,4,FALSE))</f>
        <v>0</v>
      </c>
      <c r="Q174" s="31">
        <f>IFERROR(VLOOKUP($E174,bug_conf_sheet!$A:$H,5,FALSE),VLOOKUP("other",bug_conf_sheet!$A:$H,5,FALSE))</f>
        <v>0</v>
      </c>
      <c r="R174" s="31">
        <f>IFERROR(VLOOKUP($E174,bug_conf_sheet!$A:$H,6,FALSE),VLOOKUP("other",bug_conf_sheet!$A:$H,6,FALSE))</f>
        <v>0</v>
      </c>
      <c r="S174" s="31">
        <f>IFERROR(VLOOKUP($E174,bug_conf_sheet!$A:$H,7,FALSE),VLOOKUP("other",bug_conf_sheet!$A:$H,7,FALSE))</f>
        <v>0</v>
      </c>
      <c r="T174" s="31">
        <f>IFERROR(VLOOKUP($E174,bug_conf_sheet!$A:$H,8,FALSE),VLOOKUP("other",bug_conf_sheet!$A:$H,8,FALSE))</f>
        <v>1</v>
      </c>
    </row>
    <row r="175" spans="1:20" ht="21" customHeight="1">
      <c r="A175" s="2" t="str">
        <f ca="1">input_313010!A$2</f>
        <v>313010</v>
      </c>
      <c r="B175" s="7" t="str">
        <f t="shared" si="6"/>
        <v>PremiumSSry5</v>
      </c>
      <c r="C175" s="7" t="str">
        <f t="shared" si="7"/>
        <v>PremiumSS</v>
      </c>
      <c r="D175" s="7" t="str">
        <f t="shared" si="8"/>
        <v>ry</v>
      </c>
      <c r="E175" s="6">
        <v>409</v>
      </c>
      <c r="F175" s="7" t="str">
        <f>VLOOKUP(E175,[1]characters!$A:$C,3,FALSE)</f>
        <v>天眼の皇貴魔 アスタロト</v>
      </c>
      <c r="G175" s="7" t="str">
        <f>VLOOKUP(E175,[1]characters!$A:$J,10,FALSE)</f>
        <v>PremiumSS</v>
      </c>
      <c r="H175" s="7">
        <f>VLOOKUP(E175,[1]characters!$A:$I,9,FALSE)</f>
        <v>5</v>
      </c>
      <c r="I175" s="7" t="str">
        <f>VLOOKUP(E175,[1]characters!$A:$H,8,FALSE)</f>
        <v>yellow</v>
      </c>
      <c r="J175" s="7" t="str">
        <f>VLOOKUP(E175,[1]characters!$A:$K,11,FALSE)</f>
        <v>attack</v>
      </c>
      <c r="K175" s="7" t="str">
        <f>VLOOKUP(E175,[1]characters!$A:$M,13,FALSE)</f>
        <v>god</v>
      </c>
      <c r="L175" s="7" t="str">
        <f>VLOOKUP(E175,[1]characters!$A:$G,7,FALSE)</f>
        <v>男性</v>
      </c>
      <c r="M175" s="62">
        <f ca="1">IFERROR(VLOOKUP(E175,input_313010!L:R,7,FALSE),VLOOKUP(tables_313010!B175,input_313010!A:H,8,FALSE))</f>
        <v>5994</v>
      </c>
      <c r="N175" s="63">
        <f ca="1">M175/SUM(M:M)</f>
        <v>2.1428571428571427E-4</v>
      </c>
      <c r="O175" s="31">
        <f>IFERROR(VLOOKUP($E175,bug_conf_sheet!$A:$H,3,FALSE),VLOOKUP("other",bug_conf_sheet!$A:$H,3,FALSE))</f>
        <v>1</v>
      </c>
      <c r="P175" s="31">
        <f>IFERROR(VLOOKUP($E175,bug_conf_sheet!$A:$H,4,FALSE),VLOOKUP("other",bug_conf_sheet!$A:$H,4,FALSE))</f>
        <v>0</v>
      </c>
      <c r="Q175" s="31">
        <f>IFERROR(VLOOKUP($E175,bug_conf_sheet!$A:$H,5,FALSE),VLOOKUP("other",bug_conf_sheet!$A:$H,5,FALSE))</f>
        <v>0</v>
      </c>
      <c r="R175" s="31">
        <f>IFERROR(VLOOKUP($E175,bug_conf_sheet!$A:$H,6,FALSE),VLOOKUP("other",bug_conf_sheet!$A:$H,6,FALSE))</f>
        <v>0</v>
      </c>
      <c r="S175" s="31">
        <f>IFERROR(VLOOKUP($E175,bug_conf_sheet!$A:$H,7,FALSE),VLOOKUP("other",bug_conf_sheet!$A:$H,7,FALSE))</f>
        <v>0</v>
      </c>
      <c r="T175" s="31">
        <f>IFERROR(VLOOKUP($E175,bug_conf_sheet!$A:$H,8,FALSE),VLOOKUP("other",bug_conf_sheet!$A:$H,8,FALSE))</f>
        <v>1</v>
      </c>
    </row>
    <row r="176" spans="1:20" ht="21" customHeight="1">
      <c r="A176" s="2" t="str">
        <f ca="1">input_313010!A$2</f>
        <v>313010</v>
      </c>
      <c r="B176" s="7" t="str">
        <f t="shared" si="6"/>
        <v>PremiumSSry4</v>
      </c>
      <c r="C176" s="7" t="str">
        <f t="shared" si="7"/>
        <v>PremiumSS</v>
      </c>
      <c r="D176" s="7" t="str">
        <f t="shared" si="8"/>
        <v>ry</v>
      </c>
      <c r="E176" s="6">
        <v>434</v>
      </c>
      <c r="F176" s="7" t="str">
        <f>VLOOKUP(E176,[1]characters!$A:$C,3,FALSE)</f>
        <v>D.R.T.H.</v>
      </c>
      <c r="G176" s="7" t="str">
        <f>VLOOKUP(E176,[1]characters!$A:$J,10,FALSE)</f>
        <v>PremiumSS</v>
      </c>
      <c r="H176" s="7">
        <f>VLOOKUP(E176,[1]characters!$A:$I,9,FALSE)</f>
        <v>4</v>
      </c>
      <c r="I176" s="7" t="str">
        <f>VLOOKUP(E176,[1]characters!$A:$H,8,FALSE)</f>
        <v>red</v>
      </c>
      <c r="J176" s="7" t="str">
        <f>VLOOKUP(E176,[1]characters!$A:$K,11,FALSE)</f>
        <v>balance</v>
      </c>
      <c r="K176" s="7" t="str">
        <f>VLOOKUP(E176,[1]characters!$A:$M,13,FALSE)</f>
        <v>human</v>
      </c>
      <c r="L176" s="7" t="str">
        <f>VLOOKUP(E176,[1]characters!$A:$G,7,FALSE)</f>
        <v>女性</v>
      </c>
      <c r="M176" s="62">
        <f ca="1">IFERROR(VLOOKUP(E176,input_313010!L:R,7,FALSE),VLOOKUP(tables_313010!B176,input_313010!A:H,8,FALSE))</f>
        <v>53946</v>
      </c>
      <c r="N176" s="63">
        <f ca="1">M176/SUM(M:M)</f>
        <v>1.9285714285714286E-3</v>
      </c>
      <c r="O176" s="31">
        <f>IFERROR(VLOOKUP($E176,bug_conf_sheet!$A:$H,3,FALSE),VLOOKUP("other",bug_conf_sheet!$A:$H,3,FALSE))</f>
        <v>1</v>
      </c>
      <c r="P176" s="31">
        <f>IFERROR(VLOOKUP($E176,bug_conf_sheet!$A:$H,4,FALSE),VLOOKUP("other",bug_conf_sheet!$A:$H,4,FALSE))</f>
        <v>0</v>
      </c>
      <c r="Q176" s="31">
        <f>IFERROR(VLOOKUP($E176,bug_conf_sheet!$A:$H,5,FALSE),VLOOKUP("other",bug_conf_sheet!$A:$H,5,FALSE))</f>
        <v>0</v>
      </c>
      <c r="R176" s="31">
        <f>IFERROR(VLOOKUP($E176,bug_conf_sheet!$A:$H,6,FALSE),VLOOKUP("other",bug_conf_sheet!$A:$H,6,FALSE))</f>
        <v>0</v>
      </c>
      <c r="S176" s="31">
        <f>IFERROR(VLOOKUP($E176,bug_conf_sheet!$A:$H,7,FALSE),VLOOKUP("other",bug_conf_sheet!$A:$H,7,FALSE))</f>
        <v>0</v>
      </c>
      <c r="T176" s="31">
        <f>IFERROR(VLOOKUP($E176,bug_conf_sheet!$A:$H,8,FALSE),VLOOKUP("other",bug_conf_sheet!$A:$H,8,FALSE))</f>
        <v>1</v>
      </c>
    </row>
    <row r="177" spans="1:20" ht="21" customHeight="1">
      <c r="A177" s="2" t="str">
        <f ca="1">input_313010!A$2</f>
        <v>313010</v>
      </c>
      <c r="B177" s="7" t="str">
        <f t="shared" si="6"/>
        <v>PremiumSSry5</v>
      </c>
      <c r="C177" s="7" t="str">
        <f t="shared" si="7"/>
        <v>PremiumSS</v>
      </c>
      <c r="D177" s="7" t="str">
        <f t="shared" si="8"/>
        <v>ry</v>
      </c>
      <c r="E177" s="6">
        <v>435</v>
      </c>
      <c r="F177" s="7" t="str">
        <f>VLOOKUP(E177,[1]characters!$A:$C,3,FALSE)</f>
        <v>曝弾の密偵 D.R.T.H.</v>
      </c>
      <c r="G177" s="7" t="str">
        <f>VLOOKUP(E177,[1]characters!$A:$J,10,FALSE)</f>
        <v>PremiumSS</v>
      </c>
      <c r="H177" s="7">
        <f>VLOOKUP(E177,[1]characters!$A:$I,9,FALSE)</f>
        <v>5</v>
      </c>
      <c r="I177" s="7" t="str">
        <f>VLOOKUP(E177,[1]characters!$A:$H,8,FALSE)</f>
        <v>red</v>
      </c>
      <c r="J177" s="7" t="str">
        <f>VLOOKUP(E177,[1]characters!$A:$K,11,FALSE)</f>
        <v>balance</v>
      </c>
      <c r="K177" s="7" t="str">
        <f>VLOOKUP(E177,[1]characters!$A:$M,13,FALSE)</f>
        <v>human</v>
      </c>
      <c r="L177" s="7" t="str">
        <f>VLOOKUP(E177,[1]characters!$A:$G,7,FALSE)</f>
        <v>女性</v>
      </c>
      <c r="M177" s="62">
        <f ca="1">IFERROR(VLOOKUP(E177,input_313010!L:R,7,FALSE),VLOOKUP(tables_313010!B177,input_313010!A:H,8,FALSE))</f>
        <v>5994</v>
      </c>
      <c r="N177" s="63">
        <f ca="1">M177/SUM(M:M)</f>
        <v>2.1428571428571427E-4</v>
      </c>
      <c r="O177" s="31">
        <f>IFERROR(VLOOKUP($E177,bug_conf_sheet!$A:$H,3,FALSE),VLOOKUP("other",bug_conf_sheet!$A:$H,3,FALSE))</f>
        <v>1</v>
      </c>
      <c r="P177" s="31">
        <f>IFERROR(VLOOKUP($E177,bug_conf_sheet!$A:$H,4,FALSE),VLOOKUP("other",bug_conf_sheet!$A:$H,4,FALSE))</f>
        <v>0</v>
      </c>
      <c r="Q177" s="31">
        <f>IFERROR(VLOOKUP($E177,bug_conf_sheet!$A:$H,5,FALSE),VLOOKUP("other",bug_conf_sheet!$A:$H,5,FALSE))</f>
        <v>0</v>
      </c>
      <c r="R177" s="31">
        <f>IFERROR(VLOOKUP($E177,bug_conf_sheet!$A:$H,6,FALSE),VLOOKUP("other",bug_conf_sheet!$A:$H,6,FALSE))</f>
        <v>0</v>
      </c>
      <c r="S177" s="31">
        <f>IFERROR(VLOOKUP($E177,bug_conf_sheet!$A:$H,7,FALSE),VLOOKUP("other",bug_conf_sheet!$A:$H,7,FALSE))</f>
        <v>0</v>
      </c>
      <c r="T177" s="31">
        <f>IFERROR(VLOOKUP($E177,bug_conf_sheet!$A:$H,8,FALSE),VLOOKUP("other",bug_conf_sheet!$A:$H,8,FALSE))</f>
        <v>1</v>
      </c>
    </row>
    <row r="178" spans="1:20" ht="21" customHeight="1">
      <c r="A178" s="2" t="str">
        <f ca="1">input_313010!A$2</f>
        <v>313010</v>
      </c>
      <c r="B178" s="7" t="str">
        <f t="shared" si="6"/>
        <v>Premium3</v>
      </c>
      <c r="C178" s="7" t="str">
        <f t="shared" si="7"/>
        <v>Premium</v>
      </c>
      <c r="D178" s="7" t="str">
        <f t="shared" si="8"/>
        <v>bg</v>
      </c>
      <c r="E178" s="6">
        <v>436</v>
      </c>
      <c r="F178" s="7" t="str">
        <f>VLOOKUP(E178,[1]characters!$A:$C,3,FALSE)</f>
        <v>カカシ</v>
      </c>
      <c r="G178" s="7" t="str">
        <f>VLOOKUP(E178,[1]characters!$A:$J,10,FALSE)</f>
        <v>PremiumS</v>
      </c>
      <c r="H178" s="7">
        <f>VLOOKUP(E178,[1]characters!$A:$I,9,FALSE)</f>
        <v>3</v>
      </c>
      <c r="I178" s="7" t="str">
        <f>VLOOKUP(E178,[1]characters!$A:$H,8,FALSE)</f>
        <v>green</v>
      </c>
      <c r="J178" s="7" t="str">
        <f>VLOOKUP(E178,[1]characters!$A:$K,11,FALSE)</f>
        <v>technical</v>
      </c>
      <c r="K178" s="7" t="str">
        <f>VLOOKUP(E178,[1]characters!$A:$M,13,FALSE)</f>
        <v>human</v>
      </c>
      <c r="L178" s="7" t="str">
        <f>VLOOKUP(E178,[1]characters!$A:$G,7,FALSE)</f>
        <v>男性</v>
      </c>
      <c r="M178" s="62">
        <f ca="1">IFERROR(VLOOKUP(E178,input_313010!L:R,7,FALSE),VLOOKUP(tables_313010!B178,input_313010!A:H,8,FALSE))</f>
        <v>189000</v>
      </c>
      <c r="N178" s="63">
        <f ca="1">M178/SUM(M:M)</f>
        <v>6.7567567567567571E-3</v>
      </c>
      <c r="O178" s="31">
        <f>IFERROR(VLOOKUP($E178,bug_conf_sheet!$A:$H,3,FALSE),VLOOKUP("other",bug_conf_sheet!$A:$H,3,FALSE))</f>
        <v>1</v>
      </c>
      <c r="P178" s="31">
        <f>IFERROR(VLOOKUP($E178,bug_conf_sheet!$A:$H,4,FALSE),VLOOKUP("other",bug_conf_sheet!$A:$H,4,FALSE))</f>
        <v>0</v>
      </c>
      <c r="Q178" s="31">
        <f>IFERROR(VLOOKUP($E178,bug_conf_sheet!$A:$H,5,FALSE),VLOOKUP("other",bug_conf_sheet!$A:$H,5,FALSE))</f>
        <v>0</v>
      </c>
      <c r="R178" s="31">
        <f>IFERROR(VLOOKUP($E178,bug_conf_sheet!$A:$H,6,FALSE),VLOOKUP("other",bug_conf_sheet!$A:$H,6,FALSE))</f>
        <v>0</v>
      </c>
      <c r="S178" s="31">
        <f>IFERROR(VLOOKUP($E178,bug_conf_sheet!$A:$H,7,FALSE),VLOOKUP("other",bug_conf_sheet!$A:$H,7,FALSE))</f>
        <v>0</v>
      </c>
      <c r="T178" s="31">
        <f>IFERROR(VLOOKUP($E178,bug_conf_sheet!$A:$H,8,FALSE),VLOOKUP("other",bug_conf_sheet!$A:$H,8,FALSE))</f>
        <v>1</v>
      </c>
    </row>
    <row r="179" spans="1:20" ht="21" customHeight="1">
      <c r="A179" s="2" t="str">
        <f ca="1">input_313010!A$2</f>
        <v>313010</v>
      </c>
      <c r="B179" s="7" t="str">
        <f t="shared" si="6"/>
        <v>Premium4</v>
      </c>
      <c r="C179" s="7" t="str">
        <f t="shared" si="7"/>
        <v>Premium</v>
      </c>
      <c r="D179" s="7" t="str">
        <f t="shared" si="8"/>
        <v>bg</v>
      </c>
      <c r="E179" s="6">
        <v>437</v>
      </c>
      <c r="F179" s="7" t="str">
        <f>VLOOKUP(E179,[1]characters!$A:$C,3,FALSE)</f>
        <v>忘却者 カカシ</v>
      </c>
      <c r="G179" s="7" t="str">
        <f>VLOOKUP(E179,[1]characters!$A:$J,10,FALSE)</f>
        <v>PremiumS</v>
      </c>
      <c r="H179" s="7">
        <f>VLOOKUP(E179,[1]characters!$A:$I,9,FALSE)</f>
        <v>4</v>
      </c>
      <c r="I179" s="7" t="str">
        <f>VLOOKUP(E179,[1]characters!$A:$H,8,FALSE)</f>
        <v>green</v>
      </c>
      <c r="J179" s="7" t="str">
        <f>VLOOKUP(E179,[1]characters!$A:$K,11,FALSE)</f>
        <v>technical</v>
      </c>
      <c r="K179" s="7" t="str">
        <f>VLOOKUP(E179,[1]characters!$A:$M,13,FALSE)</f>
        <v>human</v>
      </c>
      <c r="L179" s="7" t="str">
        <f>VLOOKUP(E179,[1]characters!$A:$G,7,FALSE)</f>
        <v>男性</v>
      </c>
      <c r="M179" s="62">
        <f ca="1">IFERROR(VLOOKUP(E179,input_313010!L:R,7,FALSE),VLOOKUP(tables_313010!B179,input_313010!A:H,8,FALSE))</f>
        <v>153090</v>
      </c>
      <c r="N179" s="63">
        <f ca="1">M179/SUM(M:M)</f>
        <v>5.4729729729729726E-3</v>
      </c>
      <c r="O179" s="31">
        <f>IFERROR(VLOOKUP($E179,bug_conf_sheet!$A:$H,3,FALSE),VLOOKUP("other",bug_conf_sheet!$A:$H,3,FALSE))</f>
        <v>1</v>
      </c>
      <c r="P179" s="31">
        <f>IFERROR(VLOOKUP($E179,bug_conf_sheet!$A:$H,4,FALSE),VLOOKUP("other",bug_conf_sheet!$A:$H,4,FALSE))</f>
        <v>0</v>
      </c>
      <c r="Q179" s="31">
        <f>IFERROR(VLOOKUP($E179,bug_conf_sheet!$A:$H,5,FALSE),VLOOKUP("other",bug_conf_sheet!$A:$H,5,FALSE))</f>
        <v>0</v>
      </c>
      <c r="R179" s="31">
        <f>IFERROR(VLOOKUP($E179,bug_conf_sheet!$A:$H,6,FALSE),VLOOKUP("other",bug_conf_sheet!$A:$H,6,FALSE))</f>
        <v>0</v>
      </c>
      <c r="S179" s="31">
        <f>IFERROR(VLOOKUP($E179,bug_conf_sheet!$A:$H,7,FALSE),VLOOKUP("other",bug_conf_sheet!$A:$H,7,FALSE))</f>
        <v>0</v>
      </c>
      <c r="T179" s="31">
        <f>IFERROR(VLOOKUP($E179,bug_conf_sheet!$A:$H,8,FALSE),VLOOKUP("other",bug_conf_sheet!$A:$H,8,FALSE))</f>
        <v>1</v>
      </c>
    </row>
    <row r="180" spans="1:20" ht="21" customHeight="1">
      <c r="A180" s="2" t="str">
        <f ca="1">input_313010!A$2</f>
        <v>313010</v>
      </c>
      <c r="B180" s="7" t="str">
        <f t="shared" si="6"/>
        <v>Premium5</v>
      </c>
      <c r="C180" s="7" t="str">
        <f t="shared" si="7"/>
        <v>Premium</v>
      </c>
      <c r="D180" s="7" t="str">
        <f t="shared" si="8"/>
        <v>bg</v>
      </c>
      <c r="E180" s="6">
        <v>438</v>
      </c>
      <c r="F180" s="7" t="str">
        <f>VLOOKUP(E180,[1]characters!$A:$C,3,FALSE)</f>
        <v>記憶の奪還 カカシ</v>
      </c>
      <c r="G180" s="7" t="str">
        <f>VLOOKUP(E180,[1]characters!$A:$J,10,FALSE)</f>
        <v>PremiumS</v>
      </c>
      <c r="H180" s="7">
        <f>VLOOKUP(E180,[1]characters!$A:$I,9,FALSE)</f>
        <v>5</v>
      </c>
      <c r="I180" s="7" t="str">
        <f>VLOOKUP(E180,[1]characters!$A:$H,8,FALSE)</f>
        <v>green</v>
      </c>
      <c r="J180" s="7" t="str">
        <f>VLOOKUP(E180,[1]characters!$A:$K,11,FALSE)</f>
        <v>technical</v>
      </c>
      <c r="K180" s="7" t="str">
        <f>VLOOKUP(E180,[1]characters!$A:$M,13,FALSE)</f>
        <v>human</v>
      </c>
      <c r="L180" s="7" t="str">
        <f>VLOOKUP(E180,[1]characters!$A:$G,7,FALSE)</f>
        <v>男性</v>
      </c>
      <c r="M180" s="62">
        <f ca="1">IFERROR(VLOOKUP(E180,input_313010!L:R,7,FALSE),VLOOKUP(tables_313010!B180,input_313010!A:H,8,FALSE))</f>
        <v>18130</v>
      </c>
      <c r="N180" s="63">
        <f ca="1">M180/SUM(M:M)</f>
        <v>6.4814814814814813E-4</v>
      </c>
      <c r="O180" s="31">
        <f>IFERROR(VLOOKUP($E180,bug_conf_sheet!$A:$H,3,FALSE),VLOOKUP("other",bug_conf_sheet!$A:$H,3,FALSE))</f>
        <v>1</v>
      </c>
      <c r="P180" s="31">
        <f>IFERROR(VLOOKUP($E180,bug_conf_sheet!$A:$H,4,FALSE),VLOOKUP("other",bug_conf_sheet!$A:$H,4,FALSE))</f>
        <v>0</v>
      </c>
      <c r="Q180" s="31">
        <f>IFERROR(VLOOKUP($E180,bug_conf_sheet!$A:$H,5,FALSE),VLOOKUP("other",bug_conf_sheet!$A:$H,5,FALSE))</f>
        <v>0</v>
      </c>
      <c r="R180" s="31">
        <f>IFERROR(VLOOKUP($E180,bug_conf_sheet!$A:$H,6,FALSE),VLOOKUP("other",bug_conf_sheet!$A:$H,6,FALSE))</f>
        <v>0</v>
      </c>
      <c r="S180" s="31">
        <f>IFERROR(VLOOKUP($E180,bug_conf_sheet!$A:$H,7,FALSE),VLOOKUP("other",bug_conf_sheet!$A:$H,7,FALSE))</f>
        <v>0</v>
      </c>
      <c r="T180" s="31">
        <f>IFERROR(VLOOKUP($E180,bug_conf_sheet!$A:$H,8,FALSE),VLOOKUP("other",bug_conf_sheet!$A:$H,8,FALSE))</f>
        <v>1</v>
      </c>
    </row>
    <row r="181" spans="1:20" ht="21" customHeight="1">
      <c r="A181" s="2" t="str">
        <f ca="1">input_313010!A$2</f>
        <v>313010</v>
      </c>
      <c r="B181" s="7" t="str">
        <f t="shared" si="6"/>
        <v>Premium3</v>
      </c>
      <c r="C181" s="7" t="str">
        <f t="shared" si="7"/>
        <v>Premium</v>
      </c>
      <c r="D181" s="7" t="str">
        <f t="shared" si="8"/>
        <v>bg</v>
      </c>
      <c r="E181" s="6">
        <v>439</v>
      </c>
      <c r="F181" s="7" t="str">
        <f>VLOOKUP(E181,[1]characters!$A:$C,3,FALSE)</f>
        <v>ブリキロガー</v>
      </c>
      <c r="G181" s="7" t="str">
        <f>VLOOKUP(E181,[1]characters!$A:$J,10,FALSE)</f>
        <v>PremiumS</v>
      </c>
      <c r="H181" s="7">
        <f>VLOOKUP(E181,[1]characters!$A:$I,9,FALSE)</f>
        <v>3</v>
      </c>
      <c r="I181" s="7" t="str">
        <f>VLOOKUP(E181,[1]characters!$A:$H,8,FALSE)</f>
        <v>blue</v>
      </c>
      <c r="J181" s="7" t="str">
        <f>VLOOKUP(E181,[1]characters!$A:$K,11,FALSE)</f>
        <v>attack</v>
      </c>
      <c r="K181" s="7" t="str">
        <f>VLOOKUP(E181,[1]characters!$A:$M,13,FALSE)</f>
        <v>machine</v>
      </c>
      <c r="L181" s="7" t="str">
        <f>VLOOKUP(E181,[1]characters!$A:$G,7,FALSE)</f>
        <v>不明</v>
      </c>
      <c r="M181" s="62">
        <f ca="1">IFERROR(VLOOKUP(E181,input_313010!L:R,7,FALSE),VLOOKUP(tables_313010!B181,input_313010!A:H,8,FALSE))</f>
        <v>189000</v>
      </c>
      <c r="N181" s="63">
        <f ca="1">M181/SUM(M:M)</f>
        <v>6.7567567567567571E-3</v>
      </c>
      <c r="O181" s="31">
        <f>IFERROR(VLOOKUP($E181,bug_conf_sheet!$A:$H,3,FALSE),VLOOKUP("other",bug_conf_sheet!$A:$H,3,FALSE))</f>
        <v>1</v>
      </c>
      <c r="P181" s="31">
        <f>IFERROR(VLOOKUP($E181,bug_conf_sheet!$A:$H,4,FALSE),VLOOKUP("other",bug_conf_sheet!$A:$H,4,FALSE))</f>
        <v>0</v>
      </c>
      <c r="Q181" s="31">
        <f>IFERROR(VLOOKUP($E181,bug_conf_sheet!$A:$H,5,FALSE),VLOOKUP("other",bug_conf_sheet!$A:$H,5,FALSE))</f>
        <v>0</v>
      </c>
      <c r="R181" s="31">
        <f>IFERROR(VLOOKUP($E181,bug_conf_sheet!$A:$H,6,FALSE),VLOOKUP("other",bug_conf_sheet!$A:$H,6,FALSE))</f>
        <v>0</v>
      </c>
      <c r="S181" s="31">
        <f>IFERROR(VLOOKUP($E181,bug_conf_sheet!$A:$H,7,FALSE),VLOOKUP("other",bug_conf_sheet!$A:$H,7,FALSE))</f>
        <v>0</v>
      </c>
      <c r="T181" s="31">
        <f>IFERROR(VLOOKUP($E181,bug_conf_sheet!$A:$H,8,FALSE),VLOOKUP("other",bug_conf_sheet!$A:$H,8,FALSE))</f>
        <v>1</v>
      </c>
    </row>
    <row r="182" spans="1:20" ht="21" customHeight="1">
      <c r="A182" s="2" t="str">
        <f ca="1">input_313010!A$2</f>
        <v>313010</v>
      </c>
      <c r="B182" s="7" t="str">
        <f t="shared" si="6"/>
        <v>Premium4</v>
      </c>
      <c r="C182" s="7" t="str">
        <f t="shared" si="7"/>
        <v>Premium</v>
      </c>
      <c r="D182" s="7" t="str">
        <f t="shared" si="8"/>
        <v>bg</v>
      </c>
      <c r="E182" s="6">
        <v>440</v>
      </c>
      <c r="F182" s="7" t="str">
        <f>VLOOKUP(E182,[1]characters!$A:$C,3,FALSE)</f>
        <v>改良型 ブリキロガー</v>
      </c>
      <c r="G182" s="7" t="str">
        <f>VLOOKUP(E182,[1]characters!$A:$J,10,FALSE)</f>
        <v>PremiumS</v>
      </c>
      <c r="H182" s="7">
        <f>VLOOKUP(E182,[1]characters!$A:$I,9,FALSE)</f>
        <v>4</v>
      </c>
      <c r="I182" s="7" t="str">
        <f>VLOOKUP(E182,[1]characters!$A:$H,8,FALSE)</f>
        <v>blue</v>
      </c>
      <c r="J182" s="7" t="str">
        <f>VLOOKUP(E182,[1]characters!$A:$K,11,FALSE)</f>
        <v>attack</v>
      </c>
      <c r="K182" s="7" t="str">
        <f>VLOOKUP(E182,[1]characters!$A:$M,13,FALSE)</f>
        <v>machine</v>
      </c>
      <c r="L182" s="7" t="str">
        <f>VLOOKUP(E182,[1]characters!$A:$G,7,FALSE)</f>
        <v>不明</v>
      </c>
      <c r="M182" s="62">
        <f ca="1">IFERROR(VLOOKUP(E182,input_313010!L:R,7,FALSE),VLOOKUP(tables_313010!B182,input_313010!A:H,8,FALSE))</f>
        <v>153090</v>
      </c>
      <c r="N182" s="63">
        <f ca="1">M182/SUM(M:M)</f>
        <v>5.4729729729729726E-3</v>
      </c>
      <c r="O182" s="31">
        <f>IFERROR(VLOOKUP($E182,bug_conf_sheet!$A:$H,3,FALSE),VLOOKUP("other",bug_conf_sheet!$A:$H,3,FALSE))</f>
        <v>1</v>
      </c>
      <c r="P182" s="31">
        <f>IFERROR(VLOOKUP($E182,bug_conf_sheet!$A:$H,4,FALSE),VLOOKUP("other",bug_conf_sheet!$A:$H,4,FALSE))</f>
        <v>0</v>
      </c>
      <c r="Q182" s="31">
        <f>IFERROR(VLOOKUP($E182,bug_conf_sheet!$A:$H,5,FALSE),VLOOKUP("other",bug_conf_sheet!$A:$H,5,FALSE))</f>
        <v>0</v>
      </c>
      <c r="R182" s="31">
        <f>IFERROR(VLOOKUP($E182,bug_conf_sheet!$A:$H,6,FALSE),VLOOKUP("other",bug_conf_sheet!$A:$H,6,FALSE))</f>
        <v>0</v>
      </c>
      <c r="S182" s="31">
        <f>IFERROR(VLOOKUP($E182,bug_conf_sheet!$A:$H,7,FALSE),VLOOKUP("other",bug_conf_sheet!$A:$H,7,FALSE))</f>
        <v>0</v>
      </c>
      <c r="T182" s="31">
        <f>IFERROR(VLOOKUP($E182,bug_conf_sheet!$A:$H,8,FALSE),VLOOKUP("other",bug_conf_sheet!$A:$H,8,FALSE))</f>
        <v>1</v>
      </c>
    </row>
    <row r="183" spans="1:20" ht="21" customHeight="1">
      <c r="A183" s="2" t="str">
        <f ca="1">input_313010!A$2</f>
        <v>313010</v>
      </c>
      <c r="B183" s="7" t="str">
        <f t="shared" si="6"/>
        <v>Premium5</v>
      </c>
      <c r="C183" s="7" t="str">
        <f t="shared" si="7"/>
        <v>Premium</v>
      </c>
      <c r="D183" s="7" t="str">
        <f t="shared" si="8"/>
        <v>bg</v>
      </c>
      <c r="E183" s="6">
        <v>441</v>
      </c>
      <c r="F183" s="7" t="str">
        <f>VLOOKUP(E183,[1]characters!$A:$C,3,FALSE)</f>
        <v>求心の錻装 ブリキロガー</v>
      </c>
      <c r="G183" s="7" t="str">
        <f>VLOOKUP(E183,[1]characters!$A:$J,10,FALSE)</f>
        <v>PremiumS</v>
      </c>
      <c r="H183" s="7">
        <f>VLOOKUP(E183,[1]characters!$A:$I,9,FALSE)</f>
        <v>5</v>
      </c>
      <c r="I183" s="7" t="str">
        <f>VLOOKUP(E183,[1]characters!$A:$H,8,FALSE)</f>
        <v>blue</v>
      </c>
      <c r="J183" s="7" t="str">
        <f>VLOOKUP(E183,[1]characters!$A:$K,11,FALSE)</f>
        <v>attack</v>
      </c>
      <c r="K183" s="7" t="str">
        <f>VLOOKUP(E183,[1]characters!$A:$M,13,FALSE)</f>
        <v>machine</v>
      </c>
      <c r="L183" s="7" t="str">
        <f>VLOOKUP(E183,[1]characters!$A:$G,7,FALSE)</f>
        <v>不明</v>
      </c>
      <c r="M183" s="62">
        <f ca="1">IFERROR(VLOOKUP(E183,input_313010!L:R,7,FALSE),VLOOKUP(tables_313010!B183,input_313010!A:H,8,FALSE))</f>
        <v>18130</v>
      </c>
      <c r="N183" s="63">
        <f ca="1">M183/SUM(M:M)</f>
        <v>6.4814814814814813E-4</v>
      </c>
      <c r="O183" s="31">
        <f>IFERROR(VLOOKUP($E183,bug_conf_sheet!$A:$H,3,FALSE),VLOOKUP("other",bug_conf_sheet!$A:$H,3,FALSE))</f>
        <v>1</v>
      </c>
      <c r="P183" s="31">
        <f>IFERROR(VLOOKUP($E183,bug_conf_sheet!$A:$H,4,FALSE),VLOOKUP("other",bug_conf_sheet!$A:$H,4,FALSE))</f>
        <v>0</v>
      </c>
      <c r="Q183" s="31">
        <f>IFERROR(VLOOKUP($E183,bug_conf_sheet!$A:$H,5,FALSE),VLOOKUP("other",bug_conf_sheet!$A:$H,5,FALSE))</f>
        <v>0</v>
      </c>
      <c r="R183" s="31">
        <f>IFERROR(VLOOKUP($E183,bug_conf_sheet!$A:$H,6,FALSE),VLOOKUP("other",bug_conf_sheet!$A:$H,6,FALSE))</f>
        <v>0</v>
      </c>
      <c r="S183" s="31">
        <f>IFERROR(VLOOKUP($E183,bug_conf_sheet!$A:$H,7,FALSE),VLOOKUP("other",bug_conf_sheet!$A:$H,7,FALSE))</f>
        <v>0</v>
      </c>
      <c r="T183" s="31">
        <f>IFERROR(VLOOKUP($E183,bug_conf_sheet!$A:$H,8,FALSE),VLOOKUP("other",bug_conf_sheet!$A:$H,8,FALSE))</f>
        <v>1</v>
      </c>
    </row>
    <row r="184" spans="1:20" ht="21" customHeight="1">
      <c r="A184" s="2" t="str">
        <f ca="1">input_313010!A$2</f>
        <v>313010</v>
      </c>
      <c r="B184" s="7" t="str">
        <f t="shared" si="6"/>
        <v>PremiumSSry4</v>
      </c>
      <c r="C184" s="7" t="str">
        <f t="shared" si="7"/>
        <v>PremiumSS</v>
      </c>
      <c r="D184" s="7" t="str">
        <f t="shared" si="8"/>
        <v>ry</v>
      </c>
      <c r="E184" s="6">
        <v>442</v>
      </c>
      <c r="F184" s="7" t="str">
        <f>VLOOKUP(E184,[1]characters!$A:$C,3,FALSE)</f>
        <v>ブレイブリー・ライオン</v>
      </c>
      <c r="G184" s="7" t="str">
        <f>VLOOKUP(E184,[1]characters!$A:$J,10,FALSE)</f>
        <v>PremiumSS</v>
      </c>
      <c r="H184" s="7">
        <f>VLOOKUP(E184,[1]characters!$A:$I,9,FALSE)</f>
        <v>4</v>
      </c>
      <c r="I184" s="7" t="str">
        <f>VLOOKUP(E184,[1]characters!$A:$H,8,FALSE)</f>
        <v>yellow</v>
      </c>
      <c r="J184" s="7" t="str">
        <f>VLOOKUP(E184,[1]characters!$A:$K,11,FALSE)</f>
        <v>hp</v>
      </c>
      <c r="K184" s="7" t="str">
        <f>VLOOKUP(E184,[1]characters!$A:$M,13,FALSE)</f>
        <v>animal</v>
      </c>
      <c r="L184" s="7" t="str">
        <f>VLOOKUP(E184,[1]characters!$A:$G,7,FALSE)</f>
        <v>不明</v>
      </c>
      <c r="M184" s="62">
        <f ca="1">IFERROR(VLOOKUP(E184,input_313010!L:R,7,FALSE),VLOOKUP(tables_313010!B184,input_313010!A:H,8,FALSE))</f>
        <v>53946</v>
      </c>
      <c r="N184" s="63">
        <f ca="1">M184/SUM(M:M)</f>
        <v>1.9285714285714286E-3</v>
      </c>
      <c r="O184" s="31">
        <f>IFERROR(VLOOKUP($E184,bug_conf_sheet!$A:$H,3,FALSE),VLOOKUP("other",bug_conf_sheet!$A:$H,3,FALSE))</f>
        <v>1</v>
      </c>
      <c r="P184" s="31">
        <f>IFERROR(VLOOKUP($E184,bug_conf_sheet!$A:$H,4,FALSE),VLOOKUP("other",bug_conf_sheet!$A:$H,4,FALSE))</f>
        <v>0</v>
      </c>
      <c r="Q184" s="31">
        <f>IFERROR(VLOOKUP($E184,bug_conf_sheet!$A:$H,5,FALSE),VLOOKUP("other",bug_conf_sheet!$A:$H,5,FALSE))</f>
        <v>0</v>
      </c>
      <c r="R184" s="31">
        <f>IFERROR(VLOOKUP($E184,bug_conf_sheet!$A:$H,6,FALSE),VLOOKUP("other",bug_conf_sheet!$A:$H,6,FALSE))</f>
        <v>0</v>
      </c>
      <c r="S184" s="31">
        <f>IFERROR(VLOOKUP($E184,bug_conf_sheet!$A:$H,7,FALSE),VLOOKUP("other",bug_conf_sheet!$A:$H,7,FALSE))</f>
        <v>0</v>
      </c>
      <c r="T184" s="31">
        <f>IFERROR(VLOOKUP($E184,bug_conf_sheet!$A:$H,8,FALSE),VLOOKUP("other",bug_conf_sheet!$A:$H,8,FALSE))</f>
        <v>1</v>
      </c>
    </row>
    <row r="185" spans="1:20" ht="21" customHeight="1">
      <c r="A185" s="2" t="str">
        <f ca="1">input_313010!A$2</f>
        <v>313010</v>
      </c>
      <c r="B185" s="7" t="str">
        <f t="shared" si="6"/>
        <v>PremiumSSry5</v>
      </c>
      <c r="C185" s="7" t="str">
        <f t="shared" si="7"/>
        <v>PremiumSS</v>
      </c>
      <c r="D185" s="7" t="str">
        <f t="shared" si="8"/>
        <v>ry</v>
      </c>
      <c r="E185" s="6">
        <v>443</v>
      </c>
      <c r="F185" s="7" t="str">
        <f>VLOOKUP(E185,[1]characters!$A:$C,3,FALSE)</f>
        <v>勇機結集 ブレイブリー・ライオン</v>
      </c>
      <c r="G185" s="7" t="str">
        <f>VLOOKUP(E185,[1]characters!$A:$J,10,FALSE)</f>
        <v>PremiumSS</v>
      </c>
      <c r="H185" s="7">
        <f>VLOOKUP(E185,[1]characters!$A:$I,9,FALSE)</f>
        <v>5</v>
      </c>
      <c r="I185" s="7" t="str">
        <f>VLOOKUP(E185,[1]characters!$A:$H,8,FALSE)</f>
        <v>yellow</v>
      </c>
      <c r="J185" s="7" t="str">
        <f>VLOOKUP(E185,[1]characters!$A:$K,11,FALSE)</f>
        <v>hp</v>
      </c>
      <c r="K185" s="7" t="str">
        <f>VLOOKUP(E185,[1]characters!$A:$M,13,FALSE)</f>
        <v>animal</v>
      </c>
      <c r="L185" s="7" t="str">
        <f>VLOOKUP(E185,[1]characters!$A:$G,7,FALSE)</f>
        <v>不明</v>
      </c>
      <c r="M185" s="62">
        <f ca="1">IFERROR(VLOOKUP(E185,input_313010!L:R,7,FALSE),VLOOKUP(tables_313010!B185,input_313010!A:H,8,FALSE))</f>
        <v>5994</v>
      </c>
      <c r="N185" s="63">
        <f ca="1">M185/SUM(M:M)</f>
        <v>2.1428571428571427E-4</v>
      </c>
      <c r="O185" s="31">
        <f>IFERROR(VLOOKUP($E185,bug_conf_sheet!$A:$H,3,FALSE),VLOOKUP("other",bug_conf_sheet!$A:$H,3,FALSE))</f>
        <v>1</v>
      </c>
      <c r="P185" s="31">
        <f>IFERROR(VLOOKUP($E185,bug_conf_sheet!$A:$H,4,FALSE),VLOOKUP("other",bug_conf_sheet!$A:$H,4,FALSE))</f>
        <v>0</v>
      </c>
      <c r="Q185" s="31">
        <f>IFERROR(VLOOKUP($E185,bug_conf_sheet!$A:$H,5,FALSE),VLOOKUP("other",bug_conf_sheet!$A:$H,5,FALSE))</f>
        <v>0</v>
      </c>
      <c r="R185" s="31">
        <f>IFERROR(VLOOKUP($E185,bug_conf_sheet!$A:$H,6,FALSE),VLOOKUP("other",bug_conf_sheet!$A:$H,6,FALSE))</f>
        <v>0</v>
      </c>
      <c r="S185" s="31">
        <f>IFERROR(VLOOKUP($E185,bug_conf_sheet!$A:$H,7,FALSE),VLOOKUP("other",bug_conf_sheet!$A:$H,7,FALSE))</f>
        <v>0</v>
      </c>
      <c r="T185" s="31">
        <f>IFERROR(VLOOKUP($E185,bug_conf_sheet!$A:$H,8,FALSE),VLOOKUP("other",bug_conf_sheet!$A:$H,8,FALSE))</f>
        <v>1</v>
      </c>
    </row>
    <row r="186" spans="1:20" ht="21" customHeight="1">
      <c r="A186" s="2" t="str">
        <f ca="1">input_313010!A$2</f>
        <v>313010</v>
      </c>
      <c r="B186" s="7" t="str">
        <f t="shared" si="6"/>
        <v>Premium3</v>
      </c>
      <c r="C186" s="7" t="str">
        <f t="shared" si="7"/>
        <v>Premium</v>
      </c>
      <c r="D186" s="7" t="str">
        <f t="shared" si="8"/>
        <v>ry</v>
      </c>
      <c r="E186" s="8">
        <v>462</v>
      </c>
      <c r="F186" s="7" t="str">
        <f>VLOOKUP(E186,[1]characters!$A:$C,3,FALSE)</f>
        <v>ガウェイン</v>
      </c>
      <c r="G186" s="7" t="str">
        <f>VLOOKUP(E186,[1]characters!$A:$J,10,FALSE)</f>
        <v>PremiumS</v>
      </c>
      <c r="H186" s="7">
        <f>VLOOKUP(E186,[1]characters!$A:$I,9,FALSE)</f>
        <v>3</v>
      </c>
      <c r="I186" s="7" t="str">
        <f>VLOOKUP(E186,[1]characters!$A:$H,8,FALSE)</f>
        <v>red</v>
      </c>
      <c r="J186" s="7" t="str">
        <f>VLOOKUP(E186,[1]characters!$A:$K,11,FALSE)</f>
        <v>hp</v>
      </c>
      <c r="K186" s="7" t="str">
        <f>VLOOKUP(E186,[1]characters!$A:$M,13,FALSE)</f>
        <v>human</v>
      </c>
      <c r="L186" s="7" t="str">
        <f>VLOOKUP(E186,[1]characters!$A:$G,7,FALSE)</f>
        <v>男性</v>
      </c>
      <c r="M186" s="62">
        <f ca="1">IFERROR(VLOOKUP(E186,input_313010!L:R,7,FALSE),VLOOKUP(tables_313010!B186,input_313010!A:H,8,FALSE))</f>
        <v>189000</v>
      </c>
      <c r="N186" s="63">
        <f ca="1">M186/SUM(M:M)</f>
        <v>6.7567567567567571E-3</v>
      </c>
      <c r="O186" s="31">
        <f>IFERROR(VLOOKUP($E186,bug_conf_sheet!$A:$H,3,FALSE),VLOOKUP("other",bug_conf_sheet!$A:$H,3,FALSE))</f>
        <v>1</v>
      </c>
      <c r="P186" s="31">
        <f>IFERROR(VLOOKUP($E186,bug_conf_sheet!$A:$H,4,FALSE),VLOOKUP("other",bug_conf_sheet!$A:$H,4,FALSE))</f>
        <v>0</v>
      </c>
      <c r="Q186" s="31">
        <f>IFERROR(VLOOKUP($E186,bug_conf_sheet!$A:$H,5,FALSE),VLOOKUP("other",bug_conf_sheet!$A:$H,5,FALSE))</f>
        <v>0</v>
      </c>
      <c r="R186" s="31">
        <f>IFERROR(VLOOKUP($E186,bug_conf_sheet!$A:$H,6,FALSE),VLOOKUP("other",bug_conf_sheet!$A:$H,6,FALSE))</f>
        <v>0</v>
      </c>
      <c r="S186" s="31">
        <f>IFERROR(VLOOKUP($E186,bug_conf_sheet!$A:$H,7,FALSE),VLOOKUP("other",bug_conf_sheet!$A:$H,7,FALSE))</f>
        <v>0</v>
      </c>
      <c r="T186" s="31">
        <f>IFERROR(VLOOKUP($E186,bug_conf_sheet!$A:$H,8,FALSE),VLOOKUP("other",bug_conf_sheet!$A:$H,8,FALSE))</f>
        <v>1</v>
      </c>
    </row>
    <row r="187" spans="1:20" ht="21" customHeight="1">
      <c r="A187" s="2" t="str">
        <f ca="1">input_313010!A$2</f>
        <v>313010</v>
      </c>
      <c r="B187" s="7" t="str">
        <f t="shared" si="6"/>
        <v>Premium4</v>
      </c>
      <c r="C187" s="7" t="str">
        <f t="shared" si="7"/>
        <v>Premium</v>
      </c>
      <c r="D187" s="7" t="str">
        <f t="shared" si="8"/>
        <v>ry</v>
      </c>
      <c r="E187" s="8">
        <v>463</v>
      </c>
      <c r="F187" s="7" t="str">
        <f>VLOOKUP(E187,[1]characters!$A:$C,3,FALSE)</f>
        <v>燻銀 ガウェイン</v>
      </c>
      <c r="G187" s="7" t="str">
        <f>VLOOKUP(E187,[1]characters!$A:$J,10,FALSE)</f>
        <v>PremiumS</v>
      </c>
      <c r="H187" s="7">
        <f>VLOOKUP(E187,[1]characters!$A:$I,9,FALSE)</f>
        <v>4</v>
      </c>
      <c r="I187" s="7" t="str">
        <f>VLOOKUP(E187,[1]characters!$A:$H,8,FALSE)</f>
        <v>red</v>
      </c>
      <c r="J187" s="7" t="str">
        <f>VLOOKUP(E187,[1]characters!$A:$K,11,FALSE)</f>
        <v>hp</v>
      </c>
      <c r="K187" s="7" t="str">
        <f>VLOOKUP(E187,[1]characters!$A:$M,13,FALSE)</f>
        <v>human</v>
      </c>
      <c r="L187" s="7" t="str">
        <f>VLOOKUP(E187,[1]characters!$A:$G,7,FALSE)</f>
        <v>男性</v>
      </c>
      <c r="M187" s="62">
        <f ca="1">IFERROR(VLOOKUP(E187,input_313010!L:R,7,FALSE),VLOOKUP(tables_313010!B187,input_313010!A:H,8,FALSE))</f>
        <v>153090</v>
      </c>
      <c r="N187" s="63">
        <f ca="1">M187/SUM(M:M)</f>
        <v>5.4729729729729726E-3</v>
      </c>
      <c r="O187" s="31">
        <f>IFERROR(VLOOKUP($E187,bug_conf_sheet!$A:$H,3,FALSE),VLOOKUP("other",bug_conf_sheet!$A:$H,3,FALSE))</f>
        <v>1</v>
      </c>
      <c r="P187" s="31">
        <f>IFERROR(VLOOKUP($E187,bug_conf_sheet!$A:$H,4,FALSE),VLOOKUP("other",bug_conf_sheet!$A:$H,4,FALSE))</f>
        <v>0</v>
      </c>
      <c r="Q187" s="31">
        <f>IFERROR(VLOOKUP($E187,bug_conf_sheet!$A:$H,5,FALSE),VLOOKUP("other",bug_conf_sheet!$A:$H,5,FALSE))</f>
        <v>0</v>
      </c>
      <c r="R187" s="31">
        <f>IFERROR(VLOOKUP($E187,bug_conf_sheet!$A:$H,6,FALSE),VLOOKUP("other",bug_conf_sheet!$A:$H,6,FALSE))</f>
        <v>0</v>
      </c>
      <c r="S187" s="31">
        <f>IFERROR(VLOOKUP($E187,bug_conf_sheet!$A:$H,7,FALSE),VLOOKUP("other",bug_conf_sheet!$A:$H,7,FALSE))</f>
        <v>0</v>
      </c>
      <c r="T187" s="31">
        <f>IFERROR(VLOOKUP($E187,bug_conf_sheet!$A:$H,8,FALSE),VLOOKUP("other",bug_conf_sheet!$A:$H,8,FALSE))</f>
        <v>1</v>
      </c>
    </row>
    <row r="188" spans="1:20" ht="21" customHeight="1">
      <c r="A188" s="2" t="str">
        <f ca="1">input_313010!A$2</f>
        <v>313010</v>
      </c>
      <c r="B188" s="7" t="str">
        <f t="shared" si="6"/>
        <v>Premium5</v>
      </c>
      <c r="C188" s="7" t="str">
        <f t="shared" si="7"/>
        <v>Premium</v>
      </c>
      <c r="D188" s="7" t="str">
        <f t="shared" si="8"/>
        <v>ry</v>
      </c>
      <c r="E188" s="8">
        <v>464</v>
      </c>
      <c r="F188" s="7" t="str">
        <f>VLOOKUP(E188,[1]characters!$A:$C,3,FALSE)</f>
        <v>円熟の弾導 ガウェイン</v>
      </c>
      <c r="G188" s="7" t="str">
        <f>VLOOKUP(E188,[1]characters!$A:$J,10,FALSE)</f>
        <v>PremiumS</v>
      </c>
      <c r="H188" s="7">
        <f>VLOOKUP(E188,[1]characters!$A:$I,9,FALSE)</f>
        <v>5</v>
      </c>
      <c r="I188" s="7" t="str">
        <f>VLOOKUP(E188,[1]characters!$A:$H,8,FALSE)</f>
        <v>red</v>
      </c>
      <c r="J188" s="7" t="str">
        <f>VLOOKUP(E188,[1]characters!$A:$K,11,FALSE)</f>
        <v>hp</v>
      </c>
      <c r="K188" s="7" t="str">
        <f>VLOOKUP(E188,[1]characters!$A:$M,13,FALSE)</f>
        <v>human</v>
      </c>
      <c r="L188" s="7" t="str">
        <f>VLOOKUP(E188,[1]characters!$A:$G,7,FALSE)</f>
        <v>男性</v>
      </c>
      <c r="M188" s="62">
        <f ca="1">IFERROR(VLOOKUP(E188,input_313010!L:R,7,FALSE),VLOOKUP(tables_313010!B188,input_313010!A:H,8,FALSE))</f>
        <v>18130</v>
      </c>
      <c r="N188" s="63">
        <f ca="1">M188/SUM(M:M)</f>
        <v>6.4814814814814813E-4</v>
      </c>
      <c r="O188" s="31">
        <f>IFERROR(VLOOKUP($E188,bug_conf_sheet!$A:$H,3,FALSE),VLOOKUP("other",bug_conf_sheet!$A:$H,3,FALSE))</f>
        <v>1</v>
      </c>
      <c r="P188" s="31">
        <f>IFERROR(VLOOKUP($E188,bug_conf_sheet!$A:$H,4,FALSE),VLOOKUP("other",bug_conf_sheet!$A:$H,4,FALSE))</f>
        <v>0</v>
      </c>
      <c r="Q188" s="31">
        <f>IFERROR(VLOOKUP($E188,bug_conf_sheet!$A:$H,5,FALSE),VLOOKUP("other",bug_conf_sheet!$A:$H,5,FALSE))</f>
        <v>0</v>
      </c>
      <c r="R188" s="31">
        <f>IFERROR(VLOOKUP($E188,bug_conf_sheet!$A:$H,6,FALSE),VLOOKUP("other",bug_conf_sheet!$A:$H,6,FALSE))</f>
        <v>0</v>
      </c>
      <c r="S188" s="31">
        <f>IFERROR(VLOOKUP($E188,bug_conf_sheet!$A:$H,7,FALSE),VLOOKUP("other",bug_conf_sheet!$A:$H,7,FALSE))</f>
        <v>0</v>
      </c>
      <c r="T188" s="31">
        <f>IFERROR(VLOOKUP($E188,bug_conf_sheet!$A:$H,8,FALSE),VLOOKUP("other",bug_conf_sheet!$A:$H,8,FALSE))</f>
        <v>1</v>
      </c>
    </row>
    <row r="189" spans="1:20" ht="21" customHeight="1">
      <c r="A189" s="2" t="str">
        <f ca="1">input_313010!A$2</f>
        <v>313010</v>
      </c>
      <c r="B189" s="7" t="str">
        <f t="shared" si="6"/>
        <v>PremiumSSbg4</v>
      </c>
      <c r="C189" s="7" t="str">
        <f t="shared" si="7"/>
        <v>PremiumSS</v>
      </c>
      <c r="D189" s="7" t="str">
        <f t="shared" si="8"/>
        <v>bg</v>
      </c>
      <c r="E189" s="8">
        <v>465</v>
      </c>
      <c r="F189" s="7" t="str">
        <f>VLOOKUP(E189,[1]characters!$A:$C,3,FALSE)</f>
        <v>真撃 ランスロット</v>
      </c>
      <c r="G189" s="7" t="str">
        <f>VLOOKUP(E189,[1]characters!$A:$J,10,FALSE)</f>
        <v>PremiumSS</v>
      </c>
      <c r="H189" s="7">
        <f>VLOOKUP(E189,[1]characters!$A:$I,9,FALSE)</f>
        <v>4</v>
      </c>
      <c r="I189" s="7" t="str">
        <f>VLOOKUP(E189,[1]characters!$A:$H,8,FALSE)</f>
        <v>green</v>
      </c>
      <c r="J189" s="7" t="str">
        <f>VLOOKUP(E189,[1]characters!$A:$K,11,FALSE)</f>
        <v>balance</v>
      </c>
      <c r="K189" s="7" t="str">
        <f>VLOOKUP(E189,[1]characters!$A:$M,13,FALSE)</f>
        <v>human</v>
      </c>
      <c r="L189" s="7" t="str">
        <f>VLOOKUP(E189,[1]characters!$A:$G,7,FALSE)</f>
        <v>男性</v>
      </c>
      <c r="M189" s="62">
        <f ca="1">IFERROR(VLOOKUP(E189,input_313010!L:R,7,FALSE),VLOOKUP(tables_313010!B189,input_313010!A:H,8,FALSE))</f>
        <v>41958</v>
      </c>
      <c r="N189" s="63">
        <f ca="1">M189/SUM(M:M)</f>
        <v>1.5E-3</v>
      </c>
      <c r="O189" s="31">
        <f>IFERROR(VLOOKUP($E189,bug_conf_sheet!$A:$H,3,FALSE),VLOOKUP("other",bug_conf_sheet!$A:$H,3,FALSE))</f>
        <v>1</v>
      </c>
      <c r="P189" s="31">
        <f>IFERROR(VLOOKUP($E189,bug_conf_sheet!$A:$H,4,FALSE),VLOOKUP("other",bug_conf_sheet!$A:$H,4,FALSE))</f>
        <v>0</v>
      </c>
      <c r="Q189" s="31">
        <f>IFERROR(VLOOKUP($E189,bug_conf_sheet!$A:$H,5,FALSE),VLOOKUP("other",bug_conf_sheet!$A:$H,5,FALSE))</f>
        <v>0</v>
      </c>
      <c r="R189" s="31">
        <f>IFERROR(VLOOKUP($E189,bug_conf_sheet!$A:$H,6,FALSE),VLOOKUP("other",bug_conf_sheet!$A:$H,6,FALSE))</f>
        <v>0</v>
      </c>
      <c r="S189" s="31">
        <f>IFERROR(VLOOKUP($E189,bug_conf_sheet!$A:$H,7,FALSE),VLOOKUP("other",bug_conf_sheet!$A:$H,7,FALSE))</f>
        <v>0</v>
      </c>
      <c r="T189" s="31">
        <f>IFERROR(VLOOKUP($E189,bug_conf_sheet!$A:$H,8,FALSE),VLOOKUP("other",bug_conf_sheet!$A:$H,8,FALSE))</f>
        <v>1</v>
      </c>
    </row>
    <row r="190" spans="1:20" s="9" customFormat="1" ht="21" customHeight="1" thickBot="1">
      <c r="A190" s="2" t="str">
        <f ca="1">input_313010!A$2</f>
        <v>313010</v>
      </c>
      <c r="B190" s="7" t="str">
        <f t="shared" si="6"/>
        <v>PremiumSSbg5</v>
      </c>
      <c r="C190" s="7" t="str">
        <f t="shared" si="7"/>
        <v>PremiumSS</v>
      </c>
      <c r="D190" s="7" t="str">
        <f t="shared" si="8"/>
        <v>bg</v>
      </c>
      <c r="E190" s="6">
        <v>466</v>
      </c>
      <c r="F190" s="7" t="str">
        <f>VLOOKUP(E190,[1]characters!$A:$C,3,FALSE)</f>
        <v>真断の勇覇 ランスロット</v>
      </c>
      <c r="G190" s="7" t="str">
        <f>VLOOKUP(E190,[1]characters!$A:$J,10,FALSE)</f>
        <v>PremiumSS</v>
      </c>
      <c r="H190" s="7">
        <f>VLOOKUP(E190,[1]characters!$A:$I,9,FALSE)</f>
        <v>5</v>
      </c>
      <c r="I190" s="7" t="str">
        <f>VLOOKUP(E190,[1]characters!$A:$H,8,FALSE)</f>
        <v>green</v>
      </c>
      <c r="J190" s="7" t="str">
        <f>VLOOKUP(E190,[1]characters!$A:$K,11,FALSE)</f>
        <v>balance</v>
      </c>
      <c r="K190" s="7" t="str">
        <f>VLOOKUP(E190,[1]characters!$A:$M,13,FALSE)</f>
        <v>human</v>
      </c>
      <c r="L190" s="7" t="str">
        <f>VLOOKUP(E190,[1]characters!$A:$G,7,FALSE)</f>
        <v>男性</v>
      </c>
      <c r="M190" s="62">
        <f ca="1">IFERROR(VLOOKUP(E190,input_313010!L:R,7,FALSE),VLOOKUP(tables_313010!B190,input_313010!A:H,8,FALSE))</f>
        <v>4662</v>
      </c>
      <c r="N190" s="63">
        <f ca="1">M190/SUM(M:M)</f>
        <v>1.6666666666666666E-4</v>
      </c>
      <c r="O190" s="31">
        <f>IFERROR(VLOOKUP($E190,bug_conf_sheet!$A:$H,3,FALSE),VLOOKUP("other",bug_conf_sheet!$A:$H,3,FALSE))</f>
        <v>1</v>
      </c>
      <c r="P190" s="31">
        <f>IFERROR(VLOOKUP($E190,bug_conf_sheet!$A:$H,4,FALSE),VLOOKUP("other",bug_conf_sheet!$A:$H,4,FALSE))</f>
        <v>0</v>
      </c>
      <c r="Q190" s="31">
        <f>IFERROR(VLOOKUP($E190,bug_conf_sheet!$A:$H,5,FALSE),VLOOKUP("other",bug_conf_sheet!$A:$H,5,FALSE))</f>
        <v>0</v>
      </c>
      <c r="R190" s="31">
        <f>IFERROR(VLOOKUP($E190,bug_conf_sheet!$A:$H,6,FALSE),VLOOKUP("other",bug_conf_sheet!$A:$H,6,FALSE))</f>
        <v>0</v>
      </c>
      <c r="S190" s="31">
        <f>IFERROR(VLOOKUP($E190,bug_conf_sheet!$A:$H,7,FALSE),VLOOKUP("other",bug_conf_sheet!$A:$H,7,FALSE))</f>
        <v>0</v>
      </c>
      <c r="T190" s="31">
        <f>IFERROR(VLOOKUP($E190,bug_conf_sheet!$A:$H,8,FALSE),VLOOKUP("other",bug_conf_sheet!$A:$H,8,FALSE))</f>
        <v>1</v>
      </c>
    </row>
    <row r="191" spans="1:20" ht="21" customHeight="1">
      <c r="A191" s="2" t="str">
        <f ca="1">input_313010!A$2</f>
        <v>313010</v>
      </c>
      <c r="B191" s="7" t="str">
        <f t="shared" si="6"/>
        <v>PremiumSSbg4</v>
      </c>
      <c r="C191" s="7" t="str">
        <f t="shared" si="7"/>
        <v>PremiumSS</v>
      </c>
      <c r="D191" s="7" t="str">
        <f t="shared" si="8"/>
        <v>bg</v>
      </c>
      <c r="E191" s="6">
        <v>467</v>
      </c>
      <c r="F191" s="7" t="str">
        <f>VLOOKUP(E191,[1]characters!$A:$C,3,FALSE)</f>
        <v>報復 モルドレッド</v>
      </c>
      <c r="G191" s="7" t="str">
        <f>VLOOKUP(E191,[1]characters!$A:$J,10,FALSE)</f>
        <v>PremiumSS</v>
      </c>
      <c r="H191" s="7">
        <f>VLOOKUP(E191,[1]characters!$A:$I,9,FALSE)</f>
        <v>4</v>
      </c>
      <c r="I191" s="7" t="str">
        <f>VLOOKUP(E191,[1]characters!$A:$H,8,FALSE)</f>
        <v>blue</v>
      </c>
      <c r="J191" s="7" t="str">
        <f>VLOOKUP(E191,[1]characters!$A:$K,11,FALSE)</f>
        <v>technical</v>
      </c>
      <c r="K191" s="7" t="str">
        <f>VLOOKUP(E191,[1]characters!$A:$M,13,FALSE)</f>
        <v>human</v>
      </c>
      <c r="L191" s="7" t="str">
        <f>VLOOKUP(E191,[1]characters!$A:$G,7,FALSE)</f>
        <v>女性</v>
      </c>
      <c r="M191" s="62">
        <f ca="1">IFERROR(VLOOKUP(E191,input_313010!L:R,7,FALSE),VLOOKUP(tables_313010!B191,input_313010!A:H,8,FALSE))</f>
        <v>41958</v>
      </c>
      <c r="N191" s="63">
        <f ca="1">M191/SUM(M:M)</f>
        <v>1.5E-3</v>
      </c>
      <c r="O191" s="31">
        <f>IFERROR(VLOOKUP($E191,bug_conf_sheet!$A:$H,3,FALSE),VLOOKUP("other",bug_conf_sheet!$A:$H,3,FALSE))</f>
        <v>1</v>
      </c>
      <c r="P191" s="31">
        <f>IFERROR(VLOOKUP($E191,bug_conf_sheet!$A:$H,4,FALSE),VLOOKUP("other",bug_conf_sheet!$A:$H,4,FALSE))</f>
        <v>0</v>
      </c>
      <c r="Q191" s="31">
        <f>IFERROR(VLOOKUP($E191,bug_conf_sheet!$A:$H,5,FALSE),VLOOKUP("other",bug_conf_sheet!$A:$H,5,FALSE))</f>
        <v>0</v>
      </c>
      <c r="R191" s="31">
        <f>IFERROR(VLOOKUP($E191,bug_conf_sheet!$A:$H,6,FALSE),VLOOKUP("other",bug_conf_sheet!$A:$H,6,FALSE))</f>
        <v>0</v>
      </c>
      <c r="S191" s="31">
        <f>IFERROR(VLOOKUP($E191,bug_conf_sheet!$A:$H,7,FALSE),VLOOKUP("other",bug_conf_sheet!$A:$H,7,FALSE))</f>
        <v>0</v>
      </c>
      <c r="T191" s="31">
        <f>IFERROR(VLOOKUP($E191,bug_conf_sheet!$A:$H,8,FALSE),VLOOKUP("other",bug_conf_sheet!$A:$H,8,FALSE))</f>
        <v>1</v>
      </c>
    </row>
    <row r="192" spans="1:20" ht="21" customHeight="1">
      <c r="A192" s="2" t="str">
        <f ca="1">input_313010!A$2</f>
        <v>313010</v>
      </c>
      <c r="B192" s="7" t="str">
        <f t="shared" si="6"/>
        <v>PremiumSSbg5</v>
      </c>
      <c r="C192" s="7" t="str">
        <f t="shared" si="7"/>
        <v>PremiumSS</v>
      </c>
      <c r="D192" s="7" t="str">
        <f t="shared" si="8"/>
        <v>bg</v>
      </c>
      <c r="E192" s="6">
        <v>468</v>
      </c>
      <c r="F192" s="7" t="str">
        <f>VLOOKUP(E192,[1]characters!$A:$C,3,FALSE)</f>
        <v>憎愛の尖鋒 モルドレッド</v>
      </c>
      <c r="G192" s="7" t="str">
        <f>VLOOKUP(E192,[1]characters!$A:$J,10,FALSE)</f>
        <v>PremiumSS</v>
      </c>
      <c r="H192" s="7">
        <f>VLOOKUP(E192,[1]characters!$A:$I,9,FALSE)</f>
        <v>5</v>
      </c>
      <c r="I192" s="7" t="str">
        <f>VLOOKUP(E192,[1]characters!$A:$H,8,FALSE)</f>
        <v>blue</v>
      </c>
      <c r="J192" s="7" t="str">
        <f>VLOOKUP(E192,[1]characters!$A:$K,11,FALSE)</f>
        <v>technical</v>
      </c>
      <c r="K192" s="7" t="str">
        <f>VLOOKUP(E192,[1]characters!$A:$M,13,FALSE)</f>
        <v>human</v>
      </c>
      <c r="L192" s="7" t="str">
        <f>VLOOKUP(E192,[1]characters!$A:$G,7,FALSE)</f>
        <v>女性</v>
      </c>
      <c r="M192" s="62">
        <f ca="1">IFERROR(VLOOKUP(E192,input_313010!L:R,7,FALSE),VLOOKUP(tables_313010!B192,input_313010!A:H,8,FALSE))</f>
        <v>4662</v>
      </c>
      <c r="N192" s="63">
        <f ca="1">M192/SUM(M:M)</f>
        <v>1.6666666666666666E-4</v>
      </c>
      <c r="O192" s="31">
        <f>IFERROR(VLOOKUP($E192,bug_conf_sheet!$A:$H,3,FALSE),VLOOKUP("other",bug_conf_sheet!$A:$H,3,FALSE))</f>
        <v>1</v>
      </c>
      <c r="P192" s="31">
        <f>IFERROR(VLOOKUP($E192,bug_conf_sheet!$A:$H,4,FALSE),VLOOKUP("other",bug_conf_sheet!$A:$H,4,FALSE))</f>
        <v>0</v>
      </c>
      <c r="Q192" s="31">
        <f>IFERROR(VLOOKUP($E192,bug_conf_sheet!$A:$H,5,FALSE),VLOOKUP("other",bug_conf_sheet!$A:$H,5,FALSE))</f>
        <v>0</v>
      </c>
      <c r="R192" s="31">
        <f>IFERROR(VLOOKUP($E192,bug_conf_sheet!$A:$H,6,FALSE),VLOOKUP("other",bug_conf_sheet!$A:$H,6,FALSE))</f>
        <v>0</v>
      </c>
      <c r="S192" s="31">
        <f>IFERROR(VLOOKUP($E192,bug_conf_sheet!$A:$H,7,FALSE),VLOOKUP("other",bug_conf_sheet!$A:$H,7,FALSE))</f>
        <v>0</v>
      </c>
      <c r="T192" s="31">
        <f>IFERROR(VLOOKUP($E192,bug_conf_sheet!$A:$H,8,FALSE),VLOOKUP("other",bug_conf_sheet!$A:$H,8,FALSE))</f>
        <v>1</v>
      </c>
    </row>
    <row r="193" spans="1:20" ht="21" customHeight="1">
      <c r="A193" s="2" t="str">
        <f ca="1">input_313010!A$2</f>
        <v>313010</v>
      </c>
      <c r="B193" s="7" t="str">
        <f t="shared" si="6"/>
        <v>Premium3</v>
      </c>
      <c r="C193" s="7" t="str">
        <f t="shared" si="7"/>
        <v>Premium</v>
      </c>
      <c r="D193" s="7" t="str">
        <f t="shared" si="8"/>
        <v>ry</v>
      </c>
      <c r="E193" s="6">
        <v>469</v>
      </c>
      <c r="F193" s="7" t="str">
        <f>VLOOKUP(E193,[1]characters!$A:$C,3,FALSE)</f>
        <v>トリスタン</v>
      </c>
      <c r="G193" s="7" t="str">
        <f>VLOOKUP(E193,[1]characters!$A:$J,10,FALSE)</f>
        <v>PremiumS</v>
      </c>
      <c r="H193" s="7">
        <f>VLOOKUP(E193,[1]characters!$A:$I,9,FALSE)</f>
        <v>3</v>
      </c>
      <c r="I193" s="7" t="str">
        <f>VLOOKUP(E193,[1]characters!$A:$H,8,FALSE)</f>
        <v>yellow</v>
      </c>
      <c r="J193" s="7" t="str">
        <f>VLOOKUP(E193,[1]characters!$A:$K,11,FALSE)</f>
        <v>attack</v>
      </c>
      <c r="K193" s="7" t="str">
        <f>VLOOKUP(E193,[1]characters!$A:$M,13,FALSE)</f>
        <v>human</v>
      </c>
      <c r="L193" s="7" t="str">
        <f>VLOOKUP(E193,[1]characters!$A:$G,7,FALSE)</f>
        <v>男性</v>
      </c>
      <c r="M193" s="62">
        <f ca="1">IFERROR(VLOOKUP(E193,input_313010!L:R,7,FALSE),VLOOKUP(tables_313010!B193,input_313010!A:H,8,FALSE))</f>
        <v>189000</v>
      </c>
      <c r="N193" s="63">
        <f ca="1">M193/SUM(M:M)</f>
        <v>6.7567567567567571E-3</v>
      </c>
      <c r="O193" s="31">
        <f>IFERROR(VLOOKUP($E193,bug_conf_sheet!$A:$H,3,FALSE),VLOOKUP("other",bug_conf_sheet!$A:$H,3,FALSE))</f>
        <v>1</v>
      </c>
      <c r="P193" s="31">
        <f>IFERROR(VLOOKUP($E193,bug_conf_sheet!$A:$H,4,FALSE),VLOOKUP("other",bug_conf_sheet!$A:$H,4,FALSE))</f>
        <v>0</v>
      </c>
      <c r="Q193" s="31">
        <f>IFERROR(VLOOKUP($E193,bug_conf_sheet!$A:$H,5,FALSE),VLOOKUP("other",bug_conf_sheet!$A:$H,5,FALSE))</f>
        <v>0</v>
      </c>
      <c r="R193" s="31">
        <f>IFERROR(VLOOKUP($E193,bug_conf_sheet!$A:$H,6,FALSE),VLOOKUP("other",bug_conf_sheet!$A:$H,6,FALSE))</f>
        <v>0</v>
      </c>
      <c r="S193" s="31">
        <f>IFERROR(VLOOKUP($E193,bug_conf_sheet!$A:$H,7,FALSE),VLOOKUP("other",bug_conf_sheet!$A:$H,7,FALSE))</f>
        <v>0</v>
      </c>
      <c r="T193" s="31">
        <f>IFERROR(VLOOKUP($E193,bug_conf_sheet!$A:$H,8,FALSE),VLOOKUP("other",bug_conf_sheet!$A:$H,8,FALSE))</f>
        <v>1</v>
      </c>
    </row>
    <row r="194" spans="1:20" ht="21" customHeight="1">
      <c r="A194" s="2" t="str">
        <f ca="1">input_313010!A$2</f>
        <v>313010</v>
      </c>
      <c r="B194" s="7" t="str">
        <f t="shared" ref="B194:B257" si="9">C194&amp;IF(C194="premium",,D194)&amp;H194</f>
        <v>Premium4</v>
      </c>
      <c r="C194" s="7" t="str">
        <f t="shared" si="7"/>
        <v>Premium</v>
      </c>
      <c r="D194" s="7" t="str">
        <f t="shared" si="8"/>
        <v>ry</v>
      </c>
      <c r="E194" s="6">
        <v>470</v>
      </c>
      <c r="F194" s="7" t="str">
        <f>VLOOKUP(E194,[1]characters!$A:$C,3,FALSE)</f>
        <v>純心 トリスタン</v>
      </c>
      <c r="G194" s="7" t="str">
        <f>VLOOKUP(E194,[1]characters!$A:$J,10,FALSE)</f>
        <v>PremiumS</v>
      </c>
      <c r="H194" s="7">
        <f>VLOOKUP(E194,[1]characters!$A:$I,9,FALSE)</f>
        <v>4</v>
      </c>
      <c r="I194" s="7" t="str">
        <f>VLOOKUP(E194,[1]characters!$A:$H,8,FALSE)</f>
        <v>yellow</v>
      </c>
      <c r="J194" s="7" t="str">
        <f>VLOOKUP(E194,[1]characters!$A:$K,11,FALSE)</f>
        <v>attack</v>
      </c>
      <c r="K194" s="7" t="str">
        <f>VLOOKUP(E194,[1]characters!$A:$M,13,FALSE)</f>
        <v>human</v>
      </c>
      <c r="L194" s="7" t="str">
        <f>VLOOKUP(E194,[1]characters!$A:$G,7,FALSE)</f>
        <v>男性</v>
      </c>
      <c r="M194" s="62">
        <f ca="1">IFERROR(VLOOKUP(E194,input_313010!L:R,7,FALSE),VLOOKUP(tables_313010!B194,input_313010!A:H,8,FALSE))</f>
        <v>153090</v>
      </c>
      <c r="N194" s="63">
        <f ca="1">M194/SUM(M:M)</f>
        <v>5.4729729729729726E-3</v>
      </c>
      <c r="O194" s="31">
        <f>IFERROR(VLOOKUP($E194,bug_conf_sheet!$A:$H,3,FALSE),VLOOKUP("other",bug_conf_sheet!$A:$H,3,FALSE))</f>
        <v>1</v>
      </c>
      <c r="P194" s="31">
        <f>IFERROR(VLOOKUP($E194,bug_conf_sheet!$A:$H,4,FALSE),VLOOKUP("other",bug_conf_sheet!$A:$H,4,FALSE))</f>
        <v>0</v>
      </c>
      <c r="Q194" s="31">
        <f>IFERROR(VLOOKUP($E194,bug_conf_sheet!$A:$H,5,FALSE),VLOOKUP("other",bug_conf_sheet!$A:$H,5,FALSE))</f>
        <v>0</v>
      </c>
      <c r="R194" s="31">
        <f>IFERROR(VLOOKUP($E194,bug_conf_sheet!$A:$H,6,FALSE),VLOOKUP("other",bug_conf_sheet!$A:$H,6,FALSE))</f>
        <v>0</v>
      </c>
      <c r="S194" s="31">
        <f>IFERROR(VLOOKUP($E194,bug_conf_sheet!$A:$H,7,FALSE),VLOOKUP("other",bug_conf_sheet!$A:$H,7,FALSE))</f>
        <v>0</v>
      </c>
      <c r="T194" s="31">
        <f>IFERROR(VLOOKUP($E194,bug_conf_sheet!$A:$H,8,FALSE),VLOOKUP("other",bug_conf_sheet!$A:$H,8,FALSE))</f>
        <v>1</v>
      </c>
    </row>
    <row r="195" spans="1:20" ht="21" customHeight="1">
      <c r="A195" s="2" t="str">
        <f ca="1">input_313010!A$2</f>
        <v>313010</v>
      </c>
      <c r="B195" s="7" t="str">
        <f t="shared" si="9"/>
        <v>Premium5</v>
      </c>
      <c r="C195" s="7" t="str">
        <f t="shared" ref="C195:C245" si="10">IF(G195="PremiumSS",G195,IF(G195="PremiumSSS",G195,"Premium"))</f>
        <v>Premium</v>
      </c>
      <c r="D195" s="7" t="str">
        <f t="shared" ref="D195:D245" si="11">IF(I195="red","ry",IF(I195="yellow","ry","bg"))</f>
        <v>ry</v>
      </c>
      <c r="E195" s="6">
        <v>471</v>
      </c>
      <c r="F195" s="7" t="str">
        <f>VLOOKUP(E195,[1]characters!$A:$C,3,FALSE)</f>
        <v>不可避の爆激 トリスタン</v>
      </c>
      <c r="G195" s="7" t="str">
        <f>VLOOKUP(E195,[1]characters!$A:$J,10,FALSE)</f>
        <v>PremiumS</v>
      </c>
      <c r="H195" s="7">
        <f>VLOOKUP(E195,[1]characters!$A:$I,9,FALSE)</f>
        <v>5</v>
      </c>
      <c r="I195" s="7" t="str">
        <f>VLOOKUP(E195,[1]characters!$A:$H,8,FALSE)</f>
        <v>yellow</v>
      </c>
      <c r="J195" s="7" t="str">
        <f>VLOOKUP(E195,[1]characters!$A:$K,11,FALSE)</f>
        <v>attack</v>
      </c>
      <c r="K195" s="7" t="str">
        <f>VLOOKUP(E195,[1]characters!$A:$M,13,FALSE)</f>
        <v>human</v>
      </c>
      <c r="L195" s="7" t="str">
        <f>VLOOKUP(E195,[1]characters!$A:$G,7,FALSE)</f>
        <v>男性</v>
      </c>
      <c r="M195" s="62">
        <f ca="1">IFERROR(VLOOKUP(E195,input_313010!L:R,7,FALSE),VLOOKUP(tables_313010!B195,input_313010!A:H,8,FALSE))</f>
        <v>18130</v>
      </c>
      <c r="N195" s="63">
        <f ca="1">M195/SUM(M:M)</f>
        <v>6.4814814814814813E-4</v>
      </c>
      <c r="O195" s="31">
        <f>IFERROR(VLOOKUP($E195,bug_conf_sheet!$A:$H,3,FALSE),VLOOKUP("other",bug_conf_sheet!$A:$H,3,FALSE))</f>
        <v>1</v>
      </c>
      <c r="P195" s="31">
        <f>IFERROR(VLOOKUP($E195,bug_conf_sheet!$A:$H,4,FALSE),VLOOKUP("other",bug_conf_sheet!$A:$H,4,FALSE))</f>
        <v>0</v>
      </c>
      <c r="Q195" s="31">
        <f>IFERROR(VLOOKUP($E195,bug_conf_sheet!$A:$H,5,FALSE),VLOOKUP("other",bug_conf_sheet!$A:$H,5,FALSE))</f>
        <v>0</v>
      </c>
      <c r="R195" s="31">
        <f>IFERROR(VLOOKUP($E195,bug_conf_sheet!$A:$H,6,FALSE),VLOOKUP("other",bug_conf_sheet!$A:$H,6,FALSE))</f>
        <v>0</v>
      </c>
      <c r="S195" s="31">
        <f>IFERROR(VLOOKUP($E195,bug_conf_sheet!$A:$H,7,FALSE),VLOOKUP("other",bug_conf_sheet!$A:$H,7,FALSE))</f>
        <v>0</v>
      </c>
      <c r="T195" s="31">
        <f>IFERROR(VLOOKUP($E195,bug_conf_sheet!$A:$H,8,FALSE),VLOOKUP("other",bug_conf_sheet!$A:$H,8,FALSE))</f>
        <v>1</v>
      </c>
    </row>
    <row r="196" spans="1:20" ht="21" customHeight="1">
      <c r="A196" s="2" t="str">
        <f ca="1">input_313010!A$2</f>
        <v>313010</v>
      </c>
      <c r="B196" s="7" t="str">
        <f t="shared" si="9"/>
        <v>PremiumSSry4</v>
      </c>
      <c r="C196" s="7" t="str">
        <f t="shared" si="10"/>
        <v>PremiumSS</v>
      </c>
      <c r="D196" s="7" t="str">
        <f t="shared" si="11"/>
        <v>ry</v>
      </c>
      <c r="E196" s="6">
        <v>474</v>
      </c>
      <c r="F196" s="7" t="str">
        <f>VLOOKUP(E196,[1]characters!$A:$C,3,FALSE)</f>
        <v>キング・ドライグ</v>
      </c>
      <c r="G196" s="7" t="str">
        <f>VLOOKUP(E196,[1]characters!$A:$J,10,FALSE)</f>
        <v>PremiumSS</v>
      </c>
      <c r="H196" s="7">
        <f>VLOOKUP(E196,[1]characters!$A:$I,9,FALSE)</f>
        <v>4</v>
      </c>
      <c r="I196" s="7" t="str">
        <f>VLOOKUP(E196,[1]characters!$A:$H,8,FALSE)</f>
        <v>red</v>
      </c>
      <c r="J196" s="7" t="str">
        <f>VLOOKUP(E196,[1]characters!$A:$K,11,FALSE)</f>
        <v>attack</v>
      </c>
      <c r="K196" s="7" t="str">
        <f>VLOOKUP(E196,[1]characters!$A:$M,13,FALSE)</f>
        <v>dragon</v>
      </c>
      <c r="L196" s="7" t="str">
        <f>VLOOKUP(E196,[1]characters!$A:$G,7,FALSE)</f>
        <v>不明</v>
      </c>
      <c r="M196" s="62">
        <f ca="1">IFERROR(VLOOKUP(E196,input_313010!L:R,7,FALSE),VLOOKUP(tables_313010!B196,input_313010!A:H,8,FALSE))</f>
        <v>53946</v>
      </c>
      <c r="N196" s="63">
        <f ca="1">M196/SUM(M:M)</f>
        <v>1.9285714285714286E-3</v>
      </c>
      <c r="O196" s="31">
        <f>IFERROR(VLOOKUP($E196,bug_conf_sheet!$A:$H,3,FALSE),VLOOKUP("other",bug_conf_sheet!$A:$H,3,FALSE))</f>
        <v>1</v>
      </c>
      <c r="P196" s="31">
        <f>IFERROR(VLOOKUP($E196,bug_conf_sheet!$A:$H,4,FALSE),VLOOKUP("other",bug_conf_sheet!$A:$H,4,FALSE))</f>
        <v>0</v>
      </c>
      <c r="Q196" s="31">
        <f>IFERROR(VLOOKUP($E196,bug_conf_sheet!$A:$H,5,FALSE),VLOOKUP("other",bug_conf_sheet!$A:$H,5,FALSE))</f>
        <v>0</v>
      </c>
      <c r="R196" s="31">
        <f>IFERROR(VLOOKUP($E196,bug_conf_sheet!$A:$H,6,FALSE),VLOOKUP("other",bug_conf_sheet!$A:$H,6,FALSE))</f>
        <v>0</v>
      </c>
      <c r="S196" s="31">
        <f>IFERROR(VLOOKUP($E196,bug_conf_sheet!$A:$H,7,FALSE),VLOOKUP("other",bug_conf_sheet!$A:$H,7,FALSE))</f>
        <v>0</v>
      </c>
      <c r="T196" s="31">
        <f>IFERROR(VLOOKUP($E196,bug_conf_sheet!$A:$H,8,FALSE),VLOOKUP("other",bug_conf_sheet!$A:$H,8,FALSE))</f>
        <v>1</v>
      </c>
    </row>
    <row r="197" spans="1:20" ht="21" customHeight="1">
      <c r="A197" s="2" t="str">
        <f ca="1">input_313010!A$2</f>
        <v>313010</v>
      </c>
      <c r="B197" s="7" t="str">
        <f t="shared" si="9"/>
        <v>PremiumSSry5</v>
      </c>
      <c r="C197" s="7" t="str">
        <f t="shared" si="10"/>
        <v>PremiumSS</v>
      </c>
      <c r="D197" s="7" t="str">
        <f t="shared" si="11"/>
        <v>ry</v>
      </c>
      <c r="E197" s="6">
        <v>475</v>
      </c>
      <c r="F197" s="7" t="str">
        <f>VLOOKUP(E197,[1]characters!$A:$C,3,FALSE)</f>
        <v>緋王 キング・ドライグ</v>
      </c>
      <c r="G197" s="7" t="str">
        <f>VLOOKUP(E197,[1]characters!$A:$J,10,FALSE)</f>
        <v>PremiumSS</v>
      </c>
      <c r="H197" s="7">
        <f>VLOOKUP(E197,[1]characters!$A:$I,9,FALSE)</f>
        <v>5</v>
      </c>
      <c r="I197" s="7" t="str">
        <f>VLOOKUP(E197,[1]characters!$A:$H,8,FALSE)</f>
        <v>red</v>
      </c>
      <c r="J197" s="7" t="str">
        <f>VLOOKUP(E197,[1]characters!$A:$K,11,FALSE)</f>
        <v>attack</v>
      </c>
      <c r="K197" s="7" t="str">
        <f>VLOOKUP(E197,[1]characters!$A:$M,13,FALSE)</f>
        <v>dragon</v>
      </c>
      <c r="L197" s="7" t="str">
        <f>VLOOKUP(E197,[1]characters!$A:$G,7,FALSE)</f>
        <v>不明</v>
      </c>
      <c r="M197" s="62">
        <f ca="1">IFERROR(VLOOKUP(E197,input_313010!L:R,7,FALSE),VLOOKUP(tables_313010!B197,input_313010!A:H,8,FALSE))</f>
        <v>5994</v>
      </c>
      <c r="N197" s="63">
        <f ca="1">M197/SUM(M:M)</f>
        <v>2.1428571428571427E-4</v>
      </c>
      <c r="O197" s="31">
        <f>IFERROR(VLOOKUP($E197,bug_conf_sheet!$A:$H,3,FALSE),VLOOKUP("other",bug_conf_sheet!$A:$H,3,FALSE))</f>
        <v>1</v>
      </c>
      <c r="P197" s="31">
        <f>IFERROR(VLOOKUP($E197,bug_conf_sheet!$A:$H,4,FALSE),VLOOKUP("other",bug_conf_sheet!$A:$H,4,FALSE))</f>
        <v>0</v>
      </c>
      <c r="Q197" s="31">
        <f>IFERROR(VLOOKUP($E197,bug_conf_sheet!$A:$H,5,FALSE),VLOOKUP("other",bug_conf_sheet!$A:$H,5,FALSE))</f>
        <v>0</v>
      </c>
      <c r="R197" s="31">
        <f>IFERROR(VLOOKUP($E197,bug_conf_sheet!$A:$H,6,FALSE),VLOOKUP("other",bug_conf_sheet!$A:$H,6,FALSE))</f>
        <v>0</v>
      </c>
      <c r="S197" s="31">
        <f>IFERROR(VLOOKUP($E197,bug_conf_sheet!$A:$H,7,FALSE),VLOOKUP("other",bug_conf_sheet!$A:$H,7,FALSE))</f>
        <v>0</v>
      </c>
      <c r="T197" s="31">
        <f>IFERROR(VLOOKUP($E197,bug_conf_sheet!$A:$H,8,FALSE),VLOOKUP("other",bug_conf_sheet!$A:$H,8,FALSE))</f>
        <v>1</v>
      </c>
    </row>
    <row r="198" spans="1:20" ht="21" customHeight="1">
      <c r="A198" s="2" t="str">
        <f ca="1">input_313010!A$2</f>
        <v>313010</v>
      </c>
      <c r="B198" s="7" t="str">
        <f t="shared" si="9"/>
        <v>Premium3</v>
      </c>
      <c r="C198" s="7" t="str">
        <f t="shared" si="10"/>
        <v>Premium</v>
      </c>
      <c r="D198" s="7" t="str">
        <f t="shared" si="11"/>
        <v>bg</v>
      </c>
      <c r="E198" s="6">
        <v>476</v>
      </c>
      <c r="F198" s="7" t="str">
        <f>VLOOKUP(E198,[1]characters!$A:$C,3,FALSE)</f>
        <v>ファータ</v>
      </c>
      <c r="G198" s="7" t="str">
        <f>VLOOKUP(E198,[1]characters!$A:$J,10,FALSE)</f>
        <v>PremiumS</v>
      </c>
      <c r="H198" s="7">
        <f>VLOOKUP(E198,[1]characters!$A:$I,9,FALSE)</f>
        <v>3</v>
      </c>
      <c r="I198" s="7" t="str">
        <f>VLOOKUP(E198,[1]characters!$A:$H,8,FALSE)</f>
        <v>green</v>
      </c>
      <c r="J198" s="7" t="str">
        <f>VLOOKUP(E198,[1]characters!$A:$K,11,FALSE)</f>
        <v>heal</v>
      </c>
      <c r="K198" s="7" t="str">
        <f>VLOOKUP(E198,[1]characters!$A:$M,13,FALSE)</f>
        <v>unknown</v>
      </c>
      <c r="L198" s="7" t="str">
        <f>VLOOKUP(E198,[1]characters!$A:$G,7,FALSE)</f>
        <v>女性</v>
      </c>
      <c r="M198" s="62">
        <f ca="1">IFERROR(VLOOKUP(E198,input_313010!L:R,7,FALSE),VLOOKUP(tables_313010!B198,input_313010!A:H,8,FALSE))</f>
        <v>189000</v>
      </c>
      <c r="N198" s="63">
        <f ca="1">M198/SUM(M:M)</f>
        <v>6.7567567567567571E-3</v>
      </c>
      <c r="O198" s="31">
        <f>IFERROR(VLOOKUP($E198,bug_conf_sheet!$A:$H,3,FALSE),VLOOKUP("other",bug_conf_sheet!$A:$H,3,FALSE))</f>
        <v>1</v>
      </c>
      <c r="P198" s="31">
        <f>IFERROR(VLOOKUP($E198,bug_conf_sheet!$A:$H,4,FALSE),VLOOKUP("other",bug_conf_sheet!$A:$H,4,FALSE))</f>
        <v>0</v>
      </c>
      <c r="Q198" s="31">
        <f>IFERROR(VLOOKUP($E198,bug_conf_sheet!$A:$H,5,FALSE),VLOOKUP("other",bug_conf_sheet!$A:$H,5,FALSE))</f>
        <v>0</v>
      </c>
      <c r="R198" s="31">
        <f>IFERROR(VLOOKUP($E198,bug_conf_sheet!$A:$H,6,FALSE),VLOOKUP("other",bug_conf_sheet!$A:$H,6,FALSE))</f>
        <v>0</v>
      </c>
      <c r="S198" s="31">
        <f>IFERROR(VLOOKUP($E198,bug_conf_sheet!$A:$H,7,FALSE),VLOOKUP("other",bug_conf_sheet!$A:$H,7,FALSE))</f>
        <v>0</v>
      </c>
      <c r="T198" s="31">
        <f>IFERROR(VLOOKUP($E198,bug_conf_sheet!$A:$H,8,FALSE),VLOOKUP("other",bug_conf_sheet!$A:$H,8,FALSE))</f>
        <v>1</v>
      </c>
    </row>
    <row r="199" spans="1:20" ht="21" customHeight="1">
      <c r="A199" s="2" t="str">
        <f ca="1">input_313010!A$2</f>
        <v>313010</v>
      </c>
      <c r="B199" s="7" t="str">
        <f t="shared" si="9"/>
        <v>Premium4</v>
      </c>
      <c r="C199" s="7" t="str">
        <f t="shared" si="10"/>
        <v>Premium</v>
      </c>
      <c r="D199" s="7" t="str">
        <f t="shared" si="11"/>
        <v>bg</v>
      </c>
      <c r="E199" s="6">
        <v>477</v>
      </c>
      <c r="F199" s="7" t="str">
        <f>VLOOKUP(E199,[1]characters!$A:$C,3,FALSE)</f>
        <v>愛羽妖精 ファータ</v>
      </c>
      <c r="G199" s="7" t="str">
        <f>VLOOKUP(E199,[1]characters!$A:$J,10,FALSE)</f>
        <v>PremiumS</v>
      </c>
      <c r="H199" s="7">
        <f>VLOOKUP(E199,[1]characters!$A:$I,9,FALSE)</f>
        <v>4</v>
      </c>
      <c r="I199" s="7" t="str">
        <f>VLOOKUP(E199,[1]characters!$A:$H,8,FALSE)</f>
        <v>green</v>
      </c>
      <c r="J199" s="7" t="str">
        <f>VLOOKUP(E199,[1]characters!$A:$K,11,FALSE)</f>
        <v>heal</v>
      </c>
      <c r="K199" s="7" t="str">
        <f>VLOOKUP(E199,[1]characters!$A:$M,13,FALSE)</f>
        <v>unknown</v>
      </c>
      <c r="L199" s="7" t="str">
        <f>VLOOKUP(E199,[1]characters!$A:$G,7,FALSE)</f>
        <v>女性</v>
      </c>
      <c r="M199" s="62">
        <f ca="1">IFERROR(VLOOKUP(E199,input_313010!L:R,7,FALSE),VLOOKUP(tables_313010!B199,input_313010!A:H,8,FALSE))</f>
        <v>153090</v>
      </c>
      <c r="N199" s="63">
        <f ca="1">M199/SUM(M:M)</f>
        <v>5.4729729729729726E-3</v>
      </c>
      <c r="O199" s="31">
        <f>IFERROR(VLOOKUP($E199,bug_conf_sheet!$A:$H,3,FALSE),VLOOKUP("other",bug_conf_sheet!$A:$H,3,FALSE))</f>
        <v>1</v>
      </c>
      <c r="P199" s="31">
        <f>IFERROR(VLOOKUP($E199,bug_conf_sheet!$A:$H,4,FALSE),VLOOKUP("other",bug_conf_sheet!$A:$H,4,FALSE))</f>
        <v>0</v>
      </c>
      <c r="Q199" s="31">
        <f>IFERROR(VLOOKUP($E199,bug_conf_sheet!$A:$H,5,FALSE),VLOOKUP("other",bug_conf_sheet!$A:$H,5,FALSE))</f>
        <v>0</v>
      </c>
      <c r="R199" s="31">
        <f>IFERROR(VLOOKUP($E199,bug_conf_sheet!$A:$H,6,FALSE),VLOOKUP("other",bug_conf_sheet!$A:$H,6,FALSE))</f>
        <v>0</v>
      </c>
      <c r="S199" s="31">
        <f>IFERROR(VLOOKUP($E199,bug_conf_sheet!$A:$H,7,FALSE),VLOOKUP("other",bug_conf_sheet!$A:$H,7,FALSE))</f>
        <v>0</v>
      </c>
      <c r="T199" s="31">
        <f>IFERROR(VLOOKUP($E199,bug_conf_sheet!$A:$H,8,FALSE),VLOOKUP("other",bug_conf_sheet!$A:$H,8,FALSE))</f>
        <v>1</v>
      </c>
    </row>
    <row r="200" spans="1:20" ht="21" customHeight="1">
      <c r="A200" s="2" t="str">
        <f ca="1">input_313010!A$2</f>
        <v>313010</v>
      </c>
      <c r="B200" s="7" t="str">
        <f t="shared" si="9"/>
        <v>Premium5</v>
      </c>
      <c r="C200" s="7" t="str">
        <f t="shared" si="10"/>
        <v>Premium</v>
      </c>
      <c r="D200" s="7" t="str">
        <f t="shared" si="11"/>
        <v>bg</v>
      </c>
      <c r="E200" s="6">
        <v>478</v>
      </c>
      <c r="F200" s="7" t="str">
        <f>VLOOKUP(E200,[1]characters!$A:$C,3,FALSE)</f>
        <v>時計仕掛けの愛羽妖精 ファータ</v>
      </c>
      <c r="G200" s="7" t="str">
        <f>VLOOKUP(E200,[1]characters!$A:$J,10,FALSE)</f>
        <v>PremiumS</v>
      </c>
      <c r="H200" s="7">
        <f>VLOOKUP(E200,[1]characters!$A:$I,9,FALSE)</f>
        <v>5</v>
      </c>
      <c r="I200" s="7" t="str">
        <f>VLOOKUP(E200,[1]characters!$A:$H,8,FALSE)</f>
        <v>green</v>
      </c>
      <c r="J200" s="7" t="str">
        <f>VLOOKUP(E200,[1]characters!$A:$K,11,FALSE)</f>
        <v>heal</v>
      </c>
      <c r="K200" s="7" t="str">
        <f>VLOOKUP(E200,[1]characters!$A:$M,13,FALSE)</f>
        <v>unknown</v>
      </c>
      <c r="L200" s="7" t="str">
        <f>VLOOKUP(E200,[1]characters!$A:$G,7,FALSE)</f>
        <v>女性</v>
      </c>
      <c r="M200" s="62">
        <f ca="1">IFERROR(VLOOKUP(E200,input_313010!L:R,7,FALSE),VLOOKUP(tables_313010!B200,input_313010!A:H,8,FALSE))</f>
        <v>18130</v>
      </c>
      <c r="N200" s="63">
        <f ca="1">M200/SUM(M:M)</f>
        <v>6.4814814814814813E-4</v>
      </c>
      <c r="O200" s="31">
        <f>IFERROR(VLOOKUP($E200,bug_conf_sheet!$A:$H,3,FALSE),VLOOKUP("other",bug_conf_sheet!$A:$H,3,FALSE))</f>
        <v>1</v>
      </c>
      <c r="P200" s="31">
        <f>IFERROR(VLOOKUP($E200,bug_conf_sheet!$A:$H,4,FALSE),VLOOKUP("other",bug_conf_sheet!$A:$H,4,FALSE))</f>
        <v>0</v>
      </c>
      <c r="Q200" s="31">
        <f>IFERROR(VLOOKUP($E200,bug_conf_sheet!$A:$H,5,FALSE),VLOOKUP("other",bug_conf_sheet!$A:$H,5,FALSE))</f>
        <v>0</v>
      </c>
      <c r="R200" s="31">
        <f>IFERROR(VLOOKUP($E200,bug_conf_sheet!$A:$H,6,FALSE),VLOOKUP("other",bug_conf_sheet!$A:$H,6,FALSE))</f>
        <v>0</v>
      </c>
      <c r="S200" s="31">
        <f>IFERROR(VLOOKUP($E200,bug_conf_sheet!$A:$H,7,FALSE),VLOOKUP("other",bug_conf_sheet!$A:$H,7,FALSE))</f>
        <v>0</v>
      </c>
      <c r="T200" s="31">
        <f>IFERROR(VLOOKUP($E200,bug_conf_sheet!$A:$H,8,FALSE),VLOOKUP("other",bug_conf_sheet!$A:$H,8,FALSE))</f>
        <v>1</v>
      </c>
    </row>
    <row r="201" spans="1:20" ht="21" customHeight="1">
      <c r="A201" s="2" t="str">
        <f ca="1">input_313010!A$2</f>
        <v>313010</v>
      </c>
      <c r="B201" s="7" t="str">
        <f t="shared" si="9"/>
        <v>PremiumSSbg4</v>
      </c>
      <c r="C201" s="7" t="str">
        <f t="shared" si="10"/>
        <v>PremiumSS</v>
      </c>
      <c r="D201" s="7" t="str">
        <f t="shared" si="11"/>
        <v>bg</v>
      </c>
      <c r="E201" s="6">
        <v>479</v>
      </c>
      <c r="F201" s="7" t="str">
        <f>VLOOKUP(E201,[1]characters!$A:$C,3,FALSE)</f>
        <v>フール</v>
      </c>
      <c r="G201" s="7" t="str">
        <f>VLOOKUP(E201,[1]characters!$A:$J,10,FALSE)</f>
        <v>PremiumSS</v>
      </c>
      <c r="H201" s="7">
        <f>VLOOKUP(E201,[1]characters!$A:$I,9,FALSE)</f>
        <v>4</v>
      </c>
      <c r="I201" s="7" t="str">
        <f>VLOOKUP(E201,[1]characters!$A:$H,8,FALSE)</f>
        <v>blue</v>
      </c>
      <c r="J201" s="7" t="str">
        <f>VLOOKUP(E201,[1]characters!$A:$K,11,FALSE)</f>
        <v>technical</v>
      </c>
      <c r="K201" s="7" t="str">
        <f>VLOOKUP(E201,[1]characters!$A:$M,13,FALSE)</f>
        <v>god</v>
      </c>
      <c r="L201" s="7" t="str">
        <f>VLOOKUP(E201,[1]characters!$A:$G,7,FALSE)</f>
        <v>男性</v>
      </c>
      <c r="M201" s="62">
        <f ca="1">IFERROR(VLOOKUP(E201,input_313010!L:R,7,FALSE),VLOOKUP(tables_313010!B201,input_313010!A:H,8,FALSE))</f>
        <v>41958</v>
      </c>
      <c r="N201" s="63">
        <f ca="1">M201/SUM(M:M)</f>
        <v>1.5E-3</v>
      </c>
      <c r="O201" s="31">
        <f>IFERROR(VLOOKUP($E201,bug_conf_sheet!$A:$H,3,FALSE),VLOOKUP("other",bug_conf_sheet!$A:$H,3,FALSE))</f>
        <v>1</v>
      </c>
      <c r="P201" s="31">
        <f>IFERROR(VLOOKUP($E201,bug_conf_sheet!$A:$H,4,FALSE),VLOOKUP("other",bug_conf_sheet!$A:$H,4,FALSE))</f>
        <v>0</v>
      </c>
      <c r="Q201" s="31">
        <f>IFERROR(VLOOKUP($E201,bug_conf_sheet!$A:$H,5,FALSE),VLOOKUP("other",bug_conf_sheet!$A:$H,5,FALSE))</f>
        <v>0</v>
      </c>
      <c r="R201" s="31">
        <f>IFERROR(VLOOKUP($E201,bug_conf_sheet!$A:$H,6,FALSE),VLOOKUP("other",bug_conf_sheet!$A:$H,6,FALSE))</f>
        <v>0</v>
      </c>
      <c r="S201" s="31">
        <f>IFERROR(VLOOKUP($E201,bug_conf_sheet!$A:$H,7,FALSE),VLOOKUP("other",bug_conf_sheet!$A:$H,7,FALSE))</f>
        <v>0</v>
      </c>
      <c r="T201" s="31">
        <f>IFERROR(VLOOKUP($E201,bug_conf_sheet!$A:$H,8,FALSE),VLOOKUP("other",bug_conf_sheet!$A:$H,8,FALSE))</f>
        <v>1</v>
      </c>
    </row>
    <row r="202" spans="1:20" ht="21" customHeight="1">
      <c r="A202" s="2" t="str">
        <f ca="1">input_313010!A$2</f>
        <v>313010</v>
      </c>
      <c r="B202" s="7" t="str">
        <f t="shared" si="9"/>
        <v>PremiumSSbg5</v>
      </c>
      <c r="C202" s="7" t="str">
        <f t="shared" si="10"/>
        <v>PremiumSS</v>
      </c>
      <c r="D202" s="7" t="str">
        <f t="shared" si="11"/>
        <v>bg</v>
      </c>
      <c r="E202" s="6">
        <v>480</v>
      </c>
      <c r="F202" s="7" t="str">
        <f>VLOOKUP(E202,[1]characters!$A:$C,3,FALSE)</f>
        <v>夢幻の愚者フール</v>
      </c>
      <c r="G202" s="7" t="str">
        <f>VLOOKUP(E202,[1]characters!$A:$J,10,FALSE)</f>
        <v>PremiumSS</v>
      </c>
      <c r="H202" s="7">
        <f>VLOOKUP(E202,[1]characters!$A:$I,9,FALSE)</f>
        <v>5</v>
      </c>
      <c r="I202" s="7" t="str">
        <f>VLOOKUP(E202,[1]characters!$A:$H,8,FALSE)</f>
        <v>blue</v>
      </c>
      <c r="J202" s="7" t="str">
        <f>VLOOKUP(E202,[1]characters!$A:$K,11,FALSE)</f>
        <v>technical</v>
      </c>
      <c r="K202" s="7" t="str">
        <f>VLOOKUP(E202,[1]characters!$A:$M,13,FALSE)</f>
        <v>god</v>
      </c>
      <c r="L202" s="7" t="str">
        <f>VLOOKUP(E202,[1]characters!$A:$G,7,FALSE)</f>
        <v>男性</v>
      </c>
      <c r="M202" s="62">
        <f ca="1">IFERROR(VLOOKUP(E202,input_313010!L:R,7,FALSE),VLOOKUP(tables_313010!B202,input_313010!A:H,8,FALSE))</f>
        <v>4662</v>
      </c>
      <c r="N202" s="63">
        <f ca="1">M202/SUM(M:M)</f>
        <v>1.6666666666666666E-4</v>
      </c>
      <c r="O202" s="31">
        <f>IFERROR(VLOOKUP($E202,bug_conf_sheet!$A:$H,3,FALSE),VLOOKUP("other",bug_conf_sheet!$A:$H,3,FALSE))</f>
        <v>1</v>
      </c>
      <c r="P202" s="31">
        <f>IFERROR(VLOOKUP($E202,bug_conf_sheet!$A:$H,4,FALSE),VLOOKUP("other",bug_conf_sheet!$A:$H,4,FALSE))</f>
        <v>0</v>
      </c>
      <c r="Q202" s="31">
        <f>IFERROR(VLOOKUP($E202,bug_conf_sheet!$A:$H,5,FALSE),VLOOKUP("other",bug_conf_sheet!$A:$H,5,FALSE))</f>
        <v>0</v>
      </c>
      <c r="R202" s="31">
        <f>IFERROR(VLOOKUP($E202,bug_conf_sheet!$A:$H,6,FALSE),VLOOKUP("other",bug_conf_sheet!$A:$H,6,FALSE))</f>
        <v>0</v>
      </c>
      <c r="S202" s="31">
        <f>IFERROR(VLOOKUP($E202,bug_conf_sheet!$A:$H,7,FALSE),VLOOKUP("other",bug_conf_sheet!$A:$H,7,FALSE))</f>
        <v>0</v>
      </c>
      <c r="T202" s="31">
        <f>IFERROR(VLOOKUP($E202,bug_conf_sheet!$A:$H,8,FALSE),VLOOKUP("other",bug_conf_sheet!$A:$H,8,FALSE))</f>
        <v>1</v>
      </c>
    </row>
    <row r="203" spans="1:20" ht="21" customHeight="1">
      <c r="A203" s="2" t="str">
        <f ca="1">input_313010!A$2</f>
        <v>313010</v>
      </c>
      <c r="B203" s="7" t="str">
        <f t="shared" si="9"/>
        <v>Premium3</v>
      </c>
      <c r="C203" s="7" t="str">
        <f t="shared" si="10"/>
        <v>Premium</v>
      </c>
      <c r="D203" s="7" t="str">
        <f t="shared" si="11"/>
        <v>ry</v>
      </c>
      <c r="E203" s="6">
        <v>481</v>
      </c>
      <c r="F203" s="7" t="str">
        <f>VLOOKUP(E203,[1]characters!$A:$C,3,FALSE)</f>
        <v>沢庵宗彭</v>
      </c>
      <c r="G203" s="7" t="str">
        <f>VLOOKUP(E203,[1]characters!$A:$J,10,FALSE)</f>
        <v>PremiumS</v>
      </c>
      <c r="H203" s="7">
        <f>VLOOKUP(E203,[1]characters!$A:$I,9,FALSE)</f>
        <v>3</v>
      </c>
      <c r="I203" s="7" t="str">
        <f>VLOOKUP(E203,[1]characters!$A:$H,8,FALSE)</f>
        <v>yellow</v>
      </c>
      <c r="J203" s="7" t="str">
        <f>VLOOKUP(E203,[1]characters!$A:$K,11,FALSE)</f>
        <v>hp</v>
      </c>
      <c r="K203" s="7" t="str">
        <f>VLOOKUP(E203,[1]characters!$A:$M,13,FALSE)</f>
        <v>human</v>
      </c>
      <c r="L203" s="7" t="str">
        <f>VLOOKUP(E203,[1]characters!$A:$G,7,FALSE)</f>
        <v>男性</v>
      </c>
      <c r="M203" s="62">
        <f ca="1">IFERROR(VLOOKUP(E203,input_313010!L:R,7,FALSE),VLOOKUP(tables_313010!B203,input_313010!A:H,8,FALSE))</f>
        <v>189000</v>
      </c>
      <c r="N203" s="63">
        <f ca="1">M203/SUM(M:M)</f>
        <v>6.7567567567567571E-3</v>
      </c>
      <c r="O203" s="31">
        <f>IFERROR(VLOOKUP($E203,bug_conf_sheet!$A:$H,3,FALSE),VLOOKUP("other",bug_conf_sheet!$A:$H,3,FALSE))</f>
        <v>1</v>
      </c>
      <c r="P203" s="31">
        <f>IFERROR(VLOOKUP($E203,bug_conf_sheet!$A:$H,4,FALSE),VLOOKUP("other",bug_conf_sheet!$A:$H,4,FALSE))</f>
        <v>0</v>
      </c>
      <c r="Q203" s="31">
        <f>IFERROR(VLOOKUP($E203,bug_conf_sheet!$A:$H,5,FALSE),VLOOKUP("other",bug_conf_sheet!$A:$H,5,FALSE))</f>
        <v>0</v>
      </c>
      <c r="R203" s="31">
        <f>IFERROR(VLOOKUP($E203,bug_conf_sheet!$A:$H,6,FALSE),VLOOKUP("other",bug_conf_sheet!$A:$H,6,FALSE))</f>
        <v>0</v>
      </c>
      <c r="S203" s="31">
        <f>IFERROR(VLOOKUP($E203,bug_conf_sheet!$A:$H,7,FALSE),VLOOKUP("other",bug_conf_sheet!$A:$H,7,FALSE))</f>
        <v>0</v>
      </c>
      <c r="T203" s="31">
        <f>IFERROR(VLOOKUP($E203,bug_conf_sheet!$A:$H,8,FALSE),VLOOKUP("other",bug_conf_sheet!$A:$H,8,FALSE))</f>
        <v>1</v>
      </c>
    </row>
    <row r="204" spans="1:20" ht="21" customHeight="1">
      <c r="A204" s="2" t="str">
        <f ca="1">input_313010!A$2</f>
        <v>313010</v>
      </c>
      <c r="B204" s="7" t="str">
        <f t="shared" si="9"/>
        <v>Premium4</v>
      </c>
      <c r="C204" s="7" t="str">
        <f t="shared" si="10"/>
        <v>Premium</v>
      </c>
      <c r="D204" s="7" t="str">
        <f t="shared" si="11"/>
        <v>ry</v>
      </c>
      <c r="E204" s="6">
        <v>482</v>
      </c>
      <c r="F204" s="7" t="str">
        <f>VLOOKUP(E204,[1]characters!$A:$C,3,FALSE)</f>
        <v>魁僧 沢庵宗彭</v>
      </c>
      <c r="G204" s="7" t="str">
        <f>VLOOKUP(E204,[1]characters!$A:$J,10,FALSE)</f>
        <v>PremiumS</v>
      </c>
      <c r="H204" s="7">
        <f>VLOOKUP(E204,[1]characters!$A:$I,9,FALSE)</f>
        <v>4</v>
      </c>
      <c r="I204" s="7" t="str">
        <f>VLOOKUP(E204,[1]characters!$A:$H,8,FALSE)</f>
        <v>yellow</v>
      </c>
      <c r="J204" s="7" t="str">
        <f>VLOOKUP(E204,[1]characters!$A:$K,11,FALSE)</f>
        <v>hp</v>
      </c>
      <c r="K204" s="7" t="str">
        <f>VLOOKUP(E204,[1]characters!$A:$M,13,FALSE)</f>
        <v>human</v>
      </c>
      <c r="L204" s="7" t="str">
        <f>VLOOKUP(E204,[1]characters!$A:$G,7,FALSE)</f>
        <v>男性</v>
      </c>
      <c r="M204" s="62">
        <f ca="1">IFERROR(VLOOKUP(E204,input_313010!L:R,7,FALSE),VLOOKUP(tables_313010!B204,input_313010!A:H,8,FALSE))</f>
        <v>153090</v>
      </c>
      <c r="N204" s="63">
        <f ca="1">M204/SUM(M:M)</f>
        <v>5.4729729729729726E-3</v>
      </c>
      <c r="O204" s="31">
        <f>IFERROR(VLOOKUP($E204,bug_conf_sheet!$A:$H,3,FALSE),VLOOKUP("other",bug_conf_sheet!$A:$H,3,FALSE))</f>
        <v>1</v>
      </c>
      <c r="P204" s="31">
        <f>IFERROR(VLOOKUP($E204,bug_conf_sheet!$A:$H,4,FALSE),VLOOKUP("other",bug_conf_sheet!$A:$H,4,FALSE))</f>
        <v>0</v>
      </c>
      <c r="Q204" s="31">
        <f>IFERROR(VLOOKUP($E204,bug_conf_sheet!$A:$H,5,FALSE),VLOOKUP("other",bug_conf_sheet!$A:$H,5,FALSE))</f>
        <v>0</v>
      </c>
      <c r="R204" s="31">
        <f>IFERROR(VLOOKUP($E204,bug_conf_sheet!$A:$H,6,FALSE),VLOOKUP("other",bug_conf_sheet!$A:$H,6,FALSE))</f>
        <v>0</v>
      </c>
      <c r="S204" s="31">
        <f>IFERROR(VLOOKUP($E204,bug_conf_sheet!$A:$H,7,FALSE),VLOOKUP("other",bug_conf_sheet!$A:$H,7,FALSE))</f>
        <v>0</v>
      </c>
      <c r="T204" s="31">
        <f>IFERROR(VLOOKUP($E204,bug_conf_sheet!$A:$H,8,FALSE),VLOOKUP("other",bug_conf_sheet!$A:$H,8,FALSE))</f>
        <v>1</v>
      </c>
    </row>
    <row r="205" spans="1:20" ht="21" customHeight="1">
      <c r="A205" s="2" t="str">
        <f ca="1">input_313010!A$2</f>
        <v>313010</v>
      </c>
      <c r="B205" s="7" t="str">
        <f t="shared" si="9"/>
        <v>Premium5</v>
      </c>
      <c r="C205" s="7" t="str">
        <f t="shared" si="10"/>
        <v>Premium</v>
      </c>
      <c r="D205" s="7" t="str">
        <f t="shared" si="11"/>
        <v>ry</v>
      </c>
      <c r="E205" s="6">
        <v>483</v>
      </c>
      <c r="F205" s="7" t="str">
        <f>VLOOKUP(E205,[1]characters!$A:$C,3,FALSE)</f>
        <v xml:space="preserve">命経死遂 沢庵宗彭 </v>
      </c>
      <c r="G205" s="7" t="str">
        <f>VLOOKUP(E205,[1]characters!$A:$J,10,FALSE)</f>
        <v>PremiumS</v>
      </c>
      <c r="H205" s="7">
        <f>VLOOKUP(E205,[1]characters!$A:$I,9,FALSE)</f>
        <v>5</v>
      </c>
      <c r="I205" s="7" t="str">
        <f>VLOOKUP(E205,[1]characters!$A:$H,8,FALSE)</f>
        <v>yellow</v>
      </c>
      <c r="J205" s="7" t="str">
        <f>VLOOKUP(E205,[1]characters!$A:$K,11,FALSE)</f>
        <v>hp</v>
      </c>
      <c r="K205" s="7" t="str">
        <f>VLOOKUP(E205,[1]characters!$A:$M,13,FALSE)</f>
        <v>human</v>
      </c>
      <c r="L205" s="7" t="str">
        <f>VLOOKUP(E205,[1]characters!$A:$G,7,FALSE)</f>
        <v>男性</v>
      </c>
      <c r="M205" s="62">
        <f ca="1">IFERROR(VLOOKUP(E205,input_313010!L:R,7,FALSE),VLOOKUP(tables_313010!B205,input_313010!A:H,8,FALSE))</f>
        <v>18130</v>
      </c>
      <c r="N205" s="63">
        <f ca="1">M205/SUM(M:M)</f>
        <v>6.4814814814814813E-4</v>
      </c>
      <c r="O205" s="31">
        <f>IFERROR(VLOOKUP($E205,bug_conf_sheet!$A:$H,3,FALSE),VLOOKUP("other",bug_conf_sheet!$A:$H,3,FALSE))</f>
        <v>1</v>
      </c>
      <c r="P205" s="31">
        <f>IFERROR(VLOOKUP($E205,bug_conf_sheet!$A:$H,4,FALSE),VLOOKUP("other",bug_conf_sheet!$A:$H,4,FALSE))</f>
        <v>0</v>
      </c>
      <c r="Q205" s="31">
        <f>IFERROR(VLOOKUP($E205,bug_conf_sheet!$A:$H,5,FALSE),VLOOKUP("other",bug_conf_sheet!$A:$H,5,FALSE))</f>
        <v>0</v>
      </c>
      <c r="R205" s="31">
        <f>IFERROR(VLOOKUP($E205,bug_conf_sheet!$A:$H,6,FALSE),VLOOKUP("other",bug_conf_sheet!$A:$H,6,FALSE))</f>
        <v>0</v>
      </c>
      <c r="S205" s="31">
        <f>IFERROR(VLOOKUP($E205,bug_conf_sheet!$A:$H,7,FALSE),VLOOKUP("other",bug_conf_sheet!$A:$H,7,FALSE))</f>
        <v>0</v>
      </c>
      <c r="T205" s="31">
        <f>IFERROR(VLOOKUP($E205,bug_conf_sheet!$A:$H,8,FALSE),VLOOKUP("other",bug_conf_sheet!$A:$H,8,FALSE))</f>
        <v>1</v>
      </c>
    </row>
    <row r="206" spans="1:20" ht="21" customHeight="1">
      <c r="A206" s="2" t="str">
        <f ca="1">input_313010!A$2</f>
        <v>313010</v>
      </c>
      <c r="B206" s="7" t="str">
        <f t="shared" si="9"/>
        <v>PremiumSSry4</v>
      </c>
      <c r="C206" s="7" t="str">
        <f t="shared" si="10"/>
        <v>PremiumSS</v>
      </c>
      <c r="D206" s="7" t="str">
        <f t="shared" si="11"/>
        <v>ry</v>
      </c>
      <c r="E206" s="6">
        <v>492</v>
      </c>
      <c r="F206" s="7" t="str">
        <f>VLOOKUP(E206,[1]characters!$A:$C,3,FALSE)</f>
        <v>ブートレグ・ペロー</v>
      </c>
      <c r="G206" s="7" t="str">
        <f>VLOOKUP(E206,[1]characters!$A:$J,10,FALSE)</f>
        <v>PremiumSS</v>
      </c>
      <c r="H206" s="7">
        <f>VLOOKUP(E206,[1]characters!$A:$I,9,FALSE)</f>
        <v>4</v>
      </c>
      <c r="I206" s="7" t="str">
        <f>VLOOKUP(E206,[1]characters!$A:$H,8,FALSE)</f>
        <v>red</v>
      </c>
      <c r="J206" s="7" t="str">
        <f>VLOOKUP(E206,[1]characters!$A:$K,11,FALSE)</f>
        <v>hp</v>
      </c>
      <c r="K206" s="7" t="str">
        <f>VLOOKUP(E206,[1]characters!$A:$M,13,FALSE)</f>
        <v>animal</v>
      </c>
      <c r="L206" s="7" t="str">
        <f>VLOOKUP(E206,[1]characters!$A:$G,7,FALSE)</f>
        <v>不明</v>
      </c>
      <c r="M206" s="62">
        <f ca="1">IFERROR(VLOOKUP(E206,input_313010!L:R,7,FALSE),VLOOKUP(tables_313010!B206,input_313010!A:H,8,FALSE))</f>
        <v>53946</v>
      </c>
      <c r="N206" s="63">
        <f ca="1">M206/SUM(M:M)</f>
        <v>1.9285714285714286E-3</v>
      </c>
      <c r="O206" s="31">
        <f>IFERROR(VLOOKUP($E206,bug_conf_sheet!$A:$H,3,FALSE),VLOOKUP("other",bug_conf_sheet!$A:$H,3,FALSE))</f>
        <v>1</v>
      </c>
      <c r="P206" s="31">
        <f>IFERROR(VLOOKUP($E206,bug_conf_sheet!$A:$H,4,FALSE),VLOOKUP("other",bug_conf_sheet!$A:$H,4,FALSE))</f>
        <v>0</v>
      </c>
      <c r="Q206" s="31">
        <f>IFERROR(VLOOKUP($E206,bug_conf_sheet!$A:$H,5,FALSE),VLOOKUP("other",bug_conf_sheet!$A:$H,5,FALSE))</f>
        <v>0</v>
      </c>
      <c r="R206" s="31">
        <f>IFERROR(VLOOKUP($E206,bug_conf_sheet!$A:$H,6,FALSE),VLOOKUP("other",bug_conf_sheet!$A:$H,6,FALSE))</f>
        <v>0</v>
      </c>
      <c r="S206" s="31">
        <f>IFERROR(VLOOKUP($E206,bug_conf_sheet!$A:$H,7,FALSE),VLOOKUP("other",bug_conf_sheet!$A:$H,7,FALSE))</f>
        <v>0</v>
      </c>
      <c r="T206" s="31">
        <f>IFERROR(VLOOKUP($E206,bug_conf_sheet!$A:$H,8,FALSE),VLOOKUP("other",bug_conf_sheet!$A:$H,8,FALSE))</f>
        <v>1</v>
      </c>
    </row>
    <row r="207" spans="1:20" ht="21" customHeight="1">
      <c r="A207" s="2" t="str">
        <f ca="1">input_313010!A$2</f>
        <v>313010</v>
      </c>
      <c r="B207" s="7" t="str">
        <f t="shared" si="9"/>
        <v>PremiumSSry5</v>
      </c>
      <c r="C207" s="7" t="str">
        <f t="shared" si="10"/>
        <v>PremiumSS</v>
      </c>
      <c r="D207" s="7" t="str">
        <f t="shared" si="11"/>
        <v>ry</v>
      </c>
      <c r="E207" s="6">
        <v>493</v>
      </c>
      <c r="F207" s="7" t="str">
        <f>VLOOKUP(E207,[1]characters!$A:$C,3,FALSE)</f>
        <v>跋扈の機脚 ブートレグ・ペロー</v>
      </c>
      <c r="G207" s="7" t="str">
        <f>VLOOKUP(E207,[1]characters!$A:$J,10,FALSE)</f>
        <v>PremiumSS</v>
      </c>
      <c r="H207" s="7">
        <f>VLOOKUP(E207,[1]characters!$A:$I,9,FALSE)</f>
        <v>5</v>
      </c>
      <c r="I207" s="7" t="str">
        <f>VLOOKUP(E207,[1]characters!$A:$H,8,FALSE)</f>
        <v>red</v>
      </c>
      <c r="J207" s="7" t="str">
        <f>VLOOKUP(E207,[1]characters!$A:$K,11,FALSE)</f>
        <v>hp</v>
      </c>
      <c r="K207" s="7" t="str">
        <f>VLOOKUP(E207,[1]characters!$A:$M,13,FALSE)</f>
        <v>animal</v>
      </c>
      <c r="L207" s="7" t="str">
        <f>VLOOKUP(E207,[1]characters!$A:$G,7,FALSE)</f>
        <v>不明</v>
      </c>
      <c r="M207" s="62">
        <f ca="1">IFERROR(VLOOKUP(E207,input_313010!L:R,7,FALSE),VLOOKUP(tables_313010!B207,input_313010!A:H,8,FALSE))</f>
        <v>5994</v>
      </c>
      <c r="N207" s="63">
        <f ca="1">M207/SUM(M:M)</f>
        <v>2.1428571428571427E-4</v>
      </c>
      <c r="O207" s="31">
        <f>IFERROR(VLOOKUP($E207,bug_conf_sheet!$A:$H,3,FALSE),VLOOKUP("other",bug_conf_sheet!$A:$H,3,FALSE))</f>
        <v>1</v>
      </c>
      <c r="P207" s="31">
        <f>IFERROR(VLOOKUP($E207,bug_conf_sheet!$A:$H,4,FALSE),VLOOKUP("other",bug_conf_sheet!$A:$H,4,FALSE))</f>
        <v>0</v>
      </c>
      <c r="Q207" s="31">
        <f>IFERROR(VLOOKUP($E207,bug_conf_sheet!$A:$H,5,FALSE),VLOOKUP("other",bug_conf_sheet!$A:$H,5,FALSE))</f>
        <v>0</v>
      </c>
      <c r="R207" s="31">
        <f>IFERROR(VLOOKUP($E207,bug_conf_sheet!$A:$H,6,FALSE),VLOOKUP("other",bug_conf_sheet!$A:$H,6,FALSE))</f>
        <v>0</v>
      </c>
      <c r="S207" s="31">
        <f>IFERROR(VLOOKUP($E207,bug_conf_sheet!$A:$H,7,FALSE),VLOOKUP("other",bug_conf_sheet!$A:$H,7,FALSE))</f>
        <v>0</v>
      </c>
      <c r="T207" s="31">
        <f>IFERROR(VLOOKUP($E207,bug_conf_sheet!$A:$H,8,FALSE),VLOOKUP("other",bug_conf_sheet!$A:$H,8,FALSE))</f>
        <v>1</v>
      </c>
    </row>
    <row r="208" spans="1:20" ht="21" customHeight="1">
      <c r="A208" s="2" t="str">
        <f ca="1">input_313010!A$2</f>
        <v>313010</v>
      </c>
      <c r="B208" s="7" t="str">
        <f t="shared" si="9"/>
        <v>PremiumSSbg4</v>
      </c>
      <c r="C208" s="7" t="str">
        <f t="shared" si="10"/>
        <v>PremiumSS</v>
      </c>
      <c r="D208" s="7" t="str">
        <f t="shared" si="11"/>
        <v>bg</v>
      </c>
      <c r="E208" s="6">
        <v>494</v>
      </c>
      <c r="F208" s="7" t="str">
        <f>VLOOKUP(E208,[1]characters!$A:$C,3,FALSE)</f>
        <v>ハーメルン</v>
      </c>
      <c r="G208" s="7" t="str">
        <f>VLOOKUP(E208,[1]characters!$A:$J,10,FALSE)</f>
        <v>PremiumSS</v>
      </c>
      <c r="H208" s="7">
        <f>VLOOKUP(E208,[1]characters!$A:$I,9,FALSE)</f>
        <v>4</v>
      </c>
      <c r="I208" s="7" t="str">
        <f>VLOOKUP(E208,[1]characters!$A:$H,8,FALSE)</f>
        <v>green</v>
      </c>
      <c r="J208" s="7" t="str">
        <f>VLOOKUP(E208,[1]characters!$A:$K,11,FALSE)</f>
        <v>technical</v>
      </c>
      <c r="K208" s="7" t="str">
        <f>VLOOKUP(E208,[1]characters!$A:$M,13,FALSE)</f>
        <v>human</v>
      </c>
      <c r="L208" s="7" t="str">
        <f>VLOOKUP(E208,[1]characters!$A:$G,7,FALSE)</f>
        <v>男性</v>
      </c>
      <c r="M208" s="62">
        <f ca="1">IFERROR(VLOOKUP(E208,input_313010!L:R,7,FALSE),VLOOKUP(tables_313010!B208,input_313010!A:H,8,FALSE))</f>
        <v>41958</v>
      </c>
      <c r="N208" s="63">
        <f ca="1">M208/SUM(M:M)</f>
        <v>1.5E-3</v>
      </c>
      <c r="O208" s="31">
        <f>IFERROR(VLOOKUP($E208,bug_conf_sheet!$A:$H,3,FALSE),VLOOKUP("other",bug_conf_sheet!$A:$H,3,FALSE))</f>
        <v>1</v>
      </c>
      <c r="P208" s="31">
        <f>IFERROR(VLOOKUP($E208,bug_conf_sheet!$A:$H,4,FALSE),VLOOKUP("other",bug_conf_sheet!$A:$H,4,FALSE))</f>
        <v>0</v>
      </c>
      <c r="Q208" s="31">
        <f>IFERROR(VLOOKUP($E208,bug_conf_sheet!$A:$H,5,FALSE),VLOOKUP("other",bug_conf_sheet!$A:$H,5,FALSE))</f>
        <v>0</v>
      </c>
      <c r="R208" s="31">
        <f>IFERROR(VLOOKUP($E208,bug_conf_sheet!$A:$H,6,FALSE),VLOOKUP("other",bug_conf_sheet!$A:$H,6,FALSE))</f>
        <v>0</v>
      </c>
      <c r="S208" s="31">
        <f>IFERROR(VLOOKUP($E208,bug_conf_sheet!$A:$H,7,FALSE),VLOOKUP("other",bug_conf_sheet!$A:$H,7,FALSE))</f>
        <v>0</v>
      </c>
      <c r="T208" s="31">
        <f>IFERROR(VLOOKUP($E208,bug_conf_sheet!$A:$H,8,FALSE),VLOOKUP("other",bug_conf_sheet!$A:$H,8,FALSE))</f>
        <v>1</v>
      </c>
    </row>
    <row r="209" spans="1:20" ht="21" customHeight="1">
      <c r="A209" s="2" t="str">
        <f ca="1">input_313010!A$2</f>
        <v>313010</v>
      </c>
      <c r="B209" s="7" t="str">
        <f t="shared" si="9"/>
        <v>PremiumSSbg5</v>
      </c>
      <c r="C209" s="7" t="str">
        <f t="shared" si="10"/>
        <v>PremiumSS</v>
      </c>
      <c r="D209" s="7" t="str">
        <f t="shared" si="11"/>
        <v>bg</v>
      </c>
      <c r="E209" s="6">
        <v>495</v>
      </c>
      <c r="F209" s="7" t="str">
        <f>VLOOKUP(E209,[1]characters!$A:$C,3,FALSE)</f>
        <v>鼠災呼ぶ笛音 ハーメルン</v>
      </c>
      <c r="G209" s="7" t="str">
        <f>VLOOKUP(E209,[1]characters!$A:$J,10,FALSE)</f>
        <v>PremiumSS</v>
      </c>
      <c r="H209" s="7">
        <f>VLOOKUP(E209,[1]characters!$A:$I,9,FALSE)</f>
        <v>5</v>
      </c>
      <c r="I209" s="7" t="str">
        <f>VLOOKUP(E209,[1]characters!$A:$H,8,FALSE)</f>
        <v>green</v>
      </c>
      <c r="J209" s="7" t="str">
        <f>VLOOKUP(E209,[1]characters!$A:$K,11,FALSE)</f>
        <v>technical</v>
      </c>
      <c r="K209" s="7" t="str">
        <f>VLOOKUP(E209,[1]characters!$A:$M,13,FALSE)</f>
        <v>human</v>
      </c>
      <c r="L209" s="7" t="str">
        <f>VLOOKUP(E209,[1]characters!$A:$G,7,FALSE)</f>
        <v>男性</v>
      </c>
      <c r="M209" s="62">
        <f ca="1">IFERROR(VLOOKUP(E209,input_313010!L:R,7,FALSE),VLOOKUP(tables_313010!B209,input_313010!A:H,8,FALSE))</f>
        <v>4662</v>
      </c>
      <c r="N209" s="63">
        <f ca="1">M209/SUM(M:M)</f>
        <v>1.6666666666666666E-4</v>
      </c>
      <c r="O209" s="31">
        <f>IFERROR(VLOOKUP($E209,bug_conf_sheet!$A:$H,3,FALSE),VLOOKUP("other",bug_conf_sheet!$A:$H,3,FALSE))</f>
        <v>1</v>
      </c>
      <c r="P209" s="31">
        <f>IFERROR(VLOOKUP($E209,bug_conf_sheet!$A:$H,4,FALSE),VLOOKUP("other",bug_conf_sheet!$A:$H,4,FALSE))</f>
        <v>0</v>
      </c>
      <c r="Q209" s="31">
        <f>IFERROR(VLOOKUP($E209,bug_conf_sheet!$A:$H,5,FALSE),VLOOKUP("other",bug_conf_sheet!$A:$H,5,FALSE))</f>
        <v>0</v>
      </c>
      <c r="R209" s="31">
        <f>IFERROR(VLOOKUP($E209,bug_conf_sheet!$A:$H,6,FALSE),VLOOKUP("other",bug_conf_sheet!$A:$H,6,FALSE))</f>
        <v>0</v>
      </c>
      <c r="S209" s="31">
        <f>IFERROR(VLOOKUP($E209,bug_conf_sheet!$A:$H,7,FALSE),VLOOKUP("other",bug_conf_sheet!$A:$H,7,FALSE))</f>
        <v>0</v>
      </c>
      <c r="T209" s="31">
        <f>IFERROR(VLOOKUP($E209,bug_conf_sheet!$A:$H,8,FALSE),VLOOKUP("other",bug_conf_sheet!$A:$H,8,FALSE))</f>
        <v>1</v>
      </c>
    </row>
    <row r="210" spans="1:20" ht="21" customHeight="1">
      <c r="A210" s="2" t="str">
        <f ca="1">input_313010!A$2</f>
        <v>313010</v>
      </c>
      <c r="B210" s="7" t="str">
        <f t="shared" si="9"/>
        <v>Premium3</v>
      </c>
      <c r="C210" s="7" t="str">
        <f t="shared" si="10"/>
        <v>Premium</v>
      </c>
      <c r="D210" s="7" t="str">
        <f t="shared" si="11"/>
        <v>bg</v>
      </c>
      <c r="E210" s="6">
        <v>496</v>
      </c>
      <c r="F210" s="7" t="str">
        <f>VLOOKUP(E210,[1]characters!$A:$C,3,FALSE)</f>
        <v>エスタブ</v>
      </c>
      <c r="G210" s="7" t="str">
        <f>VLOOKUP(E210,[1]characters!$A:$J,10,FALSE)</f>
        <v>PremiumS</v>
      </c>
      <c r="H210" s="7">
        <f>VLOOKUP(E210,[1]characters!$A:$I,9,FALSE)</f>
        <v>3</v>
      </c>
      <c r="I210" s="7" t="str">
        <f>VLOOKUP(E210,[1]characters!$A:$H,8,FALSE)</f>
        <v>blue</v>
      </c>
      <c r="J210" s="7" t="str">
        <f>VLOOKUP(E210,[1]characters!$A:$K,11,FALSE)</f>
        <v>attack</v>
      </c>
      <c r="K210" s="7" t="str">
        <f>VLOOKUP(E210,[1]characters!$A:$M,13,FALSE)</f>
        <v>human</v>
      </c>
      <c r="L210" s="7" t="str">
        <f>VLOOKUP(E210,[1]characters!$A:$G,7,FALSE)</f>
        <v>男性</v>
      </c>
      <c r="M210" s="62">
        <f ca="1">IFERROR(VLOOKUP(E210,input_313010!L:R,7,FALSE),VLOOKUP(tables_313010!B210,input_313010!A:H,8,FALSE))</f>
        <v>189000</v>
      </c>
      <c r="N210" s="63">
        <f ca="1">M210/SUM(M:M)</f>
        <v>6.7567567567567571E-3</v>
      </c>
      <c r="O210" s="31">
        <f>IFERROR(VLOOKUP($E210,bug_conf_sheet!$A:$H,3,FALSE),VLOOKUP("other",bug_conf_sheet!$A:$H,3,FALSE))</f>
        <v>1</v>
      </c>
      <c r="P210" s="31">
        <f>IFERROR(VLOOKUP($E210,bug_conf_sheet!$A:$H,4,FALSE),VLOOKUP("other",bug_conf_sheet!$A:$H,4,FALSE))</f>
        <v>0</v>
      </c>
      <c r="Q210" s="31">
        <f>IFERROR(VLOOKUP($E210,bug_conf_sheet!$A:$H,5,FALSE),VLOOKUP("other",bug_conf_sheet!$A:$H,5,FALSE))</f>
        <v>0</v>
      </c>
      <c r="R210" s="31">
        <f>IFERROR(VLOOKUP($E210,bug_conf_sheet!$A:$H,6,FALSE),VLOOKUP("other",bug_conf_sheet!$A:$H,6,FALSE))</f>
        <v>0</v>
      </c>
      <c r="S210" s="31">
        <f>IFERROR(VLOOKUP($E210,bug_conf_sheet!$A:$H,7,FALSE),VLOOKUP("other",bug_conf_sheet!$A:$H,7,FALSE))</f>
        <v>0</v>
      </c>
      <c r="T210" s="31">
        <f>IFERROR(VLOOKUP($E210,bug_conf_sheet!$A:$H,8,FALSE),VLOOKUP("other",bug_conf_sheet!$A:$H,8,FALSE))</f>
        <v>1</v>
      </c>
    </row>
    <row r="211" spans="1:20" ht="21" customHeight="1">
      <c r="A211" s="2" t="str">
        <f ca="1">input_313010!A$2</f>
        <v>313010</v>
      </c>
      <c r="B211" s="7" t="str">
        <f t="shared" si="9"/>
        <v>Premium4</v>
      </c>
      <c r="C211" s="7" t="str">
        <f t="shared" si="10"/>
        <v>Premium</v>
      </c>
      <c r="D211" s="7" t="str">
        <f t="shared" si="11"/>
        <v>bg</v>
      </c>
      <c r="E211" s="6">
        <v>497</v>
      </c>
      <c r="F211" s="7" t="str">
        <f>VLOOKUP(E211,[1]characters!$A:$C,3,FALSE)</f>
        <v>偏愛の野獣 エスタブ</v>
      </c>
      <c r="G211" s="7" t="str">
        <f>VLOOKUP(E211,[1]characters!$A:$J,10,FALSE)</f>
        <v>PremiumS</v>
      </c>
      <c r="H211" s="7">
        <f>VLOOKUP(E211,[1]characters!$A:$I,9,FALSE)</f>
        <v>4</v>
      </c>
      <c r="I211" s="7" t="str">
        <f>VLOOKUP(E211,[1]characters!$A:$H,8,FALSE)</f>
        <v>blue</v>
      </c>
      <c r="J211" s="7" t="str">
        <f>VLOOKUP(E211,[1]characters!$A:$K,11,FALSE)</f>
        <v>attack</v>
      </c>
      <c r="K211" s="7" t="str">
        <f>VLOOKUP(E211,[1]characters!$A:$M,13,FALSE)</f>
        <v>human</v>
      </c>
      <c r="L211" s="7" t="str">
        <f>VLOOKUP(E211,[1]characters!$A:$G,7,FALSE)</f>
        <v>男性</v>
      </c>
      <c r="M211" s="62">
        <f ca="1">IFERROR(VLOOKUP(E211,input_313010!L:R,7,FALSE),VLOOKUP(tables_313010!B211,input_313010!A:H,8,FALSE))</f>
        <v>153090</v>
      </c>
      <c r="N211" s="63">
        <f ca="1">M211/SUM(M:M)</f>
        <v>5.4729729729729726E-3</v>
      </c>
      <c r="O211" s="31">
        <f>IFERROR(VLOOKUP($E211,bug_conf_sheet!$A:$H,3,FALSE),VLOOKUP("other",bug_conf_sheet!$A:$H,3,FALSE))</f>
        <v>1</v>
      </c>
      <c r="P211" s="31">
        <f>IFERROR(VLOOKUP($E211,bug_conf_sheet!$A:$H,4,FALSE),VLOOKUP("other",bug_conf_sheet!$A:$H,4,FALSE))</f>
        <v>0</v>
      </c>
      <c r="Q211" s="31">
        <f>IFERROR(VLOOKUP($E211,bug_conf_sheet!$A:$H,5,FALSE),VLOOKUP("other",bug_conf_sheet!$A:$H,5,FALSE))</f>
        <v>0</v>
      </c>
      <c r="R211" s="31">
        <f>IFERROR(VLOOKUP($E211,bug_conf_sheet!$A:$H,6,FALSE),VLOOKUP("other",bug_conf_sheet!$A:$H,6,FALSE))</f>
        <v>0</v>
      </c>
      <c r="S211" s="31">
        <f>IFERROR(VLOOKUP($E211,bug_conf_sheet!$A:$H,7,FALSE),VLOOKUP("other",bug_conf_sheet!$A:$H,7,FALSE))</f>
        <v>0</v>
      </c>
      <c r="T211" s="31">
        <f>IFERROR(VLOOKUP($E211,bug_conf_sheet!$A:$H,8,FALSE),VLOOKUP("other",bug_conf_sheet!$A:$H,8,FALSE))</f>
        <v>1</v>
      </c>
    </row>
    <row r="212" spans="1:20" ht="21" customHeight="1">
      <c r="A212" s="2" t="str">
        <f ca="1">input_313010!A$2</f>
        <v>313010</v>
      </c>
      <c r="B212" s="7" t="str">
        <f t="shared" si="9"/>
        <v>Premium5</v>
      </c>
      <c r="C212" s="7" t="str">
        <f t="shared" si="10"/>
        <v>Premium</v>
      </c>
      <c r="D212" s="7" t="str">
        <f t="shared" si="11"/>
        <v>bg</v>
      </c>
      <c r="E212" s="6">
        <v>498</v>
      </c>
      <c r="F212" s="7" t="str">
        <f>VLOOKUP(E212,[1]characters!$A:$C,3,FALSE)</f>
        <v>自愛の高魔 エスタブ</v>
      </c>
      <c r="G212" s="7" t="str">
        <f>VLOOKUP(E212,[1]characters!$A:$J,10,FALSE)</f>
        <v>PremiumS</v>
      </c>
      <c r="H212" s="7">
        <f>VLOOKUP(E212,[1]characters!$A:$I,9,FALSE)</f>
        <v>5</v>
      </c>
      <c r="I212" s="7" t="str">
        <f>VLOOKUP(E212,[1]characters!$A:$H,8,FALSE)</f>
        <v>blue</v>
      </c>
      <c r="J212" s="7" t="str">
        <f>VLOOKUP(E212,[1]characters!$A:$K,11,FALSE)</f>
        <v>attack</v>
      </c>
      <c r="K212" s="7" t="str">
        <f>VLOOKUP(E212,[1]characters!$A:$M,13,FALSE)</f>
        <v>human</v>
      </c>
      <c r="L212" s="7" t="str">
        <f>VLOOKUP(E212,[1]characters!$A:$G,7,FALSE)</f>
        <v>男性</v>
      </c>
      <c r="M212" s="62">
        <f ca="1">IFERROR(VLOOKUP(E212,input_313010!L:R,7,FALSE),VLOOKUP(tables_313010!B212,input_313010!A:H,8,FALSE))</f>
        <v>18130</v>
      </c>
      <c r="N212" s="63">
        <f ca="1">M212/SUM(M:M)</f>
        <v>6.4814814814814813E-4</v>
      </c>
      <c r="O212" s="31">
        <f>IFERROR(VLOOKUP($E212,bug_conf_sheet!$A:$H,3,FALSE),VLOOKUP("other",bug_conf_sheet!$A:$H,3,FALSE))</f>
        <v>1</v>
      </c>
      <c r="P212" s="31">
        <f>IFERROR(VLOOKUP($E212,bug_conf_sheet!$A:$H,4,FALSE),VLOOKUP("other",bug_conf_sheet!$A:$H,4,FALSE))</f>
        <v>0</v>
      </c>
      <c r="Q212" s="31">
        <f>IFERROR(VLOOKUP($E212,bug_conf_sheet!$A:$H,5,FALSE),VLOOKUP("other",bug_conf_sheet!$A:$H,5,FALSE))</f>
        <v>0</v>
      </c>
      <c r="R212" s="31">
        <f>IFERROR(VLOOKUP($E212,bug_conf_sheet!$A:$H,6,FALSE),VLOOKUP("other",bug_conf_sheet!$A:$H,6,FALSE))</f>
        <v>0</v>
      </c>
      <c r="S212" s="31">
        <f>IFERROR(VLOOKUP($E212,bug_conf_sheet!$A:$H,7,FALSE),VLOOKUP("other",bug_conf_sheet!$A:$H,7,FALSE))</f>
        <v>0</v>
      </c>
      <c r="T212" s="31">
        <f>IFERROR(VLOOKUP($E212,bug_conf_sheet!$A:$H,8,FALSE),VLOOKUP("other",bug_conf_sheet!$A:$H,8,FALSE))</f>
        <v>1</v>
      </c>
    </row>
    <row r="213" spans="1:20" ht="21" customHeight="1">
      <c r="A213" s="2" t="str">
        <f ca="1">input_313010!A$2</f>
        <v>313010</v>
      </c>
      <c r="B213" s="7" t="str">
        <f t="shared" si="9"/>
        <v>PremiumSSry4</v>
      </c>
      <c r="C213" s="7" t="str">
        <f t="shared" si="10"/>
        <v>PremiumSS</v>
      </c>
      <c r="D213" s="7" t="str">
        <f t="shared" si="11"/>
        <v>ry</v>
      </c>
      <c r="E213" s="6">
        <v>499</v>
      </c>
      <c r="F213" s="7" t="str">
        <f>VLOOKUP(E213,[1]characters!$A:$C,3,FALSE)</f>
        <v>ラプンツェル</v>
      </c>
      <c r="G213" s="7" t="str">
        <f>VLOOKUP(E213,[1]characters!$A:$J,10,FALSE)</f>
        <v>PremiumSS</v>
      </c>
      <c r="H213" s="7">
        <f>VLOOKUP(E213,[1]characters!$A:$I,9,FALSE)</f>
        <v>4</v>
      </c>
      <c r="I213" s="7" t="str">
        <f>VLOOKUP(E213,[1]characters!$A:$H,8,FALSE)</f>
        <v>yellow</v>
      </c>
      <c r="J213" s="7" t="str">
        <f>VLOOKUP(E213,[1]characters!$A:$K,11,FALSE)</f>
        <v>balance</v>
      </c>
      <c r="K213" s="7" t="str">
        <f>VLOOKUP(E213,[1]characters!$A:$M,13,FALSE)</f>
        <v>human</v>
      </c>
      <c r="L213" s="7" t="str">
        <f>VLOOKUP(E213,[1]characters!$A:$G,7,FALSE)</f>
        <v>女性</v>
      </c>
      <c r="M213" s="62">
        <f ca="1">IFERROR(VLOOKUP(E213,input_313010!L:R,7,FALSE),VLOOKUP(tables_313010!B213,input_313010!A:H,8,FALSE))</f>
        <v>53946</v>
      </c>
      <c r="N213" s="63">
        <f ca="1">M213/SUM(M:M)</f>
        <v>1.9285714285714286E-3</v>
      </c>
      <c r="O213" s="31">
        <f>IFERROR(VLOOKUP($E213,bug_conf_sheet!$A:$H,3,FALSE),VLOOKUP("other",bug_conf_sheet!$A:$H,3,FALSE))</f>
        <v>1</v>
      </c>
      <c r="P213" s="31">
        <f>IFERROR(VLOOKUP($E213,bug_conf_sheet!$A:$H,4,FALSE),VLOOKUP("other",bug_conf_sheet!$A:$H,4,FALSE))</f>
        <v>0</v>
      </c>
      <c r="Q213" s="31">
        <f>IFERROR(VLOOKUP($E213,bug_conf_sheet!$A:$H,5,FALSE),VLOOKUP("other",bug_conf_sheet!$A:$H,5,FALSE))</f>
        <v>0</v>
      </c>
      <c r="R213" s="31">
        <f>IFERROR(VLOOKUP($E213,bug_conf_sheet!$A:$H,6,FALSE),VLOOKUP("other",bug_conf_sheet!$A:$H,6,FALSE))</f>
        <v>0</v>
      </c>
      <c r="S213" s="31">
        <f>IFERROR(VLOOKUP($E213,bug_conf_sheet!$A:$H,7,FALSE),VLOOKUP("other",bug_conf_sheet!$A:$H,7,FALSE))</f>
        <v>0</v>
      </c>
      <c r="T213" s="31">
        <f>IFERROR(VLOOKUP($E213,bug_conf_sheet!$A:$H,8,FALSE),VLOOKUP("other",bug_conf_sheet!$A:$H,8,FALSE))</f>
        <v>1</v>
      </c>
    </row>
    <row r="214" spans="1:20" ht="21" customHeight="1">
      <c r="A214" s="2" t="str">
        <f ca="1">input_313010!A$2</f>
        <v>313010</v>
      </c>
      <c r="B214" s="7" t="str">
        <f t="shared" si="9"/>
        <v>PremiumSSry5</v>
      </c>
      <c r="C214" s="7" t="str">
        <f t="shared" si="10"/>
        <v>PremiumSS</v>
      </c>
      <c r="D214" s="7" t="str">
        <f t="shared" si="11"/>
        <v>ry</v>
      </c>
      <c r="E214" s="6">
        <v>500</v>
      </c>
      <c r="F214" s="7" t="str">
        <f>VLOOKUP(E214,[1]characters!$A:$C,3,FALSE)</f>
        <v>脈動の禁髪 ラプンツェル</v>
      </c>
      <c r="G214" s="7" t="str">
        <f>VLOOKUP(E214,[1]characters!$A:$J,10,FALSE)</f>
        <v>PremiumSS</v>
      </c>
      <c r="H214" s="7">
        <f>VLOOKUP(E214,[1]characters!$A:$I,9,FALSE)</f>
        <v>5</v>
      </c>
      <c r="I214" s="7" t="str">
        <f>VLOOKUP(E214,[1]characters!$A:$H,8,FALSE)</f>
        <v>yellow</v>
      </c>
      <c r="J214" s="7" t="str">
        <f>VLOOKUP(E214,[1]characters!$A:$K,11,FALSE)</f>
        <v>balance</v>
      </c>
      <c r="K214" s="7" t="str">
        <f>VLOOKUP(E214,[1]characters!$A:$M,13,FALSE)</f>
        <v>human</v>
      </c>
      <c r="L214" s="7" t="str">
        <f>VLOOKUP(E214,[1]characters!$A:$G,7,FALSE)</f>
        <v>女性</v>
      </c>
      <c r="M214" s="62">
        <f ca="1">IFERROR(VLOOKUP(E214,input_313010!L:R,7,FALSE),VLOOKUP(tables_313010!B214,input_313010!A:H,8,FALSE))</f>
        <v>5994</v>
      </c>
      <c r="N214" s="63">
        <f ca="1">M214/SUM(M:M)</f>
        <v>2.1428571428571427E-4</v>
      </c>
      <c r="O214" s="31">
        <f>IFERROR(VLOOKUP($E214,bug_conf_sheet!$A:$H,3,FALSE),VLOOKUP("other",bug_conf_sheet!$A:$H,3,FALSE))</f>
        <v>1</v>
      </c>
      <c r="P214" s="31">
        <f>IFERROR(VLOOKUP($E214,bug_conf_sheet!$A:$H,4,FALSE),VLOOKUP("other",bug_conf_sheet!$A:$H,4,FALSE))</f>
        <v>0</v>
      </c>
      <c r="Q214" s="31">
        <f>IFERROR(VLOOKUP($E214,bug_conf_sheet!$A:$H,5,FALSE),VLOOKUP("other",bug_conf_sheet!$A:$H,5,FALSE))</f>
        <v>0</v>
      </c>
      <c r="R214" s="31">
        <f>IFERROR(VLOOKUP($E214,bug_conf_sheet!$A:$H,6,FALSE),VLOOKUP("other",bug_conf_sheet!$A:$H,6,FALSE))</f>
        <v>0</v>
      </c>
      <c r="S214" s="31">
        <f>IFERROR(VLOOKUP($E214,bug_conf_sheet!$A:$H,7,FALSE),VLOOKUP("other",bug_conf_sheet!$A:$H,7,FALSE))</f>
        <v>0</v>
      </c>
      <c r="T214" s="31">
        <f>IFERROR(VLOOKUP($E214,bug_conf_sheet!$A:$H,8,FALSE),VLOOKUP("other",bug_conf_sheet!$A:$H,8,FALSE))</f>
        <v>1</v>
      </c>
    </row>
    <row r="215" spans="1:20" ht="21" customHeight="1">
      <c r="A215" s="2" t="str">
        <f ca="1">input_313010!A$2</f>
        <v>313010</v>
      </c>
      <c r="B215" s="7" t="str">
        <f t="shared" si="9"/>
        <v>PremiumSSry4</v>
      </c>
      <c r="C215" s="7" t="str">
        <f t="shared" si="10"/>
        <v>PremiumSS</v>
      </c>
      <c r="D215" s="7" t="str">
        <f t="shared" si="11"/>
        <v>ry</v>
      </c>
      <c r="E215" s="6">
        <v>586</v>
      </c>
      <c r="F215" s="7" t="str">
        <f>VLOOKUP(E215,[1]characters!$A:$C,3,FALSE)</f>
        <v>ユミル</v>
      </c>
      <c r="G215" s="7" t="str">
        <f>VLOOKUP(E215,[1]characters!$A:$J,10,FALSE)</f>
        <v>PremiumSS</v>
      </c>
      <c r="H215" s="7">
        <f>VLOOKUP(E215,[1]characters!$A:$I,9,FALSE)</f>
        <v>4</v>
      </c>
      <c r="I215" s="7" t="str">
        <f>VLOOKUP(E215,[1]characters!$A:$H,8,FALSE)</f>
        <v>red</v>
      </c>
      <c r="J215" s="7" t="str">
        <f>VLOOKUP(E215,[1]characters!$A:$K,11,FALSE)</f>
        <v>hp</v>
      </c>
      <c r="K215" s="7" t="str">
        <f>VLOOKUP(E215,[1]characters!$A:$M,13,FALSE)</f>
        <v>machine</v>
      </c>
      <c r="L215" s="7" t="str">
        <f>VLOOKUP(E215,[1]characters!$A:$G,7,FALSE)</f>
        <v>不明</v>
      </c>
      <c r="M215" s="62">
        <f ca="1">IFERROR(VLOOKUP(E215,input_313010!L:R,7,FALSE),VLOOKUP(tables_313010!B215,input_313010!A:H,8,FALSE))</f>
        <v>53946</v>
      </c>
      <c r="N215" s="63">
        <f ca="1">M215/SUM(M:M)</f>
        <v>1.9285714285714286E-3</v>
      </c>
      <c r="O215" s="31">
        <f>IFERROR(VLOOKUP($E215,bug_conf_sheet!$A:$H,3,FALSE),VLOOKUP("other",bug_conf_sheet!$A:$H,3,FALSE))</f>
        <v>1</v>
      </c>
      <c r="P215" s="31">
        <f>IFERROR(VLOOKUP($E215,bug_conf_sheet!$A:$H,4,FALSE),VLOOKUP("other",bug_conf_sheet!$A:$H,4,FALSE))</f>
        <v>0</v>
      </c>
      <c r="Q215" s="31">
        <f>IFERROR(VLOOKUP($E215,bug_conf_sheet!$A:$H,5,FALSE),VLOOKUP("other",bug_conf_sheet!$A:$H,5,FALSE))</f>
        <v>0</v>
      </c>
      <c r="R215" s="31">
        <f>IFERROR(VLOOKUP($E215,bug_conf_sheet!$A:$H,6,FALSE),VLOOKUP("other",bug_conf_sheet!$A:$H,6,FALSE))</f>
        <v>0</v>
      </c>
      <c r="S215" s="31">
        <f>IFERROR(VLOOKUP($E215,bug_conf_sheet!$A:$H,7,FALSE),VLOOKUP("other",bug_conf_sheet!$A:$H,7,FALSE))</f>
        <v>0</v>
      </c>
      <c r="T215" s="31">
        <f>IFERROR(VLOOKUP($E215,bug_conf_sheet!$A:$H,8,FALSE),VLOOKUP("other",bug_conf_sheet!$A:$H,8,FALSE))</f>
        <v>1</v>
      </c>
    </row>
    <row r="216" spans="1:20" ht="21" customHeight="1">
      <c r="A216" s="2" t="str">
        <f ca="1">input_313010!A$2</f>
        <v>313010</v>
      </c>
      <c r="B216" s="7" t="str">
        <f t="shared" si="9"/>
        <v>PremiumSSry5</v>
      </c>
      <c r="C216" s="7" t="str">
        <f t="shared" si="10"/>
        <v>PremiumSS</v>
      </c>
      <c r="D216" s="7" t="str">
        <f t="shared" si="11"/>
        <v>ry</v>
      </c>
      <c r="E216" s="6">
        <v>587</v>
      </c>
      <c r="F216" s="7" t="str">
        <f>VLOOKUP(E216,[1]characters!$A:$C,3,FALSE)</f>
        <v>原初の煉鋼巨刃 ユミル</v>
      </c>
      <c r="G216" s="7" t="str">
        <f>VLOOKUP(E216,[1]characters!$A:$J,10,FALSE)</f>
        <v>PremiumSS</v>
      </c>
      <c r="H216" s="7">
        <f>VLOOKUP(E216,[1]characters!$A:$I,9,FALSE)</f>
        <v>5</v>
      </c>
      <c r="I216" s="7" t="str">
        <f>VLOOKUP(E216,[1]characters!$A:$H,8,FALSE)</f>
        <v>red</v>
      </c>
      <c r="J216" s="7" t="str">
        <f>VLOOKUP(E216,[1]characters!$A:$K,11,FALSE)</f>
        <v>hp</v>
      </c>
      <c r="K216" s="7" t="str">
        <f>VLOOKUP(E216,[1]characters!$A:$M,13,FALSE)</f>
        <v>machine</v>
      </c>
      <c r="L216" s="7" t="str">
        <f>VLOOKUP(E216,[1]characters!$A:$G,7,FALSE)</f>
        <v>不明</v>
      </c>
      <c r="M216" s="62">
        <f ca="1">IFERROR(VLOOKUP(E216,input_313010!L:R,7,FALSE),VLOOKUP(tables_313010!B216,input_313010!A:H,8,FALSE))</f>
        <v>5994</v>
      </c>
      <c r="N216" s="63">
        <f ca="1">M216/SUM(M:M)</f>
        <v>2.1428571428571427E-4</v>
      </c>
      <c r="O216" s="31">
        <f>IFERROR(VLOOKUP($E216,bug_conf_sheet!$A:$H,3,FALSE),VLOOKUP("other",bug_conf_sheet!$A:$H,3,FALSE))</f>
        <v>1</v>
      </c>
      <c r="P216" s="31">
        <f>IFERROR(VLOOKUP($E216,bug_conf_sheet!$A:$H,4,FALSE),VLOOKUP("other",bug_conf_sheet!$A:$H,4,FALSE))</f>
        <v>0</v>
      </c>
      <c r="Q216" s="31">
        <f>IFERROR(VLOOKUP($E216,bug_conf_sheet!$A:$H,5,FALSE),VLOOKUP("other",bug_conf_sheet!$A:$H,5,FALSE))</f>
        <v>0</v>
      </c>
      <c r="R216" s="31">
        <f>IFERROR(VLOOKUP($E216,bug_conf_sheet!$A:$H,6,FALSE),VLOOKUP("other",bug_conf_sheet!$A:$H,6,FALSE))</f>
        <v>0</v>
      </c>
      <c r="S216" s="31">
        <f>IFERROR(VLOOKUP($E216,bug_conf_sheet!$A:$H,7,FALSE),VLOOKUP("other",bug_conf_sheet!$A:$H,7,FALSE))</f>
        <v>0</v>
      </c>
      <c r="T216" s="31">
        <f>IFERROR(VLOOKUP($E216,bug_conf_sheet!$A:$H,8,FALSE),VLOOKUP("other",bug_conf_sheet!$A:$H,8,FALSE))</f>
        <v>1</v>
      </c>
    </row>
    <row r="217" spans="1:20" ht="21" customHeight="1">
      <c r="A217" s="2" t="str">
        <f ca="1">input_313010!A$2</f>
        <v>313010</v>
      </c>
      <c r="B217" s="7" t="str">
        <f t="shared" si="9"/>
        <v>Premium3</v>
      </c>
      <c r="C217" s="7" t="str">
        <f t="shared" si="10"/>
        <v>Premium</v>
      </c>
      <c r="D217" s="7" t="str">
        <f t="shared" si="11"/>
        <v>bg</v>
      </c>
      <c r="E217" s="6">
        <v>588</v>
      </c>
      <c r="F217" s="7" t="str">
        <f>VLOOKUP(E217,[1]characters!$A:$C,3,FALSE)</f>
        <v>ニーベルゲン</v>
      </c>
      <c r="G217" s="7" t="str">
        <f>VLOOKUP(E217,[1]characters!$A:$J,10,FALSE)</f>
        <v>PremiumS</v>
      </c>
      <c r="H217" s="7">
        <f>VLOOKUP(E217,[1]characters!$A:$I,9,FALSE)</f>
        <v>3</v>
      </c>
      <c r="I217" s="7" t="str">
        <f>VLOOKUP(E217,[1]characters!$A:$H,8,FALSE)</f>
        <v>green</v>
      </c>
      <c r="J217" s="7" t="str">
        <f>VLOOKUP(E217,[1]characters!$A:$K,11,FALSE)</f>
        <v>balance</v>
      </c>
      <c r="K217" s="7" t="str">
        <f>VLOOKUP(E217,[1]characters!$A:$M,13,FALSE)</f>
        <v>unknown</v>
      </c>
      <c r="L217" s="7" t="str">
        <f>VLOOKUP(E217,[1]characters!$A:$G,7,FALSE)</f>
        <v>女性</v>
      </c>
      <c r="M217" s="62">
        <f ca="1">IFERROR(VLOOKUP(E217,input_313010!L:R,7,FALSE),VLOOKUP(tables_313010!B217,input_313010!A:H,8,FALSE))</f>
        <v>189000</v>
      </c>
      <c r="N217" s="63">
        <f ca="1">M217/SUM(M:M)</f>
        <v>6.7567567567567571E-3</v>
      </c>
      <c r="O217" s="31">
        <f>IFERROR(VLOOKUP($E217,bug_conf_sheet!$A:$H,3,FALSE),VLOOKUP("other",bug_conf_sheet!$A:$H,3,FALSE))</f>
        <v>1</v>
      </c>
      <c r="P217" s="31">
        <f>IFERROR(VLOOKUP($E217,bug_conf_sheet!$A:$H,4,FALSE),VLOOKUP("other",bug_conf_sheet!$A:$H,4,FALSE))</f>
        <v>0</v>
      </c>
      <c r="Q217" s="31">
        <f>IFERROR(VLOOKUP($E217,bug_conf_sheet!$A:$H,5,FALSE),VLOOKUP("other",bug_conf_sheet!$A:$H,5,FALSE))</f>
        <v>0</v>
      </c>
      <c r="R217" s="31">
        <f>IFERROR(VLOOKUP($E217,bug_conf_sheet!$A:$H,6,FALSE),VLOOKUP("other",bug_conf_sheet!$A:$H,6,FALSE))</f>
        <v>0</v>
      </c>
      <c r="S217" s="31">
        <f>IFERROR(VLOOKUP($E217,bug_conf_sheet!$A:$H,7,FALSE),VLOOKUP("other",bug_conf_sheet!$A:$H,7,FALSE))</f>
        <v>0</v>
      </c>
      <c r="T217" s="31">
        <f>IFERROR(VLOOKUP($E217,bug_conf_sheet!$A:$H,8,FALSE),VLOOKUP("other",bug_conf_sheet!$A:$H,8,FALSE))</f>
        <v>1</v>
      </c>
    </row>
    <row r="218" spans="1:20" ht="21" customHeight="1">
      <c r="A218" s="2" t="str">
        <f ca="1">input_313010!A$2</f>
        <v>313010</v>
      </c>
      <c r="B218" s="7" t="str">
        <f t="shared" si="9"/>
        <v>Premium4</v>
      </c>
      <c r="C218" s="7" t="str">
        <f t="shared" si="10"/>
        <v>Premium</v>
      </c>
      <c r="D218" s="7" t="str">
        <f t="shared" si="11"/>
        <v>bg</v>
      </c>
      <c r="E218" s="6">
        <v>589</v>
      </c>
      <c r="F218" s="7" t="str">
        <f>VLOOKUP(E218,[1]characters!$A:$C,3,FALSE)</f>
        <v>不幸の円環 ニーベルゲン</v>
      </c>
      <c r="G218" s="7" t="str">
        <f>VLOOKUP(E218,[1]characters!$A:$J,10,FALSE)</f>
        <v>PremiumS</v>
      </c>
      <c r="H218" s="7">
        <f>VLOOKUP(E218,[1]characters!$A:$I,9,FALSE)</f>
        <v>4</v>
      </c>
      <c r="I218" s="7" t="str">
        <f>VLOOKUP(E218,[1]characters!$A:$H,8,FALSE)</f>
        <v>green</v>
      </c>
      <c r="J218" s="7" t="str">
        <f>VLOOKUP(E218,[1]characters!$A:$K,11,FALSE)</f>
        <v>balance</v>
      </c>
      <c r="K218" s="7" t="str">
        <f>VLOOKUP(E218,[1]characters!$A:$M,13,FALSE)</f>
        <v>unknown</v>
      </c>
      <c r="L218" s="7" t="str">
        <f>VLOOKUP(E218,[1]characters!$A:$G,7,FALSE)</f>
        <v>女性</v>
      </c>
      <c r="M218" s="62">
        <f ca="1">IFERROR(VLOOKUP(E218,input_313010!L:R,7,FALSE),VLOOKUP(tables_313010!B218,input_313010!A:H,8,FALSE))</f>
        <v>153090</v>
      </c>
      <c r="N218" s="63">
        <f ca="1">M218/SUM(M:M)</f>
        <v>5.4729729729729726E-3</v>
      </c>
      <c r="O218" s="31">
        <f>IFERROR(VLOOKUP($E218,bug_conf_sheet!$A:$H,3,FALSE),VLOOKUP("other",bug_conf_sheet!$A:$H,3,FALSE))</f>
        <v>1</v>
      </c>
      <c r="P218" s="31">
        <f>IFERROR(VLOOKUP($E218,bug_conf_sheet!$A:$H,4,FALSE),VLOOKUP("other",bug_conf_sheet!$A:$H,4,FALSE))</f>
        <v>0</v>
      </c>
      <c r="Q218" s="31">
        <f>IFERROR(VLOOKUP($E218,bug_conf_sheet!$A:$H,5,FALSE),VLOOKUP("other",bug_conf_sheet!$A:$H,5,FALSE))</f>
        <v>0</v>
      </c>
      <c r="R218" s="31">
        <f>IFERROR(VLOOKUP($E218,bug_conf_sheet!$A:$H,6,FALSE),VLOOKUP("other",bug_conf_sheet!$A:$H,6,FALSE))</f>
        <v>0</v>
      </c>
      <c r="S218" s="31">
        <f>IFERROR(VLOOKUP($E218,bug_conf_sheet!$A:$H,7,FALSE),VLOOKUP("other",bug_conf_sheet!$A:$H,7,FALSE))</f>
        <v>0</v>
      </c>
      <c r="T218" s="31">
        <f>IFERROR(VLOOKUP($E218,bug_conf_sheet!$A:$H,8,FALSE),VLOOKUP("other",bug_conf_sheet!$A:$H,8,FALSE))</f>
        <v>1</v>
      </c>
    </row>
    <row r="219" spans="1:20" ht="21" customHeight="1">
      <c r="A219" s="2" t="str">
        <f ca="1">input_313010!A$2</f>
        <v>313010</v>
      </c>
      <c r="B219" s="7" t="str">
        <f t="shared" si="9"/>
        <v>Premium5</v>
      </c>
      <c r="C219" s="7" t="str">
        <f t="shared" si="10"/>
        <v>Premium</v>
      </c>
      <c r="D219" s="7" t="str">
        <f t="shared" si="11"/>
        <v>bg</v>
      </c>
      <c r="E219" s="6">
        <v>590</v>
      </c>
      <c r="F219" s="7" t="str">
        <f>VLOOKUP(E219,[1]characters!$A:$C,3,FALSE)</f>
        <v>永遠を廻る呪い ニーベルゲン</v>
      </c>
      <c r="G219" s="7" t="str">
        <f>VLOOKUP(E219,[1]characters!$A:$J,10,FALSE)</f>
        <v>PremiumS</v>
      </c>
      <c r="H219" s="7">
        <f>VLOOKUP(E219,[1]characters!$A:$I,9,FALSE)</f>
        <v>5</v>
      </c>
      <c r="I219" s="7" t="str">
        <f>VLOOKUP(E219,[1]characters!$A:$H,8,FALSE)</f>
        <v>green</v>
      </c>
      <c r="J219" s="7" t="str">
        <f>VLOOKUP(E219,[1]characters!$A:$K,11,FALSE)</f>
        <v>balance</v>
      </c>
      <c r="K219" s="7" t="str">
        <f>VLOOKUP(E219,[1]characters!$A:$M,13,FALSE)</f>
        <v>unknown</v>
      </c>
      <c r="L219" s="7" t="str">
        <f>VLOOKUP(E219,[1]characters!$A:$G,7,FALSE)</f>
        <v>女性</v>
      </c>
      <c r="M219" s="62">
        <f ca="1">IFERROR(VLOOKUP(E219,input_313010!L:R,7,FALSE),VLOOKUP(tables_313010!B219,input_313010!A:H,8,FALSE))</f>
        <v>18130</v>
      </c>
      <c r="N219" s="63">
        <f ca="1">M219/SUM(M:M)</f>
        <v>6.4814814814814813E-4</v>
      </c>
      <c r="O219" s="31">
        <f>IFERROR(VLOOKUP($E219,bug_conf_sheet!$A:$H,3,FALSE),VLOOKUP("other",bug_conf_sheet!$A:$H,3,FALSE))</f>
        <v>1</v>
      </c>
      <c r="P219" s="31">
        <f>IFERROR(VLOOKUP($E219,bug_conf_sheet!$A:$H,4,FALSE),VLOOKUP("other",bug_conf_sheet!$A:$H,4,FALSE))</f>
        <v>0</v>
      </c>
      <c r="Q219" s="31">
        <f>IFERROR(VLOOKUP($E219,bug_conf_sheet!$A:$H,5,FALSE),VLOOKUP("other",bug_conf_sheet!$A:$H,5,FALSE))</f>
        <v>0</v>
      </c>
      <c r="R219" s="31">
        <f>IFERROR(VLOOKUP($E219,bug_conf_sheet!$A:$H,6,FALSE),VLOOKUP("other",bug_conf_sheet!$A:$H,6,FALSE))</f>
        <v>0</v>
      </c>
      <c r="S219" s="31">
        <f>IFERROR(VLOOKUP($E219,bug_conf_sheet!$A:$H,7,FALSE),VLOOKUP("other",bug_conf_sheet!$A:$H,7,FALSE))</f>
        <v>0</v>
      </c>
      <c r="T219" s="31">
        <f>IFERROR(VLOOKUP($E219,bug_conf_sheet!$A:$H,8,FALSE),VLOOKUP("other",bug_conf_sheet!$A:$H,8,FALSE))</f>
        <v>1</v>
      </c>
    </row>
    <row r="220" spans="1:20" ht="21" customHeight="1">
      <c r="A220" s="2" t="str">
        <f ca="1">input_313010!A$2</f>
        <v>313010</v>
      </c>
      <c r="B220" s="7" t="str">
        <f t="shared" si="9"/>
        <v>Premium3</v>
      </c>
      <c r="C220" s="7" t="str">
        <f t="shared" si="10"/>
        <v>Premium</v>
      </c>
      <c r="D220" s="7" t="str">
        <f t="shared" si="11"/>
        <v>bg</v>
      </c>
      <c r="E220" s="6">
        <v>591</v>
      </c>
      <c r="F220" s="7" t="str">
        <f>VLOOKUP(E220,[1]characters!$A:$C,3,FALSE)</f>
        <v>ファフニール</v>
      </c>
      <c r="G220" s="7" t="str">
        <f>VLOOKUP(E220,[1]characters!$A:$J,10,FALSE)</f>
        <v>PremiumS</v>
      </c>
      <c r="H220" s="7">
        <f>VLOOKUP(E220,[1]characters!$A:$I,9,FALSE)</f>
        <v>3</v>
      </c>
      <c r="I220" s="7" t="str">
        <f>VLOOKUP(E220,[1]characters!$A:$H,8,FALSE)</f>
        <v>blue</v>
      </c>
      <c r="J220" s="7" t="str">
        <f>VLOOKUP(E220,[1]characters!$A:$K,11,FALSE)</f>
        <v>technical</v>
      </c>
      <c r="K220" s="7" t="str">
        <f>VLOOKUP(E220,[1]characters!$A:$M,13,FALSE)</f>
        <v>dragon</v>
      </c>
      <c r="L220" s="7" t="str">
        <f>VLOOKUP(E220,[1]characters!$A:$G,7,FALSE)</f>
        <v>不明</v>
      </c>
      <c r="M220" s="62">
        <f ca="1">IFERROR(VLOOKUP(E220,input_313010!L:R,7,FALSE),VLOOKUP(tables_313010!B220,input_313010!A:H,8,FALSE))</f>
        <v>189000</v>
      </c>
      <c r="N220" s="63">
        <f ca="1">M220/SUM(M:M)</f>
        <v>6.7567567567567571E-3</v>
      </c>
      <c r="O220" s="31">
        <f>IFERROR(VLOOKUP($E220,bug_conf_sheet!$A:$H,3,FALSE),VLOOKUP("other",bug_conf_sheet!$A:$H,3,FALSE))</f>
        <v>1</v>
      </c>
      <c r="P220" s="31">
        <f>IFERROR(VLOOKUP($E220,bug_conf_sheet!$A:$H,4,FALSE),VLOOKUP("other",bug_conf_sheet!$A:$H,4,FALSE))</f>
        <v>0</v>
      </c>
      <c r="Q220" s="31">
        <f>IFERROR(VLOOKUP($E220,bug_conf_sheet!$A:$H,5,FALSE),VLOOKUP("other",bug_conf_sheet!$A:$H,5,FALSE))</f>
        <v>0</v>
      </c>
      <c r="R220" s="31">
        <f>IFERROR(VLOOKUP($E220,bug_conf_sheet!$A:$H,6,FALSE),VLOOKUP("other",bug_conf_sheet!$A:$H,6,FALSE))</f>
        <v>0</v>
      </c>
      <c r="S220" s="31">
        <f>IFERROR(VLOOKUP($E220,bug_conf_sheet!$A:$H,7,FALSE),VLOOKUP("other",bug_conf_sheet!$A:$H,7,FALSE))</f>
        <v>0</v>
      </c>
      <c r="T220" s="31">
        <f>IFERROR(VLOOKUP($E220,bug_conf_sheet!$A:$H,8,FALSE),VLOOKUP("other",bug_conf_sheet!$A:$H,8,FALSE))</f>
        <v>1</v>
      </c>
    </row>
    <row r="221" spans="1:20" ht="21" customHeight="1">
      <c r="A221" s="2" t="str">
        <f ca="1">input_313010!A$2</f>
        <v>313010</v>
      </c>
      <c r="B221" s="7" t="str">
        <f t="shared" si="9"/>
        <v>Premium4</v>
      </c>
      <c r="C221" s="7" t="str">
        <f t="shared" si="10"/>
        <v>Premium</v>
      </c>
      <c r="D221" s="7" t="str">
        <f t="shared" si="11"/>
        <v>bg</v>
      </c>
      <c r="E221" s="6">
        <v>592</v>
      </c>
      <c r="F221" s="7" t="str">
        <f>VLOOKUP(E221,[1]characters!$A:$C,3,FALSE)</f>
        <v>財宝への執着 ファフニール</v>
      </c>
      <c r="G221" s="7" t="str">
        <f>VLOOKUP(E221,[1]characters!$A:$J,10,FALSE)</f>
        <v>PremiumS</v>
      </c>
      <c r="H221" s="7">
        <f>VLOOKUP(E221,[1]characters!$A:$I,9,FALSE)</f>
        <v>4</v>
      </c>
      <c r="I221" s="7" t="str">
        <f>VLOOKUP(E221,[1]characters!$A:$H,8,FALSE)</f>
        <v>blue</v>
      </c>
      <c r="J221" s="7" t="str">
        <f>VLOOKUP(E221,[1]characters!$A:$K,11,FALSE)</f>
        <v>technical</v>
      </c>
      <c r="K221" s="7" t="str">
        <f>VLOOKUP(E221,[1]characters!$A:$M,13,FALSE)</f>
        <v>dragon</v>
      </c>
      <c r="L221" s="7" t="str">
        <f>VLOOKUP(E221,[1]characters!$A:$G,7,FALSE)</f>
        <v>不明</v>
      </c>
      <c r="M221" s="62">
        <f ca="1">IFERROR(VLOOKUP(E221,input_313010!L:R,7,FALSE),VLOOKUP(tables_313010!B221,input_313010!A:H,8,FALSE))</f>
        <v>153090</v>
      </c>
      <c r="N221" s="63">
        <f ca="1">M221/SUM(M:M)</f>
        <v>5.4729729729729726E-3</v>
      </c>
      <c r="O221" s="31">
        <f>IFERROR(VLOOKUP($E221,bug_conf_sheet!$A:$H,3,FALSE),VLOOKUP("other",bug_conf_sheet!$A:$H,3,FALSE))</f>
        <v>1</v>
      </c>
      <c r="P221" s="31">
        <f>IFERROR(VLOOKUP($E221,bug_conf_sheet!$A:$H,4,FALSE),VLOOKUP("other",bug_conf_sheet!$A:$H,4,FALSE))</f>
        <v>0</v>
      </c>
      <c r="Q221" s="31">
        <f>IFERROR(VLOOKUP($E221,bug_conf_sheet!$A:$H,5,FALSE),VLOOKUP("other",bug_conf_sheet!$A:$H,5,FALSE))</f>
        <v>0</v>
      </c>
      <c r="R221" s="31">
        <f>IFERROR(VLOOKUP($E221,bug_conf_sheet!$A:$H,6,FALSE),VLOOKUP("other",bug_conf_sheet!$A:$H,6,FALSE))</f>
        <v>0</v>
      </c>
      <c r="S221" s="31">
        <f>IFERROR(VLOOKUP($E221,bug_conf_sheet!$A:$H,7,FALSE),VLOOKUP("other",bug_conf_sheet!$A:$H,7,FALSE))</f>
        <v>0</v>
      </c>
      <c r="T221" s="31">
        <f>IFERROR(VLOOKUP($E221,bug_conf_sheet!$A:$H,8,FALSE),VLOOKUP("other",bug_conf_sheet!$A:$H,8,FALSE))</f>
        <v>1</v>
      </c>
    </row>
    <row r="222" spans="1:20" ht="21" customHeight="1">
      <c r="A222" s="2" t="str">
        <f ca="1">input_313010!A$2</f>
        <v>313010</v>
      </c>
      <c r="B222" s="7" t="str">
        <f t="shared" si="9"/>
        <v>Premium5</v>
      </c>
      <c r="C222" s="7" t="str">
        <f t="shared" si="10"/>
        <v>Premium</v>
      </c>
      <c r="D222" s="7" t="str">
        <f t="shared" si="11"/>
        <v>bg</v>
      </c>
      <c r="E222" s="6">
        <v>593</v>
      </c>
      <c r="F222" s="7" t="str">
        <f>VLOOKUP(E222,[1]characters!$A:$C,3,FALSE)</f>
        <v>妄執する邪毒龍 ファフニール</v>
      </c>
      <c r="G222" s="7" t="str">
        <f>VLOOKUP(E222,[1]characters!$A:$J,10,FALSE)</f>
        <v>PremiumS</v>
      </c>
      <c r="H222" s="7">
        <f>VLOOKUP(E222,[1]characters!$A:$I,9,FALSE)</f>
        <v>5</v>
      </c>
      <c r="I222" s="7" t="str">
        <f>VLOOKUP(E222,[1]characters!$A:$H,8,FALSE)</f>
        <v>blue</v>
      </c>
      <c r="J222" s="7" t="str">
        <f>VLOOKUP(E222,[1]characters!$A:$K,11,FALSE)</f>
        <v>technical</v>
      </c>
      <c r="K222" s="7" t="str">
        <f>VLOOKUP(E222,[1]characters!$A:$M,13,FALSE)</f>
        <v>dragon</v>
      </c>
      <c r="L222" s="7" t="str">
        <f>VLOOKUP(E222,[1]characters!$A:$G,7,FALSE)</f>
        <v>不明</v>
      </c>
      <c r="M222" s="62">
        <f ca="1">IFERROR(VLOOKUP(E222,input_313010!L:R,7,FALSE),VLOOKUP(tables_313010!B222,input_313010!A:H,8,FALSE))</f>
        <v>18130</v>
      </c>
      <c r="N222" s="63">
        <f ca="1">M222/SUM(M:M)</f>
        <v>6.4814814814814813E-4</v>
      </c>
      <c r="O222" s="31">
        <f>IFERROR(VLOOKUP($E222,bug_conf_sheet!$A:$H,3,FALSE),VLOOKUP("other",bug_conf_sheet!$A:$H,3,FALSE))</f>
        <v>1</v>
      </c>
      <c r="P222" s="31">
        <f>IFERROR(VLOOKUP($E222,bug_conf_sheet!$A:$H,4,FALSE),VLOOKUP("other",bug_conf_sheet!$A:$H,4,FALSE))</f>
        <v>0</v>
      </c>
      <c r="Q222" s="31">
        <f>IFERROR(VLOOKUP($E222,bug_conf_sheet!$A:$H,5,FALSE),VLOOKUP("other",bug_conf_sheet!$A:$H,5,FALSE))</f>
        <v>0</v>
      </c>
      <c r="R222" s="31">
        <f>IFERROR(VLOOKUP($E222,bug_conf_sheet!$A:$H,6,FALSE),VLOOKUP("other",bug_conf_sheet!$A:$H,6,FALSE))</f>
        <v>0</v>
      </c>
      <c r="S222" s="31">
        <f>IFERROR(VLOOKUP($E222,bug_conf_sheet!$A:$H,7,FALSE),VLOOKUP("other",bug_conf_sheet!$A:$H,7,FALSE))</f>
        <v>0</v>
      </c>
      <c r="T222" s="31">
        <f>IFERROR(VLOOKUP($E222,bug_conf_sheet!$A:$H,8,FALSE),VLOOKUP("other",bug_conf_sheet!$A:$H,8,FALSE))</f>
        <v>1</v>
      </c>
    </row>
    <row r="223" spans="1:20" ht="21" customHeight="1">
      <c r="A223" s="2" t="str">
        <f ca="1">input_313010!A$2</f>
        <v>313010</v>
      </c>
      <c r="B223" s="7" t="str">
        <f t="shared" si="9"/>
        <v>PremiumSSry4</v>
      </c>
      <c r="C223" s="7" t="str">
        <f t="shared" si="10"/>
        <v>PremiumSS</v>
      </c>
      <c r="D223" s="7" t="str">
        <f t="shared" si="11"/>
        <v>ry</v>
      </c>
      <c r="E223" s="6">
        <v>594</v>
      </c>
      <c r="F223" s="7" t="str">
        <f>VLOOKUP(E223,[1]characters!$A:$C,3,FALSE)</f>
        <v>アルフヘイム</v>
      </c>
      <c r="G223" s="7" t="str">
        <f>VLOOKUP(E223,[1]characters!$A:$J,10,FALSE)</f>
        <v>PremiumSS</v>
      </c>
      <c r="H223" s="7">
        <f>VLOOKUP(E223,[1]characters!$A:$I,9,FALSE)</f>
        <v>4</v>
      </c>
      <c r="I223" s="7" t="str">
        <f>VLOOKUP(E223,[1]characters!$A:$H,8,FALSE)</f>
        <v>yellow</v>
      </c>
      <c r="J223" s="7" t="str">
        <f>VLOOKUP(E223,[1]characters!$A:$K,11,FALSE)</f>
        <v>attack</v>
      </c>
      <c r="K223" s="7" t="str">
        <f>VLOOKUP(E223,[1]characters!$A:$M,13,FALSE)</f>
        <v>dragon</v>
      </c>
      <c r="L223" s="7" t="str">
        <f>VLOOKUP(E223,[1]characters!$A:$G,7,FALSE)</f>
        <v>不明</v>
      </c>
      <c r="M223" s="62">
        <f ca="1">IFERROR(VLOOKUP(E223,input_313010!L:R,7,FALSE),VLOOKUP(tables_313010!B223,input_313010!A:H,8,FALSE))</f>
        <v>53946</v>
      </c>
      <c r="N223" s="63">
        <f ca="1">M223/SUM(M:M)</f>
        <v>1.9285714285714286E-3</v>
      </c>
      <c r="O223" s="31">
        <f>IFERROR(VLOOKUP($E223,bug_conf_sheet!$A:$H,3,FALSE),VLOOKUP("other",bug_conf_sheet!$A:$H,3,FALSE))</f>
        <v>1</v>
      </c>
      <c r="P223" s="31">
        <f>IFERROR(VLOOKUP($E223,bug_conf_sheet!$A:$H,4,FALSE),VLOOKUP("other",bug_conf_sheet!$A:$H,4,FALSE))</f>
        <v>0</v>
      </c>
      <c r="Q223" s="31">
        <f>IFERROR(VLOOKUP($E223,bug_conf_sheet!$A:$H,5,FALSE),VLOOKUP("other",bug_conf_sheet!$A:$H,5,FALSE))</f>
        <v>0</v>
      </c>
      <c r="R223" s="31">
        <f>IFERROR(VLOOKUP($E223,bug_conf_sheet!$A:$H,6,FALSE),VLOOKUP("other",bug_conf_sheet!$A:$H,6,FALSE))</f>
        <v>0</v>
      </c>
      <c r="S223" s="31">
        <f>IFERROR(VLOOKUP($E223,bug_conf_sheet!$A:$H,7,FALSE),VLOOKUP("other",bug_conf_sheet!$A:$H,7,FALSE))</f>
        <v>0</v>
      </c>
      <c r="T223" s="31">
        <f>IFERROR(VLOOKUP($E223,bug_conf_sheet!$A:$H,8,FALSE),VLOOKUP("other",bug_conf_sheet!$A:$H,8,FALSE))</f>
        <v>1</v>
      </c>
    </row>
    <row r="224" spans="1:20" ht="21" customHeight="1">
      <c r="A224" s="2" t="str">
        <f ca="1">input_313010!A$2</f>
        <v>313010</v>
      </c>
      <c r="B224" s="7" t="str">
        <f t="shared" si="9"/>
        <v>PremiumSSry5</v>
      </c>
      <c r="C224" s="7" t="str">
        <f t="shared" si="10"/>
        <v>PremiumSS</v>
      </c>
      <c r="D224" s="7" t="str">
        <f t="shared" si="11"/>
        <v>ry</v>
      </c>
      <c r="E224" s="6">
        <v>595</v>
      </c>
      <c r="F224" s="7" t="str">
        <f>VLOOKUP(E224,[1]characters!$A:$C,3,FALSE)</f>
        <v>光華なる神域 アルフヘイム</v>
      </c>
      <c r="G224" s="7" t="str">
        <f>VLOOKUP(E224,[1]characters!$A:$J,10,FALSE)</f>
        <v>PremiumSS</v>
      </c>
      <c r="H224" s="7">
        <f>VLOOKUP(E224,[1]characters!$A:$I,9,FALSE)</f>
        <v>5</v>
      </c>
      <c r="I224" s="7" t="str">
        <f>VLOOKUP(E224,[1]characters!$A:$H,8,FALSE)</f>
        <v>yellow</v>
      </c>
      <c r="J224" s="7" t="str">
        <f>VLOOKUP(E224,[1]characters!$A:$K,11,FALSE)</f>
        <v>attack</v>
      </c>
      <c r="K224" s="7" t="str">
        <f>VLOOKUP(E224,[1]characters!$A:$M,13,FALSE)</f>
        <v>dragon</v>
      </c>
      <c r="L224" s="7" t="str">
        <f>VLOOKUP(E224,[1]characters!$A:$G,7,FALSE)</f>
        <v>不明</v>
      </c>
      <c r="M224" s="62">
        <f ca="1">IFERROR(VLOOKUP(E224,input_313010!L:R,7,FALSE),VLOOKUP(tables_313010!B224,input_313010!A:H,8,FALSE))</f>
        <v>5994</v>
      </c>
      <c r="N224" s="63">
        <f ca="1">M224/SUM(M:M)</f>
        <v>2.1428571428571427E-4</v>
      </c>
      <c r="O224" s="31">
        <f>IFERROR(VLOOKUP($E224,bug_conf_sheet!$A:$H,3,FALSE),VLOOKUP("other",bug_conf_sheet!$A:$H,3,FALSE))</f>
        <v>1</v>
      </c>
      <c r="P224" s="31">
        <f>IFERROR(VLOOKUP($E224,bug_conf_sheet!$A:$H,4,FALSE),VLOOKUP("other",bug_conf_sheet!$A:$H,4,FALSE))</f>
        <v>0</v>
      </c>
      <c r="Q224" s="31">
        <f>IFERROR(VLOOKUP($E224,bug_conf_sheet!$A:$H,5,FALSE),VLOOKUP("other",bug_conf_sheet!$A:$H,5,FALSE))</f>
        <v>0</v>
      </c>
      <c r="R224" s="31">
        <f>IFERROR(VLOOKUP($E224,bug_conf_sheet!$A:$H,6,FALSE),VLOOKUP("other",bug_conf_sheet!$A:$H,6,FALSE))</f>
        <v>0</v>
      </c>
      <c r="S224" s="31">
        <f>IFERROR(VLOOKUP($E224,bug_conf_sheet!$A:$H,7,FALSE),VLOOKUP("other",bug_conf_sheet!$A:$H,7,FALSE))</f>
        <v>0</v>
      </c>
      <c r="T224" s="31">
        <f>IFERROR(VLOOKUP($E224,bug_conf_sheet!$A:$H,8,FALSE),VLOOKUP("other",bug_conf_sheet!$A:$H,8,FALSE))</f>
        <v>1</v>
      </c>
    </row>
    <row r="225" spans="1:20" ht="21" customHeight="1">
      <c r="A225" s="2" t="str">
        <f ca="1">input_313010!A$2</f>
        <v>313010</v>
      </c>
      <c r="B225" s="7" t="str">
        <f t="shared" si="9"/>
        <v>Premium3</v>
      </c>
      <c r="C225" s="7" t="str">
        <f t="shared" si="10"/>
        <v>Premium</v>
      </c>
      <c r="D225" s="7" t="str">
        <f t="shared" si="11"/>
        <v>ry</v>
      </c>
      <c r="E225" s="6">
        <v>596</v>
      </c>
      <c r="F225" s="7" t="str">
        <f>VLOOKUP(E225,[1]characters!$A:$C,3,FALSE)</f>
        <v>ムスペルヘイム</v>
      </c>
      <c r="G225" s="7" t="str">
        <f>VLOOKUP(E225,[1]characters!$A:$J,10,FALSE)</f>
        <v>PremiumS</v>
      </c>
      <c r="H225" s="7">
        <f>VLOOKUP(E225,[1]characters!$A:$I,9,FALSE)</f>
        <v>3</v>
      </c>
      <c r="I225" s="7" t="str">
        <f>VLOOKUP(E225,[1]characters!$A:$H,8,FALSE)</f>
        <v>red</v>
      </c>
      <c r="J225" s="7" t="str">
        <f>VLOOKUP(E225,[1]characters!$A:$K,11,FALSE)</f>
        <v>balance</v>
      </c>
      <c r="K225" s="7" t="str">
        <f>VLOOKUP(E225,[1]characters!$A:$M,13,FALSE)</f>
        <v>human</v>
      </c>
      <c r="L225" s="7" t="str">
        <f>VLOOKUP(E225,[1]characters!$A:$G,7,FALSE)</f>
        <v>男性</v>
      </c>
      <c r="M225" s="62">
        <f ca="1">IFERROR(VLOOKUP(E225,input_313010!L:R,7,FALSE),VLOOKUP(tables_313010!B225,input_313010!A:H,8,FALSE))</f>
        <v>189000</v>
      </c>
      <c r="N225" s="63">
        <f ca="1">M225/SUM(M:M)</f>
        <v>6.7567567567567571E-3</v>
      </c>
      <c r="O225" s="31">
        <f>IFERROR(VLOOKUP($E225,bug_conf_sheet!$A:$H,3,FALSE),VLOOKUP("other",bug_conf_sheet!$A:$H,3,FALSE))</f>
        <v>1</v>
      </c>
      <c r="P225" s="31">
        <f>IFERROR(VLOOKUP($E225,bug_conf_sheet!$A:$H,4,FALSE),VLOOKUP("other",bug_conf_sheet!$A:$H,4,FALSE))</f>
        <v>0</v>
      </c>
      <c r="Q225" s="31">
        <f>IFERROR(VLOOKUP($E225,bug_conf_sheet!$A:$H,5,FALSE),VLOOKUP("other",bug_conf_sheet!$A:$H,5,FALSE))</f>
        <v>0</v>
      </c>
      <c r="R225" s="31">
        <f>IFERROR(VLOOKUP($E225,bug_conf_sheet!$A:$H,6,FALSE),VLOOKUP("other",bug_conf_sheet!$A:$H,6,FALSE))</f>
        <v>0</v>
      </c>
      <c r="S225" s="31">
        <f>IFERROR(VLOOKUP($E225,bug_conf_sheet!$A:$H,7,FALSE),VLOOKUP("other",bug_conf_sheet!$A:$H,7,FALSE))</f>
        <v>0</v>
      </c>
      <c r="T225" s="31">
        <f>IFERROR(VLOOKUP($E225,bug_conf_sheet!$A:$H,8,FALSE),VLOOKUP("other",bug_conf_sheet!$A:$H,8,FALSE))</f>
        <v>1</v>
      </c>
    </row>
    <row r="226" spans="1:20" ht="21" customHeight="1">
      <c r="A226" s="2" t="str">
        <f ca="1">input_313010!A$2</f>
        <v>313010</v>
      </c>
      <c r="B226" s="7" t="str">
        <f t="shared" si="9"/>
        <v>Premium4</v>
      </c>
      <c r="C226" s="7" t="str">
        <f t="shared" si="10"/>
        <v>Premium</v>
      </c>
      <c r="D226" s="7" t="str">
        <f t="shared" si="11"/>
        <v>ry</v>
      </c>
      <c r="E226" s="6">
        <v>597</v>
      </c>
      <c r="F226" s="7" t="str">
        <f>VLOOKUP(E226,[1]characters!$A:$C,3,FALSE)</f>
        <v>灼熱の魂 ムスペルヘイム</v>
      </c>
      <c r="G226" s="7" t="str">
        <f>VLOOKUP(E226,[1]characters!$A:$J,10,FALSE)</f>
        <v>PremiumS</v>
      </c>
      <c r="H226" s="7">
        <f>VLOOKUP(E226,[1]characters!$A:$I,9,FALSE)</f>
        <v>4</v>
      </c>
      <c r="I226" s="7" t="str">
        <f>VLOOKUP(E226,[1]characters!$A:$H,8,FALSE)</f>
        <v>red</v>
      </c>
      <c r="J226" s="7" t="str">
        <f>VLOOKUP(E226,[1]characters!$A:$K,11,FALSE)</f>
        <v>balance</v>
      </c>
      <c r="K226" s="7" t="str">
        <f>VLOOKUP(E226,[1]characters!$A:$M,13,FALSE)</f>
        <v>human</v>
      </c>
      <c r="L226" s="7" t="str">
        <f>VLOOKUP(E226,[1]characters!$A:$G,7,FALSE)</f>
        <v>男性</v>
      </c>
      <c r="M226" s="62">
        <f ca="1">IFERROR(VLOOKUP(E226,input_313010!L:R,7,FALSE),VLOOKUP(tables_313010!B226,input_313010!A:H,8,FALSE))</f>
        <v>153090</v>
      </c>
      <c r="N226" s="63">
        <f ca="1">M226/SUM(M:M)</f>
        <v>5.4729729729729726E-3</v>
      </c>
      <c r="O226" s="31">
        <f>IFERROR(VLOOKUP($E226,bug_conf_sheet!$A:$H,3,FALSE),VLOOKUP("other",bug_conf_sheet!$A:$H,3,FALSE))</f>
        <v>1</v>
      </c>
      <c r="P226" s="31">
        <f>IFERROR(VLOOKUP($E226,bug_conf_sheet!$A:$H,4,FALSE),VLOOKUP("other",bug_conf_sheet!$A:$H,4,FALSE))</f>
        <v>0</v>
      </c>
      <c r="Q226" s="31">
        <f>IFERROR(VLOOKUP($E226,bug_conf_sheet!$A:$H,5,FALSE),VLOOKUP("other",bug_conf_sheet!$A:$H,5,FALSE))</f>
        <v>0</v>
      </c>
      <c r="R226" s="31">
        <f>IFERROR(VLOOKUP($E226,bug_conf_sheet!$A:$H,6,FALSE),VLOOKUP("other",bug_conf_sheet!$A:$H,6,FALSE))</f>
        <v>0</v>
      </c>
      <c r="S226" s="31">
        <f>IFERROR(VLOOKUP($E226,bug_conf_sheet!$A:$H,7,FALSE),VLOOKUP("other",bug_conf_sheet!$A:$H,7,FALSE))</f>
        <v>0</v>
      </c>
      <c r="T226" s="31">
        <f>IFERROR(VLOOKUP($E226,bug_conf_sheet!$A:$H,8,FALSE),VLOOKUP("other",bug_conf_sheet!$A:$H,8,FALSE))</f>
        <v>1</v>
      </c>
    </row>
    <row r="227" spans="1:20" ht="21" customHeight="1">
      <c r="A227" s="2" t="str">
        <f ca="1">input_313010!A$2</f>
        <v>313010</v>
      </c>
      <c r="B227" s="7" t="str">
        <f t="shared" si="9"/>
        <v>Premium5</v>
      </c>
      <c r="C227" s="7" t="str">
        <f t="shared" si="10"/>
        <v>Premium</v>
      </c>
      <c r="D227" s="7" t="str">
        <f t="shared" si="11"/>
        <v>ry</v>
      </c>
      <c r="E227" s="6">
        <v>598</v>
      </c>
      <c r="F227" s="7" t="str">
        <f>VLOOKUP(E227,[1]characters!$A:$C,3,FALSE)</f>
        <v>焼燃の情熱 ムスペルヘイム</v>
      </c>
      <c r="G227" s="7" t="str">
        <f>VLOOKUP(E227,[1]characters!$A:$J,10,FALSE)</f>
        <v>PremiumS</v>
      </c>
      <c r="H227" s="7">
        <f>VLOOKUP(E227,[1]characters!$A:$I,9,FALSE)</f>
        <v>5</v>
      </c>
      <c r="I227" s="7" t="str">
        <f>VLOOKUP(E227,[1]characters!$A:$H,8,FALSE)</f>
        <v>red</v>
      </c>
      <c r="J227" s="7" t="str">
        <f>VLOOKUP(E227,[1]characters!$A:$K,11,FALSE)</f>
        <v>balance</v>
      </c>
      <c r="K227" s="7" t="str">
        <f>VLOOKUP(E227,[1]characters!$A:$M,13,FALSE)</f>
        <v>human</v>
      </c>
      <c r="L227" s="7" t="str">
        <f>VLOOKUP(E227,[1]characters!$A:$G,7,FALSE)</f>
        <v>男性</v>
      </c>
      <c r="M227" s="62">
        <f ca="1">IFERROR(VLOOKUP(E227,input_313010!L:R,7,FALSE),VLOOKUP(tables_313010!B227,input_313010!A:H,8,FALSE))</f>
        <v>18130</v>
      </c>
      <c r="N227" s="63">
        <f ca="1">M227/SUM(M:M)</f>
        <v>6.4814814814814813E-4</v>
      </c>
      <c r="O227" s="31">
        <f>IFERROR(VLOOKUP($E227,bug_conf_sheet!$A:$H,3,FALSE),VLOOKUP("other",bug_conf_sheet!$A:$H,3,FALSE))</f>
        <v>1</v>
      </c>
      <c r="P227" s="31">
        <f>IFERROR(VLOOKUP($E227,bug_conf_sheet!$A:$H,4,FALSE),VLOOKUP("other",bug_conf_sheet!$A:$H,4,FALSE))</f>
        <v>0</v>
      </c>
      <c r="Q227" s="31">
        <f>IFERROR(VLOOKUP($E227,bug_conf_sheet!$A:$H,5,FALSE),VLOOKUP("other",bug_conf_sheet!$A:$H,5,FALSE))</f>
        <v>0</v>
      </c>
      <c r="R227" s="31">
        <f>IFERROR(VLOOKUP($E227,bug_conf_sheet!$A:$H,6,FALSE),VLOOKUP("other",bug_conf_sheet!$A:$H,6,FALSE))</f>
        <v>0</v>
      </c>
      <c r="S227" s="31">
        <f>IFERROR(VLOOKUP($E227,bug_conf_sheet!$A:$H,7,FALSE),VLOOKUP("other",bug_conf_sheet!$A:$H,7,FALSE))</f>
        <v>0</v>
      </c>
      <c r="T227" s="31">
        <f>IFERROR(VLOOKUP($E227,bug_conf_sheet!$A:$H,8,FALSE),VLOOKUP("other",bug_conf_sheet!$A:$H,8,FALSE))</f>
        <v>1</v>
      </c>
    </row>
    <row r="228" spans="1:20" ht="21" customHeight="1">
      <c r="A228" s="2" t="str">
        <f ca="1">input_313010!A$2</f>
        <v>313010</v>
      </c>
      <c r="B228" s="7" t="str">
        <f t="shared" si="9"/>
        <v>Premium3</v>
      </c>
      <c r="C228" s="7" t="str">
        <f t="shared" si="10"/>
        <v>Premium</v>
      </c>
      <c r="D228" s="7" t="str">
        <f t="shared" si="11"/>
        <v>bg</v>
      </c>
      <c r="E228" s="6">
        <v>599</v>
      </c>
      <c r="F228" s="7" t="str">
        <f>VLOOKUP(E228,[1]characters!$A:$C,3,FALSE)</f>
        <v>ニーズヘッグ</v>
      </c>
      <c r="G228" s="7" t="str">
        <f>VLOOKUP(E228,[1]characters!$A:$J,10,FALSE)</f>
        <v>PremiumS</v>
      </c>
      <c r="H228" s="7">
        <f>VLOOKUP(E228,[1]characters!$A:$I,9,FALSE)</f>
        <v>3</v>
      </c>
      <c r="I228" s="7" t="str">
        <f>VLOOKUP(E228,[1]characters!$A:$H,8,FALSE)</f>
        <v>green</v>
      </c>
      <c r="J228" s="7" t="str">
        <f>VLOOKUP(E228,[1]characters!$A:$K,11,FALSE)</f>
        <v>attack</v>
      </c>
      <c r="K228" s="7" t="str">
        <f>VLOOKUP(E228,[1]characters!$A:$M,13,FALSE)</f>
        <v>dragon</v>
      </c>
      <c r="L228" s="7" t="str">
        <f>VLOOKUP(E228,[1]characters!$A:$G,7,FALSE)</f>
        <v>不明</v>
      </c>
      <c r="M228" s="62">
        <f ca="1">IFERROR(VLOOKUP(E228,input_313010!L:R,7,FALSE),VLOOKUP(tables_313010!B228,input_313010!A:H,8,FALSE))</f>
        <v>189000</v>
      </c>
      <c r="N228" s="63">
        <f ca="1">M228/SUM(M:M)</f>
        <v>6.7567567567567571E-3</v>
      </c>
      <c r="O228" s="31">
        <f>IFERROR(VLOOKUP($E228,bug_conf_sheet!$A:$H,3,FALSE),VLOOKUP("other",bug_conf_sheet!$A:$H,3,FALSE))</f>
        <v>1</v>
      </c>
      <c r="P228" s="31">
        <f>IFERROR(VLOOKUP($E228,bug_conf_sheet!$A:$H,4,FALSE),VLOOKUP("other",bug_conf_sheet!$A:$H,4,FALSE))</f>
        <v>0</v>
      </c>
      <c r="Q228" s="31">
        <f>IFERROR(VLOOKUP($E228,bug_conf_sheet!$A:$H,5,FALSE),VLOOKUP("other",bug_conf_sheet!$A:$H,5,FALSE))</f>
        <v>0</v>
      </c>
      <c r="R228" s="31">
        <f>IFERROR(VLOOKUP($E228,bug_conf_sheet!$A:$H,6,FALSE),VLOOKUP("other",bug_conf_sheet!$A:$H,6,FALSE))</f>
        <v>0</v>
      </c>
      <c r="S228" s="31">
        <f>IFERROR(VLOOKUP($E228,bug_conf_sheet!$A:$H,7,FALSE),VLOOKUP("other",bug_conf_sheet!$A:$H,7,FALSE))</f>
        <v>0</v>
      </c>
      <c r="T228" s="31">
        <f>IFERROR(VLOOKUP($E228,bug_conf_sheet!$A:$H,8,FALSE),VLOOKUP("other",bug_conf_sheet!$A:$H,8,FALSE))</f>
        <v>1</v>
      </c>
    </row>
    <row r="229" spans="1:20" ht="21" customHeight="1">
      <c r="A229" s="2" t="str">
        <f ca="1">input_313010!A$2</f>
        <v>313010</v>
      </c>
      <c r="B229" s="7" t="str">
        <f t="shared" si="9"/>
        <v>Premium4</v>
      </c>
      <c r="C229" s="7" t="str">
        <f t="shared" si="10"/>
        <v>Premium</v>
      </c>
      <c r="D229" s="7" t="str">
        <f t="shared" si="11"/>
        <v>bg</v>
      </c>
      <c r="E229" s="6">
        <v>600</v>
      </c>
      <c r="F229" s="7" t="str">
        <f>VLOOKUP(E229,[1]characters!$A:$C,3,FALSE)</f>
        <v>界下に潜む蛇 ニーズヘッグ</v>
      </c>
      <c r="G229" s="7" t="str">
        <f>VLOOKUP(E229,[1]characters!$A:$J,10,FALSE)</f>
        <v>PremiumS</v>
      </c>
      <c r="H229" s="7">
        <f>VLOOKUP(E229,[1]characters!$A:$I,9,FALSE)</f>
        <v>4</v>
      </c>
      <c r="I229" s="7" t="str">
        <f>VLOOKUP(E229,[1]characters!$A:$H,8,FALSE)</f>
        <v>green</v>
      </c>
      <c r="J229" s="7" t="str">
        <f>VLOOKUP(E229,[1]characters!$A:$K,11,FALSE)</f>
        <v>attack</v>
      </c>
      <c r="K229" s="7" t="str">
        <f>VLOOKUP(E229,[1]characters!$A:$M,13,FALSE)</f>
        <v>dragon</v>
      </c>
      <c r="L229" s="7" t="str">
        <f>VLOOKUP(E229,[1]characters!$A:$G,7,FALSE)</f>
        <v>不明</v>
      </c>
      <c r="M229" s="62">
        <f ca="1">IFERROR(VLOOKUP(E229,input_313010!L:R,7,FALSE),VLOOKUP(tables_313010!B229,input_313010!A:H,8,FALSE))</f>
        <v>153090</v>
      </c>
      <c r="N229" s="63">
        <f ca="1">M229/SUM(M:M)</f>
        <v>5.4729729729729726E-3</v>
      </c>
      <c r="O229" s="31">
        <f>IFERROR(VLOOKUP($E229,bug_conf_sheet!$A:$H,3,FALSE),VLOOKUP("other",bug_conf_sheet!$A:$H,3,FALSE))</f>
        <v>1</v>
      </c>
      <c r="P229" s="31">
        <f>IFERROR(VLOOKUP($E229,bug_conf_sheet!$A:$H,4,FALSE),VLOOKUP("other",bug_conf_sheet!$A:$H,4,FALSE))</f>
        <v>0</v>
      </c>
      <c r="Q229" s="31">
        <f>IFERROR(VLOOKUP($E229,bug_conf_sheet!$A:$H,5,FALSE),VLOOKUP("other",bug_conf_sheet!$A:$H,5,FALSE))</f>
        <v>0</v>
      </c>
      <c r="R229" s="31">
        <f>IFERROR(VLOOKUP($E229,bug_conf_sheet!$A:$H,6,FALSE),VLOOKUP("other",bug_conf_sheet!$A:$H,6,FALSE))</f>
        <v>0</v>
      </c>
      <c r="S229" s="31">
        <f>IFERROR(VLOOKUP($E229,bug_conf_sheet!$A:$H,7,FALSE),VLOOKUP("other",bug_conf_sheet!$A:$H,7,FALSE))</f>
        <v>0</v>
      </c>
      <c r="T229" s="31">
        <f>IFERROR(VLOOKUP($E229,bug_conf_sheet!$A:$H,8,FALSE),VLOOKUP("other",bug_conf_sheet!$A:$H,8,FALSE))</f>
        <v>1</v>
      </c>
    </row>
    <row r="230" spans="1:20" ht="21" customHeight="1">
      <c r="A230" s="2" t="str">
        <f ca="1">input_313010!A$2</f>
        <v>313010</v>
      </c>
      <c r="B230" s="7" t="str">
        <f t="shared" si="9"/>
        <v>Premium5</v>
      </c>
      <c r="C230" s="7" t="str">
        <f t="shared" si="10"/>
        <v>Premium</v>
      </c>
      <c r="D230" s="7" t="str">
        <f t="shared" si="11"/>
        <v>bg</v>
      </c>
      <c r="E230" s="6">
        <v>601</v>
      </c>
      <c r="F230" s="7" t="str">
        <f>VLOOKUP(E230,[1]characters!$A:$C,3,FALSE)</f>
        <v>界根蝕む悪食 ニーズヘッグ</v>
      </c>
      <c r="G230" s="7" t="str">
        <f>VLOOKUP(E230,[1]characters!$A:$J,10,FALSE)</f>
        <v>PremiumS</v>
      </c>
      <c r="H230" s="7">
        <f>VLOOKUP(E230,[1]characters!$A:$I,9,FALSE)</f>
        <v>5</v>
      </c>
      <c r="I230" s="7" t="str">
        <f>VLOOKUP(E230,[1]characters!$A:$H,8,FALSE)</f>
        <v>green</v>
      </c>
      <c r="J230" s="7" t="str">
        <f>VLOOKUP(E230,[1]characters!$A:$K,11,FALSE)</f>
        <v>attack</v>
      </c>
      <c r="K230" s="7" t="str">
        <f>VLOOKUP(E230,[1]characters!$A:$M,13,FALSE)</f>
        <v>dragon</v>
      </c>
      <c r="L230" s="7" t="str">
        <f>VLOOKUP(E230,[1]characters!$A:$G,7,FALSE)</f>
        <v>不明</v>
      </c>
      <c r="M230" s="62">
        <f ca="1">IFERROR(VLOOKUP(E230,input_313010!L:R,7,FALSE),VLOOKUP(tables_313010!B230,input_313010!A:H,8,FALSE))</f>
        <v>18130</v>
      </c>
      <c r="N230" s="63">
        <f ca="1">M230/SUM(M:M)</f>
        <v>6.4814814814814813E-4</v>
      </c>
      <c r="O230" s="31">
        <f>IFERROR(VLOOKUP($E230,bug_conf_sheet!$A:$H,3,FALSE),VLOOKUP("other",bug_conf_sheet!$A:$H,3,FALSE))</f>
        <v>1</v>
      </c>
      <c r="P230" s="31">
        <f>IFERROR(VLOOKUP($E230,bug_conf_sheet!$A:$H,4,FALSE),VLOOKUP("other",bug_conf_sheet!$A:$H,4,FALSE))</f>
        <v>0</v>
      </c>
      <c r="Q230" s="31">
        <f>IFERROR(VLOOKUP($E230,bug_conf_sheet!$A:$H,5,FALSE),VLOOKUP("other",bug_conf_sheet!$A:$H,5,FALSE))</f>
        <v>0</v>
      </c>
      <c r="R230" s="31">
        <f>IFERROR(VLOOKUP($E230,bug_conf_sheet!$A:$H,6,FALSE),VLOOKUP("other",bug_conf_sheet!$A:$H,6,FALSE))</f>
        <v>0</v>
      </c>
      <c r="S230" s="31">
        <f>IFERROR(VLOOKUP($E230,bug_conf_sheet!$A:$H,7,FALSE),VLOOKUP("other",bug_conf_sheet!$A:$H,7,FALSE))</f>
        <v>0</v>
      </c>
      <c r="T230" s="31">
        <f>IFERROR(VLOOKUP($E230,bug_conf_sheet!$A:$H,8,FALSE),VLOOKUP("other",bug_conf_sheet!$A:$H,8,FALSE))</f>
        <v>1</v>
      </c>
    </row>
    <row r="231" spans="1:20" ht="21" customHeight="1">
      <c r="A231" s="2" t="str">
        <f ca="1">input_313010!A$2</f>
        <v>313010</v>
      </c>
      <c r="B231" s="7" t="str">
        <f t="shared" si="9"/>
        <v>PremiumSSbg4</v>
      </c>
      <c r="C231" s="7" t="str">
        <f t="shared" si="10"/>
        <v>PremiumSS</v>
      </c>
      <c r="D231" s="7" t="str">
        <f t="shared" si="11"/>
        <v>bg</v>
      </c>
      <c r="E231" s="6">
        <v>602</v>
      </c>
      <c r="F231" s="7" t="str">
        <f>VLOOKUP(E231,[1]characters!$A:$C,3,FALSE)</f>
        <v>フレイヤ</v>
      </c>
      <c r="G231" s="7" t="str">
        <f>VLOOKUP(E231,[1]characters!$A:$J,10,FALSE)</f>
        <v>PremiumSS</v>
      </c>
      <c r="H231" s="7">
        <f>VLOOKUP(E231,[1]characters!$A:$I,9,FALSE)</f>
        <v>4</v>
      </c>
      <c r="I231" s="7" t="str">
        <f>VLOOKUP(E231,[1]characters!$A:$H,8,FALSE)</f>
        <v>blue</v>
      </c>
      <c r="J231" s="7" t="str">
        <f>VLOOKUP(E231,[1]characters!$A:$K,11,FALSE)</f>
        <v>heal</v>
      </c>
      <c r="K231" s="7" t="str">
        <f>VLOOKUP(E231,[1]characters!$A:$M,13,FALSE)</f>
        <v>animal</v>
      </c>
      <c r="L231" s="7" t="str">
        <f>VLOOKUP(E231,[1]characters!$A:$G,7,FALSE)</f>
        <v>女性</v>
      </c>
      <c r="M231" s="62">
        <f ca="1">IFERROR(VLOOKUP(E231,input_313010!L:R,7,FALSE),VLOOKUP(tables_313010!B231,input_313010!A:H,8,FALSE))</f>
        <v>41958</v>
      </c>
      <c r="N231" s="63">
        <f ca="1">M231/SUM(M:M)</f>
        <v>1.5E-3</v>
      </c>
      <c r="O231" s="31">
        <f>IFERROR(VLOOKUP($E231,bug_conf_sheet!$A:$H,3,FALSE),VLOOKUP("other",bug_conf_sheet!$A:$H,3,FALSE))</f>
        <v>1</v>
      </c>
      <c r="P231" s="31">
        <f>IFERROR(VLOOKUP($E231,bug_conf_sheet!$A:$H,4,FALSE),VLOOKUP("other",bug_conf_sheet!$A:$H,4,FALSE))</f>
        <v>0</v>
      </c>
      <c r="Q231" s="31">
        <f>IFERROR(VLOOKUP($E231,bug_conf_sheet!$A:$H,5,FALSE),VLOOKUP("other",bug_conf_sheet!$A:$H,5,FALSE))</f>
        <v>0</v>
      </c>
      <c r="R231" s="31">
        <f>IFERROR(VLOOKUP($E231,bug_conf_sheet!$A:$H,6,FALSE),VLOOKUP("other",bug_conf_sheet!$A:$H,6,FALSE))</f>
        <v>0</v>
      </c>
      <c r="S231" s="31">
        <f>IFERROR(VLOOKUP($E231,bug_conf_sheet!$A:$H,7,FALSE),VLOOKUP("other",bug_conf_sheet!$A:$H,7,FALSE))</f>
        <v>0</v>
      </c>
      <c r="T231" s="31">
        <f>IFERROR(VLOOKUP($E231,bug_conf_sheet!$A:$H,8,FALSE),VLOOKUP("other",bug_conf_sheet!$A:$H,8,FALSE))</f>
        <v>1</v>
      </c>
    </row>
    <row r="232" spans="1:20" ht="21" customHeight="1">
      <c r="A232" s="2" t="str">
        <f ca="1">input_313010!A$2</f>
        <v>313010</v>
      </c>
      <c r="B232" s="7" t="str">
        <f t="shared" si="9"/>
        <v>PremiumSSbg5</v>
      </c>
      <c r="C232" s="7" t="str">
        <f t="shared" si="10"/>
        <v>PremiumSS</v>
      </c>
      <c r="D232" s="7" t="str">
        <f t="shared" si="11"/>
        <v>bg</v>
      </c>
      <c r="E232" s="6">
        <v>603</v>
      </c>
      <c r="F232" s="7" t="str">
        <f>VLOOKUP(E232,[1]characters!$A:$C,3,FALSE)</f>
        <v>掌愛の豊穣女神 フレイヤ</v>
      </c>
      <c r="G232" s="7" t="str">
        <f>VLOOKUP(E232,[1]characters!$A:$J,10,FALSE)</f>
        <v>PremiumSS</v>
      </c>
      <c r="H232" s="7">
        <f>VLOOKUP(E232,[1]characters!$A:$I,9,FALSE)</f>
        <v>5</v>
      </c>
      <c r="I232" s="7" t="str">
        <f>VLOOKUP(E232,[1]characters!$A:$H,8,FALSE)</f>
        <v>blue</v>
      </c>
      <c r="J232" s="7" t="str">
        <f>VLOOKUP(E232,[1]characters!$A:$K,11,FALSE)</f>
        <v>heal</v>
      </c>
      <c r="K232" s="7" t="str">
        <f>VLOOKUP(E232,[1]characters!$A:$M,13,FALSE)</f>
        <v>animal</v>
      </c>
      <c r="L232" s="7" t="str">
        <f>VLOOKUP(E232,[1]characters!$A:$G,7,FALSE)</f>
        <v>女性</v>
      </c>
      <c r="M232" s="62">
        <f ca="1">IFERROR(VLOOKUP(E232,input_313010!L:R,7,FALSE),VLOOKUP(tables_313010!B232,input_313010!A:H,8,FALSE))</f>
        <v>4662</v>
      </c>
      <c r="N232" s="63">
        <f ca="1">M232/SUM(M:M)</f>
        <v>1.6666666666666666E-4</v>
      </c>
      <c r="O232" s="31">
        <f>IFERROR(VLOOKUP($E232,bug_conf_sheet!$A:$H,3,FALSE),VLOOKUP("other",bug_conf_sheet!$A:$H,3,FALSE))</f>
        <v>1</v>
      </c>
      <c r="P232" s="31">
        <f>IFERROR(VLOOKUP($E232,bug_conf_sheet!$A:$H,4,FALSE),VLOOKUP("other",bug_conf_sheet!$A:$H,4,FALSE))</f>
        <v>0</v>
      </c>
      <c r="Q232" s="31">
        <f>IFERROR(VLOOKUP($E232,bug_conf_sheet!$A:$H,5,FALSE),VLOOKUP("other",bug_conf_sheet!$A:$H,5,FALSE))</f>
        <v>0</v>
      </c>
      <c r="R232" s="31">
        <f>IFERROR(VLOOKUP($E232,bug_conf_sheet!$A:$H,6,FALSE),VLOOKUP("other",bug_conf_sheet!$A:$H,6,FALSE))</f>
        <v>0</v>
      </c>
      <c r="S232" s="31">
        <f>IFERROR(VLOOKUP($E232,bug_conf_sheet!$A:$H,7,FALSE),VLOOKUP("other",bug_conf_sheet!$A:$H,7,FALSE))</f>
        <v>0</v>
      </c>
      <c r="T232" s="31">
        <f>IFERROR(VLOOKUP($E232,bug_conf_sheet!$A:$H,8,FALSE),VLOOKUP("other",bug_conf_sheet!$A:$H,8,FALSE))</f>
        <v>1</v>
      </c>
    </row>
    <row r="233" spans="1:20" ht="21" customHeight="1">
      <c r="A233" s="2" t="str">
        <f ca="1">input_313010!A$2</f>
        <v>313010</v>
      </c>
      <c r="B233" s="7" t="str">
        <f t="shared" si="9"/>
        <v>Premium3</v>
      </c>
      <c r="C233" s="7" t="str">
        <f t="shared" si="10"/>
        <v>Premium</v>
      </c>
      <c r="D233" s="7" t="str">
        <f t="shared" si="11"/>
        <v>ry</v>
      </c>
      <c r="E233" s="6">
        <v>604</v>
      </c>
      <c r="F233" s="7" t="str">
        <f>VLOOKUP(E233,[1]characters!$A:$C,3,FALSE)</f>
        <v>バルドル</v>
      </c>
      <c r="G233" s="7" t="str">
        <f>VLOOKUP(E233,[1]characters!$A:$J,10,FALSE)</f>
        <v>PremiumS</v>
      </c>
      <c r="H233" s="7">
        <f>VLOOKUP(E233,[1]characters!$A:$I,9,FALSE)</f>
        <v>3</v>
      </c>
      <c r="I233" s="7" t="str">
        <f>VLOOKUP(E233,[1]characters!$A:$H,8,FALSE)</f>
        <v>yellow</v>
      </c>
      <c r="J233" s="7" t="str">
        <f>VLOOKUP(E233,[1]characters!$A:$K,11,FALSE)</f>
        <v>heal</v>
      </c>
      <c r="K233" s="7" t="str">
        <f>VLOOKUP(E233,[1]characters!$A:$M,13,FALSE)</f>
        <v>god</v>
      </c>
      <c r="L233" s="7" t="str">
        <f>VLOOKUP(E233,[1]characters!$A:$G,7,FALSE)</f>
        <v>男性</v>
      </c>
      <c r="M233" s="62">
        <f ca="1">IFERROR(VLOOKUP(E233,input_313010!L:R,7,FALSE),VLOOKUP(tables_313010!B233,input_313010!A:H,8,FALSE))</f>
        <v>189000</v>
      </c>
      <c r="N233" s="63">
        <f ca="1">M233/SUM(M:M)</f>
        <v>6.7567567567567571E-3</v>
      </c>
      <c r="O233" s="31">
        <f>IFERROR(VLOOKUP($E233,bug_conf_sheet!$A:$H,3,FALSE),VLOOKUP("other",bug_conf_sheet!$A:$H,3,FALSE))</f>
        <v>1</v>
      </c>
      <c r="P233" s="31">
        <f>IFERROR(VLOOKUP($E233,bug_conf_sheet!$A:$H,4,FALSE),VLOOKUP("other",bug_conf_sheet!$A:$H,4,FALSE))</f>
        <v>0</v>
      </c>
      <c r="Q233" s="31">
        <f>IFERROR(VLOOKUP($E233,bug_conf_sheet!$A:$H,5,FALSE),VLOOKUP("other",bug_conf_sheet!$A:$H,5,FALSE))</f>
        <v>0</v>
      </c>
      <c r="R233" s="31">
        <f>IFERROR(VLOOKUP($E233,bug_conf_sheet!$A:$H,6,FALSE),VLOOKUP("other",bug_conf_sheet!$A:$H,6,FALSE))</f>
        <v>0</v>
      </c>
      <c r="S233" s="31">
        <f>IFERROR(VLOOKUP($E233,bug_conf_sheet!$A:$H,7,FALSE),VLOOKUP("other",bug_conf_sheet!$A:$H,7,FALSE))</f>
        <v>0</v>
      </c>
      <c r="T233" s="31">
        <f>IFERROR(VLOOKUP($E233,bug_conf_sheet!$A:$H,8,FALSE),VLOOKUP("other",bug_conf_sheet!$A:$H,8,FALSE))</f>
        <v>1</v>
      </c>
    </row>
    <row r="234" spans="1:20" ht="21" customHeight="1">
      <c r="A234" s="2" t="str">
        <f ca="1">input_313010!A$2</f>
        <v>313010</v>
      </c>
      <c r="B234" s="7" t="str">
        <f t="shared" si="9"/>
        <v>Premium4</v>
      </c>
      <c r="C234" s="7" t="str">
        <f t="shared" si="10"/>
        <v>Premium</v>
      </c>
      <c r="D234" s="7" t="str">
        <f t="shared" si="11"/>
        <v>ry</v>
      </c>
      <c r="E234" s="6">
        <v>605</v>
      </c>
      <c r="F234" s="7" t="str">
        <f>VLOOKUP(E234,[1]characters!$A:$C,3,FALSE)</f>
        <v>祝福される光耀 バルドル</v>
      </c>
      <c r="G234" s="7" t="str">
        <f>VLOOKUP(E234,[1]characters!$A:$J,10,FALSE)</f>
        <v>PremiumS</v>
      </c>
      <c r="H234" s="7">
        <f>VLOOKUP(E234,[1]characters!$A:$I,9,FALSE)</f>
        <v>4</v>
      </c>
      <c r="I234" s="7" t="str">
        <f>VLOOKUP(E234,[1]characters!$A:$H,8,FALSE)</f>
        <v>yellow</v>
      </c>
      <c r="J234" s="7" t="str">
        <f>VLOOKUP(E234,[1]characters!$A:$K,11,FALSE)</f>
        <v>heal</v>
      </c>
      <c r="K234" s="7" t="str">
        <f>VLOOKUP(E234,[1]characters!$A:$M,13,FALSE)</f>
        <v>god</v>
      </c>
      <c r="L234" s="7" t="str">
        <f>VLOOKUP(E234,[1]characters!$A:$G,7,FALSE)</f>
        <v>男性</v>
      </c>
      <c r="M234" s="62">
        <f ca="1">IFERROR(VLOOKUP(E234,input_313010!L:R,7,FALSE),VLOOKUP(tables_313010!B234,input_313010!A:H,8,FALSE))</f>
        <v>153090</v>
      </c>
      <c r="N234" s="63">
        <f ca="1">M234/SUM(M:M)</f>
        <v>5.4729729729729726E-3</v>
      </c>
      <c r="O234" s="31">
        <f>IFERROR(VLOOKUP($E234,bug_conf_sheet!$A:$H,3,FALSE),VLOOKUP("other",bug_conf_sheet!$A:$H,3,FALSE))</f>
        <v>1</v>
      </c>
      <c r="P234" s="31">
        <f>IFERROR(VLOOKUP($E234,bug_conf_sheet!$A:$H,4,FALSE),VLOOKUP("other",bug_conf_sheet!$A:$H,4,FALSE))</f>
        <v>0</v>
      </c>
      <c r="Q234" s="31">
        <f>IFERROR(VLOOKUP($E234,bug_conf_sheet!$A:$H,5,FALSE),VLOOKUP("other",bug_conf_sheet!$A:$H,5,FALSE))</f>
        <v>0</v>
      </c>
      <c r="R234" s="31">
        <f>IFERROR(VLOOKUP($E234,bug_conf_sheet!$A:$H,6,FALSE),VLOOKUP("other",bug_conf_sheet!$A:$H,6,FALSE))</f>
        <v>0</v>
      </c>
      <c r="S234" s="31">
        <f>IFERROR(VLOOKUP($E234,bug_conf_sheet!$A:$H,7,FALSE),VLOOKUP("other",bug_conf_sheet!$A:$H,7,FALSE))</f>
        <v>0</v>
      </c>
      <c r="T234" s="31">
        <f>IFERROR(VLOOKUP($E234,bug_conf_sheet!$A:$H,8,FALSE),VLOOKUP("other",bug_conf_sheet!$A:$H,8,FALSE))</f>
        <v>1</v>
      </c>
    </row>
    <row r="235" spans="1:20" ht="21" customHeight="1">
      <c r="A235" s="2" t="str">
        <f ca="1">input_313010!A$2</f>
        <v>313010</v>
      </c>
      <c r="B235" s="7" t="str">
        <f t="shared" si="9"/>
        <v>Premium5</v>
      </c>
      <c r="C235" s="7" t="str">
        <f t="shared" si="10"/>
        <v>Premium</v>
      </c>
      <c r="D235" s="7" t="str">
        <f t="shared" si="11"/>
        <v>ry</v>
      </c>
      <c r="E235" s="6">
        <v>606</v>
      </c>
      <c r="F235" s="7" t="str">
        <f>VLOOKUP(E235,[1]characters!$A:$C,3,FALSE)</f>
        <v>冀望の光芒 バルドル</v>
      </c>
      <c r="G235" s="7" t="str">
        <f>VLOOKUP(E235,[1]characters!$A:$J,10,FALSE)</f>
        <v>PremiumS</v>
      </c>
      <c r="H235" s="7">
        <f>VLOOKUP(E235,[1]characters!$A:$I,9,FALSE)</f>
        <v>5</v>
      </c>
      <c r="I235" s="7" t="str">
        <f>VLOOKUP(E235,[1]characters!$A:$H,8,FALSE)</f>
        <v>yellow</v>
      </c>
      <c r="J235" s="7" t="str">
        <f>VLOOKUP(E235,[1]characters!$A:$K,11,FALSE)</f>
        <v>heal</v>
      </c>
      <c r="K235" s="7" t="str">
        <f>VLOOKUP(E235,[1]characters!$A:$M,13,FALSE)</f>
        <v>god</v>
      </c>
      <c r="L235" s="7" t="str">
        <f>VLOOKUP(E235,[1]characters!$A:$G,7,FALSE)</f>
        <v>男性</v>
      </c>
      <c r="M235" s="62">
        <f ca="1">IFERROR(VLOOKUP(E235,input_313010!L:R,7,FALSE),VLOOKUP(tables_313010!B235,input_313010!A:H,8,FALSE))</f>
        <v>18130</v>
      </c>
      <c r="N235" s="63">
        <f ca="1">M235/SUM(M:M)</f>
        <v>6.4814814814814813E-4</v>
      </c>
      <c r="O235" s="31">
        <f>IFERROR(VLOOKUP($E235,bug_conf_sheet!$A:$H,3,FALSE),VLOOKUP("other",bug_conf_sheet!$A:$H,3,FALSE))</f>
        <v>1</v>
      </c>
      <c r="P235" s="31">
        <f>IFERROR(VLOOKUP($E235,bug_conf_sheet!$A:$H,4,FALSE),VLOOKUP("other",bug_conf_sheet!$A:$H,4,FALSE))</f>
        <v>0</v>
      </c>
      <c r="Q235" s="31">
        <f>IFERROR(VLOOKUP($E235,bug_conf_sheet!$A:$H,5,FALSE),VLOOKUP("other",bug_conf_sheet!$A:$H,5,FALSE))</f>
        <v>0</v>
      </c>
      <c r="R235" s="31">
        <f>IFERROR(VLOOKUP($E235,bug_conf_sheet!$A:$H,6,FALSE),VLOOKUP("other",bug_conf_sheet!$A:$H,6,FALSE))</f>
        <v>0</v>
      </c>
      <c r="S235" s="31">
        <f>IFERROR(VLOOKUP($E235,bug_conf_sheet!$A:$H,7,FALSE),VLOOKUP("other",bug_conf_sheet!$A:$H,7,FALSE))</f>
        <v>0</v>
      </c>
      <c r="T235" s="31">
        <f>IFERROR(VLOOKUP($E235,bug_conf_sheet!$A:$H,8,FALSE),VLOOKUP("other",bug_conf_sheet!$A:$H,8,FALSE))</f>
        <v>1</v>
      </c>
    </row>
    <row r="236" spans="1:20" ht="21" customHeight="1">
      <c r="A236" s="2" t="str">
        <f ca="1">input_313010!A$2</f>
        <v>313010</v>
      </c>
      <c r="B236" s="7" t="str">
        <f t="shared" si="9"/>
        <v>PremiumSSry4</v>
      </c>
      <c r="C236" s="7" t="str">
        <f t="shared" si="10"/>
        <v>PremiumSS</v>
      </c>
      <c r="D236" s="7" t="str">
        <f t="shared" si="11"/>
        <v>ry</v>
      </c>
      <c r="E236" s="6">
        <v>658</v>
      </c>
      <c r="F236" s="7" t="str">
        <f>VLOOKUP(E236,[1]characters!$A:$C,3,FALSE)</f>
        <v>猫又 クルミ</v>
      </c>
      <c r="G236" s="7" t="str">
        <f>VLOOKUP(E236,[1]characters!$A:$J,10,FALSE)</f>
        <v>PremiumSS</v>
      </c>
      <c r="H236" s="7">
        <f>VLOOKUP(E236,[1]characters!$A:$I,9,FALSE)</f>
        <v>4</v>
      </c>
      <c r="I236" s="7" t="str">
        <f>VLOOKUP(E236,[1]characters!$A:$H,8,FALSE)</f>
        <v>red</v>
      </c>
      <c r="J236" s="7" t="str">
        <f>VLOOKUP(E236,[1]characters!$A:$K,11,FALSE)</f>
        <v>attack</v>
      </c>
      <c r="K236" s="7" t="str">
        <f>VLOOKUP(E236,[1]characters!$A:$M,13,FALSE)</f>
        <v>animal</v>
      </c>
      <c r="L236" s="7" t="str">
        <f>VLOOKUP(E236,[1]characters!$A:$G,7,FALSE)</f>
        <v>女性</v>
      </c>
      <c r="M236" s="62">
        <f ca="1">IFERROR(VLOOKUP(E236,input_313010!L:R,7,FALSE),VLOOKUP(tables_313010!B236,input_313010!A:H,8,FALSE))</f>
        <v>53946</v>
      </c>
      <c r="N236" s="63">
        <f ca="1">M236/SUM(M:M)</f>
        <v>1.9285714285714286E-3</v>
      </c>
      <c r="O236" s="31">
        <f>IFERROR(VLOOKUP($E236,bug_conf_sheet!$A:$H,3,FALSE),VLOOKUP("other",bug_conf_sheet!$A:$H,3,FALSE))</f>
        <v>1</v>
      </c>
      <c r="P236" s="31">
        <f>IFERROR(VLOOKUP($E236,bug_conf_sheet!$A:$H,4,FALSE),VLOOKUP("other",bug_conf_sheet!$A:$H,4,FALSE))</f>
        <v>0</v>
      </c>
      <c r="Q236" s="31">
        <f>IFERROR(VLOOKUP($E236,bug_conf_sheet!$A:$H,5,FALSE),VLOOKUP("other",bug_conf_sheet!$A:$H,5,FALSE))</f>
        <v>0</v>
      </c>
      <c r="R236" s="31">
        <f>IFERROR(VLOOKUP($E236,bug_conf_sheet!$A:$H,6,FALSE),VLOOKUP("other",bug_conf_sheet!$A:$H,6,FALSE))</f>
        <v>0</v>
      </c>
      <c r="S236" s="31">
        <f>IFERROR(VLOOKUP($E236,bug_conf_sheet!$A:$H,7,FALSE),VLOOKUP("other",bug_conf_sheet!$A:$H,7,FALSE))</f>
        <v>0</v>
      </c>
      <c r="T236" s="31">
        <f>IFERROR(VLOOKUP($E236,bug_conf_sheet!$A:$H,8,FALSE),VLOOKUP("other",bug_conf_sheet!$A:$H,8,FALSE))</f>
        <v>1</v>
      </c>
    </row>
    <row r="237" spans="1:20" ht="21" customHeight="1">
      <c r="A237" s="2" t="str">
        <f ca="1">input_313010!A$2</f>
        <v>313010</v>
      </c>
      <c r="B237" s="7" t="str">
        <f t="shared" si="9"/>
        <v>PremiumSSry5</v>
      </c>
      <c r="C237" s="7" t="str">
        <f t="shared" si="10"/>
        <v>PremiumSS</v>
      </c>
      <c r="D237" s="7" t="str">
        <f t="shared" si="11"/>
        <v>ry</v>
      </c>
      <c r="E237" s="6">
        <v>659</v>
      </c>
      <c r="F237" s="7" t="str">
        <f>VLOOKUP(E237,[1]characters!$A:$C,3,FALSE)</f>
        <v>跳梁する化猫 クルミ</v>
      </c>
      <c r="G237" s="7" t="str">
        <f>VLOOKUP(E237,[1]characters!$A:$J,10,FALSE)</f>
        <v>PremiumSS</v>
      </c>
      <c r="H237" s="7">
        <f>VLOOKUP(E237,[1]characters!$A:$I,9,FALSE)</f>
        <v>5</v>
      </c>
      <c r="I237" s="7" t="str">
        <f>VLOOKUP(E237,[1]characters!$A:$H,8,FALSE)</f>
        <v>red</v>
      </c>
      <c r="J237" s="7" t="str">
        <f>VLOOKUP(E237,[1]characters!$A:$K,11,FALSE)</f>
        <v>attack</v>
      </c>
      <c r="K237" s="7" t="str">
        <f>VLOOKUP(E237,[1]characters!$A:$M,13,FALSE)</f>
        <v>animal</v>
      </c>
      <c r="L237" s="7" t="str">
        <f>VLOOKUP(E237,[1]characters!$A:$G,7,FALSE)</f>
        <v>女性</v>
      </c>
      <c r="M237" s="62">
        <f ca="1">IFERROR(VLOOKUP(E237,input_313010!L:R,7,FALSE),VLOOKUP(tables_313010!B237,input_313010!A:H,8,FALSE))</f>
        <v>5994</v>
      </c>
      <c r="N237" s="63">
        <f ca="1">M237/SUM(M:M)</f>
        <v>2.1428571428571427E-4</v>
      </c>
      <c r="O237" s="31">
        <f>IFERROR(VLOOKUP($E237,bug_conf_sheet!$A:$H,3,FALSE),VLOOKUP("other",bug_conf_sheet!$A:$H,3,FALSE))</f>
        <v>1</v>
      </c>
      <c r="P237" s="31">
        <f>IFERROR(VLOOKUP($E237,bug_conf_sheet!$A:$H,4,FALSE),VLOOKUP("other",bug_conf_sheet!$A:$H,4,FALSE))</f>
        <v>0</v>
      </c>
      <c r="Q237" s="31">
        <f>IFERROR(VLOOKUP($E237,bug_conf_sheet!$A:$H,5,FALSE),VLOOKUP("other",bug_conf_sheet!$A:$H,5,FALSE))</f>
        <v>0</v>
      </c>
      <c r="R237" s="31">
        <f>IFERROR(VLOOKUP($E237,bug_conf_sheet!$A:$H,6,FALSE),VLOOKUP("other",bug_conf_sheet!$A:$H,6,FALSE))</f>
        <v>0</v>
      </c>
      <c r="S237" s="31">
        <f>IFERROR(VLOOKUP($E237,bug_conf_sheet!$A:$H,7,FALSE),VLOOKUP("other",bug_conf_sheet!$A:$H,7,FALSE))</f>
        <v>0</v>
      </c>
      <c r="T237" s="31">
        <f>IFERROR(VLOOKUP($E237,bug_conf_sheet!$A:$H,8,FALSE),VLOOKUP("other",bug_conf_sheet!$A:$H,8,FALSE))</f>
        <v>1</v>
      </c>
    </row>
    <row r="238" spans="1:20" ht="21" customHeight="1">
      <c r="A238" s="2" t="str">
        <f ca="1">input_313010!A$2</f>
        <v>313010</v>
      </c>
      <c r="B238" s="7" t="str">
        <f t="shared" si="9"/>
        <v>PremiumSSbg4</v>
      </c>
      <c r="C238" s="7" t="str">
        <f t="shared" si="10"/>
        <v>PremiumSS</v>
      </c>
      <c r="D238" s="7" t="str">
        <f t="shared" si="11"/>
        <v>bg</v>
      </c>
      <c r="E238" s="6">
        <v>660</v>
      </c>
      <c r="F238" s="7" t="str">
        <f>VLOOKUP(E238,[1]characters!$A:$C,3,FALSE)</f>
        <v>烏天狗 フウガ</v>
      </c>
      <c r="G238" s="7" t="str">
        <f>VLOOKUP(E238,[1]characters!$A:$J,10,FALSE)</f>
        <v>PremiumSS</v>
      </c>
      <c r="H238" s="7">
        <f>VLOOKUP(E238,[1]characters!$A:$I,9,FALSE)</f>
        <v>4</v>
      </c>
      <c r="I238" s="7" t="str">
        <f>VLOOKUP(E238,[1]characters!$A:$H,8,FALSE)</f>
        <v>green</v>
      </c>
      <c r="J238" s="7" t="str">
        <f>VLOOKUP(E238,[1]characters!$A:$K,11,FALSE)</f>
        <v>balance</v>
      </c>
      <c r="K238" s="7" t="str">
        <f>VLOOKUP(E238,[1]characters!$A:$M,13,FALSE)</f>
        <v>animal</v>
      </c>
      <c r="L238" s="7" t="str">
        <f>VLOOKUP(E238,[1]characters!$A:$G,7,FALSE)</f>
        <v>男性</v>
      </c>
      <c r="M238" s="62">
        <f ca="1">IFERROR(VLOOKUP(E238,input_313010!L:R,7,FALSE),VLOOKUP(tables_313010!B238,input_313010!A:H,8,FALSE))</f>
        <v>41958</v>
      </c>
      <c r="N238" s="63">
        <f ca="1">M238/SUM(M:M)</f>
        <v>1.5E-3</v>
      </c>
      <c r="O238" s="31">
        <f>IFERROR(VLOOKUP($E238,bug_conf_sheet!$A:$H,3,FALSE),VLOOKUP("other",bug_conf_sheet!$A:$H,3,FALSE))</f>
        <v>1</v>
      </c>
      <c r="P238" s="31">
        <f>IFERROR(VLOOKUP($E238,bug_conf_sheet!$A:$H,4,FALSE),VLOOKUP("other",bug_conf_sheet!$A:$H,4,FALSE))</f>
        <v>0</v>
      </c>
      <c r="Q238" s="31">
        <f>IFERROR(VLOOKUP($E238,bug_conf_sheet!$A:$H,5,FALSE),VLOOKUP("other",bug_conf_sheet!$A:$H,5,FALSE))</f>
        <v>0</v>
      </c>
      <c r="R238" s="31">
        <f>IFERROR(VLOOKUP($E238,bug_conf_sheet!$A:$H,6,FALSE),VLOOKUP("other",bug_conf_sheet!$A:$H,6,FALSE))</f>
        <v>0</v>
      </c>
      <c r="S238" s="31">
        <f>IFERROR(VLOOKUP($E238,bug_conf_sheet!$A:$H,7,FALSE),VLOOKUP("other",bug_conf_sheet!$A:$H,7,FALSE))</f>
        <v>0</v>
      </c>
      <c r="T238" s="31">
        <f>IFERROR(VLOOKUP($E238,bug_conf_sheet!$A:$H,8,FALSE),VLOOKUP("other",bug_conf_sheet!$A:$H,8,FALSE))</f>
        <v>1</v>
      </c>
    </row>
    <row r="239" spans="1:20" ht="21" customHeight="1">
      <c r="A239" s="2" t="str">
        <f ca="1">input_313010!A$2</f>
        <v>313010</v>
      </c>
      <c r="B239" s="7" t="str">
        <f t="shared" si="9"/>
        <v>PremiumSSbg5</v>
      </c>
      <c r="C239" s="7" t="str">
        <f t="shared" si="10"/>
        <v>PremiumSS</v>
      </c>
      <c r="D239" s="7" t="str">
        <f t="shared" si="11"/>
        <v>bg</v>
      </c>
      <c r="E239" s="6">
        <v>661</v>
      </c>
      <c r="F239" s="7" t="str">
        <f>VLOOKUP(E239,[1]characters!$A:$C,3,FALSE)</f>
        <v>疾風の天狗礫 フウガ</v>
      </c>
      <c r="G239" s="7" t="str">
        <f>VLOOKUP(E239,[1]characters!$A:$J,10,FALSE)</f>
        <v>PremiumSS</v>
      </c>
      <c r="H239" s="7">
        <f>VLOOKUP(E239,[1]characters!$A:$I,9,FALSE)</f>
        <v>5</v>
      </c>
      <c r="I239" s="7" t="str">
        <f>VLOOKUP(E239,[1]characters!$A:$H,8,FALSE)</f>
        <v>green</v>
      </c>
      <c r="J239" s="7" t="str">
        <f>VLOOKUP(E239,[1]characters!$A:$K,11,FALSE)</f>
        <v>balance</v>
      </c>
      <c r="K239" s="7" t="str">
        <f>VLOOKUP(E239,[1]characters!$A:$M,13,FALSE)</f>
        <v>animal</v>
      </c>
      <c r="L239" s="7" t="str">
        <f>VLOOKUP(E239,[1]characters!$A:$G,7,FALSE)</f>
        <v>男性</v>
      </c>
      <c r="M239" s="62">
        <f ca="1">IFERROR(VLOOKUP(E239,input_313010!L:R,7,FALSE),VLOOKUP(tables_313010!B239,input_313010!A:H,8,FALSE))</f>
        <v>4662</v>
      </c>
      <c r="N239" s="63">
        <f ca="1">M239/SUM(M:M)</f>
        <v>1.6666666666666666E-4</v>
      </c>
      <c r="O239" s="31">
        <f>IFERROR(VLOOKUP($E239,bug_conf_sheet!$A:$H,3,FALSE),VLOOKUP("other",bug_conf_sheet!$A:$H,3,FALSE))</f>
        <v>1</v>
      </c>
      <c r="P239" s="31">
        <f>IFERROR(VLOOKUP($E239,bug_conf_sheet!$A:$H,4,FALSE),VLOOKUP("other",bug_conf_sheet!$A:$H,4,FALSE))</f>
        <v>0</v>
      </c>
      <c r="Q239" s="31">
        <f>IFERROR(VLOOKUP($E239,bug_conf_sheet!$A:$H,5,FALSE),VLOOKUP("other",bug_conf_sheet!$A:$H,5,FALSE))</f>
        <v>0</v>
      </c>
      <c r="R239" s="31">
        <f>IFERROR(VLOOKUP($E239,bug_conf_sheet!$A:$H,6,FALSE),VLOOKUP("other",bug_conf_sheet!$A:$H,6,FALSE))</f>
        <v>0</v>
      </c>
      <c r="S239" s="31">
        <f>IFERROR(VLOOKUP($E239,bug_conf_sheet!$A:$H,7,FALSE),VLOOKUP("other",bug_conf_sheet!$A:$H,7,FALSE))</f>
        <v>0</v>
      </c>
      <c r="T239" s="31">
        <f>IFERROR(VLOOKUP($E239,bug_conf_sheet!$A:$H,8,FALSE),VLOOKUP("other",bug_conf_sheet!$A:$H,8,FALSE))</f>
        <v>1</v>
      </c>
    </row>
    <row r="240" spans="1:20" ht="21" customHeight="1">
      <c r="A240" s="2" t="str">
        <f ca="1">input_313010!A$2</f>
        <v>313010</v>
      </c>
      <c r="B240" s="7" t="str">
        <f t="shared" si="9"/>
        <v>Premium3</v>
      </c>
      <c r="C240" s="7" t="str">
        <f t="shared" si="10"/>
        <v>Premium</v>
      </c>
      <c r="D240" s="7" t="str">
        <f t="shared" si="11"/>
        <v>bg</v>
      </c>
      <c r="E240" s="6">
        <v>662</v>
      </c>
      <c r="F240" s="7" t="str">
        <f>VLOOKUP(E240,[1]characters!$A:$C,3,FALSE)</f>
        <v>ダイダラ</v>
      </c>
      <c r="G240" s="7" t="str">
        <f>VLOOKUP(E240,[1]characters!$A:$J,10,FALSE)</f>
        <v>PremiumS</v>
      </c>
      <c r="H240" s="7">
        <f>VLOOKUP(E240,[1]characters!$A:$I,9,FALSE)</f>
        <v>3</v>
      </c>
      <c r="I240" s="7" t="str">
        <f>VLOOKUP(E240,[1]characters!$A:$H,8,FALSE)</f>
        <v>blue</v>
      </c>
      <c r="J240" s="7" t="str">
        <f>VLOOKUP(E240,[1]characters!$A:$K,11,FALSE)</f>
        <v>hp</v>
      </c>
      <c r="K240" s="7" t="str">
        <f>VLOOKUP(E240,[1]characters!$A:$M,13,FALSE)</f>
        <v>unknown</v>
      </c>
      <c r="L240" s="7" t="str">
        <f>VLOOKUP(E240,[1]characters!$A:$G,7,FALSE)</f>
        <v>不明</v>
      </c>
      <c r="M240" s="62">
        <f ca="1">IFERROR(VLOOKUP(E240,input_313010!L:R,7,FALSE),VLOOKUP(tables_313010!B240,input_313010!A:H,8,FALSE))</f>
        <v>189000</v>
      </c>
      <c r="N240" s="63">
        <f ca="1">M240/SUM(M:M)</f>
        <v>6.7567567567567571E-3</v>
      </c>
      <c r="O240" s="31">
        <f>IFERROR(VLOOKUP($E240,bug_conf_sheet!$A:$H,3,FALSE),VLOOKUP("other",bug_conf_sheet!$A:$H,3,FALSE))</f>
        <v>1</v>
      </c>
      <c r="P240" s="31">
        <f>IFERROR(VLOOKUP($E240,bug_conf_sheet!$A:$H,4,FALSE),VLOOKUP("other",bug_conf_sheet!$A:$H,4,FALSE))</f>
        <v>0</v>
      </c>
      <c r="Q240" s="31">
        <f>IFERROR(VLOOKUP($E240,bug_conf_sheet!$A:$H,5,FALSE),VLOOKUP("other",bug_conf_sheet!$A:$H,5,FALSE))</f>
        <v>0</v>
      </c>
      <c r="R240" s="31">
        <f>IFERROR(VLOOKUP($E240,bug_conf_sheet!$A:$H,6,FALSE),VLOOKUP("other",bug_conf_sheet!$A:$H,6,FALSE))</f>
        <v>0</v>
      </c>
      <c r="S240" s="31">
        <f>IFERROR(VLOOKUP($E240,bug_conf_sheet!$A:$H,7,FALSE),VLOOKUP("other",bug_conf_sheet!$A:$H,7,FALSE))</f>
        <v>0</v>
      </c>
      <c r="T240" s="31">
        <f>IFERROR(VLOOKUP($E240,bug_conf_sheet!$A:$H,8,FALSE),VLOOKUP("other",bug_conf_sheet!$A:$H,8,FALSE))</f>
        <v>1</v>
      </c>
    </row>
    <row r="241" spans="1:20" ht="21" customHeight="1">
      <c r="A241" s="2" t="str">
        <f ca="1">input_313010!A$2</f>
        <v>313010</v>
      </c>
      <c r="B241" s="7" t="str">
        <f t="shared" si="9"/>
        <v>Premium4</v>
      </c>
      <c r="C241" s="7" t="str">
        <f t="shared" si="10"/>
        <v>Premium</v>
      </c>
      <c r="D241" s="7" t="str">
        <f t="shared" si="11"/>
        <v>bg</v>
      </c>
      <c r="E241" s="6">
        <v>663</v>
      </c>
      <c r="F241" s="7" t="str">
        <f>VLOOKUP(E241,[1]characters!$A:$C,3,FALSE)</f>
        <v>都揺らす地響き ダイダラ</v>
      </c>
      <c r="G241" s="7" t="str">
        <f>VLOOKUP(E241,[1]characters!$A:$J,10,FALSE)</f>
        <v>PremiumS</v>
      </c>
      <c r="H241" s="7">
        <f>VLOOKUP(E241,[1]characters!$A:$I,9,FALSE)</f>
        <v>4</v>
      </c>
      <c r="I241" s="7" t="str">
        <f>VLOOKUP(E241,[1]characters!$A:$H,8,FALSE)</f>
        <v>blue</v>
      </c>
      <c r="J241" s="7" t="str">
        <f>VLOOKUP(E241,[1]characters!$A:$K,11,FALSE)</f>
        <v>hp</v>
      </c>
      <c r="K241" s="7" t="str">
        <f>VLOOKUP(E241,[1]characters!$A:$M,13,FALSE)</f>
        <v>unknown</v>
      </c>
      <c r="L241" s="7" t="str">
        <f>VLOOKUP(E241,[1]characters!$A:$G,7,FALSE)</f>
        <v>不明</v>
      </c>
      <c r="M241" s="62">
        <f ca="1">IFERROR(VLOOKUP(E241,input_313010!L:R,7,FALSE),VLOOKUP(tables_313010!B241,input_313010!A:H,8,FALSE))</f>
        <v>153090</v>
      </c>
      <c r="N241" s="63">
        <f ca="1">M241/SUM(M:M)</f>
        <v>5.4729729729729726E-3</v>
      </c>
      <c r="O241" s="31">
        <f>IFERROR(VLOOKUP($E241,bug_conf_sheet!$A:$H,3,FALSE),VLOOKUP("other",bug_conf_sheet!$A:$H,3,FALSE))</f>
        <v>1</v>
      </c>
      <c r="P241" s="31">
        <f>IFERROR(VLOOKUP($E241,bug_conf_sheet!$A:$H,4,FALSE),VLOOKUP("other",bug_conf_sheet!$A:$H,4,FALSE))</f>
        <v>0</v>
      </c>
      <c r="Q241" s="31">
        <f>IFERROR(VLOOKUP($E241,bug_conf_sheet!$A:$H,5,FALSE),VLOOKUP("other",bug_conf_sheet!$A:$H,5,FALSE))</f>
        <v>0</v>
      </c>
      <c r="R241" s="31">
        <f>IFERROR(VLOOKUP($E241,bug_conf_sheet!$A:$H,6,FALSE),VLOOKUP("other",bug_conf_sheet!$A:$H,6,FALSE))</f>
        <v>0</v>
      </c>
      <c r="S241" s="31">
        <f>IFERROR(VLOOKUP($E241,bug_conf_sheet!$A:$H,7,FALSE),VLOOKUP("other",bug_conf_sheet!$A:$H,7,FALSE))</f>
        <v>0</v>
      </c>
      <c r="T241" s="31">
        <f>IFERROR(VLOOKUP($E241,bug_conf_sheet!$A:$H,8,FALSE),VLOOKUP("other",bug_conf_sheet!$A:$H,8,FALSE))</f>
        <v>1</v>
      </c>
    </row>
    <row r="242" spans="1:20" ht="21" customHeight="1">
      <c r="A242" s="2" t="str">
        <f ca="1">input_313010!A$2</f>
        <v>313010</v>
      </c>
      <c r="B242" s="7" t="str">
        <f t="shared" si="9"/>
        <v>Premium5</v>
      </c>
      <c r="C242" s="7" t="str">
        <f t="shared" si="10"/>
        <v>Premium</v>
      </c>
      <c r="D242" s="7" t="str">
        <f t="shared" si="11"/>
        <v>bg</v>
      </c>
      <c r="E242" s="6">
        <v>664</v>
      </c>
      <c r="F242" s="7" t="str">
        <f>VLOOKUP(E242,[1]characters!$A:$C,3,FALSE)</f>
        <v>山掴み国造り ダイダラ</v>
      </c>
      <c r="G242" s="7" t="str">
        <f>VLOOKUP(E242,[1]characters!$A:$J,10,FALSE)</f>
        <v>PremiumS</v>
      </c>
      <c r="H242" s="7">
        <f>VLOOKUP(E242,[1]characters!$A:$I,9,FALSE)</f>
        <v>5</v>
      </c>
      <c r="I242" s="7" t="str">
        <f>VLOOKUP(E242,[1]characters!$A:$H,8,FALSE)</f>
        <v>blue</v>
      </c>
      <c r="J242" s="7" t="str">
        <f>VLOOKUP(E242,[1]characters!$A:$K,11,FALSE)</f>
        <v>hp</v>
      </c>
      <c r="K242" s="7" t="str">
        <f>VLOOKUP(E242,[1]characters!$A:$M,13,FALSE)</f>
        <v>unknown</v>
      </c>
      <c r="L242" s="7" t="str">
        <f>VLOOKUP(E242,[1]characters!$A:$G,7,FALSE)</f>
        <v>不明</v>
      </c>
      <c r="M242" s="62">
        <f ca="1">IFERROR(VLOOKUP(E242,input_313010!L:R,7,FALSE),VLOOKUP(tables_313010!B242,input_313010!A:H,8,FALSE))</f>
        <v>18130</v>
      </c>
      <c r="N242" s="63">
        <f ca="1">M242/SUM(M:M)</f>
        <v>6.4814814814814813E-4</v>
      </c>
      <c r="O242" s="31">
        <f>IFERROR(VLOOKUP($E242,bug_conf_sheet!$A:$H,3,FALSE),VLOOKUP("other",bug_conf_sheet!$A:$H,3,FALSE))</f>
        <v>1</v>
      </c>
      <c r="P242" s="31">
        <f>IFERROR(VLOOKUP($E242,bug_conf_sheet!$A:$H,4,FALSE),VLOOKUP("other",bug_conf_sheet!$A:$H,4,FALSE))</f>
        <v>0</v>
      </c>
      <c r="Q242" s="31">
        <f>IFERROR(VLOOKUP($E242,bug_conf_sheet!$A:$H,5,FALSE),VLOOKUP("other",bug_conf_sheet!$A:$H,5,FALSE))</f>
        <v>0</v>
      </c>
      <c r="R242" s="31">
        <f>IFERROR(VLOOKUP($E242,bug_conf_sheet!$A:$H,6,FALSE),VLOOKUP("other",bug_conf_sheet!$A:$H,6,FALSE))</f>
        <v>0</v>
      </c>
      <c r="S242" s="31">
        <f>IFERROR(VLOOKUP($E242,bug_conf_sheet!$A:$H,7,FALSE),VLOOKUP("other",bug_conf_sheet!$A:$H,7,FALSE))</f>
        <v>0</v>
      </c>
      <c r="T242" s="31">
        <f>IFERROR(VLOOKUP($E242,bug_conf_sheet!$A:$H,8,FALSE),VLOOKUP("other",bug_conf_sheet!$A:$H,8,FALSE))</f>
        <v>1</v>
      </c>
    </row>
    <row r="243" spans="1:20" ht="21" customHeight="1">
      <c r="A243" s="2" t="str">
        <f ca="1">input_313010!A$2</f>
        <v>313010</v>
      </c>
      <c r="B243" s="7" t="str">
        <f t="shared" si="9"/>
        <v>Premium3</v>
      </c>
      <c r="C243" s="7" t="str">
        <f t="shared" si="10"/>
        <v>Premium</v>
      </c>
      <c r="D243" s="7" t="str">
        <f t="shared" si="11"/>
        <v>ry</v>
      </c>
      <c r="E243" s="6">
        <v>665</v>
      </c>
      <c r="F243" s="7" t="str">
        <f>VLOOKUP(E243,[1]characters!$A:$C,3,FALSE)</f>
        <v>座敷童子 テマリ</v>
      </c>
      <c r="G243" s="7" t="str">
        <f>VLOOKUP(E243,[1]characters!$A:$J,10,FALSE)</f>
        <v>PremiumS</v>
      </c>
      <c r="H243" s="7">
        <f>VLOOKUP(E243,[1]characters!$A:$I,9,FALSE)</f>
        <v>3</v>
      </c>
      <c r="I243" s="7" t="str">
        <f>VLOOKUP(E243,[1]characters!$A:$H,8,FALSE)</f>
        <v>yellow</v>
      </c>
      <c r="J243" s="7" t="str">
        <f>VLOOKUP(E243,[1]characters!$A:$K,11,FALSE)</f>
        <v>balance</v>
      </c>
      <c r="K243" s="7" t="str">
        <f>VLOOKUP(E243,[1]characters!$A:$M,13,FALSE)</f>
        <v>unknown</v>
      </c>
      <c r="L243" s="7" t="str">
        <f>VLOOKUP(E243,[1]characters!$A:$G,7,FALSE)</f>
        <v>女性</v>
      </c>
      <c r="M243" s="62">
        <f ca="1">IFERROR(VLOOKUP(E243,input_313010!L:R,7,FALSE),VLOOKUP(tables_313010!B243,input_313010!A:H,8,FALSE))</f>
        <v>189000</v>
      </c>
      <c r="N243" s="63">
        <f ca="1">M243/SUM(M:M)</f>
        <v>6.7567567567567571E-3</v>
      </c>
      <c r="O243" s="31">
        <f>IFERROR(VLOOKUP($E243,bug_conf_sheet!$A:$H,3,FALSE),VLOOKUP("other",bug_conf_sheet!$A:$H,3,FALSE))</f>
        <v>1</v>
      </c>
      <c r="P243" s="31">
        <f>IFERROR(VLOOKUP($E243,bug_conf_sheet!$A:$H,4,FALSE),VLOOKUP("other",bug_conf_sheet!$A:$H,4,FALSE))</f>
        <v>0</v>
      </c>
      <c r="Q243" s="31">
        <f>IFERROR(VLOOKUP($E243,bug_conf_sheet!$A:$H,5,FALSE),VLOOKUP("other",bug_conf_sheet!$A:$H,5,FALSE))</f>
        <v>0</v>
      </c>
      <c r="R243" s="31">
        <f>IFERROR(VLOOKUP($E243,bug_conf_sheet!$A:$H,6,FALSE),VLOOKUP("other",bug_conf_sheet!$A:$H,6,FALSE))</f>
        <v>0</v>
      </c>
      <c r="S243" s="31">
        <f>IFERROR(VLOOKUP($E243,bug_conf_sheet!$A:$H,7,FALSE),VLOOKUP("other",bug_conf_sheet!$A:$H,7,FALSE))</f>
        <v>0</v>
      </c>
      <c r="T243" s="31">
        <f>IFERROR(VLOOKUP($E243,bug_conf_sheet!$A:$H,8,FALSE),VLOOKUP("other",bug_conf_sheet!$A:$H,8,FALSE))</f>
        <v>1</v>
      </c>
    </row>
    <row r="244" spans="1:20" ht="21" customHeight="1">
      <c r="A244" s="2" t="str">
        <f ca="1">input_313010!A$2</f>
        <v>313010</v>
      </c>
      <c r="B244" s="7" t="str">
        <f t="shared" si="9"/>
        <v>Premium4</v>
      </c>
      <c r="C244" s="7" t="str">
        <f t="shared" si="10"/>
        <v>Premium</v>
      </c>
      <c r="D244" s="7" t="str">
        <f t="shared" si="11"/>
        <v>ry</v>
      </c>
      <c r="E244" s="6">
        <v>666</v>
      </c>
      <c r="F244" s="7" t="str">
        <f>VLOOKUP(E244,[1]characters!$A:$C,3,FALSE)</f>
        <v>拡散する幸福 テマリ</v>
      </c>
      <c r="G244" s="7" t="str">
        <f>VLOOKUP(E244,[1]characters!$A:$J,10,FALSE)</f>
        <v>PremiumS</v>
      </c>
      <c r="H244" s="7">
        <f>VLOOKUP(E244,[1]characters!$A:$I,9,FALSE)</f>
        <v>4</v>
      </c>
      <c r="I244" s="7" t="str">
        <f>VLOOKUP(E244,[1]characters!$A:$H,8,FALSE)</f>
        <v>yellow</v>
      </c>
      <c r="J244" s="7" t="str">
        <f>VLOOKUP(E244,[1]characters!$A:$K,11,FALSE)</f>
        <v>balance</v>
      </c>
      <c r="K244" s="7" t="str">
        <f>VLOOKUP(E244,[1]characters!$A:$M,13,FALSE)</f>
        <v>unknown</v>
      </c>
      <c r="L244" s="7" t="str">
        <f>VLOOKUP(E244,[1]characters!$A:$G,7,FALSE)</f>
        <v>女性</v>
      </c>
      <c r="M244" s="62">
        <f ca="1">IFERROR(VLOOKUP(E244,input_313010!L:R,7,FALSE),VLOOKUP(tables_313010!B244,input_313010!A:H,8,FALSE))</f>
        <v>153090</v>
      </c>
      <c r="N244" s="63">
        <f ca="1">M244/SUM(M:M)</f>
        <v>5.4729729729729726E-3</v>
      </c>
      <c r="O244" s="31">
        <f>IFERROR(VLOOKUP($E244,bug_conf_sheet!$A:$H,3,FALSE),VLOOKUP("other",bug_conf_sheet!$A:$H,3,FALSE))</f>
        <v>1</v>
      </c>
      <c r="P244" s="31">
        <f>IFERROR(VLOOKUP($E244,bug_conf_sheet!$A:$H,4,FALSE),VLOOKUP("other",bug_conf_sheet!$A:$H,4,FALSE))</f>
        <v>0</v>
      </c>
      <c r="Q244" s="31">
        <f>IFERROR(VLOOKUP($E244,bug_conf_sheet!$A:$H,5,FALSE),VLOOKUP("other",bug_conf_sheet!$A:$H,5,FALSE))</f>
        <v>0</v>
      </c>
      <c r="R244" s="31">
        <f>IFERROR(VLOOKUP($E244,bug_conf_sheet!$A:$H,6,FALSE),VLOOKUP("other",bug_conf_sheet!$A:$H,6,FALSE))</f>
        <v>0</v>
      </c>
      <c r="S244" s="31">
        <f>IFERROR(VLOOKUP($E244,bug_conf_sheet!$A:$H,7,FALSE),VLOOKUP("other",bug_conf_sheet!$A:$H,7,FALSE))</f>
        <v>0</v>
      </c>
      <c r="T244" s="31">
        <f>IFERROR(VLOOKUP($E244,bug_conf_sheet!$A:$H,8,FALSE),VLOOKUP("other",bug_conf_sheet!$A:$H,8,FALSE))</f>
        <v>1</v>
      </c>
    </row>
    <row r="245" spans="1:20" ht="21" customHeight="1">
      <c r="A245" s="2" t="str">
        <f ca="1">input_313010!A$2</f>
        <v>313010</v>
      </c>
      <c r="B245" s="7" t="str">
        <f t="shared" si="9"/>
        <v>Premium5</v>
      </c>
      <c r="C245" s="7" t="str">
        <f t="shared" si="10"/>
        <v>Premium</v>
      </c>
      <c r="D245" s="7" t="str">
        <f t="shared" si="11"/>
        <v>ry</v>
      </c>
      <c r="E245" s="6">
        <v>667</v>
      </c>
      <c r="F245" s="7" t="str">
        <f>VLOOKUP(E245,[1]characters!$A:$C,3,FALSE)</f>
        <v>最幸運の妖童 テマリ</v>
      </c>
      <c r="G245" s="7" t="str">
        <f>VLOOKUP(E245,[1]characters!$A:$J,10,FALSE)</f>
        <v>PremiumS</v>
      </c>
      <c r="H245" s="7">
        <f>VLOOKUP(E245,[1]characters!$A:$I,9,FALSE)</f>
        <v>5</v>
      </c>
      <c r="I245" s="7" t="str">
        <f>VLOOKUP(E245,[1]characters!$A:$H,8,FALSE)</f>
        <v>yellow</v>
      </c>
      <c r="J245" s="7" t="str">
        <f>VLOOKUP(E245,[1]characters!$A:$K,11,FALSE)</f>
        <v>balance</v>
      </c>
      <c r="K245" s="7" t="str">
        <f>VLOOKUP(E245,[1]characters!$A:$M,13,FALSE)</f>
        <v>unknown</v>
      </c>
      <c r="L245" s="7" t="str">
        <f>VLOOKUP(E245,[1]characters!$A:$G,7,FALSE)</f>
        <v>女性</v>
      </c>
      <c r="M245" s="62">
        <f ca="1">IFERROR(VLOOKUP(E245,input_313010!L:R,7,FALSE),VLOOKUP(tables_313010!B245,input_313010!A:H,8,FALSE))</f>
        <v>18130</v>
      </c>
      <c r="N245" s="63">
        <f ca="1">M245/SUM(M:M)</f>
        <v>6.4814814814814813E-4</v>
      </c>
      <c r="O245" s="31">
        <f>IFERROR(VLOOKUP($E245,bug_conf_sheet!$A:$H,3,FALSE),VLOOKUP("other",bug_conf_sheet!$A:$H,3,FALSE))</f>
        <v>1</v>
      </c>
      <c r="P245" s="31">
        <f>IFERROR(VLOOKUP($E245,bug_conf_sheet!$A:$H,4,FALSE),VLOOKUP("other",bug_conf_sheet!$A:$H,4,FALSE))</f>
        <v>0</v>
      </c>
      <c r="Q245" s="31">
        <f>IFERROR(VLOOKUP($E245,bug_conf_sheet!$A:$H,5,FALSE),VLOOKUP("other",bug_conf_sheet!$A:$H,5,FALSE))</f>
        <v>0</v>
      </c>
      <c r="R245" s="31">
        <f>IFERROR(VLOOKUP($E245,bug_conf_sheet!$A:$H,6,FALSE),VLOOKUP("other",bug_conf_sheet!$A:$H,6,FALSE))</f>
        <v>0</v>
      </c>
      <c r="S245" s="31">
        <f>IFERROR(VLOOKUP($E245,bug_conf_sheet!$A:$H,7,FALSE),VLOOKUP("other",bug_conf_sheet!$A:$H,7,FALSE))</f>
        <v>0</v>
      </c>
      <c r="T245" s="31">
        <f>IFERROR(VLOOKUP($E245,bug_conf_sheet!$A:$H,8,FALSE),VLOOKUP("other",bug_conf_sheet!$A:$H,8,FALSE))</f>
        <v>1</v>
      </c>
    </row>
    <row r="246" spans="1:20" ht="21" customHeight="1">
      <c r="A246" s="2" t="str">
        <f ca="1">input_313010!A$2</f>
        <v>313010</v>
      </c>
      <c r="B246" s="7" t="str">
        <f t="shared" si="9"/>
        <v>PremiumSSSry5</v>
      </c>
      <c r="C246" s="7" t="str">
        <f t="shared" ref="C246:C250" si="12">IF(G246="PremiumSS",G246,IF(G246="PremiumSSS",G246,"Premium"))</f>
        <v>PremiumSSS</v>
      </c>
      <c r="D246" s="7" t="str">
        <f t="shared" ref="D246:D250" si="13">IF(I246="red","ry",IF(I246="yellow","ry","bg"))</f>
        <v>ry</v>
      </c>
      <c r="E246" s="6">
        <v>486</v>
      </c>
      <c r="F246" s="7" t="str">
        <f>VLOOKUP(E246,[1]characters!$A:$C,3,FALSE)</f>
        <v>重なる世解 シュレディンガー</v>
      </c>
      <c r="G246" s="7" t="str">
        <f>VLOOKUP(E246,[1]characters!$A:$J,10,FALSE)</f>
        <v>PremiumSSS</v>
      </c>
      <c r="H246" s="7">
        <f>VLOOKUP(E246,[1]characters!$A:$I,9,FALSE)</f>
        <v>5</v>
      </c>
      <c r="I246" s="7" t="str">
        <f>VLOOKUP(E246,[1]characters!$A:$H,8,FALSE)</f>
        <v>red</v>
      </c>
      <c r="J246" s="7" t="str">
        <f>VLOOKUP(E246,[1]characters!$A:$K,11,FALSE)</f>
        <v>balance</v>
      </c>
      <c r="K246" s="7" t="str">
        <f>VLOOKUP(E246,[1]characters!$A:$M,13,FALSE)</f>
        <v>animal</v>
      </c>
      <c r="L246" s="7" t="str">
        <f>VLOOKUP(E246,[1]characters!$A:$G,7,FALSE)</f>
        <v>男性</v>
      </c>
      <c r="M246" s="62">
        <f ca="1">IFERROR(VLOOKUP(E246,input_313010!L:R,7,FALSE),VLOOKUP(tables_313010!B246,input_313010!A:H,8,FALSE))</f>
        <v>104895</v>
      </c>
      <c r="N246" s="63">
        <f ca="1">M246/SUM(M:M)</f>
        <v>3.7499999999999999E-3</v>
      </c>
      <c r="O246" s="31">
        <f>IFERROR(VLOOKUP($E246,bug_conf_sheet!$A:$H,3,FALSE),VLOOKUP("other",bug_conf_sheet!$A:$H,3,FALSE))</f>
        <v>1</v>
      </c>
      <c r="P246" s="31">
        <f>IFERROR(VLOOKUP($E246,bug_conf_sheet!$A:$H,4,FALSE),VLOOKUP("other",bug_conf_sheet!$A:$H,4,FALSE))</f>
        <v>0</v>
      </c>
      <c r="Q246" s="31">
        <f>IFERROR(VLOOKUP($E246,bug_conf_sheet!$A:$H,5,FALSE),VLOOKUP("other",bug_conf_sheet!$A:$H,5,FALSE))</f>
        <v>0</v>
      </c>
      <c r="R246" s="31">
        <f>IFERROR(VLOOKUP($E246,bug_conf_sheet!$A:$H,6,FALSE),VLOOKUP("other",bug_conf_sheet!$A:$H,6,FALSE))</f>
        <v>0</v>
      </c>
      <c r="S246" s="31">
        <f>IFERROR(VLOOKUP($E246,bug_conf_sheet!$A:$H,7,FALSE),VLOOKUP("other",bug_conf_sheet!$A:$H,7,FALSE))</f>
        <v>0</v>
      </c>
      <c r="T246" s="31">
        <f>IFERROR(VLOOKUP($E246,bug_conf_sheet!$A:$H,8,FALSE),VLOOKUP("other",bug_conf_sheet!$A:$H,8,FALSE))</f>
        <v>1</v>
      </c>
    </row>
    <row r="247" spans="1:20" ht="21" customHeight="1">
      <c r="A247" s="2" t="str">
        <f ca="1">input_313010!A$2</f>
        <v>313010</v>
      </c>
      <c r="B247" s="7" t="str">
        <f t="shared" si="9"/>
        <v>PremiumSSSbg5</v>
      </c>
      <c r="C247" s="7" t="str">
        <f t="shared" si="12"/>
        <v>PremiumSSS</v>
      </c>
      <c r="D247" s="7" t="str">
        <f t="shared" si="13"/>
        <v>bg</v>
      </c>
      <c r="E247" s="6">
        <v>487</v>
      </c>
      <c r="F247" s="7" t="str">
        <f>VLOOKUP(E247,[1]characters!$A:$C,3,FALSE)</f>
        <v>暴創の造物 チューリング</v>
      </c>
      <c r="G247" s="7" t="str">
        <f>VLOOKUP(E247,[1]characters!$A:$J,10,FALSE)</f>
        <v>PremiumSSS</v>
      </c>
      <c r="H247" s="7">
        <f>VLOOKUP(E247,[1]characters!$A:$I,9,FALSE)</f>
        <v>5</v>
      </c>
      <c r="I247" s="7" t="str">
        <f>VLOOKUP(E247,[1]characters!$A:$H,8,FALSE)</f>
        <v>green</v>
      </c>
      <c r="J247" s="7" t="str">
        <f>VLOOKUP(E247,[1]characters!$A:$K,11,FALSE)</f>
        <v>hp</v>
      </c>
      <c r="K247" s="7" t="str">
        <f>VLOOKUP(E247,[1]characters!$A:$M,13,FALSE)</f>
        <v>human</v>
      </c>
      <c r="L247" s="7" t="str">
        <f>VLOOKUP(E247,[1]characters!$A:$G,7,FALSE)</f>
        <v>女性</v>
      </c>
      <c r="M247" s="62">
        <f ca="1">IFERROR(VLOOKUP(E247,input_313010!L:R,7,FALSE),VLOOKUP(tables_313010!B247,input_313010!A:H,8,FALSE))</f>
        <v>34965</v>
      </c>
      <c r="N247" s="63">
        <f ca="1">M247/SUM(M:M)</f>
        <v>1.25E-3</v>
      </c>
      <c r="O247" s="31">
        <f>IFERROR(VLOOKUP($E247,bug_conf_sheet!$A:$H,3,FALSE),VLOOKUP("other",bug_conf_sheet!$A:$H,3,FALSE))</f>
        <v>1</v>
      </c>
      <c r="P247" s="31">
        <f>IFERROR(VLOOKUP($E247,bug_conf_sheet!$A:$H,4,FALSE),VLOOKUP("other",bug_conf_sheet!$A:$H,4,FALSE))</f>
        <v>0</v>
      </c>
      <c r="Q247" s="31">
        <f>IFERROR(VLOOKUP($E247,bug_conf_sheet!$A:$H,5,FALSE),VLOOKUP("other",bug_conf_sheet!$A:$H,5,FALSE))</f>
        <v>0</v>
      </c>
      <c r="R247" s="31">
        <f>IFERROR(VLOOKUP($E247,bug_conf_sheet!$A:$H,6,FALSE),VLOOKUP("other",bug_conf_sheet!$A:$H,6,FALSE))</f>
        <v>0</v>
      </c>
      <c r="S247" s="31">
        <f>IFERROR(VLOOKUP($E247,bug_conf_sheet!$A:$H,7,FALSE),VLOOKUP("other",bug_conf_sheet!$A:$H,7,FALSE))</f>
        <v>0</v>
      </c>
      <c r="T247" s="31">
        <f>IFERROR(VLOOKUP($E247,bug_conf_sheet!$A:$H,8,FALSE),VLOOKUP("other",bug_conf_sheet!$A:$H,8,FALSE))</f>
        <v>1</v>
      </c>
    </row>
    <row r="248" spans="1:20" ht="21" customHeight="1">
      <c r="A248" s="2" t="str">
        <f ca="1">input_313010!A$2</f>
        <v>313010</v>
      </c>
      <c r="B248" s="7" t="str">
        <f t="shared" si="9"/>
        <v>PremiumSSSbg5</v>
      </c>
      <c r="C248" s="7" t="str">
        <f t="shared" si="12"/>
        <v>PremiumSSS</v>
      </c>
      <c r="D248" s="7" t="str">
        <f t="shared" si="13"/>
        <v>bg</v>
      </c>
      <c r="E248" s="6">
        <v>488</v>
      </c>
      <c r="F248" s="7" t="str">
        <f>VLOOKUP(E248,[1]characters!$A:$C,3,FALSE)</f>
        <v>直観の異論 ヘンペル</v>
      </c>
      <c r="G248" s="7" t="str">
        <f>VLOOKUP(E248,[1]characters!$A:$J,10,FALSE)</f>
        <v>PremiumSSS</v>
      </c>
      <c r="H248" s="7">
        <f>VLOOKUP(E248,[1]characters!$A:$I,9,FALSE)</f>
        <v>5</v>
      </c>
      <c r="I248" s="7" t="str">
        <f>VLOOKUP(E248,[1]characters!$A:$H,8,FALSE)</f>
        <v>blue</v>
      </c>
      <c r="J248" s="7" t="str">
        <f>VLOOKUP(E248,[1]characters!$A:$K,11,FALSE)</f>
        <v>technical</v>
      </c>
      <c r="K248" s="7" t="str">
        <f>VLOOKUP(E248,[1]characters!$A:$M,13,FALSE)</f>
        <v>human</v>
      </c>
      <c r="L248" s="7" t="str">
        <f>VLOOKUP(E248,[1]characters!$A:$G,7,FALSE)</f>
        <v>男性</v>
      </c>
      <c r="M248" s="62">
        <f ca="1">IFERROR(VLOOKUP(E248,input_313010!L:R,7,FALSE),VLOOKUP(tables_313010!B248,input_313010!A:H,8,FALSE))</f>
        <v>34965</v>
      </c>
      <c r="N248" s="63">
        <f ca="1">M248/SUM(M:M)</f>
        <v>1.25E-3</v>
      </c>
      <c r="O248" s="31">
        <f>IFERROR(VLOOKUP($E248,bug_conf_sheet!$A:$H,3,FALSE),VLOOKUP("other",bug_conf_sheet!$A:$H,3,FALSE))</f>
        <v>1</v>
      </c>
      <c r="P248" s="31">
        <f>IFERROR(VLOOKUP($E248,bug_conf_sheet!$A:$H,4,FALSE),VLOOKUP("other",bug_conf_sheet!$A:$H,4,FALSE))</f>
        <v>0</v>
      </c>
      <c r="Q248" s="31">
        <f>IFERROR(VLOOKUP($E248,bug_conf_sheet!$A:$H,5,FALSE),VLOOKUP("other",bug_conf_sheet!$A:$H,5,FALSE))</f>
        <v>0</v>
      </c>
      <c r="R248" s="31">
        <f>IFERROR(VLOOKUP($E248,bug_conf_sheet!$A:$H,6,FALSE),VLOOKUP("other",bug_conf_sheet!$A:$H,6,FALSE))</f>
        <v>0</v>
      </c>
      <c r="S248" s="31">
        <f>IFERROR(VLOOKUP($E248,bug_conf_sheet!$A:$H,7,FALSE),VLOOKUP("other",bug_conf_sheet!$A:$H,7,FALSE))</f>
        <v>0</v>
      </c>
      <c r="T248" s="31">
        <f>IFERROR(VLOOKUP($E248,bug_conf_sheet!$A:$H,8,FALSE),VLOOKUP("other",bug_conf_sheet!$A:$H,8,FALSE))</f>
        <v>1</v>
      </c>
    </row>
    <row r="249" spans="1:20" ht="21" customHeight="1">
      <c r="A249" s="2" t="str">
        <f ca="1">input_313010!A$2</f>
        <v>313010</v>
      </c>
      <c r="B249" s="7" t="str">
        <f t="shared" si="9"/>
        <v>PremiumSSSry5</v>
      </c>
      <c r="C249" s="7" t="str">
        <f t="shared" ref="C249" si="14">IF(G249="PremiumSS",G249,IF(G249="PremiumSSS",G249,"Premium"))</f>
        <v>PremiumSSS</v>
      </c>
      <c r="D249" s="7" t="str">
        <f t="shared" ref="D249" si="15">IF(I249="red","ry",IF(I249="yellow","ry","bg"))</f>
        <v>ry</v>
      </c>
      <c r="E249" s="6">
        <v>489</v>
      </c>
      <c r="F249" s="7" t="str">
        <f>VLOOKUP(E249,[1]characters!$A:$C,3,FALSE)</f>
        <v>宇宙の拡超 ハップル</v>
      </c>
      <c r="G249" s="7" t="str">
        <f>VLOOKUP(E249,[1]characters!$A:$J,10,FALSE)</f>
        <v>PremiumSSS</v>
      </c>
      <c r="H249" s="7">
        <f>VLOOKUP(E249,[1]characters!$A:$I,9,FALSE)</f>
        <v>5</v>
      </c>
      <c r="I249" s="7" t="str">
        <f>VLOOKUP(E249,[1]characters!$A:$H,8,FALSE)</f>
        <v>yellow</v>
      </c>
      <c r="J249" s="7" t="str">
        <f>VLOOKUP(E249,[1]characters!$A:$K,11,FALSE)</f>
        <v>technical</v>
      </c>
      <c r="K249" s="7" t="str">
        <f>VLOOKUP(E249,[1]characters!$A:$M,13,FALSE)</f>
        <v>human</v>
      </c>
      <c r="L249" s="7" t="str">
        <f>VLOOKUP(E249,[1]characters!$A:$G,7,FALSE)</f>
        <v>女性</v>
      </c>
      <c r="M249" s="62">
        <f ca="1">IFERROR(VLOOKUP(E249,input_313010!L:R,7,FALSE),VLOOKUP(tables_313010!B249,input_313010!A:H,8,FALSE))</f>
        <v>104895</v>
      </c>
      <c r="N249" s="63">
        <f ca="1">M249/SUM(M:M)</f>
        <v>3.7499999999999999E-3</v>
      </c>
      <c r="O249" s="31">
        <f>IFERROR(VLOOKUP($E249,bug_conf_sheet!$A:$H,3,FALSE),VLOOKUP("other",bug_conf_sheet!$A:$H,3,FALSE))</f>
        <v>1</v>
      </c>
      <c r="P249" s="31">
        <f>IFERROR(VLOOKUP($E249,bug_conf_sheet!$A:$H,4,FALSE),VLOOKUP("other",bug_conf_sheet!$A:$H,4,FALSE))</f>
        <v>0</v>
      </c>
      <c r="Q249" s="31">
        <f>IFERROR(VLOOKUP($E249,bug_conf_sheet!$A:$H,5,FALSE),VLOOKUP("other",bug_conf_sheet!$A:$H,5,FALSE))</f>
        <v>0</v>
      </c>
      <c r="R249" s="31">
        <f>IFERROR(VLOOKUP($E249,bug_conf_sheet!$A:$H,6,FALSE),VLOOKUP("other",bug_conf_sheet!$A:$H,6,FALSE))</f>
        <v>0</v>
      </c>
      <c r="S249" s="31">
        <f>IFERROR(VLOOKUP($E249,bug_conf_sheet!$A:$H,7,FALSE),VLOOKUP("other",bug_conf_sheet!$A:$H,7,FALSE))</f>
        <v>0</v>
      </c>
      <c r="T249" s="31">
        <f>IFERROR(VLOOKUP($E249,bug_conf_sheet!$A:$H,8,FALSE),VLOOKUP("other",bug_conf_sheet!$A:$H,8,FALSE))</f>
        <v>1</v>
      </c>
    </row>
    <row r="250" spans="1:20" ht="21" customHeight="1">
      <c r="A250" s="2" t="str">
        <f ca="1">input_313010!A$2</f>
        <v>313010</v>
      </c>
      <c r="B250" s="7" t="str">
        <f t="shared" si="9"/>
        <v>Premium3</v>
      </c>
      <c r="C250" s="7" t="str">
        <f t="shared" si="12"/>
        <v>Premium</v>
      </c>
      <c r="D250" s="7" t="str">
        <f t="shared" si="13"/>
        <v>ry</v>
      </c>
      <c r="E250" s="6">
        <v>668</v>
      </c>
      <c r="F250" s="7" t="str">
        <f>VLOOKUP(E250,[1]characters!$A:$C,3,FALSE)</f>
        <v>アグニ</v>
      </c>
      <c r="G250" s="7" t="str">
        <f>VLOOKUP(E250,[1]characters!$A:$J,10,FALSE)</f>
        <v>PremiumS</v>
      </c>
      <c r="H250" s="7">
        <f>VLOOKUP(E250,[1]characters!$A:$I,9,FALSE)</f>
        <v>3</v>
      </c>
      <c r="I250" s="7" t="str">
        <f>VLOOKUP(E250,[1]characters!$A:$H,8,FALSE)</f>
        <v>red</v>
      </c>
      <c r="J250" s="7" t="str">
        <f>VLOOKUP(E250,[1]characters!$A:$K,11,FALSE)</f>
        <v>hp</v>
      </c>
      <c r="K250" s="7" t="str">
        <f>VLOOKUP(E250,[1]characters!$A:$M,13,FALSE)</f>
        <v>god</v>
      </c>
      <c r="L250" s="7" t="str">
        <f>VLOOKUP(E250,[1]characters!$A:$G,7,FALSE)</f>
        <v>男性</v>
      </c>
      <c r="M250" s="62">
        <f ca="1">IFERROR(VLOOKUP(E250,input_313010!L:R,7,FALSE),VLOOKUP(tables_313010!B250,input_313010!A:H,8,FALSE))</f>
        <v>189000</v>
      </c>
      <c r="N250" s="63">
        <f ca="1">M250/SUM(M:M)</f>
        <v>6.7567567567567571E-3</v>
      </c>
      <c r="O250" s="31">
        <f>IFERROR(VLOOKUP($E250,bug_conf_sheet!$A:$H,3,FALSE),VLOOKUP("other",bug_conf_sheet!$A:$H,3,FALSE))</f>
        <v>1</v>
      </c>
      <c r="P250" s="31">
        <f>IFERROR(VLOOKUP($E250,bug_conf_sheet!$A:$H,4,FALSE),VLOOKUP("other",bug_conf_sheet!$A:$H,4,FALSE))</f>
        <v>0</v>
      </c>
      <c r="Q250" s="31">
        <f>IFERROR(VLOOKUP($E250,bug_conf_sheet!$A:$H,5,FALSE),VLOOKUP("other",bug_conf_sheet!$A:$H,5,FALSE))</f>
        <v>0</v>
      </c>
      <c r="R250" s="31">
        <f>IFERROR(VLOOKUP($E250,bug_conf_sheet!$A:$H,6,FALSE),VLOOKUP("other",bug_conf_sheet!$A:$H,6,FALSE))</f>
        <v>0</v>
      </c>
      <c r="S250" s="31">
        <f>IFERROR(VLOOKUP($E250,bug_conf_sheet!$A:$H,7,FALSE),VLOOKUP("other",bug_conf_sheet!$A:$H,7,FALSE))</f>
        <v>0</v>
      </c>
      <c r="T250" s="31">
        <f>IFERROR(VLOOKUP($E250,bug_conf_sheet!$A:$H,8,FALSE),VLOOKUP("other",bug_conf_sheet!$A:$H,8,FALSE))</f>
        <v>1</v>
      </c>
    </row>
    <row r="251" spans="1:20" ht="21" customHeight="1">
      <c r="A251" s="2" t="str">
        <f ca="1">input_313010!A$2</f>
        <v>313010</v>
      </c>
      <c r="B251" s="7" t="str">
        <f t="shared" si="9"/>
        <v>Premium4</v>
      </c>
      <c r="C251" s="7" t="str">
        <f t="shared" ref="C251:C259" si="16">IF(G251="PremiumSS",G251,IF(G251="PremiumSSS",G251,"Premium"))</f>
        <v>Premium</v>
      </c>
      <c r="D251" s="7" t="str">
        <f t="shared" ref="D251:D259" si="17">IF(I251="red","ry",IF(I251="yellow","ry","bg"))</f>
        <v>ry</v>
      </c>
      <c r="E251" s="6">
        <v>669</v>
      </c>
      <c r="F251" s="7" t="str">
        <f>VLOOKUP(E251,[1]characters!$A:$C,3,FALSE)</f>
        <v>天地の仲界 アグニ</v>
      </c>
      <c r="G251" s="7" t="str">
        <f>VLOOKUP(E251,[1]characters!$A:$J,10,FALSE)</f>
        <v>PremiumS</v>
      </c>
      <c r="H251" s="7">
        <f>VLOOKUP(E251,[1]characters!$A:$I,9,FALSE)</f>
        <v>4</v>
      </c>
      <c r="I251" s="7" t="str">
        <f>VLOOKUP(E251,[1]characters!$A:$H,8,FALSE)</f>
        <v>red</v>
      </c>
      <c r="J251" s="7" t="str">
        <f>VLOOKUP(E251,[1]characters!$A:$K,11,FALSE)</f>
        <v>hp</v>
      </c>
      <c r="K251" s="7" t="str">
        <f>VLOOKUP(E251,[1]characters!$A:$M,13,FALSE)</f>
        <v>god</v>
      </c>
      <c r="L251" s="7" t="str">
        <f>VLOOKUP(E251,[1]characters!$A:$G,7,FALSE)</f>
        <v>男性</v>
      </c>
      <c r="M251" s="62">
        <f ca="1">IFERROR(VLOOKUP(E251,input_313010!L:R,7,FALSE),VLOOKUP(tables_313010!B251,input_313010!A:H,8,FALSE))</f>
        <v>153090</v>
      </c>
      <c r="N251" s="63">
        <f ca="1">M251/SUM(M:M)</f>
        <v>5.4729729729729726E-3</v>
      </c>
      <c r="O251" s="31">
        <f>IFERROR(VLOOKUP($E251,bug_conf_sheet!$A:$H,3,FALSE),VLOOKUP("other",bug_conf_sheet!$A:$H,3,FALSE))</f>
        <v>1</v>
      </c>
      <c r="P251" s="31">
        <f>IFERROR(VLOOKUP($E251,bug_conf_sheet!$A:$H,4,FALSE),VLOOKUP("other",bug_conf_sheet!$A:$H,4,FALSE))</f>
        <v>0</v>
      </c>
      <c r="Q251" s="31">
        <f>IFERROR(VLOOKUP($E251,bug_conf_sheet!$A:$H,5,FALSE),VLOOKUP("other",bug_conf_sheet!$A:$H,5,FALSE))</f>
        <v>0</v>
      </c>
      <c r="R251" s="31">
        <f>IFERROR(VLOOKUP($E251,bug_conf_sheet!$A:$H,6,FALSE),VLOOKUP("other",bug_conf_sheet!$A:$H,6,FALSE))</f>
        <v>0</v>
      </c>
      <c r="S251" s="31">
        <f>IFERROR(VLOOKUP($E251,bug_conf_sheet!$A:$H,7,FALSE),VLOOKUP("other",bug_conf_sheet!$A:$H,7,FALSE))</f>
        <v>0</v>
      </c>
      <c r="T251" s="31">
        <f>IFERROR(VLOOKUP($E251,bug_conf_sheet!$A:$H,8,FALSE),VLOOKUP("other",bug_conf_sheet!$A:$H,8,FALSE))</f>
        <v>1</v>
      </c>
    </row>
    <row r="252" spans="1:20" ht="21" customHeight="1">
      <c r="A252" s="2" t="str">
        <f ca="1">input_313010!A$2</f>
        <v>313010</v>
      </c>
      <c r="B252" s="7" t="str">
        <f t="shared" si="9"/>
        <v>Premium5</v>
      </c>
      <c r="C252" s="7" t="str">
        <f t="shared" si="16"/>
        <v>Premium</v>
      </c>
      <c r="D252" s="7" t="str">
        <f t="shared" si="17"/>
        <v>ry</v>
      </c>
      <c r="E252" s="6">
        <v>670</v>
      </c>
      <c r="F252" s="7" t="str">
        <f>VLOOKUP(E252,[1]characters!$A:$C,3,FALSE)</f>
        <v>陽天の噴煙 アグニ</v>
      </c>
      <c r="G252" s="7" t="str">
        <f>VLOOKUP(E252,[1]characters!$A:$J,10,FALSE)</f>
        <v>PremiumS</v>
      </c>
      <c r="H252" s="7">
        <f>VLOOKUP(E252,[1]characters!$A:$I,9,FALSE)</f>
        <v>5</v>
      </c>
      <c r="I252" s="7" t="str">
        <f>VLOOKUP(E252,[1]characters!$A:$H,8,FALSE)</f>
        <v>red</v>
      </c>
      <c r="J252" s="7" t="str">
        <f>VLOOKUP(E252,[1]characters!$A:$K,11,FALSE)</f>
        <v>hp</v>
      </c>
      <c r="K252" s="7" t="str">
        <f>VLOOKUP(E252,[1]characters!$A:$M,13,FALSE)</f>
        <v>god</v>
      </c>
      <c r="L252" s="7" t="str">
        <f>VLOOKUP(E252,[1]characters!$A:$G,7,FALSE)</f>
        <v>男性</v>
      </c>
      <c r="M252" s="62">
        <f ca="1">IFERROR(VLOOKUP(E252,input_313010!L:R,7,FALSE),VLOOKUP(tables_313010!B252,input_313010!A:H,8,FALSE))</f>
        <v>18130</v>
      </c>
      <c r="N252" s="63">
        <f ca="1">M252/SUM(M:M)</f>
        <v>6.4814814814814813E-4</v>
      </c>
      <c r="O252" s="31">
        <f>IFERROR(VLOOKUP($E252,bug_conf_sheet!$A:$H,3,FALSE),VLOOKUP("other",bug_conf_sheet!$A:$H,3,FALSE))</f>
        <v>1</v>
      </c>
      <c r="P252" s="31">
        <f>IFERROR(VLOOKUP($E252,bug_conf_sheet!$A:$H,4,FALSE),VLOOKUP("other",bug_conf_sheet!$A:$H,4,FALSE))</f>
        <v>0</v>
      </c>
      <c r="Q252" s="31">
        <f>IFERROR(VLOOKUP($E252,bug_conf_sheet!$A:$H,5,FALSE),VLOOKUP("other",bug_conf_sheet!$A:$H,5,FALSE))</f>
        <v>0</v>
      </c>
      <c r="R252" s="31">
        <f>IFERROR(VLOOKUP($E252,bug_conf_sheet!$A:$H,6,FALSE),VLOOKUP("other",bug_conf_sheet!$A:$H,6,FALSE))</f>
        <v>0</v>
      </c>
      <c r="S252" s="31">
        <f>IFERROR(VLOOKUP($E252,bug_conf_sheet!$A:$H,7,FALSE),VLOOKUP("other",bug_conf_sheet!$A:$H,7,FALSE))</f>
        <v>0</v>
      </c>
      <c r="T252" s="31">
        <f>IFERROR(VLOOKUP($E252,bug_conf_sheet!$A:$H,8,FALSE),VLOOKUP("other",bug_conf_sheet!$A:$H,8,FALSE))</f>
        <v>1</v>
      </c>
    </row>
    <row r="253" spans="1:20" ht="21" customHeight="1">
      <c r="A253" s="2" t="str">
        <f ca="1">input_313010!A$2</f>
        <v>313010</v>
      </c>
      <c r="B253" s="7" t="str">
        <f t="shared" si="9"/>
        <v>Premium3</v>
      </c>
      <c r="C253" s="7" t="str">
        <f t="shared" si="16"/>
        <v>Premium</v>
      </c>
      <c r="D253" s="7" t="str">
        <f t="shared" si="17"/>
        <v>bg</v>
      </c>
      <c r="E253" s="6">
        <v>671</v>
      </c>
      <c r="F253" s="7" t="str">
        <f>VLOOKUP(E253,[1]characters!$A:$C,3,FALSE)</f>
        <v>ハヌマーン</v>
      </c>
      <c r="G253" s="7" t="str">
        <f>VLOOKUP(E253,[1]characters!$A:$J,10,FALSE)</f>
        <v>PremiumS</v>
      </c>
      <c r="H253" s="7">
        <f>VLOOKUP(E253,[1]characters!$A:$I,9,FALSE)</f>
        <v>3</v>
      </c>
      <c r="I253" s="7" t="str">
        <f>VLOOKUP(E253,[1]characters!$A:$H,8,FALSE)</f>
        <v>green</v>
      </c>
      <c r="J253" s="7" t="str">
        <f>VLOOKUP(E253,[1]characters!$A:$K,11,FALSE)</f>
        <v>attack</v>
      </c>
      <c r="K253" s="7" t="str">
        <f>VLOOKUP(E253,[1]characters!$A:$M,13,FALSE)</f>
        <v>animal</v>
      </c>
      <c r="L253" s="7" t="str">
        <f>VLOOKUP(E253,[1]characters!$A:$G,7,FALSE)</f>
        <v>男性</v>
      </c>
      <c r="M253" s="62">
        <f ca="1">IFERROR(VLOOKUP(E253,input_313010!L:R,7,FALSE),VLOOKUP(tables_313010!B253,input_313010!A:H,8,FALSE))</f>
        <v>189000</v>
      </c>
      <c r="N253" s="63">
        <f ca="1">M253/SUM(M:M)</f>
        <v>6.7567567567567571E-3</v>
      </c>
      <c r="O253" s="31">
        <f>IFERROR(VLOOKUP($E253,bug_conf_sheet!$A:$H,3,FALSE),VLOOKUP("other",bug_conf_sheet!$A:$H,3,FALSE))</f>
        <v>1</v>
      </c>
      <c r="P253" s="31">
        <f>IFERROR(VLOOKUP($E253,bug_conf_sheet!$A:$H,4,FALSE),VLOOKUP("other",bug_conf_sheet!$A:$H,4,FALSE))</f>
        <v>0</v>
      </c>
      <c r="Q253" s="31">
        <f>IFERROR(VLOOKUP($E253,bug_conf_sheet!$A:$H,5,FALSE),VLOOKUP("other",bug_conf_sheet!$A:$H,5,FALSE))</f>
        <v>0</v>
      </c>
      <c r="R253" s="31">
        <f>IFERROR(VLOOKUP($E253,bug_conf_sheet!$A:$H,6,FALSE),VLOOKUP("other",bug_conf_sheet!$A:$H,6,FALSE))</f>
        <v>0</v>
      </c>
      <c r="S253" s="31">
        <f>IFERROR(VLOOKUP($E253,bug_conf_sheet!$A:$H,7,FALSE),VLOOKUP("other",bug_conf_sheet!$A:$H,7,FALSE))</f>
        <v>0</v>
      </c>
      <c r="T253" s="31">
        <f>IFERROR(VLOOKUP($E253,bug_conf_sheet!$A:$H,8,FALSE),VLOOKUP("other",bug_conf_sheet!$A:$H,8,FALSE))</f>
        <v>1</v>
      </c>
    </row>
    <row r="254" spans="1:20" ht="21" customHeight="1">
      <c r="A254" s="2" t="str">
        <f ca="1">input_313010!A$2</f>
        <v>313010</v>
      </c>
      <c r="B254" s="7" t="str">
        <f t="shared" si="9"/>
        <v>Premium4</v>
      </c>
      <c r="C254" s="7" t="str">
        <f t="shared" si="16"/>
        <v>Premium</v>
      </c>
      <c r="D254" s="7" t="str">
        <f t="shared" si="17"/>
        <v>bg</v>
      </c>
      <c r="E254" s="6">
        <v>672</v>
      </c>
      <c r="F254" s="7" t="str">
        <f>VLOOKUP(E254,[1]characters!$A:$C,3,FALSE)</f>
        <v>西遊韋駄天 ハヌマーン</v>
      </c>
      <c r="G254" s="7" t="str">
        <f>VLOOKUP(E254,[1]characters!$A:$J,10,FALSE)</f>
        <v>PremiumS</v>
      </c>
      <c r="H254" s="7">
        <f>VLOOKUP(E254,[1]characters!$A:$I,9,FALSE)</f>
        <v>4</v>
      </c>
      <c r="I254" s="7" t="str">
        <f>VLOOKUP(E254,[1]characters!$A:$H,8,FALSE)</f>
        <v>green</v>
      </c>
      <c r="J254" s="7" t="str">
        <f>VLOOKUP(E254,[1]characters!$A:$K,11,FALSE)</f>
        <v>attack</v>
      </c>
      <c r="K254" s="7" t="str">
        <f>VLOOKUP(E254,[1]characters!$A:$M,13,FALSE)</f>
        <v>animal</v>
      </c>
      <c r="L254" s="7" t="str">
        <f>VLOOKUP(E254,[1]characters!$A:$G,7,FALSE)</f>
        <v>男性</v>
      </c>
      <c r="M254" s="62">
        <f ca="1">IFERROR(VLOOKUP(E254,input_313010!L:R,7,FALSE),VLOOKUP(tables_313010!B254,input_313010!A:H,8,FALSE))</f>
        <v>153090</v>
      </c>
      <c r="N254" s="63">
        <f ca="1">M254/SUM(M:M)</f>
        <v>5.4729729729729726E-3</v>
      </c>
      <c r="O254" s="31">
        <f>IFERROR(VLOOKUP($E254,bug_conf_sheet!$A:$H,3,FALSE),VLOOKUP("other",bug_conf_sheet!$A:$H,3,FALSE))</f>
        <v>1</v>
      </c>
      <c r="P254" s="31">
        <f>IFERROR(VLOOKUP($E254,bug_conf_sheet!$A:$H,4,FALSE),VLOOKUP("other",bug_conf_sheet!$A:$H,4,FALSE))</f>
        <v>0</v>
      </c>
      <c r="Q254" s="31">
        <f>IFERROR(VLOOKUP($E254,bug_conf_sheet!$A:$H,5,FALSE),VLOOKUP("other",bug_conf_sheet!$A:$H,5,FALSE))</f>
        <v>0</v>
      </c>
      <c r="R254" s="31">
        <f>IFERROR(VLOOKUP($E254,bug_conf_sheet!$A:$H,6,FALSE),VLOOKUP("other",bug_conf_sheet!$A:$H,6,FALSE))</f>
        <v>0</v>
      </c>
      <c r="S254" s="31">
        <f>IFERROR(VLOOKUP($E254,bug_conf_sheet!$A:$H,7,FALSE),VLOOKUP("other",bug_conf_sheet!$A:$H,7,FALSE))</f>
        <v>0</v>
      </c>
      <c r="T254" s="31">
        <f>IFERROR(VLOOKUP($E254,bug_conf_sheet!$A:$H,8,FALSE),VLOOKUP("other",bug_conf_sheet!$A:$H,8,FALSE))</f>
        <v>1</v>
      </c>
    </row>
    <row r="255" spans="1:20" ht="21" customHeight="1">
      <c r="A255" s="2" t="str">
        <f ca="1">input_313010!A$2</f>
        <v>313010</v>
      </c>
      <c r="B255" s="7" t="str">
        <f t="shared" si="9"/>
        <v>Premium5</v>
      </c>
      <c r="C255" s="7" t="str">
        <f t="shared" si="16"/>
        <v>Premium</v>
      </c>
      <c r="D255" s="7" t="str">
        <f t="shared" si="17"/>
        <v>bg</v>
      </c>
      <c r="E255" s="6">
        <v>673</v>
      </c>
      <c r="F255" s="7" t="str">
        <f>VLOOKUP(E255,[1]characters!$A:$C,3,FALSE)</f>
        <v>変幻自在の猿王 ハヌマーン</v>
      </c>
      <c r="G255" s="7" t="str">
        <f>VLOOKUP(E255,[1]characters!$A:$J,10,FALSE)</f>
        <v>PremiumS</v>
      </c>
      <c r="H255" s="7">
        <f>VLOOKUP(E255,[1]characters!$A:$I,9,FALSE)</f>
        <v>5</v>
      </c>
      <c r="I255" s="7" t="str">
        <f>VLOOKUP(E255,[1]characters!$A:$H,8,FALSE)</f>
        <v>green</v>
      </c>
      <c r="J255" s="7" t="str">
        <f>VLOOKUP(E255,[1]characters!$A:$K,11,FALSE)</f>
        <v>attack</v>
      </c>
      <c r="K255" s="7" t="str">
        <f>VLOOKUP(E255,[1]characters!$A:$M,13,FALSE)</f>
        <v>animal</v>
      </c>
      <c r="L255" s="7" t="str">
        <f>VLOOKUP(E255,[1]characters!$A:$G,7,FALSE)</f>
        <v>男性</v>
      </c>
      <c r="M255" s="62">
        <f ca="1">IFERROR(VLOOKUP(E255,input_313010!L:R,7,FALSE),VLOOKUP(tables_313010!B255,input_313010!A:H,8,FALSE))</f>
        <v>18130</v>
      </c>
      <c r="N255" s="63">
        <f ca="1">M255/SUM(M:M)</f>
        <v>6.4814814814814813E-4</v>
      </c>
      <c r="O255" s="31">
        <f>IFERROR(VLOOKUP($E255,bug_conf_sheet!$A:$H,3,FALSE),VLOOKUP("other",bug_conf_sheet!$A:$H,3,FALSE))</f>
        <v>1</v>
      </c>
      <c r="P255" s="31">
        <f>IFERROR(VLOOKUP($E255,bug_conf_sheet!$A:$H,4,FALSE),VLOOKUP("other",bug_conf_sheet!$A:$H,4,FALSE))</f>
        <v>0</v>
      </c>
      <c r="Q255" s="31">
        <f>IFERROR(VLOOKUP($E255,bug_conf_sheet!$A:$H,5,FALSE),VLOOKUP("other",bug_conf_sheet!$A:$H,5,FALSE))</f>
        <v>0</v>
      </c>
      <c r="R255" s="31">
        <f>IFERROR(VLOOKUP($E255,bug_conf_sheet!$A:$H,6,FALSE),VLOOKUP("other",bug_conf_sheet!$A:$H,6,FALSE))</f>
        <v>0</v>
      </c>
      <c r="S255" s="31">
        <f>IFERROR(VLOOKUP($E255,bug_conf_sheet!$A:$H,7,FALSE),VLOOKUP("other",bug_conf_sheet!$A:$H,7,FALSE))</f>
        <v>0</v>
      </c>
      <c r="T255" s="31">
        <f>IFERROR(VLOOKUP($E255,bug_conf_sheet!$A:$H,8,FALSE),VLOOKUP("other",bug_conf_sheet!$A:$H,8,FALSE))</f>
        <v>1</v>
      </c>
    </row>
    <row r="256" spans="1:20" ht="21" customHeight="1">
      <c r="A256" s="2" t="str">
        <f ca="1">input_313010!A$2</f>
        <v>313010</v>
      </c>
      <c r="B256" s="7" t="str">
        <f t="shared" si="9"/>
        <v>PremiumSSbg4</v>
      </c>
      <c r="C256" s="7" t="str">
        <f t="shared" si="16"/>
        <v>PremiumSS</v>
      </c>
      <c r="D256" s="7" t="str">
        <f t="shared" si="17"/>
        <v>bg</v>
      </c>
      <c r="E256" s="6">
        <v>674</v>
      </c>
      <c r="F256" s="7" t="str">
        <f>VLOOKUP(E256,[1]characters!$A:$C,3,FALSE)</f>
        <v>サラスヴァティ</v>
      </c>
      <c r="G256" s="7" t="str">
        <f>VLOOKUP(E256,[1]characters!$A:$J,10,FALSE)</f>
        <v>PremiumSS</v>
      </c>
      <c r="H256" s="7">
        <f>VLOOKUP(E256,[1]characters!$A:$I,9,FALSE)</f>
        <v>4</v>
      </c>
      <c r="I256" s="7" t="str">
        <f>VLOOKUP(E256,[1]characters!$A:$H,8,FALSE)</f>
        <v>blue</v>
      </c>
      <c r="J256" s="7" t="str">
        <f>VLOOKUP(E256,[1]characters!$A:$K,11,FALSE)</f>
        <v>balance</v>
      </c>
      <c r="K256" s="7" t="str">
        <f>VLOOKUP(E256,[1]characters!$A:$M,13,FALSE)</f>
        <v>god</v>
      </c>
      <c r="L256" s="7" t="str">
        <f>VLOOKUP(E256,[1]characters!$A:$G,7,FALSE)</f>
        <v>女性</v>
      </c>
      <c r="M256" s="62">
        <f ca="1">IFERROR(VLOOKUP(E256,input_313010!L:R,7,FALSE),VLOOKUP(tables_313010!B256,input_313010!A:H,8,FALSE))</f>
        <v>41958</v>
      </c>
      <c r="N256" s="63">
        <f ca="1">M256/SUM(M:M)</f>
        <v>1.5E-3</v>
      </c>
      <c r="O256" s="31">
        <f>IFERROR(VLOOKUP($E256,bug_conf_sheet!$A:$H,3,FALSE),VLOOKUP("other",bug_conf_sheet!$A:$H,3,FALSE))</f>
        <v>1</v>
      </c>
      <c r="P256" s="31">
        <f>IFERROR(VLOOKUP($E256,bug_conf_sheet!$A:$H,4,FALSE),VLOOKUP("other",bug_conf_sheet!$A:$H,4,FALSE))</f>
        <v>0</v>
      </c>
      <c r="Q256" s="31">
        <f>IFERROR(VLOOKUP($E256,bug_conf_sheet!$A:$H,5,FALSE),VLOOKUP("other",bug_conf_sheet!$A:$H,5,FALSE))</f>
        <v>0</v>
      </c>
      <c r="R256" s="31">
        <f>IFERROR(VLOOKUP($E256,bug_conf_sheet!$A:$H,6,FALSE),VLOOKUP("other",bug_conf_sheet!$A:$H,6,FALSE))</f>
        <v>0</v>
      </c>
      <c r="S256" s="31">
        <f>IFERROR(VLOOKUP($E256,bug_conf_sheet!$A:$H,7,FALSE),VLOOKUP("other",bug_conf_sheet!$A:$H,7,FALSE))</f>
        <v>0</v>
      </c>
      <c r="T256" s="31">
        <f>IFERROR(VLOOKUP($E256,bug_conf_sheet!$A:$H,8,FALSE),VLOOKUP("other",bug_conf_sheet!$A:$H,8,FALSE))</f>
        <v>1</v>
      </c>
    </row>
    <row r="257" spans="1:20" ht="21" customHeight="1">
      <c r="A257" s="2" t="str">
        <f ca="1">input_313010!A$2</f>
        <v>313010</v>
      </c>
      <c r="B257" s="7" t="str">
        <f t="shared" si="9"/>
        <v>PremiumSSbg5</v>
      </c>
      <c r="C257" s="7" t="str">
        <f t="shared" si="16"/>
        <v>PremiumSS</v>
      </c>
      <c r="D257" s="7" t="str">
        <f t="shared" si="17"/>
        <v>bg</v>
      </c>
      <c r="E257" s="6">
        <v>675</v>
      </c>
      <c r="F257" s="7" t="str">
        <f>VLOOKUP(E257,[1]characters!$A:$C,3,FALSE)</f>
        <v>芸楽の奔流 サラスヴァティ</v>
      </c>
      <c r="G257" s="7" t="str">
        <f>VLOOKUP(E257,[1]characters!$A:$J,10,FALSE)</f>
        <v>PremiumSS</v>
      </c>
      <c r="H257" s="7">
        <f>VLOOKUP(E257,[1]characters!$A:$I,9,FALSE)</f>
        <v>5</v>
      </c>
      <c r="I257" s="7" t="str">
        <f>VLOOKUP(E257,[1]characters!$A:$H,8,FALSE)</f>
        <v>blue</v>
      </c>
      <c r="J257" s="7" t="str">
        <f>VLOOKUP(E257,[1]characters!$A:$K,11,FALSE)</f>
        <v>balance</v>
      </c>
      <c r="K257" s="7" t="str">
        <f>VLOOKUP(E257,[1]characters!$A:$M,13,FALSE)</f>
        <v>god</v>
      </c>
      <c r="L257" s="7" t="str">
        <f>VLOOKUP(E257,[1]characters!$A:$G,7,FALSE)</f>
        <v>女性</v>
      </c>
      <c r="M257" s="62">
        <f ca="1">IFERROR(VLOOKUP(E257,input_313010!L:R,7,FALSE),VLOOKUP(tables_313010!B257,input_313010!A:H,8,FALSE))</f>
        <v>4662</v>
      </c>
      <c r="N257" s="63">
        <f ca="1">M257/SUM(M:M)</f>
        <v>1.6666666666666666E-4</v>
      </c>
      <c r="O257" s="31">
        <f>IFERROR(VLOOKUP($E257,bug_conf_sheet!$A:$H,3,FALSE),VLOOKUP("other",bug_conf_sheet!$A:$H,3,FALSE))</f>
        <v>1</v>
      </c>
      <c r="P257" s="31">
        <f>IFERROR(VLOOKUP($E257,bug_conf_sheet!$A:$H,4,FALSE),VLOOKUP("other",bug_conf_sheet!$A:$H,4,FALSE))</f>
        <v>0</v>
      </c>
      <c r="Q257" s="31">
        <f>IFERROR(VLOOKUP($E257,bug_conf_sheet!$A:$H,5,FALSE),VLOOKUP("other",bug_conf_sheet!$A:$H,5,FALSE))</f>
        <v>0</v>
      </c>
      <c r="R257" s="31">
        <f>IFERROR(VLOOKUP($E257,bug_conf_sheet!$A:$H,6,FALSE),VLOOKUP("other",bug_conf_sheet!$A:$H,6,FALSE))</f>
        <v>0</v>
      </c>
      <c r="S257" s="31">
        <f>IFERROR(VLOOKUP($E257,bug_conf_sheet!$A:$H,7,FALSE),VLOOKUP("other",bug_conf_sheet!$A:$H,7,FALSE))</f>
        <v>0</v>
      </c>
      <c r="T257" s="31">
        <f>IFERROR(VLOOKUP($E257,bug_conf_sheet!$A:$H,8,FALSE),VLOOKUP("other",bug_conf_sheet!$A:$H,8,FALSE))</f>
        <v>1</v>
      </c>
    </row>
    <row r="258" spans="1:20" ht="21" customHeight="1">
      <c r="A258" s="2" t="str">
        <f ca="1">input_313010!A$2</f>
        <v>313010</v>
      </c>
      <c r="B258" s="7" t="str">
        <f t="shared" ref="B258:B259" si="18">C258&amp;IF(C258="premium",,D258)&amp;H258</f>
        <v>PremiumSSry4</v>
      </c>
      <c r="C258" s="7" t="str">
        <f t="shared" si="16"/>
        <v>PremiumSS</v>
      </c>
      <c r="D258" s="7" t="str">
        <f t="shared" si="17"/>
        <v>ry</v>
      </c>
      <c r="E258" s="6">
        <v>676</v>
      </c>
      <c r="F258" s="7" t="str">
        <f>VLOOKUP(E258,[1]characters!$A:$C,3,FALSE)</f>
        <v>ヴィシュヌ</v>
      </c>
      <c r="G258" s="7" t="str">
        <f>VLOOKUP(E258,[1]characters!$A:$J,10,FALSE)</f>
        <v>PremiumSS</v>
      </c>
      <c r="H258" s="7">
        <f>VLOOKUP(E258,[1]characters!$A:$I,9,FALSE)</f>
        <v>4</v>
      </c>
      <c r="I258" s="7" t="str">
        <f>VLOOKUP(E258,[1]characters!$A:$H,8,FALSE)</f>
        <v>yellow</v>
      </c>
      <c r="J258" s="7" t="str">
        <f>VLOOKUP(E258,[1]characters!$A:$K,11,FALSE)</f>
        <v>attack</v>
      </c>
      <c r="K258" s="7" t="str">
        <f>VLOOKUP(E258,[1]characters!$A:$M,13,FALSE)</f>
        <v>god</v>
      </c>
      <c r="L258" s="7" t="str">
        <f>VLOOKUP(E258,[1]characters!$A:$G,7,FALSE)</f>
        <v>女性</v>
      </c>
      <c r="M258" s="62">
        <f ca="1">IFERROR(VLOOKUP(E258,input_313010!L:R,7,FALSE),VLOOKUP(tables_313010!B258,input_313010!A:H,8,FALSE))</f>
        <v>53946</v>
      </c>
      <c r="N258" s="63">
        <f ca="1">M258/SUM(M:M)</f>
        <v>1.9285714285714286E-3</v>
      </c>
      <c r="O258" s="31">
        <f>IFERROR(VLOOKUP($E258,bug_conf_sheet!$A:$H,3,FALSE),VLOOKUP("other",bug_conf_sheet!$A:$H,3,FALSE))</f>
        <v>1</v>
      </c>
      <c r="P258" s="31">
        <f>IFERROR(VLOOKUP($E258,bug_conf_sheet!$A:$H,4,FALSE),VLOOKUP("other",bug_conf_sheet!$A:$H,4,FALSE))</f>
        <v>0</v>
      </c>
      <c r="Q258" s="31">
        <f>IFERROR(VLOOKUP($E258,bug_conf_sheet!$A:$H,5,FALSE),VLOOKUP("other",bug_conf_sheet!$A:$H,5,FALSE))</f>
        <v>0</v>
      </c>
      <c r="R258" s="31">
        <f>IFERROR(VLOOKUP($E258,bug_conf_sheet!$A:$H,6,FALSE),VLOOKUP("other",bug_conf_sheet!$A:$H,6,FALSE))</f>
        <v>0</v>
      </c>
      <c r="S258" s="31">
        <f>IFERROR(VLOOKUP($E258,bug_conf_sheet!$A:$H,7,FALSE),VLOOKUP("other",bug_conf_sheet!$A:$H,7,FALSE))</f>
        <v>0</v>
      </c>
      <c r="T258" s="31">
        <f>IFERROR(VLOOKUP($E258,bug_conf_sheet!$A:$H,8,FALSE),VLOOKUP("other",bug_conf_sheet!$A:$H,8,FALSE))</f>
        <v>1</v>
      </c>
    </row>
    <row r="259" spans="1:20" ht="21" customHeight="1">
      <c r="A259" s="2" t="str">
        <f ca="1">input_313010!A$2</f>
        <v>313010</v>
      </c>
      <c r="B259" s="7" t="str">
        <f t="shared" si="18"/>
        <v>PremiumSSry5</v>
      </c>
      <c r="C259" s="7" t="str">
        <f t="shared" si="16"/>
        <v>PremiumSS</v>
      </c>
      <c r="D259" s="7" t="str">
        <f t="shared" si="17"/>
        <v>ry</v>
      </c>
      <c r="E259" s="6">
        <v>677</v>
      </c>
      <c r="F259" s="7" t="str">
        <f>VLOOKUP(E259,[1]characters!$A:$C,3,FALSE)</f>
        <v>武遊闊歩 ヴィシュヌ</v>
      </c>
      <c r="G259" s="7" t="str">
        <f>VLOOKUP(E259,[1]characters!$A:$J,10,FALSE)</f>
        <v>PremiumSS</v>
      </c>
      <c r="H259" s="7">
        <f>VLOOKUP(E259,[1]characters!$A:$I,9,FALSE)</f>
        <v>5</v>
      </c>
      <c r="I259" s="7" t="str">
        <f>VLOOKUP(E259,[1]characters!$A:$H,8,FALSE)</f>
        <v>yellow</v>
      </c>
      <c r="J259" s="7" t="str">
        <f>VLOOKUP(E259,[1]characters!$A:$K,11,FALSE)</f>
        <v>attack</v>
      </c>
      <c r="K259" s="7" t="str">
        <f>VLOOKUP(E259,[1]characters!$A:$M,13,FALSE)</f>
        <v>god</v>
      </c>
      <c r="L259" s="7" t="str">
        <f>VLOOKUP(E259,[1]characters!$A:$G,7,FALSE)</f>
        <v>女性</v>
      </c>
      <c r="M259" s="62">
        <f ca="1">IFERROR(VLOOKUP(E259,input_313010!L:R,7,FALSE),VLOOKUP(tables_313010!B259,input_313010!A:H,8,FALSE))</f>
        <v>5994</v>
      </c>
      <c r="N259" s="63">
        <f ca="1">M259/SUM(M:M)</f>
        <v>2.1428571428571427E-4</v>
      </c>
      <c r="O259" s="31">
        <f>IFERROR(VLOOKUP($E259,bug_conf_sheet!$A:$H,3,FALSE),VLOOKUP("other",bug_conf_sheet!$A:$H,3,FALSE))</f>
        <v>1</v>
      </c>
      <c r="P259" s="31">
        <f>IFERROR(VLOOKUP($E259,bug_conf_sheet!$A:$H,4,FALSE),VLOOKUP("other",bug_conf_sheet!$A:$H,4,FALSE))</f>
        <v>0</v>
      </c>
      <c r="Q259" s="31">
        <f>IFERROR(VLOOKUP($E259,bug_conf_sheet!$A:$H,5,FALSE),VLOOKUP("other",bug_conf_sheet!$A:$H,5,FALSE))</f>
        <v>0</v>
      </c>
      <c r="R259" s="31">
        <f>IFERROR(VLOOKUP($E259,bug_conf_sheet!$A:$H,6,FALSE),VLOOKUP("other",bug_conf_sheet!$A:$H,6,FALSE))</f>
        <v>0</v>
      </c>
      <c r="S259" s="31">
        <f>IFERROR(VLOOKUP($E259,bug_conf_sheet!$A:$H,7,FALSE),VLOOKUP("other",bug_conf_sheet!$A:$H,7,FALSE))</f>
        <v>0</v>
      </c>
      <c r="T259" s="31">
        <f>IFERROR(VLOOKUP($E259,bug_conf_sheet!$A:$H,8,FALSE),VLOOKUP("other",bug_conf_sheet!$A:$H,8,FALSE))</f>
        <v>1</v>
      </c>
    </row>
  </sheetData>
  <sortState ref="A2:U189">
    <sortCondition ref="A2:A189"/>
    <sortCondition ref="E2:E189"/>
  </sortState>
  <phoneticPr fontId="15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5"/>
  </sheetPr>
  <dimension ref="A1:R51"/>
  <sheetViews>
    <sheetView workbookViewId="0">
      <selection activeCell="E17" sqref="E17:E27"/>
    </sheetView>
  </sheetViews>
  <sheetFormatPr baseColWidth="12" defaultRowHeight="14" x14ac:dyDescent="0"/>
  <sheetData>
    <row r="1" spans="1:18">
      <c r="A1" s="66" t="s">
        <v>101</v>
      </c>
      <c r="B1" s="66"/>
    </row>
    <row r="2" spans="1:18">
      <c r="A2" t="str">
        <f ca="1">RIGHT(RIGHT(CELL("filename",A2),LEN(CELL("filename",A2))-FIND("]",CELL("filename",A2))),6)</f>
        <v>313101</v>
      </c>
    </row>
    <row r="4" spans="1:18">
      <c r="A4" s="49" t="s">
        <v>69</v>
      </c>
      <c r="B4" s="49"/>
    </row>
    <row r="5" spans="1:18">
      <c r="A5" s="47" t="s">
        <v>86</v>
      </c>
      <c r="B5" s="48">
        <f>1-B6-B7</f>
        <v>0</v>
      </c>
    </row>
    <row r="6" spans="1:18">
      <c r="A6" s="47" t="s">
        <v>87</v>
      </c>
      <c r="B6" s="48">
        <v>0.95</v>
      </c>
    </row>
    <row r="7" spans="1:18">
      <c r="A7" s="47" t="s">
        <v>88</v>
      </c>
      <c r="B7" s="48">
        <v>0.05</v>
      </c>
    </row>
    <row r="9" spans="1:18">
      <c r="A9" s="50" t="s">
        <v>70</v>
      </c>
      <c r="B9" s="50"/>
    </row>
    <row r="10" spans="1:18">
      <c r="A10" s="47" t="s">
        <v>116</v>
      </c>
      <c r="B10" s="48">
        <f>1-B11-B12</f>
        <v>0.92999999999999994</v>
      </c>
    </row>
    <row r="11" spans="1:18">
      <c r="A11" s="47" t="s">
        <v>72</v>
      </c>
      <c r="B11" s="48">
        <v>0.05</v>
      </c>
    </row>
    <row r="12" spans="1:18">
      <c r="A12" s="47" t="s">
        <v>71</v>
      </c>
      <c r="B12" s="48">
        <v>0.02</v>
      </c>
    </row>
    <row r="15" spans="1:18">
      <c r="A15" s="52" t="s">
        <v>74</v>
      </c>
      <c r="B15" s="52"/>
      <c r="C15" t="s">
        <v>102</v>
      </c>
      <c r="L15" s="54" t="s">
        <v>79</v>
      </c>
      <c r="M15" s="54"/>
    </row>
    <row r="16" spans="1:18">
      <c r="A16" s="47" t="s">
        <v>77</v>
      </c>
      <c r="B16" s="47" t="s">
        <v>78</v>
      </c>
      <c r="C16" s="53" t="s">
        <v>79</v>
      </c>
      <c r="D16" s="53" t="s">
        <v>80</v>
      </c>
      <c r="E16" t="s">
        <v>90</v>
      </c>
      <c r="F16" t="s">
        <v>89</v>
      </c>
      <c r="G16" t="s">
        <v>92</v>
      </c>
      <c r="H16" t="s">
        <v>91</v>
      </c>
      <c r="I16" t="s">
        <v>93</v>
      </c>
      <c r="J16" t="s">
        <v>96</v>
      </c>
      <c r="L16" s="47" t="s">
        <v>1</v>
      </c>
      <c r="M16" s="53" t="s">
        <v>83</v>
      </c>
      <c r="N16" s="47" t="s">
        <v>81</v>
      </c>
      <c r="O16" s="53" t="s">
        <v>84</v>
      </c>
      <c r="P16" s="53" t="s">
        <v>85</v>
      </c>
      <c r="Q16" s="53" t="s">
        <v>82</v>
      </c>
      <c r="R16" s="61" t="s">
        <v>91</v>
      </c>
    </row>
    <row r="17" spans="1:17">
      <c r="A17" s="47" t="s">
        <v>117</v>
      </c>
      <c r="B17" s="79">
        <f>B5</f>
        <v>0</v>
      </c>
      <c r="C17" s="65">
        <f>SUMIF(Q:Q,A17,N:N)</f>
        <v>0</v>
      </c>
      <c r="D17" s="58">
        <f t="shared" ref="D17:D28" si="0">B17-C17</f>
        <v>0</v>
      </c>
      <c r="E17">
        <f>COUNTIF(tables_313101!B:B,input_313101!A17)-COUNTIF(Q:Q,A17)</f>
        <v>74</v>
      </c>
      <c r="F17" s="60">
        <f t="shared" ref="F17:F27" si="1">IFERROR(D17/E17,0)</f>
        <v>0</v>
      </c>
      <c r="G17">
        <f>A$36*D17</f>
        <v>0</v>
      </c>
      <c r="H17">
        <f t="shared" ref="H17:H27" si="2">IFERROR(ROUND(G17/E17,5),0)</f>
        <v>0</v>
      </c>
      <c r="I17">
        <f>MOD(H17,1)</f>
        <v>0</v>
      </c>
      <c r="J17">
        <f t="shared" ref="J17:J27" si="3">IFERROR(1/I17,1)</f>
        <v>1</v>
      </c>
      <c r="L17" s="47"/>
      <c r="M17" s="53"/>
      <c r="N17" s="51"/>
      <c r="O17" s="53"/>
      <c r="P17" s="53"/>
      <c r="Q17" s="53"/>
    </row>
    <row r="18" spans="1:17">
      <c r="A18" s="47" t="s">
        <v>118</v>
      </c>
      <c r="B18" s="78">
        <f>B6-B19-B20-B21-B22</f>
        <v>0.90499999999999992</v>
      </c>
      <c r="C18" s="65">
        <f>SUMIF(Q:Q,A18,N:N)</f>
        <v>0</v>
      </c>
      <c r="D18" s="58">
        <f t="shared" si="0"/>
        <v>0.90499999999999992</v>
      </c>
      <c r="E18">
        <f>COUNTIF(tables_313101!B:B,input_313101!A18)-COUNTIF(Q:Q,A18)</f>
        <v>74</v>
      </c>
      <c r="F18" s="60">
        <f t="shared" si="1"/>
        <v>1.2229729729729728E-2</v>
      </c>
      <c r="G18">
        <f>A$36*D18</f>
        <v>25314659.999999996</v>
      </c>
      <c r="H18">
        <f t="shared" si="2"/>
        <v>342090</v>
      </c>
      <c r="I18">
        <f t="shared" ref="I18:I27" si="4">MOD(H18,1)</f>
        <v>0</v>
      </c>
      <c r="J18">
        <f t="shared" si="3"/>
        <v>1</v>
      </c>
      <c r="L18" s="47"/>
      <c r="M18" s="53"/>
      <c r="N18" s="51"/>
      <c r="O18" s="53"/>
      <c r="P18" s="53"/>
      <c r="Q18" s="53"/>
    </row>
    <row r="19" spans="1:17">
      <c r="A19" s="47" t="s">
        <v>128</v>
      </c>
      <c r="B19" s="75">
        <f>1.8%*1.5</f>
        <v>2.7000000000000003E-2</v>
      </c>
      <c r="C19" s="65">
        <f>SUMIF(Q:Q,A19,N:N)</f>
        <v>0</v>
      </c>
      <c r="D19" s="58">
        <f t="shared" si="0"/>
        <v>2.7000000000000003E-2</v>
      </c>
      <c r="E19">
        <f>COUNTIF(tables_313101!B:B,input_313101!A19)-COUNTIF(Q:Q,A19)</f>
        <v>14</v>
      </c>
      <c r="F19" s="60">
        <f t="shared" si="1"/>
        <v>1.9285714285714288E-3</v>
      </c>
      <c r="G19">
        <f>A$36*D19</f>
        <v>755244.00000000012</v>
      </c>
      <c r="H19">
        <f t="shared" si="2"/>
        <v>53946</v>
      </c>
      <c r="I19">
        <f t="shared" si="4"/>
        <v>0</v>
      </c>
      <c r="J19">
        <f t="shared" si="3"/>
        <v>1</v>
      </c>
      <c r="L19" s="47"/>
      <c r="M19" s="53"/>
      <c r="N19" s="51"/>
      <c r="O19" s="53"/>
      <c r="P19" s="53"/>
      <c r="Q19" s="53"/>
    </row>
    <row r="20" spans="1:17">
      <c r="A20" s="47" t="s">
        <v>130</v>
      </c>
      <c r="B20" s="75">
        <v>1.7999999999999999E-2</v>
      </c>
      <c r="C20" s="65">
        <f t="shared" ref="C20:C27" si="5">SUMIF(Q:Q,A20,N:N)</f>
        <v>0</v>
      </c>
      <c r="D20" s="58">
        <f t="shared" si="0"/>
        <v>1.7999999999999999E-2</v>
      </c>
      <c r="E20">
        <f>COUNTIF(tables_313101!B:B,input_313101!A20)-COUNTIF(Q:Q,A20)</f>
        <v>12</v>
      </c>
      <c r="F20" s="60">
        <f t="shared" si="1"/>
        <v>1.4999999999999998E-3</v>
      </c>
      <c r="G20">
        <f>A$36*D20</f>
        <v>503495.99999999994</v>
      </c>
      <c r="H20">
        <f t="shared" si="2"/>
        <v>41958</v>
      </c>
      <c r="I20">
        <f t="shared" si="4"/>
        <v>0</v>
      </c>
      <c r="J20">
        <f t="shared" si="3"/>
        <v>1</v>
      </c>
      <c r="L20" s="47"/>
      <c r="M20" s="53"/>
      <c r="N20" s="51"/>
      <c r="O20" s="53"/>
      <c r="P20" s="53"/>
      <c r="Q20" s="53"/>
    </row>
    <row r="21" spans="1:17">
      <c r="A21" s="47" t="s">
        <v>132</v>
      </c>
      <c r="B21" s="76">
        <v>0</v>
      </c>
      <c r="C21" s="65">
        <f t="shared" si="5"/>
        <v>0</v>
      </c>
      <c r="D21" s="58">
        <f t="shared" si="0"/>
        <v>0</v>
      </c>
      <c r="E21">
        <f>COUNTIF(tables_313101!B:B,input_313101!A21)-COUNTIF(Q:Q,A21)</f>
        <v>0</v>
      </c>
      <c r="F21" s="60">
        <f t="shared" si="1"/>
        <v>0</v>
      </c>
      <c r="G21">
        <f t="shared" ref="G21:G27" si="6">A$36*D21</f>
        <v>0</v>
      </c>
      <c r="H21">
        <f t="shared" si="2"/>
        <v>0</v>
      </c>
      <c r="I21">
        <f t="shared" si="4"/>
        <v>0</v>
      </c>
      <c r="J21">
        <f t="shared" si="3"/>
        <v>1</v>
      </c>
      <c r="L21" s="47"/>
      <c r="M21" s="53"/>
      <c r="N21" s="51"/>
      <c r="O21" s="53"/>
      <c r="P21" s="53"/>
      <c r="Q21" s="53"/>
    </row>
    <row r="22" spans="1:17">
      <c r="A22" s="47" t="s">
        <v>134</v>
      </c>
      <c r="B22" s="76">
        <v>0</v>
      </c>
      <c r="C22" s="65">
        <f t="shared" si="5"/>
        <v>0</v>
      </c>
      <c r="D22" s="58">
        <f t="shared" si="0"/>
        <v>0</v>
      </c>
      <c r="E22">
        <f>COUNTIF(tables_313101!B:B,input_313101!A22)-COUNTIF(Q:Q,A22)</f>
        <v>0</v>
      </c>
      <c r="F22" s="60">
        <f t="shared" si="1"/>
        <v>0</v>
      </c>
      <c r="G22">
        <f t="shared" si="6"/>
        <v>0</v>
      </c>
      <c r="H22">
        <f t="shared" si="2"/>
        <v>0</v>
      </c>
      <c r="I22">
        <f t="shared" si="4"/>
        <v>0</v>
      </c>
      <c r="J22">
        <f t="shared" si="3"/>
        <v>1</v>
      </c>
      <c r="L22" s="47"/>
      <c r="M22" s="53"/>
      <c r="N22" s="51"/>
      <c r="O22" s="53"/>
      <c r="P22" s="53"/>
      <c r="Q22" s="53"/>
    </row>
    <row r="23" spans="1:17">
      <c r="A23" s="47" t="s">
        <v>119</v>
      </c>
      <c r="B23" s="77">
        <f>B7-B24-B25-B26-B27</f>
        <v>3.4999999999999996E-2</v>
      </c>
      <c r="C23" s="65">
        <f t="shared" si="5"/>
        <v>0</v>
      </c>
      <c r="D23" s="58">
        <f t="shared" si="0"/>
        <v>3.4999999999999996E-2</v>
      </c>
      <c r="E23">
        <f>COUNTIF(tables_313101!B:B,input_313101!A23)-COUNTIF(Q:Q,A23)</f>
        <v>54</v>
      </c>
      <c r="F23" s="60">
        <f t="shared" si="1"/>
        <v>6.4814814814814813E-4</v>
      </c>
      <c r="G23">
        <f>A$36*D23</f>
        <v>979019.99999999988</v>
      </c>
      <c r="H23">
        <f t="shared" si="2"/>
        <v>18130</v>
      </c>
      <c r="I23">
        <f t="shared" si="4"/>
        <v>0</v>
      </c>
      <c r="J23">
        <f t="shared" si="3"/>
        <v>1</v>
      </c>
      <c r="L23" s="47"/>
      <c r="M23" s="53"/>
      <c r="N23" s="47"/>
      <c r="O23" s="53"/>
      <c r="P23" s="53"/>
      <c r="Q23" s="53"/>
    </row>
    <row r="24" spans="1:17">
      <c r="A24" s="47" t="s">
        <v>136</v>
      </c>
      <c r="B24" s="74">
        <v>3.0000000000000001E-3</v>
      </c>
      <c r="C24" s="65">
        <f t="shared" si="5"/>
        <v>0</v>
      </c>
      <c r="D24" s="58">
        <f t="shared" si="0"/>
        <v>3.0000000000000001E-3</v>
      </c>
      <c r="E24">
        <f>COUNTIF(tables_313101!B:B,input_313101!A24)-COUNTIF(Q:Q,A24)</f>
        <v>14</v>
      </c>
      <c r="F24" s="60">
        <f t="shared" si="1"/>
        <v>2.142857142857143E-4</v>
      </c>
      <c r="G24">
        <f t="shared" si="6"/>
        <v>83916</v>
      </c>
      <c r="H24">
        <f t="shared" si="2"/>
        <v>5994</v>
      </c>
      <c r="I24">
        <f t="shared" si="4"/>
        <v>0</v>
      </c>
      <c r="J24">
        <f t="shared" si="3"/>
        <v>1</v>
      </c>
      <c r="L24" s="47"/>
      <c r="M24" s="53"/>
      <c r="N24" s="47"/>
      <c r="O24" s="53"/>
      <c r="P24" s="53"/>
      <c r="Q24" s="53"/>
    </row>
    <row r="25" spans="1:17">
      <c r="A25" s="47" t="s">
        <v>138</v>
      </c>
      <c r="B25" s="74">
        <v>2E-3</v>
      </c>
      <c r="C25" s="65">
        <f t="shared" si="5"/>
        <v>0</v>
      </c>
      <c r="D25" s="58">
        <f t="shared" si="0"/>
        <v>2E-3</v>
      </c>
      <c r="E25">
        <f>COUNTIF(tables_313101!B:B,input_313101!A25)-COUNTIF(Q:Q,A25)</f>
        <v>12</v>
      </c>
      <c r="F25" s="60">
        <f t="shared" si="1"/>
        <v>1.6666666666666666E-4</v>
      </c>
      <c r="G25">
        <f t="shared" si="6"/>
        <v>55944</v>
      </c>
      <c r="H25">
        <f t="shared" si="2"/>
        <v>4662</v>
      </c>
      <c r="I25">
        <f t="shared" si="4"/>
        <v>0</v>
      </c>
      <c r="J25">
        <f t="shared" si="3"/>
        <v>1</v>
      </c>
      <c r="L25" s="47"/>
      <c r="M25" s="53"/>
      <c r="N25" s="47"/>
      <c r="O25" s="53"/>
      <c r="P25" s="53"/>
      <c r="Q25" s="53"/>
    </row>
    <row r="26" spans="1:17">
      <c r="A26" s="47" t="s">
        <v>140</v>
      </c>
      <c r="B26" s="74">
        <f>1.5%/2</f>
        <v>7.4999999999999997E-3</v>
      </c>
      <c r="C26" s="65">
        <f t="shared" si="5"/>
        <v>0</v>
      </c>
      <c r="D26" s="58">
        <f t="shared" si="0"/>
        <v>7.4999999999999997E-3</v>
      </c>
      <c r="E26">
        <f>COUNTIF(tables_313101!B:B,input_313101!A26)-COUNTIF(Q:Q,A26)</f>
        <v>2</v>
      </c>
      <c r="F26" s="60">
        <f t="shared" si="1"/>
        <v>3.7499999999999999E-3</v>
      </c>
      <c r="G26">
        <f t="shared" si="6"/>
        <v>209790</v>
      </c>
      <c r="H26">
        <f t="shared" si="2"/>
        <v>104895</v>
      </c>
      <c r="I26">
        <f t="shared" si="4"/>
        <v>0</v>
      </c>
      <c r="J26">
        <f t="shared" si="3"/>
        <v>1</v>
      </c>
      <c r="L26" s="47"/>
      <c r="M26" s="53"/>
      <c r="N26" s="47"/>
      <c r="O26" s="53"/>
      <c r="P26" s="53"/>
      <c r="Q26" s="53"/>
    </row>
    <row r="27" spans="1:17">
      <c r="A27" s="47" t="s">
        <v>142</v>
      </c>
      <c r="B27" s="74">
        <f>0.5%/2</f>
        <v>2.5000000000000001E-3</v>
      </c>
      <c r="C27" s="65">
        <f t="shared" si="5"/>
        <v>0</v>
      </c>
      <c r="D27" s="58">
        <f t="shared" si="0"/>
        <v>2.5000000000000001E-3</v>
      </c>
      <c r="E27">
        <f>COUNTIF(tables_313101!B:B,input_313101!A27)-COUNTIF(Q:Q,A27)</f>
        <v>2</v>
      </c>
      <c r="F27" s="60">
        <f t="shared" si="1"/>
        <v>1.25E-3</v>
      </c>
      <c r="G27">
        <f t="shared" si="6"/>
        <v>69930</v>
      </c>
      <c r="H27">
        <f t="shared" si="2"/>
        <v>34965</v>
      </c>
      <c r="I27">
        <f t="shared" si="4"/>
        <v>0</v>
      </c>
      <c r="J27">
        <f t="shared" si="3"/>
        <v>1</v>
      </c>
      <c r="L27" s="47"/>
      <c r="M27" s="53"/>
      <c r="N27" s="47"/>
      <c r="O27" s="53"/>
      <c r="P27" s="53"/>
      <c r="Q27" s="53"/>
    </row>
    <row r="28" spans="1:17">
      <c r="A28" s="55" t="s">
        <v>76</v>
      </c>
      <c r="B28" s="56">
        <f>SUM(B17:B27)</f>
        <v>0.99999999999999989</v>
      </c>
      <c r="C28" s="57">
        <f>SUM(C17:C26)</f>
        <v>0</v>
      </c>
      <c r="D28" s="59">
        <f t="shared" si="0"/>
        <v>0.99999999999999989</v>
      </c>
      <c r="L28" s="47"/>
      <c r="M28" s="53"/>
      <c r="N28" s="47"/>
      <c r="O28" s="53"/>
      <c r="P28" s="53"/>
      <c r="Q28" s="53"/>
    </row>
    <row r="35" spans="1:6">
      <c r="A35" t="s">
        <v>91</v>
      </c>
    </row>
    <row r="36" spans="1:6">
      <c r="A36" s="34">
        <f>14*54*74*250*2</f>
        <v>27972000</v>
      </c>
    </row>
    <row r="38" spans="1:6">
      <c r="A38" s="64" t="s">
        <v>95</v>
      </c>
    </row>
    <row r="39" spans="1:6">
      <c r="A39" s="47" t="s">
        <v>77</v>
      </c>
      <c r="B39" t="s">
        <v>92</v>
      </c>
      <c r="C39" t="s">
        <v>120</v>
      </c>
      <c r="E39" t="s">
        <v>121</v>
      </c>
    </row>
    <row r="40" spans="1:6">
      <c r="A40" s="47" t="s">
        <v>143</v>
      </c>
      <c r="B40">
        <f ca="1">SUMIF(tables_313101!B:B,input_313101!A40,tables_313101!M:M)</f>
        <v>0</v>
      </c>
      <c r="C40" s="72">
        <f ca="1">B40/B$51</f>
        <v>0</v>
      </c>
      <c r="E40">
        <v>3</v>
      </c>
      <c r="F40" s="73">
        <f ca="1">C40</f>
        <v>0</v>
      </c>
    </row>
    <row r="41" spans="1:6">
      <c r="A41" s="47" t="s">
        <v>144</v>
      </c>
      <c r="B41">
        <f ca="1">SUMIF(tables_313101!B:B,input_313101!A41,tables_313101!M:M)</f>
        <v>25314660</v>
      </c>
      <c r="C41" s="72">
        <f t="shared" ref="C41:C50" ca="1" si="7">B41/B$51</f>
        <v>0.90500000000000003</v>
      </c>
      <c r="E41">
        <v>4</v>
      </c>
      <c r="F41" s="73">
        <f ca="1">SUM(C41:C45)</f>
        <v>0.95000000000000007</v>
      </c>
    </row>
    <row r="42" spans="1:6">
      <c r="A42" s="47" t="s">
        <v>127</v>
      </c>
      <c r="B42">
        <f ca="1">SUMIF(tables_313101!B:B,input_313101!A42,tables_313101!M:M)</f>
        <v>755244</v>
      </c>
      <c r="C42" s="72">
        <f t="shared" ca="1" si="7"/>
        <v>2.7E-2</v>
      </c>
      <c r="E42">
        <v>5</v>
      </c>
      <c r="F42" s="73">
        <f ca="1">SUM(C46:C50)</f>
        <v>5.000000000000001E-2</v>
      </c>
    </row>
    <row r="43" spans="1:6">
      <c r="A43" s="47" t="s">
        <v>129</v>
      </c>
      <c r="B43">
        <f ca="1">SUMIF(tables_313101!B:B,input_313101!A43,tables_313101!M:M)</f>
        <v>503496</v>
      </c>
      <c r="C43" s="72">
        <f t="shared" ca="1" si="7"/>
        <v>1.7999999999999999E-2</v>
      </c>
      <c r="F43" s="73"/>
    </row>
    <row r="44" spans="1:6">
      <c r="A44" s="47" t="s">
        <v>131</v>
      </c>
      <c r="B44">
        <f>SUMIF(tables_313101!B:B,input_313101!A44,tables_313101!M:M)</f>
        <v>0</v>
      </c>
      <c r="C44" s="72">
        <f t="shared" ca="1" si="7"/>
        <v>0</v>
      </c>
    </row>
    <row r="45" spans="1:6">
      <c r="A45" s="47" t="s">
        <v>133</v>
      </c>
      <c r="B45">
        <f>SUMIF(tables_313101!B:B,input_313101!A45,tables_313101!M:M)</f>
        <v>0</v>
      </c>
      <c r="C45" s="72">
        <f t="shared" ca="1" si="7"/>
        <v>0</v>
      </c>
    </row>
    <row r="46" spans="1:6">
      <c r="A46" s="47" t="s">
        <v>145</v>
      </c>
      <c r="B46">
        <f ca="1">SUMIF(tables_313101!B:B,input_313101!A46,tables_313101!M:M)</f>
        <v>979020</v>
      </c>
      <c r="C46" s="72">
        <f t="shared" ca="1" si="7"/>
        <v>3.5000000000000003E-2</v>
      </c>
      <c r="E46" t="s">
        <v>70</v>
      </c>
    </row>
    <row r="47" spans="1:6">
      <c r="A47" s="47" t="s">
        <v>135</v>
      </c>
      <c r="B47">
        <f ca="1">SUMIF(tables_313101!B:B,input_313101!A47,tables_313101!M:M)</f>
        <v>83916</v>
      </c>
      <c r="C47" s="72">
        <f ca="1">B47/B$51</f>
        <v>3.0000000000000001E-3</v>
      </c>
      <c r="E47" t="s">
        <v>123</v>
      </c>
      <c r="F47" s="73">
        <f ca="1">C40+C41+C46</f>
        <v>0.94000000000000006</v>
      </c>
    </row>
    <row r="48" spans="1:6">
      <c r="A48" s="47" t="s">
        <v>137</v>
      </c>
      <c r="B48">
        <f ca="1">SUMIF(tables_313101!B:B,input_313101!A48,tables_313101!M:M)</f>
        <v>55944</v>
      </c>
      <c r="C48" s="72">
        <f t="shared" ca="1" si="7"/>
        <v>2E-3</v>
      </c>
      <c r="F48" s="73"/>
    </row>
    <row r="49" spans="1:6">
      <c r="A49" s="47" t="s">
        <v>139</v>
      </c>
      <c r="B49">
        <f ca="1">SUMIF(tables_313101!B:B,input_313101!A49,tables_313101!M:M)</f>
        <v>209790</v>
      </c>
      <c r="C49" s="72">
        <f t="shared" ca="1" si="7"/>
        <v>7.4999999999999997E-3</v>
      </c>
      <c r="F49" s="73"/>
    </row>
    <row r="50" spans="1:6">
      <c r="A50" s="47" t="s">
        <v>141</v>
      </c>
      <c r="B50">
        <f ca="1">SUMIF(tables_313101!B:B,input_313101!A50,tables_313101!M:M)</f>
        <v>69930</v>
      </c>
      <c r="C50" s="72">
        <f t="shared" ca="1" si="7"/>
        <v>2.5000000000000001E-3</v>
      </c>
      <c r="E50" t="s">
        <v>124</v>
      </c>
      <c r="F50" s="73">
        <f ca="1">C42+C43+C47+C48</f>
        <v>0.05</v>
      </c>
    </row>
    <row r="51" spans="1:6">
      <c r="A51" s="55" t="s">
        <v>76</v>
      </c>
      <c r="B51">
        <f ca="1">SUM(B40:B50)</f>
        <v>27972000</v>
      </c>
      <c r="E51" t="s">
        <v>125</v>
      </c>
      <c r="F51" s="73">
        <f ca="1">C44+C45+C49+C50</f>
        <v>0.01</v>
      </c>
    </row>
  </sheetData>
  <phoneticPr fontId="15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T259"/>
  <sheetViews>
    <sheetView showGridLines="0" zoomScale="75" zoomScaleNormal="75" zoomScalePageLayoutView="75" workbookViewId="0">
      <pane ySplit="1" topLeftCell="A235" activePane="bottomLeft" state="frozen"/>
      <selection activeCell="M2" sqref="M2"/>
      <selection pane="bottomLeft" activeCell="B246" sqref="B246:B259"/>
    </sheetView>
  </sheetViews>
  <sheetFormatPr baseColWidth="12" defaultRowHeight="21" customHeight="1" outlineLevelCol="1" x14ac:dyDescent="0"/>
  <cols>
    <col min="1" max="1" width="12.6640625" style="1" bestFit="1" customWidth="1"/>
    <col min="2" max="2" width="17.6640625" style="1" bestFit="1" customWidth="1" outlineLevel="1"/>
    <col min="3" max="4" width="17.6640625" style="1" customWidth="1" outlineLevel="1"/>
    <col min="5" max="5" width="10.5" style="1" customWidth="1"/>
    <col min="6" max="6" width="23.33203125" style="1" customWidth="1" outlineLevel="1"/>
    <col min="7" max="7" width="13.6640625" style="1" customWidth="1" outlineLevel="1"/>
    <col min="8" max="8" width="9.6640625" style="1" customWidth="1" outlineLevel="1"/>
    <col min="9" max="9" width="10.5" style="4" customWidth="1" outlineLevel="1"/>
    <col min="10" max="10" width="18.83203125" style="1" customWidth="1" outlineLevel="1"/>
    <col min="11" max="12" width="19" style="1" customWidth="1" outlineLevel="1"/>
    <col min="13" max="13" width="11.33203125" style="1" bestFit="1" customWidth="1"/>
    <col min="14" max="14" width="11.33203125" style="1" customWidth="1"/>
    <col min="15" max="15" width="13.1640625" style="1" bestFit="1" customWidth="1"/>
    <col min="16" max="16384" width="12.83203125" style="1"/>
  </cols>
  <sheetData>
    <row r="1" spans="1:20" ht="21" customHeight="1">
      <c r="A1" s="14" t="s">
        <v>103</v>
      </c>
      <c r="B1" s="3" t="s">
        <v>32</v>
      </c>
      <c r="C1" s="3" t="s">
        <v>115</v>
      </c>
      <c r="D1" s="3" t="s">
        <v>126</v>
      </c>
      <c r="E1" s="16" t="s">
        <v>1</v>
      </c>
      <c r="F1" s="3" t="s">
        <v>34</v>
      </c>
      <c r="G1" s="3" t="s">
        <v>35</v>
      </c>
      <c r="H1" s="3" t="s">
        <v>3</v>
      </c>
      <c r="I1" s="3" t="s">
        <v>55</v>
      </c>
      <c r="J1" s="3" t="s">
        <v>37</v>
      </c>
      <c r="K1" s="3" t="s">
        <v>38</v>
      </c>
      <c r="L1" s="3" t="s">
        <v>75</v>
      </c>
      <c r="M1" s="16" t="s">
        <v>13</v>
      </c>
      <c r="N1" s="3" t="s">
        <v>81</v>
      </c>
      <c r="O1" s="16" t="s">
        <v>39</v>
      </c>
      <c r="P1" s="30" t="s">
        <v>6</v>
      </c>
      <c r="Q1" s="30" t="s">
        <v>7</v>
      </c>
      <c r="R1" s="30" t="s">
        <v>8</v>
      </c>
      <c r="S1" s="30" t="s">
        <v>9</v>
      </c>
      <c r="T1" s="30" t="s">
        <v>10</v>
      </c>
    </row>
    <row r="2" spans="1:20" ht="21" customHeight="1">
      <c r="A2" s="2" t="str">
        <f ca="1">input_313101!A$2</f>
        <v>313101</v>
      </c>
      <c r="B2" s="7" t="str">
        <f>C2&amp;IF(C2="premium",,D2)&amp;H2</f>
        <v>Premium3</v>
      </c>
      <c r="C2" s="7" t="str">
        <f>IF(G2="PremiumSS",G2,IF(G2="PremiumSSS",G2,"Premium"))</f>
        <v>Premium</v>
      </c>
      <c r="D2" s="7" t="str">
        <f>IF(I2="red","ry",IF(I2="yellow","ry","bg"))</f>
        <v>ry</v>
      </c>
      <c r="E2" s="6">
        <v>126</v>
      </c>
      <c r="F2" s="7" t="str">
        <f>VLOOKUP(E2,[1]characters!$A:$C,3,FALSE)</f>
        <v>骨器使い ユノ</v>
      </c>
      <c r="G2" s="7" t="str">
        <f>VLOOKUP(E2,[1]characters!$A:$J,10,FALSE)</f>
        <v>PremiumW</v>
      </c>
      <c r="H2" s="7">
        <f>VLOOKUP(E2,[1]characters!$A:$I,9,FALSE)</f>
        <v>3</v>
      </c>
      <c r="I2" s="7" t="str">
        <f>VLOOKUP(E2,[1]characters!$A:$H,8,FALSE)</f>
        <v>red</v>
      </c>
      <c r="J2" s="7" t="str">
        <f>VLOOKUP(E2,[1]characters!$A:$K,11,FALSE)</f>
        <v>attack</v>
      </c>
      <c r="K2" s="7" t="str">
        <f>VLOOKUP(E2,[1]characters!$A:$M,13,FALSE)</f>
        <v>human</v>
      </c>
      <c r="L2" s="7" t="str">
        <f>VLOOKUP(E2,[1]characters!$A:$G,7,FALSE)</f>
        <v>女性</v>
      </c>
      <c r="M2" s="62">
        <f ca="1">IFERROR(VLOOKUP(E2,input_313101!L:R,7,FALSE),VLOOKUP(tables_313101!B2,input_313101!A:H,8,FALSE))</f>
        <v>0</v>
      </c>
      <c r="N2" s="63">
        <f ca="1">M2/SUM(M:M)</f>
        <v>0</v>
      </c>
      <c r="O2" s="31">
        <f>IFERROR(VLOOKUP($E2,bug_conf_sheet!$A:$H,3,FALSE),VLOOKUP("other",bug_conf_sheet!$A:$H,3,FALSE))</f>
        <v>1</v>
      </c>
      <c r="P2" s="31">
        <f>IFERROR(VLOOKUP($E2,bug_conf_sheet!$A:$H,4,FALSE),VLOOKUP("other",bug_conf_sheet!$A:$H,4,FALSE))</f>
        <v>0</v>
      </c>
      <c r="Q2" s="31">
        <f>IFERROR(VLOOKUP($E2,bug_conf_sheet!$A:$H,5,FALSE),VLOOKUP("other",bug_conf_sheet!$A:$H,5,FALSE))</f>
        <v>0</v>
      </c>
      <c r="R2" s="31">
        <f>IFERROR(VLOOKUP($E2,bug_conf_sheet!$A:$H,6,FALSE),VLOOKUP("other",bug_conf_sheet!$A:$H,6,FALSE))</f>
        <v>0</v>
      </c>
      <c r="S2" s="31">
        <f>IFERROR(VLOOKUP($E2,bug_conf_sheet!$A:$H,7,FALSE),VLOOKUP("other",bug_conf_sheet!$A:$H,7,FALSE))</f>
        <v>0</v>
      </c>
      <c r="T2" s="31">
        <f>IFERROR(VLOOKUP($E2,bug_conf_sheet!$A:$H,8,FALSE),VLOOKUP("other",bug_conf_sheet!$A:$H,8,FALSE))</f>
        <v>1</v>
      </c>
    </row>
    <row r="3" spans="1:20" ht="21" customHeight="1">
      <c r="A3" s="2" t="str">
        <f ca="1">input_313101!A$2</f>
        <v>313101</v>
      </c>
      <c r="B3" s="7" t="str">
        <f t="shared" ref="B3:B66" si="0">C3&amp;IF(C3="premium",,D3)&amp;H3</f>
        <v>Premium4</v>
      </c>
      <c r="C3" s="7" t="str">
        <f t="shared" ref="C3:C66" si="1">IF(G3="PremiumSS",G3,IF(G3="PremiumSSS",G3,"Premium"))</f>
        <v>Premium</v>
      </c>
      <c r="D3" s="7" t="str">
        <f t="shared" ref="D3:D66" si="2">IF(I3="red","ry",IF(I3="yellow","ry","bg"))</f>
        <v>ry</v>
      </c>
      <c r="E3" s="6">
        <v>127</v>
      </c>
      <c r="F3" s="7" t="str">
        <f>VLOOKUP(E3,[1]characters!$A:$C,3,FALSE)</f>
        <v>狂喜の賢者 ユノ</v>
      </c>
      <c r="G3" s="7" t="str">
        <f>VLOOKUP(E3,[1]characters!$A:$J,10,FALSE)</f>
        <v>PremiumW</v>
      </c>
      <c r="H3" s="7">
        <f>VLOOKUP(E3,[1]characters!$A:$I,9,FALSE)</f>
        <v>4</v>
      </c>
      <c r="I3" s="7" t="str">
        <f>VLOOKUP(E3,[1]characters!$A:$H,8,FALSE)</f>
        <v>red</v>
      </c>
      <c r="J3" s="7" t="str">
        <f>VLOOKUP(E3,[1]characters!$A:$K,11,FALSE)</f>
        <v>attack</v>
      </c>
      <c r="K3" s="7" t="str">
        <f>VLOOKUP(E3,[1]characters!$A:$M,13,FALSE)</f>
        <v>human</v>
      </c>
      <c r="L3" s="7" t="str">
        <f>VLOOKUP(E3,[1]characters!$A:$G,7,FALSE)</f>
        <v>女性</v>
      </c>
      <c r="M3" s="62">
        <f ca="1">IFERROR(VLOOKUP(E3,input_313101!L:R,7,FALSE),VLOOKUP(tables_313101!B3,input_313101!A:H,8,FALSE))</f>
        <v>342090</v>
      </c>
      <c r="N3" s="63">
        <f t="shared" ref="N3:N66" ca="1" si="3">M3/SUM(M:M)</f>
        <v>1.222972972972973E-2</v>
      </c>
      <c r="O3" s="31">
        <f>IFERROR(VLOOKUP($E3,bug_conf_sheet!$A:$H,3,FALSE),VLOOKUP("other",bug_conf_sheet!$A:$H,3,FALSE))</f>
        <v>1</v>
      </c>
      <c r="P3" s="31">
        <f>IFERROR(VLOOKUP($E3,bug_conf_sheet!$A:$H,4,FALSE),VLOOKUP("other",bug_conf_sheet!$A:$H,4,FALSE))</f>
        <v>0</v>
      </c>
      <c r="Q3" s="31">
        <f>IFERROR(VLOOKUP($E3,bug_conf_sheet!$A:$H,5,FALSE),VLOOKUP("other",bug_conf_sheet!$A:$H,5,FALSE))</f>
        <v>0</v>
      </c>
      <c r="R3" s="31">
        <f>IFERROR(VLOOKUP($E3,bug_conf_sheet!$A:$H,6,FALSE),VLOOKUP("other",bug_conf_sheet!$A:$H,6,FALSE))</f>
        <v>0</v>
      </c>
      <c r="S3" s="31">
        <f>IFERROR(VLOOKUP($E3,bug_conf_sheet!$A:$H,7,FALSE),VLOOKUP("other",bug_conf_sheet!$A:$H,7,FALSE))</f>
        <v>0</v>
      </c>
      <c r="T3" s="31">
        <f>IFERROR(VLOOKUP($E3,bug_conf_sheet!$A:$H,8,FALSE),VLOOKUP("other",bug_conf_sheet!$A:$H,8,FALSE))</f>
        <v>1</v>
      </c>
    </row>
    <row r="4" spans="1:20" ht="21" customHeight="1">
      <c r="A4" s="2" t="str">
        <f ca="1">input_313101!A$2</f>
        <v>313101</v>
      </c>
      <c r="B4" s="7" t="str">
        <f t="shared" si="0"/>
        <v>Premium3</v>
      </c>
      <c r="C4" s="7" t="str">
        <f t="shared" si="1"/>
        <v>Premium</v>
      </c>
      <c r="D4" s="7" t="str">
        <f t="shared" si="2"/>
        <v>bg</v>
      </c>
      <c r="E4" s="6">
        <v>128</v>
      </c>
      <c r="F4" s="7" t="str">
        <f>VLOOKUP(E4,[1]characters!$A:$C,3,FALSE)</f>
        <v>野生児 アマラ</v>
      </c>
      <c r="G4" s="7" t="str">
        <f>VLOOKUP(E4,[1]characters!$A:$J,10,FALSE)</f>
        <v>PremiumW</v>
      </c>
      <c r="H4" s="7">
        <f>VLOOKUP(E4,[1]characters!$A:$I,9,FALSE)</f>
        <v>3</v>
      </c>
      <c r="I4" s="7" t="str">
        <f>VLOOKUP(E4,[1]characters!$A:$H,8,FALSE)</f>
        <v>green</v>
      </c>
      <c r="J4" s="7" t="str">
        <f>VLOOKUP(E4,[1]characters!$A:$K,11,FALSE)</f>
        <v>attack</v>
      </c>
      <c r="K4" s="7" t="str">
        <f>VLOOKUP(E4,[1]characters!$A:$M,13,FALSE)</f>
        <v>human</v>
      </c>
      <c r="L4" s="7" t="str">
        <f>VLOOKUP(E4,[1]characters!$A:$G,7,FALSE)</f>
        <v>女性</v>
      </c>
      <c r="M4" s="62">
        <f ca="1">IFERROR(VLOOKUP(E4,input_313101!L:R,7,FALSE),VLOOKUP(tables_313101!B4,input_313101!A:H,8,FALSE))</f>
        <v>0</v>
      </c>
      <c r="N4" s="63">
        <f t="shared" ca="1" si="3"/>
        <v>0</v>
      </c>
      <c r="O4" s="31">
        <f>IFERROR(VLOOKUP($E4,bug_conf_sheet!$A:$H,3,FALSE),VLOOKUP("other",bug_conf_sheet!$A:$H,3,FALSE))</f>
        <v>1</v>
      </c>
      <c r="P4" s="31">
        <f>IFERROR(VLOOKUP($E4,bug_conf_sheet!$A:$H,4,FALSE),VLOOKUP("other",bug_conf_sheet!$A:$H,4,FALSE))</f>
        <v>0</v>
      </c>
      <c r="Q4" s="31">
        <f>IFERROR(VLOOKUP($E4,bug_conf_sheet!$A:$H,5,FALSE),VLOOKUP("other",bug_conf_sheet!$A:$H,5,FALSE))</f>
        <v>0</v>
      </c>
      <c r="R4" s="31">
        <f>IFERROR(VLOOKUP($E4,bug_conf_sheet!$A:$H,6,FALSE),VLOOKUP("other",bug_conf_sheet!$A:$H,6,FALSE))</f>
        <v>0</v>
      </c>
      <c r="S4" s="31">
        <f>IFERROR(VLOOKUP($E4,bug_conf_sheet!$A:$H,7,FALSE),VLOOKUP("other",bug_conf_sheet!$A:$H,7,FALSE))</f>
        <v>0</v>
      </c>
      <c r="T4" s="31">
        <f>IFERROR(VLOOKUP($E4,bug_conf_sheet!$A:$H,8,FALSE),VLOOKUP("other",bug_conf_sheet!$A:$H,8,FALSE))</f>
        <v>1</v>
      </c>
    </row>
    <row r="5" spans="1:20" ht="21" customHeight="1">
      <c r="A5" s="2" t="str">
        <f ca="1">input_313101!A$2</f>
        <v>313101</v>
      </c>
      <c r="B5" s="7" t="str">
        <f t="shared" si="0"/>
        <v>Premium4</v>
      </c>
      <c r="C5" s="7" t="str">
        <f t="shared" si="1"/>
        <v>Premium</v>
      </c>
      <c r="D5" s="7" t="str">
        <f t="shared" si="2"/>
        <v>bg</v>
      </c>
      <c r="E5" s="6">
        <v>129</v>
      </c>
      <c r="F5" s="7" t="str">
        <f>VLOOKUP(E5,[1]characters!$A:$C,3,FALSE)</f>
        <v>孤高の狼憑き アマラ</v>
      </c>
      <c r="G5" s="7" t="str">
        <f>VLOOKUP(E5,[1]characters!$A:$J,10,FALSE)</f>
        <v>PremiumW</v>
      </c>
      <c r="H5" s="7">
        <f>VLOOKUP(E5,[1]characters!$A:$I,9,FALSE)</f>
        <v>4</v>
      </c>
      <c r="I5" s="7" t="str">
        <f>VLOOKUP(E5,[1]characters!$A:$H,8,FALSE)</f>
        <v>green</v>
      </c>
      <c r="J5" s="7" t="str">
        <f>VLOOKUP(E5,[1]characters!$A:$K,11,FALSE)</f>
        <v>attack</v>
      </c>
      <c r="K5" s="7" t="str">
        <f>VLOOKUP(E5,[1]characters!$A:$M,13,FALSE)</f>
        <v>human</v>
      </c>
      <c r="L5" s="7" t="str">
        <f>VLOOKUP(E5,[1]characters!$A:$G,7,FALSE)</f>
        <v>女性</v>
      </c>
      <c r="M5" s="62">
        <f ca="1">IFERROR(VLOOKUP(E5,input_313101!L:R,7,FALSE),VLOOKUP(tables_313101!B5,input_313101!A:H,8,FALSE))</f>
        <v>342090</v>
      </c>
      <c r="N5" s="63">
        <f t="shared" ca="1" si="3"/>
        <v>1.222972972972973E-2</v>
      </c>
      <c r="O5" s="31">
        <f>IFERROR(VLOOKUP($E5,bug_conf_sheet!$A:$H,3,FALSE),VLOOKUP("other",bug_conf_sheet!$A:$H,3,FALSE))</f>
        <v>1</v>
      </c>
      <c r="P5" s="31">
        <f>IFERROR(VLOOKUP($E5,bug_conf_sheet!$A:$H,4,FALSE),VLOOKUP("other",bug_conf_sheet!$A:$H,4,FALSE))</f>
        <v>0</v>
      </c>
      <c r="Q5" s="31">
        <f>IFERROR(VLOOKUP($E5,bug_conf_sheet!$A:$H,5,FALSE),VLOOKUP("other",bug_conf_sheet!$A:$H,5,FALSE))</f>
        <v>0</v>
      </c>
      <c r="R5" s="31">
        <f>IFERROR(VLOOKUP($E5,bug_conf_sheet!$A:$H,6,FALSE),VLOOKUP("other",bug_conf_sheet!$A:$H,6,FALSE))</f>
        <v>0</v>
      </c>
      <c r="S5" s="31">
        <f>IFERROR(VLOOKUP($E5,bug_conf_sheet!$A:$H,7,FALSE),VLOOKUP("other",bug_conf_sheet!$A:$H,7,FALSE))</f>
        <v>0</v>
      </c>
      <c r="T5" s="31">
        <f>IFERROR(VLOOKUP($E5,bug_conf_sheet!$A:$H,8,FALSE),VLOOKUP("other",bug_conf_sheet!$A:$H,8,FALSE))</f>
        <v>1</v>
      </c>
    </row>
    <row r="6" spans="1:20" ht="21" customHeight="1">
      <c r="A6" s="2" t="str">
        <f ca="1">input_313101!A$2</f>
        <v>313101</v>
      </c>
      <c r="B6" s="7" t="str">
        <f t="shared" si="0"/>
        <v>Premium3</v>
      </c>
      <c r="C6" s="7" t="str">
        <f t="shared" si="1"/>
        <v>Premium</v>
      </c>
      <c r="D6" s="7" t="str">
        <f t="shared" si="2"/>
        <v>bg</v>
      </c>
      <c r="E6" s="6">
        <v>130</v>
      </c>
      <c r="F6" s="7" t="str">
        <f>VLOOKUP(E6,[1]characters!$A:$C,3,FALSE)</f>
        <v>狼男 ローレンス</v>
      </c>
      <c r="G6" s="7" t="str">
        <f>VLOOKUP(E6,[1]characters!$A:$J,10,FALSE)</f>
        <v>PremiumW</v>
      </c>
      <c r="H6" s="7">
        <f>VLOOKUP(E6,[1]characters!$A:$I,9,FALSE)</f>
        <v>3</v>
      </c>
      <c r="I6" s="7" t="str">
        <f>VLOOKUP(E6,[1]characters!$A:$H,8,FALSE)</f>
        <v>blue</v>
      </c>
      <c r="J6" s="7" t="str">
        <f>VLOOKUP(E6,[1]characters!$A:$K,11,FALSE)</f>
        <v>attack</v>
      </c>
      <c r="K6" s="7" t="str">
        <f>VLOOKUP(E6,[1]characters!$A:$M,13,FALSE)</f>
        <v>animal</v>
      </c>
      <c r="L6" s="7" t="str">
        <f>VLOOKUP(E6,[1]characters!$A:$G,7,FALSE)</f>
        <v>不明</v>
      </c>
      <c r="M6" s="62">
        <f ca="1">IFERROR(VLOOKUP(E6,input_313101!L:R,7,FALSE),VLOOKUP(tables_313101!B6,input_313101!A:H,8,FALSE))</f>
        <v>0</v>
      </c>
      <c r="N6" s="63">
        <f t="shared" ca="1" si="3"/>
        <v>0</v>
      </c>
      <c r="O6" s="31">
        <f>IFERROR(VLOOKUP($E6,bug_conf_sheet!$A:$H,3,FALSE),VLOOKUP("other",bug_conf_sheet!$A:$H,3,FALSE))</f>
        <v>1</v>
      </c>
      <c r="P6" s="31">
        <f>IFERROR(VLOOKUP($E6,bug_conf_sheet!$A:$H,4,FALSE),VLOOKUP("other",bug_conf_sheet!$A:$H,4,FALSE))</f>
        <v>0</v>
      </c>
      <c r="Q6" s="31">
        <f>IFERROR(VLOOKUP($E6,bug_conf_sheet!$A:$H,5,FALSE),VLOOKUP("other",bug_conf_sheet!$A:$H,5,FALSE))</f>
        <v>0</v>
      </c>
      <c r="R6" s="31">
        <f>IFERROR(VLOOKUP($E6,bug_conf_sheet!$A:$H,6,FALSE),VLOOKUP("other",bug_conf_sheet!$A:$H,6,FALSE))</f>
        <v>0</v>
      </c>
      <c r="S6" s="31">
        <f>IFERROR(VLOOKUP($E6,bug_conf_sheet!$A:$H,7,FALSE),VLOOKUP("other",bug_conf_sheet!$A:$H,7,FALSE))</f>
        <v>0</v>
      </c>
      <c r="T6" s="31">
        <f>IFERROR(VLOOKUP($E6,bug_conf_sheet!$A:$H,8,FALSE),VLOOKUP("other",bug_conf_sheet!$A:$H,8,FALSE))</f>
        <v>1</v>
      </c>
    </row>
    <row r="7" spans="1:20" ht="21" customHeight="1">
      <c r="A7" s="2" t="str">
        <f ca="1">input_313101!A$2</f>
        <v>313101</v>
      </c>
      <c r="B7" s="7" t="str">
        <f t="shared" si="0"/>
        <v>Premium4</v>
      </c>
      <c r="C7" s="7" t="str">
        <f t="shared" si="1"/>
        <v>Premium</v>
      </c>
      <c r="D7" s="7" t="str">
        <f t="shared" si="2"/>
        <v>bg</v>
      </c>
      <c r="E7" s="6">
        <v>131</v>
      </c>
      <c r="F7" s="7" t="str">
        <f>VLOOKUP(E7,[1]characters!$A:$C,3,FALSE)</f>
        <v>月下の人狼 ローレンス</v>
      </c>
      <c r="G7" s="7" t="str">
        <f>VLOOKUP(E7,[1]characters!$A:$J,10,FALSE)</f>
        <v>PremiumW</v>
      </c>
      <c r="H7" s="7">
        <f>VLOOKUP(E7,[1]characters!$A:$I,9,FALSE)</f>
        <v>4</v>
      </c>
      <c r="I7" s="7" t="str">
        <f>VLOOKUP(E7,[1]characters!$A:$H,8,FALSE)</f>
        <v>blue</v>
      </c>
      <c r="J7" s="7" t="str">
        <f>VLOOKUP(E7,[1]characters!$A:$K,11,FALSE)</f>
        <v>attack</v>
      </c>
      <c r="K7" s="7" t="str">
        <f>VLOOKUP(E7,[1]characters!$A:$M,13,FALSE)</f>
        <v>animal</v>
      </c>
      <c r="L7" s="7" t="str">
        <f>VLOOKUP(E7,[1]characters!$A:$G,7,FALSE)</f>
        <v>不明</v>
      </c>
      <c r="M7" s="62">
        <f ca="1">IFERROR(VLOOKUP(E7,input_313101!L:R,7,FALSE),VLOOKUP(tables_313101!B7,input_313101!A:H,8,FALSE))</f>
        <v>342090</v>
      </c>
      <c r="N7" s="63">
        <f t="shared" ca="1" si="3"/>
        <v>1.222972972972973E-2</v>
      </c>
      <c r="O7" s="31">
        <f>IFERROR(VLOOKUP($E7,bug_conf_sheet!$A:$H,3,FALSE),VLOOKUP("other",bug_conf_sheet!$A:$H,3,FALSE))</f>
        <v>1</v>
      </c>
      <c r="P7" s="31">
        <f>IFERROR(VLOOKUP($E7,bug_conf_sheet!$A:$H,4,FALSE),VLOOKUP("other",bug_conf_sheet!$A:$H,4,FALSE))</f>
        <v>0</v>
      </c>
      <c r="Q7" s="31">
        <f>IFERROR(VLOOKUP($E7,bug_conf_sheet!$A:$H,5,FALSE),VLOOKUP("other",bug_conf_sheet!$A:$H,5,FALSE))</f>
        <v>0</v>
      </c>
      <c r="R7" s="31">
        <f>IFERROR(VLOOKUP($E7,bug_conf_sheet!$A:$H,6,FALSE),VLOOKUP("other",bug_conf_sheet!$A:$H,6,FALSE))</f>
        <v>0</v>
      </c>
      <c r="S7" s="31">
        <f>IFERROR(VLOOKUP($E7,bug_conf_sheet!$A:$H,7,FALSE),VLOOKUP("other",bug_conf_sheet!$A:$H,7,FALSE))</f>
        <v>0</v>
      </c>
      <c r="T7" s="31">
        <f>IFERROR(VLOOKUP($E7,bug_conf_sheet!$A:$H,8,FALSE),VLOOKUP("other",bug_conf_sheet!$A:$H,8,FALSE))</f>
        <v>1</v>
      </c>
    </row>
    <row r="8" spans="1:20" ht="21" customHeight="1">
      <c r="A8" s="2" t="str">
        <f ca="1">input_313101!A$2</f>
        <v>313101</v>
      </c>
      <c r="B8" s="7" t="str">
        <f t="shared" si="0"/>
        <v>Premium3</v>
      </c>
      <c r="C8" s="7" t="str">
        <f t="shared" si="1"/>
        <v>Premium</v>
      </c>
      <c r="D8" s="7" t="str">
        <f t="shared" si="2"/>
        <v>ry</v>
      </c>
      <c r="E8" s="6">
        <v>132</v>
      </c>
      <c r="F8" s="7" t="str">
        <f>VLOOKUP(E8,[1]characters!$A:$C,3,FALSE)</f>
        <v>鳥人ハヤト</v>
      </c>
      <c r="G8" s="7" t="str">
        <f>VLOOKUP(E8,[1]characters!$A:$J,10,FALSE)</f>
        <v>PremiumW</v>
      </c>
      <c r="H8" s="7">
        <f>VLOOKUP(E8,[1]characters!$A:$I,9,FALSE)</f>
        <v>3</v>
      </c>
      <c r="I8" s="7" t="str">
        <f>VLOOKUP(E8,[1]characters!$A:$H,8,FALSE)</f>
        <v>yellow</v>
      </c>
      <c r="J8" s="7" t="str">
        <f>VLOOKUP(E8,[1]characters!$A:$K,11,FALSE)</f>
        <v>attack</v>
      </c>
      <c r="K8" s="7" t="str">
        <f>VLOOKUP(E8,[1]characters!$A:$M,13,FALSE)</f>
        <v>human</v>
      </c>
      <c r="L8" s="7" t="str">
        <f>VLOOKUP(E8,[1]characters!$A:$G,7,FALSE)</f>
        <v>男性</v>
      </c>
      <c r="M8" s="62">
        <f ca="1">IFERROR(VLOOKUP(E8,input_313101!L:R,7,FALSE),VLOOKUP(tables_313101!B8,input_313101!A:H,8,FALSE))</f>
        <v>0</v>
      </c>
      <c r="N8" s="63">
        <f t="shared" ca="1" si="3"/>
        <v>0</v>
      </c>
      <c r="O8" s="31">
        <f>IFERROR(VLOOKUP($E8,bug_conf_sheet!$A:$H,3,FALSE),VLOOKUP("other",bug_conf_sheet!$A:$H,3,FALSE))</f>
        <v>1</v>
      </c>
      <c r="P8" s="31">
        <f>IFERROR(VLOOKUP($E8,bug_conf_sheet!$A:$H,4,FALSE),VLOOKUP("other",bug_conf_sheet!$A:$H,4,FALSE))</f>
        <v>0</v>
      </c>
      <c r="Q8" s="31">
        <f>IFERROR(VLOOKUP($E8,bug_conf_sheet!$A:$H,5,FALSE),VLOOKUP("other",bug_conf_sheet!$A:$H,5,FALSE))</f>
        <v>0</v>
      </c>
      <c r="R8" s="31">
        <f>IFERROR(VLOOKUP($E8,bug_conf_sheet!$A:$H,6,FALSE),VLOOKUP("other",bug_conf_sheet!$A:$H,6,FALSE))</f>
        <v>0</v>
      </c>
      <c r="S8" s="31">
        <f>IFERROR(VLOOKUP($E8,bug_conf_sheet!$A:$H,7,FALSE),VLOOKUP("other",bug_conf_sheet!$A:$H,7,FALSE))</f>
        <v>0</v>
      </c>
      <c r="T8" s="31">
        <f>IFERROR(VLOOKUP($E8,bug_conf_sheet!$A:$H,8,FALSE),VLOOKUP("other",bug_conf_sheet!$A:$H,8,FALSE))</f>
        <v>1</v>
      </c>
    </row>
    <row r="9" spans="1:20" ht="21" customHeight="1">
      <c r="A9" s="2" t="str">
        <f ca="1">input_313101!A$2</f>
        <v>313101</v>
      </c>
      <c r="B9" s="7" t="str">
        <f t="shared" si="0"/>
        <v>Premium4</v>
      </c>
      <c r="C9" s="7" t="str">
        <f t="shared" si="1"/>
        <v>Premium</v>
      </c>
      <c r="D9" s="7" t="str">
        <f t="shared" si="2"/>
        <v>ry</v>
      </c>
      <c r="E9" s="6">
        <v>133</v>
      </c>
      <c r="F9" s="7" t="str">
        <f>VLOOKUP(E9,[1]characters!$A:$C,3,FALSE)</f>
        <v>迅雷の刀剣 ハヤト</v>
      </c>
      <c r="G9" s="7" t="str">
        <f>VLOOKUP(E9,[1]characters!$A:$J,10,FALSE)</f>
        <v>PremiumW</v>
      </c>
      <c r="H9" s="7">
        <f>VLOOKUP(E9,[1]characters!$A:$I,9,FALSE)</f>
        <v>4</v>
      </c>
      <c r="I9" s="7" t="str">
        <f>VLOOKUP(E9,[1]characters!$A:$H,8,FALSE)</f>
        <v>yellow</v>
      </c>
      <c r="J9" s="7" t="str">
        <f>VLOOKUP(E9,[1]characters!$A:$K,11,FALSE)</f>
        <v>attack</v>
      </c>
      <c r="K9" s="7" t="str">
        <f>VLOOKUP(E9,[1]characters!$A:$M,13,FALSE)</f>
        <v>human</v>
      </c>
      <c r="L9" s="7" t="str">
        <f>VLOOKUP(E9,[1]characters!$A:$G,7,FALSE)</f>
        <v>男性</v>
      </c>
      <c r="M9" s="62">
        <f ca="1">IFERROR(VLOOKUP(E9,input_313101!L:R,7,FALSE),VLOOKUP(tables_313101!B9,input_313101!A:H,8,FALSE))</f>
        <v>342090</v>
      </c>
      <c r="N9" s="63">
        <f t="shared" ca="1" si="3"/>
        <v>1.222972972972973E-2</v>
      </c>
      <c r="O9" s="31">
        <f>IFERROR(VLOOKUP($E9,bug_conf_sheet!$A:$H,3,FALSE),VLOOKUP("other",bug_conf_sheet!$A:$H,3,FALSE))</f>
        <v>1</v>
      </c>
      <c r="P9" s="31">
        <f>IFERROR(VLOOKUP($E9,bug_conf_sheet!$A:$H,4,FALSE),VLOOKUP("other",bug_conf_sheet!$A:$H,4,FALSE))</f>
        <v>0</v>
      </c>
      <c r="Q9" s="31">
        <f>IFERROR(VLOOKUP($E9,bug_conf_sheet!$A:$H,5,FALSE),VLOOKUP("other",bug_conf_sheet!$A:$H,5,FALSE))</f>
        <v>0</v>
      </c>
      <c r="R9" s="31">
        <f>IFERROR(VLOOKUP($E9,bug_conf_sheet!$A:$H,6,FALSE),VLOOKUP("other",bug_conf_sheet!$A:$H,6,FALSE))</f>
        <v>0</v>
      </c>
      <c r="S9" s="31">
        <f>IFERROR(VLOOKUP($E9,bug_conf_sheet!$A:$H,7,FALSE),VLOOKUP("other",bug_conf_sheet!$A:$H,7,FALSE))</f>
        <v>0</v>
      </c>
      <c r="T9" s="31">
        <f>IFERROR(VLOOKUP($E9,bug_conf_sheet!$A:$H,8,FALSE),VLOOKUP("other",bug_conf_sheet!$A:$H,8,FALSE))</f>
        <v>1</v>
      </c>
    </row>
    <row r="10" spans="1:20" ht="21" customHeight="1">
      <c r="A10" s="2" t="str">
        <f ca="1">input_313101!A$2</f>
        <v>313101</v>
      </c>
      <c r="B10" s="7" t="str">
        <f t="shared" si="0"/>
        <v>Premium3</v>
      </c>
      <c r="C10" s="7" t="str">
        <f t="shared" si="1"/>
        <v>Premium</v>
      </c>
      <c r="D10" s="7" t="str">
        <f t="shared" si="2"/>
        <v>ry</v>
      </c>
      <c r="E10" s="6">
        <v>134</v>
      </c>
      <c r="F10" s="7" t="str">
        <f>VLOOKUP(E10,[1]characters!$A:$C,3,FALSE)</f>
        <v>妖炎の夕霧</v>
      </c>
      <c r="G10" s="7" t="str">
        <f>VLOOKUP(E10,[1]characters!$A:$J,10,FALSE)</f>
        <v>PremiumW</v>
      </c>
      <c r="H10" s="7">
        <f>VLOOKUP(E10,[1]characters!$A:$I,9,FALSE)</f>
        <v>3</v>
      </c>
      <c r="I10" s="7" t="str">
        <f>VLOOKUP(E10,[1]characters!$A:$H,8,FALSE)</f>
        <v>red</v>
      </c>
      <c r="J10" s="7" t="str">
        <f>VLOOKUP(E10,[1]characters!$A:$K,11,FALSE)</f>
        <v>balance</v>
      </c>
      <c r="K10" s="7" t="str">
        <f>VLOOKUP(E10,[1]characters!$A:$M,13,FALSE)</f>
        <v>human</v>
      </c>
      <c r="L10" s="7" t="str">
        <f>VLOOKUP(E10,[1]characters!$A:$G,7,FALSE)</f>
        <v>女性</v>
      </c>
      <c r="M10" s="62">
        <f ca="1">IFERROR(VLOOKUP(E10,input_313101!L:R,7,FALSE),VLOOKUP(tables_313101!B10,input_313101!A:H,8,FALSE))</f>
        <v>0</v>
      </c>
      <c r="N10" s="63">
        <f t="shared" ca="1" si="3"/>
        <v>0</v>
      </c>
      <c r="O10" s="31">
        <f>IFERROR(VLOOKUP($E10,bug_conf_sheet!$A:$H,3,FALSE),VLOOKUP("other",bug_conf_sheet!$A:$H,3,FALSE))</f>
        <v>1</v>
      </c>
      <c r="P10" s="31">
        <f>IFERROR(VLOOKUP($E10,bug_conf_sheet!$A:$H,4,FALSE),VLOOKUP("other",bug_conf_sheet!$A:$H,4,FALSE))</f>
        <v>0</v>
      </c>
      <c r="Q10" s="31">
        <f>IFERROR(VLOOKUP($E10,bug_conf_sheet!$A:$H,5,FALSE),VLOOKUP("other",bug_conf_sheet!$A:$H,5,FALSE))</f>
        <v>0</v>
      </c>
      <c r="R10" s="31">
        <f>IFERROR(VLOOKUP($E10,bug_conf_sheet!$A:$H,6,FALSE),VLOOKUP("other",bug_conf_sheet!$A:$H,6,FALSE))</f>
        <v>0</v>
      </c>
      <c r="S10" s="31">
        <f>IFERROR(VLOOKUP($E10,bug_conf_sheet!$A:$H,7,FALSE),VLOOKUP("other",bug_conf_sheet!$A:$H,7,FALSE))</f>
        <v>0</v>
      </c>
      <c r="T10" s="31">
        <f>IFERROR(VLOOKUP($E10,bug_conf_sheet!$A:$H,8,FALSE),VLOOKUP("other",bug_conf_sheet!$A:$H,8,FALSE))</f>
        <v>1</v>
      </c>
    </row>
    <row r="11" spans="1:20" ht="21" customHeight="1">
      <c r="A11" s="2" t="str">
        <f ca="1">input_313101!A$2</f>
        <v>313101</v>
      </c>
      <c r="B11" s="7" t="str">
        <f t="shared" si="0"/>
        <v>Premium4</v>
      </c>
      <c r="C11" s="7" t="str">
        <f t="shared" si="1"/>
        <v>Premium</v>
      </c>
      <c r="D11" s="7" t="str">
        <f t="shared" si="2"/>
        <v>ry</v>
      </c>
      <c r="E11" s="6">
        <v>135</v>
      </c>
      <c r="F11" s="7" t="str">
        <f>VLOOKUP(E11,[1]characters!$A:$C,3,FALSE)</f>
        <v>京の炎華夕霧</v>
      </c>
      <c r="G11" s="7" t="str">
        <f>VLOOKUP(E11,[1]characters!$A:$J,10,FALSE)</f>
        <v>PremiumW</v>
      </c>
      <c r="H11" s="7">
        <f>VLOOKUP(E11,[1]characters!$A:$I,9,FALSE)</f>
        <v>4</v>
      </c>
      <c r="I11" s="7" t="str">
        <f>VLOOKUP(E11,[1]characters!$A:$H,8,FALSE)</f>
        <v>red</v>
      </c>
      <c r="J11" s="7" t="str">
        <f>VLOOKUP(E11,[1]characters!$A:$K,11,FALSE)</f>
        <v>balance</v>
      </c>
      <c r="K11" s="7" t="str">
        <f>VLOOKUP(E11,[1]characters!$A:$M,13,FALSE)</f>
        <v>human</v>
      </c>
      <c r="L11" s="7" t="str">
        <f>VLOOKUP(E11,[1]characters!$A:$G,7,FALSE)</f>
        <v>女性</v>
      </c>
      <c r="M11" s="62">
        <f ca="1">IFERROR(VLOOKUP(E11,input_313101!L:R,7,FALSE),VLOOKUP(tables_313101!B11,input_313101!A:H,8,FALSE))</f>
        <v>342090</v>
      </c>
      <c r="N11" s="63">
        <f t="shared" ca="1" si="3"/>
        <v>1.222972972972973E-2</v>
      </c>
      <c r="O11" s="31">
        <f>IFERROR(VLOOKUP($E11,bug_conf_sheet!$A:$H,3,FALSE),VLOOKUP("other",bug_conf_sheet!$A:$H,3,FALSE))</f>
        <v>1</v>
      </c>
      <c r="P11" s="31">
        <f>IFERROR(VLOOKUP($E11,bug_conf_sheet!$A:$H,4,FALSE),VLOOKUP("other",bug_conf_sheet!$A:$H,4,FALSE))</f>
        <v>0</v>
      </c>
      <c r="Q11" s="31">
        <f>IFERROR(VLOOKUP($E11,bug_conf_sheet!$A:$H,5,FALSE),VLOOKUP("other",bug_conf_sheet!$A:$H,5,FALSE))</f>
        <v>0</v>
      </c>
      <c r="R11" s="31">
        <f>IFERROR(VLOOKUP($E11,bug_conf_sheet!$A:$H,6,FALSE),VLOOKUP("other",bug_conf_sheet!$A:$H,6,FALSE))</f>
        <v>0</v>
      </c>
      <c r="S11" s="31">
        <f>IFERROR(VLOOKUP($E11,bug_conf_sheet!$A:$H,7,FALSE),VLOOKUP("other",bug_conf_sheet!$A:$H,7,FALSE))</f>
        <v>0</v>
      </c>
      <c r="T11" s="31">
        <f>IFERROR(VLOOKUP($E11,bug_conf_sheet!$A:$H,8,FALSE),VLOOKUP("other",bug_conf_sheet!$A:$H,8,FALSE))</f>
        <v>1</v>
      </c>
    </row>
    <row r="12" spans="1:20" ht="21" customHeight="1">
      <c r="A12" s="2" t="str">
        <f ca="1">input_313101!A$2</f>
        <v>313101</v>
      </c>
      <c r="B12" s="7" t="str">
        <f t="shared" si="0"/>
        <v>Premium3</v>
      </c>
      <c r="C12" s="7" t="str">
        <f t="shared" si="1"/>
        <v>Premium</v>
      </c>
      <c r="D12" s="7" t="str">
        <f t="shared" si="2"/>
        <v>bg</v>
      </c>
      <c r="E12" s="8">
        <v>136</v>
      </c>
      <c r="F12" s="7" t="str">
        <f>VLOOKUP(E12,[1]characters!$A:$C,3,FALSE)</f>
        <v>お針子チハヤ</v>
      </c>
      <c r="G12" s="7" t="str">
        <f>VLOOKUP(E12,[1]characters!$A:$J,10,FALSE)</f>
        <v>PremiumW</v>
      </c>
      <c r="H12" s="7">
        <f>VLOOKUP(E12,[1]characters!$A:$I,9,FALSE)</f>
        <v>3</v>
      </c>
      <c r="I12" s="7" t="str">
        <f>VLOOKUP(E12,[1]characters!$A:$H,8,FALSE)</f>
        <v>green</v>
      </c>
      <c r="J12" s="7" t="str">
        <f>VLOOKUP(E12,[1]characters!$A:$K,11,FALSE)</f>
        <v>balance</v>
      </c>
      <c r="K12" s="7" t="str">
        <f>VLOOKUP(E12,[1]characters!$A:$M,13,FALSE)</f>
        <v>human</v>
      </c>
      <c r="L12" s="7" t="str">
        <f>VLOOKUP(E12,[1]characters!$A:$G,7,FALSE)</f>
        <v>女性</v>
      </c>
      <c r="M12" s="62">
        <f ca="1">IFERROR(VLOOKUP(E12,input_313101!L:R,7,FALSE),VLOOKUP(tables_313101!B12,input_313101!A:H,8,FALSE))</f>
        <v>0</v>
      </c>
      <c r="N12" s="63">
        <f t="shared" ca="1" si="3"/>
        <v>0</v>
      </c>
      <c r="O12" s="31">
        <f>IFERROR(VLOOKUP($E12,bug_conf_sheet!$A:$H,3,FALSE),VLOOKUP("other",bug_conf_sheet!$A:$H,3,FALSE))</f>
        <v>1</v>
      </c>
      <c r="P12" s="31">
        <f>IFERROR(VLOOKUP($E12,bug_conf_sheet!$A:$H,4,FALSE),VLOOKUP("other",bug_conf_sheet!$A:$H,4,FALSE))</f>
        <v>0</v>
      </c>
      <c r="Q12" s="31">
        <f>IFERROR(VLOOKUP($E12,bug_conf_sheet!$A:$H,5,FALSE),VLOOKUP("other",bug_conf_sheet!$A:$H,5,FALSE))</f>
        <v>0</v>
      </c>
      <c r="R12" s="31">
        <f>IFERROR(VLOOKUP($E12,bug_conf_sheet!$A:$H,6,FALSE),VLOOKUP("other",bug_conf_sheet!$A:$H,6,FALSE))</f>
        <v>0</v>
      </c>
      <c r="S12" s="31">
        <f>IFERROR(VLOOKUP($E12,bug_conf_sheet!$A:$H,7,FALSE),VLOOKUP("other",bug_conf_sheet!$A:$H,7,FALSE))</f>
        <v>0</v>
      </c>
      <c r="T12" s="31">
        <f>IFERROR(VLOOKUP($E12,bug_conf_sheet!$A:$H,8,FALSE),VLOOKUP("other",bug_conf_sheet!$A:$H,8,FALSE))</f>
        <v>1</v>
      </c>
    </row>
    <row r="13" spans="1:20" ht="21" customHeight="1">
      <c r="A13" s="2" t="str">
        <f ca="1">input_313101!A$2</f>
        <v>313101</v>
      </c>
      <c r="B13" s="7" t="str">
        <f t="shared" si="0"/>
        <v>Premium4</v>
      </c>
      <c r="C13" s="7" t="str">
        <f t="shared" si="1"/>
        <v>Premium</v>
      </c>
      <c r="D13" s="7" t="str">
        <f t="shared" si="2"/>
        <v>bg</v>
      </c>
      <c r="E13" s="8">
        <v>137</v>
      </c>
      <c r="F13" s="7" t="str">
        <f>VLOOKUP(E13,[1]characters!$A:$C,3,FALSE)</f>
        <v>清福の仕立屋 チハヤ</v>
      </c>
      <c r="G13" s="7" t="str">
        <f>VLOOKUP(E13,[1]characters!$A:$J,10,FALSE)</f>
        <v>PremiumW</v>
      </c>
      <c r="H13" s="7">
        <f>VLOOKUP(E13,[1]characters!$A:$I,9,FALSE)</f>
        <v>4</v>
      </c>
      <c r="I13" s="7" t="str">
        <f>VLOOKUP(E13,[1]characters!$A:$H,8,FALSE)</f>
        <v>green</v>
      </c>
      <c r="J13" s="7" t="str">
        <f>VLOOKUP(E13,[1]characters!$A:$K,11,FALSE)</f>
        <v>balance</v>
      </c>
      <c r="K13" s="7" t="str">
        <f>VLOOKUP(E13,[1]characters!$A:$M,13,FALSE)</f>
        <v>human</v>
      </c>
      <c r="L13" s="7" t="str">
        <f>VLOOKUP(E13,[1]characters!$A:$G,7,FALSE)</f>
        <v>女性</v>
      </c>
      <c r="M13" s="62">
        <f ca="1">IFERROR(VLOOKUP(E13,input_313101!L:R,7,FALSE),VLOOKUP(tables_313101!B13,input_313101!A:H,8,FALSE))</f>
        <v>342090</v>
      </c>
      <c r="N13" s="63">
        <f t="shared" ca="1" si="3"/>
        <v>1.222972972972973E-2</v>
      </c>
      <c r="O13" s="31">
        <f>IFERROR(VLOOKUP($E13,bug_conf_sheet!$A:$H,3,FALSE),VLOOKUP("other",bug_conf_sheet!$A:$H,3,FALSE))</f>
        <v>1</v>
      </c>
      <c r="P13" s="31">
        <f>IFERROR(VLOOKUP($E13,bug_conf_sheet!$A:$H,4,FALSE),VLOOKUP("other",bug_conf_sheet!$A:$H,4,FALSE))</f>
        <v>0</v>
      </c>
      <c r="Q13" s="31">
        <f>IFERROR(VLOOKUP($E13,bug_conf_sheet!$A:$H,5,FALSE),VLOOKUP("other",bug_conf_sheet!$A:$H,5,FALSE))</f>
        <v>0</v>
      </c>
      <c r="R13" s="31">
        <f>IFERROR(VLOOKUP($E13,bug_conf_sheet!$A:$H,6,FALSE),VLOOKUP("other",bug_conf_sheet!$A:$H,6,FALSE))</f>
        <v>0</v>
      </c>
      <c r="S13" s="31">
        <f>IFERROR(VLOOKUP($E13,bug_conf_sheet!$A:$H,7,FALSE),VLOOKUP("other",bug_conf_sheet!$A:$H,7,FALSE))</f>
        <v>0</v>
      </c>
      <c r="T13" s="31">
        <f>IFERROR(VLOOKUP($E13,bug_conf_sheet!$A:$H,8,FALSE),VLOOKUP("other",bug_conf_sheet!$A:$H,8,FALSE))</f>
        <v>1</v>
      </c>
    </row>
    <row r="14" spans="1:20" ht="21" customHeight="1">
      <c r="A14" s="2" t="str">
        <f ca="1">input_313101!A$2</f>
        <v>313101</v>
      </c>
      <c r="B14" s="7" t="str">
        <f t="shared" si="0"/>
        <v>Premium3</v>
      </c>
      <c r="C14" s="7" t="str">
        <f t="shared" si="1"/>
        <v>Premium</v>
      </c>
      <c r="D14" s="7" t="str">
        <f t="shared" si="2"/>
        <v>bg</v>
      </c>
      <c r="E14" s="6">
        <v>138</v>
      </c>
      <c r="F14" s="7" t="str">
        <f>VLOOKUP(E14,[1]characters!$A:$C,3,FALSE)</f>
        <v>蒼薙のトモエ</v>
      </c>
      <c r="G14" s="7" t="str">
        <f>VLOOKUP(E14,[1]characters!$A:$J,10,FALSE)</f>
        <v>PremiumW</v>
      </c>
      <c r="H14" s="7">
        <f>VLOOKUP(E14,[1]characters!$A:$I,9,FALSE)</f>
        <v>3</v>
      </c>
      <c r="I14" s="7" t="str">
        <f>VLOOKUP(E14,[1]characters!$A:$H,8,FALSE)</f>
        <v>blue</v>
      </c>
      <c r="J14" s="7" t="str">
        <f>VLOOKUP(E14,[1]characters!$A:$K,11,FALSE)</f>
        <v>balance</v>
      </c>
      <c r="K14" s="7" t="str">
        <f>VLOOKUP(E14,[1]characters!$A:$M,13,FALSE)</f>
        <v>human</v>
      </c>
      <c r="L14" s="7" t="str">
        <f>VLOOKUP(E14,[1]characters!$A:$G,7,FALSE)</f>
        <v>女性</v>
      </c>
      <c r="M14" s="62">
        <f ca="1">IFERROR(VLOOKUP(E14,input_313101!L:R,7,FALSE),VLOOKUP(tables_313101!B14,input_313101!A:H,8,FALSE))</f>
        <v>0</v>
      </c>
      <c r="N14" s="63">
        <f t="shared" ca="1" si="3"/>
        <v>0</v>
      </c>
      <c r="O14" s="31">
        <f>IFERROR(VLOOKUP($E14,bug_conf_sheet!$A:$H,3,FALSE),VLOOKUP("other",bug_conf_sheet!$A:$H,3,FALSE))</f>
        <v>1</v>
      </c>
      <c r="P14" s="31">
        <f>IFERROR(VLOOKUP($E14,bug_conf_sheet!$A:$H,4,FALSE),VLOOKUP("other",bug_conf_sheet!$A:$H,4,FALSE))</f>
        <v>0</v>
      </c>
      <c r="Q14" s="31">
        <f>IFERROR(VLOOKUP($E14,bug_conf_sheet!$A:$H,5,FALSE),VLOOKUP("other",bug_conf_sheet!$A:$H,5,FALSE))</f>
        <v>0</v>
      </c>
      <c r="R14" s="31">
        <f>IFERROR(VLOOKUP($E14,bug_conf_sheet!$A:$H,6,FALSE),VLOOKUP("other",bug_conf_sheet!$A:$H,6,FALSE))</f>
        <v>0</v>
      </c>
      <c r="S14" s="31">
        <f>IFERROR(VLOOKUP($E14,bug_conf_sheet!$A:$H,7,FALSE),VLOOKUP("other",bug_conf_sheet!$A:$H,7,FALSE))</f>
        <v>0</v>
      </c>
      <c r="T14" s="31">
        <f>IFERROR(VLOOKUP($E14,bug_conf_sheet!$A:$H,8,FALSE),VLOOKUP("other",bug_conf_sheet!$A:$H,8,FALSE))</f>
        <v>1</v>
      </c>
    </row>
    <row r="15" spans="1:20" ht="21" customHeight="1">
      <c r="A15" s="2" t="str">
        <f ca="1">input_313101!A$2</f>
        <v>313101</v>
      </c>
      <c r="B15" s="7" t="str">
        <f t="shared" si="0"/>
        <v>Premium4</v>
      </c>
      <c r="C15" s="7" t="str">
        <f t="shared" si="1"/>
        <v>Premium</v>
      </c>
      <c r="D15" s="7" t="str">
        <f t="shared" si="2"/>
        <v>bg</v>
      </c>
      <c r="E15" s="6">
        <v>139</v>
      </c>
      <c r="F15" s="7" t="str">
        <f>VLOOKUP(E15,[1]characters!$A:$C,3,FALSE)</f>
        <v>蒼昇刃姫 トモエ</v>
      </c>
      <c r="G15" s="7" t="str">
        <f>VLOOKUP(E15,[1]characters!$A:$J,10,FALSE)</f>
        <v>PremiumW</v>
      </c>
      <c r="H15" s="7">
        <f>VLOOKUP(E15,[1]characters!$A:$I,9,FALSE)</f>
        <v>4</v>
      </c>
      <c r="I15" s="7" t="str">
        <f>VLOOKUP(E15,[1]characters!$A:$H,8,FALSE)</f>
        <v>blue</v>
      </c>
      <c r="J15" s="7" t="str">
        <f>VLOOKUP(E15,[1]characters!$A:$K,11,FALSE)</f>
        <v>balance</v>
      </c>
      <c r="K15" s="7" t="str">
        <f>VLOOKUP(E15,[1]characters!$A:$M,13,FALSE)</f>
        <v>human</v>
      </c>
      <c r="L15" s="7" t="str">
        <f>VLOOKUP(E15,[1]characters!$A:$G,7,FALSE)</f>
        <v>女性</v>
      </c>
      <c r="M15" s="62">
        <f ca="1">IFERROR(VLOOKUP(E15,input_313101!L:R,7,FALSE),VLOOKUP(tables_313101!B15,input_313101!A:H,8,FALSE))</f>
        <v>342090</v>
      </c>
      <c r="N15" s="63">
        <f t="shared" ca="1" si="3"/>
        <v>1.222972972972973E-2</v>
      </c>
      <c r="O15" s="31">
        <f>IFERROR(VLOOKUP($E15,bug_conf_sheet!$A:$H,3,FALSE),VLOOKUP("other",bug_conf_sheet!$A:$H,3,FALSE))</f>
        <v>1</v>
      </c>
      <c r="P15" s="31">
        <f>IFERROR(VLOOKUP($E15,bug_conf_sheet!$A:$H,4,FALSE),VLOOKUP("other",bug_conf_sheet!$A:$H,4,FALSE))</f>
        <v>0</v>
      </c>
      <c r="Q15" s="31">
        <f>IFERROR(VLOOKUP($E15,bug_conf_sheet!$A:$H,5,FALSE),VLOOKUP("other",bug_conf_sheet!$A:$H,5,FALSE))</f>
        <v>0</v>
      </c>
      <c r="R15" s="31">
        <f>IFERROR(VLOOKUP($E15,bug_conf_sheet!$A:$H,6,FALSE),VLOOKUP("other",bug_conf_sheet!$A:$H,6,FALSE))</f>
        <v>0</v>
      </c>
      <c r="S15" s="31">
        <f>IFERROR(VLOOKUP($E15,bug_conf_sheet!$A:$H,7,FALSE),VLOOKUP("other",bug_conf_sheet!$A:$H,7,FALSE))</f>
        <v>0</v>
      </c>
      <c r="T15" s="31">
        <f>IFERROR(VLOOKUP($E15,bug_conf_sheet!$A:$H,8,FALSE),VLOOKUP("other",bug_conf_sheet!$A:$H,8,FALSE))</f>
        <v>1</v>
      </c>
    </row>
    <row r="16" spans="1:20" ht="21" customHeight="1">
      <c r="A16" s="2" t="str">
        <f ca="1">input_313101!A$2</f>
        <v>313101</v>
      </c>
      <c r="B16" s="7" t="str">
        <f t="shared" si="0"/>
        <v>Premium3</v>
      </c>
      <c r="C16" s="7" t="str">
        <f t="shared" si="1"/>
        <v>Premium</v>
      </c>
      <c r="D16" s="7" t="str">
        <f t="shared" si="2"/>
        <v>ry</v>
      </c>
      <c r="E16" s="10">
        <v>140</v>
      </c>
      <c r="F16" s="7" t="str">
        <f>VLOOKUP(E16,[1]characters!$A:$C,3,FALSE)</f>
        <v>秋祭のタマモ</v>
      </c>
      <c r="G16" s="7" t="str">
        <f>VLOOKUP(E16,[1]characters!$A:$J,10,FALSE)</f>
        <v>PremiumW</v>
      </c>
      <c r="H16" s="7">
        <f>VLOOKUP(E16,[1]characters!$A:$I,9,FALSE)</f>
        <v>3</v>
      </c>
      <c r="I16" s="7" t="str">
        <f>VLOOKUP(E16,[1]characters!$A:$H,8,FALSE)</f>
        <v>yellow</v>
      </c>
      <c r="J16" s="7" t="str">
        <f>VLOOKUP(E16,[1]characters!$A:$K,11,FALSE)</f>
        <v>balance</v>
      </c>
      <c r="K16" s="7" t="str">
        <f>VLOOKUP(E16,[1]characters!$A:$M,13,FALSE)</f>
        <v>animal</v>
      </c>
      <c r="L16" s="7" t="str">
        <f>VLOOKUP(E16,[1]characters!$A:$G,7,FALSE)</f>
        <v>女性</v>
      </c>
      <c r="M16" s="62">
        <f ca="1">IFERROR(VLOOKUP(E16,input_313101!L:R,7,FALSE),VLOOKUP(tables_313101!B16,input_313101!A:H,8,FALSE))</f>
        <v>0</v>
      </c>
      <c r="N16" s="63">
        <f t="shared" ca="1" si="3"/>
        <v>0</v>
      </c>
      <c r="O16" s="31">
        <f>IFERROR(VLOOKUP($E16,bug_conf_sheet!$A:$H,3,FALSE),VLOOKUP("other",bug_conf_sheet!$A:$H,3,FALSE))</f>
        <v>1</v>
      </c>
      <c r="P16" s="31">
        <f>IFERROR(VLOOKUP($E16,bug_conf_sheet!$A:$H,4,FALSE),VLOOKUP("other",bug_conf_sheet!$A:$H,4,FALSE))</f>
        <v>0</v>
      </c>
      <c r="Q16" s="31">
        <f>IFERROR(VLOOKUP($E16,bug_conf_sheet!$A:$H,5,FALSE),VLOOKUP("other",bug_conf_sheet!$A:$H,5,FALSE))</f>
        <v>0</v>
      </c>
      <c r="R16" s="31">
        <f>IFERROR(VLOOKUP($E16,bug_conf_sheet!$A:$H,6,FALSE),VLOOKUP("other",bug_conf_sheet!$A:$H,6,FALSE))</f>
        <v>0</v>
      </c>
      <c r="S16" s="31">
        <f>IFERROR(VLOOKUP($E16,bug_conf_sheet!$A:$H,7,FALSE),VLOOKUP("other",bug_conf_sheet!$A:$H,7,FALSE))</f>
        <v>0</v>
      </c>
      <c r="T16" s="31">
        <f>IFERROR(VLOOKUP($E16,bug_conf_sheet!$A:$H,8,FALSE),VLOOKUP("other",bug_conf_sheet!$A:$H,8,FALSE))</f>
        <v>1</v>
      </c>
    </row>
    <row r="17" spans="1:20" ht="21" customHeight="1">
      <c r="A17" s="2" t="str">
        <f ca="1">input_313101!A$2</f>
        <v>313101</v>
      </c>
      <c r="B17" s="7" t="str">
        <f t="shared" si="0"/>
        <v>Premium4</v>
      </c>
      <c r="C17" s="7" t="str">
        <f t="shared" si="1"/>
        <v>Premium</v>
      </c>
      <c r="D17" s="7" t="str">
        <f t="shared" si="2"/>
        <v>ry</v>
      </c>
      <c r="E17" s="11">
        <v>141</v>
      </c>
      <c r="F17" s="7" t="str">
        <f>VLOOKUP(E17,[1]characters!$A:$C,3,FALSE)</f>
        <v>妖狐演舞 タマモ</v>
      </c>
      <c r="G17" s="7" t="str">
        <f>VLOOKUP(E17,[1]characters!$A:$J,10,FALSE)</f>
        <v>PremiumW</v>
      </c>
      <c r="H17" s="7">
        <f>VLOOKUP(E17,[1]characters!$A:$I,9,FALSE)</f>
        <v>4</v>
      </c>
      <c r="I17" s="7" t="str">
        <f>VLOOKUP(E17,[1]characters!$A:$H,8,FALSE)</f>
        <v>yellow</v>
      </c>
      <c r="J17" s="7" t="str">
        <f>VLOOKUP(E17,[1]characters!$A:$K,11,FALSE)</f>
        <v>balance</v>
      </c>
      <c r="K17" s="7" t="str">
        <f>VLOOKUP(E17,[1]characters!$A:$M,13,FALSE)</f>
        <v>animal</v>
      </c>
      <c r="L17" s="7" t="str">
        <f>VLOOKUP(E17,[1]characters!$A:$G,7,FALSE)</f>
        <v>女性</v>
      </c>
      <c r="M17" s="62">
        <f ca="1">IFERROR(VLOOKUP(E17,input_313101!L:R,7,FALSE),VLOOKUP(tables_313101!B17,input_313101!A:H,8,FALSE))</f>
        <v>342090</v>
      </c>
      <c r="N17" s="63">
        <f t="shared" ca="1" si="3"/>
        <v>1.222972972972973E-2</v>
      </c>
      <c r="O17" s="31">
        <f>IFERROR(VLOOKUP($E17,bug_conf_sheet!$A:$H,3,FALSE),VLOOKUP("other",bug_conf_sheet!$A:$H,3,FALSE))</f>
        <v>1</v>
      </c>
      <c r="P17" s="31">
        <f>IFERROR(VLOOKUP($E17,bug_conf_sheet!$A:$H,4,FALSE),VLOOKUP("other",bug_conf_sheet!$A:$H,4,FALSE))</f>
        <v>0</v>
      </c>
      <c r="Q17" s="31">
        <f>IFERROR(VLOOKUP($E17,bug_conf_sheet!$A:$H,5,FALSE),VLOOKUP("other",bug_conf_sheet!$A:$H,5,FALSE))</f>
        <v>0</v>
      </c>
      <c r="R17" s="31">
        <f>IFERROR(VLOOKUP($E17,bug_conf_sheet!$A:$H,6,FALSE),VLOOKUP("other",bug_conf_sheet!$A:$H,6,FALSE))</f>
        <v>0</v>
      </c>
      <c r="S17" s="31">
        <f>IFERROR(VLOOKUP($E17,bug_conf_sheet!$A:$H,7,FALSE),VLOOKUP("other",bug_conf_sheet!$A:$H,7,FALSE))</f>
        <v>0</v>
      </c>
      <c r="T17" s="31">
        <f>IFERROR(VLOOKUP($E17,bug_conf_sheet!$A:$H,8,FALSE),VLOOKUP("other",bug_conf_sheet!$A:$H,8,FALSE))</f>
        <v>1</v>
      </c>
    </row>
    <row r="18" spans="1:20" ht="21" customHeight="1">
      <c r="A18" s="2" t="str">
        <f ca="1">input_313101!A$2</f>
        <v>313101</v>
      </c>
      <c r="B18" s="7" t="str">
        <f t="shared" si="0"/>
        <v>Premium3</v>
      </c>
      <c r="C18" s="7" t="str">
        <f t="shared" si="1"/>
        <v>Premium</v>
      </c>
      <c r="D18" s="7" t="str">
        <f t="shared" si="2"/>
        <v>ry</v>
      </c>
      <c r="E18" s="6">
        <v>142</v>
      </c>
      <c r="F18" s="7" t="str">
        <f>VLOOKUP(E18,[1]characters!$A:$C,3,FALSE)</f>
        <v>赤ずきん</v>
      </c>
      <c r="G18" s="7" t="str">
        <f>VLOOKUP(E18,[1]characters!$A:$J,10,FALSE)</f>
        <v>PremiumW</v>
      </c>
      <c r="H18" s="7">
        <f>VLOOKUP(E18,[1]characters!$A:$I,9,FALSE)</f>
        <v>3</v>
      </c>
      <c r="I18" s="7" t="str">
        <f>VLOOKUP(E18,[1]characters!$A:$H,8,FALSE)</f>
        <v>red</v>
      </c>
      <c r="J18" s="7" t="str">
        <f>VLOOKUP(E18,[1]characters!$A:$K,11,FALSE)</f>
        <v>balance</v>
      </c>
      <c r="K18" s="7" t="str">
        <f>VLOOKUP(E18,[1]characters!$A:$M,13,FALSE)</f>
        <v>human</v>
      </c>
      <c r="L18" s="7" t="str">
        <f>VLOOKUP(E18,[1]characters!$A:$G,7,FALSE)</f>
        <v>女性</v>
      </c>
      <c r="M18" s="62">
        <f ca="1">IFERROR(VLOOKUP(E18,input_313101!L:R,7,FALSE),VLOOKUP(tables_313101!B18,input_313101!A:H,8,FALSE))</f>
        <v>0</v>
      </c>
      <c r="N18" s="63">
        <f t="shared" ca="1" si="3"/>
        <v>0</v>
      </c>
      <c r="O18" s="31">
        <f>IFERROR(VLOOKUP($E18,bug_conf_sheet!$A:$H,3,FALSE),VLOOKUP("other",bug_conf_sheet!$A:$H,3,FALSE))</f>
        <v>1</v>
      </c>
      <c r="P18" s="31">
        <f>IFERROR(VLOOKUP($E18,bug_conf_sheet!$A:$H,4,FALSE),VLOOKUP("other",bug_conf_sheet!$A:$H,4,FALSE))</f>
        <v>0</v>
      </c>
      <c r="Q18" s="31">
        <f>IFERROR(VLOOKUP($E18,bug_conf_sheet!$A:$H,5,FALSE),VLOOKUP("other",bug_conf_sheet!$A:$H,5,FALSE))</f>
        <v>0</v>
      </c>
      <c r="R18" s="31">
        <f>IFERROR(VLOOKUP($E18,bug_conf_sheet!$A:$H,6,FALSE),VLOOKUP("other",bug_conf_sheet!$A:$H,6,FALSE))</f>
        <v>0</v>
      </c>
      <c r="S18" s="31">
        <f>IFERROR(VLOOKUP($E18,bug_conf_sheet!$A:$H,7,FALSE),VLOOKUP("other",bug_conf_sheet!$A:$H,7,FALSE))</f>
        <v>0</v>
      </c>
      <c r="T18" s="31">
        <f>IFERROR(VLOOKUP($E18,bug_conf_sheet!$A:$H,8,FALSE),VLOOKUP("other",bug_conf_sheet!$A:$H,8,FALSE))</f>
        <v>1</v>
      </c>
    </row>
    <row r="19" spans="1:20" s="12" customFormat="1" ht="21" customHeight="1" thickBot="1">
      <c r="A19" s="2" t="str">
        <f ca="1">input_313101!A$2</f>
        <v>313101</v>
      </c>
      <c r="B19" s="7" t="str">
        <f t="shared" si="0"/>
        <v>Premium4</v>
      </c>
      <c r="C19" s="7" t="str">
        <f t="shared" si="1"/>
        <v>Premium</v>
      </c>
      <c r="D19" s="7" t="str">
        <f t="shared" si="2"/>
        <v>ry</v>
      </c>
      <c r="E19" s="6">
        <v>143</v>
      </c>
      <c r="F19" s="7" t="str">
        <f>VLOOKUP(E19,[1]characters!$A:$C,3,FALSE)</f>
        <v>深紅の死神 赤ずきん</v>
      </c>
      <c r="G19" s="7" t="str">
        <f>VLOOKUP(E19,[1]characters!$A:$J,10,FALSE)</f>
        <v>PremiumW</v>
      </c>
      <c r="H19" s="7">
        <f>VLOOKUP(E19,[1]characters!$A:$I,9,FALSE)</f>
        <v>4</v>
      </c>
      <c r="I19" s="7" t="str">
        <f>VLOOKUP(E19,[1]characters!$A:$H,8,FALSE)</f>
        <v>red</v>
      </c>
      <c r="J19" s="7" t="str">
        <f>VLOOKUP(E19,[1]characters!$A:$K,11,FALSE)</f>
        <v>balance</v>
      </c>
      <c r="K19" s="7" t="str">
        <f>VLOOKUP(E19,[1]characters!$A:$M,13,FALSE)</f>
        <v>human</v>
      </c>
      <c r="L19" s="7" t="str">
        <f>VLOOKUP(E19,[1]characters!$A:$G,7,FALSE)</f>
        <v>女性</v>
      </c>
      <c r="M19" s="62">
        <f ca="1">IFERROR(VLOOKUP(E19,input_313101!L:R,7,FALSE),VLOOKUP(tables_313101!B19,input_313101!A:H,8,FALSE))</f>
        <v>342090</v>
      </c>
      <c r="N19" s="63">
        <f t="shared" ca="1" si="3"/>
        <v>1.222972972972973E-2</v>
      </c>
      <c r="O19" s="31">
        <f>IFERROR(VLOOKUP($E19,bug_conf_sheet!$A:$H,3,FALSE),VLOOKUP("other",bug_conf_sheet!$A:$H,3,FALSE))</f>
        <v>1</v>
      </c>
      <c r="P19" s="31">
        <f>IFERROR(VLOOKUP($E19,bug_conf_sheet!$A:$H,4,FALSE),VLOOKUP("other",bug_conf_sheet!$A:$H,4,FALSE))</f>
        <v>0</v>
      </c>
      <c r="Q19" s="31">
        <f>IFERROR(VLOOKUP($E19,bug_conf_sheet!$A:$H,5,FALSE),VLOOKUP("other",bug_conf_sheet!$A:$H,5,FALSE))</f>
        <v>0</v>
      </c>
      <c r="R19" s="31">
        <f>IFERROR(VLOOKUP($E19,bug_conf_sheet!$A:$H,6,FALSE),VLOOKUP("other",bug_conf_sheet!$A:$H,6,FALSE))</f>
        <v>0</v>
      </c>
      <c r="S19" s="31">
        <f>IFERROR(VLOOKUP($E19,bug_conf_sheet!$A:$H,7,FALSE),VLOOKUP("other",bug_conf_sheet!$A:$H,7,FALSE))</f>
        <v>0</v>
      </c>
      <c r="T19" s="31">
        <f>IFERROR(VLOOKUP($E19,bug_conf_sheet!$A:$H,8,FALSE),VLOOKUP("other",bug_conf_sheet!$A:$H,8,FALSE))</f>
        <v>1</v>
      </c>
    </row>
    <row r="20" spans="1:20" ht="21" customHeight="1">
      <c r="A20" s="2" t="str">
        <f ca="1">input_313101!A$2</f>
        <v>313101</v>
      </c>
      <c r="B20" s="7" t="str">
        <f t="shared" si="0"/>
        <v>Premium3</v>
      </c>
      <c r="C20" s="7" t="str">
        <f t="shared" si="1"/>
        <v>Premium</v>
      </c>
      <c r="D20" s="7" t="str">
        <f t="shared" si="2"/>
        <v>bg</v>
      </c>
      <c r="E20" s="10">
        <v>144</v>
      </c>
      <c r="F20" s="7" t="str">
        <f>VLOOKUP(E20,[1]characters!$A:$C,3,FALSE)</f>
        <v>かぐや</v>
      </c>
      <c r="G20" s="7" t="str">
        <f>VLOOKUP(E20,[1]characters!$A:$J,10,FALSE)</f>
        <v>PremiumW</v>
      </c>
      <c r="H20" s="7">
        <f>VLOOKUP(E20,[1]characters!$A:$I,9,FALSE)</f>
        <v>3</v>
      </c>
      <c r="I20" s="7" t="str">
        <f>VLOOKUP(E20,[1]characters!$A:$H,8,FALSE)</f>
        <v>green</v>
      </c>
      <c r="J20" s="7" t="str">
        <f>VLOOKUP(E20,[1]characters!$A:$K,11,FALSE)</f>
        <v>hp</v>
      </c>
      <c r="K20" s="7" t="str">
        <f>VLOOKUP(E20,[1]characters!$A:$M,13,FALSE)</f>
        <v>human</v>
      </c>
      <c r="L20" s="7" t="str">
        <f>VLOOKUP(E20,[1]characters!$A:$G,7,FALSE)</f>
        <v>女性</v>
      </c>
      <c r="M20" s="62">
        <f ca="1">IFERROR(VLOOKUP(E20,input_313101!L:R,7,FALSE),VLOOKUP(tables_313101!B20,input_313101!A:H,8,FALSE))</f>
        <v>0</v>
      </c>
      <c r="N20" s="63">
        <f t="shared" ca="1" si="3"/>
        <v>0</v>
      </c>
      <c r="O20" s="31">
        <f>IFERROR(VLOOKUP($E20,bug_conf_sheet!$A:$H,3,FALSE),VLOOKUP("other",bug_conf_sheet!$A:$H,3,FALSE))</f>
        <v>1</v>
      </c>
      <c r="P20" s="31">
        <f>IFERROR(VLOOKUP($E20,bug_conf_sheet!$A:$H,4,FALSE),VLOOKUP("other",bug_conf_sheet!$A:$H,4,FALSE))</f>
        <v>0</v>
      </c>
      <c r="Q20" s="31">
        <f>IFERROR(VLOOKUP($E20,bug_conf_sheet!$A:$H,5,FALSE),VLOOKUP("other",bug_conf_sheet!$A:$H,5,FALSE))</f>
        <v>0</v>
      </c>
      <c r="R20" s="31">
        <f>IFERROR(VLOOKUP($E20,bug_conf_sheet!$A:$H,6,FALSE),VLOOKUP("other",bug_conf_sheet!$A:$H,6,FALSE))</f>
        <v>0</v>
      </c>
      <c r="S20" s="31">
        <f>IFERROR(VLOOKUP($E20,bug_conf_sheet!$A:$H,7,FALSE),VLOOKUP("other",bug_conf_sheet!$A:$H,7,FALSE))</f>
        <v>0</v>
      </c>
      <c r="T20" s="31">
        <f>IFERROR(VLOOKUP($E20,bug_conf_sheet!$A:$H,8,FALSE),VLOOKUP("other",bug_conf_sheet!$A:$H,8,FALSE))</f>
        <v>1</v>
      </c>
    </row>
    <row r="21" spans="1:20" ht="21" customHeight="1">
      <c r="A21" s="2" t="str">
        <f ca="1">input_313101!A$2</f>
        <v>313101</v>
      </c>
      <c r="B21" s="7" t="str">
        <f t="shared" si="0"/>
        <v>Premium4</v>
      </c>
      <c r="C21" s="7" t="str">
        <f t="shared" si="1"/>
        <v>Premium</v>
      </c>
      <c r="D21" s="7" t="str">
        <f t="shared" si="2"/>
        <v>bg</v>
      </c>
      <c r="E21" s="6">
        <v>145</v>
      </c>
      <c r="F21" s="7" t="str">
        <f>VLOOKUP(E21,[1]characters!$A:$C,3,FALSE)</f>
        <v>魔性妖艶 かぐや</v>
      </c>
      <c r="G21" s="7" t="str">
        <f>VLOOKUP(E21,[1]characters!$A:$J,10,FALSE)</f>
        <v>PremiumW</v>
      </c>
      <c r="H21" s="7">
        <f>VLOOKUP(E21,[1]characters!$A:$I,9,FALSE)</f>
        <v>4</v>
      </c>
      <c r="I21" s="7" t="str">
        <f>VLOOKUP(E21,[1]characters!$A:$H,8,FALSE)</f>
        <v>green</v>
      </c>
      <c r="J21" s="7" t="str">
        <f>VLOOKUP(E21,[1]characters!$A:$K,11,FALSE)</f>
        <v>hp</v>
      </c>
      <c r="K21" s="7" t="str">
        <f>VLOOKUP(E21,[1]characters!$A:$M,13,FALSE)</f>
        <v>human</v>
      </c>
      <c r="L21" s="7" t="str">
        <f>VLOOKUP(E21,[1]characters!$A:$G,7,FALSE)</f>
        <v>女性</v>
      </c>
      <c r="M21" s="62">
        <f ca="1">IFERROR(VLOOKUP(E21,input_313101!L:R,7,FALSE),VLOOKUP(tables_313101!B21,input_313101!A:H,8,FALSE))</f>
        <v>342090</v>
      </c>
      <c r="N21" s="63">
        <f t="shared" ca="1" si="3"/>
        <v>1.222972972972973E-2</v>
      </c>
      <c r="O21" s="31">
        <f>IFERROR(VLOOKUP($E21,bug_conf_sheet!$A:$H,3,FALSE),VLOOKUP("other",bug_conf_sheet!$A:$H,3,FALSE))</f>
        <v>1</v>
      </c>
      <c r="P21" s="31">
        <f>IFERROR(VLOOKUP($E21,bug_conf_sheet!$A:$H,4,FALSE),VLOOKUP("other",bug_conf_sheet!$A:$H,4,FALSE))</f>
        <v>0</v>
      </c>
      <c r="Q21" s="31">
        <f>IFERROR(VLOOKUP($E21,bug_conf_sheet!$A:$H,5,FALSE),VLOOKUP("other",bug_conf_sheet!$A:$H,5,FALSE))</f>
        <v>0</v>
      </c>
      <c r="R21" s="31">
        <f>IFERROR(VLOOKUP($E21,bug_conf_sheet!$A:$H,6,FALSE),VLOOKUP("other",bug_conf_sheet!$A:$H,6,FALSE))</f>
        <v>0</v>
      </c>
      <c r="S21" s="31">
        <f>IFERROR(VLOOKUP($E21,bug_conf_sheet!$A:$H,7,FALSE),VLOOKUP("other",bug_conf_sheet!$A:$H,7,FALSE))</f>
        <v>0</v>
      </c>
      <c r="T21" s="31">
        <f>IFERROR(VLOOKUP($E21,bug_conf_sheet!$A:$H,8,FALSE),VLOOKUP("other",bug_conf_sheet!$A:$H,8,FALSE))</f>
        <v>1</v>
      </c>
    </row>
    <row r="22" spans="1:20" ht="21" customHeight="1">
      <c r="A22" s="2" t="str">
        <f ca="1">input_313101!A$2</f>
        <v>313101</v>
      </c>
      <c r="B22" s="7" t="str">
        <f t="shared" si="0"/>
        <v>Premium3</v>
      </c>
      <c r="C22" s="7" t="str">
        <f t="shared" si="1"/>
        <v>Premium</v>
      </c>
      <c r="D22" s="7" t="str">
        <f t="shared" si="2"/>
        <v>bg</v>
      </c>
      <c r="E22" s="6">
        <v>146</v>
      </c>
      <c r="F22" s="7" t="str">
        <f>VLOOKUP(E22,[1]characters!$A:$C,3,FALSE)</f>
        <v>マーメイド</v>
      </c>
      <c r="G22" s="7" t="str">
        <f>VLOOKUP(E22,[1]characters!$A:$J,10,FALSE)</f>
        <v>PremiumW</v>
      </c>
      <c r="H22" s="7">
        <f>VLOOKUP(E22,[1]characters!$A:$I,9,FALSE)</f>
        <v>3</v>
      </c>
      <c r="I22" s="7" t="str">
        <f>VLOOKUP(E22,[1]characters!$A:$H,8,FALSE)</f>
        <v>blue</v>
      </c>
      <c r="J22" s="7" t="str">
        <f>VLOOKUP(E22,[1]characters!$A:$K,11,FALSE)</f>
        <v>hp</v>
      </c>
      <c r="K22" s="7" t="str">
        <f>VLOOKUP(E22,[1]characters!$A:$M,13,FALSE)</f>
        <v>human</v>
      </c>
      <c r="L22" s="7" t="str">
        <f>VLOOKUP(E22,[1]characters!$A:$G,7,FALSE)</f>
        <v>女性</v>
      </c>
      <c r="M22" s="62">
        <f ca="1">IFERROR(VLOOKUP(E22,input_313101!L:R,7,FALSE),VLOOKUP(tables_313101!B22,input_313101!A:H,8,FALSE))</f>
        <v>0</v>
      </c>
      <c r="N22" s="63">
        <f t="shared" ca="1" si="3"/>
        <v>0</v>
      </c>
      <c r="O22" s="31">
        <f>IFERROR(VLOOKUP($E22,bug_conf_sheet!$A:$H,3,FALSE),VLOOKUP("other",bug_conf_sheet!$A:$H,3,FALSE))</f>
        <v>1</v>
      </c>
      <c r="P22" s="31">
        <f>IFERROR(VLOOKUP($E22,bug_conf_sheet!$A:$H,4,FALSE),VLOOKUP("other",bug_conf_sheet!$A:$H,4,FALSE))</f>
        <v>0</v>
      </c>
      <c r="Q22" s="31">
        <f>IFERROR(VLOOKUP($E22,bug_conf_sheet!$A:$H,5,FALSE),VLOOKUP("other",bug_conf_sheet!$A:$H,5,FALSE))</f>
        <v>0</v>
      </c>
      <c r="R22" s="31">
        <f>IFERROR(VLOOKUP($E22,bug_conf_sheet!$A:$H,6,FALSE),VLOOKUP("other",bug_conf_sheet!$A:$H,6,FALSE))</f>
        <v>0</v>
      </c>
      <c r="S22" s="31">
        <f>IFERROR(VLOOKUP($E22,bug_conf_sheet!$A:$H,7,FALSE),VLOOKUP("other",bug_conf_sheet!$A:$H,7,FALSE))</f>
        <v>0</v>
      </c>
      <c r="T22" s="31">
        <f>IFERROR(VLOOKUP($E22,bug_conf_sheet!$A:$H,8,FALSE),VLOOKUP("other",bug_conf_sheet!$A:$H,8,FALSE))</f>
        <v>1</v>
      </c>
    </row>
    <row r="23" spans="1:20" ht="21" customHeight="1">
      <c r="A23" s="2" t="str">
        <f ca="1">input_313101!A$2</f>
        <v>313101</v>
      </c>
      <c r="B23" s="7" t="str">
        <f t="shared" si="0"/>
        <v>Premium4</v>
      </c>
      <c r="C23" s="7" t="str">
        <f t="shared" si="1"/>
        <v>Premium</v>
      </c>
      <c r="D23" s="7" t="str">
        <f t="shared" si="2"/>
        <v>bg</v>
      </c>
      <c r="E23" s="6">
        <v>147</v>
      </c>
      <c r="F23" s="7" t="str">
        <f>VLOOKUP(E23,[1]characters!$A:$C,3,FALSE)</f>
        <v>蒼き閃光 元マーメイド</v>
      </c>
      <c r="G23" s="7" t="str">
        <f>VLOOKUP(E23,[1]characters!$A:$J,10,FALSE)</f>
        <v>PremiumW</v>
      </c>
      <c r="H23" s="7">
        <f>VLOOKUP(E23,[1]characters!$A:$I,9,FALSE)</f>
        <v>4</v>
      </c>
      <c r="I23" s="7" t="str">
        <f>VLOOKUP(E23,[1]characters!$A:$H,8,FALSE)</f>
        <v>blue</v>
      </c>
      <c r="J23" s="7" t="str">
        <f>VLOOKUP(E23,[1]characters!$A:$K,11,FALSE)</f>
        <v>hp</v>
      </c>
      <c r="K23" s="7" t="str">
        <f>VLOOKUP(E23,[1]characters!$A:$M,13,FALSE)</f>
        <v>human</v>
      </c>
      <c r="L23" s="7" t="str">
        <f>VLOOKUP(E23,[1]characters!$A:$G,7,FALSE)</f>
        <v>女性</v>
      </c>
      <c r="M23" s="62">
        <f ca="1">IFERROR(VLOOKUP(E23,input_313101!L:R,7,FALSE),VLOOKUP(tables_313101!B23,input_313101!A:H,8,FALSE))</f>
        <v>342090</v>
      </c>
      <c r="N23" s="63">
        <f t="shared" ca="1" si="3"/>
        <v>1.222972972972973E-2</v>
      </c>
      <c r="O23" s="31">
        <f>IFERROR(VLOOKUP($E23,bug_conf_sheet!$A:$H,3,FALSE),VLOOKUP("other",bug_conf_sheet!$A:$H,3,FALSE))</f>
        <v>1</v>
      </c>
      <c r="P23" s="31">
        <f>IFERROR(VLOOKUP($E23,bug_conf_sheet!$A:$H,4,FALSE),VLOOKUP("other",bug_conf_sheet!$A:$H,4,FALSE))</f>
        <v>0</v>
      </c>
      <c r="Q23" s="31">
        <f>IFERROR(VLOOKUP($E23,bug_conf_sheet!$A:$H,5,FALSE),VLOOKUP("other",bug_conf_sheet!$A:$H,5,FALSE))</f>
        <v>0</v>
      </c>
      <c r="R23" s="31">
        <f>IFERROR(VLOOKUP($E23,bug_conf_sheet!$A:$H,6,FALSE),VLOOKUP("other",bug_conf_sheet!$A:$H,6,FALSE))</f>
        <v>0</v>
      </c>
      <c r="S23" s="31">
        <f>IFERROR(VLOOKUP($E23,bug_conf_sheet!$A:$H,7,FALSE),VLOOKUP("other",bug_conf_sheet!$A:$H,7,FALSE))</f>
        <v>0</v>
      </c>
      <c r="T23" s="31">
        <f>IFERROR(VLOOKUP($E23,bug_conf_sheet!$A:$H,8,FALSE),VLOOKUP("other",bug_conf_sheet!$A:$H,8,FALSE))</f>
        <v>1</v>
      </c>
    </row>
    <row r="24" spans="1:20" ht="21" customHeight="1">
      <c r="A24" s="2" t="str">
        <f ca="1">input_313101!A$2</f>
        <v>313101</v>
      </c>
      <c r="B24" s="7" t="str">
        <f t="shared" si="0"/>
        <v>Premium3</v>
      </c>
      <c r="C24" s="7" t="str">
        <f t="shared" si="1"/>
        <v>Premium</v>
      </c>
      <c r="D24" s="7" t="str">
        <f t="shared" si="2"/>
        <v>ry</v>
      </c>
      <c r="E24" s="6">
        <v>148</v>
      </c>
      <c r="F24" s="7" t="str">
        <f>VLOOKUP(E24,[1]characters!$A:$C,3,FALSE)</f>
        <v>シンデレラ</v>
      </c>
      <c r="G24" s="7" t="str">
        <f>VLOOKUP(E24,[1]characters!$A:$J,10,FALSE)</f>
        <v>PremiumW</v>
      </c>
      <c r="H24" s="7">
        <f>VLOOKUP(E24,[1]characters!$A:$I,9,FALSE)</f>
        <v>3</v>
      </c>
      <c r="I24" s="7" t="str">
        <f>VLOOKUP(E24,[1]characters!$A:$H,8,FALSE)</f>
        <v>yellow</v>
      </c>
      <c r="J24" s="7" t="str">
        <f>VLOOKUP(E24,[1]characters!$A:$K,11,FALSE)</f>
        <v>balance</v>
      </c>
      <c r="K24" s="7" t="str">
        <f>VLOOKUP(E24,[1]characters!$A:$M,13,FALSE)</f>
        <v>human</v>
      </c>
      <c r="L24" s="7" t="str">
        <f>VLOOKUP(E24,[1]characters!$A:$G,7,FALSE)</f>
        <v>女性</v>
      </c>
      <c r="M24" s="62">
        <f ca="1">IFERROR(VLOOKUP(E24,input_313101!L:R,7,FALSE),VLOOKUP(tables_313101!B24,input_313101!A:H,8,FALSE))</f>
        <v>0</v>
      </c>
      <c r="N24" s="63">
        <f t="shared" ca="1" si="3"/>
        <v>0</v>
      </c>
      <c r="O24" s="31">
        <f>IFERROR(VLOOKUP($E24,bug_conf_sheet!$A:$H,3,FALSE),VLOOKUP("other",bug_conf_sheet!$A:$H,3,FALSE))</f>
        <v>1</v>
      </c>
      <c r="P24" s="31">
        <f>IFERROR(VLOOKUP($E24,bug_conf_sheet!$A:$H,4,FALSE),VLOOKUP("other",bug_conf_sheet!$A:$H,4,FALSE))</f>
        <v>0</v>
      </c>
      <c r="Q24" s="31">
        <f>IFERROR(VLOOKUP($E24,bug_conf_sheet!$A:$H,5,FALSE),VLOOKUP("other",bug_conf_sheet!$A:$H,5,FALSE))</f>
        <v>0</v>
      </c>
      <c r="R24" s="31">
        <f>IFERROR(VLOOKUP($E24,bug_conf_sheet!$A:$H,6,FALSE),VLOOKUP("other",bug_conf_sheet!$A:$H,6,FALSE))</f>
        <v>0</v>
      </c>
      <c r="S24" s="31">
        <f>IFERROR(VLOOKUP($E24,bug_conf_sheet!$A:$H,7,FALSE),VLOOKUP("other",bug_conf_sheet!$A:$H,7,FALSE))</f>
        <v>0</v>
      </c>
      <c r="T24" s="31">
        <f>IFERROR(VLOOKUP($E24,bug_conf_sheet!$A:$H,8,FALSE),VLOOKUP("other",bug_conf_sheet!$A:$H,8,FALSE))</f>
        <v>1</v>
      </c>
    </row>
    <row r="25" spans="1:20" ht="21" customHeight="1">
      <c r="A25" s="2" t="str">
        <f ca="1">input_313101!A$2</f>
        <v>313101</v>
      </c>
      <c r="B25" s="7" t="str">
        <f t="shared" si="0"/>
        <v>Premium4</v>
      </c>
      <c r="C25" s="7" t="str">
        <f t="shared" si="1"/>
        <v>Premium</v>
      </c>
      <c r="D25" s="7" t="str">
        <f t="shared" si="2"/>
        <v>ry</v>
      </c>
      <c r="E25" s="6">
        <v>149</v>
      </c>
      <c r="F25" s="7" t="str">
        <f>VLOOKUP(E25,[1]characters!$A:$C,3,FALSE)</f>
        <v>雷撃蹴技を極めし者 シンデレラ</v>
      </c>
      <c r="G25" s="7" t="str">
        <f>VLOOKUP(E25,[1]characters!$A:$J,10,FALSE)</f>
        <v>PremiumW</v>
      </c>
      <c r="H25" s="7">
        <f>VLOOKUP(E25,[1]characters!$A:$I,9,FALSE)</f>
        <v>4</v>
      </c>
      <c r="I25" s="7" t="str">
        <f>VLOOKUP(E25,[1]characters!$A:$H,8,FALSE)</f>
        <v>yellow</v>
      </c>
      <c r="J25" s="7" t="str">
        <f>VLOOKUP(E25,[1]characters!$A:$K,11,FALSE)</f>
        <v>balance</v>
      </c>
      <c r="K25" s="7" t="str">
        <f>VLOOKUP(E25,[1]characters!$A:$M,13,FALSE)</f>
        <v>human</v>
      </c>
      <c r="L25" s="7" t="str">
        <f>VLOOKUP(E25,[1]characters!$A:$G,7,FALSE)</f>
        <v>女性</v>
      </c>
      <c r="M25" s="62">
        <f ca="1">IFERROR(VLOOKUP(E25,input_313101!L:R,7,FALSE),VLOOKUP(tables_313101!B25,input_313101!A:H,8,FALSE))</f>
        <v>342090</v>
      </c>
      <c r="N25" s="63">
        <f t="shared" ca="1" si="3"/>
        <v>1.222972972972973E-2</v>
      </c>
      <c r="O25" s="31">
        <f>IFERROR(VLOOKUP($E25,bug_conf_sheet!$A:$H,3,FALSE),VLOOKUP("other",bug_conf_sheet!$A:$H,3,FALSE))</f>
        <v>1</v>
      </c>
      <c r="P25" s="31">
        <f>IFERROR(VLOOKUP($E25,bug_conf_sheet!$A:$H,4,FALSE),VLOOKUP("other",bug_conf_sheet!$A:$H,4,FALSE))</f>
        <v>0</v>
      </c>
      <c r="Q25" s="31">
        <f>IFERROR(VLOOKUP($E25,bug_conf_sheet!$A:$H,5,FALSE),VLOOKUP("other",bug_conf_sheet!$A:$H,5,FALSE))</f>
        <v>0</v>
      </c>
      <c r="R25" s="31">
        <f>IFERROR(VLOOKUP($E25,bug_conf_sheet!$A:$H,6,FALSE),VLOOKUP("other",bug_conf_sheet!$A:$H,6,FALSE))</f>
        <v>0</v>
      </c>
      <c r="S25" s="31">
        <f>IFERROR(VLOOKUP($E25,bug_conf_sheet!$A:$H,7,FALSE),VLOOKUP("other",bug_conf_sheet!$A:$H,7,FALSE))</f>
        <v>0</v>
      </c>
      <c r="T25" s="31">
        <f>IFERROR(VLOOKUP($E25,bug_conf_sheet!$A:$H,8,FALSE),VLOOKUP("other",bug_conf_sheet!$A:$H,8,FALSE))</f>
        <v>1</v>
      </c>
    </row>
    <row r="26" spans="1:20" ht="21" customHeight="1">
      <c r="A26" s="2" t="str">
        <f ca="1">input_313101!A$2</f>
        <v>313101</v>
      </c>
      <c r="B26" s="7" t="str">
        <f t="shared" si="0"/>
        <v>Premium3</v>
      </c>
      <c r="C26" s="7" t="str">
        <f t="shared" si="1"/>
        <v>Premium</v>
      </c>
      <c r="D26" s="7" t="str">
        <f t="shared" si="2"/>
        <v>ry</v>
      </c>
      <c r="E26" s="6">
        <v>150</v>
      </c>
      <c r="F26" s="7" t="str">
        <f>VLOOKUP(E26,[1]characters!$A:$C,3,FALSE)</f>
        <v>ポイズンマスターサキ</v>
      </c>
      <c r="G26" s="7" t="str">
        <f>VLOOKUP(E26,[1]characters!$A:$J,10,FALSE)</f>
        <v>PremiumW</v>
      </c>
      <c r="H26" s="7">
        <f>VLOOKUP(E26,[1]characters!$A:$I,9,FALSE)</f>
        <v>3</v>
      </c>
      <c r="I26" s="7" t="str">
        <f>VLOOKUP(E26,[1]characters!$A:$H,8,FALSE)</f>
        <v>red</v>
      </c>
      <c r="J26" s="7" t="str">
        <f>VLOOKUP(E26,[1]characters!$A:$K,11,FALSE)</f>
        <v>technical</v>
      </c>
      <c r="K26" s="7" t="str">
        <f>VLOOKUP(E26,[1]characters!$A:$M,13,FALSE)</f>
        <v>human</v>
      </c>
      <c r="L26" s="7" t="str">
        <f>VLOOKUP(E26,[1]characters!$A:$G,7,FALSE)</f>
        <v>女性</v>
      </c>
      <c r="M26" s="62">
        <f ca="1">IFERROR(VLOOKUP(E26,input_313101!L:R,7,FALSE),VLOOKUP(tables_313101!B26,input_313101!A:H,8,FALSE))</f>
        <v>0</v>
      </c>
      <c r="N26" s="63">
        <f t="shared" ca="1" si="3"/>
        <v>0</v>
      </c>
      <c r="O26" s="31">
        <f>IFERROR(VLOOKUP($E26,bug_conf_sheet!$A:$H,3,FALSE),VLOOKUP("other",bug_conf_sheet!$A:$H,3,FALSE))</f>
        <v>1</v>
      </c>
      <c r="P26" s="31">
        <f>IFERROR(VLOOKUP($E26,bug_conf_sheet!$A:$H,4,FALSE),VLOOKUP("other",bug_conf_sheet!$A:$H,4,FALSE))</f>
        <v>0</v>
      </c>
      <c r="Q26" s="31">
        <f>IFERROR(VLOOKUP($E26,bug_conf_sheet!$A:$H,5,FALSE),VLOOKUP("other",bug_conf_sheet!$A:$H,5,FALSE))</f>
        <v>0</v>
      </c>
      <c r="R26" s="31">
        <f>IFERROR(VLOOKUP($E26,bug_conf_sheet!$A:$H,6,FALSE),VLOOKUP("other",bug_conf_sheet!$A:$H,6,FALSE))</f>
        <v>0</v>
      </c>
      <c r="S26" s="31">
        <f>IFERROR(VLOOKUP($E26,bug_conf_sheet!$A:$H,7,FALSE),VLOOKUP("other",bug_conf_sheet!$A:$H,7,FALSE))</f>
        <v>0</v>
      </c>
      <c r="T26" s="31">
        <f>IFERROR(VLOOKUP($E26,bug_conf_sheet!$A:$H,8,FALSE),VLOOKUP("other",bug_conf_sheet!$A:$H,8,FALSE))</f>
        <v>1</v>
      </c>
    </row>
    <row r="27" spans="1:20" ht="21" customHeight="1">
      <c r="A27" s="2" t="str">
        <f ca="1">input_313101!A$2</f>
        <v>313101</v>
      </c>
      <c r="B27" s="7" t="str">
        <f t="shared" si="0"/>
        <v>Premium4</v>
      </c>
      <c r="C27" s="7" t="str">
        <f t="shared" si="1"/>
        <v>Premium</v>
      </c>
      <c r="D27" s="7" t="str">
        <f t="shared" si="2"/>
        <v>ry</v>
      </c>
      <c r="E27" s="6">
        <v>151</v>
      </c>
      <c r="F27" s="7" t="str">
        <f>VLOOKUP(E27,[1]characters!$A:$C,3,FALSE)</f>
        <v>毒煙の処刑人サキ</v>
      </c>
      <c r="G27" s="7" t="str">
        <f>VLOOKUP(E27,[1]characters!$A:$J,10,FALSE)</f>
        <v>PremiumW</v>
      </c>
      <c r="H27" s="7">
        <f>VLOOKUP(E27,[1]characters!$A:$I,9,FALSE)</f>
        <v>4</v>
      </c>
      <c r="I27" s="7" t="str">
        <f>VLOOKUP(E27,[1]characters!$A:$H,8,FALSE)</f>
        <v>red</v>
      </c>
      <c r="J27" s="7" t="str">
        <f>VLOOKUP(E27,[1]characters!$A:$K,11,FALSE)</f>
        <v>technical</v>
      </c>
      <c r="K27" s="7" t="str">
        <f>VLOOKUP(E27,[1]characters!$A:$M,13,FALSE)</f>
        <v>human</v>
      </c>
      <c r="L27" s="7" t="str">
        <f>VLOOKUP(E27,[1]characters!$A:$G,7,FALSE)</f>
        <v>女性</v>
      </c>
      <c r="M27" s="62">
        <f ca="1">IFERROR(VLOOKUP(E27,input_313101!L:R,7,FALSE),VLOOKUP(tables_313101!B27,input_313101!A:H,8,FALSE))</f>
        <v>342090</v>
      </c>
      <c r="N27" s="63">
        <f t="shared" ca="1" si="3"/>
        <v>1.222972972972973E-2</v>
      </c>
      <c r="O27" s="31">
        <f>IFERROR(VLOOKUP($E27,bug_conf_sheet!$A:$H,3,FALSE),VLOOKUP("other",bug_conf_sheet!$A:$H,3,FALSE))</f>
        <v>1</v>
      </c>
      <c r="P27" s="31">
        <f>IFERROR(VLOOKUP($E27,bug_conf_sheet!$A:$H,4,FALSE),VLOOKUP("other",bug_conf_sheet!$A:$H,4,FALSE))</f>
        <v>0</v>
      </c>
      <c r="Q27" s="31">
        <f>IFERROR(VLOOKUP($E27,bug_conf_sheet!$A:$H,5,FALSE),VLOOKUP("other",bug_conf_sheet!$A:$H,5,FALSE))</f>
        <v>0</v>
      </c>
      <c r="R27" s="31">
        <f>IFERROR(VLOOKUP($E27,bug_conf_sheet!$A:$H,6,FALSE),VLOOKUP("other",bug_conf_sheet!$A:$H,6,FALSE))</f>
        <v>0</v>
      </c>
      <c r="S27" s="31">
        <f>IFERROR(VLOOKUP($E27,bug_conf_sheet!$A:$H,7,FALSE),VLOOKUP("other",bug_conf_sheet!$A:$H,7,FALSE))</f>
        <v>0</v>
      </c>
      <c r="T27" s="31">
        <f>IFERROR(VLOOKUP($E27,bug_conf_sheet!$A:$H,8,FALSE),VLOOKUP("other",bug_conf_sheet!$A:$H,8,FALSE))</f>
        <v>1</v>
      </c>
    </row>
    <row r="28" spans="1:20" ht="21" customHeight="1">
      <c r="A28" s="2" t="str">
        <f ca="1">input_313101!A$2</f>
        <v>313101</v>
      </c>
      <c r="B28" s="7" t="str">
        <f t="shared" si="0"/>
        <v>Premium3</v>
      </c>
      <c r="C28" s="7" t="str">
        <f t="shared" si="1"/>
        <v>Premium</v>
      </c>
      <c r="D28" s="7" t="str">
        <f t="shared" si="2"/>
        <v>bg</v>
      </c>
      <c r="E28" s="6">
        <v>152</v>
      </c>
      <c r="F28" s="7" t="str">
        <f>VLOOKUP(E28,[1]characters!$A:$C,3,FALSE)</f>
        <v>功夫少女ランラン</v>
      </c>
      <c r="G28" s="7" t="str">
        <f>VLOOKUP(E28,[1]characters!$A:$J,10,FALSE)</f>
        <v>PremiumW</v>
      </c>
      <c r="H28" s="7">
        <f>VLOOKUP(E28,[1]characters!$A:$I,9,FALSE)</f>
        <v>3</v>
      </c>
      <c r="I28" s="7" t="str">
        <f>VLOOKUP(E28,[1]characters!$A:$H,8,FALSE)</f>
        <v>green</v>
      </c>
      <c r="J28" s="7" t="str">
        <f>VLOOKUP(E28,[1]characters!$A:$K,11,FALSE)</f>
        <v>heal</v>
      </c>
      <c r="K28" s="7" t="str">
        <f>VLOOKUP(E28,[1]characters!$A:$M,13,FALSE)</f>
        <v>human</v>
      </c>
      <c r="L28" s="7" t="str">
        <f>VLOOKUP(E28,[1]characters!$A:$G,7,FALSE)</f>
        <v>女性</v>
      </c>
      <c r="M28" s="62">
        <f ca="1">IFERROR(VLOOKUP(E28,input_313101!L:R,7,FALSE),VLOOKUP(tables_313101!B28,input_313101!A:H,8,FALSE))</f>
        <v>0</v>
      </c>
      <c r="N28" s="63">
        <f t="shared" ca="1" si="3"/>
        <v>0</v>
      </c>
      <c r="O28" s="31">
        <f>IFERROR(VLOOKUP($E28,bug_conf_sheet!$A:$H,3,FALSE),VLOOKUP("other",bug_conf_sheet!$A:$H,3,FALSE))</f>
        <v>1</v>
      </c>
      <c r="P28" s="31">
        <f>IFERROR(VLOOKUP($E28,bug_conf_sheet!$A:$H,4,FALSE),VLOOKUP("other",bug_conf_sheet!$A:$H,4,FALSE))</f>
        <v>0</v>
      </c>
      <c r="Q28" s="31">
        <f>IFERROR(VLOOKUP($E28,bug_conf_sheet!$A:$H,5,FALSE),VLOOKUP("other",bug_conf_sheet!$A:$H,5,FALSE))</f>
        <v>0</v>
      </c>
      <c r="R28" s="31">
        <f>IFERROR(VLOOKUP($E28,bug_conf_sheet!$A:$H,6,FALSE),VLOOKUP("other",bug_conf_sheet!$A:$H,6,FALSE))</f>
        <v>0</v>
      </c>
      <c r="S28" s="31">
        <f>IFERROR(VLOOKUP($E28,bug_conf_sheet!$A:$H,7,FALSE),VLOOKUP("other",bug_conf_sheet!$A:$H,7,FALSE))</f>
        <v>0</v>
      </c>
      <c r="T28" s="31">
        <f>IFERROR(VLOOKUP($E28,bug_conf_sheet!$A:$H,8,FALSE),VLOOKUP("other",bug_conf_sheet!$A:$H,8,FALSE))</f>
        <v>1</v>
      </c>
    </row>
    <row r="29" spans="1:20" ht="21" customHeight="1">
      <c r="A29" s="2" t="str">
        <f ca="1">input_313101!A$2</f>
        <v>313101</v>
      </c>
      <c r="B29" s="7" t="str">
        <f t="shared" si="0"/>
        <v>Premium4</v>
      </c>
      <c r="C29" s="7" t="str">
        <f t="shared" si="1"/>
        <v>Premium</v>
      </c>
      <c r="D29" s="7" t="str">
        <f t="shared" si="2"/>
        <v>bg</v>
      </c>
      <c r="E29" s="6">
        <v>153</v>
      </c>
      <c r="F29" s="7" t="str">
        <f>VLOOKUP(E29,[1]characters!$A:$C,3,FALSE)</f>
        <v>拳聖ランラン</v>
      </c>
      <c r="G29" s="7" t="str">
        <f>VLOOKUP(E29,[1]characters!$A:$J,10,FALSE)</f>
        <v>PremiumW</v>
      </c>
      <c r="H29" s="7">
        <f>VLOOKUP(E29,[1]characters!$A:$I,9,FALSE)</f>
        <v>4</v>
      </c>
      <c r="I29" s="7" t="str">
        <f>VLOOKUP(E29,[1]characters!$A:$H,8,FALSE)</f>
        <v>green</v>
      </c>
      <c r="J29" s="7" t="str">
        <f>VLOOKUP(E29,[1]characters!$A:$K,11,FALSE)</f>
        <v>heal</v>
      </c>
      <c r="K29" s="7" t="str">
        <f>VLOOKUP(E29,[1]characters!$A:$M,13,FALSE)</f>
        <v>human</v>
      </c>
      <c r="L29" s="7" t="str">
        <f>VLOOKUP(E29,[1]characters!$A:$G,7,FALSE)</f>
        <v>女性</v>
      </c>
      <c r="M29" s="62">
        <f ca="1">IFERROR(VLOOKUP(E29,input_313101!L:R,7,FALSE),VLOOKUP(tables_313101!B29,input_313101!A:H,8,FALSE))</f>
        <v>342090</v>
      </c>
      <c r="N29" s="63">
        <f t="shared" ca="1" si="3"/>
        <v>1.222972972972973E-2</v>
      </c>
      <c r="O29" s="31">
        <f>IFERROR(VLOOKUP($E29,bug_conf_sheet!$A:$H,3,FALSE),VLOOKUP("other",bug_conf_sheet!$A:$H,3,FALSE))</f>
        <v>1</v>
      </c>
      <c r="P29" s="31">
        <f>IFERROR(VLOOKUP($E29,bug_conf_sheet!$A:$H,4,FALSE),VLOOKUP("other",bug_conf_sheet!$A:$H,4,FALSE))</f>
        <v>0</v>
      </c>
      <c r="Q29" s="31">
        <f>IFERROR(VLOOKUP($E29,bug_conf_sheet!$A:$H,5,FALSE),VLOOKUP("other",bug_conf_sheet!$A:$H,5,FALSE))</f>
        <v>0</v>
      </c>
      <c r="R29" s="31">
        <f>IFERROR(VLOOKUP($E29,bug_conf_sheet!$A:$H,6,FALSE),VLOOKUP("other",bug_conf_sheet!$A:$H,6,FALSE))</f>
        <v>0</v>
      </c>
      <c r="S29" s="31">
        <f>IFERROR(VLOOKUP($E29,bug_conf_sheet!$A:$H,7,FALSE),VLOOKUP("other",bug_conf_sheet!$A:$H,7,FALSE))</f>
        <v>0</v>
      </c>
      <c r="T29" s="31">
        <f>IFERROR(VLOOKUP($E29,bug_conf_sheet!$A:$H,8,FALSE),VLOOKUP("other",bug_conf_sheet!$A:$H,8,FALSE))</f>
        <v>1</v>
      </c>
    </row>
    <row r="30" spans="1:20" ht="21" customHeight="1">
      <c r="A30" s="2" t="str">
        <f ca="1">input_313101!A$2</f>
        <v>313101</v>
      </c>
      <c r="B30" s="7" t="str">
        <f t="shared" si="0"/>
        <v>Premium3</v>
      </c>
      <c r="C30" s="7" t="str">
        <f t="shared" si="1"/>
        <v>Premium</v>
      </c>
      <c r="D30" s="7" t="str">
        <f t="shared" si="2"/>
        <v>bg</v>
      </c>
      <c r="E30" s="6">
        <v>154</v>
      </c>
      <c r="F30" s="7" t="str">
        <f>VLOOKUP(E30,[1]characters!$A:$C,3,FALSE)</f>
        <v>始末屋 ハンナ</v>
      </c>
      <c r="G30" s="7" t="str">
        <f>VLOOKUP(E30,[1]characters!$A:$J,10,FALSE)</f>
        <v>PremiumW</v>
      </c>
      <c r="H30" s="7">
        <f>VLOOKUP(E30,[1]characters!$A:$I,9,FALSE)</f>
        <v>3</v>
      </c>
      <c r="I30" s="7" t="str">
        <f>VLOOKUP(E30,[1]characters!$A:$H,8,FALSE)</f>
        <v>blue</v>
      </c>
      <c r="J30" s="7" t="str">
        <f>VLOOKUP(E30,[1]characters!$A:$K,11,FALSE)</f>
        <v>heal</v>
      </c>
      <c r="K30" s="7" t="str">
        <f>VLOOKUP(E30,[1]characters!$A:$M,13,FALSE)</f>
        <v>human</v>
      </c>
      <c r="L30" s="7" t="str">
        <f>VLOOKUP(E30,[1]characters!$A:$G,7,FALSE)</f>
        <v>女性</v>
      </c>
      <c r="M30" s="62">
        <f ca="1">IFERROR(VLOOKUP(E30,input_313101!L:R,7,FALSE),VLOOKUP(tables_313101!B30,input_313101!A:H,8,FALSE))</f>
        <v>0</v>
      </c>
      <c r="N30" s="63">
        <f t="shared" ca="1" si="3"/>
        <v>0</v>
      </c>
      <c r="O30" s="31">
        <f>IFERROR(VLOOKUP($E30,bug_conf_sheet!$A:$H,3,FALSE),VLOOKUP("other",bug_conf_sheet!$A:$H,3,FALSE))</f>
        <v>1</v>
      </c>
      <c r="P30" s="31">
        <f>IFERROR(VLOOKUP($E30,bug_conf_sheet!$A:$H,4,FALSE),VLOOKUP("other",bug_conf_sheet!$A:$H,4,FALSE))</f>
        <v>0</v>
      </c>
      <c r="Q30" s="31">
        <f>IFERROR(VLOOKUP($E30,bug_conf_sheet!$A:$H,5,FALSE),VLOOKUP("other",bug_conf_sheet!$A:$H,5,FALSE))</f>
        <v>0</v>
      </c>
      <c r="R30" s="31">
        <f>IFERROR(VLOOKUP($E30,bug_conf_sheet!$A:$H,6,FALSE),VLOOKUP("other",bug_conf_sheet!$A:$H,6,FALSE))</f>
        <v>0</v>
      </c>
      <c r="S30" s="31">
        <f>IFERROR(VLOOKUP($E30,bug_conf_sheet!$A:$H,7,FALSE),VLOOKUP("other",bug_conf_sheet!$A:$H,7,FALSE))</f>
        <v>0</v>
      </c>
      <c r="T30" s="31">
        <f>IFERROR(VLOOKUP($E30,bug_conf_sheet!$A:$H,8,FALSE),VLOOKUP("other",bug_conf_sheet!$A:$H,8,FALSE))</f>
        <v>1</v>
      </c>
    </row>
    <row r="31" spans="1:20" ht="21" customHeight="1">
      <c r="A31" s="2" t="str">
        <f ca="1">input_313101!A$2</f>
        <v>313101</v>
      </c>
      <c r="B31" s="7" t="str">
        <f t="shared" si="0"/>
        <v>Premium4</v>
      </c>
      <c r="C31" s="7" t="str">
        <f t="shared" si="1"/>
        <v>Premium</v>
      </c>
      <c r="D31" s="7" t="str">
        <f t="shared" si="2"/>
        <v>bg</v>
      </c>
      <c r="E31" s="6">
        <v>155</v>
      </c>
      <c r="F31" s="7" t="str">
        <f>VLOOKUP(E31,[1]characters!$A:$C,3,FALSE)</f>
        <v>隻眼の掃除屋 ハンナ</v>
      </c>
      <c r="G31" s="7" t="str">
        <f>VLOOKUP(E31,[1]characters!$A:$J,10,FALSE)</f>
        <v>PremiumW</v>
      </c>
      <c r="H31" s="7">
        <f>VLOOKUP(E31,[1]characters!$A:$I,9,FALSE)</f>
        <v>4</v>
      </c>
      <c r="I31" s="7" t="str">
        <f>VLOOKUP(E31,[1]characters!$A:$H,8,FALSE)</f>
        <v>blue</v>
      </c>
      <c r="J31" s="7" t="str">
        <f>VLOOKUP(E31,[1]characters!$A:$K,11,FALSE)</f>
        <v>heal</v>
      </c>
      <c r="K31" s="7" t="str">
        <f>VLOOKUP(E31,[1]characters!$A:$M,13,FALSE)</f>
        <v>human</v>
      </c>
      <c r="L31" s="7" t="str">
        <f>VLOOKUP(E31,[1]characters!$A:$G,7,FALSE)</f>
        <v>女性</v>
      </c>
      <c r="M31" s="62">
        <f ca="1">IFERROR(VLOOKUP(E31,input_313101!L:R,7,FALSE),VLOOKUP(tables_313101!B31,input_313101!A:H,8,FALSE))</f>
        <v>342090</v>
      </c>
      <c r="N31" s="63">
        <f t="shared" ca="1" si="3"/>
        <v>1.222972972972973E-2</v>
      </c>
      <c r="O31" s="31">
        <f>IFERROR(VLOOKUP($E31,bug_conf_sheet!$A:$H,3,FALSE),VLOOKUP("other",bug_conf_sheet!$A:$H,3,FALSE))</f>
        <v>1</v>
      </c>
      <c r="P31" s="31">
        <f>IFERROR(VLOOKUP($E31,bug_conf_sheet!$A:$H,4,FALSE),VLOOKUP("other",bug_conf_sheet!$A:$H,4,FALSE))</f>
        <v>0</v>
      </c>
      <c r="Q31" s="31">
        <f>IFERROR(VLOOKUP($E31,bug_conf_sheet!$A:$H,5,FALSE),VLOOKUP("other",bug_conf_sheet!$A:$H,5,FALSE))</f>
        <v>0</v>
      </c>
      <c r="R31" s="31">
        <f>IFERROR(VLOOKUP($E31,bug_conf_sheet!$A:$H,6,FALSE),VLOOKUP("other",bug_conf_sheet!$A:$H,6,FALSE))</f>
        <v>0</v>
      </c>
      <c r="S31" s="31">
        <f>IFERROR(VLOOKUP($E31,bug_conf_sheet!$A:$H,7,FALSE),VLOOKUP("other",bug_conf_sheet!$A:$H,7,FALSE))</f>
        <v>0</v>
      </c>
      <c r="T31" s="31">
        <f>IFERROR(VLOOKUP($E31,bug_conf_sheet!$A:$H,8,FALSE),VLOOKUP("other",bug_conf_sheet!$A:$H,8,FALSE))</f>
        <v>1</v>
      </c>
    </row>
    <row r="32" spans="1:20" ht="21" customHeight="1">
      <c r="A32" s="2" t="str">
        <f ca="1">input_313101!A$2</f>
        <v>313101</v>
      </c>
      <c r="B32" s="7" t="str">
        <f t="shared" si="0"/>
        <v>Premium3</v>
      </c>
      <c r="C32" s="7" t="str">
        <f t="shared" si="1"/>
        <v>Premium</v>
      </c>
      <c r="D32" s="7" t="str">
        <f t="shared" si="2"/>
        <v>ry</v>
      </c>
      <c r="E32" s="6">
        <v>156</v>
      </c>
      <c r="F32" s="7" t="str">
        <f>VLOOKUP(E32,[1]characters!$A:$C,3,FALSE)</f>
        <v>踊り子 エレナ</v>
      </c>
      <c r="G32" s="7" t="str">
        <f>VLOOKUP(E32,[1]characters!$A:$J,10,FALSE)</f>
        <v>PremiumW</v>
      </c>
      <c r="H32" s="7">
        <f>VLOOKUP(E32,[1]characters!$A:$I,9,FALSE)</f>
        <v>3</v>
      </c>
      <c r="I32" s="7" t="str">
        <f>VLOOKUP(E32,[1]characters!$A:$H,8,FALSE)</f>
        <v>yellow</v>
      </c>
      <c r="J32" s="7" t="str">
        <f>VLOOKUP(E32,[1]characters!$A:$K,11,FALSE)</f>
        <v>heal</v>
      </c>
      <c r="K32" s="7" t="str">
        <f>VLOOKUP(E32,[1]characters!$A:$M,13,FALSE)</f>
        <v>human</v>
      </c>
      <c r="L32" s="7" t="str">
        <f>VLOOKUP(E32,[1]characters!$A:$G,7,FALSE)</f>
        <v>女性</v>
      </c>
      <c r="M32" s="62">
        <f ca="1">IFERROR(VLOOKUP(E32,input_313101!L:R,7,FALSE),VLOOKUP(tables_313101!B32,input_313101!A:H,8,FALSE))</f>
        <v>0</v>
      </c>
      <c r="N32" s="63">
        <f t="shared" ca="1" si="3"/>
        <v>0</v>
      </c>
      <c r="O32" s="31">
        <f>IFERROR(VLOOKUP($E32,bug_conf_sheet!$A:$H,3,FALSE),VLOOKUP("other",bug_conf_sheet!$A:$H,3,FALSE))</f>
        <v>1</v>
      </c>
      <c r="P32" s="31">
        <f>IFERROR(VLOOKUP($E32,bug_conf_sheet!$A:$H,4,FALSE),VLOOKUP("other",bug_conf_sheet!$A:$H,4,FALSE))</f>
        <v>0</v>
      </c>
      <c r="Q32" s="31">
        <f>IFERROR(VLOOKUP($E32,bug_conf_sheet!$A:$H,5,FALSE),VLOOKUP("other",bug_conf_sheet!$A:$H,5,FALSE))</f>
        <v>0</v>
      </c>
      <c r="R32" s="31">
        <f>IFERROR(VLOOKUP($E32,bug_conf_sheet!$A:$H,6,FALSE),VLOOKUP("other",bug_conf_sheet!$A:$H,6,FALSE))</f>
        <v>0</v>
      </c>
      <c r="S32" s="31">
        <f>IFERROR(VLOOKUP($E32,bug_conf_sheet!$A:$H,7,FALSE),VLOOKUP("other",bug_conf_sheet!$A:$H,7,FALSE))</f>
        <v>0</v>
      </c>
      <c r="T32" s="31">
        <f>IFERROR(VLOOKUP($E32,bug_conf_sheet!$A:$H,8,FALSE),VLOOKUP("other",bug_conf_sheet!$A:$H,8,FALSE))</f>
        <v>1</v>
      </c>
    </row>
    <row r="33" spans="1:20" ht="21" customHeight="1">
      <c r="A33" s="2" t="str">
        <f ca="1">input_313101!A$2</f>
        <v>313101</v>
      </c>
      <c r="B33" s="7" t="str">
        <f t="shared" si="0"/>
        <v>Premium4</v>
      </c>
      <c r="C33" s="7" t="str">
        <f t="shared" si="1"/>
        <v>Premium</v>
      </c>
      <c r="D33" s="7" t="str">
        <f t="shared" si="2"/>
        <v>ry</v>
      </c>
      <c r="E33" s="6">
        <v>157</v>
      </c>
      <c r="F33" s="7" t="str">
        <f>VLOOKUP(E33,[1]characters!$A:$C,3,FALSE)</f>
        <v>雷光舞姫 エレナ</v>
      </c>
      <c r="G33" s="7" t="str">
        <f>VLOOKUP(E33,[1]characters!$A:$J,10,FALSE)</f>
        <v>PremiumW</v>
      </c>
      <c r="H33" s="7">
        <f>VLOOKUP(E33,[1]characters!$A:$I,9,FALSE)</f>
        <v>4</v>
      </c>
      <c r="I33" s="7" t="str">
        <f>VLOOKUP(E33,[1]characters!$A:$H,8,FALSE)</f>
        <v>yellow</v>
      </c>
      <c r="J33" s="7" t="str">
        <f>VLOOKUP(E33,[1]characters!$A:$K,11,FALSE)</f>
        <v>heal</v>
      </c>
      <c r="K33" s="7" t="str">
        <f>VLOOKUP(E33,[1]characters!$A:$M,13,FALSE)</f>
        <v>human</v>
      </c>
      <c r="L33" s="7" t="str">
        <f>VLOOKUP(E33,[1]characters!$A:$G,7,FALSE)</f>
        <v>女性</v>
      </c>
      <c r="M33" s="62">
        <f ca="1">IFERROR(VLOOKUP(E33,input_313101!L:R,7,FALSE),VLOOKUP(tables_313101!B33,input_313101!A:H,8,FALSE))</f>
        <v>342090</v>
      </c>
      <c r="N33" s="63">
        <f t="shared" ca="1" si="3"/>
        <v>1.222972972972973E-2</v>
      </c>
      <c r="O33" s="31">
        <f>IFERROR(VLOOKUP($E33,bug_conf_sheet!$A:$H,3,FALSE),VLOOKUP("other",bug_conf_sheet!$A:$H,3,FALSE))</f>
        <v>1</v>
      </c>
      <c r="P33" s="31">
        <f>IFERROR(VLOOKUP($E33,bug_conf_sheet!$A:$H,4,FALSE),VLOOKUP("other",bug_conf_sheet!$A:$H,4,FALSE))</f>
        <v>0</v>
      </c>
      <c r="Q33" s="31">
        <f>IFERROR(VLOOKUP($E33,bug_conf_sheet!$A:$H,5,FALSE),VLOOKUP("other",bug_conf_sheet!$A:$H,5,FALSE))</f>
        <v>0</v>
      </c>
      <c r="R33" s="31">
        <f>IFERROR(VLOOKUP($E33,bug_conf_sheet!$A:$H,6,FALSE),VLOOKUP("other",bug_conf_sheet!$A:$H,6,FALSE))</f>
        <v>0</v>
      </c>
      <c r="S33" s="31">
        <f>IFERROR(VLOOKUP($E33,bug_conf_sheet!$A:$H,7,FALSE),VLOOKUP("other",bug_conf_sheet!$A:$H,7,FALSE))</f>
        <v>0</v>
      </c>
      <c r="T33" s="31">
        <f>IFERROR(VLOOKUP($E33,bug_conf_sheet!$A:$H,8,FALSE),VLOOKUP("other",bug_conf_sheet!$A:$H,8,FALSE))</f>
        <v>1</v>
      </c>
    </row>
    <row r="34" spans="1:20" ht="21" customHeight="1">
      <c r="A34" s="2" t="str">
        <f ca="1">input_313101!A$2</f>
        <v>313101</v>
      </c>
      <c r="B34" s="7" t="str">
        <f t="shared" si="0"/>
        <v>Premium3</v>
      </c>
      <c r="C34" s="7" t="str">
        <f t="shared" si="1"/>
        <v>Premium</v>
      </c>
      <c r="D34" s="7" t="str">
        <f t="shared" si="2"/>
        <v>ry</v>
      </c>
      <c r="E34" s="6">
        <v>158</v>
      </c>
      <c r="F34" s="7" t="str">
        <f>VLOOKUP(E34,[1]characters!$A:$C,3,FALSE)</f>
        <v>シスター シャルロッテ</v>
      </c>
      <c r="G34" s="7" t="str">
        <f>VLOOKUP(E34,[1]characters!$A:$J,10,FALSE)</f>
        <v>PremiumW</v>
      </c>
      <c r="H34" s="7">
        <f>VLOOKUP(E34,[1]characters!$A:$I,9,FALSE)</f>
        <v>3</v>
      </c>
      <c r="I34" s="7" t="str">
        <f>VLOOKUP(E34,[1]characters!$A:$H,8,FALSE)</f>
        <v>red</v>
      </c>
      <c r="J34" s="7" t="str">
        <f>VLOOKUP(E34,[1]characters!$A:$K,11,FALSE)</f>
        <v>heal</v>
      </c>
      <c r="K34" s="7" t="str">
        <f>VLOOKUP(E34,[1]characters!$A:$M,13,FALSE)</f>
        <v>human</v>
      </c>
      <c r="L34" s="7" t="str">
        <f>VLOOKUP(E34,[1]characters!$A:$G,7,FALSE)</f>
        <v>女性</v>
      </c>
      <c r="M34" s="62">
        <f ca="1">IFERROR(VLOOKUP(E34,input_313101!L:R,7,FALSE),VLOOKUP(tables_313101!B34,input_313101!A:H,8,FALSE))</f>
        <v>0</v>
      </c>
      <c r="N34" s="63">
        <f t="shared" ca="1" si="3"/>
        <v>0</v>
      </c>
      <c r="O34" s="31">
        <f>IFERROR(VLOOKUP($E34,bug_conf_sheet!$A:$H,3,FALSE),VLOOKUP("other",bug_conf_sheet!$A:$H,3,FALSE))</f>
        <v>1</v>
      </c>
      <c r="P34" s="31">
        <f>IFERROR(VLOOKUP($E34,bug_conf_sheet!$A:$H,4,FALSE),VLOOKUP("other",bug_conf_sheet!$A:$H,4,FALSE))</f>
        <v>0</v>
      </c>
      <c r="Q34" s="31">
        <f>IFERROR(VLOOKUP($E34,bug_conf_sheet!$A:$H,5,FALSE),VLOOKUP("other",bug_conf_sheet!$A:$H,5,FALSE))</f>
        <v>0</v>
      </c>
      <c r="R34" s="31">
        <f>IFERROR(VLOOKUP($E34,bug_conf_sheet!$A:$H,6,FALSE),VLOOKUP("other",bug_conf_sheet!$A:$H,6,FALSE))</f>
        <v>0</v>
      </c>
      <c r="S34" s="31">
        <f>IFERROR(VLOOKUP($E34,bug_conf_sheet!$A:$H,7,FALSE),VLOOKUP("other",bug_conf_sheet!$A:$H,7,FALSE))</f>
        <v>0</v>
      </c>
      <c r="T34" s="31">
        <f>IFERROR(VLOOKUP($E34,bug_conf_sheet!$A:$H,8,FALSE),VLOOKUP("other",bug_conf_sheet!$A:$H,8,FALSE))</f>
        <v>1</v>
      </c>
    </row>
    <row r="35" spans="1:20" ht="21" customHeight="1">
      <c r="A35" s="2" t="str">
        <f ca="1">input_313101!A$2</f>
        <v>313101</v>
      </c>
      <c r="B35" s="7" t="str">
        <f t="shared" si="0"/>
        <v>Premium4</v>
      </c>
      <c r="C35" s="7" t="str">
        <f t="shared" si="1"/>
        <v>Premium</v>
      </c>
      <c r="D35" s="7" t="str">
        <f t="shared" si="2"/>
        <v>ry</v>
      </c>
      <c r="E35" s="6">
        <v>159</v>
      </c>
      <c r="F35" s="7" t="str">
        <f>VLOOKUP(E35,[1]characters!$A:$C,3,FALSE)</f>
        <v>邪を狩りし者 シャルロッテ</v>
      </c>
      <c r="G35" s="7" t="str">
        <f>VLOOKUP(E35,[1]characters!$A:$J,10,FALSE)</f>
        <v>PremiumW</v>
      </c>
      <c r="H35" s="7">
        <f>VLOOKUP(E35,[1]characters!$A:$I,9,FALSE)</f>
        <v>4</v>
      </c>
      <c r="I35" s="7" t="str">
        <f>VLOOKUP(E35,[1]characters!$A:$H,8,FALSE)</f>
        <v>red</v>
      </c>
      <c r="J35" s="7" t="str">
        <f>VLOOKUP(E35,[1]characters!$A:$K,11,FALSE)</f>
        <v>heal</v>
      </c>
      <c r="K35" s="7" t="str">
        <f>VLOOKUP(E35,[1]characters!$A:$M,13,FALSE)</f>
        <v>human</v>
      </c>
      <c r="L35" s="7" t="str">
        <f>VLOOKUP(E35,[1]characters!$A:$G,7,FALSE)</f>
        <v>女性</v>
      </c>
      <c r="M35" s="62">
        <f ca="1">IFERROR(VLOOKUP(E35,input_313101!L:R,7,FALSE),VLOOKUP(tables_313101!B35,input_313101!A:H,8,FALSE))</f>
        <v>342090</v>
      </c>
      <c r="N35" s="63">
        <f t="shared" ca="1" si="3"/>
        <v>1.222972972972973E-2</v>
      </c>
      <c r="O35" s="31">
        <f>IFERROR(VLOOKUP($E35,bug_conf_sheet!$A:$H,3,FALSE),VLOOKUP("other",bug_conf_sheet!$A:$H,3,FALSE))</f>
        <v>1</v>
      </c>
      <c r="P35" s="31">
        <f>IFERROR(VLOOKUP($E35,bug_conf_sheet!$A:$H,4,FALSE),VLOOKUP("other",bug_conf_sheet!$A:$H,4,FALSE))</f>
        <v>0</v>
      </c>
      <c r="Q35" s="31">
        <f>IFERROR(VLOOKUP($E35,bug_conf_sheet!$A:$H,5,FALSE),VLOOKUP("other",bug_conf_sheet!$A:$H,5,FALSE))</f>
        <v>0</v>
      </c>
      <c r="R35" s="31">
        <f>IFERROR(VLOOKUP($E35,bug_conf_sheet!$A:$H,6,FALSE),VLOOKUP("other",bug_conf_sheet!$A:$H,6,FALSE))</f>
        <v>0</v>
      </c>
      <c r="S35" s="31">
        <f>IFERROR(VLOOKUP($E35,bug_conf_sheet!$A:$H,7,FALSE),VLOOKUP("other",bug_conf_sheet!$A:$H,7,FALSE))</f>
        <v>0</v>
      </c>
      <c r="T35" s="31">
        <f>IFERROR(VLOOKUP($E35,bug_conf_sheet!$A:$H,8,FALSE),VLOOKUP("other",bug_conf_sheet!$A:$H,8,FALSE))</f>
        <v>1</v>
      </c>
    </row>
    <row r="36" spans="1:20" ht="21" customHeight="1">
      <c r="A36" s="2" t="str">
        <f ca="1">input_313101!A$2</f>
        <v>313101</v>
      </c>
      <c r="B36" s="7" t="str">
        <f t="shared" si="0"/>
        <v>Premium3</v>
      </c>
      <c r="C36" s="7" t="str">
        <f t="shared" si="1"/>
        <v>Premium</v>
      </c>
      <c r="D36" s="7" t="str">
        <f t="shared" si="2"/>
        <v>bg</v>
      </c>
      <c r="E36" s="6">
        <v>160</v>
      </c>
      <c r="F36" s="7" t="str">
        <f>VLOOKUP(E36,[1]characters!$A:$C,3,FALSE)</f>
        <v>反逆者 クリエ</v>
      </c>
      <c r="G36" s="7" t="str">
        <f>VLOOKUP(E36,[1]characters!$A:$J,10,FALSE)</f>
        <v>PremiumW</v>
      </c>
      <c r="H36" s="7">
        <f>VLOOKUP(E36,[1]characters!$A:$I,9,FALSE)</f>
        <v>3</v>
      </c>
      <c r="I36" s="7" t="str">
        <f>VLOOKUP(E36,[1]characters!$A:$H,8,FALSE)</f>
        <v>green</v>
      </c>
      <c r="J36" s="7" t="str">
        <f>VLOOKUP(E36,[1]characters!$A:$K,11,FALSE)</f>
        <v>balance</v>
      </c>
      <c r="K36" s="7" t="str">
        <f>VLOOKUP(E36,[1]characters!$A:$M,13,FALSE)</f>
        <v>human</v>
      </c>
      <c r="L36" s="7" t="str">
        <f>VLOOKUP(E36,[1]characters!$A:$G,7,FALSE)</f>
        <v>女性</v>
      </c>
      <c r="M36" s="62">
        <f ca="1">IFERROR(VLOOKUP(E36,input_313101!L:R,7,FALSE),VLOOKUP(tables_313101!B36,input_313101!A:H,8,FALSE))</f>
        <v>0</v>
      </c>
      <c r="N36" s="63">
        <f t="shared" ca="1" si="3"/>
        <v>0</v>
      </c>
      <c r="O36" s="31">
        <f>IFERROR(VLOOKUP($E36,bug_conf_sheet!$A:$H,3,FALSE),VLOOKUP("other",bug_conf_sheet!$A:$H,3,FALSE))</f>
        <v>1</v>
      </c>
      <c r="P36" s="31">
        <f>IFERROR(VLOOKUP($E36,bug_conf_sheet!$A:$H,4,FALSE),VLOOKUP("other",bug_conf_sheet!$A:$H,4,FALSE))</f>
        <v>0</v>
      </c>
      <c r="Q36" s="31">
        <f>IFERROR(VLOOKUP($E36,bug_conf_sheet!$A:$H,5,FALSE),VLOOKUP("other",bug_conf_sheet!$A:$H,5,FALSE))</f>
        <v>0</v>
      </c>
      <c r="R36" s="31">
        <f>IFERROR(VLOOKUP($E36,bug_conf_sheet!$A:$H,6,FALSE),VLOOKUP("other",bug_conf_sheet!$A:$H,6,FALSE))</f>
        <v>0</v>
      </c>
      <c r="S36" s="31">
        <f>IFERROR(VLOOKUP($E36,bug_conf_sheet!$A:$H,7,FALSE),VLOOKUP("other",bug_conf_sheet!$A:$H,7,FALSE))</f>
        <v>0</v>
      </c>
      <c r="T36" s="31">
        <f>IFERROR(VLOOKUP($E36,bug_conf_sheet!$A:$H,8,FALSE),VLOOKUP("other",bug_conf_sheet!$A:$H,8,FALSE))</f>
        <v>1</v>
      </c>
    </row>
    <row r="37" spans="1:20" ht="21" customHeight="1">
      <c r="A37" s="2" t="str">
        <f ca="1">input_313101!A$2</f>
        <v>313101</v>
      </c>
      <c r="B37" s="7" t="str">
        <f t="shared" si="0"/>
        <v>Premium4</v>
      </c>
      <c r="C37" s="7" t="str">
        <f t="shared" si="1"/>
        <v>Premium</v>
      </c>
      <c r="D37" s="7" t="str">
        <f t="shared" si="2"/>
        <v>bg</v>
      </c>
      <c r="E37" s="6">
        <v>161</v>
      </c>
      <c r="F37" s="7" t="str">
        <f>VLOOKUP(E37,[1]characters!$A:$C,3,FALSE)</f>
        <v>咆哮の先導者 クリエ</v>
      </c>
      <c r="G37" s="7" t="str">
        <f>VLOOKUP(E37,[1]characters!$A:$J,10,FALSE)</f>
        <v>PremiumW</v>
      </c>
      <c r="H37" s="7">
        <f>VLOOKUP(E37,[1]characters!$A:$I,9,FALSE)</f>
        <v>4</v>
      </c>
      <c r="I37" s="7" t="str">
        <f>VLOOKUP(E37,[1]characters!$A:$H,8,FALSE)</f>
        <v>green</v>
      </c>
      <c r="J37" s="7" t="str">
        <f>VLOOKUP(E37,[1]characters!$A:$K,11,FALSE)</f>
        <v>balance</v>
      </c>
      <c r="K37" s="7" t="str">
        <f>VLOOKUP(E37,[1]characters!$A:$M,13,FALSE)</f>
        <v>human</v>
      </c>
      <c r="L37" s="7" t="str">
        <f>VLOOKUP(E37,[1]characters!$A:$G,7,FALSE)</f>
        <v>女性</v>
      </c>
      <c r="M37" s="62">
        <f ca="1">IFERROR(VLOOKUP(E37,input_313101!L:R,7,FALSE),VLOOKUP(tables_313101!B37,input_313101!A:H,8,FALSE))</f>
        <v>342090</v>
      </c>
      <c r="N37" s="63">
        <f t="shared" ca="1" si="3"/>
        <v>1.222972972972973E-2</v>
      </c>
      <c r="O37" s="31">
        <f>IFERROR(VLOOKUP($E37,bug_conf_sheet!$A:$H,3,FALSE),VLOOKUP("other",bug_conf_sheet!$A:$H,3,FALSE))</f>
        <v>1</v>
      </c>
      <c r="P37" s="31">
        <f>IFERROR(VLOOKUP($E37,bug_conf_sheet!$A:$H,4,FALSE),VLOOKUP("other",bug_conf_sheet!$A:$H,4,FALSE))</f>
        <v>0</v>
      </c>
      <c r="Q37" s="31">
        <f>IFERROR(VLOOKUP($E37,bug_conf_sheet!$A:$H,5,FALSE),VLOOKUP("other",bug_conf_sheet!$A:$H,5,FALSE))</f>
        <v>0</v>
      </c>
      <c r="R37" s="31">
        <f>IFERROR(VLOOKUP($E37,bug_conf_sheet!$A:$H,6,FALSE),VLOOKUP("other",bug_conf_sheet!$A:$H,6,FALSE))</f>
        <v>0</v>
      </c>
      <c r="S37" s="31">
        <f>IFERROR(VLOOKUP($E37,bug_conf_sheet!$A:$H,7,FALSE),VLOOKUP("other",bug_conf_sheet!$A:$H,7,FALSE))</f>
        <v>0</v>
      </c>
      <c r="T37" s="31">
        <f>IFERROR(VLOOKUP($E37,bug_conf_sheet!$A:$H,8,FALSE),VLOOKUP("other",bug_conf_sheet!$A:$H,8,FALSE))</f>
        <v>1</v>
      </c>
    </row>
    <row r="38" spans="1:20" ht="21" customHeight="1">
      <c r="A38" s="2" t="str">
        <f ca="1">input_313101!A$2</f>
        <v>313101</v>
      </c>
      <c r="B38" s="7" t="str">
        <f t="shared" si="0"/>
        <v>Premium3</v>
      </c>
      <c r="C38" s="7" t="str">
        <f t="shared" si="1"/>
        <v>Premium</v>
      </c>
      <c r="D38" s="7" t="str">
        <f t="shared" si="2"/>
        <v>bg</v>
      </c>
      <c r="E38" s="6">
        <v>162</v>
      </c>
      <c r="F38" s="7" t="str">
        <f>VLOOKUP(E38,[1]characters!$A:$C,3,FALSE)</f>
        <v>狂女 クララ</v>
      </c>
      <c r="G38" s="7" t="str">
        <f>VLOOKUP(E38,[1]characters!$A:$J,10,FALSE)</f>
        <v>PremiumW</v>
      </c>
      <c r="H38" s="7">
        <f>VLOOKUP(E38,[1]characters!$A:$I,9,FALSE)</f>
        <v>3</v>
      </c>
      <c r="I38" s="7" t="str">
        <f>VLOOKUP(E38,[1]characters!$A:$H,8,FALSE)</f>
        <v>blue</v>
      </c>
      <c r="J38" s="7" t="str">
        <f>VLOOKUP(E38,[1]characters!$A:$K,11,FALSE)</f>
        <v>attack</v>
      </c>
      <c r="K38" s="7" t="str">
        <f>VLOOKUP(E38,[1]characters!$A:$M,13,FALSE)</f>
        <v>human</v>
      </c>
      <c r="L38" s="7" t="str">
        <f>VLOOKUP(E38,[1]characters!$A:$G,7,FALSE)</f>
        <v>女性</v>
      </c>
      <c r="M38" s="62">
        <f ca="1">IFERROR(VLOOKUP(E38,input_313101!L:R,7,FALSE),VLOOKUP(tables_313101!B38,input_313101!A:H,8,FALSE))</f>
        <v>0</v>
      </c>
      <c r="N38" s="63">
        <f t="shared" ca="1" si="3"/>
        <v>0</v>
      </c>
      <c r="O38" s="31">
        <f>IFERROR(VLOOKUP($E38,bug_conf_sheet!$A:$H,3,FALSE),VLOOKUP("other",bug_conf_sheet!$A:$H,3,FALSE))</f>
        <v>1</v>
      </c>
      <c r="P38" s="31">
        <f>IFERROR(VLOOKUP($E38,bug_conf_sheet!$A:$H,4,FALSE),VLOOKUP("other",bug_conf_sheet!$A:$H,4,FALSE))</f>
        <v>0</v>
      </c>
      <c r="Q38" s="31">
        <f>IFERROR(VLOOKUP($E38,bug_conf_sheet!$A:$H,5,FALSE),VLOOKUP("other",bug_conf_sheet!$A:$H,5,FALSE))</f>
        <v>0</v>
      </c>
      <c r="R38" s="31">
        <f>IFERROR(VLOOKUP($E38,bug_conf_sheet!$A:$H,6,FALSE),VLOOKUP("other",bug_conf_sheet!$A:$H,6,FALSE))</f>
        <v>0</v>
      </c>
      <c r="S38" s="31">
        <f>IFERROR(VLOOKUP($E38,bug_conf_sheet!$A:$H,7,FALSE),VLOOKUP("other",bug_conf_sheet!$A:$H,7,FALSE))</f>
        <v>0</v>
      </c>
      <c r="T38" s="31">
        <f>IFERROR(VLOOKUP($E38,bug_conf_sheet!$A:$H,8,FALSE),VLOOKUP("other",bug_conf_sheet!$A:$H,8,FALSE))</f>
        <v>1</v>
      </c>
    </row>
    <row r="39" spans="1:20" ht="21" customHeight="1">
      <c r="A39" s="2" t="str">
        <f ca="1">input_313101!A$2</f>
        <v>313101</v>
      </c>
      <c r="B39" s="7" t="str">
        <f t="shared" si="0"/>
        <v>Premium4</v>
      </c>
      <c r="C39" s="7" t="str">
        <f t="shared" si="1"/>
        <v>Premium</v>
      </c>
      <c r="D39" s="7" t="str">
        <f t="shared" si="2"/>
        <v>bg</v>
      </c>
      <c r="E39" s="6">
        <v>163</v>
      </c>
      <c r="F39" s="7" t="str">
        <f>VLOOKUP(E39,[1]characters!$A:$C,3,FALSE)</f>
        <v>冷酷な狂嬢 クララ</v>
      </c>
      <c r="G39" s="7" t="str">
        <f>VLOOKUP(E39,[1]characters!$A:$J,10,FALSE)</f>
        <v>PremiumW</v>
      </c>
      <c r="H39" s="7">
        <f>VLOOKUP(E39,[1]characters!$A:$I,9,FALSE)</f>
        <v>4</v>
      </c>
      <c r="I39" s="7" t="str">
        <f>VLOOKUP(E39,[1]characters!$A:$H,8,FALSE)</f>
        <v>blue</v>
      </c>
      <c r="J39" s="7" t="str">
        <f>VLOOKUP(E39,[1]characters!$A:$K,11,FALSE)</f>
        <v>attack</v>
      </c>
      <c r="K39" s="7" t="str">
        <f>VLOOKUP(E39,[1]characters!$A:$M,13,FALSE)</f>
        <v>human</v>
      </c>
      <c r="L39" s="7" t="str">
        <f>VLOOKUP(E39,[1]characters!$A:$G,7,FALSE)</f>
        <v>女性</v>
      </c>
      <c r="M39" s="62">
        <f ca="1">IFERROR(VLOOKUP(E39,input_313101!L:R,7,FALSE),VLOOKUP(tables_313101!B39,input_313101!A:H,8,FALSE))</f>
        <v>342090</v>
      </c>
      <c r="N39" s="63">
        <f t="shared" ca="1" si="3"/>
        <v>1.222972972972973E-2</v>
      </c>
      <c r="O39" s="31">
        <f>IFERROR(VLOOKUP($E39,bug_conf_sheet!$A:$H,3,FALSE),VLOOKUP("other",bug_conf_sheet!$A:$H,3,FALSE))</f>
        <v>1</v>
      </c>
      <c r="P39" s="31">
        <f>IFERROR(VLOOKUP($E39,bug_conf_sheet!$A:$H,4,FALSE),VLOOKUP("other",bug_conf_sheet!$A:$H,4,FALSE))</f>
        <v>0</v>
      </c>
      <c r="Q39" s="31">
        <f>IFERROR(VLOOKUP($E39,bug_conf_sheet!$A:$H,5,FALSE),VLOOKUP("other",bug_conf_sheet!$A:$H,5,FALSE))</f>
        <v>0</v>
      </c>
      <c r="R39" s="31">
        <f>IFERROR(VLOOKUP($E39,bug_conf_sheet!$A:$H,6,FALSE),VLOOKUP("other",bug_conf_sheet!$A:$H,6,FALSE))</f>
        <v>0</v>
      </c>
      <c r="S39" s="31">
        <f>IFERROR(VLOOKUP($E39,bug_conf_sheet!$A:$H,7,FALSE),VLOOKUP("other",bug_conf_sheet!$A:$H,7,FALSE))</f>
        <v>0</v>
      </c>
      <c r="T39" s="31">
        <f>IFERROR(VLOOKUP($E39,bug_conf_sheet!$A:$H,8,FALSE),VLOOKUP("other",bug_conf_sheet!$A:$H,8,FALSE))</f>
        <v>1</v>
      </c>
    </row>
    <row r="40" spans="1:20" ht="21" customHeight="1">
      <c r="A40" s="2" t="str">
        <f ca="1">input_313101!A$2</f>
        <v>313101</v>
      </c>
      <c r="B40" s="7" t="str">
        <f t="shared" si="0"/>
        <v>Premium3</v>
      </c>
      <c r="C40" s="7" t="str">
        <f t="shared" si="1"/>
        <v>Premium</v>
      </c>
      <c r="D40" s="7" t="str">
        <f t="shared" si="2"/>
        <v>ry</v>
      </c>
      <c r="E40" s="6">
        <v>164</v>
      </c>
      <c r="F40" s="7" t="str">
        <f>VLOOKUP(E40,[1]characters!$A:$C,3,FALSE)</f>
        <v>イブとトモダチ</v>
      </c>
      <c r="G40" s="7" t="str">
        <f>VLOOKUP(E40,[1]characters!$A:$J,10,FALSE)</f>
        <v>PremiumW</v>
      </c>
      <c r="H40" s="7">
        <f>VLOOKUP(E40,[1]characters!$A:$I,9,FALSE)</f>
        <v>3</v>
      </c>
      <c r="I40" s="7" t="str">
        <f>VLOOKUP(E40,[1]characters!$A:$H,8,FALSE)</f>
        <v>yellow</v>
      </c>
      <c r="J40" s="7" t="str">
        <f>VLOOKUP(E40,[1]characters!$A:$K,11,FALSE)</f>
        <v>technical</v>
      </c>
      <c r="K40" s="7" t="str">
        <f>VLOOKUP(E40,[1]characters!$A:$M,13,FALSE)</f>
        <v>human</v>
      </c>
      <c r="L40" s="7" t="str">
        <f>VLOOKUP(E40,[1]characters!$A:$G,7,FALSE)</f>
        <v>女性</v>
      </c>
      <c r="M40" s="62">
        <f ca="1">IFERROR(VLOOKUP(E40,input_313101!L:R,7,FALSE),VLOOKUP(tables_313101!B40,input_313101!A:H,8,FALSE))</f>
        <v>0</v>
      </c>
      <c r="N40" s="63">
        <f t="shared" ca="1" si="3"/>
        <v>0</v>
      </c>
      <c r="O40" s="31">
        <f>IFERROR(VLOOKUP($E40,bug_conf_sheet!$A:$H,3,FALSE),VLOOKUP("other",bug_conf_sheet!$A:$H,3,FALSE))</f>
        <v>1</v>
      </c>
      <c r="P40" s="31">
        <f>IFERROR(VLOOKUP($E40,bug_conf_sheet!$A:$H,4,FALSE),VLOOKUP("other",bug_conf_sheet!$A:$H,4,FALSE))</f>
        <v>0</v>
      </c>
      <c r="Q40" s="31">
        <f>IFERROR(VLOOKUP($E40,bug_conf_sheet!$A:$H,5,FALSE),VLOOKUP("other",bug_conf_sheet!$A:$H,5,FALSE))</f>
        <v>0</v>
      </c>
      <c r="R40" s="31">
        <f>IFERROR(VLOOKUP($E40,bug_conf_sheet!$A:$H,6,FALSE),VLOOKUP("other",bug_conf_sheet!$A:$H,6,FALSE))</f>
        <v>0</v>
      </c>
      <c r="S40" s="31">
        <f>IFERROR(VLOOKUP($E40,bug_conf_sheet!$A:$H,7,FALSE),VLOOKUP("other",bug_conf_sheet!$A:$H,7,FALSE))</f>
        <v>0</v>
      </c>
      <c r="T40" s="31">
        <f>IFERROR(VLOOKUP($E40,bug_conf_sheet!$A:$H,8,FALSE),VLOOKUP("other",bug_conf_sheet!$A:$H,8,FALSE))</f>
        <v>1</v>
      </c>
    </row>
    <row r="41" spans="1:20" ht="21" customHeight="1">
      <c r="A41" s="2" t="str">
        <f ca="1">input_313101!A$2</f>
        <v>313101</v>
      </c>
      <c r="B41" s="7" t="str">
        <f t="shared" si="0"/>
        <v>Premium4</v>
      </c>
      <c r="C41" s="7" t="str">
        <f t="shared" si="1"/>
        <v>Premium</v>
      </c>
      <c r="D41" s="7" t="str">
        <f t="shared" si="2"/>
        <v>ry</v>
      </c>
      <c r="E41" s="6">
        <v>165</v>
      </c>
      <c r="F41" s="7" t="str">
        <f>VLOOKUP(E41,[1]characters!$A:$C,3,FALSE)</f>
        <v>イブとたったひとりのトモダチ</v>
      </c>
      <c r="G41" s="7" t="str">
        <f>VLOOKUP(E41,[1]characters!$A:$J,10,FALSE)</f>
        <v>PremiumW</v>
      </c>
      <c r="H41" s="7">
        <f>VLOOKUP(E41,[1]characters!$A:$I,9,FALSE)</f>
        <v>4</v>
      </c>
      <c r="I41" s="7" t="str">
        <f>VLOOKUP(E41,[1]characters!$A:$H,8,FALSE)</f>
        <v>yellow</v>
      </c>
      <c r="J41" s="7" t="str">
        <f>VLOOKUP(E41,[1]characters!$A:$K,11,FALSE)</f>
        <v>technical</v>
      </c>
      <c r="K41" s="7" t="str">
        <f>VLOOKUP(E41,[1]characters!$A:$M,13,FALSE)</f>
        <v>human</v>
      </c>
      <c r="L41" s="7" t="str">
        <f>VLOOKUP(E41,[1]characters!$A:$G,7,FALSE)</f>
        <v>女性</v>
      </c>
      <c r="M41" s="62">
        <f ca="1">IFERROR(VLOOKUP(E41,input_313101!L:R,7,FALSE),VLOOKUP(tables_313101!B41,input_313101!A:H,8,FALSE))</f>
        <v>342090</v>
      </c>
      <c r="N41" s="63">
        <f t="shared" ca="1" si="3"/>
        <v>1.222972972972973E-2</v>
      </c>
      <c r="O41" s="31">
        <f>IFERROR(VLOOKUP($E41,bug_conf_sheet!$A:$H,3,FALSE),VLOOKUP("other",bug_conf_sheet!$A:$H,3,FALSE))</f>
        <v>1</v>
      </c>
      <c r="P41" s="31">
        <f>IFERROR(VLOOKUP($E41,bug_conf_sheet!$A:$H,4,FALSE),VLOOKUP("other",bug_conf_sheet!$A:$H,4,FALSE))</f>
        <v>0</v>
      </c>
      <c r="Q41" s="31">
        <f>IFERROR(VLOOKUP($E41,bug_conf_sheet!$A:$H,5,FALSE),VLOOKUP("other",bug_conf_sheet!$A:$H,5,FALSE))</f>
        <v>0</v>
      </c>
      <c r="R41" s="31">
        <f>IFERROR(VLOOKUP($E41,bug_conf_sheet!$A:$H,6,FALSE),VLOOKUP("other",bug_conf_sheet!$A:$H,6,FALSE))</f>
        <v>0</v>
      </c>
      <c r="S41" s="31">
        <f>IFERROR(VLOOKUP($E41,bug_conf_sheet!$A:$H,7,FALSE),VLOOKUP("other",bug_conf_sheet!$A:$H,7,FALSE))</f>
        <v>0</v>
      </c>
      <c r="T41" s="31">
        <f>IFERROR(VLOOKUP($E41,bug_conf_sheet!$A:$H,8,FALSE),VLOOKUP("other",bug_conf_sheet!$A:$H,8,FALSE))</f>
        <v>1</v>
      </c>
    </row>
    <row r="42" spans="1:20" ht="21" customHeight="1">
      <c r="A42" s="2" t="str">
        <f ca="1">input_313101!A$2</f>
        <v>313101</v>
      </c>
      <c r="B42" s="7" t="str">
        <f t="shared" si="0"/>
        <v>Premium3</v>
      </c>
      <c r="C42" s="7" t="str">
        <f t="shared" si="1"/>
        <v>Premium</v>
      </c>
      <c r="D42" s="7" t="str">
        <f t="shared" si="2"/>
        <v>ry</v>
      </c>
      <c r="E42" s="6">
        <v>166</v>
      </c>
      <c r="F42" s="7" t="str">
        <f>VLOOKUP(E42,[1]characters!$A:$C,3,FALSE)</f>
        <v>ベリアル</v>
      </c>
      <c r="G42" s="7" t="str">
        <f>VLOOKUP(E42,[1]characters!$A:$J,10,FALSE)</f>
        <v>PremiumN</v>
      </c>
      <c r="H42" s="7">
        <f>VLOOKUP(E42,[1]characters!$A:$I,9,FALSE)</f>
        <v>3</v>
      </c>
      <c r="I42" s="7" t="str">
        <f>VLOOKUP(E42,[1]characters!$A:$H,8,FALSE)</f>
        <v>red</v>
      </c>
      <c r="J42" s="7" t="str">
        <f>VLOOKUP(E42,[1]characters!$A:$K,11,FALSE)</f>
        <v>attack</v>
      </c>
      <c r="K42" s="7" t="str">
        <f>VLOOKUP(E42,[1]characters!$A:$M,13,FALSE)</f>
        <v>god</v>
      </c>
      <c r="L42" s="7" t="str">
        <f>VLOOKUP(E42,[1]characters!$A:$G,7,FALSE)</f>
        <v>男性</v>
      </c>
      <c r="M42" s="62">
        <f ca="1">IFERROR(VLOOKUP(E42,input_313101!L:R,7,FALSE),VLOOKUP(tables_313101!B42,input_313101!A:H,8,FALSE))</f>
        <v>0</v>
      </c>
      <c r="N42" s="63">
        <f t="shared" ca="1" si="3"/>
        <v>0</v>
      </c>
      <c r="O42" s="31">
        <f>IFERROR(VLOOKUP($E42,bug_conf_sheet!$A:$H,3,FALSE),VLOOKUP("other",bug_conf_sheet!$A:$H,3,FALSE))</f>
        <v>1</v>
      </c>
      <c r="P42" s="31">
        <f>IFERROR(VLOOKUP($E42,bug_conf_sheet!$A:$H,4,FALSE),VLOOKUP("other",bug_conf_sheet!$A:$H,4,FALSE))</f>
        <v>0</v>
      </c>
      <c r="Q42" s="31">
        <f>IFERROR(VLOOKUP($E42,bug_conf_sheet!$A:$H,5,FALSE),VLOOKUP("other",bug_conf_sheet!$A:$H,5,FALSE))</f>
        <v>0</v>
      </c>
      <c r="R42" s="31">
        <f>IFERROR(VLOOKUP($E42,bug_conf_sheet!$A:$H,6,FALSE),VLOOKUP("other",bug_conf_sheet!$A:$H,6,FALSE))</f>
        <v>0</v>
      </c>
      <c r="S42" s="31">
        <f>IFERROR(VLOOKUP($E42,bug_conf_sheet!$A:$H,7,FALSE),VLOOKUP("other",bug_conf_sheet!$A:$H,7,FALSE))</f>
        <v>0</v>
      </c>
      <c r="T42" s="31">
        <f>IFERROR(VLOOKUP($E42,bug_conf_sheet!$A:$H,8,FALSE),VLOOKUP("other",bug_conf_sheet!$A:$H,8,FALSE))</f>
        <v>1</v>
      </c>
    </row>
    <row r="43" spans="1:20" ht="21" customHeight="1">
      <c r="A43" s="2" t="str">
        <f ca="1">input_313101!A$2</f>
        <v>313101</v>
      </c>
      <c r="B43" s="7" t="str">
        <f t="shared" si="0"/>
        <v>Premium4</v>
      </c>
      <c r="C43" s="7" t="str">
        <f t="shared" si="1"/>
        <v>Premium</v>
      </c>
      <c r="D43" s="7" t="str">
        <f t="shared" si="2"/>
        <v>ry</v>
      </c>
      <c r="E43" s="6">
        <v>167</v>
      </c>
      <c r="F43" s="7" t="str">
        <f>VLOOKUP(E43,[1]characters!$A:$C,3,FALSE)</f>
        <v>逆徒 ベリアル</v>
      </c>
      <c r="G43" s="7" t="str">
        <f>VLOOKUP(E43,[1]characters!$A:$J,10,FALSE)</f>
        <v>PremiumN</v>
      </c>
      <c r="H43" s="7">
        <f>VLOOKUP(E43,[1]characters!$A:$I,9,FALSE)</f>
        <v>4</v>
      </c>
      <c r="I43" s="7" t="str">
        <f>VLOOKUP(E43,[1]characters!$A:$H,8,FALSE)</f>
        <v>red</v>
      </c>
      <c r="J43" s="7" t="str">
        <f>VLOOKUP(E43,[1]characters!$A:$K,11,FALSE)</f>
        <v>attack</v>
      </c>
      <c r="K43" s="7" t="str">
        <f>VLOOKUP(E43,[1]characters!$A:$M,13,FALSE)</f>
        <v>god</v>
      </c>
      <c r="L43" s="7" t="str">
        <f>VLOOKUP(E43,[1]characters!$A:$G,7,FALSE)</f>
        <v>男性</v>
      </c>
      <c r="M43" s="62">
        <f ca="1">IFERROR(VLOOKUP(E43,input_313101!L:R,7,FALSE),VLOOKUP(tables_313101!B43,input_313101!A:H,8,FALSE))</f>
        <v>342090</v>
      </c>
      <c r="N43" s="63">
        <f t="shared" ca="1" si="3"/>
        <v>1.222972972972973E-2</v>
      </c>
      <c r="O43" s="31">
        <f>IFERROR(VLOOKUP($E43,bug_conf_sheet!$A:$H,3,FALSE),VLOOKUP("other",bug_conf_sheet!$A:$H,3,FALSE))</f>
        <v>1</v>
      </c>
      <c r="P43" s="31">
        <f>IFERROR(VLOOKUP($E43,bug_conf_sheet!$A:$H,4,FALSE),VLOOKUP("other",bug_conf_sheet!$A:$H,4,FALSE))</f>
        <v>0</v>
      </c>
      <c r="Q43" s="31">
        <f>IFERROR(VLOOKUP($E43,bug_conf_sheet!$A:$H,5,FALSE),VLOOKUP("other",bug_conf_sheet!$A:$H,5,FALSE))</f>
        <v>0</v>
      </c>
      <c r="R43" s="31">
        <f>IFERROR(VLOOKUP($E43,bug_conf_sheet!$A:$H,6,FALSE),VLOOKUP("other",bug_conf_sheet!$A:$H,6,FALSE))</f>
        <v>0</v>
      </c>
      <c r="S43" s="31">
        <f>IFERROR(VLOOKUP($E43,bug_conf_sheet!$A:$H,7,FALSE),VLOOKUP("other",bug_conf_sheet!$A:$H,7,FALSE))</f>
        <v>0</v>
      </c>
      <c r="T43" s="31">
        <f>IFERROR(VLOOKUP($E43,bug_conf_sheet!$A:$H,8,FALSE),VLOOKUP("other",bug_conf_sheet!$A:$H,8,FALSE))</f>
        <v>1</v>
      </c>
    </row>
    <row r="44" spans="1:20" ht="21" customHeight="1">
      <c r="A44" s="2" t="str">
        <f ca="1">input_313101!A$2</f>
        <v>313101</v>
      </c>
      <c r="B44" s="7" t="str">
        <f t="shared" si="0"/>
        <v>Premium5</v>
      </c>
      <c r="C44" s="7" t="str">
        <f t="shared" si="1"/>
        <v>Premium</v>
      </c>
      <c r="D44" s="7" t="str">
        <f t="shared" si="2"/>
        <v>ry</v>
      </c>
      <c r="E44" s="6">
        <v>168</v>
      </c>
      <c r="F44" s="7" t="str">
        <f>VLOOKUP(E44,[1]characters!$A:$C,3,FALSE)</f>
        <v>猛進の大逆者 ベリアル</v>
      </c>
      <c r="G44" s="7" t="str">
        <f>VLOOKUP(E44,[1]characters!$A:$J,10,FALSE)</f>
        <v>PremiumN</v>
      </c>
      <c r="H44" s="7">
        <f>VLOOKUP(E44,[1]characters!$A:$I,9,FALSE)</f>
        <v>5</v>
      </c>
      <c r="I44" s="7" t="str">
        <f>VLOOKUP(E44,[1]characters!$A:$H,8,FALSE)</f>
        <v>red</v>
      </c>
      <c r="J44" s="7" t="str">
        <f>VLOOKUP(E44,[1]characters!$A:$K,11,FALSE)</f>
        <v>attack</v>
      </c>
      <c r="K44" s="7" t="str">
        <f>VLOOKUP(E44,[1]characters!$A:$M,13,FALSE)</f>
        <v>god</v>
      </c>
      <c r="L44" s="7" t="str">
        <f>VLOOKUP(E44,[1]characters!$A:$G,7,FALSE)</f>
        <v>男性</v>
      </c>
      <c r="M44" s="62">
        <f ca="1">IFERROR(VLOOKUP(E44,input_313101!L:R,7,FALSE),VLOOKUP(tables_313101!B44,input_313101!A:H,8,FALSE))</f>
        <v>18130</v>
      </c>
      <c r="N44" s="63">
        <f t="shared" ca="1" si="3"/>
        <v>6.4814814814814813E-4</v>
      </c>
      <c r="O44" s="31">
        <f>IFERROR(VLOOKUP($E44,bug_conf_sheet!$A:$H,3,FALSE),VLOOKUP("other",bug_conf_sheet!$A:$H,3,FALSE))</f>
        <v>1</v>
      </c>
      <c r="P44" s="31">
        <f>IFERROR(VLOOKUP($E44,bug_conf_sheet!$A:$H,4,FALSE),VLOOKUP("other",bug_conf_sheet!$A:$H,4,FALSE))</f>
        <v>0</v>
      </c>
      <c r="Q44" s="31">
        <f>IFERROR(VLOOKUP($E44,bug_conf_sheet!$A:$H,5,FALSE),VLOOKUP("other",bug_conf_sheet!$A:$H,5,FALSE))</f>
        <v>0</v>
      </c>
      <c r="R44" s="31">
        <f>IFERROR(VLOOKUP($E44,bug_conf_sheet!$A:$H,6,FALSE),VLOOKUP("other",bug_conf_sheet!$A:$H,6,FALSE))</f>
        <v>0</v>
      </c>
      <c r="S44" s="31">
        <f>IFERROR(VLOOKUP($E44,bug_conf_sheet!$A:$H,7,FALSE),VLOOKUP("other",bug_conf_sheet!$A:$H,7,FALSE))</f>
        <v>0</v>
      </c>
      <c r="T44" s="31">
        <f>IFERROR(VLOOKUP($E44,bug_conf_sheet!$A:$H,8,FALSE),VLOOKUP("other",bug_conf_sheet!$A:$H,8,FALSE))</f>
        <v>1</v>
      </c>
    </row>
    <row r="45" spans="1:20" ht="21" customHeight="1">
      <c r="A45" s="2" t="str">
        <f ca="1">input_313101!A$2</f>
        <v>313101</v>
      </c>
      <c r="B45" s="7" t="str">
        <f t="shared" si="0"/>
        <v>Premium3</v>
      </c>
      <c r="C45" s="7" t="str">
        <f t="shared" si="1"/>
        <v>Premium</v>
      </c>
      <c r="D45" s="7" t="str">
        <f t="shared" si="2"/>
        <v>bg</v>
      </c>
      <c r="E45" s="6">
        <v>169</v>
      </c>
      <c r="F45" s="7" t="str">
        <f>VLOOKUP(E45,[1]characters!$A:$C,3,FALSE)</f>
        <v>オセ</v>
      </c>
      <c r="G45" s="7" t="str">
        <f>VLOOKUP(E45,[1]characters!$A:$J,10,FALSE)</f>
        <v>PremiumN</v>
      </c>
      <c r="H45" s="7">
        <f>VLOOKUP(E45,[1]characters!$A:$I,9,FALSE)</f>
        <v>3</v>
      </c>
      <c r="I45" s="7" t="str">
        <f>VLOOKUP(E45,[1]characters!$A:$H,8,FALSE)</f>
        <v>green</v>
      </c>
      <c r="J45" s="7" t="str">
        <f>VLOOKUP(E45,[1]characters!$A:$K,11,FALSE)</f>
        <v>attack</v>
      </c>
      <c r="K45" s="7" t="str">
        <f>VLOOKUP(E45,[1]characters!$A:$M,13,FALSE)</f>
        <v>god</v>
      </c>
      <c r="L45" s="7" t="str">
        <f>VLOOKUP(E45,[1]characters!$A:$G,7,FALSE)</f>
        <v>女性</v>
      </c>
      <c r="M45" s="62">
        <f ca="1">IFERROR(VLOOKUP(E45,input_313101!L:R,7,FALSE),VLOOKUP(tables_313101!B45,input_313101!A:H,8,FALSE))</f>
        <v>0</v>
      </c>
      <c r="N45" s="63">
        <f t="shared" ca="1" si="3"/>
        <v>0</v>
      </c>
      <c r="O45" s="31">
        <f>IFERROR(VLOOKUP($E45,bug_conf_sheet!$A:$H,3,FALSE),VLOOKUP("other",bug_conf_sheet!$A:$H,3,FALSE))</f>
        <v>1</v>
      </c>
      <c r="P45" s="31">
        <f>IFERROR(VLOOKUP($E45,bug_conf_sheet!$A:$H,4,FALSE),VLOOKUP("other",bug_conf_sheet!$A:$H,4,FALSE))</f>
        <v>0</v>
      </c>
      <c r="Q45" s="31">
        <f>IFERROR(VLOOKUP($E45,bug_conf_sheet!$A:$H,5,FALSE),VLOOKUP("other",bug_conf_sheet!$A:$H,5,FALSE))</f>
        <v>0</v>
      </c>
      <c r="R45" s="31">
        <f>IFERROR(VLOOKUP($E45,bug_conf_sheet!$A:$H,6,FALSE),VLOOKUP("other",bug_conf_sheet!$A:$H,6,FALSE))</f>
        <v>0</v>
      </c>
      <c r="S45" s="31">
        <f>IFERROR(VLOOKUP($E45,bug_conf_sheet!$A:$H,7,FALSE),VLOOKUP("other",bug_conf_sheet!$A:$H,7,FALSE))</f>
        <v>0</v>
      </c>
      <c r="T45" s="31">
        <f>IFERROR(VLOOKUP($E45,bug_conf_sheet!$A:$H,8,FALSE),VLOOKUP("other",bug_conf_sheet!$A:$H,8,FALSE))</f>
        <v>1</v>
      </c>
    </row>
    <row r="46" spans="1:20" ht="21" customHeight="1">
      <c r="A46" s="2" t="str">
        <f ca="1">input_313101!A$2</f>
        <v>313101</v>
      </c>
      <c r="B46" s="7" t="str">
        <f t="shared" si="0"/>
        <v>Premium4</v>
      </c>
      <c r="C46" s="7" t="str">
        <f t="shared" si="1"/>
        <v>Premium</v>
      </c>
      <c r="D46" s="7" t="str">
        <f t="shared" si="2"/>
        <v>bg</v>
      </c>
      <c r="E46" s="6">
        <v>170</v>
      </c>
      <c r="F46" s="7" t="str">
        <f>VLOOKUP(E46,[1]characters!$A:$C,3,FALSE)</f>
        <v>識徒 オセ</v>
      </c>
      <c r="G46" s="7" t="str">
        <f>VLOOKUP(E46,[1]characters!$A:$J,10,FALSE)</f>
        <v>PremiumN</v>
      </c>
      <c r="H46" s="7">
        <f>VLOOKUP(E46,[1]characters!$A:$I,9,FALSE)</f>
        <v>4</v>
      </c>
      <c r="I46" s="7" t="str">
        <f>VLOOKUP(E46,[1]characters!$A:$H,8,FALSE)</f>
        <v>green</v>
      </c>
      <c r="J46" s="7" t="str">
        <f>VLOOKUP(E46,[1]characters!$A:$K,11,FALSE)</f>
        <v>attack</v>
      </c>
      <c r="K46" s="7" t="str">
        <f>VLOOKUP(E46,[1]characters!$A:$M,13,FALSE)</f>
        <v>god</v>
      </c>
      <c r="L46" s="7" t="str">
        <f>VLOOKUP(E46,[1]characters!$A:$G,7,FALSE)</f>
        <v>女性</v>
      </c>
      <c r="M46" s="62">
        <f ca="1">IFERROR(VLOOKUP(E46,input_313101!L:R,7,FALSE),VLOOKUP(tables_313101!B46,input_313101!A:H,8,FALSE))</f>
        <v>342090</v>
      </c>
      <c r="N46" s="63">
        <f t="shared" ca="1" si="3"/>
        <v>1.222972972972973E-2</v>
      </c>
      <c r="O46" s="31">
        <f>IFERROR(VLOOKUP($E46,bug_conf_sheet!$A:$H,3,FALSE),VLOOKUP("other",bug_conf_sheet!$A:$H,3,FALSE))</f>
        <v>1</v>
      </c>
      <c r="P46" s="31">
        <f>IFERROR(VLOOKUP($E46,bug_conf_sheet!$A:$H,4,FALSE),VLOOKUP("other",bug_conf_sheet!$A:$H,4,FALSE))</f>
        <v>0</v>
      </c>
      <c r="Q46" s="31">
        <f>IFERROR(VLOOKUP($E46,bug_conf_sheet!$A:$H,5,FALSE),VLOOKUP("other",bug_conf_sheet!$A:$H,5,FALSE))</f>
        <v>0</v>
      </c>
      <c r="R46" s="31">
        <f>IFERROR(VLOOKUP($E46,bug_conf_sheet!$A:$H,6,FALSE),VLOOKUP("other",bug_conf_sheet!$A:$H,6,FALSE))</f>
        <v>0</v>
      </c>
      <c r="S46" s="31">
        <f>IFERROR(VLOOKUP($E46,bug_conf_sheet!$A:$H,7,FALSE),VLOOKUP("other",bug_conf_sheet!$A:$H,7,FALSE))</f>
        <v>0</v>
      </c>
      <c r="T46" s="31">
        <f>IFERROR(VLOOKUP($E46,bug_conf_sheet!$A:$H,8,FALSE),VLOOKUP("other",bug_conf_sheet!$A:$H,8,FALSE))</f>
        <v>1</v>
      </c>
    </row>
    <row r="47" spans="1:20" ht="21" customHeight="1">
      <c r="A47" s="2" t="str">
        <f ca="1">input_313101!A$2</f>
        <v>313101</v>
      </c>
      <c r="B47" s="7" t="str">
        <f t="shared" si="0"/>
        <v>Premium5</v>
      </c>
      <c r="C47" s="7" t="str">
        <f t="shared" si="1"/>
        <v>Premium</v>
      </c>
      <c r="D47" s="7" t="str">
        <f t="shared" si="2"/>
        <v>bg</v>
      </c>
      <c r="E47" s="6">
        <v>171</v>
      </c>
      <c r="F47" s="7" t="str">
        <f>VLOOKUP(E47,[1]characters!$A:$C,3,FALSE)</f>
        <v>精解の預知者 オセ</v>
      </c>
      <c r="G47" s="7" t="str">
        <f>VLOOKUP(E47,[1]characters!$A:$J,10,FALSE)</f>
        <v>PremiumN</v>
      </c>
      <c r="H47" s="7">
        <f>VLOOKUP(E47,[1]characters!$A:$I,9,FALSE)</f>
        <v>5</v>
      </c>
      <c r="I47" s="7" t="str">
        <f>VLOOKUP(E47,[1]characters!$A:$H,8,FALSE)</f>
        <v>green</v>
      </c>
      <c r="J47" s="7" t="str">
        <f>VLOOKUP(E47,[1]characters!$A:$K,11,FALSE)</f>
        <v>attack</v>
      </c>
      <c r="K47" s="7" t="str">
        <f>VLOOKUP(E47,[1]characters!$A:$M,13,FALSE)</f>
        <v>god</v>
      </c>
      <c r="L47" s="7" t="str">
        <f>VLOOKUP(E47,[1]characters!$A:$G,7,FALSE)</f>
        <v>女性</v>
      </c>
      <c r="M47" s="62">
        <f ca="1">IFERROR(VLOOKUP(E47,input_313101!L:R,7,FALSE),VLOOKUP(tables_313101!B47,input_313101!A:H,8,FALSE))</f>
        <v>18130</v>
      </c>
      <c r="N47" s="63">
        <f t="shared" ca="1" si="3"/>
        <v>6.4814814814814813E-4</v>
      </c>
      <c r="O47" s="31">
        <f>IFERROR(VLOOKUP($E47,bug_conf_sheet!$A:$H,3,FALSE),VLOOKUP("other",bug_conf_sheet!$A:$H,3,FALSE))</f>
        <v>1</v>
      </c>
      <c r="P47" s="31">
        <f>IFERROR(VLOOKUP($E47,bug_conf_sheet!$A:$H,4,FALSE),VLOOKUP("other",bug_conf_sheet!$A:$H,4,FALSE))</f>
        <v>0</v>
      </c>
      <c r="Q47" s="31">
        <f>IFERROR(VLOOKUP($E47,bug_conf_sheet!$A:$H,5,FALSE),VLOOKUP("other",bug_conf_sheet!$A:$H,5,FALSE))</f>
        <v>0</v>
      </c>
      <c r="R47" s="31">
        <f>IFERROR(VLOOKUP($E47,bug_conf_sheet!$A:$H,6,FALSE),VLOOKUP("other",bug_conf_sheet!$A:$H,6,FALSE))</f>
        <v>0</v>
      </c>
      <c r="S47" s="31">
        <f>IFERROR(VLOOKUP($E47,bug_conf_sheet!$A:$H,7,FALSE),VLOOKUP("other",bug_conf_sheet!$A:$H,7,FALSE))</f>
        <v>0</v>
      </c>
      <c r="T47" s="31">
        <f>IFERROR(VLOOKUP($E47,bug_conf_sheet!$A:$H,8,FALSE),VLOOKUP("other",bug_conf_sheet!$A:$H,8,FALSE))</f>
        <v>1</v>
      </c>
    </row>
    <row r="48" spans="1:20" ht="21" customHeight="1">
      <c r="A48" s="2" t="str">
        <f ca="1">input_313101!A$2</f>
        <v>313101</v>
      </c>
      <c r="B48" s="7" t="str">
        <f t="shared" si="0"/>
        <v>Premium3</v>
      </c>
      <c r="C48" s="7" t="str">
        <f t="shared" si="1"/>
        <v>Premium</v>
      </c>
      <c r="D48" s="7" t="str">
        <f t="shared" si="2"/>
        <v>bg</v>
      </c>
      <c r="E48" s="6">
        <v>172</v>
      </c>
      <c r="F48" s="7" t="str">
        <f>VLOOKUP(E48,[1]characters!$A:$C,3,FALSE)</f>
        <v>フォルネウス</v>
      </c>
      <c r="G48" s="7" t="str">
        <f>VLOOKUP(E48,[1]characters!$A:$J,10,FALSE)</f>
        <v>PremiumN</v>
      </c>
      <c r="H48" s="7">
        <f>VLOOKUP(E48,[1]characters!$A:$I,9,FALSE)</f>
        <v>3</v>
      </c>
      <c r="I48" s="7" t="str">
        <f>VLOOKUP(E48,[1]characters!$A:$H,8,FALSE)</f>
        <v>blue</v>
      </c>
      <c r="J48" s="7" t="str">
        <f>VLOOKUP(E48,[1]characters!$A:$K,11,FALSE)</f>
        <v>attack</v>
      </c>
      <c r="K48" s="7" t="str">
        <f>VLOOKUP(E48,[1]characters!$A:$M,13,FALSE)</f>
        <v>god</v>
      </c>
      <c r="L48" s="7" t="str">
        <f>VLOOKUP(E48,[1]characters!$A:$G,7,FALSE)</f>
        <v>女性</v>
      </c>
      <c r="M48" s="62">
        <f ca="1">IFERROR(VLOOKUP(E48,input_313101!L:R,7,FALSE),VLOOKUP(tables_313101!B48,input_313101!A:H,8,FALSE))</f>
        <v>0</v>
      </c>
      <c r="N48" s="63">
        <f t="shared" ca="1" si="3"/>
        <v>0</v>
      </c>
      <c r="O48" s="31">
        <f>IFERROR(VLOOKUP($E48,bug_conf_sheet!$A:$H,3,FALSE),VLOOKUP("other",bug_conf_sheet!$A:$H,3,FALSE))</f>
        <v>1</v>
      </c>
      <c r="P48" s="31">
        <f>IFERROR(VLOOKUP($E48,bug_conf_sheet!$A:$H,4,FALSE),VLOOKUP("other",bug_conf_sheet!$A:$H,4,FALSE))</f>
        <v>0</v>
      </c>
      <c r="Q48" s="31">
        <f>IFERROR(VLOOKUP($E48,bug_conf_sheet!$A:$H,5,FALSE),VLOOKUP("other",bug_conf_sheet!$A:$H,5,FALSE))</f>
        <v>0</v>
      </c>
      <c r="R48" s="31">
        <f>IFERROR(VLOOKUP($E48,bug_conf_sheet!$A:$H,6,FALSE),VLOOKUP("other",bug_conf_sheet!$A:$H,6,FALSE))</f>
        <v>0</v>
      </c>
      <c r="S48" s="31">
        <f>IFERROR(VLOOKUP($E48,bug_conf_sheet!$A:$H,7,FALSE),VLOOKUP("other",bug_conf_sheet!$A:$H,7,FALSE))</f>
        <v>0</v>
      </c>
      <c r="T48" s="31">
        <f>IFERROR(VLOOKUP($E48,bug_conf_sheet!$A:$H,8,FALSE),VLOOKUP("other",bug_conf_sheet!$A:$H,8,FALSE))</f>
        <v>1</v>
      </c>
    </row>
    <row r="49" spans="1:20" ht="21" customHeight="1">
      <c r="A49" s="2" t="str">
        <f ca="1">input_313101!A$2</f>
        <v>313101</v>
      </c>
      <c r="B49" s="7" t="str">
        <f t="shared" si="0"/>
        <v>Premium4</v>
      </c>
      <c r="C49" s="7" t="str">
        <f t="shared" si="1"/>
        <v>Premium</v>
      </c>
      <c r="D49" s="7" t="str">
        <f t="shared" si="2"/>
        <v>bg</v>
      </c>
      <c r="E49" s="6">
        <v>173</v>
      </c>
      <c r="F49" s="7" t="str">
        <f>VLOOKUP(E49,[1]characters!$A:$C,3,FALSE)</f>
        <v>公爵 フォルネウス</v>
      </c>
      <c r="G49" s="7" t="str">
        <f>VLOOKUP(E49,[1]characters!$A:$J,10,FALSE)</f>
        <v>PremiumN</v>
      </c>
      <c r="H49" s="7">
        <f>VLOOKUP(E49,[1]characters!$A:$I,9,FALSE)</f>
        <v>4</v>
      </c>
      <c r="I49" s="7" t="str">
        <f>VLOOKUP(E49,[1]characters!$A:$H,8,FALSE)</f>
        <v>blue</v>
      </c>
      <c r="J49" s="7" t="str">
        <f>VLOOKUP(E49,[1]characters!$A:$K,11,FALSE)</f>
        <v>attack</v>
      </c>
      <c r="K49" s="7" t="str">
        <f>VLOOKUP(E49,[1]characters!$A:$M,13,FALSE)</f>
        <v>god</v>
      </c>
      <c r="L49" s="7" t="str">
        <f>VLOOKUP(E49,[1]characters!$A:$G,7,FALSE)</f>
        <v>女性</v>
      </c>
      <c r="M49" s="62">
        <f ca="1">IFERROR(VLOOKUP(E49,input_313101!L:R,7,FALSE),VLOOKUP(tables_313101!B49,input_313101!A:H,8,FALSE))</f>
        <v>342090</v>
      </c>
      <c r="N49" s="63">
        <f t="shared" ca="1" si="3"/>
        <v>1.222972972972973E-2</v>
      </c>
      <c r="O49" s="31">
        <f>IFERROR(VLOOKUP($E49,bug_conf_sheet!$A:$H,3,FALSE),VLOOKUP("other",bug_conf_sheet!$A:$H,3,FALSE))</f>
        <v>1</v>
      </c>
      <c r="P49" s="31">
        <f>IFERROR(VLOOKUP($E49,bug_conf_sheet!$A:$H,4,FALSE),VLOOKUP("other",bug_conf_sheet!$A:$H,4,FALSE))</f>
        <v>0</v>
      </c>
      <c r="Q49" s="31">
        <f>IFERROR(VLOOKUP($E49,bug_conf_sheet!$A:$H,5,FALSE),VLOOKUP("other",bug_conf_sheet!$A:$H,5,FALSE))</f>
        <v>0</v>
      </c>
      <c r="R49" s="31">
        <f>IFERROR(VLOOKUP($E49,bug_conf_sheet!$A:$H,6,FALSE),VLOOKUP("other",bug_conf_sheet!$A:$H,6,FALSE))</f>
        <v>0</v>
      </c>
      <c r="S49" s="31">
        <f>IFERROR(VLOOKUP($E49,bug_conf_sheet!$A:$H,7,FALSE),VLOOKUP("other",bug_conf_sheet!$A:$H,7,FALSE))</f>
        <v>0</v>
      </c>
      <c r="T49" s="31">
        <f>IFERROR(VLOOKUP($E49,bug_conf_sheet!$A:$H,8,FALSE),VLOOKUP("other",bug_conf_sheet!$A:$H,8,FALSE))</f>
        <v>1</v>
      </c>
    </row>
    <row r="50" spans="1:20" ht="21" customHeight="1">
      <c r="A50" s="2" t="str">
        <f ca="1">input_313101!A$2</f>
        <v>313101</v>
      </c>
      <c r="B50" s="7" t="str">
        <f t="shared" si="0"/>
        <v>Premium5</v>
      </c>
      <c r="C50" s="7" t="str">
        <f t="shared" si="1"/>
        <v>Premium</v>
      </c>
      <c r="D50" s="7" t="str">
        <f t="shared" si="2"/>
        <v>bg</v>
      </c>
      <c r="E50" s="6">
        <v>174</v>
      </c>
      <c r="F50" s="7" t="str">
        <f>VLOOKUP(E50,[1]characters!$A:$C,3,FALSE)</f>
        <v>偽愛の大公爵 フォルネウス</v>
      </c>
      <c r="G50" s="7" t="str">
        <f>VLOOKUP(E50,[1]characters!$A:$J,10,FALSE)</f>
        <v>PremiumN</v>
      </c>
      <c r="H50" s="7">
        <f>VLOOKUP(E50,[1]characters!$A:$I,9,FALSE)</f>
        <v>5</v>
      </c>
      <c r="I50" s="7" t="str">
        <f>VLOOKUP(E50,[1]characters!$A:$H,8,FALSE)</f>
        <v>blue</v>
      </c>
      <c r="J50" s="7" t="str">
        <f>VLOOKUP(E50,[1]characters!$A:$K,11,FALSE)</f>
        <v>attack</v>
      </c>
      <c r="K50" s="7" t="str">
        <f>VLOOKUP(E50,[1]characters!$A:$M,13,FALSE)</f>
        <v>god</v>
      </c>
      <c r="L50" s="7" t="str">
        <f>VLOOKUP(E50,[1]characters!$A:$G,7,FALSE)</f>
        <v>女性</v>
      </c>
      <c r="M50" s="62">
        <f ca="1">IFERROR(VLOOKUP(E50,input_313101!L:R,7,FALSE),VLOOKUP(tables_313101!B50,input_313101!A:H,8,FALSE))</f>
        <v>18130</v>
      </c>
      <c r="N50" s="63">
        <f t="shared" ca="1" si="3"/>
        <v>6.4814814814814813E-4</v>
      </c>
      <c r="O50" s="31">
        <f>IFERROR(VLOOKUP($E50,bug_conf_sheet!$A:$H,3,FALSE),VLOOKUP("other",bug_conf_sheet!$A:$H,3,FALSE))</f>
        <v>1</v>
      </c>
      <c r="P50" s="31">
        <f>IFERROR(VLOOKUP($E50,bug_conf_sheet!$A:$H,4,FALSE),VLOOKUP("other",bug_conf_sheet!$A:$H,4,FALSE))</f>
        <v>0</v>
      </c>
      <c r="Q50" s="31">
        <f>IFERROR(VLOOKUP($E50,bug_conf_sheet!$A:$H,5,FALSE),VLOOKUP("other",bug_conf_sheet!$A:$H,5,FALSE))</f>
        <v>0</v>
      </c>
      <c r="R50" s="31">
        <f>IFERROR(VLOOKUP($E50,bug_conf_sheet!$A:$H,6,FALSE),VLOOKUP("other",bug_conf_sheet!$A:$H,6,FALSE))</f>
        <v>0</v>
      </c>
      <c r="S50" s="31">
        <f>IFERROR(VLOOKUP($E50,bug_conf_sheet!$A:$H,7,FALSE),VLOOKUP("other",bug_conf_sheet!$A:$H,7,FALSE))</f>
        <v>0</v>
      </c>
      <c r="T50" s="31">
        <f>IFERROR(VLOOKUP($E50,bug_conf_sheet!$A:$H,8,FALSE),VLOOKUP("other",bug_conf_sheet!$A:$H,8,FALSE))</f>
        <v>1</v>
      </c>
    </row>
    <row r="51" spans="1:20" ht="21" customHeight="1">
      <c r="A51" s="2" t="str">
        <f ca="1">input_313101!A$2</f>
        <v>313101</v>
      </c>
      <c r="B51" s="7" t="str">
        <f t="shared" si="0"/>
        <v>Premium3</v>
      </c>
      <c r="C51" s="7" t="str">
        <f t="shared" si="1"/>
        <v>Premium</v>
      </c>
      <c r="D51" s="7" t="str">
        <f t="shared" si="2"/>
        <v>ry</v>
      </c>
      <c r="E51" s="6">
        <v>175</v>
      </c>
      <c r="F51" s="7" t="str">
        <f>VLOOKUP(E51,[1]characters!$A:$C,3,FALSE)</f>
        <v>バフォメット</v>
      </c>
      <c r="G51" s="7" t="str">
        <f>VLOOKUP(E51,[1]characters!$A:$J,10,FALSE)</f>
        <v>PremiumN</v>
      </c>
      <c r="H51" s="7">
        <f>VLOOKUP(E51,[1]characters!$A:$I,9,FALSE)</f>
        <v>3</v>
      </c>
      <c r="I51" s="7" t="str">
        <f>VLOOKUP(E51,[1]characters!$A:$H,8,FALSE)</f>
        <v>yellow</v>
      </c>
      <c r="J51" s="7" t="str">
        <f>VLOOKUP(E51,[1]characters!$A:$K,11,FALSE)</f>
        <v>attack</v>
      </c>
      <c r="K51" s="7" t="str">
        <f>VLOOKUP(E51,[1]characters!$A:$M,13,FALSE)</f>
        <v>god</v>
      </c>
      <c r="L51" s="7" t="str">
        <f>VLOOKUP(E51,[1]characters!$A:$G,7,FALSE)</f>
        <v>女性</v>
      </c>
      <c r="M51" s="62">
        <f ca="1">IFERROR(VLOOKUP(E51,input_313101!L:R,7,FALSE),VLOOKUP(tables_313101!B51,input_313101!A:H,8,FALSE))</f>
        <v>0</v>
      </c>
      <c r="N51" s="63">
        <f t="shared" ca="1" si="3"/>
        <v>0</v>
      </c>
      <c r="O51" s="31">
        <f>IFERROR(VLOOKUP($E51,bug_conf_sheet!$A:$H,3,FALSE),VLOOKUP("other",bug_conf_sheet!$A:$H,3,FALSE))</f>
        <v>1</v>
      </c>
      <c r="P51" s="31">
        <f>IFERROR(VLOOKUP($E51,bug_conf_sheet!$A:$H,4,FALSE),VLOOKUP("other",bug_conf_sheet!$A:$H,4,FALSE))</f>
        <v>0</v>
      </c>
      <c r="Q51" s="31">
        <f>IFERROR(VLOOKUP($E51,bug_conf_sheet!$A:$H,5,FALSE),VLOOKUP("other",bug_conf_sheet!$A:$H,5,FALSE))</f>
        <v>0</v>
      </c>
      <c r="R51" s="31">
        <f>IFERROR(VLOOKUP($E51,bug_conf_sheet!$A:$H,6,FALSE),VLOOKUP("other",bug_conf_sheet!$A:$H,6,FALSE))</f>
        <v>0</v>
      </c>
      <c r="S51" s="31">
        <f>IFERROR(VLOOKUP($E51,bug_conf_sheet!$A:$H,7,FALSE),VLOOKUP("other",bug_conf_sheet!$A:$H,7,FALSE))</f>
        <v>0</v>
      </c>
      <c r="T51" s="31">
        <f>IFERROR(VLOOKUP($E51,bug_conf_sheet!$A:$H,8,FALSE),VLOOKUP("other",bug_conf_sheet!$A:$H,8,FALSE))</f>
        <v>1</v>
      </c>
    </row>
    <row r="52" spans="1:20" ht="21" customHeight="1">
      <c r="A52" s="2" t="str">
        <f ca="1">input_313101!A$2</f>
        <v>313101</v>
      </c>
      <c r="B52" s="7" t="str">
        <f t="shared" si="0"/>
        <v>Premium4</v>
      </c>
      <c r="C52" s="7" t="str">
        <f t="shared" si="1"/>
        <v>Premium</v>
      </c>
      <c r="D52" s="7" t="str">
        <f t="shared" si="2"/>
        <v>ry</v>
      </c>
      <c r="E52" s="6">
        <v>176</v>
      </c>
      <c r="F52" s="7" t="str">
        <f>VLOOKUP(E52,[1]characters!$A:$C,3,FALSE)</f>
        <v>異教徒 バフォメット</v>
      </c>
      <c r="G52" s="7" t="str">
        <f>VLOOKUP(E52,[1]characters!$A:$J,10,FALSE)</f>
        <v>PremiumN</v>
      </c>
      <c r="H52" s="7">
        <f>VLOOKUP(E52,[1]characters!$A:$I,9,FALSE)</f>
        <v>4</v>
      </c>
      <c r="I52" s="7" t="str">
        <f>VLOOKUP(E52,[1]characters!$A:$H,8,FALSE)</f>
        <v>yellow</v>
      </c>
      <c r="J52" s="7" t="str">
        <f>VLOOKUP(E52,[1]characters!$A:$K,11,FALSE)</f>
        <v>attack</v>
      </c>
      <c r="K52" s="7" t="str">
        <f>VLOOKUP(E52,[1]characters!$A:$M,13,FALSE)</f>
        <v>god</v>
      </c>
      <c r="L52" s="7" t="str">
        <f>VLOOKUP(E52,[1]characters!$A:$G,7,FALSE)</f>
        <v>女性</v>
      </c>
      <c r="M52" s="62">
        <f ca="1">IFERROR(VLOOKUP(E52,input_313101!L:R,7,FALSE),VLOOKUP(tables_313101!B52,input_313101!A:H,8,FALSE))</f>
        <v>342090</v>
      </c>
      <c r="N52" s="63">
        <f t="shared" ca="1" si="3"/>
        <v>1.222972972972973E-2</v>
      </c>
      <c r="O52" s="31">
        <f>IFERROR(VLOOKUP($E52,bug_conf_sheet!$A:$H,3,FALSE),VLOOKUP("other",bug_conf_sheet!$A:$H,3,FALSE))</f>
        <v>1</v>
      </c>
      <c r="P52" s="31">
        <f>IFERROR(VLOOKUP($E52,bug_conf_sheet!$A:$H,4,FALSE),VLOOKUP("other",bug_conf_sheet!$A:$H,4,FALSE))</f>
        <v>0</v>
      </c>
      <c r="Q52" s="31">
        <f>IFERROR(VLOOKUP($E52,bug_conf_sheet!$A:$H,5,FALSE),VLOOKUP("other",bug_conf_sheet!$A:$H,5,FALSE))</f>
        <v>0</v>
      </c>
      <c r="R52" s="31">
        <f>IFERROR(VLOOKUP($E52,bug_conf_sheet!$A:$H,6,FALSE),VLOOKUP("other",bug_conf_sheet!$A:$H,6,FALSE))</f>
        <v>0</v>
      </c>
      <c r="S52" s="31">
        <f>IFERROR(VLOOKUP($E52,bug_conf_sheet!$A:$H,7,FALSE),VLOOKUP("other",bug_conf_sheet!$A:$H,7,FALSE))</f>
        <v>0</v>
      </c>
      <c r="T52" s="31">
        <f>IFERROR(VLOOKUP($E52,bug_conf_sheet!$A:$H,8,FALSE),VLOOKUP("other",bug_conf_sheet!$A:$H,8,FALSE))</f>
        <v>1</v>
      </c>
    </row>
    <row r="53" spans="1:20" ht="21" customHeight="1">
      <c r="A53" s="2" t="str">
        <f ca="1">input_313101!A$2</f>
        <v>313101</v>
      </c>
      <c r="B53" s="7" t="str">
        <f t="shared" si="0"/>
        <v>Premium5</v>
      </c>
      <c r="C53" s="7" t="str">
        <f t="shared" si="1"/>
        <v>Premium</v>
      </c>
      <c r="D53" s="7" t="str">
        <f t="shared" si="2"/>
        <v>ry</v>
      </c>
      <c r="E53" s="6">
        <v>177</v>
      </c>
      <c r="F53" s="7" t="str">
        <f>VLOOKUP(E53,[1]characters!$A:$C,3,FALSE)</f>
        <v>黒魔の異端師 バフォメット</v>
      </c>
      <c r="G53" s="7" t="str">
        <f>VLOOKUP(E53,[1]characters!$A:$J,10,FALSE)</f>
        <v>PremiumN</v>
      </c>
      <c r="H53" s="7">
        <f>VLOOKUP(E53,[1]characters!$A:$I,9,FALSE)</f>
        <v>5</v>
      </c>
      <c r="I53" s="7" t="str">
        <f>VLOOKUP(E53,[1]characters!$A:$H,8,FALSE)</f>
        <v>yellow</v>
      </c>
      <c r="J53" s="7" t="str">
        <f>VLOOKUP(E53,[1]characters!$A:$K,11,FALSE)</f>
        <v>attack</v>
      </c>
      <c r="K53" s="7" t="str">
        <f>VLOOKUP(E53,[1]characters!$A:$M,13,FALSE)</f>
        <v>god</v>
      </c>
      <c r="L53" s="7" t="str">
        <f>VLOOKUP(E53,[1]characters!$A:$G,7,FALSE)</f>
        <v>女性</v>
      </c>
      <c r="M53" s="62">
        <f ca="1">IFERROR(VLOOKUP(E53,input_313101!L:R,7,FALSE),VLOOKUP(tables_313101!B53,input_313101!A:H,8,FALSE))</f>
        <v>18130</v>
      </c>
      <c r="N53" s="63">
        <f t="shared" ca="1" si="3"/>
        <v>6.4814814814814813E-4</v>
      </c>
      <c r="O53" s="31">
        <f>IFERROR(VLOOKUP($E53,bug_conf_sheet!$A:$H,3,FALSE),VLOOKUP("other",bug_conf_sheet!$A:$H,3,FALSE))</f>
        <v>1</v>
      </c>
      <c r="P53" s="31">
        <f>IFERROR(VLOOKUP($E53,bug_conf_sheet!$A:$H,4,FALSE),VLOOKUP("other",bug_conf_sheet!$A:$H,4,FALSE))</f>
        <v>0</v>
      </c>
      <c r="Q53" s="31">
        <f>IFERROR(VLOOKUP($E53,bug_conf_sheet!$A:$H,5,FALSE),VLOOKUP("other",bug_conf_sheet!$A:$H,5,FALSE))</f>
        <v>0</v>
      </c>
      <c r="R53" s="31">
        <f>IFERROR(VLOOKUP($E53,bug_conf_sheet!$A:$H,6,FALSE),VLOOKUP("other",bug_conf_sheet!$A:$H,6,FALSE))</f>
        <v>0</v>
      </c>
      <c r="S53" s="31">
        <f>IFERROR(VLOOKUP($E53,bug_conf_sheet!$A:$H,7,FALSE),VLOOKUP("other",bug_conf_sheet!$A:$H,7,FALSE))</f>
        <v>0</v>
      </c>
      <c r="T53" s="31">
        <f>IFERROR(VLOOKUP($E53,bug_conf_sheet!$A:$H,8,FALSE),VLOOKUP("other",bug_conf_sheet!$A:$H,8,FALSE))</f>
        <v>1</v>
      </c>
    </row>
    <row r="54" spans="1:20" ht="21" customHeight="1">
      <c r="A54" s="2" t="str">
        <f ca="1">input_313101!A$2</f>
        <v>313101</v>
      </c>
      <c r="B54" s="7" t="str">
        <f t="shared" si="0"/>
        <v>Premium3</v>
      </c>
      <c r="C54" s="7" t="str">
        <f t="shared" si="1"/>
        <v>Premium</v>
      </c>
      <c r="D54" s="7" t="str">
        <f t="shared" si="2"/>
        <v>ry</v>
      </c>
      <c r="E54" s="6">
        <v>178</v>
      </c>
      <c r="F54" s="7" t="str">
        <f>VLOOKUP(E54,[1]characters!$A:$C,3,FALSE)</f>
        <v>ケルベロス</v>
      </c>
      <c r="G54" s="7" t="str">
        <f>VLOOKUP(E54,[1]characters!$A:$J,10,FALSE)</f>
        <v>PremiumN</v>
      </c>
      <c r="H54" s="7">
        <f>VLOOKUP(E54,[1]characters!$A:$I,9,FALSE)</f>
        <v>3</v>
      </c>
      <c r="I54" s="7" t="str">
        <f>VLOOKUP(E54,[1]characters!$A:$H,8,FALSE)</f>
        <v>red</v>
      </c>
      <c r="J54" s="7" t="str">
        <f>VLOOKUP(E54,[1]characters!$A:$K,11,FALSE)</f>
        <v>balance</v>
      </c>
      <c r="K54" s="7" t="str">
        <f>VLOOKUP(E54,[1]characters!$A:$M,13,FALSE)</f>
        <v>animal</v>
      </c>
      <c r="L54" s="7" t="str">
        <f>VLOOKUP(E54,[1]characters!$A:$G,7,FALSE)</f>
        <v>女性</v>
      </c>
      <c r="M54" s="62">
        <f ca="1">IFERROR(VLOOKUP(E54,input_313101!L:R,7,FALSE),VLOOKUP(tables_313101!B54,input_313101!A:H,8,FALSE))</f>
        <v>0</v>
      </c>
      <c r="N54" s="63">
        <f t="shared" ca="1" si="3"/>
        <v>0</v>
      </c>
      <c r="O54" s="31">
        <f>IFERROR(VLOOKUP($E54,bug_conf_sheet!$A:$H,3,FALSE),VLOOKUP("other",bug_conf_sheet!$A:$H,3,FALSE))</f>
        <v>1</v>
      </c>
      <c r="P54" s="31">
        <f>IFERROR(VLOOKUP($E54,bug_conf_sheet!$A:$H,4,FALSE),VLOOKUP("other",bug_conf_sheet!$A:$H,4,FALSE))</f>
        <v>0</v>
      </c>
      <c r="Q54" s="31">
        <f>IFERROR(VLOOKUP($E54,bug_conf_sheet!$A:$H,5,FALSE),VLOOKUP("other",bug_conf_sheet!$A:$H,5,FALSE))</f>
        <v>0</v>
      </c>
      <c r="R54" s="31">
        <f>IFERROR(VLOOKUP($E54,bug_conf_sheet!$A:$H,6,FALSE),VLOOKUP("other",bug_conf_sheet!$A:$H,6,FALSE))</f>
        <v>0</v>
      </c>
      <c r="S54" s="31">
        <f>IFERROR(VLOOKUP($E54,bug_conf_sheet!$A:$H,7,FALSE),VLOOKUP("other",bug_conf_sheet!$A:$H,7,FALSE))</f>
        <v>0</v>
      </c>
      <c r="T54" s="31">
        <f>IFERROR(VLOOKUP($E54,bug_conf_sheet!$A:$H,8,FALSE),VLOOKUP("other",bug_conf_sheet!$A:$H,8,FALSE))</f>
        <v>1</v>
      </c>
    </row>
    <row r="55" spans="1:20" ht="21" customHeight="1">
      <c r="A55" s="2" t="str">
        <f ca="1">input_313101!A$2</f>
        <v>313101</v>
      </c>
      <c r="B55" s="7" t="str">
        <f t="shared" si="0"/>
        <v>Premium4</v>
      </c>
      <c r="C55" s="7" t="str">
        <f t="shared" si="1"/>
        <v>Premium</v>
      </c>
      <c r="D55" s="7" t="str">
        <f t="shared" si="2"/>
        <v>ry</v>
      </c>
      <c r="E55" s="6">
        <v>179</v>
      </c>
      <c r="F55" s="7" t="str">
        <f>VLOOKUP(E55,[1]characters!$A:$C,3,FALSE)</f>
        <v>番犬 ケルベロス</v>
      </c>
      <c r="G55" s="7" t="str">
        <f>VLOOKUP(E55,[1]characters!$A:$J,10,FALSE)</f>
        <v>PremiumN</v>
      </c>
      <c r="H55" s="7">
        <f>VLOOKUP(E55,[1]characters!$A:$I,9,FALSE)</f>
        <v>4</v>
      </c>
      <c r="I55" s="7" t="str">
        <f>VLOOKUP(E55,[1]characters!$A:$H,8,FALSE)</f>
        <v>red</v>
      </c>
      <c r="J55" s="7" t="str">
        <f>VLOOKUP(E55,[1]characters!$A:$K,11,FALSE)</f>
        <v>balance</v>
      </c>
      <c r="K55" s="7" t="str">
        <f>VLOOKUP(E55,[1]characters!$A:$M,13,FALSE)</f>
        <v>animal</v>
      </c>
      <c r="L55" s="7" t="str">
        <f>VLOOKUP(E55,[1]characters!$A:$G,7,FALSE)</f>
        <v>女性</v>
      </c>
      <c r="M55" s="62">
        <f ca="1">IFERROR(VLOOKUP(E55,input_313101!L:R,7,FALSE),VLOOKUP(tables_313101!B55,input_313101!A:H,8,FALSE))</f>
        <v>342090</v>
      </c>
      <c r="N55" s="63">
        <f t="shared" ca="1" si="3"/>
        <v>1.222972972972973E-2</v>
      </c>
      <c r="O55" s="31">
        <f>IFERROR(VLOOKUP($E55,bug_conf_sheet!$A:$H,3,FALSE),VLOOKUP("other",bug_conf_sheet!$A:$H,3,FALSE))</f>
        <v>1</v>
      </c>
      <c r="P55" s="31">
        <f>IFERROR(VLOOKUP($E55,bug_conf_sheet!$A:$H,4,FALSE),VLOOKUP("other",bug_conf_sheet!$A:$H,4,FALSE))</f>
        <v>0</v>
      </c>
      <c r="Q55" s="31">
        <f>IFERROR(VLOOKUP($E55,bug_conf_sheet!$A:$H,5,FALSE),VLOOKUP("other",bug_conf_sheet!$A:$H,5,FALSE))</f>
        <v>0</v>
      </c>
      <c r="R55" s="31">
        <f>IFERROR(VLOOKUP($E55,bug_conf_sheet!$A:$H,6,FALSE),VLOOKUP("other",bug_conf_sheet!$A:$H,6,FALSE))</f>
        <v>0</v>
      </c>
      <c r="S55" s="31">
        <f>IFERROR(VLOOKUP($E55,bug_conf_sheet!$A:$H,7,FALSE),VLOOKUP("other",bug_conf_sheet!$A:$H,7,FALSE))</f>
        <v>0</v>
      </c>
      <c r="T55" s="31">
        <f>IFERROR(VLOOKUP($E55,bug_conf_sheet!$A:$H,8,FALSE),VLOOKUP("other",bug_conf_sheet!$A:$H,8,FALSE))</f>
        <v>1</v>
      </c>
    </row>
    <row r="56" spans="1:20" ht="21" customHeight="1">
      <c r="A56" s="2" t="str">
        <f ca="1">input_313101!A$2</f>
        <v>313101</v>
      </c>
      <c r="B56" s="7" t="str">
        <f t="shared" si="0"/>
        <v>Premium5</v>
      </c>
      <c r="C56" s="7" t="str">
        <f t="shared" si="1"/>
        <v>Premium</v>
      </c>
      <c r="D56" s="7" t="str">
        <f t="shared" si="2"/>
        <v>ry</v>
      </c>
      <c r="E56" s="6">
        <v>180</v>
      </c>
      <c r="F56" s="7" t="str">
        <f>VLOOKUP(E56,[1]characters!$A:$C,3,FALSE)</f>
        <v>地獄の大門番 ケルベロス</v>
      </c>
      <c r="G56" s="7" t="str">
        <f>VLOOKUP(E56,[1]characters!$A:$J,10,FALSE)</f>
        <v>PremiumN</v>
      </c>
      <c r="H56" s="7">
        <f>VLOOKUP(E56,[1]characters!$A:$I,9,FALSE)</f>
        <v>5</v>
      </c>
      <c r="I56" s="7" t="str">
        <f>VLOOKUP(E56,[1]characters!$A:$H,8,FALSE)</f>
        <v>red</v>
      </c>
      <c r="J56" s="7" t="str">
        <f>VLOOKUP(E56,[1]characters!$A:$K,11,FALSE)</f>
        <v>balance</v>
      </c>
      <c r="K56" s="7" t="str">
        <f>VLOOKUP(E56,[1]characters!$A:$M,13,FALSE)</f>
        <v>animal</v>
      </c>
      <c r="L56" s="7" t="str">
        <f>VLOOKUP(E56,[1]characters!$A:$G,7,FALSE)</f>
        <v>女性</v>
      </c>
      <c r="M56" s="62">
        <f ca="1">IFERROR(VLOOKUP(E56,input_313101!L:R,7,FALSE),VLOOKUP(tables_313101!B56,input_313101!A:H,8,FALSE))</f>
        <v>18130</v>
      </c>
      <c r="N56" s="63">
        <f t="shared" ca="1" si="3"/>
        <v>6.4814814814814813E-4</v>
      </c>
      <c r="O56" s="31">
        <f>IFERROR(VLOOKUP($E56,bug_conf_sheet!$A:$H,3,FALSE),VLOOKUP("other",bug_conf_sheet!$A:$H,3,FALSE))</f>
        <v>1</v>
      </c>
      <c r="P56" s="31">
        <f>IFERROR(VLOOKUP($E56,bug_conf_sheet!$A:$H,4,FALSE),VLOOKUP("other",bug_conf_sheet!$A:$H,4,FALSE))</f>
        <v>0</v>
      </c>
      <c r="Q56" s="31">
        <f>IFERROR(VLOOKUP($E56,bug_conf_sheet!$A:$H,5,FALSE),VLOOKUP("other",bug_conf_sheet!$A:$H,5,FALSE))</f>
        <v>0</v>
      </c>
      <c r="R56" s="31">
        <f>IFERROR(VLOOKUP($E56,bug_conf_sheet!$A:$H,6,FALSE),VLOOKUP("other",bug_conf_sheet!$A:$H,6,FALSE))</f>
        <v>0</v>
      </c>
      <c r="S56" s="31">
        <f>IFERROR(VLOOKUP($E56,bug_conf_sheet!$A:$H,7,FALSE),VLOOKUP("other",bug_conf_sheet!$A:$H,7,FALSE))</f>
        <v>0</v>
      </c>
      <c r="T56" s="31">
        <f>IFERROR(VLOOKUP($E56,bug_conf_sheet!$A:$H,8,FALSE),VLOOKUP("other",bug_conf_sheet!$A:$H,8,FALSE))</f>
        <v>1</v>
      </c>
    </row>
    <row r="57" spans="1:20" ht="21" customHeight="1">
      <c r="A57" s="2" t="str">
        <f ca="1">input_313101!A$2</f>
        <v>313101</v>
      </c>
      <c r="B57" s="7" t="str">
        <f t="shared" si="0"/>
        <v>Premium3</v>
      </c>
      <c r="C57" s="7" t="str">
        <f t="shared" si="1"/>
        <v>Premium</v>
      </c>
      <c r="D57" s="7" t="str">
        <f t="shared" si="2"/>
        <v>bg</v>
      </c>
      <c r="E57" s="6">
        <v>181</v>
      </c>
      <c r="F57" s="7" t="str">
        <f>VLOOKUP(E57,[1]characters!$A:$C,3,FALSE)</f>
        <v>ベヒモス</v>
      </c>
      <c r="G57" s="7" t="str">
        <f>VLOOKUP(E57,[1]characters!$A:$J,10,FALSE)</f>
        <v>PremiumN</v>
      </c>
      <c r="H57" s="7">
        <f>VLOOKUP(E57,[1]characters!$A:$I,9,FALSE)</f>
        <v>3</v>
      </c>
      <c r="I57" s="7" t="str">
        <f>VLOOKUP(E57,[1]characters!$A:$H,8,FALSE)</f>
        <v>green</v>
      </c>
      <c r="J57" s="7" t="str">
        <f>VLOOKUP(E57,[1]characters!$A:$K,11,FALSE)</f>
        <v>hp</v>
      </c>
      <c r="K57" s="7" t="str">
        <f>VLOOKUP(E57,[1]characters!$A:$M,13,FALSE)</f>
        <v>animal</v>
      </c>
      <c r="L57" s="7" t="str">
        <f>VLOOKUP(E57,[1]characters!$A:$G,7,FALSE)</f>
        <v>女性</v>
      </c>
      <c r="M57" s="62">
        <f ca="1">IFERROR(VLOOKUP(E57,input_313101!L:R,7,FALSE),VLOOKUP(tables_313101!B57,input_313101!A:H,8,FALSE))</f>
        <v>0</v>
      </c>
      <c r="N57" s="63">
        <f t="shared" ca="1" si="3"/>
        <v>0</v>
      </c>
      <c r="O57" s="31">
        <f>IFERROR(VLOOKUP($E57,bug_conf_sheet!$A:$H,3,FALSE),VLOOKUP("other",bug_conf_sheet!$A:$H,3,FALSE))</f>
        <v>1</v>
      </c>
      <c r="P57" s="31">
        <f>IFERROR(VLOOKUP($E57,bug_conf_sheet!$A:$H,4,FALSE),VLOOKUP("other",bug_conf_sheet!$A:$H,4,FALSE))</f>
        <v>0</v>
      </c>
      <c r="Q57" s="31">
        <f>IFERROR(VLOOKUP($E57,bug_conf_sheet!$A:$H,5,FALSE),VLOOKUP("other",bug_conf_sheet!$A:$H,5,FALSE))</f>
        <v>0</v>
      </c>
      <c r="R57" s="31">
        <f>IFERROR(VLOOKUP($E57,bug_conf_sheet!$A:$H,6,FALSE),VLOOKUP("other",bug_conf_sheet!$A:$H,6,FALSE))</f>
        <v>0</v>
      </c>
      <c r="S57" s="31">
        <f>IFERROR(VLOOKUP($E57,bug_conf_sheet!$A:$H,7,FALSE),VLOOKUP("other",bug_conf_sheet!$A:$H,7,FALSE))</f>
        <v>0</v>
      </c>
      <c r="T57" s="31">
        <f>IFERROR(VLOOKUP($E57,bug_conf_sheet!$A:$H,8,FALSE),VLOOKUP("other",bug_conf_sheet!$A:$H,8,FALSE))</f>
        <v>1</v>
      </c>
    </row>
    <row r="58" spans="1:20" ht="21" customHeight="1">
      <c r="A58" s="2" t="str">
        <f ca="1">input_313101!A$2</f>
        <v>313101</v>
      </c>
      <c r="B58" s="7" t="str">
        <f t="shared" si="0"/>
        <v>Premium4</v>
      </c>
      <c r="C58" s="7" t="str">
        <f t="shared" si="1"/>
        <v>Premium</v>
      </c>
      <c r="D58" s="7" t="str">
        <f t="shared" si="2"/>
        <v>bg</v>
      </c>
      <c r="E58" s="6">
        <v>182</v>
      </c>
      <c r="F58" s="7" t="str">
        <f>VLOOKUP(E58,[1]characters!$A:$C,3,FALSE)</f>
        <v>放蕩者 ベヒモス</v>
      </c>
      <c r="G58" s="7" t="str">
        <f>VLOOKUP(E58,[1]characters!$A:$J,10,FALSE)</f>
        <v>PremiumN</v>
      </c>
      <c r="H58" s="7">
        <f>VLOOKUP(E58,[1]characters!$A:$I,9,FALSE)</f>
        <v>4</v>
      </c>
      <c r="I58" s="7" t="str">
        <f>VLOOKUP(E58,[1]characters!$A:$H,8,FALSE)</f>
        <v>green</v>
      </c>
      <c r="J58" s="7" t="str">
        <f>VLOOKUP(E58,[1]characters!$A:$K,11,FALSE)</f>
        <v>hp</v>
      </c>
      <c r="K58" s="7" t="str">
        <f>VLOOKUP(E58,[1]characters!$A:$M,13,FALSE)</f>
        <v>animal</v>
      </c>
      <c r="L58" s="7" t="str">
        <f>VLOOKUP(E58,[1]characters!$A:$G,7,FALSE)</f>
        <v>女性</v>
      </c>
      <c r="M58" s="62">
        <f ca="1">IFERROR(VLOOKUP(E58,input_313101!L:R,7,FALSE),VLOOKUP(tables_313101!B58,input_313101!A:H,8,FALSE))</f>
        <v>342090</v>
      </c>
      <c r="N58" s="63">
        <f t="shared" ca="1" si="3"/>
        <v>1.222972972972973E-2</v>
      </c>
      <c r="O58" s="31">
        <f>IFERROR(VLOOKUP($E58,bug_conf_sheet!$A:$H,3,FALSE),VLOOKUP("other",bug_conf_sheet!$A:$H,3,FALSE))</f>
        <v>1</v>
      </c>
      <c r="P58" s="31">
        <f>IFERROR(VLOOKUP($E58,bug_conf_sheet!$A:$H,4,FALSE),VLOOKUP("other",bug_conf_sheet!$A:$H,4,FALSE))</f>
        <v>0</v>
      </c>
      <c r="Q58" s="31">
        <f>IFERROR(VLOOKUP($E58,bug_conf_sheet!$A:$H,5,FALSE),VLOOKUP("other",bug_conf_sheet!$A:$H,5,FALSE))</f>
        <v>0</v>
      </c>
      <c r="R58" s="31">
        <f>IFERROR(VLOOKUP($E58,bug_conf_sheet!$A:$H,6,FALSE),VLOOKUP("other",bug_conf_sheet!$A:$H,6,FALSE))</f>
        <v>0</v>
      </c>
      <c r="S58" s="31">
        <f>IFERROR(VLOOKUP($E58,bug_conf_sheet!$A:$H,7,FALSE),VLOOKUP("other",bug_conf_sheet!$A:$H,7,FALSE))</f>
        <v>0</v>
      </c>
      <c r="T58" s="31">
        <f>IFERROR(VLOOKUP($E58,bug_conf_sheet!$A:$H,8,FALSE),VLOOKUP("other",bug_conf_sheet!$A:$H,8,FALSE))</f>
        <v>1</v>
      </c>
    </row>
    <row r="59" spans="1:20" ht="21" customHeight="1">
      <c r="A59" s="2" t="str">
        <f ca="1">input_313101!A$2</f>
        <v>313101</v>
      </c>
      <c r="B59" s="7" t="str">
        <f t="shared" si="0"/>
        <v>Premium5</v>
      </c>
      <c r="C59" s="7" t="str">
        <f t="shared" si="1"/>
        <v>Premium</v>
      </c>
      <c r="D59" s="7" t="str">
        <f t="shared" si="2"/>
        <v>bg</v>
      </c>
      <c r="E59" s="6">
        <v>183</v>
      </c>
      <c r="F59" s="7" t="str">
        <f>VLOOKUP(E59,[1]characters!$A:$C,3,FALSE)</f>
        <v>鈍重な彷徨者 ベヒモス</v>
      </c>
      <c r="G59" s="7" t="str">
        <f>VLOOKUP(E59,[1]characters!$A:$J,10,FALSE)</f>
        <v>PremiumN</v>
      </c>
      <c r="H59" s="7">
        <f>VLOOKUP(E59,[1]characters!$A:$I,9,FALSE)</f>
        <v>5</v>
      </c>
      <c r="I59" s="7" t="str">
        <f>VLOOKUP(E59,[1]characters!$A:$H,8,FALSE)</f>
        <v>green</v>
      </c>
      <c r="J59" s="7" t="str">
        <f>VLOOKUP(E59,[1]characters!$A:$K,11,FALSE)</f>
        <v>hp</v>
      </c>
      <c r="K59" s="7" t="str">
        <f>VLOOKUP(E59,[1]characters!$A:$M,13,FALSE)</f>
        <v>animal</v>
      </c>
      <c r="L59" s="7" t="str">
        <f>VLOOKUP(E59,[1]characters!$A:$G,7,FALSE)</f>
        <v>女性</v>
      </c>
      <c r="M59" s="62">
        <f ca="1">IFERROR(VLOOKUP(E59,input_313101!L:R,7,FALSE),VLOOKUP(tables_313101!B59,input_313101!A:H,8,FALSE))</f>
        <v>18130</v>
      </c>
      <c r="N59" s="63">
        <f t="shared" ca="1" si="3"/>
        <v>6.4814814814814813E-4</v>
      </c>
      <c r="O59" s="31">
        <f>IFERROR(VLOOKUP($E59,bug_conf_sheet!$A:$H,3,FALSE),VLOOKUP("other",bug_conf_sheet!$A:$H,3,FALSE))</f>
        <v>1</v>
      </c>
      <c r="P59" s="31">
        <f>IFERROR(VLOOKUP($E59,bug_conf_sheet!$A:$H,4,FALSE),VLOOKUP("other",bug_conf_sheet!$A:$H,4,FALSE))</f>
        <v>0</v>
      </c>
      <c r="Q59" s="31">
        <f>IFERROR(VLOOKUP($E59,bug_conf_sheet!$A:$H,5,FALSE),VLOOKUP("other",bug_conf_sheet!$A:$H,5,FALSE))</f>
        <v>0</v>
      </c>
      <c r="R59" s="31">
        <f>IFERROR(VLOOKUP($E59,bug_conf_sheet!$A:$H,6,FALSE),VLOOKUP("other",bug_conf_sheet!$A:$H,6,FALSE))</f>
        <v>0</v>
      </c>
      <c r="S59" s="31">
        <f>IFERROR(VLOOKUP($E59,bug_conf_sheet!$A:$H,7,FALSE),VLOOKUP("other",bug_conf_sheet!$A:$H,7,FALSE))</f>
        <v>0</v>
      </c>
      <c r="T59" s="31">
        <f>IFERROR(VLOOKUP($E59,bug_conf_sheet!$A:$H,8,FALSE),VLOOKUP("other",bug_conf_sheet!$A:$H,8,FALSE))</f>
        <v>1</v>
      </c>
    </row>
    <row r="60" spans="1:20" ht="21" customHeight="1">
      <c r="A60" s="2" t="str">
        <f ca="1">input_313101!A$2</f>
        <v>313101</v>
      </c>
      <c r="B60" s="7" t="str">
        <f t="shared" si="0"/>
        <v>Premium3</v>
      </c>
      <c r="C60" s="7" t="str">
        <f t="shared" si="1"/>
        <v>Premium</v>
      </c>
      <c r="D60" s="7" t="str">
        <f t="shared" si="2"/>
        <v>bg</v>
      </c>
      <c r="E60" s="6">
        <v>184</v>
      </c>
      <c r="F60" s="7" t="str">
        <f>VLOOKUP(E60,[1]characters!$A:$C,3,FALSE)</f>
        <v>クラーケン</v>
      </c>
      <c r="G60" s="7" t="str">
        <f>VLOOKUP(E60,[1]characters!$A:$J,10,FALSE)</f>
        <v>PremiumN</v>
      </c>
      <c r="H60" s="7">
        <f>VLOOKUP(E60,[1]characters!$A:$I,9,FALSE)</f>
        <v>3</v>
      </c>
      <c r="I60" s="7" t="str">
        <f>VLOOKUP(E60,[1]characters!$A:$H,8,FALSE)</f>
        <v>blue</v>
      </c>
      <c r="J60" s="7" t="str">
        <f>VLOOKUP(E60,[1]characters!$A:$K,11,FALSE)</f>
        <v>heal</v>
      </c>
      <c r="K60" s="7" t="str">
        <f>VLOOKUP(E60,[1]characters!$A:$M,13,FALSE)</f>
        <v>animal</v>
      </c>
      <c r="L60" s="7" t="str">
        <f>VLOOKUP(E60,[1]characters!$A:$G,7,FALSE)</f>
        <v>女性</v>
      </c>
      <c r="M60" s="62">
        <f ca="1">IFERROR(VLOOKUP(E60,input_313101!L:R,7,FALSE),VLOOKUP(tables_313101!B60,input_313101!A:H,8,FALSE))</f>
        <v>0</v>
      </c>
      <c r="N60" s="63">
        <f t="shared" ca="1" si="3"/>
        <v>0</v>
      </c>
      <c r="O60" s="31">
        <f>IFERROR(VLOOKUP($E60,bug_conf_sheet!$A:$H,3,FALSE),VLOOKUP("other",bug_conf_sheet!$A:$H,3,FALSE))</f>
        <v>1</v>
      </c>
      <c r="P60" s="31">
        <f>IFERROR(VLOOKUP($E60,bug_conf_sheet!$A:$H,4,FALSE),VLOOKUP("other",bug_conf_sheet!$A:$H,4,FALSE))</f>
        <v>0</v>
      </c>
      <c r="Q60" s="31">
        <f>IFERROR(VLOOKUP($E60,bug_conf_sheet!$A:$H,5,FALSE),VLOOKUP("other",bug_conf_sheet!$A:$H,5,FALSE))</f>
        <v>0</v>
      </c>
      <c r="R60" s="31">
        <f>IFERROR(VLOOKUP($E60,bug_conf_sheet!$A:$H,6,FALSE),VLOOKUP("other",bug_conf_sheet!$A:$H,6,FALSE))</f>
        <v>0</v>
      </c>
      <c r="S60" s="31">
        <f>IFERROR(VLOOKUP($E60,bug_conf_sheet!$A:$H,7,FALSE),VLOOKUP("other",bug_conf_sheet!$A:$H,7,FALSE))</f>
        <v>0</v>
      </c>
      <c r="T60" s="31">
        <f>IFERROR(VLOOKUP($E60,bug_conf_sheet!$A:$H,8,FALSE),VLOOKUP("other",bug_conf_sheet!$A:$H,8,FALSE))</f>
        <v>1</v>
      </c>
    </row>
    <row r="61" spans="1:20" ht="21" customHeight="1">
      <c r="A61" s="2" t="str">
        <f ca="1">input_313101!A$2</f>
        <v>313101</v>
      </c>
      <c r="B61" s="7" t="str">
        <f t="shared" si="0"/>
        <v>Premium4</v>
      </c>
      <c r="C61" s="7" t="str">
        <f t="shared" si="1"/>
        <v>Premium</v>
      </c>
      <c r="D61" s="7" t="str">
        <f t="shared" si="2"/>
        <v>bg</v>
      </c>
      <c r="E61" s="6">
        <v>185</v>
      </c>
      <c r="F61" s="7" t="str">
        <f>VLOOKUP(E61,[1]characters!$A:$C,3,FALSE)</f>
        <v>海姫 クラーケン</v>
      </c>
      <c r="G61" s="7" t="str">
        <f>VLOOKUP(E61,[1]characters!$A:$J,10,FALSE)</f>
        <v>PremiumN</v>
      </c>
      <c r="H61" s="7">
        <f>VLOOKUP(E61,[1]characters!$A:$I,9,FALSE)</f>
        <v>4</v>
      </c>
      <c r="I61" s="7" t="str">
        <f>VLOOKUP(E61,[1]characters!$A:$H,8,FALSE)</f>
        <v>blue</v>
      </c>
      <c r="J61" s="7" t="str">
        <f>VLOOKUP(E61,[1]characters!$A:$K,11,FALSE)</f>
        <v>heal</v>
      </c>
      <c r="K61" s="7" t="str">
        <f>VLOOKUP(E61,[1]characters!$A:$M,13,FALSE)</f>
        <v>animal</v>
      </c>
      <c r="L61" s="7" t="str">
        <f>VLOOKUP(E61,[1]characters!$A:$G,7,FALSE)</f>
        <v>女性</v>
      </c>
      <c r="M61" s="62">
        <f ca="1">IFERROR(VLOOKUP(E61,input_313101!L:R,7,FALSE),VLOOKUP(tables_313101!B61,input_313101!A:H,8,FALSE))</f>
        <v>342090</v>
      </c>
      <c r="N61" s="63">
        <f t="shared" ca="1" si="3"/>
        <v>1.222972972972973E-2</v>
      </c>
      <c r="O61" s="31">
        <f>IFERROR(VLOOKUP($E61,bug_conf_sheet!$A:$H,3,FALSE),VLOOKUP("other",bug_conf_sheet!$A:$H,3,FALSE))</f>
        <v>1</v>
      </c>
      <c r="P61" s="31">
        <f>IFERROR(VLOOKUP($E61,bug_conf_sheet!$A:$H,4,FALSE),VLOOKUP("other",bug_conf_sheet!$A:$H,4,FALSE))</f>
        <v>0</v>
      </c>
      <c r="Q61" s="31">
        <f>IFERROR(VLOOKUP($E61,bug_conf_sheet!$A:$H,5,FALSE),VLOOKUP("other",bug_conf_sheet!$A:$H,5,FALSE))</f>
        <v>0</v>
      </c>
      <c r="R61" s="31">
        <f>IFERROR(VLOOKUP($E61,bug_conf_sheet!$A:$H,6,FALSE),VLOOKUP("other",bug_conf_sheet!$A:$H,6,FALSE))</f>
        <v>0</v>
      </c>
      <c r="S61" s="31">
        <f>IFERROR(VLOOKUP($E61,bug_conf_sheet!$A:$H,7,FALSE),VLOOKUP("other",bug_conf_sheet!$A:$H,7,FALSE))</f>
        <v>0</v>
      </c>
      <c r="T61" s="31">
        <f>IFERROR(VLOOKUP($E61,bug_conf_sheet!$A:$H,8,FALSE),VLOOKUP("other",bug_conf_sheet!$A:$H,8,FALSE))</f>
        <v>1</v>
      </c>
    </row>
    <row r="62" spans="1:20" ht="21" customHeight="1">
      <c r="A62" s="2" t="str">
        <f ca="1">input_313101!A$2</f>
        <v>313101</v>
      </c>
      <c r="B62" s="7" t="str">
        <f t="shared" si="0"/>
        <v>Premium5</v>
      </c>
      <c r="C62" s="7" t="str">
        <f t="shared" si="1"/>
        <v>Premium</v>
      </c>
      <c r="D62" s="7" t="str">
        <f t="shared" si="2"/>
        <v>bg</v>
      </c>
      <c r="E62" s="8">
        <v>186</v>
      </c>
      <c r="F62" s="7" t="str">
        <f>VLOOKUP(E62,[1]characters!$A:$C,3,FALSE)</f>
        <v>誇り高き多触姫・クラーケン</v>
      </c>
      <c r="G62" s="7" t="str">
        <f>VLOOKUP(E62,[1]characters!$A:$J,10,FALSE)</f>
        <v>PremiumN</v>
      </c>
      <c r="H62" s="7">
        <f>VLOOKUP(E62,[1]characters!$A:$I,9,FALSE)</f>
        <v>5</v>
      </c>
      <c r="I62" s="7" t="str">
        <f>VLOOKUP(E62,[1]characters!$A:$H,8,FALSE)</f>
        <v>blue</v>
      </c>
      <c r="J62" s="7" t="str">
        <f>VLOOKUP(E62,[1]characters!$A:$K,11,FALSE)</f>
        <v>heal</v>
      </c>
      <c r="K62" s="7" t="str">
        <f>VLOOKUP(E62,[1]characters!$A:$M,13,FALSE)</f>
        <v>animal</v>
      </c>
      <c r="L62" s="7" t="str">
        <f>VLOOKUP(E62,[1]characters!$A:$G,7,FALSE)</f>
        <v>女性</v>
      </c>
      <c r="M62" s="62">
        <f ca="1">IFERROR(VLOOKUP(E62,input_313101!L:R,7,FALSE),VLOOKUP(tables_313101!B62,input_313101!A:H,8,FALSE))</f>
        <v>18130</v>
      </c>
      <c r="N62" s="63">
        <f t="shared" ca="1" si="3"/>
        <v>6.4814814814814813E-4</v>
      </c>
      <c r="O62" s="31">
        <f>IFERROR(VLOOKUP($E62,bug_conf_sheet!$A:$H,3,FALSE),VLOOKUP("other",bug_conf_sheet!$A:$H,3,FALSE))</f>
        <v>1</v>
      </c>
      <c r="P62" s="31">
        <f>IFERROR(VLOOKUP($E62,bug_conf_sheet!$A:$H,4,FALSE),VLOOKUP("other",bug_conf_sheet!$A:$H,4,FALSE))</f>
        <v>0</v>
      </c>
      <c r="Q62" s="31">
        <f>IFERROR(VLOOKUP($E62,bug_conf_sheet!$A:$H,5,FALSE),VLOOKUP("other",bug_conf_sheet!$A:$H,5,FALSE))</f>
        <v>0</v>
      </c>
      <c r="R62" s="31">
        <f>IFERROR(VLOOKUP($E62,bug_conf_sheet!$A:$H,6,FALSE),VLOOKUP("other",bug_conf_sheet!$A:$H,6,FALSE))</f>
        <v>0</v>
      </c>
      <c r="S62" s="31">
        <f>IFERROR(VLOOKUP($E62,bug_conf_sheet!$A:$H,7,FALSE),VLOOKUP("other",bug_conf_sheet!$A:$H,7,FALSE))</f>
        <v>0</v>
      </c>
      <c r="T62" s="31">
        <f>IFERROR(VLOOKUP($E62,bug_conf_sheet!$A:$H,8,FALSE),VLOOKUP("other",bug_conf_sheet!$A:$H,8,FALSE))</f>
        <v>1</v>
      </c>
    </row>
    <row r="63" spans="1:20" ht="21" customHeight="1">
      <c r="A63" s="2" t="str">
        <f ca="1">input_313101!A$2</f>
        <v>313101</v>
      </c>
      <c r="B63" s="7" t="str">
        <f t="shared" si="0"/>
        <v>Premium3</v>
      </c>
      <c r="C63" s="7" t="str">
        <f t="shared" si="1"/>
        <v>Premium</v>
      </c>
      <c r="D63" s="7" t="str">
        <f t="shared" si="2"/>
        <v>ry</v>
      </c>
      <c r="E63" s="8">
        <v>187</v>
      </c>
      <c r="F63" s="7" t="str">
        <f>VLOOKUP(E63,[1]characters!$A:$C,3,FALSE)</f>
        <v>ホルス</v>
      </c>
      <c r="G63" s="7" t="str">
        <f>VLOOKUP(E63,[1]characters!$A:$J,10,FALSE)</f>
        <v>PremiumN</v>
      </c>
      <c r="H63" s="7">
        <f>VLOOKUP(E63,[1]characters!$A:$I,9,FALSE)</f>
        <v>3</v>
      </c>
      <c r="I63" s="7" t="str">
        <f>VLOOKUP(E63,[1]characters!$A:$H,8,FALSE)</f>
        <v>yellow</v>
      </c>
      <c r="J63" s="7" t="str">
        <f>VLOOKUP(E63,[1]characters!$A:$K,11,FALSE)</f>
        <v>attack</v>
      </c>
      <c r="K63" s="7" t="str">
        <f>VLOOKUP(E63,[1]characters!$A:$M,13,FALSE)</f>
        <v>animal</v>
      </c>
      <c r="L63" s="7" t="str">
        <f>VLOOKUP(E63,[1]characters!$A:$G,7,FALSE)</f>
        <v>女性</v>
      </c>
      <c r="M63" s="62">
        <f ca="1">IFERROR(VLOOKUP(E63,input_313101!L:R,7,FALSE),VLOOKUP(tables_313101!B63,input_313101!A:H,8,FALSE))</f>
        <v>0</v>
      </c>
      <c r="N63" s="63">
        <f t="shared" ca="1" si="3"/>
        <v>0</v>
      </c>
      <c r="O63" s="31">
        <f>IFERROR(VLOOKUP($E63,bug_conf_sheet!$A:$H,3,FALSE),VLOOKUP("other",bug_conf_sheet!$A:$H,3,FALSE))</f>
        <v>1</v>
      </c>
      <c r="P63" s="31">
        <f>IFERROR(VLOOKUP($E63,bug_conf_sheet!$A:$H,4,FALSE),VLOOKUP("other",bug_conf_sheet!$A:$H,4,FALSE))</f>
        <v>0</v>
      </c>
      <c r="Q63" s="31">
        <f>IFERROR(VLOOKUP($E63,bug_conf_sheet!$A:$H,5,FALSE),VLOOKUP("other",bug_conf_sheet!$A:$H,5,FALSE))</f>
        <v>0</v>
      </c>
      <c r="R63" s="31">
        <f>IFERROR(VLOOKUP($E63,bug_conf_sheet!$A:$H,6,FALSE),VLOOKUP("other",bug_conf_sheet!$A:$H,6,FALSE))</f>
        <v>0</v>
      </c>
      <c r="S63" s="31">
        <f>IFERROR(VLOOKUP($E63,bug_conf_sheet!$A:$H,7,FALSE),VLOOKUP("other",bug_conf_sheet!$A:$H,7,FALSE))</f>
        <v>0</v>
      </c>
      <c r="T63" s="31">
        <f>IFERROR(VLOOKUP($E63,bug_conf_sheet!$A:$H,8,FALSE),VLOOKUP("other",bug_conf_sheet!$A:$H,8,FALSE))</f>
        <v>1</v>
      </c>
    </row>
    <row r="64" spans="1:20" ht="21" customHeight="1">
      <c r="A64" s="2" t="str">
        <f ca="1">input_313101!A$2</f>
        <v>313101</v>
      </c>
      <c r="B64" s="7" t="str">
        <f t="shared" si="0"/>
        <v>Premium4</v>
      </c>
      <c r="C64" s="7" t="str">
        <f t="shared" si="1"/>
        <v>Premium</v>
      </c>
      <c r="D64" s="7" t="str">
        <f t="shared" si="2"/>
        <v>ry</v>
      </c>
      <c r="E64" s="8">
        <v>188</v>
      </c>
      <c r="F64" s="7" t="str">
        <f>VLOOKUP(E64,[1]characters!$A:$C,3,FALSE)</f>
        <v>猛禽 ホルス</v>
      </c>
      <c r="G64" s="7" t="str">
        <f>VLOOKUP(E64,[1]characters!$A:$J,10,FALSE)</f>
        <v>PremiumN</v>
      </c>
      <c r="H64" s="7">
        <f>VLOOKUP(E64,[1]characters!$A:$I,9,FALSE)</f>
        <v>4</v>
      </c>
      <c r="I64" s="7" t="str">
        <f>VLOOKUP(E64,[1]characters!$A:$H,8,FALSE)</f>
        <v>yellow</v>
      </c>
      <c r="J64" s="7" t="str">
        <f>VLOOKUP(E64,[1]characters!$A:$K,11,FALSE)</f>
        <v>attack</v>
      </c>
      <c r="K64" s="7" t="str">
        <f>VLOOKUP(E64,[1]characters!$A:$M,13,FALSE)</f>
        <v>animal</v>
      </c>
      <c r="L64" s="7" t="str">
        <f>VLOOKUP(E64,[1]characters!$A:$G,7,FALSE)</f>
        <v>女性</v>
      </c>
      <c r="M64" s="62">
        <f ca="1">IFERROR(VLOOKUP(E64,input_313101!L:R,7,FALSE),VLOOKUP(tables_313101!B64,input_313101!A:H,8,FALSE))</f>
        <v>342090</v>
      </c>
      <c r="N64" s="63">
        <f t="shared" ca="1" si="3"/>
        <v>1.222972972972973E-2</v>
      </c>
      <c r="O64" s="31">
        <f>IFERROR(VLOOKUP($E64,bug_conf_sheet!$A:$H,3,FALSE),VLOOKUP("other",bug_conf_sheet!$A:$H,3,FALSE))</f>
        <v>1</v>
      </c>
      <c r="P64" s="31">
        <f>IFERROR(VLOOKUP($E64,bug_conf_sheet!$A:$H,4,FALSE),VLOOKUP("other",bug_conf_sheet!$A:$H,4,FALSE))</f>
        <v>0</v>
      </c>
      <c r="Q64" s="31">
        <f>IFERROR(VLOOKUP($E64,bug_conf_sheet!$A:$H,5,FALSE),VLOOKUP("other",bug_conf_sheet!$A:$H,5,FALSE))</f>
        <v>0</v>
      </c>
      <c r="R64" s="31">
        <f>IFERROR(VLOOKUP($E64,bug_conf_sheet!$A:$H,6,FALSE),VLOOKUP("other",bug_conf_sheet!$A:$H,6,FALSE))</f>
        <v>0</v>
      </c>
      <c r="S64" s="31">
        <f>IFERROR(VLOOKUP($E64,bug_conf_sheet!$A:$H,7,FALSE),VLOOKUP("other",bug_conf_sheet!$A:$H,7,FALSE))</f>
        <v>0</v>
      </c>
      <c r="T64" s="31">
        <f>IFERROR(VLOOKUP($E64,bug_conf_sheet!$A:$H,8,FALSE),VLOOKUP("other",bug_conf_sheet!$A:$H,8,FALSE))</f>
        <v>1</v>
      </c>
    </row>
    <row r="65" spans="1:20" ht="21" customHeight="1">
      <c r="A65" s="2" t="str">
        <f ca="1">input_313101!A$2</f>
        <v>313101</v>
      </c>
      <c r="B65" s="7" t="str">
        <f t="shared" si="0"/>
        <v>Premium5</v>
      </c>
      <c r="C65" s="7" t="str">
        <f t="shared" si="1"/>
        <v>Premium</v>
      </c>
      <c r="D65" s="7" t="str">
        <f t="shared" si="2"/>
        <v>ry</v>
      </c>
      <c r="E65" s="8">
        <v>189</v>
      </c>
      <c r="F65" s="7" t="str">
        <f>VLOOKUP(E65,[1]characters!$A:$C,3,FALSE)</f>
        <v>迅雷の王禽 ホルス</v>
      </c>
      <c r="G65" s="7" t="str">
        <f>VLOOKUP(E65,[1]characters!$A:$J,10,FALSE)</f>
        <v>PremiumN</v>
      </c>
      <c r="H65" s="7">
        <f>VLOOKUP(E65,[1]characters!$A:$I,9,FALSE)</f>
        <v>5</v>
      </c>
      <c r="I65" s="7" t="str">
        <f>VLOOKUP(E65,[1]characters!$A:$H,8,FALSE)</f>
        <v>yellow</v>
      </c>
      <c r="J65" s="7" t="str">
        <f>VLOOKUP(E65,[1]characters!$A:$K,11,FALSE)</f>
        <v>attack</v>
      </c>
      <c r="K65" s="7" t="str">
        <f>VLOOKUP(E65,[1]characters!$A:$M,13,FALSE)</f>
        <v>animal</v>
      </c>
      <c r="L65" s="7" t="str">
        <f>VLOOKUP(E65,[1]characters!$A:$G,7,FALSE)</f>
        <v>女性</v>
      </c>
      <c r="M65" s="62">
        <f ca="1">IFERROR(VLOOKUP(E65,input_313101!L:R,7,FALSE),VLOOKUP(tables_313101!B65,input_313101!A:H,8,FALSE))</f>
        <v>18130</v>
      </c>
      <c r="N65" s="63">
        <f t="shared" ca="1" si="3"/>
        <v>6.4814814814814813E-4</v>
      </c>
      <c r="O65" s="31">
        <f>IFERROR(VLOOKUP($E65,bug_conf_sheet!$A:$H,3,FALSE),VLOOKUP("other",bug_conf_sheet!$A:$H,3,FALSE))</f>
        <v>1</v>
      </c>
      <c r="P65" s="31">
        <f>IFERROR(VLOOKUP($E65,bug_conf_sheet!$A:$H,4,FALSE),VLOOKUP("other",bug_conf_sheet!$A:$H,4,FALSE))</f>
        <v>0</v>
      </c>
      <c r="Q65" s="31">
        <f>IFERROR(VLOOKUP($E65,bug_conf_sheet!$A:$H,5,FALSE),VLOOKUP("other",bug_conf_sheet!$A:$H,5,FALSE))</f>
        <v>0</v>
      </c>
      <c r="R65" s="31">
        <f>IFERROR(VLOOKUP($E65,bug_conf_sheet!$A:$H,6,FALSE),VLOOKUP("other",bug_conf_sheet!$A:$H,6,FALSE))</f>
        <v>0</v>
      </c>
      <c r="S65" s="31">
        <f>IFERROR(VLOOKUP($E65,bug_conf_sheet!$A:$H,7,FALSE),VLOOKUP("other",bug_conf_sheet!$A:$H,7,FALSE))</f>
        <v>0</v>
      </c>
      <c r="T65" s="31">
        <f>IFERROR(VLOOKUP($E65,bug_conf_sheet!$A:$H,8,FALSE),VLOOKUP("other",bug_conf_sheet!$A:$H,8,FALSE))</f>
        <v>1</v>
      </c>
    </row>
    <row r="66" spans="1:20" s="9" customFormat="1" ht="21" customHeight="1" thickBot="1">
      <c r="A66" s="2" t="str">
        <f ca="1">input_313101!A$2</f>
        <v>313101</v>
      </c>
      <c r="B66" s="7" t="str">
        <f t="shared" si="0"/>
        <v>Premium3</v>
      </c>
      <c r="C66" s="7" t="str">
        <f t="shared" si="1"/>
        <v>Premium</v>
      </c>
      <c r="D66" s="7" t="str">
        <f t="shared" si="2"/>
        <v>ry</v>
      </c>
      <c r="E66" s="6">
        <v>190</v>
      </c>
      <c r="F66" s="7" t="str">
        <f>VLOOKUP(E66,[1]characters!$A:$C,3,FALSE)</f>
        <v>卑弥呼</v>
      </c>
      <c r="G66" s="7" t="str">
        <f>VLOOKUP(E66,[1]characters!$A:$J,10,FALSE)</f>
        <v>PremiumN</v>
      </c>
      <c r="H66" s="7">
        <f>VLOOKUP(E66,[1]characters!$A:$I,9,FALSE)</f>
        <v>3</v>
      </c>
      <c r="I66" s="7" t="str">
        <f>VLOOKUP(E66,[1]characters!$A:$H,8,FALSE)</f>
        <v>red</v>
      </c>
      <c r="J66" s="7" t="str">
        <f>VLOOKUP(E66,[1]characters!$A:$K,11,FALSE)</f>
        <v>balance</v>
      </c>
      <c r="K66" s="7" t="str">
        <f>VLOOKUP(E66,[1]characters!$A:$M,13,FALSE)</f>
        <v>human</v>
      </c>
      <c r="L66" s="7" t="str">
        <f>VLOOKUP(E66,[1]characters!$A:$G,7,FALSE)</f>
        <v>女性</v>
      </c>
      <c r="M66" s="62">
        <f ca="1">IFERROR(VLOOKUP(E66,input_313101!L:R,7,FALSE),VLOOKUP(tables_313101!B66,input_313101!A:H,8,FALSE))</f>
        <v>0</v>
      </c>
      <c r="N66" s="63">
        <f t="shared" ca="1" si="3"/>
        <v>0</v>
      </c>
      <c r="O66" s="31">
        <f>IFERROR(VLOOKUP($E66,bug_conf_sheet!$A:$H,3,FALSE),VLOOKUP("other",bug_conf_sheet!$A:$H,3,FALSE))</f>
        <v>1</v>
      </c>
      <c r="P66" s="31">
        <f>IFERROR(VLOOKUP($E66,bug_conf_sheet!$A:$H,4,FALSE),VLOOKUP("other",bug_conf_sheet!$A:$H,4,FALSE))</f>
        <v>0</v>
      </c>
      <c r="Q66" s="31">
        <f>IFERROR(VLOOKUP($E66,bug_conf_sheet!$A:$H,5,FALSE),VLOOKUP("other",bug_conf_sheet!$A:$H,5,FALSE))</f>
        <v>0</v>
      </c>
      <c r="R66" s="31">
        <f>IFERROR(VLOOKUP($E66,bug_conf_sheet!$A:$H,6,FALSE),VLOOKUP("other",bug_conf_sheet!$A:$H,6,FALSE))</f>
        <v>0</v>
      </c>
      <c r="S66" s="31">
        <f>IFERROR(VLOOKUP($E66,bug_conf_sheet!$A:$H,7,FALSE),VLOOKUP("other",bug_conf_sheet!$A:$H,7,FALSE))</f>
        <v>0</v>
      </c>
      <c r="T66" s="31">
        <f>IFERROR(VLOOKUP($E66,bug_conf_sheet!$A:$H,8,FALSE),VLOOKUP("other",bug_conf_sheet!$A:$H,8,FALSE))</f>
        <v>1</v>
      </c>
    </row>
    <row r="67" spans="1:20" ht="21" customHeight="1">
      <c r="A67" s="2" t="str">
        <f ca="1">input_313101!A$2</f>
        <v>313101</v>
      </c>
      <c r="B67" s="7" t="str">
        <f t="shared" ref="B67:B130" si="4">C67&amp;IF(C67="premium",,D67)&amp;H67</f>
        <v>Premium4</v>
      </c>
      <c r="C67" s="7" t="str">
        <f t="shared" ref="C67:C130" si="5">IF(G67="PremiumSS",G67,IF(G67="PremiumSSS",G67,"Premium"))</f>
        <v>Premium</v>
      </c>
      <c r="D67" s="7" t="str">
        <f t="shared" ref="D67:D130" si="6">IF(I67="red","ry",IF(I67="yellow","ry","bg"))</f>
        <v>ry</v>
      </c>
      <c r="E67" s="6">
        <v>191</v>
      </c>
      <c r="F67" s="7" t="str">
        <f>VLOOKUP(E67,[1]characters!$A:$C,3,FALSE)</f>
        <v>始祖 卑弥呼</v>
      </c>
      <c r="G67" s="7" t="str">
        <f>VLOOKUP(E67,[1]characters!$A:$J,10,FALSE)</f>
        <v>PremiumN</v>
      </c>
      <c r="H67" s="7">
        <f>VLOOKUP(E67,[1]characters!$A:$I,9,FALSE)</f>
        <v>4</v>
      </c>
      <c r="I67" s="7" t="str">
        <f>VLOOKUP(E67,[1]characters!$A:$H,8,FALSE)</f>
        <v>red</v>
      </c>
      <c r="J67" s="7" t="str">
        <f>VLOOKUP(E67,[1]characters!$A:$K,11,FALSE)</f>
        <v>balance</v>
      </c>
      <c r="K67" s="7" t="str">
        <f>VLOOKUP(E67,[1]characters!$A:$M,13,FALSE)</f>
        <v>human</v>
      </c>
      <c r="L67" s="7" t="str">
        <f>VLOOKUP(E67,[1]characters!$A:$G,7,FALSE)</f>
        <v>女性</v>
      </c>
      <c r="M67" s="62">
        <f ca="1">IFERROR(VLOOKUP(E67,input_313101!L:R,7,FALSE),VLOOKUP(tables_313101!B67,input_313101!A:H,8,FALSE))</f>
        <v>342090</v>
      </c>
      <c r="N67" s="63">
        <f t="shared" ref="N67:N130" ca="1" si="7">M67/SUM(M:M)</f>
        <v>1.222972972972973E-2</v>
      </c>
      <c r="O67" s="31">
        <f>IFERROR(VLOOKUP($E67,bug_conf_sheet!$A:$H,3,FALSE),VLOOKUP("other",bug_conf_sheet!$A:$H,3,FALSE))</f>
        <v>1</v>
      </c>
      <c r="P67" s="31">
        <f>IFERROR(VLOOKUP($E67,bug_conf_sheet!$A:$H,4,FALSE),VLOOKUP("other",bug_conf_sheet!$A:$H,4,FALSE))</f>
        <v>0</v>
      </c>
      <c r="Q67" s="31">
        <f>IFERROR(VLOOKUP($E67,bug_conf_sheet!$A:$H,5,FALSE),VLOOKUP("other",bug_conf_sheet!$A:$H,5,FALSE))</f>
        <v>0</v>
      </c>
      <c r="R67" s="31">
        <f>IFERROR(VLOOKUP($E67,bug_conf_sheet!$A:$H,6,FALSE),VLOOKUP("other",bug_conf_sheet!$A:$H,6,FALSE))</f>
        <v>0</v>
      </c>
      <c r="S67" s="31">
        <f>IFERROR(VLOOKUP($E67,bug_conf_sheet!$A:$H,7,FALSE),VLOOKUP("other",bug_conf_sheet!$A:$H,7,FALSE))</f>
        <v>0</v>
      </c>
      <c r="T67" s="31">
        <f>IFERROR(VLOOKUP($E67,bug_conf_sheet!$A:$H,8,FALSE),VLOOKUP("other",bug_conf_sheet!$A:$H,8,FALSE))</f>
        <v>1</v>
      </c>
    </row>
    <row r="68" spans="1:20" ht="21" customHeight="1">
      <c r="A68" s="2" t="str">
        <f ca="1">input_313101!A$2</f>
        <v>313101</v>
      </c>
      <c r="B68" s="7" t="str">
        <f t="shared" si="4"/>
        <v>Premium5</v>
      </c>
      <c r="C68" s="7" t="str">
        <f t="shared" si="5"/>
        <v>Premium</v>
      </c>
      <c r="D68" s="7" t="str">
        <f t="shared" si="6"/>
        <v>ry</v>
      </c>
      <c r="E68" s="6">
        <v>192</v>
      </c>
      <c r="F68" s="7" t="str">
        <f>VLOOKUP(E68,[1]characters!$A:$C,3,FALSE)</f>
        <v>荘厳なる始祖帝 卑弥呼</v>
      </c>
      <c r="G68" s="7" t="str">
        <f>VLOOKUP(E68,[1]characters!$A:$J,10,FALSE)</f>
        <v>PremiumN</v>
      </c>
      <c r="H68" s="7">
        <f>VLOOKUP(E68,[1]characters!$A:$I,9,FALSE)</f>
        <v>5</v>
      </c>
      <c r="I68" s="7" t="str">
        <f>VLOOKUP(E68,[1]characters!$A:$H,8,FALSE)</f>
        <v>red</v>
      </c>
      <c r="J68" s="7" t="str">
        <f>VLOOKUP(E68,[1]characters!$A:$K,11,FALSE)</f>
        <v>balance</v>
      </c>
      <c r="K68" s="7" t="str">
        <f>VLOOKUP(E68,[1]characters!$A:$M,13,FALSE)</f>
        <v>human</v>
      </c>
      <c r="L68" s="7" t="str">
        <f>VLOOKUP(E68,[1]characters!$A:$G,7,FALSE)</f>
        <v>女性</v>
      </c>
      <c r="M68" s="62">
        <f ca="1">IFERROR(VLOOKUP(E68,input_313101!L:R,7,FALSE),VLOOKUP(tables_313101!B68,input_313101!A:H,8,FALSE))</f>
        <v>18130</v>
      </c>
      <c r="N68" s="63">
        <f t="shared" ca="1" si="7"/>
        <v>6.4814814814814813E-4</v>
      </c>
      <c r="O68" s="31">
        <f>IFERROR(VLOOKUP($E68,bug_conf_sheet!$A:$H,3,FALSE),VLOOKUP("other",bug_conf_sheet!$A:$H,3,FALSE))</f>
        <v>1</v>
      </c>
      <c r="P68" s="31">
        <f>IFERROR(VLOOKUP($E68,bug_conf_sheet!$A:$H,4,FALSE),VLOOKUP("other",bug_conf_sheet!$A:$H,4,FALSE))</f>
        <v>0</v>
      </c>
      <c r="Q68" s="31">
        <f>IFERROR(VLOOKUP($E68,bug_conf_sheet!$A:$H,5,FALSE),VLOOKUP("other",bug_conf_sheet!$A:$H,5,FALSE))</f>
        <v>0</v>
      </c>
      <c r="R68" s="31">
        <f>IFERROR(VLOOKUP($E68,bug_conf_sheet!$A:$H,6,FALSE),VLOOKUP("other",bug_conf_sheet!$A:$H,6,FALSE))</f>
        <v>0</v>
      </c>
      <c r="S68" s="31">
        <f>IFERROR(VLOOKUP($E68,bug_conf_sheet!$A:$H,7,FALSE),VLOOKUP("other",bug_conf_sheet!$A:$H,7,FALSE))</f>
        <v>0</v>
      </c>
      <c r="T68" s="31">
        <f>IFERROR(VLOOKUP($E68,bug_conf_sheet!$A:$H,8,FALSE),VLOOKUP("other",bug_conf_sheet!$A:$H,8,FALSE))</f>
        <v>1</v>
      </c>
    </row>
    <row r="69" spans="1:20" ht="21" customHeight="1">
      <c r="A69" s="2" t="str">
        <f ca="1">input_313101!A$2</f>
        <v>313101</v>
      </c>
      <c r="B69" s="7" t="str">
        <f t="shared" si="4"/>
        <v>Premium3</v>
      </c>
      <c r="C69" s="7" t="str">
        <f t="shared" si="5"/>
        <v>Premium</v>
      </c>
      <c r="D69" s="7" t="str">
        <f t="shared" si="6"/>
        <v>bg</v>
      </c>
      <c r="E69" s="6">
        <v>193</v>
      </c>
      <c r="F69" s="7" t="str">
        <f>VLOOKUP(E69,[1]characters!$A:$C,3,FALSE)</f>
        <v>ロビンフッド</v>
      </c>
      <c r="G69" s="7" t="str">
        <f>VLOOKUP(E69,[1]characters!$A:$J,10,FALSE)</f>
        <v>PremiumN</v>
      </c>
      <c r="H69" s="7">
        <f>VLOOKUP(E69,[1]characters!$A:$I,9,FALSE)</f>
        <v>3</v>
      </c>
      <c r="I69" s="7" t="str">
        <f>VLOOKUP(E69,[1]characters!$A:$H,8,FALSE)</f>
        <v>green</v>
      </c>
      <c r="J69" s="7" t="str">
        <f>VLOOKUP(E69,[1]characters!$A:$K,11,FALSE)</f>
        <v>balance</v>
      </c>
      <c r="K69" s="7" t="str">
        <f>VLOOKUP(E69,[1]characters!$A:$M,13,FALSE)</f>
        <v>human</v>
      </c>
      <c r="L69" s="7" t="str">
        <f>VLOOKUP(E69,[1]characters!$A:$G,7,FALSE)</f>
        <v>女性</v>
      </c>
      <c r="M69" s="62">
        <f ca="1">IFERROR(VLOOKUP(E69,input_313101!L:R,7,FALSE),VLOOKUP(tables_313101!B69,input_313101!A:H,8,FALSE))</f>
        <v>0</v>
      </c>
      <c r="N69" s="63">
        <f t="shared" ca="1" si="7"/>
        <v>0</v>
      </c>
      <c r="O69" s="31">
        <f>IFERROR(VLOOKUP($E69,bug_conf_sheet!$A:$H,3,FALSE),VLOOKUP("other",bug_conf_sheet!$A:$H,3,FALSE))</f>
        <v>1</v>
      </c>
      <c r="P69" s="31">
        <f>IFERROR(VLOOKUP($E69,bug_conf_sheet!$A:$H,4,FALSE),VLOOKUP("other",bug_conf_sheet!$A:$H,4,FALSE))</f>
        <v>0</v>
      </c>
      <c r="Q69" s="31">
        <f>IFERROR(VLOOKUP($E69,bug_conf_sheet!$A:$H,5,FALSE),VLOOKUP("other",bug_conf_sheet!$A:$H,5,FALSE))</f>
        <v>0</v>
      </c>
      <c r="R69" s="31">
        <f>IFERROR(VLOOKUP($E69,bug_conf_sheet!$A:$H,6,FALSE),VLOOKUP("other",bug_conf_sheet!$A:$H,6,FALSE))</f>
        <v>0</v>
      </c>
      <c r="S69" s="31">
        <f>IFERROR(VLOOKUP($E69,bug_conf_sheet!$A:$H,7,FALSE),VLOOKUP("other",bug_conf_sheet!$A:$H,7,FALSE))</f>
        <v>0</v>
      </c>
      <c r="T69" s="31">
        <f>IFERROR(VLOOKUP($E69,bug_conf_sheet!$A:$H,8,FALSE),VLOOKUP("other",bug_conf_sheet!$A:$H,8,FALSE))</f>
        <v>1</v>
      </c>
    </row>
    <row r="70" spans="1:20" ht="21" customHeight="1">
      <c r="A70" s="2" t="str">
        <f ca="1">input_313101!A$2</f>
        <v>313101</v>
      </c>
      <c r="B70" s="7" t="str">
        <f t="shared" si="4"/>
        <v>Premium4</v>
      </c>
      <c r="C70" s="7" t="str">
        <f t="shared" si="5"/>
        <v>Premium</v>
      </c>
      <c r="D70" s="7" t="str">
        <f t="shared" si="6"/>
        <v>bg</v>
      </c>
      <c r="E70" s="10">
        <v>194</v>
      </c>
      <c r="F70" s="7" t="str">
        <f>VLOOKUP(E70,[1]characters!$A:$C,3,FALSE)</f>
        <v>スナイパー ロビンフッド</v>
      </c>
      <c r="G70" s="7" t="str">
        <f>VLOOKUP(E70,[1]characters!$A:$J,10,FALSE)</f>
        <v>PremiumN</v>
      </c>
      <c r="H70" s="7">
        <f>VLOOKUP(E70,[1]characters!$A:$I,9,FALSE)</f>
        <v>4</v>
      </c>
      <c r="I70" s="7" t="str">
        <f>VLOOKUP(E70,[1]characters!$A:$H,8,FALSE)</f>
        <v>green</v>
      </c>
      <c r="J70" s="7" t="str">
        <f>VLOOKUP(E70,[1]characters!$A:$K,11,FALSE)</f>
        <v>balance</v>
      </c>
      <c r="K70" s="7" t="str">
        <f>VLOOKUP(E70,[1]characters!$A:$M,13,FALSE)</f>
        <v>human</v>
      </c>
      <c r="L70" s="7" t="str">
        <f>VLOOKUP(E70,[1]characters!$A:$G,7,FALSE)</f>
        <v>女性</v>
      </c>
      <c r="M70" s="62">
        <f ca="1">IFERROR(VLOOKUP(E70,input_313101!L:R,7,FALSE),VLOOKUP(tables_313101!B70,input_313101!A:H,8,FALSE))</f>
        <v>342090</v>
      </c>
      <c r="N70" s="63">
        <f t="shared" ca="1" si="7"/>
        <v>1.222972972972973E-2</v>
      </c>
      <c r="O70" s="31">
        <f>IFERROR(VLOOKUP($E70,bug_conf_sheet!$A:$H,3,FALSE),VLOOKUP("other",bug_conf_sheet!$A:$H,3,FALSE))</f>
        <v>1</v>
      </c>
      <c r="P70" s="31">
        <f>IFERROR(VLOOKUP($E70,bug_conf_sheet!$A:$H,4,FALSE),VLOOKUP("other",bug_conf_sheet!$A:$H,4,FALSE))</f>
        <v>0</v>
      </c>
      <c r="Q70" s="31">
        <f>IFERROR(VLOOKUP($E70,bug_conf_sheet!$A:$H,5,FALSE),VLOOKUP("other",bug_conf_sheet!$A:$H,5,FALSE))</f>
        <v>0</v>
      </c>
      <c r="R70" s="31">
        <f>IFERROR(VLOOKUP($E70,bug_conf_sheet!$A:$H,6,FALSE),VLOOKUP("other",bug_conf_sheet!$A:$H,6,FALSE))</f>
        <v>0</v>
      </c>
      <c r="S70" s="31">
        <f>IFERROR(VLOOKUP($E70,bug_conf_sheet!$A:$H,7,FALSE),VLOOKUP("other",bug_conf_sheet!$A:$H,7,FALSE))</f>
        <v>0</v>
      </c>
      <c r="T70" s="31">
        <f>IFERROR(VLOOKUP($E70,bug_conf_sheet!$A:$H,8,FALSE),VLOOKUP("other",bug_conf_sheet!$A:$H,8,FALSE))</f>
        <v>1</v>
      </c>
    </row>
    <row r="71" spans="1:20" ht="21" customHeight="1">
      <c r="A71" s="2" t="str">
        <f ca="1">input_313101!A$2</f>
        <v>313101</v>
      </c>
      <c r="B71" s="7" t="str">
        <f t="shared" si="4"/>
        <v>Premium5</v>
      </c>
      <c r="C71" s="7" t="str">
        <f t="shared" si="5"/>
        <v>Premium</v>
      </c>
      <c r="D71" s="7" t="str">
        <f t="shared" si="6"/>
        <v>bg</v>
      </c>
      <c r="E71" s="6">
        <v>195</v>
      </c>
      <c r="F71" s="7" t="str">
        <f>VLOOKUP(E71,[1]characters!$A:$C,3,FALSE)</f>
        <v>グランドハンター ロビンフッド</v>
      </c>
      <c r="G71" s="7" t="str">
        <f>VLOOKUP(E71,[1]characters!$A:$J,10,FALSE)</f>
        <v>PremiumN</v>
      </c>
      <c r="H71" s="7">
        <f>VLOOKUP(E71,[1]characters!$A:$I,9,FALSE)</f>
        <v>5</v>
      </c>
      <c r="I71" s="7" t="str">
        <f>VLOOKUP(E71,[1]characters!$A:$H,8,FALSE)</f>
        <v>green</v>
      </c>
      <c r="J71" s="7" t="str">
        <f>VLOOKUP(E71,[1]characters!$A:$K,11,FALSE)</f>
        <v>balance</v>
      </c>
      <c r="K71" s="7" t="str">
        <f>VLOOKUP(E71,[1]characters!$A:$M,13,FALSE)</f>
        <v>human</v>
      </c>
      <c r="L71" s="7" t="str">
        <f>VLOOKUP(E71,[1]characters!$A:$G,7,FALSE)</f>
        <v>女性</v>
      </c>
      <c r="M71" s="62">
        <f ca="1">IFERROR(VLOOKUP(E71,input_313101!L:R,7,FALSE),VLOOKUP(tables_313101!B71,input_313101!A:H,8,FALSE))</f>
        <v>18130</v>
      </c>
      <c r="N71" s="63">
        <f t="shared" ca="1" si="7"/>
        <v>6.4814814814814813E-4</v>
      </c>
      <c r="O71" s="31">
        <f>IFERROR(VLOOKUP($E71,bug_conf_sheet!$A:$H,3,FALSE),VLOOKUP("other",bug_conf_sheet!$A:$H,3,FALSE))</f>
        <v>1</v>
      </c>
      <c r="P71" s="31">
        <f>IFERROR(VLOOKUP($E71,bug_conf_sheet!$A:$H,4,FALSE),VLOOKUP("other",bug_conf_sheet!$A:$H,4,FALSE))</f>
        <v>0</v>
      </c>
      <c r="Q71" s="31">
        <f>IFERROR(VLOOKUP($E71,bug_conf_sheet!$A:$H,5,FALSE),VLOOKUP("other",bug_conf_sheet!$A:$H,5,FALSE))</f>
        <v>0</v>
      </c>
      <c r="R71" s="31">
        <f>IFERROR(VLOOKUP($E71,bug_conf_sheet!$A:$H,6,FALSE),VLOOKUP("other",bug_conf_sheet!$A:$H,6,FALSE))</f>
        <v>0</v>
      </c>
      <c r="S71" s="31">
        <f>IFERROR(VLOOKUP($E71,bug_conf_sheet!$A:$H,7,FALSE),VLOOKUP("other",bug_conf_sheet!$A:$H,7,FALSE))</f>
        <v>0</v>
      </c>
      <c r="T71" s="31">
        <f>IFERROR(VLOOKUP($E71,bug_conf_sheet!$A:$H,8,FALSE),VLOOKUP("other",bug_conf_sheet!$A:$H,8,FALSE))</f>
        <v>1</v>
      </c>
    </row>
    <row r="72" spans="1:20" ht="21" customHeight="1">
      <c r="A72" s="2" t="str">
        <f ca="1">input_313101!A$2</f>
        <v>313101</v>
      </c>
      <c r="B72" s="7" t="str">
        <f t="shared" si="4"/>
        <v>Premium3</v>
      </c>
      <c r="C72" s="7" t="str">
        <f t="shared" si="5"/>
        <v>Premium</v>
      </c>
      <c r="D72" s="7" t="str">
        <f t="shared" si="6"/>
        <v>ry</v>
      </c>
      <c r="E72" s="10">
        <v>196</v>
      </c>
      <c r="F72" s="7" t="str">
        <f>VLOOKUP(E72,[1]characters!$A:$C,3,FALSE)</f>
        <v>アキレス</v>
      </c>
      <c r="G72" s="7" t="str">
        <f>VLOOKUP(E72,[1]characters!$A:$J,10,FALSE)</f>
        <v>PremiumN</v>
      </c>
      <c r="H72" s="7">
        <f>VLOOKUP(E72,[1]characters!$A:$I,9,FALSE)</f>
        <v>3</v>
      </c>
      <c r="I72" s="7" t="str">
        <f>VLOOKUP(E72,[1]characters!$A:$H,8,FALSE)</f>
        <v>yellow</v>
      </c>
      <c r="J72" s="7" t="str">
        <f>VLOOKUP(E72,[1]characters!$A:$K,11,FALSE)</f>
        <v>balance</v>
      </c>
      <c r="K72" s="7" t="str">
        <f>VLOOKUP(E72,[1]characters!$A:$M,13,FALSE)</f>
        <v>human</v>
      </c>
      <c r="L72" s="7" t="str">
        <f>VLOOKUP(E72,[1]characters!$A:$G,7,FALSE)</f>
        <v>女性</v>
      </c>
      <c r="M72" s="62">
        <f ca="1">IFERROR(VLOOKUP(E72,input_313101!L:R,7,FALSE),VLOOKUP(tables_313101!B72,input_313101!A:H,8,FALSE))</f>
        <v>0</v>
      </c>
      <c r="N72" s="63">
        <f t="shared" ca="1" si="7"/>
        <v>0</v>
      </c>
      <c r="O72" s="31">
        <f>IFERROR(VLOOKUP($E72,bug_conf_sheet!$A:$H,3,FALSE),VLOOKUP("other",bug_conf_sheet!$A:$H,3,FALSE))</f>
        <v>1</v>
      </c>
      <c r="P72" s="31">
        <f>IFERROR(VLOOKUP($E72,bug_conf_sheet!$A:$H,4,FALSE),VLOOKUP("other",bug_conf_sheet!$A:$H,4,FALSE))</f>
        <v>0</v>
      </c>
      <c r="Q72" s="31">
        <f>IFERROR(VLOOKUP($E72,bug_conf_sheet!$A:$H,5,FALSE),VLOOKUP("other",bug_conf_sheet!$A:$H,5,FALSE))</f>
        <v>0</v>
      </c>
      <c r="R72" s="31">
        <f>IFERROR(VLOOKUP($E72,bug_conf_sheet!$A:$H,6,FALSE),VLOOKUP("other",bug_conf_sheet!$A:$H,6,FALSE))</f>
        <v>0</v>
      </c>
      <c r="S72" s="31">
        <f>IFERROR(VLOOKUP($E72,bug_conf_sheet!$A:$H,7,FALSE),VLOOKUP("other",bug_conf_sheet!$A:$H,7,FALSE))</f>
        <v>0</v>
      </c>
      <c r="T72" s="31">
        <f>IFERROR(VLOOKUP($E72,bug_conf_sheet!$A:$H,8,FALSE),VLOOKUP("other",bug_conf_sheet!$A:$H,8,FALSE))</f>
        <v>1</v>
      </c>
    </row>
    <row r="73" spans="1:20" ht="21" customHeight="1">
      <c r="A73" s="2" t="str">
        <f ca="1">input_313101!A$2</f>
        <v>313101</v>
      </c>
      <c r="B73" s="7" t="str">
        <f t="shared" si="4"/>
        <v>Premium4</v>
      </c>
      <c r="C73" s="7" t="str">
        <f t="shared" si="5"/>
        <v>Premium</v>
      </c>
      <c r="D73" s="7" t="str">
        <f t="shared" si="6"/>
        <v>ry</v>
      </c>
      <c r="E73" s="11">
        <v>197</v>
      </c>
      <c r="F73" s="7" t="str">
        <f>VLOOKUP(E73,[1]characters!$A:$C,3,FALSE)</f>
        <v>鉄腕 アキレス</v>
      </c>
      <c r="G73" s="7" t="str">
        <f>VLOOKUP(E73,[1]characters!$A:$J,10,FALSE)</f>
        <v>PremiumN</v>
      </c>
      <c r="H73" s="7">
        <f>VLOOKUP(E73,[1]characters!$A:$I,9,FALSE)</f>
        <v>4</v>
      </c>
      <c r="I73" s="7" t="str">
        <f>VLOOKUP(E73,[1]characters!$A:$H,8,FALSE)</f>
        <v>yellow</v>
      </c>
      <c r="J73" s="7" t="str">
        <f>VLOOKUP(E73,[1]characters!$A:$K,11,FALSE)</f>
        <v>balance</v>
      </c>
      <c r="K73" s="7" t="str">
        <f>VLOOKUP(E73,[1]characters!$A:$M,13,FALSE)</f>
        <v>human</v>
      </c>
      <c r="L73" s="7" t="str">
        <f>VLOOKUP(E73,[1]characters!$A:$G,7,FALSE)</f>
        <v>女性</v>
      </c>
      <c r="M73" s="62">
        <f ca="1">IFERROR(VLOOKUP(E73,input_313101!L:R,7,FALSE),VLOOKUP(tables_313101!B73,input_313101!A:H,8,FALSE))</f>
        <v>342090</v>
      </c>
      <c r="N73" s="63">
        <f t="shared" ca="1" si="7"/>
        <v>1.222972972972973E-2</v>
      </c>
      <c r="O73" s="31">
        <f>IFERROR(VLOOKUP($E73,bug_conf_sheet!$A:$H,3,FALSE),VLOOKUP("other",bug_conf_sheet!$A:$H,3,FALSE))</f>
        <v>1</v>
      </c>
      <c r="P73" s="31">
        <f>IFERROR(VLOOKUP($E73,bug_conf_sheet!$A:$H,4,FALSE),VLOOKUP("other",bug_conf_sheet!$A:$H,4,FALSE))</f>
        <v>0</v>
      </c>
      <c r="Q73" s="31">
        <f>IFERROR(VLOOKUP($E73,bug_conf_sheet!$A:$H,5,FALSE),VLOOKUP("other",bug_conf_sheet!$A:$H,5,FALSE))</f>
        <v>0</v>
      </c>
      <c r="R73" s="31">
        <f>IFERROR(VLOOKUP($E73,bug_conf_sheet!$A:$H,6,FALSE),VLOOKUP("other",bug_conf_sheet!$A:$H,6,FALSE))</f>
        <v>0</v>
      </c>
      <c r="S73" s="31">
        <f>IFERROR(VLOOKUP($E73,bug_conf_sheet!$A:$H,7,FALSE),VLOOKUP("other",bug_conf_sheet!$A:$H,7,FALSE))</f>
        <v>0</v>
      </c>
      <c r="T73" s="31">
        <f>IFERROR(VLOOKUP($E73,bug_conf_sheet!$A:$H,8,FALSE),VLOOKUP("other",bug_conf_sheet!$A:$H,8,FALSE))</f>
        <v>1</v>
      </c>
    </row>
    <row r="74" spans="1:20" ht="21" customHeight="1">
      <c r="A74" s="2" t="str">
        <f ca="1">input_313101!A$2</f>
        <v>313101</v>
      </c>
      <c r="B74" s="7" t="str">
        <f t="shared" si="4"/>
        <v>Premium5</v>
      </c>
      <c r="C74" s="7" t="str">
        <f t="shared" si="5"/>
        <v>Premium</v>
      </c>
      <c r="D74" s="7" t="str">
        <f t="shared" si="6"/>
        <v>ry</v>
      </c>
      <c r="E74" s="6">
        <v>198</v>
      </c>
      <c r="F74" s="7" t="str">
        <f>VLOOKUP(E74,[1]characters!$A:$C,3,FALSE)</f>
        <v>砕骨の剛腕 アキレス</v>
      </c>
      <c r="G74" s="7" t="str">
        <f>VLOOKUP(E74,[1]characters!$A:$J,10,FALSE)</f>
        <v>PremiumN</v>
      </c>
      <c r="H74" s="7">
        <f>VLOOKUP(E74,[1]characters!$A:$I,9,FALSE)</f>
        <v>5</v>
      </c>
      <c r="I74" s="7" t="str">
        <f>VLOOKUP(E74,[1]characters!$A:$H,8,FALSE)</f>
        <v>yellow</v>
      </c>
      <c r="J74" s="7" t="str">
        <f>VLOOKUP(E74,[1]characters!$A:$K,11,FALSE)</f>
        <v>balance</v>
      </c>
      <c r="K74" s="7" t="str">
        <f>VLOOKUP(E74,[1]characters!$A:$M,13,FALSE)</f>
        <v>human</v>
      </c>
      <c r="L74" s="7" t="str">
        <f>VLOOKUP(E74,[1]characters!$A:$G,7,FALSE)</f>
        <v>女性</v>
      </c>
      <c r="M74" s="62">
        <f ca="1">IFERROR(VLOOKUP(E74,input_313101!L:R,7,FALSE),VLOOKUP(tables_313101!B74,input_313101!A:H,8,FALSE))</f>
        <v>18130</v>
      </c>
      <c r="N74" s="63">
        <f t="shared" ca="1" si="7"/>
        <v>6.4814814814814813E-4</v>
      </c>
      <c r="O74" s="31">
        <f>IFERROR(VLOOKUP($E74,bug_conf_sheet!$A:$H,3,FALSE),VLOOKUP("other",bug_conf_sheet!$A:$H,3,FALSE))</f>
        <v>1</v>
      </c>
      <c r="P74" s="31">
        <f>IFERROR(VLOOKUP($E74,bug_conf_sheet!$A:$H,4,FALSE),VLOOKUP("other",bug_conf_sheet!$A:$H,4,FALSE))</f>
        <v>0</v>
      </c>
      <c r="Q74" s="31">
        <f>IFERROR(VLOOKUP($E74,bug_conf_sheet!$A:$H,5,FALSE),VLOOKUP("other",bug_conf_sheet!$A:$H,5,FALSE))</f>
        <v>0</v>
      </c>
      <c r="R74" s="31">
        <f>IFERROR(VLOOKUP($E74,bug_conf_sheet!$A:$H,6,FALSE),VLOOKUP("other",bug_conf_sheet!$A:$H,6,FALSE))</f>
        <v>0</v>
      </c>
      <c r="S74" s="31">
        <f>IFERROR(VLOOKUP($E74,bug_conf_sheet!$A:$H,7,FALSE),VLOOKUP("other",bug_conf_sheet!$A:$H,7,FALSE))</f>
        <v>0</v>
      </c>
      <c r="T74" s="31">
        <f>IFERROR(VLOOKUP($E74,bug_conf_sheet!$A:$H,8,FALSE),VLOOKUP("other",bug_conf_sheet!$A:$H,8,FALSE))</f>
        <v>1</v>
      </c>
    </row>
    <row r="75" spans="1:20" ht="21" customHeight="1">
      <c r="A75" s="2" t="str">
        <f ca="1">input_313101!A$2</f>
        <v>313101</v>
      </c>
      <c r="B75" s="7" t="str">
        <f t="shared" si="4"/>
        <v>Premium3</v>
      </c>
      <c r="C75" s="7" t="str">
        <f t="shared" si="5"/>
        <v>Premium</v>
      </c>
      <c r="D75" s="7" t="str">
        <f t="shared" si="6"/>
        <v>bg</v>
      </c>
      <c r="E75" s="6">
        <v>199</v>
      </c>
      <c r="F75" s="7" t="str">
        <f>VLOOKUP(E75,[1]characters!$A:$C,3,FALSE)</f>
        <v>ジークフリート</v>
      </c>
      <c r="G75" s="7" t="str">
        <f>VLOOKUP(E75,[1]characters!$A:$J,10,FALSE)</f>
        <v>PremiumN</v>
      </c>
      <c r="H75" s="7">
        <f>VLOOKUP(E75,[1]characters!$A:$I,9,FALSE)</f>
        <v>3</v>
      </c>
      <c r="I75" s="7" t="str">
        <f>VLOOKUP(E75,[1]characters!$A:$H,8,FALSE)</f>
        <v>blue</v>
      </c>
      <c r="J75" s="7" t="str">
        <f>VLOOKUP(E75,[1]characters!$A:$K,11,FALSE)</f>
        <v>balance</v>
      </c>
      <c r="K75" s="7" t="str">
        <f>VLOOKUP(E75,[1]characters!$A:$M,13,FALSE)</f>
        <v>human</v>
      </c>
      <c r="L75" s="7" t="str">
        <f>VLOOKUP(E75,[1]characters!$A:$G,7,FALSE)</f>
        <v>男性</v>
      </c>
      <c r="M75" s="62">
        <f ca="1">IFERROR(VLOOKUP(E75,input_313101!L:R,7,FALSE),VLOOKUP(tables_313101!B75,input_313101!A:H,8,FALSE))</f>
        <v>0</v>
      </c>
      <c r="N75" s="63">
        <f t="shared" ca="1" si="7"/>
        <v>0</v>
      </c>
      <c r="O75" s="31">
        <f>IFERROR(VLOOKUP($E75,bug_conf_sheet!$A:$H,3,FALSE),VLOOKUP("other",bug_conf_sheet!$A:$H,3,FALSE))</f>
        <v>1</v>
      </c>
      <c r="P75" s="31">
        <f>IFERROR(VLOOKUP($E75,bug_conf_sheet!$A:$H,4,FALSE),VLOOKUP("other",bug_conf_sheet!$A:$H,4,FALSE))</f>
        <v>0</v>
      </c>
      <c r="Q75" s="31">
        <f>IFERROR(VLOOKUP($E75,bug_conf_sheet!$A:$H,5,FALSE),VLOOKUP("other",bug_conf_sheet!$A:$H,5,FALSE))</f>
        <v>0</v>
      </c>
      <c r="R75" s="31">
        <f>IFERROR(VLOOKUP($E75,bug_conf_sheet!$A:$H,6,FALSE),VLOOKUP("other",bug_conf_sheet!$A:$H,6,FALSE))</f>
        <v>0</v>
      </c>
      <c r="S75" s="31">
        <f>IFERROR(VLOOKUP($E75,bug_conf_sheet!$A:$H,7,FALSE),VLOOKUP("other",bug_conf_sheet!$A:$H,7,FALSE))</f>
        <v>0</v>
      </c>
      <c r="T75" s="31">
        <f>IFERROR(VLOOKUP($E75,bug_conf_sheet!$A:$H,8,FALSE),VLOOKUP("other",bug_conf_sheet!$A:$H,8,FALSE))</f>
        <v>1</v>
      </c>
    </row>
    <row r="76" spans="1:20" ht="21" customHeight="1">
      <c r="A76" s="2" t="str">
        <f ca="1">input_313101!A$2</f>
        <v>313101</v>
      </c>
      <c r="B76" s="7" t="str">
        <f t="shared" si="4"/>
        <v>Premium4</v>
      </c>
      <c r="C76" s="7" t="str">
        <f t="shared" si="5"/>
        <v>Premium</v>
      </c>
      <c r="D76" s="7" t="str">
        <f t="shared" si="6"/>
        <v>bg</v>
      </c>
      <c r="E76" s="6">
        <v>200</v>
      </c>
      <c r="F76" s="7" t="str">
        <f>VLOOKUP(E76,[1]characters!$A:$C,3,FALSE)</f>
        <v>大剣士 ジークフリート</v>
      </c>
      <c r="G76" s="7" t="str">
        <f>VLOOKUP(E76,[1]characters!$A:$J,10,FALSE)</f>
        <v>PremiumN</v>
      </c>
      <c r="H76" s="7">
        <f>VLOOKUP(E76,[1]characters!$A:$I,9,FALSE)</f>
        <v>4</v>
      </c>
      <c r="I76" s="7" t="str">
        <f>VLOOKUP(E76,[1]characters!$A:$H,8,FALSE)</f>
        <v>blue</v>
      </c>
      <c r="J76" s="7" t="str">
        <f>VLOOKUP(E76,[1]characters!$A:$K,11,FALSE)</f>
        <v>balance</v>
      </c>
      <c r="K76" s="7" t="str">
        <f>VLOOKUP(E76,[1]characters!$A:$M,13,FALSE)</f>
        <v>human</v>
      </c>
      <c r="L76" s="7" t="str">
        <f>VLOOKUP(E76,[1]characters!$A:$G,7,FALSE)</f>
        <v>男性</v>
      </c>
      <c r="M76" s="62">
        <f ca="1">IFERROR(VLOOKUP(E76,input_313101!L:R,7,FALSE),VLOOKUP(tables_313101!B76,input_313101!A:H,8,FALSE))</f>
        <v>342090</v>
      </c>
      <c r="N76" s="63">
        <f t="shared" ca="1" si="7"/>
        <v>1.222972972972973E-2</v>
      </c>
      <c r="O76" s="31">
        <f>IFERROR(VLOOKUP($E76,bug_conf_sheet!$A:$H,3,FALSE),VLOOKUP("other",bug_conf_sheet!$A:$H,3,FALSE))</f>
        <v>1</v>
      </c>
      <c r="P76" s="31">
        <f>IFERROR(VLOOKUP($E76,bug_conf_sheet!$A:$H,4,FALSE),VLOOKUP("other",bug_conf_sheet!$A:$H,4,FALSE))</f>
        <v>0</v>
      </c>
      <c r="Q76" s="31">
        <f>IFERROR(VLOOKUP($E76,bug_conf_sheet!$A:$H,5,FALSE),VLOOKUP("other",bug_conf_sheet!$A:$H,5,FALSE))</f>
        <v>0</v>
      </c>
      <c r="R76" s="31">
        <f>IFERROR(VLOOKUP($E76,bug_conf_sheet!$A:$H,6,FALSE),VLOOKUP("other",bug_conf_sheet!$A:$H,6,FALSE))</f>
        <v>0</v>
      </c>
      <c r="S76" s="31">
        <f>IFERROR(VLOOKUP($E76,bug_conf_sheet!$A:$H,7,FALSE),VLOOKUP("other",bug_conf_sheet!$A:$H,7,FALSE))</f>
        <v>0</v>
      </c>
      <c r="T76" s="31">
        <f>IFERROR(VLOOKUP($E76,bug_conf_sheet!$A:$H,8,FALSE),VLOOKUP("other",bug_conf_sheet!$A:$H,8,FALSE))</f>
        <v>1</v>
      </c>
    </row>
    <row r="77" spans="1:20" ht="21" customHeight="1">
      <c r="A77" s="2" t="str">
        <f ca="1">input_313101!A$2</f>
        <v>313101</v>
      </c>
      <c r="B77" s="7" t="str">
        <f t="shared" si="4"/>
        <v>Premium5</v>
      </c>
      <c r="C77" s="7" t="str">
        <f t="shared" si="5"/>
        <v>Premium</v>
      </c>
      <c r="D77" s="7" t="str">
        <f t="shared" si="6"/>
        <v>bg</v>
      </c>
      <c r="E77" s="5">
        <v>201</v>
      </c>
      <c r="F77" s="7" t="str">
        <f>VLOOKUP(E77,[1]characters!$A:$C,3,FALSE)</f>
        <v>斬空の大破剣 ジークフリート</v>
      </c>
      <c r="G77" s="7" t="str">
        <f>VLOOKUP(E77,[1]characters!$A:$J,10,FALSE)</f>
        <v>PremiumN</v>
      </c>
      <c r="H77" s="7">
        <f>VLOOKUP(E77,[1]characters!$A:$I,9,FALSE)</f>
        <v>5</v>
      </c>
      <c r="I77" s="7" t="str">
        <f>VLOOKUP(E77,[1]characters!$A:$H,8,FALSE)</f>
        <v>blue</v>
      </c>
      <c r="J77" s="7" t="str">
        <f>VLOOKUP(E77,[1]characters!$A:$K,11,FALSE)</f>
        <v>balance</v>
      </c>
      <c r="K77" s="7" t="str">
        <f>VLOOKUP(E77,[1]characters!$A:$M,13,FALSE)</f>
        <v>human</v>
      </c>
      <c r="L77" s="7" t="str">
        <f>VLOOKUP(E77,[1]characters!$A:$G,7,FALSE)</f>
        <v>男性</v>
      </c>
      <c r="M77" s="62">
        <f ca="1">IFERROR(VLOOKUP(E77,input_313101!L:R,7,FALSE),VLOOKUP(tables_313101!B77,input_313101!A:H,8,FALSE))</f>
        <v>18130</v>
      </c>
      <c r="N77" s="63">
        <f t="shared" ca="1" si="7"/>
        <v>6.4814814814814813E-4</v>
      </c>
      <c r="O77" s="31">
        <f>IFERROR(VLOOKUP($E77,bug_conf_sheet!$A:$H,3,FALSE),VLOOKUP("other",bug_conf_sheet!$A:$H,3,FALSE))</f>
        <v>1</v>
      </c>
      <c r="P77" s="31">
        <f>IFERROR(VLOOKUP($E77,bug_conf_sheet!$A:$H,4,FALSE),VLOOKUP("other",bug_conf_sheet!$A:$H,4,FALSE))</f>
        <v>0</v>
      </c>
      <c r="Q77" s="31">
        <f>IFERROR(VLOOKUP($E77,bug_conf_sheet!$A:$H,5,FALSE),VLOOKUP("other",bug_conf_sheet!$A:$H,5,FALSE))</f>
        <v>0</v>
      </c>
      <c r="R77" s="31">
        <f>IFERROR(VLOOKUP($E77,bug_conf_sheet!$A:$H,6,FALSE),VLOOKUP("other",bug_conf_sheet!$A:$H,6,FALSE))</f>
        <v>0</v>
      </c>
      <c r="S77" s="31">
        <f>IFERROR(VLOOKUP($E77,bug_conf_sheet!$A:$H,7,FALSE),VLOOKUP("other",bug_conf_sheet!$A:$H,7,FALSE))</f>
        <v>0</v>
      </c>
      <c r="T77" s="31">
        <f>IFERROR(VLOOKUP($E77,bug_conf_sheet!$A:$H,8,FALSE),VLOOKUP("other",bug_conf_sheet!$A:$H,8,FALSE))</f>
        <v>1</v>
      </c>
    </row>
    <row r="78" spans="1:20" ht="21" customHeight="1">
      <c r="A78" s="2" t="str">
        <f ca="1">input_313101!A$2</f>
        <v>313101</v>
      </c>
      <c r="B78" s="7" t="str">
        <f t="shared" si="4"/>
        <v>Premium3</v>
      </c>
      <c r="C78" s="7" t="str">
        <f t="shared" si="5"/>
        <v>Premium</v>
      </c>
      <c r="D78" s="7" t="str">
        <f t="shared" si="6"/>
        <v>ry</v>
      </c>
      <c r="E78" s="5">
        <v>202</v>
      </c>
      <c r="F78" s="7" t="str">
        <f>VLOOKUP(E78,[1]characters!$A:$C,3,FALSE)</f>
        <v>プロメテウス</v>
      </c>
      <c r="G78" s="7" t="str">
        <f>VLOOKUP(E78,[1]characters!$A:$J,10,FALSE)</f>
        <v>PremiumN</v>
      </c>
      <c r="H78" s="7">
        <f>VLOOKUP(E78,[1]characters!$A:$I,9,FALSE)</f>
        <v>3</v>
      </c>
      <c r="I78" s="7" t="str">
        <f>VLOOKUP(E78,[1]characters!$A:$H,8,FALSE)</f>
        <v>red</v>
      </c>
      <c r="J78" s="7" t="str">
        <f>VLOOKUP(E78,[1]characters!$A:$K,11,FALSE)</f>
        <v>hp</v>
      </c>
      <c r="K78" s="7" t="str">
        <f>VLOOKUP(E78,[1]characters!$A:$M,13,FALSE)</f>
        <v>god</v>
      </c>
      <c r="L78" s="7" t="str">
        <f>VLOOKUP(E78,[1]characters!$A:$G,7,FALSE)</f>
        <v>男性</v>
      </c>
      <c r="M78" s="62">
        <f ca="1">IFERROR(VLOOKUP(E78,input_313101!L:R,7,FALSE),VLOOKUP(tables_313101!B78,input_313101!A:H,8,FALSE))</f>
        <v>0</v>
      </c>
      <c r="N78" s="63">
        <f t="shared" ca="1" si="7"/>
        <v>0</v>
      </c>
      <c r="O78" s="31">
        <f>IFERROR(VLOOKUP($E78,bug_conf_sheet!$A:$H,3,FALSE),VLOOKUP("other",bug_conf_sheet!$A:$H,3,FALSE))</f>
        <v>1</v>
      </c>
      <c r="P78" s="31">
        <f>IFERROR(VLOOKUP($E78,bug_conf_sheet!$A:$H,4,FALSE),VLOOKUP("other",bug_conf_sheet!$A:$H,4,FALSE))</f>
        <v>0</v>
      </c>
      <c r="Q78" s="31">
        <f>IFERROR(VLOOKUP($E78,bug_conf_sheet!$A:$H,5,FALSE),VLOOKUP("other",bug_conf_sheet!$A:$H,5,FALSE))</f>
        <v>0</v>
      </c>
      <c r="R78" s="31">
        <f>IFERROR(VLOOKUP($E78,bug_conf_sheet!$A:$H,6,FALSE),VLOOKUP("other",bug_conf_sheet!$A:$H,6,FALSE))</f>
        <v>0</v>
      </c>
      <c r="S78" s="31">
        <f>IFERROR(VLOOKUP($E78,bug_conf_sheet!$A:$H,7,FALSE),VLOOKUP("other",bug_conf_sheet!$A:$H,7,FALSE))</f>
        <v>0</v>
      </c>
      <c r="T78" s="31">
        <f>IFERROR(VLOOKUP($E78,bug_conf_sheet!$A:$H,8,FALSE),VLOOKUP("other",bug_conf_sheet!$A:$H,8,FALSE))</f>
        <v>1</v>
      </c>
    </row>
    <row r="79" spans="1:20" ht="21" customHeight="1">
      <c r="A79" s="2" t="str">
        <f ca="1">input_313101!A$2</f>
        <v>313101</v>
      </c>
      <c r="B79" s="7" t="str">
        <f t="shared" si="4"/>
        <v>Premium4</v>
      </c>
      <c r="C79" s="7" t="str">
        <f t="shared" si="5"/>
        <v>Premium</v>
      </c>
      <c r="D79" s="7" t="str">
        <f t="shared" si="6"/>
        <v>ry</v>
      </c>
      <c r="E79" s="5">
        <v>203</v>
      </c>
      <c r="F79" s="7" t="str">
        <f>VLOOKUP(E79,[1]characters!$A:$C,3,FALSE)</f>
        <v>焔神 プロメテウス</v>
      </c>
      <c r="G79" s="7" t="str">
        <f>VLOOKUP(E79,[1]characters!$A:$J,10,FALSE)</f>
        <v>PremiumN</v>
      </c>
      <c r="H79" s="7">
        <f>VLOOKUP(E79,[1]characters!$A:$I,9,FALSE)</f>
        <v>4</v>
      </c>
      <c r="I79" s="7" t="str">
        <f>VLOOKUP(E79,[1]characters!$A:$H,8,FALSE)</f>
        <v>red</v>
      </c>
      <c r="J79" s="7" t="str">
        <f>VLOOKUP(E79,[1]characters!$A:$K,11,FALSE)</f>
        <v>hp</v>
      </c>
      <c r="K79" s="7" t="str">
        <f>VLOOKUP(E79,[1]characters!$A:$M,13,FALSE)</f>
        <v>god</v>
      </c>
      <c r="L79" s="7" t="str">
        <f>VLOOKUP(E79,[1]characters!$A:$G,7,FALSE)</f>
        <v>男性</v>
      </c>
      <c r="M79" s="62">
        <f ca="1">IFERROR(VLOOKUP(E79,input_313101!L:R,7,FALSE),VLOOKUP(tables_313101!B79,input_313101!A:H,8,FALSE))</f>
        <v>342090</v>
      </c>
      <c r="N79" s="63">
        <f t="shared" ca="1" si="7"/>
        <v>1.222972972972973E-2</v>
      </c>
      <c r="O79" s="31">
        <f>IFERROR(VLOOKUP($E79,bug_conf_sheet!$A:$H,3,FALSE),VLOOKUP("other",bug_conf_sheet!$A:$H,3,FALSE))</f>
        <v>1</v>
      </c>
      <c r="P79" s="31">
        <f>IFERROR(VLOOKUP($E79,bug_conf_sheet!$A:$H,4,FALSE),VLOOKUP("other",bug_conf_sheet!$A:$H,4,FALSE))</f>
        <v>0</v>
      </c>
      <c r="Q79" s="31">
        <f>IFERROR(VLOOKUP($E79,bug_conf_sheet!$A:$H,5,FALSE),VLOOKUP("other",bug_conf_sheet!$A:$H,5,FALSE))</f>
        <v>0</v>
      </c>
      <c r="R79" s="31">
        <f>IFERROR(VLOOKUP($E79,bug_conf_sheet!$A:$H,6,FALSE),VLOOKUP("other",bug_conf_sheet!$A:$H,6,FALSE))</f>
        <v>0</v>
      </c>
      <c r="S79" s="31">
        <f>IFERROR(VLOOKUP($E79,bug_conf_sheet!$A:$H,7,FALSE),VLOOKUP("other",bug_conf_sheet!$A:$H,7,FALSE))</f>
        <v>0</v>
      </c>
      <c r="T79" s="31">
        <f>IFERROR(VLOOKUP($E79,bug_conf_sheet!$A:$H,8,FALSE),VLOOKUP("other",bug_conf_sheet!$A:$H,8,FALSE))</f>
        <v>1</v>
      </c>
    </row>
    <row r="80" spans="1:20" ht="21" customHeight="1">
      <c r="A80" s="2" t="str">
        <f ca="1">input_313101!A$2</f>
        <v>313101</v>
      </c>
      <c r="B80" s="7" t="str">
        <f t="shared" si="4"/>
        <v>Premium5</v>
      </c>
      <c r="C80" s="7" t="str">
        <f t="shared" si="5"/>
        <v>Premium</v>
      </c>
      <c r="D80" s="7" t="str">
        <f t="shared" si="6"/>
        <v>ry</v>
      </c>
      <c r="E80" s="5">
        <v>204</v>
      </c>
      <c r="F80" s="7" t="str">
        <f>VLOOKUP(E80,[1]characters!$A:$C,3,FALSE)</f>
        <v>慟哭の巨焔 プロメテウス</v>
      </c>
      <c r="G80" s="7" t="str">
        <f>VLOOKUP(E80,[1]characters!$A:$J,10,FALSE)</f>
        <v>PremiumN</v>
      </c>
      <c r="H80" s="7">
        <f>VLOOKUP(E80,[1]characters!$A:$I,9,FALSE)</f>
        <v>5</v>
      </c>
      <c r="I80" s="7" t="str">
        <f>VLOOKUP(E80,[1]characters!$A:$H,8,FALSE)</f>
        <v>red</v>
      </c>
      <c r="J80" s="7" t="str">
        <f>VLOOKUP(E80,[1]characters!$A:$K,11,FALSE)</f>
        <v>hp</v>
      </c>
      <c r="K80" s="7" t="str">
        <f>VLOOKUP(E80,[1]characters!$A:$M,13,FALSE)</f>
        <v>god</v>
      </c>
      <c r="L80" s="7" t="str">
        <f>VLOOKUP(E80,[1]characters!$A:$G,7,FALSE)</f>
        <v>男性</v>
      </c>
      <c r="M80" s="62">
        <f ca="1">IFERROR(VLOOKUP(E80,input_313101!L:R,7,FALSE),VLOOKUP(tables_313101!B80,input_313101!A:H,8,FALSE))</f>
        <v>18130</v>
      </c>
      <c r="N80" s="63">
        <f t="shared" ca="1" si="7"/>
        <v>6.4814814814814813E-4</v>
      </c>
      <c r="O80" s="31">
        <f>IFERROR(VLOOKUP($E80,bug_conf_sheet!$A:$H,3,FALSE),VLOOKUP("other",bug_conf_sheet!$A:$H,3,FALSE))</f>
        <v>1</v>
      </c>
      <c r="P80" s="31">
        <f>IFERROR(VLOOKUP($E80,bug_conf_sheet!$A:$H,4,FALSE),VLOOKUP("other",bug_conf_sheet!$A:$H,4,FALSE))</f>
        <v>0</v>
      </c>
      <c r="Q80" s="31">
        <f>IFERROR(VLOOKUP($E80,bug_conf_sheet!$A:$H,5,FALSE),VLOOKUP("other",bug_conf_sheet!$A:$H,5,FALSE))</f>
        <v>0</v>
      </c>
      <c r="R80" s="31">
        <f>IFERROR(VLOOKUP($E80,bug_conf_sheet!$A:$H,6,FALSE),VLOOKUP("other",bug_conf_sheet!$A:$H,6,FALSE))</f>
        <v>0</v>
      </c>
      <c r="S80" s="31">
        <f>IFERROR(VLOOKUP($E80,bug_conf_sheet!$A:$H,7,FALSE),VLOOKUP("other",bug_conf_sheet!$A:$H,7,FALSE))</f>
        <v>0</v>
      </c>
      <c r="T80" s="31">
        <f>IFERROR(VLOOKUP($E80,bug_conf_sheet!$A:$H,8,FALSE),VLOOKUP("other",bug_conf_sheet!$A:$H,8,FALSE))</f>
        <v>1</v>
      </c>
    </row>
    <row r="81" spans="1:20" ht="21" customHeight="1">
      <c r="A81" s="2" t="str">
        <f ca="1">input_313101!A$2</f>
        <v>313101</v>
      </c>
      <c r="B81" s="7" t="str">
        <f t="shared" si="4"/>
        <v>Premium3</v>
      </c>
      <c r="C81" s="7" t="str">
        <f t="shared" si="5"/>
        <v>Premium</v>
      </c>
      <c r="D81" s="7" t="str">
        <f t="shared" si="6"/>
        <v>bg</v>
      </c>
      <c r="E81" s="5">
        <v>205</v>
      </c>
      <c r="F81" s="7" t="str">
        <f>VLOOKUP(E81,[1]characters!$A:$C,3,FALSE)</f>
        <v>アフロディーテ</v>
      </c>
      <c r="G81" s="7" t="str">
        <f>VLOOKUP(E81,[1]characters!$A:$J,10,FALSE)</f>
        <v>PremiumN</v>
      </c>
      <c r="H81" s="7">
        <f>VLOOKUP(E81,[1]characters!$A:$I,9,FALSE)</f>
        <v>3</v>
      </c>
      <c r="I81" s="7" t="str">
        <f>VLOOKUP(E81,[1]characters!$A:$H,8,FALSE)</f>
        <v>green</v>
      </c>
      <c r="J81" s="7" t="str">
        <f>VLOOKUP(E81,[1]characters!$A:$K,11,FALSE)</f>
        <v>hp</v>
      </c>
      <c r="K81" s="7" t="str">
        <f>VLOOKUP(E81,[1]characters!$A:$M,13,FALSE)</f>
        <v>god</v>
      </c>
      <c r="L81" s="7" t="str">
        <f>VLOOKUP(E81,[1]characters!$A:$G,7,FALSE)</f>
        <v>女性</v>
      </c>
      <c r="M81" s="62">
        <f ca="1">IFERROR(VLOOKUP(E81,input_313101!L:R,7,FALSE),VLOOKUP(tables_313101!B81,input_313101!A:H,8,FALSE))</f>
        <v>0</v>
      </c>
      <c r="N81" s="63">
        <f t="shared" ca="1" si="7"/>
        <v>0</v>
      </c>
      <c r="O81" s="31">
        <f>IFERROR(VLOOKUP($E81,bug_conf_sheet!$A:$H,3,FALSE),VLOOKUP("other",bug_conf_sheet!$A:$H,3,FALSE))</f>
        <v>1</v>
      </c>
      <c r="P81" s="31">
        <f>IFERROR(VLOOKUP($E81,bug_conf_sheet!$A:$H,4,FALSE),VLOOKUP("other",bug_conf_sheet!$A:$H,4,FALSE))</f>
        <v>0</v>
      </c>
      <c r="Q81" s="31">
        <f>IFERROR(VLOOKUP($E81,bug_conf_sheet!$A:$H,5,FALSE),VLOOKUP("other",bug_conf_sheet!$A:$H,5,FALSE))</f>
        <v>0</v>
      </c>
      <c r="R81" s="31">
        <f>IFERROR(VLOOKUP($E81,bug_conf_sheet!$A:$H,6,FALSE),VLOOKUP("other",bug_conf_sheet!$A:$H,6,FALSE))</f>
        <v>0</v>
      </c>
      <c r="S81" s="31">
        <f>IFERROR(VLOOKUP($E81,bug_conf_sheet!$A:$H,7,FALSE),VLOOKUP("other",bug_conf_sheet!$A:$H,7,FALSE))</f>
        <v>0</v>
      </c>
      <c r="T81" s="31">
        <f>IFERROR(VLOOKUP($E81,bug_conf_sheet!$A:$H,8,FALSE),VLOOKUP("other",bug_conf_sheet!$A:$H,8,FALSE))</f>
        <v>1</v>
      </c>
    </row>
    <row r="82" spans="1:20" ht="21" customHeight="1">
      <c r="A82" s="2" t="str">
        <f ca="1">input_313101!A$2</f>
        <v>313101</v>
      </c>
      <c r="B82" s="7" t="str">
        <f t="shared" si="4"/>
        <v>Premium4</v>
      </c>
      <c r="C82" s="7" t="str">
        <f t="shared" si="5"/>
        <v>Premium</v>
      </c>
      <c r="D82" s="7" t="str">
        <f t="shared" si="6"/>
        <v>bg</v>
      </c>
      <c r="E82" s="5">
        <v>206</v>
      </c>
      <c r="F82" s="7" t="str">
        <f>VLOOKUP(E82,[1]characters!$A:$C,3,FALSE)</f>
        <v>美神 アフロディーテ</v>
      </c>
      <c r="G82" s="7" t="str">
        <f>VLOOKUP(E82,[1]characters!$A:$J,10,FALSE)</f>
        <v>PremiumN</v>
      </c>
      <c r="H82" s="7">
        <f>VLOOKUP(E82,[1]characters!$A:$I,9,FALSE)</f>
        <v>4</v>
      </c>
      <c r="I82" s="7" t="str">
        <f>VLOOKUP(E82,[1]characters!$A:$H,8,FALSE)</f>
        <v>green</v>
      </c>
      <c r="J82" s="7" t="str">
        <f>VLOOKUP(E82,[1]characters!$A:$K,11,FALSE)</f>
        <v>hp</v>
      </c>
      <c r="K82" s="7" t="str">
        <f>VLOOKUP(E82,[1]characters!$A:$M,13,FALSE)</f>
        <v>god</v>
      </c>
      <c r="L82" s="7" t="str">
        <f>VLOOKUP(E82,[1]characters!$A:$G,7,FALSE)</f>
        <v>女性</v>
      </c>
      <c r="M82" s="62">
        <f ca="1">IFERROR(VLOOKUP(E82,input_313101!L:R,7,FALSE),VLOOKUP(tables_313101!B82,input_313101!A:H,8,FALSE))</f>
        <v>342090</v>
      </c>
      <c r="N82" s="63">
        <f t="shared" ca="1" si="7"/>
        <v>1.222972972972973E-2</v>
      </c>
      <c r="O82" s="31">
        <f>IFERROR(VLOOKUP($E82,bug_conf_sheet!$A:$H,3,FALSE),VLOOKUP("other",bug_conf_sheet!$A:$H,3,FALSE))</f>
        <v>1</v>
      </c>
      <c r="P82" s="31">
        <f>IFERROR(VLOOKUP($E82,bug_conf_sheet!$A:$H,4,FALSE),VLOOKUP("other",bug_conf_sheet!$A:$H,4,FALSE))</f>
        <v>0</v>
      </c>
      <c r="Q82" s="31">
        <f>IFERROR(VLOOKUP($E82,bug_conf_sheet!$A:$H,5,FALSE),VLOOKUP("other",bug_conf_sheet!$A:$H,5,FALSE))</f>
        <v>0</v>
      </c>
      <c r="R82" s="31">
        <f>IFERROR(VLOOKUP($E82,bug_conf_sheet!$A:$H,6,FALSE),VLOOKUP("other",bug_conf_sheet!$A:$H,6,FALSE))</f>
        <v>0</v>
      </c>
      <c r="S82" s="31">
        <f>IFERROR(VLOOKUP($E82,bug_conf_sheet!$A:$H,7,FALSE),VLOOKUP("other",bug_conf_sheet!$A:$H,7,FALSE))</f>
        <v>0</v>
      </c>
      <c r="T82" s="31">
        <f>IFERROR(VLOOKUP($E82,bug_conf_sheet!$A:$H,8,FALSE),VLOOKUP("other",bug_conf_sheet!$A:$H,8,FALSE))</f>
        <v>1</v>
      </c>
    </row>
    <row r="83" spans="1:20" ht="21" customHeight="1">
      <c r="A83" s="2" t="str">
        <f ca="1">input_313101!A$2</f>
        <v>313101</v>
      </c>
      <c r="B83" s="7" t="str">
        <f t="shared" si="4"/>
        <v>Premium5</v>
      </c>
      <c r="C83" s="7" t="str">
        <f t="shared" si="5"/>
        <v>Premium</v>
      </c>
      <c r="D83" s="7" t="str">
        <f t="shared" si="6"/>
        <v>bg</v>
      </c>
      <c r="E83" s="5">
        <v>207</v>
      </c>
      <c r="F83" s="7" t="str">
        <f>VLOOKUP(E83,[1]characters!$A:$C,3,FALSE)</f>
        <v>豊穣の麗神・アフロディーテ</v>
      </c>
      <c r="G83" s="7" t="str">
        <f>VLOOKUP(E83,[1]characters!$A:$J,10,FALSE)</f>
        <v>PremiumN</v>
      </c>
      <c r="H83" s="7">
        <f>VLOOKUP(E83,[1]characters!$A:$I,9,FALSE)</f>
        <v>5</v>
      </c>
      <c r="I83" s="7" t="str">
        <f>VLOOKUP(E83,[1]characters!$A:$H,8,FALSE)</f>
        <v>green</v>
      </c>
      <c r="J83" s="7" t="str">
        <f>VLOOKUP(E83,[1]characters!$A:$K,11,FALSE)</f>
        <v>hp</v>
      </c>
      <c r="K83" s="7" t="str">
        <f>VLOOKUP(E83,[1]characters!$A:$M,13,FALSE)</f>
        <v>god</v>
      </c>
      <c r="L83" s="7" t="str">
        <f>VLOOKUP(E83,[1]characters!$A:$G,7,FALSE)</f>
        <v>女性</v>
      </c>
      <c r="M83" s="62">
        <f ca="1">IFERROR(VLOOKUP(E83,input_313101!L:R,7,FALSE),VLOOKUP(tables_313101!B83,input_313101!A:H,8,FALSE))</f>
        <v>18130</v>
      </c>
      <c r="N83" s="63">
        <f t="shared" ca="1" si="7"/>
        <v>6.4814814814814813E-4</v>
      </c>
      <c r="O83" s="31">
        <f>IFERROR(VLOOKUP($E83,bug_conf_sheet!$A:$H,3,FALSE),VLOOKUP("other",bug_conf_sheet!$A:$H,3,FALSE))</f>
        <v>1</v>
      </c>
      <c r="P83" s="31">
        <f>IFERROR(VLOOKUP($E83,bug_conf_sheet!$A:$H,4,FALSE),VLOOKUP("other",bug_conf_sheet!$A:$H,4,FALSE))</f>
        <v>0</v>
      </c>
      <c r="Q83" s="31">
        <f>IFERROR(VLOOKUP($E83,bug_conf_sheet!$A:$H,5,FALSE),VLOOKUP("other",bug_conf_sheet!$A:$H,5,FALSE))</f>
        <v>0</v>
      </c>
      <c r="R83" s="31">
        <f>IFERROR(VLOOKUP($E83,bug_conf_sheet!$A:$H,6,FALSE),VLOOKUP("other",bug_conf_sheet!$A:$H,6,FALSE))</f>
        <v>0</v>
      </c>
      <c r="S83" s="31">
        <f>IFERROR(VLOOKUP($E83,bug_conf_sheet!$A:$H,7,FALSE),VLOOKUP("other",bug_conf_sheet!$A:$H,7,FALSE))</f>
        <v>0</v>
      </c>
      <c r="T83" s="31">
        <f>IFERROR(VLOOKUP($E83,bug_conf_sheet!$A:$H,8,FALSE),VLOOKUP("other",bug_conf_sheet!$A:$H,8,FALSE))</f>
        <v>1</v>
      </c>
    </row>
    <row r="84" spans="1:20" ht="21" customHeight="1">
      <c r="A84" s="2" t="str">
        <f ca="1">input_313101!A$2</f>
        <v>313101</v>
      </c>
      <c r="B84" s="7" t="str">
        <f t="shared" si="4"/>
        <v>Premium3</v>
      </c>
      <c r="C84" s="7" t="str">
        <f t="shared" si="5"/>
        <v>Premium</v>
      </c>
      <c r="D84" s="7" t="str">
        <f t="shared" si="6"/>
        <v>bg</v>
      </c>
      <c r="E84" s="5">
        <v>208</v>
      </c>
      <c r="F84" s="7" t="str">
        <f>VLOOKUP(E84,[1]characters!$A:$C,3,FALSE)</f>
        <v>テティス</v>
      </c>
      <c r="G84" s="7" t="str">
        <f>VLOOKUP(E84,[1]characters!$A:$J,10,FALSE)</f>
        <v>PremiumN</v>
      </c>
      <c r="H84" s="7">
        <f>VLOOKUP(E84,[1]characters!$A:$I,9,FALSE)</f>
        <v>3</v>
      </c>
      <c r="I84" s="7" t="str">
        <f>VLOOKUP(E84,[1]characters!$A:$H,8,FALSE)</f>
        <v>blue</v>
      </c>
      <c r="J84" s="7" t="str">
        <f>VLOOKUP(E84,[1]characters!$A:$K,11,FALSE)</f>
        <v>hp</v>
      </c>
      <c r="K84" s="7" t="str">
        <f>VLOOKUP(E84,[1]characters!$A:$M,13,FALSE)</f>
        <v>god</v>
      </c>
      <c r="L84" s="7" t="str">
        <f>VLOOKUP(E84,[1]characters!$A:$G,7,FALSE)</f>
        <v>女性</v>
      </c>
      <c r="M84" s="62">
        <f ca="1">IFERROR(VLOOKUP(E84,input_313101!L:R,7,FALSE),VLOOKUP(tables_313101!B84,input_313101!A:H,8,FALSE))</f>
        <v>0</v>
      </c>
      <c r="N84" s="63">
        <f t="shared" ca="1" si="7"/>
        <v>0</v>
      </c>
      <c r="O84" s="31">
        <f>IFERROR(VLOOKUP($E84,bug_conf_sheet!$A:$H,3,FALSE),VLOOKUP("other",bug_conf_sheet!$A:$H,3,FALSE))</f>
        <v>1</v>
      </c>
      <c r="P84" s="31">
        <f>IFERROR(VLOOKUP($E84,bug_conf_sheet!$A:$H,4,FALSE),VLOOKUP("other",bug_conf_sheet!$A:$H,4,FALSE))</f>
        <v>0</v>
      </c>
      <c r="Q84" s="31">
        <f>IFERROR(VLOOKUP($E84,bug_conf_sheet!$A:$H,5,FALSE),VLOOKUP("other",bug_conf_sheet!$A:$H,5,FALSE))</f>
        <v>0</v>
      </c>
      <c r="R84" s="31">
        <f>IFERROR(VLOOKUP($E84,bug_conf_sheet!$A:$H,6,FALSE),VLOOKUP("other",bug_conf_sheet!$A:$H,6,FALSE))</f>
        <v>0</v>
      </c>
      <c r="S84" s="31">
        <f>IFERROR(VLOOKUP($E84,bug_conf_sheet!$A:$H,7,FALSE),VLOOKUP("other",bug_conf_sheet!$A:$H,7,FALSE))</f>
        <v>0</v>
      </c>
      <c r="T84" s="31">
        <f>IFERROR(VLOOKUP($E84,bug_conf_sheet!$A:$H,8,FALSE),VLOOKUP("other",bug_conf_sheet!$A:$H,8,FALSE))</f>
        <v>1</v>
      </c>
    </row>
    <row r="85" spans="1:20" ht="21" customHeight="1">
      <c r="A85" s="2" t="str">
        <f ca="1">input_313101!A$2</f>
        <v>313101</v>
      </c>
      <c r="B85" s="7" t="str">
        <f t="shared" si="4"/>
        <v>Premium4</v>
      </c>
      <c r="C85" s="7" t="str">
        <f t="shared" si="5"/>
        <v>Premium</v>
      </c>
      <c r="D85" s="7" t="str">
        <f t="shared" si="6"/>
        <v>bg</v>
      </c>
      <c r="E85" s="5">
        <v>209</v>
      </c>
      <c r="F85" s="7" t="str">
        <f>VLOOKUP(E85,[1]characters!$A:$C,3,FALSE)</f>
        <v>孤神 テティス</v>
      </c>
      <c r="G85" s="7" t="str">
        <f>VLOOKUP(E85,[1]characters!$A:$J,10,FALSE)</f>
        <v>PremiumN</v>
      </c>
      <c r="H85" s="7">
        <f>VLOOKUP(E85,[1]characters!$A:$I,9,FALSE)</f>
        <v>4</v>
      </c>
      <c r="I85" s="7" t="str">
        <f>VLOOKUP(E85,[1]characters!$A:$H,8,FALSE)</f>
        <v>blue</v>
      </c>
      <c r="J85" s="7" t="str">
        <f>VLOOKUP(E85,[1]characters!$A:$K,11,FALSE)</f>
        <v>hp</v>
      </c>
      <c r="K85" s="7" t="str">
        <f>VLOOKUP(E85,[1]characters!$A:$M,13,FALSE)</f>
        <v>god</v>
      </c>
      <c r="L85" s="7" t="str">
        <f>VLOOKUP(E85,[1]characters!$A:$G,7,FALSE)</f>
        <v>女性</v>
      </c>
      <c r="M85" s="62">
        <f ca="1">IFERROR(VLOOKUP(E85,input_313101!L:R,7,FALSE),VLOOKUP(tables_313101!B85,input_313101!A:H,8,FALSE))</f>
        <v>342090</v>
      </c>
      <c r="N85" s="63">
        <f t="shared" ca="1" si="7"/>
        <v>1.222972972972973E-2</v>
      </c>
      <c r="O85" s="31">
        <f>IFERROR(VLOOKUP($E85,bug_conf_sheet!$A:$H,3,FALSE),VLOOKUP("other",bug_conf_sheet!$A:$H,3,FALSE))</f>
        <v>1</v>
      </c>
      <c r="P85" s="31">
        <f>IFERROR(VLOOKUP($E85,bug_conf_sheet!$A:$H,4,FALSE),VLOOKUP("other",bug_conf_sheet!$A:$H,4,FALSE))</f>
        <v>0</v>
      </c>
      <c r="Q85" s="31">
        <f>IFERROR(VLOOKUP($E85,bug_conf_sheet!$A:$H,5,FALSE),VLOOKUP("other",bug_conf_sheet!$A:$H,5,FALSE))</f>
        <v>0</v>
      </c>
      <c r="R85" s="31">
        <f>IFERROR(VLOOKUP($E85,bug_conf_sheet!$A:$H,6,FALSE),VLOOKUP("other",bug_conf_sheet!$A:$H,6,FALSE))</f>
        <v>0</v>
      </c>
      <c r="S85" s="31">
        <f>IFERROR(VLOOKUP($E85,bug_conf_sheet!$A:$H,7,FALSE),VLOOKUP("other",bug_conf_sheet!$A:$H,7,FALSE))</f>
        <v>0</v>
      </c>
      <c r="T85" s="31">
        <f>IFERROR(VLOOKUP($E85,bug_conf_sheet!$A:$H,8,FALSE),VLOOKUP("other",bug_conf_sheet!$A:$H,8,FALSE))</f>
        <v>1</v>
      </c>
    </row>
    <row r="86" spans="1:20" ht="21" customHeight="1">
      <c r="A86" s="2" t="str">
        <f ca="1">input_313101!A$2</f>
        <v>313101</v>
      </c>
      <c r="B86" s="7" t="str">
        <f t="shared" si="4"/>
        <v>Premium5</v>
      </c>
      <c r="C86" s="7" t="str">
        <f t="shared" si="5"/>
        <v>Premium</v>
      </c>
      <c r="D86" s="7" t="str">
        <f t="shared" si="6"/>
        <v>bg</v>
      </c>
      <c r="E86" s="5">
        <v>210</v>
      </c>
      <c r="F86" s="7" t="str">
        <f>VLOOKUP(E86,[1]characters!$A:$C,3,FALSE)</f>
        <v>海底の孤高神 テティス</v>
      </c>
      <c r="G86" s="7" t="str">
        <f>VLOOKUP(E86,[1]characters!$A:$J,10,FALSE)</f>
        <v>PremiumN</v>
      </c>
      <c r="H86" s="7">
        <f>VLOOKUP(E86,[1]characters!$A:$I,9,FALSE)</f>
        <v>5</v>
      </c>
      <c r="I86" s="7" t="str">
        <f>VLOOKUP(E86,[1]characters!$A:$H,8,FALSE)</f>
        <v>blue</v>
      </c>
      <c r="J86" s="7" t="str">
        <f>VLOOKUP(E86,[1]characters!$A:$K,11,FALSE)</f>
        <v>hp</v>
      </c>
      <c r="K86" s="7" t="str">
        <f>VLOOKUP(E86,[1]characters!$A:$M,13,FALSE)</f>
        <v>god</v>
      </c>
      <c r="L86" s="7" t="str">
        <f>VLOOKUP(E86,[1]characters!$A:$G,7,FALSE)</f>
        <v>女性</v>
      </c>
      <c r="M86" s="62">
        <f ca="1">IFERROR(VLOOKUP(E86,input_313101!L:R,7,FALSE),VLOOKUP(tables_313101!B86,input_313101!A:H,8,FALSE))</f>
        <v>18130</v>
      </c>
      <c r="N86" s="63">
        <f t="shared" ca="1" si="7"/>
        <v>6.4814814814814813E-4</v>
      </c>
      <c r="O86" s="31">
        <f>IFERROR(VLOOKUP($E86,bug_conf_sheet!$A:$H,3,FALSE),VLOOKUP("other",bug_conf_sheet!$A:$H,3,FALSE))</f>
        <v>1</v>
      </c>
      <c r="P86" s="31">
        <f>IFERROR(VLOOKUP($E86,bug_conf_sheet!$A:$H,4,FALSE),VLOOKUP("other",bug_conf_sheet!$A:$H,4,FALSE))</f>
        <v>0</v>
      </c>
      <c r="Q86" s="31">
        <f>IFERROR(VLOOKUP($E86,bug_conf_sheet!$A:$H,5,FALSE),VLOOKUP("other",bug_conf_sheet!$A:$H,5,FALSE))</f>
        <v>0</v>
      </c>
      <c r="R86" s="31">
        <f>IFERROR(VLOOKUP($E86,bug_conf_sheet!$A:$H,6,FALSE),VLOOKUP("other",bug_conf_sheet!$A:$H,6,FALSE))</f>
        <v>0</v>
      </c>
      <c r="S86" s="31">
        <f>IFERROR(VLOOKUP($E86,bug_conf_sheet!$A:$H,7,FALSE),VLOOKUP("other",bug_conf_sheet!$A:$H,7,FALSE))</f>
        <v>0</v>
      </c>
      <c r="T86" s="31">
        <f>IFERROR(VLOOKUP($E86,bug_conf_sheet!$A:$H,8,FALSE),VLOOKUP("other",bug_conf_sheet!$A:$H,8,FALSE))</f>
        <v>1</v>
      </c>
    </row>
    <row r="87" spans="1:20" ht="21" customHeight="1">
      <c r="A87" s="2" t="str">
        <f ca="1">input_313101!A$2</f>
        <v>313101</v>
      </c>
      <c r="B87" s="7" t="str">
        <f t="shared" si="4"/>
        <v>Premium3</v>
      </c>
      <c r="C87" s="7" t="str">
        <f t="shared" si="5"/>
        <v>Premium</v>
      </c>
      <c r="D87" s="7" t="str">
        <f t="shared" si="6"/>
        <v>ry</v>
      </c>
      <c r="E87" s="5">
        <v>211</v>
      </c>
      <c r="F87" s="7" t="str">
        <f>VLOOKUP(E87,[1]characters!$A:$C,3,FALSE)</f>
        <v>アストライアー</v>
      </c>
      <c r="G87" s="7" t="str">
        <f>VLOOKUP(E87,[1]characters!$A:$J,10,FALSE)</f>
        <v>PremiumN</v>
      </c>
      <c r="H87" s="7">
        <f>VLOOKUP(E87,[1]characters!$A:$I,9,FALSE)</f>
        <v>3</v>
      </c>
      <c r="I87" s="7" t="str">
        <f>VLOOKUP(E87,[1]characters!$A:$H,8,FALSE)</f>
        <v>yellow</v>
      </c>
      <c r="J87" s="7" t="str">
        <f>VLOOKUP(E87,[1]characters!$A:$K,11,FALSE)</f>
        <v>balance</v>
      </c>
      <c r="K87" s="7" t="str">
        <f>VLOOKUP(E87,[1]characters!$A:$M,13,FALSE)</f>
        <v>god</v>
      </c>
      <c r="L87" s="7" t="str">
        <f>VLOOKUP(E87,[1]characters!$A:$G,7,FALSE)</f>
        <v>女性</v>
      </c>
      <c r="M87" s="62">
        <f ca="1">IFERROR(VLOOKUP(E87,input_313101!L:R,7,FALSE),VLOOKUP(tables_313101!B87,input_313101!A:H,8,FALSE))</f>
        <v>0</v>
      </c>
      <c r="N87" s="63">
        <f t="shared" ca="1" si="7"/>
        <v>0</v>
      </c>
      <c r="O87" s="31">
        <f>IFERROR(VLOOKUP($E87,bug_conf_sheet!$A:$H,3,FALSE),VLOOKUP("other",bug_conf_sheet!$A:$H,3,FALSE))</f>
        <v>1</v>
      </c>
      <c r="P87" s="31">
        <f>IFERROR(VLOOKUP($E87,bug_conf_sheet!$A:$H,4,FALSE),VLOOKUP("other",bug_conf_sheet!$A:$H,4,FALSE))</f>
        <v>0</v>
      </c>
      <c r="Q87" s="31">
        <f>IFERROR(VLOOKUP($E87,bug_conf_sheet!$A:$H,5,FALSE),VLOOKUP("other",bug_conf_sheet!$A:$H,5,FALSE))</f>
        <v>0</v>
      </c>
      <c r="R87" s="31">
        <f>IFERROR(VLOOKUP($E87,bug_conf_sheet!$A:$H,6,FALSE),VLOOKUP("other",bug_conf_sheet!$A:$H,6,FALSE))</f>
        <v>0</v>
      </c>
      <c r="S87" s="31">
        <f>IFERROR(VLOOKUP($E87,bug_conf_sheet!$A:$H,7,FALSE),VLOOKUP("other",bug_conf_sheet!$A:$H,7,FALSE))</f>
        <v>0</v>
      </c>
      <c r="T87" s="31">
        <f>IFERROR(VLOOKUP($E87,bug_conf_sheet!$A:$H,8,FALSE),VLOOKUP("other",bug_conf_sheet!$A:$H,8,FALSE))</f>
        <v>1</v>
      </c>
    </row>
    <row r="88" spans="1:20" ht="21" customHeight="1">
      <c r="A88" s="2" t="str">
        <f ca="1">input_313101!A$2</f>
        <v>313101</v>
      </c>
      <c r="B88" s="7" t="str">
        <f t="shared" si="4"/>
        <v>Premium4</v>
      </c>
      <c r="C88" s="7" t="str">
        <f t="shared" si="5"/>
        <v>Premium</v>
      </c>
      <c r="D88" s="7" t="str">
        <f t="shared" si="6"/>
        <v>ry</v>
      </c>
      <c r="E88" s="5">
        <v>212</v>
      </c>
      <c r="F88" s="7" t="str">
        <f>VLOOKUP(E88,[1]characters!$A:$C,3,FALSE)</f>
        <v>星神 アストライアー</v>
      </c>
      <c r="G88" s="7" t="str">
        <f>VLOOKUP(E88,[1]characters!$A:$J,10,FALSE)</f>
        <v>PremiumN</v>
      </c>
      <c r="H88" s="7">
        <f>VLOOKUP(E88,[1]characters!$A:$I,9,FALSE)</f>
        <v>4</v>
      </c>
      <c r="I88" s="7" t="str">
        <f>VLOOKUP(E88,[1]characters!$A:$H,8,FALSE)</f>
        <v>yellow</v>
      </c>
      <c r="J88" s="7" t="str">
        <f>VLOOKUP(E88,[1]characters!$A:$K,11,FALSE)</f>
        <v>balance</v>
      </c>
      <c r="K88" s="7" t="str">
        <f>VLOOKUP(E88,[1]characters!$A:$M,13,FALSE)</f>
        <v>god</v>
      </c>
      <c r="L88" s="7" t="str">
        <f>VLOOKUP(E88,[1]characters!$A:$G,7,FALSE)</f>
        <v>女性</v>
      </c>
      <c r="M88" s="62">
        <f ca="1">IFERROR(VLOOKUP(E88,input_313101!L:R,7,FALSE),VLOOKUP(tables_313101!B88,input_313101!A:H,8,FALSE))</f>
        <v>342090</v>
      </c>
      <c r="N88" s="63">
        <f t="shared" ca="1" si="7"/>
        <v>1.222972972972973E-2</v>
      </c>
      <c r="O88" s="31">
        <f>IFERROR(VLOOKUP($E88,bug_conf_sheet!$A:$H,3,FALSE),VLOOKUP("other",bug_conf_sheet!$A:$H,3,FALSE))</f>
        <v>1</v>
      </c>
      <c r="P88" s="31">
        <f>IFERROR(VLOOKUP($E88,bug_conf_sheet!$A:$H,4,FALSE),VLOOKUP("other",bug_conf_sheet!$A:$H,4,FALSE))</f>
        <v>0</v>
      </c>
      <c r="Q88" s="31">
        <f>IFERROR(VLOOKUP($E88,bug_conf_sheet!$A:$H,5,FALSE),VLOOKUP("other",bug_conf_sheet!$A:$H,5,FALSE))</f>
        <v>0</v>
      </c>
      <c r="R88" s="31">
        <f>IFERROR(VLOOKUP($E88,bug_conf_sheet!$A:$H,6,FALSE),VLOOKUP("other",bug_conf_sheet!$A:$H,6,FALSE))</f>
        <v>0</v>
      </c>
      <c r="S88" s="31">
        <f>IFERROR(VLOOKUP($E88,bug_conf_sheet!$A:$H,7,FALSE),VLOOKUP("other",bug_conf_sheet!$A:$H,7,FALSE))</f>
        <v>0</v>
      </c>
      <c r="T88" s="31">
        <f>IFERROR(VLOOKUP($E88,bug_conf_sheet!$A:$H,8,FALSE),VLOOKUP("other",bug_conf_sheet!$A:$H,8,FALSE))</f>
        <v>1</v>
      </c>
    </row>
    <row r="89" spans="1:20" ht="21" customHeight="1">
      <c r="A89" s="2" t="str">
        <f ca="1">input_313101!A$2</f>
        <v>313101</v>
      </c>
      <c r="B89" s="7" t="str">
        <f t="shared" si="4"/>
        <v>Premium5</v>
      </c>
      <c r="C89" s="7" t="str">
        <f t="shared" si="5"/>
        <v>Premium</v>
      </c>
      <c r="D89" s="7" t="str">
        <f t="shared" si="6"/>
        <v>ry</v>
      </c>
      <c r="E89" s="5">
        <v>213</v>
      </c>
      <c r="F89" s="7" t="str">
        <f>VLOOKUP(E89,[1]characters!$A:$C,3,FALSE)</f>
        <v>満天の星降神 アストライアー</v>
      </c>
      <c r="G89" s="7" t="str">
        <f>VLOOKUP(E89,[1]characters!$A:$J,10,FALSE)</f>
        <v>PremiumN</v>
      </c>
      <c r="H89" s="7">
        <f>VLOOKUP(E89,[1]characters!$A:$I,9,FALSE)</f>
        <v>5</v>
      </c>
      <c r="I89" s="7" t="str">
        <f>VLOOKUP(E89,[1]characters!$A:$H,8,FALSE)</f>
        <v>yellow</v>
      </c>
      <c r="J89" s="7" t="str">
        <f>VLOOKUP(E89,[1]characters!$A:$K,11,FALSE)</f>
        <v>balance</v>
      </c>
      <c r="K89" s="7" t="str">
        <f>VLOOKUP(E89,[1]characters!$A:$M,13,FALSE)</f>
        <v>god</v>
      </c>
      <c r="L89" s="7" t="str">
        <f>VLOOKUP(E89,[1]characters!$A:$G,7,FALSE)</f>
        <v>女性</v>
      </c>
      <c r="M89" s="62">
        <f ca="1">IFERROR(VLOOKUP(E89,input_313101!L:R,7,FALSE),VLOOKUP(tables_313101!B89,input_313101!A:H,8,FALSE))</f>
        <v>18130</v>
      </c>
      <c r="N89" s="63">
        <f t="shared" ca="1" si="7"/>
        <v>6.4814814814814813E-4</v>
      </c>
      <c r="O89" s="31">
        <f>IFERROR(VLOOKUP($E89,bug_conf_sheet!$A:$H,3,FALSE),VLOOKUP("other",bug_conf_sheet!$A:$H,3,FALSE))</f>
        <v>1</v>
      </c>
      <c r="P89" s="31">
        <f>IFERROR(VLOOKUP($E89,bug_conf_sheet!$A:$H,4,FALSE),VLOOKUP("other",bug_conf_sheet!$A:$H,4,FALSE))</f>
        <v>0</v>
      </c>
      <c r="Q89" s="31">
        <f>IFERROR(VLOOKUP($E89,bug_conf_sheet!$A:$H,5,FALSE),VLOOKUP("other",bug_conf_sheet!$A:$H,5,FALSE))</f>
        <v>0</v>
      </c>
      <c r="R89" s="31">
        <f>IFERROR(VLOOKUP($E89,bug_conf_sheet!$A:$H,6,FALSE),VLOOKUP("other",bug_conf_sheet!$A:$H,6,FALSE))</f>
        <v>0</v>
      </c>
      <c r="S89" s="31">
        <f>IFERROR(VLOOKUP($E89,bug_conf_sheet!$A:$H,7,FALSE),VLOOKUP("other",bug_conf_sheet!$A:$H,7,FALSE))</f>
        <v>0</v>
      </c>
      <c r="T89" s="31">
        <f>IFERROR(VLOOKUP($E89,bug_conf_sheet!$A:$H,8,FALSE),VLOOKUP("other",bug_conf_sheet!$A:$H,8,FALSE))</f>
        <v>1</v>
      </c>
    </row>
    <row r="90" spans="1:20" ht="21" customHeight="1">
      <c r="A90" s="2" t="str">
        <f ca="1">input_313101!A$2</f>
        <v>313101</v>
      </c>
      <c r="B90" s="7" t="str">
        <f t="shared" si="4"/>
        <v>Premium3</v>
      </c>
      <c r="C90" s="7" t="str">
        <f t="shared" si="5"/>
        <v>Premium</v>
      </c>
      <c r="D90" s="7" t="str">
        <f t="shared" si="6"/>
        <v>ry</v>
      </c>
      <c r="E90" s="5">
        <v>214</v>
      </c>
      <c r="F90" s="7" t="str">
        <f>VLOOKUP(E90,[1]characters!$A:$C,3,FALSE)</f>
        <v>アズラエル</v>
      </c>
      <c r="G90" s="7" t="str">
        <f>VLOOKUP(E90,[1]characters!$A:$J,10,FALSE)</f>
        <v>PremiumN</v>
      </c>
      <c r="H90" s="7">
        <f>VLOOKUP(E90,[1]characters!$A:$I,9,FALSE)</f>
        <v>3</v>
      </c>
      <c r="I90" s="7" t="str">
        <f>VLOOKUP(E90,[1]characters!$A:$H,8,FALSE)</f>
        <v>red</v>
      </c>
      <c r="J90" s="7" t="str">
        <f>VLOOKUP(E90,[1]characters!$A:$K,11,FALSE)</f>
        <v>balance</v>
      </c>
      <c r="K90" s="7" t="str">
        <f>VLOOKUP(E90,[1]characters!$A:$M,13,FALSE)</f>
        <v>god</v>
      </c>
      <c r="L90" s="7" t="str">
        <f>VLOOKUP(E90,[1]characters!$A:$G,7,FALSE)</f>
        <v>女性</v>
      </c>
      <c r="M90" s="62">
        <f ca="1">IFERROR(VLOOKUP(E90,input_313101!L:R,7,FALSE),VLOOKUP(tables_313101!B90,input_313101!A:H,8,FALSE))</f>
        <v>0</v>
      </c>
      <c r="N90" s="63">
        <f t="shared" ca="1" si="7"/>
        <v>0</v>
      </c>
      <c r="O90" s="31">
        <f>IFERROR(VLOOKUP($E90,bug_conf_sheet!$A:$H,3,FALSE),VLOOKUP("other",bug_conf_sheet!$A:$H,3,FALSE))</f>
        <v>1</v>
      </c>
      <c r="P90" s="31">
        <f>IFERROR(VLOOKUP($E90,bug_conf_sheet!$A:$H,4,FALSE),VLOOKUP("other",bug_conf_sheet!$A:$H,4,FALSE))</f>
        <v>0</v>
      </c>
      <c r="Q90" s="31">
        <f>IFERROR(VLOOKUP($E90,bug_conf_sheet!$A:$H,5,FALSE),VLOOKUP("other",bug_conf_sheet!$A:$H,5,FALSE))</f>
        <v>0</v>
      </c>
      <c r="R90" s="31">
        <f>IFERROR(VLOOKUP($E90,bug_conf_sheet!$A:$H,6,FALSE),VLOOKUP("other",bug_conf_sheet!$A:$H,6,FALSE))</f>
        <v>0</v>
      </c>
      <c r="S90" s="31">
        <f>IFERROR(VLOOKUP($E90,bug_conf_sheet!$A:$H,7,FALSE),VLOOKUP("other",bug_conf_sheet!$A:$H,7,FALSE))</f>
        <v>0</v>
      </c>
      <c r="T90" s="31">
        <f>IFERROR(VLOOKUP($E90,bug_conf_sheet!$A:$H,8,FALSE),VLOOKUP("other",bug_conf_sheet!$A:$H,8,FALSE))</f>
        <v>1</v>
      </c>
    </row>
    <row r="91" spans="1:20" ht="21" customHeight="1">
      <c r="A91" s="2" t="str">
        <f ca="1">input_313101!A$2</f>
        <v>313101</v>
      </c>
      <c r="B91" s="7" t="str">
        <f t="shared" si="4"/>
        <v>Premium4</v>
      </c>
      <c r="C91" s="7" t="str">
        <f t="shared" si="5"/>
        <v>Premium</v>
      </c>
      <c r="D91" s="7" t="str">
        <f t="shared" si="6"/>
        <v>ry</v>
      </c>
      <c r="E91" s="5">
        <v>215</v>
      </c>
      <c r="F91" s="7" t="str">
        <f>VLOOKUP(E91,[1]characters!$A:$C,3,FALSE)</f>
        <v>死導者 アズラエル</v>
      </c>
      <c r="G91" s="7" t="str">
        <f>VLOOKUP(E91,[1]characters!$A:$J,10,FALSE)</f>
        <v>PremiumN</v>
      </c>
      <c r="H91" s="7">
        <f>VLOOKUP(E91,[1]characters!$A:$I,9,FALSE)</f>
        <v>4</v>
      </c>
      <c r="I91" s="7" t="str">
        <f>VLOOKUP(E91,[1]characters!$A:$H,8,FALSE)</f>
        <v>red</v>
      </c>
      <c r="J91" s="7" t="str">
        <f>VLOOKUP(E91,[1]characters!$A:$K,11,FALSE)</f>
        <v>balance</v>
      </c>
      <c r="K91" s="7" t="str">
        <f>VLOOKUP(E91,[1]characters!$A:$M,13,FALSE)</f>
        <v>god</v>
      </c>
      <c r="L91" s="7" t="str">
        <f>VLOOKUP(E91,[1]characters!$A:$G,7,FALSE)</f>
        <v>女性</v>
      </c>
      <c r="M91" s="62">
        <f ca="1">IFERROR(VLOOKUP(E91,input_313101!L:R,7,FALSE),VLOOKUP(tables_313101!B91,input_313101!A:H,8,FALSE))</f>
        <v>342090</v>
      </c>
      <c r="N91" s="63">
        <f t="shared" ca="1" si="7"/>
        <v>1.222972972972973E-2</v>
      </c>
      <c r="O91" s="31">
        <f>IFERROR(VLOOKUP($E91,bug_conf_sheet!$A:$H,3,FALSE),VLOOKUP("other",bug_conf_sheet!$A:$H,3,FALSE))</f>
        <v>1</v>
      </c>
      <c r="P91" s="31">
        <f>IFERROR(VLOOKUP($E91,bug_conf_sheet!$A:$H,4,FALSE),VLOOKUP("other",bug_conf_sheet!$A:$H,4,FALSE))</f>
        <v>0</v>
      </c>
      <c r="Q91" s="31">
        <f>IFERROR(VLOOKUP($E91,bug_conf_sheet!$A:$H,5,FALSE),VLOOKUP("other",bug_conf_sheet!$A:$H,5,FALSE))</f>
        <v>0</v>
      </c>
      <c r="R91" s="31">
        <f>IFERROR(VLOOKUP($E91,bug_conf_sheet!$A:$H,6,FALSE),VLOOKUP("other",bug_conf_sheet!$A:$H,6,FALSE))</f>
        <v>0</v>
      </c>
      <c r="S91" s="31">
        <f>IFERROR(VLOOKUP($E91,bug_conf_sheet!$A:$H,7,FALSE),VLOOKUP("other",bug_conf_sheet!$A:$H,7,FALSE))</f>
        <v>0</v>
      </c>
      <c r="T91" s="31">
        <f>IFERROR(VLOOKUP($E91,bug_conf_sheet!$A:$H,8,FALSE),VLOOKUP("other",bug_conf_sheet!$A:$H,8,FALSE))</f>
        <v>1</v>
      </c>
    </row>
    <row r="92" spans="1:20" ht="21" customHeight="1">
      <c r="A92" s="2" t="str">
        <f ca="1">input_313101!A$2</f>
        <v>313101</v>
      </c>
      <c r="B92" s="7" t="str">
        <f t="shared" si="4"/>
        <v>Premium5</v>
      </c>
      <c r="C92" s="7" t="str">
        <f t="shared" si="5"/>
        <v>Premium</v>
      </c>
      <c r="D92" s="7" t="str">
        <f t="shared" si="6"/>
        <v>ry</v>
      </c>
      <c r="E92" s="5">
        <v>216</v>
      </c>
      <c r="F92" s="7" t="str">
        <f>VLOOKUP(E92,[1]characters!$A:$C,3,FALSE)</f>
        <v>百読の死導司書 アズラエル</v>
      </c>
      <c r="G92" s="7" t="str">
        <f>VLOOKUP(E92,[1]characters!$A:$J,10,FALSE)</f>
        <v>PremiumN</v>
      </c>
      <c r="H92" s="7">
        <f>VLOOKUP(E92,[1]characters!$A:$I,9,FALSE)</f>
        <v>5</v>
      </c>
      <c r="I92" s="7" t="str">
        <f>VLOOKUP(E92,[1]characters!$A:$H,8,FALSE)</f>
        <v>red</v>
      </c>
      <c r="J92" s="7" t="str">
        <f>VLOOKUP(E92,[1]characters!$A:$K,11,FALSE)</f>
        <v>balance</v>
      </c>
      <c r="K92" s="7" t="str">
        <f>VLOOKUP(E92,[1]characters!$A:$M,13,FALSE)</f>
        <v>god</v>
      </c>
      <c r="L92" s="7" t="str">
        <f>VLOOKUP(E92,[1]characters!$A:$G,7,FALSE)</f>
        <v>女性</v>
      </c>
      <c r="M92" s="62">
        <f ca="1">IFERROR(VLOOKUP(E92,input_313101!L:R,7,FALSE),VLOOKUP(tables_313101!B92,input_313101!A:H,8,FALSE))</f>
        <v>18130</v>
      </c>
      <c r="N92" s="63">
        <f t="shared" ca="1" si="7"/>
        <v>6.4814814814814813E-4</v>
      </c>
      <c r="O92" s="31">
        <f>IFERROR(VLOOKUP($E92,bug_conf_sheet!$A:$H,3,FALSE),VLOOKUP("other",bug_conf_sheet!$A:$H,3,FALSE))</f>
        <v>1</v>
      </c>
      <c r="P92" s="31">
        <f>IFERROR(VLOOKUP($E92,bug_conf_sheet!$A:$H,4,FALSE),VLOOKUP("other",bug_conf_sheet!$A:$H,4,FALSE))</f>
        <v>0</v>
      </c>
      <c r="Q92" s="31">
        <f>IFERROR(VLOOKUP($E92,bug_conf_sheet!$A:$H,5,FALSE),VLOOKUP("other",bug_conf_sheet!$A:$H,5,FALSE))</f>
        <v>0</v>
      </c>
      <c r="R92" s="31">
        <f>IFERROR(VLOOKUP($E92,bug_conf_sheet!$A:$H,6,FALSE),VLOOKUP("other",bug_conf_sheet!$A:$H,6,FALSE))</f>
        <v>0</v>
      </c>
      <c r="S92" s="31">
        <f>IFERROR(VLOOKUP($E92,bug_conf_sheet!$A:$H,7,FALSE),VLOOKUP("other",bug_conf_sheet!$A:$H,7,FALSE))</f>
        <v>0</v>
      </c>
      <c r="T92" s="31">
        <f>IFERROR(VLOOKUP($E92,bug_conf_sheet!$A:$H,8,FALSE),VLOOKUP("other",bug_conf_sheet!$A:$H,8,FALSE))</f>
        <v>1</v>
      </c>
    </row>
    <row r="93" spans="1:20" ht="21" customHeight="1">
      <c r="A93" s="2" t="str">
        <f ca="1">input_313101!A$2</f>
        <v>313101</v>
      </c>
      <c r="B93" s="7" t="str">
        <f t="shared" si="4"/>
        <v>Premium3</v>
      </c>
      <c r="C93" s="7" t="str">
        <f t="shared" si="5"/>
        <v>Premium</v>
      </c>
      <c r="D93" s="7" t="str">
        <f t="shared" si="6"/>
        <v>bg</v>
      </c>
      <c r="E93" s="5">
        <v>217</v>
      </c>
      <c r="F93" s="7" t="str">
        <f>VLOOKUP(E93,[1]characters!$A:$C,3,FALSE)</f>
        <v>ケツァクアトル</v>
      </c>
      <c r="G93" s="7" t="str">
        <f>VLOOKUP(E93,[1]characters!$A:$J,10,FALSE)</f>
        <v>PremiumN</v>
      </c>
      <c r="H93" s="7">
        <f>VLOOKUP(E93,[1]characters!$A:$I,9,FALSE)</f>
        <v>3</v>
      </c>
      <c r="I93" s="7" t="str">
        <f>VLOOKUP(E93,[1]characters!$A:$H,8,FALSE)</f>
        <v>green</v>
      </c>
      <c r="J93" s="7" t="str">
        <f>VLOOKUP(E93,[1]characters!$A:$K,11,FALSE)</f>
        <v>hp</v>
      </c>
      <c r="K93" s="7" t="str">
        <f>VLOOKUP(E93,[1]characters!$A:$M,13,FALSE)</f>
        <v>dragon</v>
      </c>
      <c r="L93" s="7" t="str">
        <f>VLOOKUP(E93,[1]characters!$A:$G,7,FALSE)</f>
        <v>女性</v>
      </c>
      <c r="M93" s="62">
        <f ca="1">IFERROR(VLOOKUP(E93,input_313101!L:R,7,FALSE),VLOOKUP(tables_313101!B93,input_313101!A:H,8,FALSE))</f>
        <v>0</v>
      </c>
      <c r="N93" s="63">
        <f t="shared" ca="1" si="7"/>
        <v>0</v>
      </c>
      <c r="O93" s="31">
        <f>IFERROR(VLOOKUP($E93,bug_conf_sheet!$A:$H,3,FALSE),VLOOKUP("other",bug_conf_sheet!$A:$H,3,FALSE))</f>
        <v>1</v>
      </c>
      <c r="P93" s="31">
        <f>IFERROR(VLOOKUP($E93,bug_conf_sheet!$A:$H,4,FALSE),VLOOKUP("other",bug_conf_sheet!$A:$H,4,FALSE))</f>
        <v>0</v>
      </c>
      <c r="Q93" s="31">
        <f>IFERROR(VLOOKUP($E93,bug_conf_sheet!$A:$H,5,FALSE),VLOOKUP("other",bug_conf_sheet!$A:$H,5,FALSE))</f>
        <v>0</v>
      </c>
      <c r="R93" s="31">
        <f>IFERROR(VLOOKUP($E93,bug_conf_sheet!$A:$H,6,FALSE),VLOOKUP("other",bug_conf_sheet!$A:$H,6,FALSE))</f>
        <v>0</v>
      </c>
      <c r="S93" s="31">
        <f>IFERROR(VLOOKUP($E93,bug_conf_sheet!$A:$H,7,FALSE),VLOOKUP("other",bug_conf_sheet!$A:$H,7,FALSE))</f>
        <v>0</v>
      </c>
      <c r="T93" s="31">
        <f>IFERROR(VLOOKUP($E93,bug_conf_sheet!$A:$H,8,FALSE),VLOOKUP("other",bug_conf_sheet!$A:$H,8,FALSE))</f>
        <v>1</v>
      </c>
    </row>
    <row r="94" spans="1:20" ht="21" customHeight="1">
      <c r="A94" s="2" t="str">
        <f ca="1">input_313101!A$2</f>
        <v>313101</v>
      </c>
      <c r="B94" s="7" t="str">
        <f t="shared" si="4"/>
        <v>Premium4</v>
      </c>
      <c r="C94" s="7" t="str">
        <f t="shared" si="5"/>
        <v>Premium</v>
      </c>
      <c r="D94" s="7" t="str">
        <f t="shared" si="6"/>
        <v>bg</v>
      </c>
      <c r="E94" s="5">
        <v>218</v>
      </c>
      <c r="F94" s="7" t="str">
        <f>VLOOKUP(E94,[1]characters!$A:$C,3,FALSE)</f>
        <v>聖蛇 ケツァクアトル</v>
      </c>
      <c r="G94" s="7" t="str">
        <f>VLOOKUP(E94,[1]characters!$A:$J,10,FALSE)</f>
        <v>PremiumN</v>
      </c>
      <c r="H94" s="7">
        <f>VLOOKUP(E94,[1]characters!$A:$I,9,FALSE)</f>
        <v>4</v>
      </c>
      <c r="I94" s="7" t="str">
        <f>VLOOKUP(E94,[1]characters!$A:$H,8,FALSE)</f>
        <v>green</v>
      </c>
      <c r="J94" s="7" t="str">
        <f>VLOOKUP(E94,[1]characters!$A:$K,11,FALSE)</f>
        <v>hp</v>
      </c>
      <c r="K94" s="7" t="str">
        <f>VLOOKUP(E94,[1]characters!$A:$M,13,FALSE)</f>
        <v>dragon</v>
      </c>
      <c r="L94" s="7" t="str">
        <f>VLOOKUP(E94,[1]characters!$A:$G,7,FALSE)</f>
        <v>女性</v>
      </c>
      <c r="M94" s="62">
        <f ca="1">IFERROR(VLOOKUP(E94,input_313101!L:R,7,FALSE),VLOOKUP(tables_313101!B94,input_313101!A:H,8,FALSE))</f>
        <v>342090</v>
      </c>
      <c r="N94" s="63">
        <f t="shared" ca="1" si="7"/>
        <v>1.222972972972973E-2</v>
      </c>
      <c r="O94" s="31">
        <f>IFERROR(VLOOKUP($E94,bug_conf_sheet!$A:$H,3,FALSE),VLOOKUP("other",bug_conf_sheet!$A:$H,3,FALSE))</f>
        <v>1</v>
      </c>
      <c r="P94" s="31">
        <f>IFERROR(VLOOKUP($E94,bug_conf_sheet!$A:$H,4,FALSE),VLOOKUP("other",bug_conf_sheet!$A:$H,4,FALSE))</f>
        <v>0</v>
      </c>
      <c r="Q94" s="31">
        <f>IFERROR(VLOOKUP($E94,bug_conf_sheet!$A:$H,5,FALSE),VLOOKUP("other",bug_conf_sheet!$A:$H,5,FALSE))</f>
        <v>0</v>
      </c>
      <c r="R94" s="31">
        <f>IFERROR(VLOOKUP($E94,bug_conf_sheet!$A:$H,6,FALSE),VLOOKUP("other",bug_conf_sheet!$A:$H,6,FALSE))</f>
        <v>0</v>
      </c>
      <c r="S94" s="31">
        <f>IFERROR(VLOOKUP($E94,bug_conf_sheet!$A:$H,7,FALSE),VLOOKUP("other",bug_conf_sheet!$A:$H,7,FALSE))</f>
        <v>0</v>
      </c>
      <c r="T94" s="31">
        <f>IFERROR(VLOOKUP($E94,bug_conf_sheet!$A:$H,8,FALSE),VLOOKUP("other",bug_conf_sheet!$A:$H,8,FALSE))</f>
        <v>1</v>
      </c>
    </row>
    <row r="95" spans="1:20" ht="21" customHeight="1">
      <c r="A95" s="2" t="str">
        <f ca="1">input_313101!A$2</f>
        <v>313101</v>
      </c>
      <c r="B95" s="7" t="str">
        <f t="shared" si="4"/>
        <v>Premium5</v>
      </c>
      <c r="C95" s="7" t="str">
        <f t="shared" si="5"/>
        <v>Premium</v>
      </c>
      <c r="D95" s="7" t="str">
        <f t="shared" si="6"/>
        <v>bg</v>
      </c>
      <c r="E95" s="5">
        <v>219</v>
      </c>
      <c r="F95" s="7" t="str">
        <f>VLOOKUP(E95,[1]characters!$A:$C,3,FALSE)</f>
        <v>覇翼の聖蛇竜 ケツァクアトル</v>
      </c>
      <c r="G95" s="7" t="str">
        <f>VLOOKUP(E95,[1]characters!$A:$J,10,FALSE)</f>
        <v>PremiumN</v>
      </c>
      <c r="H95" s="7">
        <f>VLOOKUP(E95,[1]characters!$A:$I,9,FALSE)</f>
        <v>5</v>
      </c>
      <c r="I95" s="7" t="str">
        <f>VLOOKUP(E95,[1]characters!$A:$H,8,FALSE)</f>
        <v>green</v>
      </c>
      <c r="J95" s="7" t="str">
        <f>VLOOKUP(E95,[1]characters!$A:$K,11,FALSE)</f>
        <v>hp</v>
      </c>
      <c r="K95" s="7" t="str">
        <f>VLOOKUP(E95,[1]characters!$A:$M,13,FALSE)</f>
        <v>dragon</v>
      </c>
      <c r="L95" s="7" t="str">
        <f>VLOOKUP(E95,[1]characters!$A:$G,7,FALSE)</f>
        <v>女性</v>
      </c>
      <c r="M95" s="62">
        <f ca="1">IFERROR(VLOOKUP(E95,input_313101!L:R,7,FALSE),VLOOKUP(tables_313101!B95,input_313101!A:H,8,FALSE))</f>
        <v>18130</v>
      </c>
      <c r="N95" s="63">
        <f t="shared" ca="1" si="7"/>
        <v>6.4814814814814813E-4</v>
      </c>
      <c r="O95" s="31">
        <f>IFERROR(VLOOKUP($E95,bug_conf_sheet!$A:$H,3,FALSE),VLOOKUP("other",bug_conf_sheet!$A:$H,3,FALSE))</f>
        <v>1</v>
      </c>
      <c r="P95" s="31">
        <f>IFERROR(VLOOKUP($E95,bug_conf_sheet!$A:$H,4,FALSE),VLOOKUP("other",bug_conf_sheet!$A:$H,4,FALSE))</f>
        <v>0</v>
      </c>
      <c r="Q95" s="31">
        <f>IFERROR(VLOOKUP($E95,bug_conf_sheet!$A:$H,5,FALSE),VLOOKUP("other",bug_conf_sheet!$A:$H,5,FALSE))</f>
        <v>0</v>
      </c>
      <c r="R95" s="31">
        <f>IFERROR(VLOOKUP($E95,bug_conf_sheet!$A:$H,6,FALSE),VLOOKUP("other",bug_conf_sheet!$A:$H,6,FALSE))</f>
        <v>0</v>
      </c>
      <c r="S95" s="31">
        <f>IFERROR(VLOOKUP($E95,bug_conf_sheet!$A:$H,7,FALSE),VLOOKUP("other",bug_conf_sheet!$A:$H,7,FALSE))</f>
        <v>0</v>
      </c>
      <c r="T95" s="31">
        <f>IFERROR(VLOOKUP($E95,bug_conf_sheet!$A:$H,8,FALSE),VLOOKUP("other",bug_conf_sheet!$A:$H,8,FALSE))</f>
        <v>1</v>
      </c>
    </row>
    <row r="96" spans="1:20" ht="21" customHeight="1">
      <c r="A96" s="2" t="str">
        <f ca="1">input_313101!A$2</f>
        <v>313101</v>
      </c>
      <c r="B96" s="7" t="str">
        <f t="shared" si="4"/>
        <v>Premium3</v>
      </c>
      <c r="C96" s="7" t="str">
        <f t="shared" si="5"/>
        <v>Premium</v>
      </c>
      <c r="D96" s="7" t="str">
        <f t="shared" si="6"/>
        <v>bg</v>
      </c>
      <c r="E96" s="5">
        <v>220</v>
      </c>
      <c r="F96" s="7" t="str">
        <f>VLOOKUP(E96,[1]characters!$A:$C,3,FALSE)</f>
        <v>ルキフグス</v>
      </c>
      <c r="G96" s="7" t="str">
        <f>VLOOKUP(E96,[1]characters!$A:$J,10,FALSE)</f>
        <v>PremiumN</v>
      </c>
      <c r="H96" s="7">
        <f>VLOOKUP(E96,[1]characters!$A:$I,9,FALSE)</f>
        <v>3</v>
      </c>
      <c r="I96" s="7" t="str">
        <f>VLOOKUP(E96,[1]characters!$A:$H,8,FALSE)</f>
        <v>blue</v>
      </c>
      <c r="J96" s="7" t="str">
        <f>VLOOKUP(E96,[1]characters!$A:$K,11,FALSE)</f>
        <v>balance</v>
      </c>
      <c r="K96" s="7" t="str">
        <f>VLOOKUP(E96,[1]characters!$A:$M,13,FALSE)</f>
        <v>god</v>
      </c>
      <c r="L96" s="7" t="str">
        <f>VLOOKUP(E96,[1]characters!$A:$G,7,FALSE)</f>
        <v>女性</v>
      </c>
      <c r="M96" s="62">
        <f ca="1">IFERROR(VLOOKUP(E96,input_313101!L:R,7,FALSE),VLOOKUP(tables_313101!B96,input_313101!A:H,8,FALSE))</f>
        <v>0</v>
      </c>
      <c r="N96" s="63">
        <f t="shared" ca="1" si="7"/>
        <v>0</v>
      </c>
      <c r="O96" s="31">
        <f>IFERROR(VLOOKUP($E96,bug_conf_sheet!$A:$H,3,FALSE),VLOOKUP("other",bug_conf_sheet!$A:$H,3,FALSE))</f>
        <v>1</v>
      </c>
      <c r="P96" s="31">
        <f>IFERROR(VLOOKUP($E96,bug_conf_sheet!$A:$H,4,FALSE),VLOOKUP("other",bug_conf_sheet!$A:$H,4,FALSE))</f>
        <v>0</v>
      </c>
      <c r="Q96" s="31">
        <f>IFERROR(VLOOKUP($E96,bug_conf_sheet!$A:$H,5,FALSE),VLOOKUP("other",bug_conf_sheet!$A:$H,5,FALSE))</f>
        <v>0</v>
      </c>
      <c r="R96" s="31">
        <f>IFERROR(VLOOKUP($E96,bug_conf_sheet!$A:$H,6,FALSE),VLOOKUP("other",bug_conf_sheet!$A:$H,6,FALSE))</f>
        <v>0</v>
      </c>
      <c r="S96" s="31">
        <f>IFERROR(VLOOKUP($E96,bug_conf_sheet!$A:$H,7,FALSE),VLOOKUP("other",bug_conf_sheet!$A:$H,7,FALSE))</f>
        <v>0</v>
      </c>
      <c r="T96" s="31">
        <f>IFERROR(VLOOKUP($E96,bug_conf_sheet!$A:$H,8,FALSE),VLOOKUP("other",bug_conf_sheet!$A:$H,8,FALSE))</f>
        <v>1</v>
      </c>
    </row>
    <row r="97" spans="1:20" ht="21" customHeight="1">
      <c r="A97" s="2" t="str">
        <f ca="1">input_313101!A$2</f>
        <v>313101</v>
      </c>
      <c r="B97" s="7" t="str">
        <f t="shared" si="4"/>
        <v>Premium4</v>
      </c>
      <c r="C97" s="7" t="str">
        <f t="shared" si="5"/>
        <v>Premium</v>
      </c>
      <c r="D97" s="7" t="str">
        <f t="shared" si="6"/>
        <v>bg</v>
      </c>
      <c r="E97" s="5">
        <v>221</v>
      </c>
      <c r="F97" s="7" t="str">
        <f>VLOOKUP(E97,[1]characters!$A:$C,3,FALSE)</f>
        <v>宰相 ルキフグス</v>
      </c>
      <c r="G97" s="7" t="str">
        <f>VLOOKUP(E97,[1]characters!$A:$J,10,FALSE)</f>
        <v>PremiumN</v>
      </c>
      <c r="H97" s="7">
        <f>VLOOKUP(E97,[1]characters!$A:$I,9,FALSE)</f>
        <v>4</v>
      </c>
      <c r="I97" s="7" t="str">
        <f>VLOOKUP(E97,[1]characters!$A:$H,8,FALSE)</f>
        <v>blue</v>
      </c>
      <c r="J97" s="7" t="str">
        <f>VLOOKUP(E97,[1]characters!$A:$K,11,FALSE)</f>
        <v>balance</v>
      </c>
      <c r="K97" s="7" t="str">
        <f>VLOOKUP(E97,[1]characters!$A:$M,13,FALSE)</f>
        <v>god</v>
      </c>
      <c r="L97" s="7" t="str">
        <f>VLOOKUP(E97,[1]characters!$A:$G,7,FALSE)</f>
        <v>女性</v>
      </c>
      <c r="M97" s="62">
        <f ca="1">IFERROR(VLOOKUP(E97,input_313101!L:R,7,FALSE),VLOOKUP(tables_313101!B97,input_313101!A:H,8,FALSE))</f>
        <v>342090</v>
      </c>
      <c r="N97" s="63">
        <f t="shared" ca="1" si="7"/>
        <v>1.222972972972973E-2</v>
      </c>
      <c r="O97" s="31">
        <f>IFERROR(VLOOKUP($E97,bug_conf_sheet!$A:$H,3,FALSE),VLOOKUP("other",bug_conf_sheet!$A:$H,3,FALSE))</f>
        <v>1</v>
      </c>
      <c r="P97" s="31">
        <f>IFERROR(VLOOKUP($E97,bug_conf_sheet!$A:$H,4,FALSE),VLOOKUP("other",bug_conf_sheet!$A:$H,4,FALSE))</f>
        <v>0</v>
      </c>
      <c r="Q97" s="31">
        <f>IFERROR(VLOOKUP($E97,bug_conf_sheet!$A:$H,5,FALSE),VLOOKUP("other",bug_conf_sheet!$A:$H,5,FALSE))</f>
        <v>0</v>
      </c>
      <c r="R97" s="31">
        <f>IFERROR(VLOOKUP($E97,bug_conf_sheet!$A:$H,6,FALSE),VLOOKUP("other",bug_conf_sheet!$A:$H,6,FALSE))</f>
        <v>0</v>
      </c>
      <c r="S97" s="31">
        <f>IFERROR(VLOOKUP($E97,bug_conf_sheet!$A:$H,7,FALSE),VLOOKUP("other",bug_conf_sheet!$A:$H,7,FALSE))</f>
        <v>0</v>
      </c>
      <c r="T97" s="31">
        <f>IFERROR(VLOOKUP($E97,bug_conf_sheet!$A:$H,8,FALSE),VLOOKUP("other",bug_conf_sheet!$A:$H,8,FALSE))</f>
        <v>1</v>
      </c>
    </row>
    <row r="98" spans="1:20" ht="21" customHeight="1">
      <c r="A98" s="2" t="str">
        <f ca="1">input_313101!A$2</f>
        <v>313101</v>
      </c>
      <c r="B98" s="7" t="str">
        <f t="shared" si="4"/>
        <v>Premium5</v>
      </c>
      <c r="C98" s="7" t="str">
        <f t="shared" si="5"/>
        <v>Premium</v>
      </c>
      <c r="D98" s="7" t="str">
        <f t="shared" si="6"/>
        <v>bg</v>
      </c>
      <c r="E98" s="5">
        <v>222</v>
      </c>
      <c r="F98" s="7" t="str">
        <f>VLOOKUP(E98,[1]characters!$A:$C,3,FALSE)</f>
        <v>避光の鉄鎖宰相 ルキフグス</v>
      </c>
      <c r="G98" s="7" t="str">
        <f>VLOOKUP(E98,[1]characters!$A:$J,10,FALSE)</f>
        <v>PremiumN</v>
      </c>
      <c r="H98" s="7">
        <f>VLOOKUP(E98,[1]characters!$A:$I,9,FALSE)</f>
        <v>5</v>
      </c>
      <c r="I98" s="7" t="str">
        <f>VLOOKUP(E98,[1]characters!$A:$H,8,FALSE)</f>
        <v>blue</v>
      </c>
      <c r="J98" s="7" t="str">
        <f>VLOOKUP(E98,[1]characters!$A:$K,11,FALSE)</f>
        <v>balance</v>
      </c>
      <c r="K98" s="7" t="str">
        <f>VLOOKUP(E98,[1]characters!$A:$M,13,FALSE)</f>
        <v>god</v>
      </c>
      <c r="L98" s="7" t="str">
        <f>VLOOKUP(E98,[1]characters!$A:$G,7,FALSE)</f>
        <v>女性</v>
      </c>
      <c r="M98" s="62">
        <f ca="1">IFERROR(VLOOKUP(E98,input_313101!L:R,7,FALSE),VLOOKUP(tables_313101!B98,input_313101!A:H,8,FALSE))</f>
        <v>18130</v>
      </c>
      <c r="N98" s="63">
        <f t="shared" ca="1" si="7"/>
        <v>6.4814814814814813E-4</v>
      </c>
      <c r="O98" s="31">
        <f>IFERROR(VLOOKUP($E98,bug_conf_sheet!$A:$H,3,FALSE),VLOOKUP("other",bug_conf_sheet!$A:$H,3,FALSE))</f>
        <v>1</v>
      </c>
      <c r="P98" s="31">
        <f>IFERROR(VLOOKUP($E98,bug_conf_sheet!$A:$H,4,FALSE),VLOOKUP("other",bug_conf_sheet!$A:$H,4,FALSE))</f>
        <v>0</v>
      </c>
      <c r="Q98" s="31">
        <f>IFERROR(VLOOKUP($E98,bug_conf_sheet!$A:$H,5,FALSE),VLOOKUP("other",bug_conf_sheet!$A:$H,5,FALSE))</f>
        <v>0</v>
      </c>
      <c r="R98" s="31">
        <f>IFERROR(VLOOKUP($E98,bug_conf_sheet!$A:$H,6,FALSE),VLOOKUP("other",bug_conf_sheet!$A:$H,6,FALSE))</f>
        <v>0</v>
      </c>
      <c r="S98" s="31">
        <f>IFERROR(VLOOKUP($E98,bug_conf_sheet!$A:$H,7,FALSE),VLOOKUP("other",bug_conf_sheet!$A:$H,7,FALSE))</f>
        <v>0</v>
      </c>
      <c r="T98" s="31">
        <f>IFERROR(VLOOKUP($E98,bug_conf_sheet!$A:$H,8,FALSE),VLOOKUP("other",bug_conf_sheet!$A:$H,8,FALSE))</f>
        <v>1</v>
      </c>
    </row>
    <row r="99" spans="1:20" ht="21" customHeight="1">
      <c r="A99" s="2" t="str">
        <f ca="1">input_313101!A$2</f>
        <v>313101</v>
      </c>
      <c r="B99" s="7" t="str">
        <f t="shared" si="4"/>
        <v>Premium3</v>
      </c>
      <c r="C99" s="7" t="str">
        <f t="shared" si="5"/>
        <v>Premium</v>
      </c>
      <c r="D99" s="7" t="str">
        <f t="shared" si="6"/>
        <v>ry</v>
      </c>
      <c r="E99" s="5">
        <v>223</v>
      </c>
      <c r="F99" s="7" t="str">
        <f>VLOOKUP(E99,[1]characters!$A:$C,3,FALSE)</f>
        <v>ヘラクレス</v>
      </c>
      <c r="G99" s="7" t="str">
        <f>VLOOKUP(E99,[1]characters!$A:$J,10,FALSE)</f>
        <v>PremiumN</v>
      </c>
      <c r="H99" s="7">
        <f>VLOOKUP(E99,[1]characters!$A:$I,9,FALSE)</f>
        <v>3</v>
      </c>
      <c r="I99" s="7" t="str">
        <f>VLOOKUP(E99,[1]characters!$A:$H,8,FALSE)</f>
        <v>yellow</v>
      </c>
      <c r="J99" s="7" t="str">
        <f>VLOOKUP(E99,[1]characters!$A:$K,11,FALSE)</f>
        <v>balance</v>
      </c>
      <c r="K99" s="7" t="str">
        <f>VLOOKUP(E99,[1]characters!$A:$M,13,FALSE)</f>
        <v>human</v>
      </c>
      <c r="L99" s="7" t="str">
        <f>VLOOKUP(E99,[1]characters!$A:$G,7,FALSE)</f>
        <v>男性</v>
      </c>
      <c r="M99" s="62">
        <f ca="1">IFERROR(VLOOKUP(E99,input_313101!L:R,7,FALSE),VLOOKUP(tables_313101!B99,input_313101!A:H,8,FALSE))</f>
        <v>0</v>
      </c>
      <c r="N99" s="63">
        <f t="shared" ca="1" si="7"/>
        <v>0</v>
      </c>
      <c r="O99" s="31">
        <f>IFERROR(VLOOKUP($E99,bug_conf_sheet!$A:$H,3,FALSE),VLOOKUP("other",bug_conf_sheet!$A:$H,3,FALSE))</f>
        <v>1</v>
      </c>
      <c r="P99" s="31">
        <f>IFERROR(VLOOKUP($E99,bug_conf_sheet!$A:$H,4,FALSE),VLOOKUP("other",bug_conf_sheet!$A:$H,4,FALSE))</f>
        <v>0</v>
      </c>
      <c r="Q99" s="31">
        <f>IFERROR(VLOOKUP($E99,bug_conf_sheet!$A:$H,5,FALSE),VLOOKUP("other",bug_conf_sheet!$A:$H,5,FALSE))</f>
        <v>0</v>
      </c>
      <c r="R99" s="31">
        <f>IFERROR(VLOOKUP($E99,bug_conf_sheet!$A:$H,6,FALSE),VLOOKUP("other",bug_conf_sheet!$A:$H,6,FALSE))</f>
        <v>0</v>
      </c>
      <c r="S99" s="31">
        <f>IFERROR(VLOOKUP($E99,bug_conf_sheet!$A:$H,7,FALSE),VLOOKUP("other",bug_conf_sheet!$A:$H,7,FALSE))</f>
        <v>0</v>
      </c>
      <c r="T99" s="31">
        <f>IFERROR(VLOOKUP($E99,bug_conf_sheet!$A:$H,8,FALSE),VLOOKUP("other",bug_conf_sheet!$A:$H,8,FALSE))</f>
        <v>1</v>
      </c>
    </row>
    <row r="100" spans="1:20" ht="21" customHeight="1">
      <c r="A100" s="2" t="str">
        <f ca="1">input_313101!A$2</f>
        <v>313101</v>
      </c>
      <c r="B100" s="7" t="str">
        <f t="shared" si="4"/>
        <v>Premium4</v>
      </c>
      <c r="C100" s="7" t="str">
        <f t="shared" si="5"/>
        <v>Premium</v>
      </c>
      <c r="D100" s="7" t="str">
        <f t="shared" si="6"/>
        <v>ry</v>
      </c>
      <c r="E100" s="5">
        <v>224</v>
      </c>
      <c r="F100" s="7" t="str">
        <f>VLOOKUP(E100,[1]characters!$A:$C,3,FALSE)</f>
        <v>巨腕 ヘラクレス</v>
      </c>
      <c r="G100" s="7" t="str">
        <f>VLOOKUP(E100,[1]characters!$A:$J,10,FALSE)</f>
        <v>PremiumN</v>
      </c>
      <c r="H100" s="7">
        <f>VLOOKUP(E100,[1]characters!$A:$I,9,FALSE)</f>
        <v>4</v>
      </c>
      <c r="I100" s="7" t="str">
        <f>VLOOKUP(E100,[1]characters!$A:$H,8,FALSE)</f>
        <v>yellow</v>
      </c>
      <c r="J100" s="7" t="str">
        <f>VLOOKUP(E100,[1]characters!$A:$K,11,FALSE)</f>
        <v>balance</v>
      </c>
      <c r="K100" s="7" t="str">
        <f>VLOOKUP(E100,[1]characters!$A:$M,13,FALSE)</f>
        <v>human</v>
      </c>
      <c r="L100" s="7" t="str">
        <f>VLOOKUP(E100,[1]characters!$A:$G,7,FALSE)</f>
        <v>男性</v>
      </c>
      <c r="M100" s="62">
        <f ca="1">IFERROR(VLOOKUP(E100,input_313101!L:R,7,FALSE),VLOOKUP(tables_313101!B100,input_313101!A:H,8,FALSE))</f>
        <v>342090</v>
      </c>
      <c r="N100" s="63">
        <f t="shared" ca="1" si="7"/>
        <v>1.222972972972973E-2</v>
      </c>
      <c r="O100" s="31">
        <f>IFERROR(VLOOKUP($E100,bug_conf_sheet!$A:$H,3,FALSE),VLOOKUP("other",bug_conf_sheet!$A:$H,3,FALSE))</f>
        <v>1</v>
      </c>
      <c r="P100" s="31">
        <f>IFERROR(VLOOKUP($E100,bug_conf_sheet!$A:$H,4,FALSE),VLOOKUP("other",bug_conf_sheet!$A:$H,4,FALSE))</f>
        <v>0</v>
      </c>
      <c r="Q100" s="31">
        <f>IFERROR(VLOOKUP($E100,bug_conf_sheet!$A:$H,5,FALSE),VLOOKUP("other",bug_conf_sheet!$A:$H,5,FALSE))</f>
        <v>0</v>
      </c>
      <c r="R100" s="31">
        <f>IFERROR(VLOOKUP($E100,bug_conf_sheet!$A:$H,6,FALSE),VLOOKUP("other",bug_conf_sheet!$A:$H,6,FALSE))</f>
        <v>0</v>
      </c>
      <c r="S100" s="31">
        <f>IFERROR(VLOOKUP($E100,bug_conf_sheet!$A:$H,7,FALSE),VLOOKUP("other",bug_conf_sheet!$A:$H,7,FALSE))</f>
        <v>0</v>
      </c>
      <c r="T100" s="31">
        <f>IFERROR(VLOOKUP($E100,bug_conf_sheet!$A:$H,8,FALSE),VLOOKUP("other",bug_conf_sheet!$A:$H,8,FALSE))</f>
        <v>1</v>
      </c>
    </row>
    <row r="101" spans="1:20" ht="21" customHeight="1">
      <c r="A101" s="2" t="str">
        <f ca="1">input_313101!A$2</f>
        <v>313101</v>
      </c>
      <c r="B101" s="7" t="str">
        <f t="shared" si="4"/>
        <v>Premium5</v>
      </c>
      <c r="C101" s="7" t="str">
        <f t="shared" si="5"/>
        <v>Premium</v>
      </c>
      <c r="D101" s="7" t="str">
        <f t="shared" si="6"/>
        <v>ry</v>
      </c>
      <c r="E101" s="5">
        <v>225</v>
      </c>
      <c r="F101" s="7" t="str">
        <f>VLOOKUP(E101,[1]characters!$A:$C,3,FALSE)</f>
        <v>咆哮の巨獅腕 ヘラクレス</v>
      </c>
      <c r="G101" s="7" t="str">
        <f>VLOOKUP(E101,[1]characters!$A:$J,10,FALSE)</f>
        <v>PremiumN</v>
      </c>
      <c r="H101" s="7">
        <f>VLOOKUP(E101,[1]characters!$A:$I,9,FALSE)</f>
        <v>5</v>
      </c>
      <c r="I101" s="7" t="str">
        <f>VLOOKUP(E101,[1]characters!$A:$H,8,FALSE)</f>
        <v>yellow</v>
      </c>
      <c r="J101" s="7" t="str">
        <f>VLOOKUP(E101,[1]characters!$A:$K,11,FALSE)</f>
        <v>balance</v>
      </c>
      <c r="K101" s="7" t="str">
        <f>VLOOKUP(E101,[1]characters!$A:$M,13,FALSE)</f>
        <v>human</v>
      </c>
      <c r="L101" s="7" t="str">
        <f>VLOOKUP(E101,[1]characters!$A:$G,7,FALSE)</f>
        <v>男性</v>
      </c>
      <c r="M101" s="62">
        <f ca="1">IFERROR(VLOOKUP(E101,input_313101!L:R,7,FALSE),VLOOKUP(tables_313101!B101,input_313101!A:H,8,FALSE))</f>
        <v>18130</v>
      </c>
      <c r="N101" s="63">
        <f t="shared" ca="1" si="7"/>
        <v>6.4814814814814813E-4</v>
      </c>
      <c r="O101" s="31">
        <f>IFERROR(VLOOKUP($E101,bug_conf_sheet!$A:$H,3,FALSE),VLOOKUP("other",bug_conf_sheet!$A:$H,3,FALSE))</f>
        <v>1</v>
      </c>
      <c r="P101" s="31">
        <f>IFERROR(VLOOKUP($E101,bug_conf_sheet!$A:$H,4,FALSE),VLOOKUP("other",bug_conf_sheet!$A:$H,4,FALSE))</f>
        <v>0</v>
      </c>
      <c r="Q101" s="31">
        <f>IFERROR(VLOOKUP($E101,bug_conf_sheet!$A:$H,5,FALSE),VLOOKUP("other",bug_conf_sheet!$A:$H,5,FALSE))</f>
        <v>0</v>
      </c>
      <c r="R101" s="31">
        <f>IFERROR(VLOOKUP($E101,bug_conf_sheet!$A:$H,6,FALSE),VLOOKUP("other",bug_conf_sheet!$A:$H,6,FALSE))</f>
        <v>0</v>
      </c>
      <c r="S101" s="31">
        <f>IFERROR(VLOOKUP($E101,bug_conf_sheet!$A:$H,7,FALSE),VLOOKUP("other",bug_conf_sheet!$A:$H,7,FALSE))</f>
        <v>0</v>
      </c>
      <c r="T101" s="31">
        <f>IFERROR(VLOOKUP($E101,bug_conf_sheet!$A:$H,8,FALSE),VLOOKUP("other",bug_conf_sheet!$A:$H,8,FALSE))</f>
        <v>1</v>
      </c>
    </row>
    <row r="102" spans="1:20" ht="21" customHeight="1">
      <c r="A102" s="2" t="str">
        <f ca="1">input_313101!A$2</f>
        <v>313101</v>
      </c>
      <c r="B102" s="7" t="str">
        <f t="shared" si="4"/>
        <v>Premium3</v>
      </c>
      <c r="C102" s="7" t="str">
        <f t="shared" si="5"/>
        <v>Premium</v>
      </c>
      <c r="D102" s="7" t="str">
        <f t="shared" si="6"/>
        <v>ry</v>
      </c>
      <c r="E102" s="5">
        <v>226</v>
      </c>
      <c r="F102" s="7" t="str">
        <f>VLOOKUP(E102,[1]characters!$A:$C,3,FALSE)</f>
        <v>アレス</v>
      </c>
      <c r="G102" s="7" t="str">
        <f>VLOOKUP(E102,[1]characters!$A:$J,10,FALSE)</f>
        <v>PremiumS</v>
      </c>
      <c r="H102" s="7">
        <f>VLOOKUP(E102,[1]characters!$A:$I,9,FALSE)</f>
        <v>3</v>
      </c>
      <c r="I102" s="7" t="str">
        <f>VLOOKUP(E102,[1]characters!$A:$H,8,FALSE)</f>
        <v>red</v>
      </c>
      <c r="J102" s="7" t="str">
        <f>VLOOKUP(E102,[1]characters!$A:$K,11,FALSE)</f>
        <v>attack</v>
      </c>
      <c r="K102" s="7" t="str">
        <f>VLOOKUP(E102,[1]characters!$A:$M,13,FALSE)</f>
        <v>god</v>
      </c>
      <c r="L102" s="7" t="str">
        <f>VLOOKUP(E102,[1]characters!$A:$G,7,FALSE)</f>
        <v>男性</v>
      </c>
      <c r="M102" s="62">
        <f ca="1">IFERROR(VLOOKUP(E102,input_313101!L:R,7,FALSE),VLOOKUP(tables_313101!B102,input_313101!A:H,8,FALSE))</f>
        <v>0</v>
      </c>
      <c r="N102" s="63">
        <f t="shared" ca="1" si="7"/>
        <v>0</v>
      </c>
      <c r="O102" s="31">
        <f>IFERROR(VLOOKUP($E102,bug_conf_sheet!$A:$H,3,FALSE),VLOOKUP("other",bug_conf_sheet!$A:$H,3,FALSE))</f>
        <v>1</v>
      </c>
      <c r="P102" s="31">
        <f>IFERROR(VLOOKUP($E102,bug_conf_sheet!$A:$H,4,FALSE),VLOOKUP("other",bug_conf_sheet!$A:$H,4,FALSE))</f>
        <v>0</v>
      </c>
      <c r="Q102" s="31">
        <f>IFERROR(VLOOKUP($E102,bug_conf_sheet!$A:$H,5,FALSE),VLOOKUP("other",bug_conf_sheet!$A:$H,5,FALSE))</f>
        <v>0</v>
      </c>
      <c r="R102" s="31">
        <f>IFERROR(VLOOKUP($E102,bug_conf_sheet!$A:$H,6,FALSE),VLOOKUP("other",bug_conf_sheet!$A:$H,6,FALSE))</f>
        <v>0</v>
      </c>
      <c r="S102" s="31">
        <f>IFERROR(VLOOKUP($E102,bug_conf_sheet!$A:$H,7,FALSE),VLOOKUP("other",bug_conf_sheet!$A:$H,7,FALSE))</f>
        <v>0</v>
      </c>
      <c r="T102" s="31">
        <f>IFERROR(VLOOKUP($E102,bug_conf_sheet!$A:$H,8,FALSE),VLOOKUP("other",bug_conf_sheet!$A:$H,8,FALSE))</f>
        <v>1</v>
      </c>
    </row>
    <row r="103" spans="1:20" ht="21" customHeight="1">
      <c r="A103" s="2" t="str">
        <f ca="1">input_313101!A$2</f>
        <v>313101</v>
      </c>
      <c r="B103" s="7" t="str">
        <f t="shared" si="4"/>
        <v>Premium4</v>
      </c>
      <c r="C103" s="7" t="str">
        <f t="shared" si="5"/>
        <v>Premium</v>
      </c>
      <c r="D103" s="7" t="str">
        <f t="shared" si="6"/>
        <v>ry</v>
      </c>
      <c r="E103" s="5">
        <v>227</v>
      </c>
      <c r="F103" s="7" t="str">
        <f>VLOOKUP(E103,[1]characters!$A:$C,3,FALSE)</f>
        <v>滅弾 アレス</v>
      </c>
      <c r="G103" s="7" t="str">
        <f>VLOOKUP(E103,[1]characters!$A:$J,10,FALSE)</f>
        <v>PremiumS</v>
      </c>
      <c r="H103" s="7">
        <f>VLOOKUP(E103,[1]characters!$A:$I,9,FALSE)</f>
        <v>4</v>
      </c>
      <c r="I103" s="7" t="str">
        <f>VLOOKUP(E103,[1]characters!$A:$H,8,FALSE)</f>
        <v>red</v>
      </c>
      <c r="J103" s="7" t="str">
        <f>VLOOKUP(E103,[1]characters!$A:$K,11,FALSE)</f>
        <v>attack</v>
      </c>
      <c r="K103" s="7" t="str">
        <f>VLOOKUP(E103,[1]characters!$A:$M,13,FALSE)</f>
        <v>god</v>
      </c>
      <c r="L103" s="7" t="str">
        <f>VLOOKUP(E103,[1]characters!$A:$G,7,FALSE)</f>
        <v>男性</v>
      </c>
      <c r="M103" s="62">
        <f ca="1">IFERROR(VLOOKUP(E103,input_313101!L:R,7,FALSE),VLOOKUP(tables_313101!B103,input_313101!A:H,8,FALSE))</f>
        <v>342090</v>
      </c>
      <c r="N103" s="63">
        <f t="shared" ca="1" si="7"/>
        <v>1.222972972972973E-2</v>
      </c>
      <c r="O103" s="31">
        <f>IFERROR(VLOOKUP($E103,bug_conf_sheet!$A:$H,3,FALSE),VLOOKUP("other",bug_conf_sheet!$A:$H,3,FALSE))</f>
        <v>1</v>
      </c>
      <c r="P103" s="31">
        <f>IFERROR(VLOOKUP($E103,bug_conf_sheet!$A:$H,4,FALSE),VLOOKUP("other",bug_conf_sheet!$A:$H,4,FALSE))</f>
        <v>0</v>
      </c>
      <c r="Q103" s="31">
        <f>IFERROR(VLOOKUP($E103,bug_conf_sheet!$A:$H,5,FALSE),VLOOKUP("other",bug_conf_sheet!$A:$H,5,FALSE))</f>
        <v>0</v>
      </c>
      <c r="R103" s="31">
        <f>IFERROR(VLOOKUP($E103,bug_conf_sheet!$A:$H,6,FALSE),VLOOKUP("other",bug_conf_sheet!$A:$H,6,FALSE))</f>
        <v>0</v>
      </c>
      <c r="S103" s="31">
        <f>IFERROR(VLOOKUP($E103,bug_conf_sheet!$A:$H,7,FALSE),VLOOKUP("other",bug_conf_sheet!$A:$H,7,FALSE))</f>
        <v>0</v>
      </c>
      <c r="T103" s="31">
        <f>IFERROR(VLOOKUP($E103,bug_conf_sheet!$A:$H,8,FALSE),VLOOKUP("other",bug_conf_sheet!$A:$H,8,FALSE))</f>
        <v>1</v>
      </c>
    </row>
    <row r="104" spans="1:20" ht="21" customHeight="1">
      <c r="A104" s="2" t="str">
        <f ca="1">input_313101!A$2</f>
        <v>313101</v>
      </c>
      <c r="B104" s="7" t="str">
        <f t="shared" si="4"/>
        <v>Premium5</v>
      </c>
      <c r="C104" s="7" t="str">
        <f t="shared" si="5"/>
        <v>Premium</v>
      </c>
      <c r="D104" s="7" t="str">
        <f t="shared" si="6"/>
        <v>ry</v>
      </c>
      <c r="E104" s="5">
        <v>228</v>
      </c>
      <c r="F104" s="7" t="str">
        <f>VLOOKUP(E104,[1]characters!$A:$C,3,FALSE)</f>
        <v>殲滅の掃射砲 アレス</v>
      </c>
      <c r="G104" s="7" t="str">
        <f>VLOOKUP(E104,[1]characters!$A:$J,10,FALSE)</f>
        <v>PremiumS</v>
      </c>
      <c r="H104" s="7">
        <f>VLOOKUP(E104,[1]characters!$A:$I,9,FALSE)</f>
        <v>5</v>
      </c>
      <c r="I104" s="7" t="str">
        <f>VLOOKUP(E104,[1]characters!$A:$H,8,FALSE)</f>
        <v>red</v>
      </c>
      <c r="J104" s="7" t="str">
        <f>VLOOKUP(E104,[1]characters!$A:$K,11,FALSE)</f>
        <v>attack</v>
      </c>
      <c r="K104" s="7" t="str">
        <f>VLOOKUP(E104,[1]characters!$A:$M,13,FALSE)</f>
        <v>god</v>
      </c>
      <c r="L104" s="7" t="str">
        <f>VLOOKUP(E104,[1]characters!$A:$G,7,FALSE)</f>
        <v>男性</v>
      </c>
      <c r="M104" s="62">
        <f ca="1">IFERROR(VLOOKUP(E104,input_313101!L:R,7,FALSE),VLOOKUP(tables_313101!B104,input_313101!A:H,8,FALSE))</f>
        <v>18130</v>
      </c>
      <c r="N104" s="63">
        <f t="shared" ca="1" si="7"/>
        <v>6.4814814814814813E-4</v>
      </c>
      <c r="O104" s="31">
        <f>IFERROR(VLOOKUP($E104,bug_conf_sheet!$A:$H,3,FALSE),VLOOKUP("other",bug_conf_sheet!$A:$H,3,FALSE))</f>
        <v>1</v>
      </c>
      <c r="P104" s="31">
        <f>IFERROR(VLOOKUP($E104,bug_conf_sheet!$A:$H,4,FALSE),VLOOKUP("other",bug_conf_sheet!$A:$H,4,FALSE))</f>
        <v>0</v>
      </c>
      <c r="Q104" s="31">
        <f>IFERROR(VLOOKUP($E104,bug_conf_sheet!$A:$H,5,FALSE),VLOOKUP("other",bug_conf_sheet!$A:$H,5,FALSE))</f>
        <v>0</v>
      </c>
      <c r="R104" s="31">
        <f>IFERROR(VLOOKUP($E104,bug_conf_sheet!$A:$H,6,FALSE),VLOOKUP("other",bug_conf_sheet!$A:$H,6,FALSE))</f>
        <v>0</v>
      </c>
      <c r="S104" s="31">
        <f>IFERROR(VLOOKUP($E104,bug_conf_sheet!$A:$H,7,FALSE),VLOOKUP("other",bug_conf_sheet!$A:$H,7,FALSE))</f>
        <v>0</v>
      </c>
      <c r="T104" s="31">
        <f>IFERROR(VLOOKUP($E104,bug_conf_sheet!$A:$H,8,FALSE),VLOOKUP("other",bug_conf_sheet!$A:$H,8,FALSE))</f>
        <v>1</v>
      </c>
    </row>
    <row r="105" spans="1:20" ht="21" customHeight="1">
      <c r="A105" s="2" t="str">
        <f ca="1">input_313101!A$2</f>
        <v>313101</v>
      </c>
      <c r="B105" s="7" t="str">
        <f t="shared" si="4"/>
        <v>Premium3</v>
      </c>
      <c r="C105" s="7" t="str">
        <f t="shared" si="5"/>
        <v>Premium</v>
      </c>
      <c r="D105" s="7" t="str">
        <f t="shared" si="6"/>
        <v>bg</v>
      </c>
      <c r="E105" s="5">
        <v>229</v>
      </c>
      <c r="F105" s="7" t="str">
        <f>VLOOKUP(E105,[1]characters!$A:$C,3,FALSE)</f>
        <v>ヨルムンガンド</v>
      </c>
      <c r="G105" s="7" t="str">
        <f>VLOOKUP(E105,[1]characters!$A:$J,10,FALSE)</f>
        <v>PremiumS</v>
      </c>
      <c r="H105" s="7">
        <f>VLOOKUP(E105,[1]characters!$A:$I,9,FALSE)</f>
        <v>3</v>
      </c>
      <c r="I105" s="7" t="str">
        <f>VLOOKUP(E105,[1]characters!$A:$H,8,FALSE)</f>
        <v>green</v>
      </c>
      <c r="J105" s="7" t="str">
        <f>VLOOKUP(E105,[1]characters!$A:$K,11,FALSE)</f>
        <v>technical</v>
      </c>
      <c r="K105" s="7" t="str">
        <f>VLOOKUP(E105,[1]characters!$A:$M,13,FALSE)</f>
        <v>dragon</v>
      </c>
      <c r="L105" s="7" t="str">
        <f>VLOOKUP(E105,[1]characters!$A:$G,7,FALSE)</f>
        <v>女性</v>
      </c>
      <c r="M105" s="62">
        <f ca="1">IFERROR(VLOOKUP(E105,input_313101!L:R,7,FALSE),VLOOKUP(tables_313101!B105,input_313101!A:H,8,FALSE))</f>
        <v>0</v>
      </c>
      <c r="N105" s="63">
        <f t="shared" ca="1" si="7"/>
        <v>0</v>
      </c>
      <c r="O105" s="31">
        <f>IFERROR(VLOOKUP($E105,bug_conf_sheet!$A:$H,3,FALSE),VLOOKUP("other",bug_conf_sheet!$A:$H,3,FALSE))</f>
        <v>1</v>
      </c>
      <c r="P105" s="31">
        <f>IFERROR(VLOOKUP($E105,bug_conf_sheet!$A:$H,4,FALSE),VLOOKUP("other",bug_conf_sheet!$A:$H,4,FALSE))</f>
        <v>0</v>
      </c>
      <c r="Q105" s="31">
        <f>IFERROR(VLOOKUP($E105,bug_conf_sheet!$A:$H,5,FALSE),VLOOKUP("other",bug_conf_sheet!$A:$H,5,FALSE))</f>
        <v>0</v>
      </c>
      <c r="R105" s="31">
        <f>IFERROR(VLOOKUP($E105,bug_conf_sheet!$A:$H,6,FALSE),VLOOKUP("other",bug_conf_sheet!$A:$H,6,FALSE))</f>
        <v>0</v>
      </c>
      <c r="S105" s="31">
        <f>IFERROR(VLOOKUP($E105,bug_conf_sheet!$A:$H,7,FALSE),VLOOKUP("other",bug_conf_sheet!$A:$H,7,FALSE))</f>
        <v>0</v>
      </c>
      <c r="T105" s="31">
        <f>IFERROR(VLOOKUP($E105,bug_conf_sheet!$A:$H,8,FALSE),VLOOKUP("other",bug_conf_sheet!$A:$H,8,FALSE))</f>
        <v>1</v>
      </c>
    </row>
    <row r="106" spans="1:20" ht="21" customHeight="1">
      <c r="A106" s="2" t="str">
        <f ca="1">input_313101!A$2</f>
        <v>313101</v>
      </c>
      <c r="B106" s="7" t="str">
        <f t="shared" si="4"/>
        <v>Premium4</v>
      </c>
      <c r="C106" s="7" t="str">
        <f t="shared" si="5"/>
        <v>Premium</v>
      </c>
      <c r="D106" s="7" t="str">
        <f t="shared" si="6"/>
        <v>bg</v>
      </c>
      <c r="E106" s="5">
        <v>230</v>
      </c>
      <c r="F106" s="7" t="str">
        <f>VLOOKUP(E106,[1]characters!$A:$C,3,FALSE)</f>
        <v>毒銃 ヨルムンガンド</v>
      </c>
      <c r="G106" s="7" t="str">
        <f>VLOOKUP(E106,[1]characters!$A:$J,10,FALSE)</f>
        <v>PremiumS</v>
      </c>
      <c r="H106" s="7">
        <f>VLOOKUP(E106,[1]characters!$A:$I,9,FALSE)</f>
        <v>4</v>
      </c>
      <c r="I106" s="7" t="str">
        <f>VLOOKUP(E106,[1]characters!$A:$H,8,FALSE)</f>
        <v>green</v>
      </c>
      <c r="J106" s="7" t="str">
        <f>VLOOKUP(E106,[1]characters!$A:$K,11,FALSE)</f>
        <v>technical</v>
      </c>
      <c r="K106" s="7" t="str">
        <f>VLOOKUP(E106,[1]characters!$A:$M,13,FALSE)</f>
        <v>dragon</v>
      </c>
      <c r="L106" s="7" t="str">
        <f>VLOOKUP(E106,[1]characters!$A:$G,7,FALSE)</f>
        <v>女性</v>
      </c>
      <c r="M106" s="62">
        <f ca="1">IFERROR(VLOOKUP(E106,input_313101!L:R,7,FALSE),VLOOKUP(tables_313101!B106,input_313101!A:H,8,FALSE))</f>
        <v>342090</v>
      </c>
      <c r="N106" s="63">
        <f t="shared" ca="1" si="7"/>
        <v>1.222972972972973E-2</v>
      </c>
      <c r="O106" s="31">
        <f>IFERROR(VLOOKUP($E106,bug_conf_sheet!$A:$H,3,FALSE),VLOOKUP("other",bug_conf_sheet!$A:$H,3,FALSE))</f>
        <v>1</v>
      </c>
      <c r="P106" s="31">
        <f>IFERROR(VLOOKUP($E106,bug_conf_sheet!$A:$H,4,FALSE),VLOOKUP("other",bug_conf_sheet!$A:$H,4,FALSE))</f>
        <v>0</v>
      </c>
      <c r="Q106" s="31">
        <f>IFERROR(VLOOKUP($E106,bug_conf_sheet!$A:$H,5,FALSE),VLOOKUP("other",bug_conf_sheet!$A:$H,5,FALSE))</f>
        <v>0</v>
      </c>
      <c r="R106" s="31">
        <f>IFERROR(VLOOKUP($E106,bug_conf_sheet!$A:$H,6,FALSE),VLOOKUP("other",bug_conf_sheet!$A:$H,6,FALSE))</f>
        <v>0</v>
      </c>
      <c r="S106" s="31">
        <f>IFERROR(VLOOKUP($E106,bug_conf_sheet!$A:$H,7,FALSE),VLOOKUP("other",bug_conf_sheet!$A:$H,7,FALSE))</f>
        <v>0</v>
      </c>
      <c r="T106" s="31">
        <f>IFERROR(VLOOKUP($E106,bug_conf_sheet!$A:$H,8,FALSE),VLOOKUP("other",bug_conf_sheet!$A:$H,8,FALSE))</f>
        <v>1</v>
      </c>
    </row>
    <row r="107" spans="1:20" ht="21" customHeight="1">
      <c r="A107" s="2" t="str">
        <f ca="1">input_313101!A$2</f>
        <v>313101</v>
      </c>
      <c r="B107" s="7" t="str">
        <f t="shared" si="4"/>
        <v>Premium5</v>
      </c>
      <c r="C107" s="7" t="str">
        <f t="shared" si="5"/>
        <v>Premium</v>
      </c>
      <c r="D107" s="7" t="str">
        <f t="shared" si="6"/>
        <v>bg</v>
      </c>
      <c r="E107" s="5">
        <v>231</v>
      </c>
      <c r="F107" s="7" t="str">
        <f>VLOOKUP(E107,[1]characters!$A:$C,3,FALSE)</f>
        <v>必中の咬銃 ヨルムンガンド</v>
      </c>
      <c r="G107" s="7" t="str">
        <f>VLOOKUP(E107,[1]characters!$A:$J,10,FALSE)</f>
        <v>PremiumS</v>
      </c>
      <c r="H107" s="7">
        <f>VLOOKUP(E107,[1]characters!$A:$I,9,FALSE)</f>
        <v>5</v>
      </c>
      <c r="I107" s="7" t="str">
        <f>VLOOKUP(E107,[1]characters!$A:$H,8,FALSE)</f>
        <v>green</v>
      </c>
      <c r="J107" s="7" t="str">
        <f>VLOOKUP(E107,[1]characters!$A:$K,11,FALSE)</f>
        <v>technical</v>
      </c>
      <c r="K107" s="7" t="str">
        <f>VLOOKUP(E107,[1]characters!$A:$M,13,FALSE)</f>
        <v>dragon</v>
      </c>
      <c r="L107" s="7" t="str">
        <f>VLOOKUP(E107,[1]characters!$A:$G,7,FALSE)</f>
        <v>女性</v>
      </c>
      <c r="M107" s="62">
        <f ca="1">IFERROR(VLOOKUP(E107,input_313101!L:R,7,FALSE),VLOOKUP(tables_313101!B107,input_313101!A:H,8,FALSE))</f>
        <v>18130</v>
      </c>
      <c r="N107" s="63">
        <f t="shared" ca="1" si="7"/>
        <v>6.4814814814814813E-4</v>
      </c>
      <c r="O107" s="31">
        <f>IFERROR(VLOOKUP($E107,bug_conf_sheet!$A:$H,3,FALSE),VLOOKUP("other",bug_conf_sheet!$A:$H,3,FALSE))</f>
        <v>1</v>
      </c>
      <c r="P107" s="31">
        <f>IFERROR(VLOOKUP($E107,bug_conf_sheet!$A:$H,4,FALSE),VLOOKUP("other",bug_conf_sheet!$A:$H,4,FALSE))</f>
        <v>0</v>
      </c>
      <c r="Q107" s="31">
        <f>IFERROR(VLOOKUP($E107,bug_conf_sheet!$A:$H,5,FALSE),VLOOKUP("other",bug_conf_sheet!$A:$H,5,FALSE))</f>
        <v>0</v>
      </c>
      <c r="R107" s="31">
        <f>IFERROR(VLOOKUP($E107,bug_conf_sheet!$A:$H,6,FALSE),VLOOKUP("other",bug_conf_sheet!$A:$H,6,FALSE))</f>
        <v>0</v>
      </c>
      <c r="S107" s="31">
        <f>IFERROR(VLOOKUP($E107,bug_conf_sheet!$A:$H,7,FALSE),VLOOKUP("other",bug_conf_sheet!$A:$H,7,FALSE))</f>
        <v>0</v>
      </c>
      <c r="T107" s="31">
        <f>IFERROR(VLOOKUP($E107,bug_conf_sheet!$A:$H,8,FALSE),VLOOKUP("other",bug_conf_sheet!$A:$H,8,FALSE))</f>
        <v>1</v>
      </c>
    </row>
    <row r="108" spans="1:20" ht="21" customHeight="1">
      <c r="A108" s="2" t="str">
        <f ca="1">input_313101!A$2</f>
        <v>313101</v>
      </c>
      <c r="B108" s="7" t="str">
        <f t="shared" si="4"/>
        <v>Premium3</v>
      </c>
      <c r="C108" s="7" t="str">
        <f t="shared" si="5"/>
        <v>Premium</v>
      </c>
      <c r="D108" s="7" t="str">
        <f t="shared" si="6"/>
        <v>bg</v>
      </c>
      <c r="E108" s="5">
        <v>232</v>
      </c>
      <c r="F108" s="7" t="str">
        <f>VLOOKUP(E108,[1]characters!$A:$C,3,FALSE)</f>
        <v>パーシヴァル</v>
      </c>
      <c r="G108" s="7" t="str">
        <f>VLOOKUP(E108,[1]characters!$A:$J,10,FALSE)</f>
        <v>PremiumS</v>
      </c>
      <c r="H108" s="7">
        <f>VLOOKUP(E108,[1]characters!$A:$I,9,FALSE)</f>
        <v>3</v>
      </c>
      <c r="I108" s="7" t="str">
        <f>VLOOKUP(E108,[1]characters!$A:$H,8,FALSE)</f>
        <v>blue</v>
      </c>
      <c r="J108" s="7" t="str">
        <f>VLOOKUP(E108,[1]characters!$A:$K,11,FALSE)</f>
        <v>technical</v>
      </c>
      <c r="K108" s="7" t="str">
        <f>VLOOKUP(E108,[1]characters!$A:$M,13,FALSE)</f>
        <v>human</v>
      </c>
      <c r="L108" s="7" t="str">
        <f>VLOOKUP(E108,[1]characters!$A:$G,7,FALSE)</f>
        <v>女性</v>
      </c>
      <c r="M108" s="62">
        <f ca="1">IFERROR(VLOOKUP(E108,input_313101!L:R,7,FALSE),VLOOKUP(tables_313101!B108,input_313101!A:H,8,FALSE))</f>
        <v>0</v>
      </c>
      <c r="N108" s="63">
        <f t="shared" ca="1" si="7"/>
        <v>0</v>
      </c>
      <c r="O108" s="31">
        <f>IFERROR(VLOOKUP($E108,bug_conf_sheet!$A:$H,3,FALSE),VLOOKUP("other",bug_conf_sheet!$A:$H,3,FALSE))</f>
        <v>1</v>
      </c>
      <c r="P108" s="31">
        <f>IFERROR(VLOOKUP($E108,bug_conf_sheet!$A:$H,4,FALSE),VLOOKUP("other",bug_conf_sheet!$A:$H,4,FALSE))</f>
        <v>0</v>
      </c>
      <c r="Q108" s="31">
        <f>IFERROR(VLOOKUP($E108,bug_conf_sheet!$A:$H,5,FALSE),VLOOKUP("other",bug_conf_sheet!$A:$H,5,FALSE))</f>
        <v>0</v>
      </c>
      <c r="R108" s="31">
        <f>IFERROR(VLOOKUP($E108,bug_conf_sheet!$A:$H,6,FALSE),VLOOKUP("other",bug_conf_sheet!$A:$H,6,FALSE))</f>
        <v>0</v>
      </c>
      <c r="S108" s="31">
        <f>IFERROR(VLOOKUP($E108,bug_conf_sheet!$A:$H,7,FALSE),VLOOKUP("other",bug_conf_sheet!$A:$H,7,FALSE))</f>
        <v>0</v>
      </c>
      <c r="T108" s="31">
        <f>IFERROR(VLOOKUP($E108,bug_conf_sheet!$A:$H,8,FALSE),VLOOKUP("other",bug_conf_sheet!$A:$H,8,FALSE))</f>
        <v>1</v>
      </c>
    </row>
    <row r="109" spans="1:20" ht="21" customHeight="1">
      <c r="A109" s="2" t="str">
        <f ca="1">input_313101!A$2</f>
        <v>313101</v>
      </c>
      <c r="B109" s="7" t="str">
        <f t="shared" si="4"/>
        <v>Premium4</v>
      </c>
      <c r="C109" s="7" t="str">
        <f t="shared" si="5"/>
        <v>Premium</v>
      </c>
      <c r="D109" s="7" t="str">
        <f t="shared" si="6"/>
        <v>bg</v>
      </c>
      <c r="E109" s="5">
        <v>233</v>
      </c>
      <c r="F109" s="7" t="str">
        <f>VLOOKUP(E109,[1]characters!$A:$C,3,FALSE)</f>
        <v>遂行 パーシヴァル</v>
      </c>
      <c r="G109" s="7" t="str">
        <f>VLOOKUP(E109,[1]characters!$A:$J,10,FALSE)</f>
        <v>PremiumS</v>
      </c>
      <c r="H109" s="7">
        <f>VLOOKUP(E109,[1]characters!$A:$I,9,FALSE)</f>
        <v>4</v>
      </c>
      <c r="I109" s="7" t="str">
        <f>VLOOKUP(E109,[1]characters!$A:$H,8,FALSE)</f>
        <v>blue</v>
      </c>
      <c r="J109" s="7" t="str">
        <f>VLOOKUP(E109,[1]characters!$A:$K,11,FALSE)</f>
        <v>technical</v>
      </c>
      <c r="K109" s="7" t="str">
        <f>VLOOKUP(E109,[1]characters!$A:$M,13,FALSE)</f>
        <v>human</v>
      </c>
      <c r="L109" s="7" t="str">
        <f>VLOOKUP(E109,[1]characters!$A:$G,7,FALSE)</f>
        <v>女性</v>
      </c>
      <c r="M109" s="62">
        <f ca="1">IFERROR(VLOOKUP(E109,input_313101!L:R,7,FALSE),VLOOKUP(tables_313101!B109,input_313101!A:H,8,FALSE))</f>
        <v>342090</v>
      </c>
      <c r="N109" s="63">
        <f t="shared" ca="1" si="7"/>
        <v>1.222972972972973E-2</v>
      </c>
      <c r="O109" s="31">
        <f>IFERROR(VLOOKUP($E109,bug_conf_sheet!$A:$H,3,FALSE),VLOOKUP("other",bug_conf_sheet!$A:$H,3,FALSE))</f>
        <v>1</v>
      </c>
      <c r="P109" s="31">
        <f>IFERROR(VLOOKUP($E109,bug_conf_sheet!$A:$H,4,FALSE),VLOOKUP("other",bug_conf_sheet!$A:$H,4,FALSE))</f>
        <v>0</v>
      </c>
      <c r="Q109" s="31">
        <f>IFERROR(VLOOKUP($E109,bug_conf_sheet!$A:$H,5,FALSE),VLOOKUP("other",bug_conf_sheet!$A:$H,5,FALSE))</f>
        <v>0</v>
      </c>
      <c r="R109" s="31">
        <f>IFERROR(VLOOKUP($E109,bug_conf_sheet!$A:$H,6,FALSE),VLOOKUP("other",bug_conf_sheet!$A:$H,6,FALSE))</f>
        <v>0</v>
      </c>
      <c r="S109" s="31">
        <f>IFERROR(VLOOKUP($E109,bug_conf_sheet!$A:$H,7,FALSE),VLOOKUP("other",bug_conf_sheet!$A:$H,7,FALSE))</f>
        <v>0</v>
      </c>
      <c r="T109" s="31">
        <f>IFERROR(VLOOKUP($E109,bug_conf_sheet!$A:$H,8,FALSE),VLOOKUP("other",bug_conf_sheet!$A:$H,8,FALSE))</f>
        <v>1</v>
      </c>
    </row>
    <row r="110" spans="1:20" ht="21" customHeight="1">
      <c r="A110" s="2" t="str">
        <f ca="1">input_313101!A$2</f>
        <v>313101</v>
      </c>
      <c r="B110" s="7" t="str">
        <f t="shared" si="4"/>
        <v>Premium5</v>
      </c>
      <c r="C110" s="7" t="str">
        <f t="shared" si="5"/>
        <v>Premium</v>
      </c>
      <c r="D110" s="7" t="str">
        <f t="shared" si="6"/>
        <v>bg</v>
      </c>
      <c r="E110" s="5">
        <v>234</v>
      </c>
      <c r="F110" s="7" t="str">
        <f>VLOOKUP(E110,[1]characters!$A:$C,3,FALSE)</f>
        <v>精密なる照準 パーシヴァル</v>
      </c>
      <c r="G110" s="7" t="str">
        <f>VLOOKUP(E110,[1]characters!$A:$J,10,FALSE)</f>
        <v>PremiumS</v>
      </c>
      <c r="H110" s="7">
        <f>VLOOKUP(E110,[1]characters!$A:$I,9,FALSE)</f>
        <v>5</v>
      </c>
      <c r="I110" s="7" t="str">
        <f>VLOOKUP(E110,[1]characters!$A:$H,8,FALSE)</f>
        <v>blue</v>
      </c>
      <c r="J110" s="7" t="str">
        <f>VLOOKUP(E110,[1]characters!$A:$K,11,FALSE)</f>
        <v>technical</v>
      </c>
      <c r="K110" s="7" t="str">
        <f>VLOOKUP(E110,[1]characters!$A:$M,13,FALSE)</f>
        <v>human</v>
      </c>
      <c r="L110" s="7" t="str">
        <f>VLOOKUP(E110,[1]characters!$A:$G,7,FALSE)</f>
        <v>女性</v>
      </c>
      <c r="M110" s="62">
        <f ca="1">IFERROR(VLOOKUP(E110,input_313101!L:R,7,FALSE),VLOOKUP(tables_313101!B110,input_313101!A:H,8,FALSE))</f>
        <v>18130</v>
      </c>
      <c r="N110" s="63">
        <f t="shared" ca="1" si="7"/>
        <v>6.4814814814814813E-4</v>
      </c>
      <c r="O110" s="31">
        <f>IFERROR(VLOOKUP($E110,bug_conf_sheet!$A:$H,3,FALSE),VLOOKUP("other",bug_conf_sheet!$A:$H,3,FALSE))</f>
        <v>1</v>
      </c>
      <c r="P110" s="31">
        <f>IFERROR(VLOOKUP($E110,bug_conf_sheet!$A:$H,4,FALSE),VLOOKUP("other",bug_conf_sheet!$A:$H,4,FALSE))</f>
        <v>0</v>
      </c>
      <c r="Q110" s="31">
        <f>IFERROR(VLOOKUP($E110,bug_conf_sheet!$A:$H,5,FALSE),VLOOKUP("other",bug_conf_sheet!$A:$H,5,FALSE))</f>
        <v>0</v>
      </c>
      <c r="R110" s="31">
        <f>IFERROR(VLOOKUP($E110,bug_conf_sheet!$A:$H,6,FALSE),VLOOKUP("other",bug_conf_sheet!$A:$H,6,FALSE))</f>
        <v>0</v>
      </c>
      <c r="S110" s="31">
        <f>IFERROR(VLOOKUP($E110,bug_conf_sheet!$A:$H,7,FALSE),VLOOKUP("other",bug_conf_sheet!$A:$H,7,FALSE))</f>
        <v>0</v>
      </c>
      <c r="T110" s="31">
        <f>IFERROR(VLOOKUP($E110,bug_conf_sheet!$A:$H,8,FALSE),VLOOKUP("other",bug_conf_sheet!$A:$H,8,FALSE))</f>
        <v>1</v>
      </c>
    </row>
    <row r="111" spans="1:20" ht="21" customHeight="1">
      <c r="A111" s="2" t="str">
        <f ca="1">input_313101!A$2</f>
        <v>313101</v>
      </c>
      <c r="B111" s="7" t="str">
        <f t="shared" si="4"/>
        <v>Premium3</v>
      </c>
      <c r="C111" s="7" t="str">
        <f t="shared" si="5"/>
        <v>Premium</v>
      </c>
      <c r="D111" s="7" t="str">
        <f t="shared" si="6"/>
        <v>ry</v>
      </c>
      <c r="E111" s="5">
        <v>235</v>
      </c>
      <c r="F111" s="7" t="str">
        <f>VLOOKUP(E111,[1]characters!$A:$C,3,FALSE)</f>
        <v>イザナミ</v>
      </c>
      <c r="G111" s="7" t="str">
        <f>VLOOKUP(E111,[1]characters!$A:$J,10,FALSE)</f>
        <v>PremiumS</v>
      </c>
      <c r="H111" s="7">
        <f>VLOOKUP(E111,[1]characters!$A:$I,9,FALSE)</f>
        <v>3</v>
      </c>
      <c r="I111" s="7" t="str">
        <f>VLOOKUP(E111,[1]characters!$A:$H,8,FALSE)</f>
        <v>yellow</v>
      </c>
      <c r="J111" s="7" t="str">
        <f>VLOOKUP(E111,[1]characters!$A:$K,11,FALSE)</f>
        <v>attack</v>
      </c>
      <c r="K111" s="7" t="str">
        <f>VLOOKUP(E111,[1]characters!$A:$M,13,FALSE)</f>
        <v>god</v>
      </c>
      <c r="L111" s="7" t="str">
        <f>VLOOKUP(E111,[1]characters!$A:$G,7,FALSE)</f>
        <v>女性</v>
      </c>
      <c r="M111" s="62">
        <f ca="1">IFERROR(VLOOKUP(E111,input_313101!L:R,7,FALSE),VLOOKUP(tables_313101!B111,input_313101!A:H,8,FALSE))</f>
        <v>0</v>
      </c>
      <c r="N111" s="63">
        <f t="shared" ca="1" si="7"/>
        <v>0</v>
      </c>
      <c r="O111" s="31">
        <f>IFERROR(VLOOKUP($E111,bug_conf_sheet!$A:$H,3,FALSE),VLOOKUP("other",bug_conf_sheet!$A:$H,3,FALSE))</f>
        <v>1</v>
      </c>
      <c r="P111" s="31">
        <f>IFERROR(VLOOKUP($E111,bug_conf_sheet!$A:$H,4,FALSE),VLOOKUP("other",bug_conf_sheet!$A:$H,4,FALSE))</f>
        <v>0</v>
      </c>
      <c r="Q111" s="31">
        <f>IFERROR(VLOOKUP($E111,bug_conf_sheet!$A:$H,5,FALSE),VLOOKUP("other",bug_conf_sheet!$A:$H,5,FALSE))</f>
        <v>0</v>
      </c>
      <c r="R111" s="31">
        <f>IFERROR(VLOOKUP($E111,bug_conf_sheet!$A:$H,6,FALSE),VLOOKUP("other",bug_conf_sheet!$A:$H,6,FALSE))</f>
        <v>0</v>
      </c>
      <c r="S111" s="31">
        <f>IFERROR(VLOOKUP($E111,bug_conf_sheet!$A:$H,7,FALSE),VLOOKUP("other",bug_conf_sheet!$A:$H,7,FALSE))</f>
        <v>0</v>
      </c>
      <c r="T111" s="31">
        <f>IFERROR(VLOOKUP($E111,bug_conf_sheet!$A:$H,8,FALSE),VLOOKUP("other",bug_conf_sheet!$A:$H,8,FALSE))</f>
        <v>1</v>
      </c>
    </row>
    <row r="112" spans="1:20" ht="21" customHeight="1">
      <c r="A112" s="2" t="str">
        <f ca="1">input_313101!A$2</f>
        <v>313101</v>
      </c>
      <c r="B112" s="7" t="str">
        <f t="shared" si="4"/>
        <v>Premium4</v>
      </c>
      <c r="C112" s="7" t="str">
        <f t="shared" si="5"/>
        <v>Premium</v>
      </c>
      <c r="D112" s="7" t="str">
        <f t="shared" si="6"/>
        <v>ry</v>
      </c>
      <c r="E112" s="5">
        <v>236</v>
      </c>
      <c r="F112" s="7" t="str">
        <f>VLOOKUP(E112,[1]characters!$A:$C,3,FALSE)</f>
        <v>神産 イザナミ</v>
      </c>
      <c r="G112" s="7" t="str">
        <f>VLOOKUP(E112,[1]characters!$A:$J,10,FALSE)</f>
        <v>PremiumS</v>
      </c>
      <c r="H112" s="7">
        <f>VLOOKUP(E112,[1]characters!$A:$I,9,FALSE)</f>
        <v>4</v>
      </c>
      <c r="I112" s="7" t="str">
        <f>VLOOKUP(E112,[1]characters!$A:$H,8,FALSE)</f>
        <v>yellow</v>
      </c>
      <c r="J112" s="7" t="str">
        <f>VLOOKUP(E112,[1]characters!$A:$K,11,FALSE)</f>
        <v>attack</v>
      </c>
      <c r="K112" s="7" t="str">
        <f>VLOOKUP(E112,[1]characters!$A:$M,13,FALSE)</f>
        <v>god</v>
      </c>
      <c r="L112" s="7" t="str">
        <f>VLOOKUP(E112,[1]characters!$A:$G,7,FALSE)</f>
        <v>女性</v>
      </c>
      <c r="M112" s="62">
        <f ca="1">IFERROR(VLOOKUP(E112,input_313101!L:R,7,FALSE),VLOOKUP(tables_313101!B112,input_313101!A:H,8,FALSE))</f>
        <v>342090</v>
      </c>
      <c r="N112" s="63">
        <f t="shared" ca="1" si="7"/>
        <v>1.222972972972973E-2</v>
      </c>
      <c r="O112" s="31">
        <f>IFERROR(VLOOKUP($E112,bug_conf_sheet!$A:$H,3,FALSE),VLOOKUP("other",bug_conf_sheet!$A:$H,3,FALSE))</f>
        <v>1</v>
      </c>
      <c r="P112" s="31">
        <f>IFERROR(VLOOKUP($E112,bug_conf_sheet!$A:$H,4,FALSE),VLOOKUP("other",bug_conf_sheet!$A:$H,4,FALSE))</f>
        <v>0</v>
      </c>
      <c r="Q112" s="31">
        <f>IFERROR(VLOOKUP($E112,bug_conf_sheet!$A:$H,5,FALSE),VLOOKUP("other",bug_conf_sheet!$A:$H,5,FALSE))</f>
        <v>0</v>
      </c>
      <c r="R112" s="31">
        <f>IFERROR(VLOOKUP($E112,bug_conf_sheet!$A:$H,6,FALSE),VLOOKUP("other",bug_conf_sheet!$A:$H,6,FALSE))</f>
        <v>0</v>
      </c>
      <c r="S112" s="31">
        <f>IFERROR(VLOOKUP($E112,bug_conf_sheet!$A:$H,7,FALSE),VLOOKUP("other",bug_conf_sheet!$A:$H,7,FALSE))</f>
        <v>0</v>
      </c>
      <c r="T112" s="31">
        <f>IFERROR(VLOOKUP($E112,bug_conf_sheet!$A:$H,8,FALSE),VLOOKUP("other",bug_conf_sheet!$A:$H,8,FALSE))</f>
        <v>1</v>
      </c>
    </row>
    <row r="113" spans="1:20" ht="21" customHeight="1">
      <c r="A113" s="2" t="str">
        <f ca="1">input_313101!A$2</f>
        <v>313101</v>
      </c>
      <c r="B113" s="7" t="str">
        <f t="shared" si="4"/>
        <v>Premium5</v>
      </c>
      <c r="C113" s="7" t="str">
        <f t="shared" si="5"/>
        <v>Premium</v>
      </c>
      <c r="D113" s="7" t="str">
        <f t="shared" si="6"/>
        <v>ry</v>
      </c>
      <c r="E113" s="5">
        <v>237</v>
      </c>
      <c r="F113" s="7" t="str">
        <f>VLOOKUP(E113,[1]characters!$A:$C,3,FALSE)</f>
        <v>森羅万象の神母 イザナミ</v>
      </c>
      <c r="G113" s="7" t="str">
        <f>VLOOKUP(E113,[1]characters!$A:$J,10,FALSE)</f>
        <v>PremiumS</v>
      </c>
      <c r="H113" s="7">
        <f>VLOOKUP(E113,[1]characters!$A:$I,9,FALSE)</f>
        <v>5</v>
      </c>
      <c r="I113" s="7" t="str">
        <f>VLOOKUP(E113,[1]characters!$A:$H,8,FALSE)</f>
        <v>yellow</v>
      </c>
      <c r="J113" s="7" t="str">
        <f>VLOOKUP(E113,[1]characters!$A:$K,11,FALSE)</f>
        <v>attack</v>
      </c>
      <c r="K113" s="7" t="str">
        <f>VLOOKUP(E113,[1]characters!$A:$M,13,FALSE)</f>
        <v>god</v>
      </c>
      <c r="L113" s="7" t="str">
        <f>VLOOKUP(E113,[1]characters!$A:$G,7,FALSE)</f>
        <v>女性</v>
      </c>
      <c r="M113" s="62">
        <f ca="1">IFERROR(VLOOKUP(E113,input_313101!L:R,7,FALSE),VLOOKUP(tables_313101!B113,input_313101!A:H,8,FALSE))</f>
        <v>18130</v>
      </c>
      <c r="N113" s="63">
        <f t="shared" ca="1" si="7"/>
        <v>6.4814814814814813E-4</v>
      </c>
      <c r="O113" s="31">
        <f>IFERROR(VLOOKUP($E113,bug_conf_sheet!$A:$H,3,FALSE),VLOOKUP("other",bug_conf_sheet!$A:$H,3,FALSE))</f>
        <v>1</v>
      </c>
      <c r="P113" s="31">
        <f>IFERROR(VLOOKUP($E113,bug_conf_sheet!$A:$H,4,FALSE),VLOOKUP("other",bug_conf_sheet!$A:$H,4,FALSE))</f>
        <v>0</v>
      </c>
      <c r="Q113" s="31">
        <f>IFERROR(VLOOKUP($E113,bug_conf_sheet!$A:$H,5,FALSE),VLOOKUP("other",bug_conf_sheet!$A:$H,5,FALSE))</f>
        <v>0</v>
      </c>
      <c r="R113" s="31">
        <f>IFERROR(VLOOKUP($E113,bug_conf_sheet!$A:$H,6,FALSE),VLOOKUP("other",bug_conf_sheet!$A:$H,6,FALSE))</f>
        <v>0</v>
      </c>
      <c r="S113" s="31">
        <f>IFERROR(VLOOKUP($E113,bug_conf_sheet!$A:$H,7,FALSE),VLOOKUP("other",bug_conf_sheet!$A:$H,7,FALSE))</f>
        <v>0</v>
      </c>
      <c r="T113" s="31">
        <f>IFERROR(VLOOKUP($E113,bug_conf_sheet!$A:$H,8,FALSE),VLOOKUP("other",bug_conf_sheet!$A:$H,8,FALSE))</f>
        <v>1</v>
      </c>
    </row>
    <row r="114" spans="1:20" ht="21" customHeight="1">
      <c r="A114" s="2" t="str">
        <f ca="1">input_313101!A$2</f>
        <v>313101</v>
      </c>
      <c r="B114" s="7" t="str">
        <f t="shared" si="4"/>
        <v>Premium3</v>
      </c>
      <c r="C114" s="7" t="str">
        <f t="shared" si="5"/>
        <v>Premium</v>
      </c>
      <c r="D114" s="7" t="str">
        <f t="shared" si="6"/>
        <v>ry</v>
      </c>
      <c r="E114" s="5">
        <v>238</v>
      </c>
      <c r="F114" s="7" t="str">
        <f>VLOOKUP(E114,[1]characters!$A:$C,3,FALSE)</f>
        <v>ウリエル</v>
      </c>
      <c r="G114" s="7" t="str">
        <f>VLOOKUP(E114,[1]characters!$A:$J,10,FALSE)</f>
        <v>PremiumS</v>
      </c>
      <c r="H114" s="7">
        <f>VLOOKUP(E114,[1]characters!$A:$I,9,FALSE)</f>
        <v>3</v>
      </c>
      <c r="I114" s="7" t="str">
        <f>VLOOKUP(E114,[1]characters!$A:$H,8,FALSE)</f>
        <v>red</v>
      </c>
      <c r="J114" s="7" t="str">
        <f>VLOOKUP(E114,[1]characters!$A:$K,11,FALSE)</f>
        <v>hp</v>
      </c>
      <c r="K114" s="7" t="str">
        <f>VLOOKUP(E114,[1]characters!$A:$M,13,FALSE)</f>
        <v>machine</v>
      </c>
      <c r="L114" s="7" t="str">
        <f>VLOOKUP(E114,[1]characters!$A:$G,7,FALSE)</f>
        <v>女性</v>
      </c>
      <c r="M114" s="62">
        <f ca="1">IFERROR(VLOOKUP(E114,input_313101!L:R,7,FALSE),VLOOKUP(tables_313101!B114,input_313101!A:H,8,FALSE))</f>
        <v>0</v>
      </c>
      <c r="N114" s="63">
        <f t="shared" ca="1" si="7"/>
        <v>0</v>
      </c>
      <c r="O114" s="31">
        <f>IFERROR(VLOOKUP($E114,bug_conf_sheet!$A:$H,3,FALSE),VLOOKUP("other",bug_conf_sheet!$A:$H,3,FALSE))</f>
        <v>1</v>
      </c>
      <c r="P114" s="31">
        <f>IFERROR(VLOOKUP($E114,bug_conf_sheet!$A:$H,4,FALSE),VLOOKUP("other",bug_conf_sheet!$A:$H,4,FALSE))</f>
        <v>0</v>
      </c>
      <c r="Q114" s="31">
        <f>IFERROR(VLOOKUP($E114,bug_conf_sheet!$A:$H,5,FALSE),VLOOKUP("other",bug_conf_sheet!$A:$H,5,FALSE))</f>
        <v>0</v>
      </c>
      <c r="R114" s="31">
        <f>IFERROR(VLOOKUP($E114,bug_conf_sheet!$A:$H,6,FALSE),VLOOKUP("other",bug_conf_sheet!$A:$H,6,FALSE))</f>
        <v>0</v>
      </c>
      <c r="S114" s="31">
        <f>IFERROR(VLOOKUP($E114,bug_conf_sheet!$A:$H,7,FALSE),VLOOKUP("other",bug_conf_sheet!$A:$H,7,FALSE))</f>
        <v>0</v>
      </c>
      <c r="T114" s="31">
        <f>IFERROR(VLOOKUP($E114,bug_conf_sheet!$A:$H,8,FALSE),VLOOKUP("other",bug_conf_sheet!$A:$H,8,FALSE))</f>
        <v>1</v>
      </c>
    </row>
    <row r="115" spans="1:20" ht="21" customHeight="1">
      <c r="A115" s="2" t="str">
        <f ca="1">input_313101!A$2</f>
        <v>313101</v>
      </c>
      <c r="B115" s="7" t="str">
        <f t="shared" si="4"/>
        <v>Premium4</v>
      </c>
      <c r="C115" s="7" t="str">
        <f t="shared" si="5"/>
        <v>Premium</v>
      </c>
      <c r="D115" s="7" t="str">
        <f t="shared" si="6"/>
        <v>ry</v>
      </c>
      <c r="E115" s="5">
        <v>239</v>
      </c>
      <c r="F115" s="7" t="str">
        <f>VLOOKUP(E115,[1]characters!$A:$C,3,FALSE)</f>
        <v>豪炎の天使 ウリエル</v>
      </c>
      <c r="G115" s="7" t="str">
        <f>VLOOKUP(E115,[1]characters!$A:$J,10,FALSE)</f>
        <v>PremiumS</v>
      </c>
      <c r="H115" s="7">
        <f>VLOOKUP(E115,[1]characters!$A:$I,9,FALSE)</f>
        <v>4</v>
      </c>
      <c r="I115" s="7" t="str">
        <f>VLOOKUP(E115,[1]characters!$A:$H,8,FALSE)</f>
        <v>red</v>
      </c>
      <c r="J115" s="7" t="str">
        <f>VLOOKUP(E115,[1]characters!$A:$K,11,FALSE)</f>
        <v>hp</v>
      </c>
      <c r="K115" s="7" t="str">
        <f>VLOOKUP(E115,[1]characters!$A:$M,13,FALSE)</f>
        <v>machine</v>
      </c>
      <c r="L115" s="7" t="str">
        <f>VLOOKUP(E115,[1]characters!$A:$G,7,FALSE)</f>
        <v>女性</v>
      </c>
      <c r="M115" s="62">
        <f ca="1">IFERROR(VLOOKUP(E115,input_313101!L:R,7,FALSE),VLOOKUP(tables_313101!B115,input_313101!A:H,8,FALSE))</f>
        <v>342090</v>
      </c>
      <c r="N115" s="63">
        <f t="shared" ca="1" si="7"/>
        <v>1.222972972972973E-2</v>
      </c>
      <c r="O115" s="31">
        <f>IFERROR(VLOOKUP($E115,bug_conf_sheet!$A:$H,3,FALSE),VLOOKUP("other",bug_conf_sheet!$A:$H,3,FALSE))</f>
        <v>1</v>
      </c>
      <c r="P115" s="31">
        <f>IFERROR(VLOOKUP($E115,bug_conf_sheet!$A:$H,4,FALSE),VLOOKUP("other",bug_conf_sheet!$A:$H,4,FALSE))</f>
        <v>0</v>
      </c>
      <c r="Q115" s="31">
        <f>IFERROR(VLOOKUP($E115,bug_conf_sheet!$A:$H,5,FALSE),VLOOKUP("other",bug_conf_sheet!$A:$H,5,FALSE))</f>
        <v>0</v>
      </c>
      <c r="R115" s="31">
        <f>IFERROR(VLOOKUP($E115,bug_conf_sheet!$A:$H,6,FALSE),VLOOKUP("other",bug_conf_sheet!$A:$H,6,FALSE))</f>
        <v>0</v>
      </c>
      <c r="S115" s="31">
        <f>IFERROR(VLOOKUP($E115,bug_conf_sheet!$A:$H,7,FALSE),VLOOKUP("other",bug_conf_sheet!$A:$H,7,FALSE))</f>
        <v>0</v>
      </c>
      <c r="T115" s="31">
        <f>IFERROR(VLOOKUP($E115,bug_conf_sheet!$A:$H,8,FALSE),VLOOKUP("other",bug_conf_sheet!$A:$H,8,FALSE))</f>
        <v>1</v>
      </c>
    </row>
    <row r="116" spans="1:20" ht="21" customHeight="1">
      <c r="A116" s="2" t="str">
        <f ca="1">input_313101!A$2</f>
        <v>313101</v>
      </c>
      <c r="B116" s="7" t="str">
        <f t="shared" si="4"/>
        <v>Premium5</v>
      </c>
      <c r="C116" s="7" t="str">
        <f t="shared" si="5"/>
        <v>Premium</v>
      </c>
      <c r="D116" s="7" t="str">
        <f t="shared" si="6"/>
        <v>ry</v>
      </c>
      <c r="E116" s="5">
        <v>240</v>
      </c>
      <c r="F116" s="7" t="str">
        <f>VLOOKUP(E116,[1]characters!$A:$C,3,FALSE)</f>
        <v>轟炎の天使 ウリエル・スレイヤー</v>
      </c>
      <c r="G116" s="7" t="str">
        <f>VLOOKUP(E116,[1]characters!$A:$J,10,FALSE)</f>
        <v>PremiumS</v>
      </c>
      <c r="H116" s="7">
        <f>VLOOKUP(E116,[1]characters!$A:$I,9,FALSE)</f>
        <v>5</v>
      </c>
      <c r="I116" s="7" t="str">
        <f>VLOOKUP(E116,[1]characters!$A:$H,8,FALSE)</f>
        <v>red</v>
      </c>
      <c r="J116" s="7" t="str">
        <f>VLOOKUP(E116,[1]characters!$A:$K,11,FALSE)</f>
        <v>hp</v>
      </c>
      <c r="K116" s="7" t="str">
        <f>VLOOKUP(E116,[1]characters!$A:$M,13,FALSE)</f>
        <v>machine</v>
      </c>
      <c r="L116" s="7" t="str">
        <f>VLOOKUP(E116,[1]characters!$A:$G,7,FALSE)</f>
        <v>女性</v>
      </c>
      <c r="M116" s="62">
        <f ca="1">IFERROR(VLOOKUP(E116,input_313101!L:R,7,FALSE),VLOOKUP(tables_313101!B116,input_313101!A:H,8,FALSE))</f>
        <v>18130</v>
      </c>
      <c r="N116" s="63">
        <f t="shared" ca="1" si="7"/>
        <v>6.4814814814814813E-4</v>
      </c>
      <c r="O116" s="31">
        <f>IFERROR(VLOOKUP($E116,bug_conf_sheet!$A:$H,3,FALSE),VLOOKUP("other",bug_conf_sheet!$A:$H,3,FALSE))</f>
        <v>1</v>
      </c>
      <c r="P116" s="31">
        <f>IFERROR(VLOOKUP($E116,bug_conf_sheet!$A:$H,4,FALSE),VLOOKUP("other",bug_conf_sheet!$A:$H,4,FALSE))</f>
        <v>0</v>
      </c>
      <c r="Q116" s="31">
        <f>IFERROR(VLOOKUP($E116,bug_conf_sheet!$A:$H,5,FALSE),VLOOKUP("other",bug_conf_sheet!$A:$H,5,FALSE))</f>
        <v>0</v>
      </c>
      <c r="R116" s="31">
        <f>IFERROR(VLOOKUP($E116,bug_conf_sheet!$A:$H,6,FALSE),VLOOKUP("other",bug_conf_sheet!$A:$H,6,FALSE))</f>
        <v>0</v>
      </c>
      <c r="S116" s="31">
        <f>IFERROR(VLOOKUP($E116,bug_conf_sheet!$A:$H,7,FALSE),VLOOKUP("other",bug_conf_sheet!$A:$H,7,FALSE))</f>
        <v>0</v>
      </c>
      <c r="T116" s="31">
        <f>IFERROR(VLOOKUP($E116,bug_conf_sheet!$A:$H,8,FALSE),VLOOKUP("other",bug_conf_sheet!$A:$H,8,FALSE))</f>
        <v>1</v>
      </c>
    </row>
    <row r="117" spans="1:20" ht="21" customHeight="1">
      <c r="A117" s="2" t="str">
        <f ca="1">input_313101!A$2</f>
        <v>313101</v>
      </c>
      <c r="B117" s="7" t="str">
        <f t="shared" si="4"/>
        <v>Premium3</v>
      </c>
      <c r="C117" s="7" t="str">
        <f t="shared" si="5"/>
        <v>Premium</v>
      </c>
      <c r="D117" s="7" t="str">
        <f t="shared" si="6"/>
        <v>bg</v>
      </c>
      <c r="E117" s="5">
        <v>241</v>
      </c>
      <c r="F117" s="7" t="str">
        <f>VLOOKUP(E117,[1]characters!$A:$C,3,FALSE)</f>
        <v>ガブリエル</v>
      </c>
      <c r="G117" s="7" t="str">
        <f>VLOOKUP(E117,[1]characters!$A:$J,10,FALSE)</f>
        <v>PremiumS</v>
      </c>
      <c r="H117" s="7">
        <f>VLOOKUP(E117,[1]characters!$A:$I,9,FALSE)</f>
        <v>3</v>
      </c>
      <c r="I117" s="7" t="str">
        <f>VLOOKUP(E117,[1]characters!$A:$H,8,FALSE)</f>
        <v>green</v>
      </c>
      <c r="J117" s="7" t="str">
        <f>VLOOKUP(E117,[1]characters!$A:$K,11,FALSE)</f>
        <v>balance</v>
      </c>
      <c r="K117" s="7" t="str">
        <f>VLOOKUP(E117,[1]characters!$A:$M,13,FALSE)</f>
        <v>machine</v>
      </c>
      <c r="L117" s="7" t="str">
        <f>VLOOKUP(E117,[1]characters!$A:$G,7,FALSE)</f>
        <v>女性</v>
      </c>
      <c r="M117" s="62">
        <f ca="1">IFERROR(VLOOKUP(E117,input_313101!L:R,7,FALSE),VLOOKUP(tables_313101!B117,input_313101!A:H,8,FALSE))</f>
        <v>0</v>
      </c>
      <c r="N117" s="63">
        <f t="shared" ca="1" si="7"/>
        <v>0</v>
      </c>
      <c r="O117" s="31">
        <f>IFERROR(VLOOKUP($E117,bug_conf_sheet!$A:$H,3,FALSE),VLOOKUP("other",bug_conf_sheet!$A:$H,3,FALSE))</f>
        <v>1</v>
      </c>
      <c r="P117" s="31">
        <f>IFERROR(VLOOKUP($E117,bug_conf_sheet!$A:$H,4,FALSE),VLOOKUP("other",bug_conf_sheet!$A:$H,4,FALSE))</f>
        <v>0</v>
      </c>
      <c r="Q117" s="31">
        <f>IFERROR(VLOOKUP($E117,bug_conf_sheet!$A:$H,5,FALSE),VLOOKUP("other",bug_conf_sheet!$A:$H,5,FALSE))</f>
        <v>0</v>
      </c>
      <c r="R117" s="31">
        <f>IFERROR(VLOOKUP($E117,bug_conf_sheet!$A:$H,6,FALSE),VLOOKUP("other",bug_conf_sheet!$A:$H,6,FALSE))</f>
        <v>0</v>
      </c>
      <c r="S117" s="31">
        <f>IFERROR(VLOOKUP($E117,bug_conf_sheet!$A:$H,7,FALSE),VLOOKUP("other",bug_conf_sheet!$A:$H,7,FALSE))</f>
        <v>0</v>
      </c>
      <c r="T117" s="31">
        <f>IFERROR(VLOOKUP($E117,bug_conf_sheet!$A:$H,8,FALSE),VLOOKUP("other",bug_conf_sheet!$A:$H,8,FALSE))</f>
        <v>1</v>
      </c>
    </row>
    <row r="118" spans="1:20" ht="21" customHeight="1">
      <c r="A118" s="2" t="str">
        <f ca="1">input_313101!A$2</f>
        <v>313101</v>
      </c>
      <c r="B118" s="7" t="str">
        <f t="shared" si="4"/>
        <v>Premium4</v>
      </c>
      <c r="C118" s="7" t="str">
        <f t="shared" si="5"/>
        <v>Premium</v>
      </c>
      <c r="D118" s="7" t="str">
        <f t="shared" si="6"/>
        <v>bg</v>
      </c>
      <c r="E118" s="5">
        <v>242</v>
      </c>
      <c r="F118" s="7" t="str">
        <f>VLOOKUP(E118,[1]characters!$A:$C,3,FALSE)</f>
        <v>百花の天使 ガブリエル</v>
      </c>
      <c r="G118" s="7" t="str">
        <f>VLOOKUP(E118,[1]characters!$A:$J,10,FALSE)</f>
        <v>PremiumS</v>
      </c>
      <c r="H118" s="7">
        <f>VLOOKUP(E118,[1]characters!$A:$I,9,FALSE)</f>
        <v>4</v>
      </c>
      <c r="I118" s="7" t="str">
        <f>VLOOKUP(E118,[1]characters!$A:$H,8,FALSE)</f>
        <v>green</v>
      </c>
      <c r="J118" s="7" t="str">
        <f>VLOOKUP(E118,[1]characters!$A:$K,11,FALSE)</f>
        <v>balance</v>
      </c>
      <c r="K118" s="7" t="str">
        <f>VLOOKUP(E118,[1]characters!$A:$M,13,FALSE)</f>
        <v>machine</v>
      </c>
      <c r="L118" s="7" t="str">
        <f>VLOOKUP(E118,[1]characters!$A:$G,7,FALSE)</f>
        <v>女性</v>
      </c>
      <c r="M118" s="62">
        <f ca="1">IFERROR(VLOOKUP(E118,input_313101!L:R,7,FALSE),VLOOKUP(tables_313101!B118,input_313101!A:H,8,FALSE))</f>
        <v>342090</v>
      </c>
      <c r="N118" s="63">
        <f t="shared" ca="1" si="7"/>
        <v>1.222972972972973E-2</v>
      </c>
      <c r="O118" s="31">
        <f>IFERROR(VLOOKUP($E118,bug_conf_sheet!$A:$H,3,FALSE),VLOOKUP("other",bug_conf_sheet!$A:$H,3,FALSE))</f>
        <v>1</v>
      </c>
      <c r="P118" s="31">
        <f>IFERROR(VLOOKUP($E118,bug_conf_sheet!$A:$H,4,FALSE),VLOOKUP("other",bug_conf_sheet!$A:$H,4,FALSE))</f>
        <v>0</v>
      </c>
      <c r="Q118" s="31">
        <f>IFERROR(VLOOKUP($E118,bug_conf_sheet!$A:$H,5,FALSE),VLOOKUP("other",bug_conf_sheet!$A:$H,5,FALSE))</f>
        <v>0</v>
      </c>
      <c r="R118" s="31">
        <f>IFERROR(VLOOKUP($E118,bug_conf_sheet!$A:$H,6,FALSE),VLOOKUP("other",bug_conf_sheet!$A:$H,6,FALSE))</f>
        <v>0</v>
      </c>
      <c r="S118" s="31">
        <f>IFERROR(VLOOKUP($E118,bug_conf_sheet!$A:$H,7,FALSE),VLOOKUP("other",bug_conf_sheet!$A:$H,7,FALSE))</f>
        <v>0</v>
      </c>
      <c r="T118" s="31">
        <f>IFERROR(VLOOKUP($E118,bug_conf_sheet!$A:$H,8,FALSE),VLOOKUP("other",bug_conf_sheet!$A:$H,8,FALSE))</f>
        <v>1</v>
      </c>
    </row>
    <row r="119" spans="1:20" ht="21" customHeight="1">
      <c r="A119" s="2" t="str">
        <f ca="1">input_313101!A$2</f>
        <v>313101</v>
      </c>
      <c r="B119" s="7" t="str">
        <f t="shared" si="4"/>
        <v>Premium5</v>
      </c>
      <c r="C119" s="7" t="str">
        <f t="shared" si="5"/>
        <v>Premium</v>
      </c>
      <c r="D119" s="7" t="str">
        <f t="shared" si="6"/>
        <v>bg</v>
      </c>
      <c r="E119" s="5">
        <v>243</v>
      </c>
      <c r="F119" s="7" t="str">
        <f>VLOOKUP(E119,[1]characters!$A:$C,3,FALSE)</f>
        <v>万花の天使 ガブリエル・ブルーム</v>
      </c>
      <c r="G119" s="7" t="str">
        <f>VLOOKUP(E119,[1]characters!$A:$J,10,FALSE)</f>
        <v>PremiumS</v>
      </c>
      <c r="H119" s="7">
        <f>VLOOKUP(E119,[1]characters!$A:$I,9,FALSE)</f>
        <v>5</v>
      </c>
      <c r="I119" s="7" t="str">
        <f>VLOOKUP(E119,[1]characters!$A:$H,8,FALSE)</f>
        <v>green</v>
      </c>
      <c r="J119" s="7" t="str">
        <f>VLOOKUP(E119,[1]characters!$A:$K,11,FALSE)</f>
        <v>balance</v>
      </c>
      <c r="K119" s="7" t="str">
        <f>VLOOKUP(E119,[1]characters!$A:$M,13,FALSE)</f>
        <v>machine</v>
      </c>
      <c r="L119" s="7" t="str">
        <f>VLOOKUP(E119,[1]characters!$A:$G,7,FALSE)</f>
        <v>女性</v>
      </c>
      <c r="M119" s="62">
        <f ca="1">IFERROR(VLOOKUP(E119,input_313101!L:R,7,FALSE),VLOOKUP(tables_313101!B119,input_313101!A:H,8,FALSE))</f>
        <v>18130</v>
      </c>
      <c r="N119" s="63">
        <f t="shared" ca="1" si="7"/>
        <v>6.4814814814814813E-4</v>
      </c>
      <c r="O119" s="31">
        <f>IFERROR(VLOOKUP($E119,bug_conf_sheet!$A:$H,3,FALSE),VLOOKUP("other",bug_conf_sheet!$A:$H,3,FALSE))</f>
        <v>1</v>
      </c>
      <c r="P119" s="31">
        <f>IFERROR(VLOOKUP($E119,bug_conf_sheet!$A:$H,4,FALSE),VLOOKUP("other",bug_conf_sheet!$A:$H,4,FALSE))</f>
        <v>0</v>
      </c>
      <c r="Q119" s="31">
        <f>IFERROR(VLOOKUP($E119,bug_conf_sheet!$A:$H,5,FALSE),VLOOKUP("other",bug_conf_sheet!$A:$H,5,FALSE))</f>
        <v>0</v>
      </c>
      <c r="R119" s="31">
        <f>IFERROR(VLOOKUP($E119,bug_conf_sheet!$A:$H,6,FALSE),VLOOKUP("other",bug_conf_sheet!$A:$H,6,FALSE))</f>
        <v>0</v>
      </c>
      <c r="S119" s="31">
        <f>IFERROR(VLOOKUP($E119,bug_conf_sheet!$A:$H,7,FALSE),VLOOKUP("other",bug_conf_sheet!$A:$H,7,FALSE))</f>
        <v>0</v>
      </c>
      <c r="T119" s="31">
        <f>IFERROR(VLOOKUP($E119,bug_conf_sheet!$A:$H,8,FALSE),VLOOKUP("other",bug_conf_sheet!$A:$H,8,FALSE))</f>
        <v>1</v>
      </c>
    </row>
    <row r="120" spans="1:20" ht="21" customHeight="1">
      <c r="A120" s="2" t="str">
        <f ca="1">input_313101!A$2</f>
        <v>313101</v>
      </c>
      <c r="B120" s="7" t="str">
        <f t="shared" si="4"/>
        <v>Premium3</v>
      </c>
      <c r="C120" s="7" t="str">
        <f t="shared" si="5"/>
        <v>Premium</v>
      </c>
      <c r="D120" s="7" t="str">
        <f t="shared" si="6"/>
        <v>bg</v>
      </c>
      <c r="E120" s="5">
        <v>244</v>
      </c>
      <c r="F120" s="7" t="str">
        <f>VLOOKUP(E120,[1]characters!$A:$C,3,FALSE)</f>
        <v>ラファエル</v>
      </c>
      <c r="G120" s="7" t="str">
        <f>VLOOKUP(E120,[1]characters!$A:$J,10,FALSE)</f>
        <v>PremiumS</v>
      </c>
      <c r="H120" s="7">
        <f>VLOOKUP(E120,[1]characters!$A:$I,9,FALSE)</f>
        <v>3</v>
      </c>
      <c r="I120" s="7" t="str">
        <f>VLOOKUP(E120,[1]characters!$A:$H,8,FALSE)</f>
        <v>blue</v>
      </c>
      <c r="J120" s="7" t="str">
        <f>VLOOKUP(E120,[1]characters!$A:$K,11,FALSE)</f>
        <v>balance</v>
      </c>
      <c r="K120" s="7" t="str">
        <f>VLOOKUP(E120,[1]characters!$A:$M,13,FALSE)</f>
        <v>machine</v>
      </c>
      <c r="L120" s="7" t="str">
        <f>VLOOKUP(E120,[1]characters!$A:$G,7,FALSE)</f>
        <v>女性</v>
      </c>
      <c r="M120" s="62">
        <f ca="1">IFERROR(VLOOKUP(E120,input_313101!L:R,7,FALSE),VLOOKUP(tables_313101!B120,input_313101!A:H,8,FALSE))</f>
        <v>0</v>
      </c>
      <c r="N120" s="63">
        <f t="shared" ca="1" si="7"/>
        <v>0</v>
      </c>
      <c r="O120" s="31">
        <f>IFERROR(VLOOKUP($E120,bug_conf_sheet!$A:$H,3,FALSE),VLOOKUP("other",bug_conf_sheet!$A:$H,3,FALSE))</f>
        <v>1</v>
      </c>
      <c r="P120" s="31">
        <f>IFERROR(VLOOKUP($E120,bug_conf_sheet!$A:$H,4,FALSE),VLOOKUP("other",bug_conf_sheet!$A:$H,4,FALSE))</f>
        <v>0</v>
      </c>
      <c r="Q120" s="31">
        <f>IFERROR(VLOOKUP($E120,bug_conf_sheet!$A:$H,5,FALSE),VLOOKUP("other",bug_conf_sheet!$A:$H,5,FALSE))</f>
        <v>0</v>
      </c>
      <c r="R120" s="31">
        <f>IFERROR(VLOOKUP($E120,bug_conf_sheet!$A:$H,6,FALSE),VLOOKUP("other",bug_conf_sheet!$A:$H,6,FALSE))</f>
        <v>0</v>
      </c>
      <c r="S120" s="31">
        <f>IFERROR(VLOOKUP($E120,bug_conf_sheet!$A:$H,7,FALSE),VLOOKUP("other",bug_conf_sheet!$A:$H,7,FALSE))</f>
        <v>0</v>
      </c>
      <c r="T120" s="31">
        <f>IFERROR(VLOOKUP($E120,bug_conf_sheet!$A:$H,8,FALSE),VLOOKUP("other",bug_conf_sheet!$A:$H,8,FALSE))</f>
        <v>1</v>
      </c>
    </row>
    <row r="121" spans="1:20" ht="21" customHeight="1">
      <c r="A121" s="2" t="str">
        <f ca="1">input_313101!A$2</f>
        <v>313101</v>
      </c>
      <c r="B121" s="7" t="str">
        <f t="shared" si="4"/>
        <v>Premium4</v>
      </c>
      <c r="C121" s="7" t="str">
        <f t="shared" si="5"/>
        <v>Premium</v>
      </c>
      <c r="D121" s="7" t="str">
        <f t="shared" si="6"/>
        <v>bg</v>
      </c>
      <c r="E121" s="5">
        <v>245</v>
      </c>
      <c r="F121" s="7" t="str">
        <f>VLOOKUP(E121,[1]characters!$A:$C,3,FALSE)</f>
        <v>鎮癒の天使 ラファエル</v>
      </c>
      <c r="G121" s="7" t="str">
        <f>VLOOKUP(E121,[1]characters!$A:$J,10,FALSE)</f>
        <v>PremiumS</v>
      </c>
      <c r="H121" s="7">
        <f>VLOOKUP(E121,[1]characters!$A:$I,9,FALSE)</f>
        <v>4</v>
      </c>
      <c r="I121" s="7" t="str">
        <f>VLOOKUP(E121,[1]characters!$A:$H,8,FALSE)</f>
        <v>blue</v>
      </c>
      <c r="J121" s="7" t="str">
        <f>VLOOKUP(E121,[1]characters!$A:$K,11,FALSE)</f>
        <v>balance</v>
      </c>
      <c r="K121" s="7" t="str">
        <f>VLOOKUP(E121,[1]characters!$A:$M,13,FALSE)</f>
        <v>machine</v>
      </c>
      <c r="L121" s="7" t="str">
        <f>VLOOKUP(E121,[1]characters!$A:$G,7,FALSE)</f>
        <v>女性</v>
      </c>
      <c r="M121" s="62">
        <f ca="1">IFERROR(VLOOKUP(E121,input_313101!L:R,7,FALSE),VLOOKUP(tables_313101!B121,input_313101!A:H,8,FALSE))</f>
        <v>342090</v>
      </c>
      <c r="N121" s="63">
        <f t="shared" ca="1" si="7"/>
        <v>1.222972972972973E-2</v>
      </c>
      <c r="O121" s="31">
        <f>IFERROR(VLOOKUP($E121,bug_conf_sheet!$A:$H,3,FALSE),VLOOKUP("other",bug_conf_sheet!$A:$H,3,FALSE))</f>
        <v>1</v>
      </c>
      <c r="P121" s="31">
        <f>IFERROR(VLOOKUP($E121,bug_conf_sheet!$A:$H,4,FALSE),VLOOKUP("other",bug_conf_sheet!$A:$H,4,FALSE))</f>
        <v>0</v>
      </c>
      <c r="Q121" s="31">
        <f>IFERROR(VLOOKUP($E121,bug_conf_sheet!$A:$H,5,FALSE),VLOOKUP("other",bug_conf_sheet!$A:$H,5,FALSE))</f>
        <v>0</v>
      </c>
      <c r="R121" s="31">
        <f>IFERROR(VLOOKUP($E121,bug_conf_sheet!$A:$H,6,FALSE),VLOOKUP("other",bug_conf_sheet!$A:$H,6,FALSE))</f>
        <v>0</v>
      </c>
      <c r="S121" s="31">
        <f>IFERROR(VLOOKUP($E121,bug_conf_sheet!$A:$H,7,FALSE),VLOOKUP("other",bug_conf_sheet!$A:$H,7,FALSE))</f>
        <v>0</v>
      </c>
      <c r="T121" s="31">
        <f>IFERROR(VLOOKUP($E121,bug_conf_sheet!$A:$H,8,FALSE),VLOOKUP("other",bug_conf_sheet!$A:$H,8,FALSE))</f>
        <v>1</v>
      </c>
    </row>
    <row r="122" spans="1:20" ht="21" customHeight="1">
      <c r="A122" s="2" t="str">
        <f ca="1">input_313101!A$2</f>
        <v>313101</v>
      </c>
      <c r="B122" s="7" t="str">
        <f t="shared" si="4"/>
        <v>Premium5</v>
      </c>
      <c r="C122" s="7" t="str">
        <f t="shared" si="5"/>
        <v>Premium</v>
      </c>
      <c r="D122" s="7" t="str">
        <f t="shared" si="6"/>
        <v>bg</v>
      </c>
      <c r="E122" s="5">
        <v>246</v>
      </c>
      <c r="F122" s="7" t="str">
        <f>VLOOKUP(E122,[1]characters!$A:$C,3,FALSE)</f>
        <v>真癒の天使 ラファエル・メディカ</v>
      </c>
      <c r="G122" s="7" t="str">
        <f>VLOOKUP(E122,[1]characters!$A:$J,10,FALSE)</f>
        <v>PremiumS</v>
      </c>
      <c r="H122" s="7">
        <f>VLOOKUP(E122,[1]characters!$A:$I,9,FALSE)</f>
        <v>5</v>
      </c>
      <c r="I122" s="7" t="str">
        <f>VLOOKUP(E122,[1]characters!$A:$H,8,FALSE)</f>
        <v>blue</v>
      </c>
      <c r="J122" s="7" t="str">
        <f>VLOOKUP(E122,[1]characters!$A:$K,11,FALSE)</f>
        <v>balance</v>
      </c>
      <c r="K122" s="7" t="str">
        <f>VLOOKUP(E122,[1]characters!$A:$M,13,FALSE)</f>
        <v>machine</v>
      </c>
      <c r="L122" s="7" t="str">
        <f>VLOOKUP(E122,[1]characters!$A:$G,7,FALSE)</f>
        <v>女性</v>
      </c>
      <c r="M122" s="62">
        <f ca="1">IFERROR(VLOOKUP(E122,input_313101!L:R,7,FALSE),VLOOKUP(tables_313101!B122,input_313101!A:H,8,FALSE))</f>
        <v>18130</v>
      </c>
      <c r="N122" s="63">
        <f t="shared" ca="1" si="7"/>
        <v>6.4814814814814813E-4</v>
      </c>
      <c r="O122" s="31">
        <f>IFERROR(VLOOKUP($E122,bug_conf_sheet!$A:$H,3,FALSE),VLOOKUP("other",bug_conf_sheet!$A:$H,3,FALSE))</f>
        <v>1</v>
      </c>
      <c r="P122" s="31">
        <f>IFERROR(VLOOKUP($E122,bug_conf_sheet!$A:$H,4,FALSE),VLOOKUP("other",bug_conf_sheet!$A:$H,4,FALSE))</f>
        <v>0</v>
      </c>
      <c r="Q122" s="31">
        <f>IFERROR(VLOOKUP($E122,bug_conf_sheet!$A:$H,5,FALSE),VLOOKUP("other",bug_conf_sheet!$A:$H,5,FALSE))</f>
        <v>0</v>
      </c>
      <c r="R122" s="31">
        <f>IFERROR(VLOOKUP($E122,bug_conf_sheet!$A:$H,6,FALSE),VLOOKUP("other",bug_conf_sheet!$A:$H,6,FALSE))</f>
        <v>0</v>
      </c>
      <c r="S122" s="31">
        <f>IFERROR(VLOOKUP($E122,bug_conf_sheet!$A:$H,7,FALSE),VLOOKUP("other",bug_conf_sheet!$A:$H,7,FALSE))</f>
        <v>0</v>
      </c>
      <c r="T122" s="31">
        <f>IFERROR(VLOOKUP($E122,bug_conf_sheet!$A:$H,8,FALSE),VLOOKUP("other",bug_conf_sheet!$A:$H,8,FALSE))</f>
        <v>1</v>
      </c>
    </row>
    <row r="123" spans="1:20" ht="21" customHeight="1">
      <c r="A123" s="2" t="str">
        <f ca="1">input_313101!A$2</f>
        <v>313101</v>
      </c>
      <c r="B123" s="7" t="str">
        <f t="shared" si="4"/>
        <v>Premium3</v>
      </c>
      <c r="C123" s="7" t="str">
        <f t="shared" si="5"/>
        <v>Premium</v>
      </c>
      <c r="D123" s="7" t="str">
        <f t="shared" si="6"/>
        <v>ry</v>
      </c>
      <c r="E123" s="5">
        <v>247</v>
      </c>
      <c r="F123" s="7" t="str">
        <f>VLOOKUP(E123,[1]characters!$A:$C,3,FALSE)</f>
        <v>ミカエル</v>
      </c>
      <c r="G123" s="7" t="str">
        <f>VLOOKUP(E123,[1]characters!$A:$J,10,FALSE)</f>
        <v>PremiumS</v>
      </c>
      <c r="H123" s="7">
        <f>VLOOKUP(E123,[1]characters!$A:$I,9,FALSE)</f>
        <v>3</v>
      </c>
      <c r="I123" s="7" t="str">
        <f>VLOOKUP(E123,[1]characters!$A:$H,8,FALSE)</f>
        <v>yellow</v>
      </c>
      <c r="J123" s="7" t="str">
        <f>VLOOKUP(E123,[1]characters!$A:$K,11,FALSE)</f>
        <v>attack</v>
      </c>
      <c r="K123" s="7" t="str">
        <f>VLOOKUP(E123,[1]characters!$A:$M,13,FALSE)</f>
        <v>machine</v>
      </c>
      <c r="L123" s="7" t="str">
        <f>VLOOKUP(E123,[1]characters!$A:$G,7,FALSE)</f>
        <v>女性</v>
      </c>
      <c r="M123" s="62">
        <f ca="1">IFERROR(VLOOKUP(E123,input_313101!L:R,7,FALSE),VLOOKUP(tables_313101!B123,input_313101!A:H,8,FALSE))</f>
        <v>0</v>
      </c>
      <c r="N123" s="63">
        <f t="shared" ca="1" si="7"/>
        <v>0</v>
      </c>
      <c r="O123" s="31">
        <f>IFERROR(VLOOKUP($E123,bug_conf_sheet!$A:$H,3,FALSE),VLOOKUP("other",bug_conf_sheet!$A:$H,3,FALSE))</f>
        <v>1</v>
      </c>
      <c r="P123" s="31">
        <f>IFERROR(VLOOKUP($E123,bug_conf_sheet!$A:$H,4,FALSE),VLOOKUP("other",bug_conf_sheet!$A:$H,4,FALSE))</f>
        <v>0</v>
      </c>
      <c r="Q123" s="31">
        <f>IFERROR(VLOOKUP($E123,bug_conf_sheet!$A:$H,5,FALSE),VLOOKUP("other",bug_conf_sheet!$A:$H,5,FALSE))</f>
        <v>0</v>
      </c>
      <c r="R123" s="31">
        <f>IFERROR(VLOOKUP($E123,bug_conf_sheet!$A:$H,6,FALSE),VLOOKUP("other",bug_conf_sheet!$A:$H,6,FALSE))</f>
        <v>0</v>
      </c>
      <c r="S123" s="31">
        <f>IFERROR(VLOOKUP($E123,bug_conf_sheet!$A:$H,7,FALSE),VLOOKUP("other",bug_conf_sheet!$A:$H,7,FALSE))</f>
        <v>0</v>
      </c>
      <c r="T123" s="31">
        <f>IFERROR(VLOOKUP($E123,bug_conf_sheet!$A:$H,8,FALSE),VLOOKUP("other",bug_conf_sheet!$A:$H,8,FALSE))</f>
        <v>1</v>
      </c>
    </row>
    <row r="124" spans="1:20" ht="21" customHeight="1">
      <c r="A124" s="2" t="str">
        <f ca="1">input_313101!A$2</f>
        <v>313101</v>
      </c>
      <c r="B124" s="7" t="str">
        <f t="shared" si="4"/>
        <v>Premium4</v>
      </c>
      <c r="C124" s="7" t="str">
        <f t="shared" si="5"/>
        <v>Premium</v>
      </c>
      <c r="D124" s="7" t="str">
        <f t="shared" si="6"/>
        <v>ry</v>
      </c>
      <c r="E124" s="5">
        <v>248</v>
      </c>
      <c r="F124" s="7" t="str">
        <f>VLOOKUP(E124,[1]characters!$A:$C,3,FALSE)</f>
        <v>彩電の天使 ミカエル</v>
      </c>
      <c r="G124" s="7" t="str">
        <f>VLOOKUP(E124,[1]characters!$A:$J,10,FALSE)</f>
        <v>PremiumS</v>
      </c>
      <c r="H124" s="7">
        <f>VLOOKUP(E124,[1]characters!$A:$I,9,FALSE)</f>
        <v>4</v>
      </c>
      <c r="I124" s="7" t="str">
        <f>VLOOKUP(E124,[1]characters!$A:$H,8,FALSE)</f>
        <v>yellow</v>
      </c>
      <c r="J124" s="7" t="str">
        <f>VLOOKUP(E124,[1]characters!$A:$K,11,FALSE)</f>
        <v>attack</v>
      </c>
      <c r="K124" s="7" t="str">
        <f>VLOOKUP(E124,[1]characters!$A:$M,13,FALSE)</f>
        <v>machine</v>
      </c>
      <c r="L124" s="7" t="str">
        <f>VLOOKUP(E124,[1]characters!$A:$G,7,FALSE)</f>
        <v>女性</v>
      </c>
      <c r="M124" s="62">
        <f ca="1">IFERROR(VLOOKUP(E124,input_313101!L:R,7,FALSE),VLOOKUP(tables_313101!B124,input_313101!A:H,8,FALSE))</f>
        <v>342090</v>
      </c>
      <c r="N124" s="63">
        <f t="shared" ca="1" si="7"/>
        <v>1.222972972972973E-2</v>
      </c>
      <c r="O124" s="31">
        <f>IFERROR(VLOOKUP($E124,bug_conf_sheet!$A:$H,3,FALSE),VLOOKUP("other",bug_conf_sheet!$A:$H,3,FALSE))</f>
        <v>1</v>
      </c>
      <c r="P124" s="31">
        <f>IFERROR(VLOOKUP($E124,bug_conf_sheet!$A:$H,4,FALSE),VLOOKUP("other",bug_conf_sheet!$A:$H,4,FALSE))</f>
        <v>0</v>
      </c>
      <c r="Q124" s="31">
        <f>IFERROR(VLOOKUP($E124,bug_conf_sheet!$A:$H,5,FALSE),VLOOKUP("other",bug_conf_sheet!$A:$H,5,FALSE))</f>
        <v>0</v>
      </c>
      <c r="R124" s="31">
        <f>IFERROR(VLOOKUP($E124,bug_conf_sheet!$A:$H,6,FALSE),VLOOKUP("other",bug_conf_sheet!$A:$H,6,FALSE))</f>
        <v>0</v>
      </c>
      <c r="S124" s="31">
        <f>IFERROR(VLOOKUP($E124,bug_conf_sheet!$A:$H,7,FALSE),VLOOKUP("other",bug_conf_sheet!$A:$H,7,FALSE))</f>
        <v>0</v>
      </c>
      <c r="T124" s="31">
        <f>IFERROR(VLOOKUP($E124,bug_conf_sheet!$A:$H,8,FALSE),VLOOKUP("other",bug_conf_sheet!$A:$H,8,FALSE))</f>
        <v>1</v>
      </c>
    </row>
    <row r="125" spans="1:20" ht="21" customHeight="1">
      <c r="A125" s="2" t="str">
        <f ca="1">input_313101!A$2</f>
        <v>313101</v>
      </c>
      <c r="B125" s="7" t="str">
        <f t="shared" si="4"/>
        <v>Premium5</v>
      </c>
      <c r="C125" s="7" t="str">
        <f t="shared" si="5"/>
        <v>Premium</v>
      </c>
      <c r="D125" s="7" t="str">
        <f t="shared" si="6"/>
        <v>ry</v>
      </c>
      <c r="E125" s="6">
        <v>249</v>
      </c>
      <c r="F125" s="7" t="str">
        <f>VLOOKUP(E125,[1]characters!$A:$C,3,FALSE)</f>
        <v>雷電の天使 ミカエル・ゲイナー</v>
      </c>
      <c r="G125" s="7" t="str">
        <f>VLOOKUP(E125,[1]characters!$A:$J,10,FALSE)</f>
        <v>PremiumS</v>
      </c>
      <c r="H125" s="7">
        <f>VLOOKUP(E125,[1]characters!$A:$I,9,FALSE)</f>
        <v>5</v>
      </c>
      <c r="I125" s="7" t="str">
        <f>VLOOKUP(E125,[1]characters!$A:$H,8,FALSE)</f>
        <v>yellow</v>
      </c>
      <c r="J125" s="7" t="str">
        <f>VLOOKUP(E125,[1]characters!$A:$K,11,FALSE)</f>
        <v>attack</v>
      </c>
      <c r="K125" s="7" t="str">
        <f>VLOOKUP(E125,[1]characters!$A:$M,13,FALSE)</f>
        <v>machine</v>
      </c>
      <c r="L125" s="7" t="str">
        <f>VLOOKUP(E125,[1]characters!$A:$G,7,FALSE)</f>
        <v>女性</v>
      </c>
      <c r="M125" s="62">
        <f ca="1">IFERROR(VLOOKUP(E125,input_313101!L:R,7,FALSE),VLOOKUP(tables_313101!B125,input_313101!A:H,8,FALSE))</f>
        <v>18130</v>
      </c>
      <c r="N125" s="63">
        <f t="shared" ca="1" si="7"/>
        <v>6.4814814814814813E-4</v>
      </c>
      <c r="O125" s="31">
        <f>IFERROR(VLOOKUP($E125,bug_conf_sheet!$A:$H,3,FALSE),VLOOKUP("other",bug_conf_sheet!$A:$H,3,FALSE))</f>
        <v>1</v>
      </c>
      <c r="P125" s="31">
        <f>IFERROR(VLOOKUP($E125,bug_conf_sheet!$A:$H,4,FALSE),VLOOKUP("other",bug_conf_sheet!$A:$H,4,FALSE))</f>
        <v>0</v>
      </c>
      <c r="Q125" s="31">
        <f>IFERROR(VLOOKUP($E125,bug_conf_sheet!$A:$H,5,FALSE),VLOOKUP("other",bug_conf_sheet!$A:$H,5,FALSE))</f>
        <v>0</v>
      </c>
      <c r="R125" s="31">
        <f>IFERROR(VLOOKUP($E125,bug_conf_sheet!$A:$H,6,FALSE),VLOOKUP("other",bug_conf_sheet!$A:$H,6,FALSE))</f>
        <v>0</v>
      </c>
      <c r="S125" s="31">
        <f>IFERROR(VLOOKUP($E125,bug_conf_sheet!$A:$H,7,FALSE),VLOOKUP("other",bug_conf_sheet!$A:$H,7,FALSE))</f>
        <v>0</v>
      </c>
      <c r="T125" s="31">
        <f>IFERROR(VLOOKUP($E125,bug_conf_sheet!$A:$H,8,FALSE),VLOOKUP("other",bug_conf_sheet!$A:$H,8,FALSE))</f>
        <v>1</v>
      </c>
    </row>
    <row r="126" spans="1:20" ht="21" customHeight="1">
      <c r="A126" s="2" t="str">
        <f ca="1">input_313101!A$2</f>
        <v>313101</v>
      </c>
      <c r="B126" s="7" t="str">
        <f t="shared" si="4"/>
        <v>Premium3</v>
      </c>
      <c r="C126" s="7" t="str">
        <f t="shared" si="5"/>
        <v>Premium</v>
      </c>
      <c r="D126" s="7" t="str">
        <f t="shared" si="6"/>
        <v>ry</v>
      </c>
      <c r="E126" s="6">
        <v>250</v>
      </c>
      <c r="F126" s="7" t="str">
        <f>VLOOKUP(E126,[1]characters!$A:$C,3,FALSE)</f>
        <v>マンモン</v>
      </c>
      <c r="G126" s="7" t="str">
        <f>VLOOKUP(E126,[1]characters!$A:$J,10,FALSE)</f>
        <v>PremiumS</v>
      </c>
      <c r="H126" s="7">
        <f>VLOOKUP(E126,[1]characters!$A:$I,9,FALSE)</f>
        <v>3</v>
      </c>
      <c r="I126" s="7" t="str">
        <f>VLOOKUP(E126,[1]characters!$A:$H,8,FALSE)</f>
        <v>red</v>
      </c>
      <c r="J126" s="7" t="str">
        <f>VLOOKUP(E126,[1]characters!$A:$K,11,FALSE)</f>
        <v>balance</v>
      </c>
      <c r="K126" s="7" t="str">
        <f>VLOOKUP(E126,[1]characters!$A:$M,13,FALSE)</f>
        <v>god</v>
      </c>
      <c r="L126" s="7" t="str">
        <f>VLOOKUP(E126,[1]characters!$A:$G,7,FALSE)</f>
        <v>女性</v>
      </c>
      <c r="M126" s="62">
        <f ca="1">IFERROR(VLOOKUP(E126,input_313101!L:R,7,FALSE),VLOOKUP(tables_313101!B126,input_313101!A:H,8,FALSE))</f>
        <v>0</v>
      </c>
      <c r="N126" s="63">
        <f t="shared" ca="1" si="7"/>
        <v>0</v>
      </c>
      <c r="O126" s="31">
        <f>IFERROR(VLOOKUP($E126,bug_conf_sheet!$A:$H,3,FALSE),VLOOKUP("other",bug_conf_sheet!$A:$H,3,FALSE))</f>
        <v>1</v>
      </c>
      <c r="P126" s="31">
        <f>IFERROR(VLOOKUP($E126,bug_conf_sheet!$A:$H,4,FALSE),VLOOKUP("other",bug_conf_sheet!$A:$H,4,FALSE))</f>
        <v>0</v>
      </c>
      <c r="Q126" s="31">
        <f>IFERROR(VLOOKUP($E126,bug_conf_sheet!$A:$H,5,FALSE),VLOOKUP("other",bug_conf_sheet!$A:$H,5,FALSE))</f>
        <v>0</v>
      </c>
      <c r="R126" s="31">
        <f>IFERROR(VLOOKUP($E126,bug_conf_sheet!$A:$H,6,FALSE),VLOOKUP("other",bug_conf_sheet!$A:$H,6,FALSE))</f>
        <v>0</v>
      </c>
      <c r="S126" s="31">
        <f>IFERROR(VLOOKUP($E126,bug_conf_sheet!$A:$H,7,FALSE),VLOOKUP("other",bug_conf_sheet!$A:$H,7,FALSE))</f>
        <v>0</v>
      </c>
      <c r="T126" s="31">
        <f>IFERROR(VLOOKUP($E126,bug_conf_sheet!$A:$H,8,FALSE),VLOOKUP("other",bug_conf_sheet!$A:$H,8,FALSE))</f>
        <v>1</v>
      </c>
    </row>
    <row r="127" spans="1:20" ht="21" customHeight="1">
      <c r="A127" s="2" t="str">
        <f ca="1">input_313101!A$2</f>
        <v>313101</v>
      </c>
      <c r="B127" s="7" t="str">
        <f t="shared" si="4"/>
        <v>Premium4</v>
      </c>
      <c r="C127" s="7" t="str">
        <f t="shared" si="5"/>
        <v>Premium</v>
      </c>
      <c r="D127" s="7" t="str">
        <f t="shared" si="6"/>
        <v>ry</v>
      </c>
      <c r="E127" s="6">
        <v>251</v>
      </c>
      <c r="F127" s="7" t="str">
        <f>VLOOKUP(E127,[1]characters!$A:$C,3,FALSE)</f>
        <v>強欲 マンモン</v>
      </c>
      <c r="G127" s="7" t="str">
        <f>VLOOKUP(E127,[1]characters!$A:$J,10,FALSE)</f>
        <v>PremiumS</v>
      </c>
      <c r="H127" s="7">
        <f>VLOOKUP(E127,[1]characters!$A:$I,9,FALSE)</f>
        <v>4</v>
      </c>
      <c r="I127" s="7" t="str">
        <f>VLOOKUP(E127,[1]characters!$A:$H,8,FALSE)</f>
        <v>red</v>
      </c>
      <c r="J127" s="7" t="str">
        <f>VLOOKUP(E127,[1]characters!$A:$K,11,FALSE)</f>
        <v>balance</v>
      </c>
      <c r="K127" s="7" t="str">
        <f>VLOOKUP(E127,[1]characters!$A:$M,13,FALSE)</f>
        <v>god</v>
      </c>
      <c r="L127" s="7" t="str">
        <f>VLOOKUP(E127,[1]characters!$A:$G,7,FALSE)</f>
        <v>女性</v>
      </c>
      <c r="M127" s="62">
        <f ca="1">IFERROR(VLOOKUP(E127,input_313101!L:R,7,FALSE),VLOOKUP(tables_313101!B127,input_313101!A:H,8,FALSE))</f>
        <v>342090</v>
      </c>
      <c r="N127" s="63">
        <f t="shared" ca="1" si="7"/>
        <v>1.222972972972973E-2</v>
      </c>
      <c r="O127" s="31">
        <f>IFERROR(VLOOKUP($E127,bug_conf_sheet!$A:$H,3,FALSE),VLOOKUP("other",bug_conf_sheet!$A:$H,3,FALSE))</f>
        <v>1</v>
      </c>
      <c r="P127" s="31">
        <f>IFERROR(VLOOKUP($E127,bug_conf_sheet!$A:$H,4,FALSE),VLOOKUP("other",bug_conf_sheet!$A:$H,4,FALSE))</f>
        <v>0</v>
      </c>
      <c r="Q127" s="31">
        <f>IFERROR(VLOOKUP($E127,bug_conf_sheet!$A:$H,5,FALSE),VLOOKUP("other",bug_conf_sheet!$A:$H,5,FALSE))</f>
        <v>0</v>
      </c>
      <c r="R127" s="31">
        <f>IFERROR(VLOOKUP($E127,bug_conf_sheet!$A:$H,6,FALSE),VLOOKUP("other",bug_conf_sheet!$A:$H,6,FALSE))</f>
        <v>0</v>
      </c>
      <c r="S127" s="31">
        <f>IFERROR(VLOOKUP($E127,bug_conf_sheet!$A:$H,7,FALSE),VLOOKUP("other",bug_conf_sheet!$A:$H,7,FALSE))</f>
        <v>0</v>
      </c>
      <c r="T127" s="31">
        <f>IFERROR(VLOOKUP($E127,bug_conf_sheet!$A:$H,8,FALSE),VLOOKUP("other",bug_conf_sheet!$A:$H,8,FALSE))</f>
        <v>1</v>
      </c>
    </row>
    <row r="128" spans="1:20" ht="21" customHeight="1">
      <c r="A128" s="2" t="str">
        <f ca="1">input_313101!A$2</f>
        <v>313101</v>
      </c>
      <c r="B128" s="7" t="str">
        <f t="shared" si="4"/>
        <v>Premium5</v>
      </c>
      <c r="C128" s="7" t="str">
        <f t="shared" si="5"/>
        <v>Premium</v>
      </c>
      <c r="D128" s="7" t="str">
        <f t="shared" si="6"/>
        <v>ry</v>
      </c>
      <c r="E128" s="6">
        <v>252</v>
      </c>
      <c r="F128" s="7" t="str">
        <f>VLOOKUP(E128,[1]characters!$A:$C,3,FALSE)</f>
        <v>強欲の沸騰 マンモン</v>
      </c>
      <c r="G128" s="7" t="str">
        <f>VLOOKUP(E128,[1]characters!$A:$J,10,FALSE)</f>
        <v>PremiumS</v>
      </c>
      <c r="H128" s="7">
        <f>VLOOKUP(E128,[1]characters!$A:$I,9,FALSE)</f>
        <v>5</v>
      </c>
      <c r="I128" s="7" t="str">
        <f>VLOOKUP(E128,[1]characters!$A:$H,8,FALSE)</f>
        <v>red</v>
      </c>
      <c r="J128" s="7" t="str">
        <f>VLOOKUP(E128,[1]characters!$A:$K,11,FALSE)</f>
        <v>balance</v>
      </c>
      <c r="K128" s="7" t="str">
        <f>VLOOKUP(E128,[1]characters!$A:$M,13,FALSE)</f>
        <v>god</v>
      </c>
      <c r="L128" s="7" t="str">
        <f>VLOOKUP(E128,[1]characters!$A:$G,7,FALSE)</f>
        <v>女性</v>
      </c>
      <c r="M128" s="62">
        <f ca="1">IFERROR(VLOOKUP(E128,input_313101!L:R,7,FALSE),VLOOKUP(tables_313101!B128,input_313101!A:H,8,FALSE))</f>
        <v>18130</v>
      </c>
      <c r="N128" s="63">
        <f t="shared" ca="1" si="7"/>
        <v>6.4814814814814813E-4</v>
      </c>
      <c r="O128" s="31">
        <f>IFERROR(VLOOKUP($E128,bug_conf_sheet!$A:$H,3,FALSE),VLOOKUP("other",bug_conf_sheet!$A:$H,3,FALSE))</f>
        <v>1</v>
      </c>
      <c r="P128" s="31">
        <f>IFERROR(VLOOKUP($E128,bug_conf_sheet!$A:$H,4,FALSE),VLOOKUP("other",bug_conf_sheet!$A:$H,4,FALSE))</f>
        <v>0</v>
      </c>
      <c r="Q128" s="31">
        <f>IFERROR(VLOOKUP($E128,bug_conf_sheet!$A:$H,5,FALSE),VLOOKUP("other",bug_conf_sheet!$A:$H,5,FALSE))</f>
        <v>0</v>
      </c>
      <c r="R128" s="31">
        <f>IFERROR(VLOOKUP($E128,bug_conf_sheet!$A:$H,6,FALSE),VLOOKUP("other",bug_conf_sheet!$A:$H,6,FALSE))</f>
        <v>0</v>
      </c>
      <c r="S128" s="31">
        <f>IFERROR(VLOOKUP($E128,bug_conf_sheet!$A:$H,7,FALSE),VLOOKUP("other",bug_conf_sheet!$A:$H,7,FALSE))</f>
        <v>0</v>
      </c>
      <c r="T128" s="31">
        <f>IFERROR(VLOOKUP($E128,bug_conf_sheet!$A:$H,8,FALSE),VLOOKUP("other",bug_conf_sheet!$A:$H,8,FALSE))</f>
        <v>1</v>
      </c>
    </row>
    <row r="129" spans="1:20" ht="21" customHeight="1">
      <c r="A129" s="2" t="str">
        <f ca="1">input_313101!A$2</f>
        <v>313101</v>
      </c>
      <c r="B129" s="7" t="str">
        <f t="shared" si="4"/>
        <v>Premium3</v>
      </c>
      <c r="C129" s="7" t="str">
        <f t="shared" si="5"/>
        <v>Premium</v>
      </c>
      <c r="D129" s="7" t="str">
        <f t="shared" si="6"/>
        <v>bg</v>
      </c>
      <c r="E129" s="6">
        <v>253</v>
      </c>
      <c r="F129" s="7" t="str">
        <f>VLOOKUP(E129,[1]characters!$A:$C,3,FALSE)</f>
        <v>ベルフェゴール</v>
      </c>
      <c r="G129" s="7" t="str">
        <f>VLOOKUP(E129,[1]characters!$A:$J,10,FALSE)</f>
        <v>PremiumS</v>
      </c>
      <c r="H129" s="7">
        <f>VLOOKUP(E129,[1]characters!$A:$I,9,FALSE)</f>
        <v>3</v>
      </c>
      <c r="I129" s="7" t="str">
        <f>VLOOKUP(E129,[1]characters!$A:$H,8,FALSE)</f>
        <v>green</v>
      </c>
      <c r="J129" s="7" t="str">
        <f>VLOOKUP(E129,[1]characters!$A:$K,11,FALSE)</f>
        <v>technical</v>
      </c>
      <c r="K129" s="7" t="str">
        <f>VLOOKUP(E129,[1]characters!$A:$M,13,FALSE)</f>
        <v>god</v>
      </c>
      <c r="L129" s="7" t="str">
        <f>VLOOKUP(E129,[1]characters!$A:$G,7,FALSE)</f>
        <v>女性</v>
      </c>
      <c r="M129" s="62">
        <f ca="1">IFERROR(VLOOKUP(E129,input_313101!L:R,7,FALSE),VLOOKUP(tables_313101!B129,input_313101!A:H,8,FALSE))</f>
        <v>0</v>
      </c>
      <c r="N129" s="63">
        <f t="shared" ca="1" si="7"/>
        <v>0</v>
      </c>
      <c r="O129" s="31">
        <f>IFERROR(VLOOKUP($E129,bug_conf_sheet!$A:$H,3,FALSE),VLOOKUP("other",bug_conf_sheet!$A:$H,3,FALSE))</f>
        <v>1</v>
      </c>
      <c r="P129" s="31">
        <f>IFERROR(VLOOKUP($E129,bug_conf_sheet!$A:$H,4,FALSE),VLOOKUP("other",bug_conf_sheet!$A:$H,4,FALSE))</f>
        <v>0</v>
      </c>
      <c r="Q129" s="31">
        <f>IFERROR(VLOOKUP($E129,bug_conf_sheet!$A:$H,5,FALSE),VLOOKUP("other",bug_conf_sheet!$A:$H,5,FALSE))</f>
        <v>0</v>
      </c>
      <c r="R129" s="31">
        <f>IFERROR(VLOOKUP($E129,bug_conf_sheet!$A:$H,6,FALSE),VLOOKUP("other",bug_conf_sheet!$A:$H,6,FALSE))</f>
        <v>0</v>
      </c>
      <c r="S129" s="31">
        <f>IFERROR(VLOOKUP($E129,bug_conf_sheet!$A:$H,7,FALSE),VLOOKUP("other",bug_conf_sheet!$A:$H,7,FALSE))</f>
        <v>0</v>
      </c>
      <c r="T129" s="31">
        <f>IFERROR(VLOOKUP($E129,bug_conf_sheet!$A:$H,8,FALSE),VLOOKUP("other",bug_conf_sheet!$A:$H,8,FALSE))</f>
        <v>1</v>
      </c>
    </row>
    <row r="130" spans="1:20" ht="21" customHeight="1">
      <c r="A130" s="2" t="str">
        <f ca="1">input_313101!A$2</f>
        <v>313101</v>
      </c>
      <c r="B130" s="7" t="str">
        <f t="shared" si="4"/>
        <v>Premium4</v>
      </c>
      <c r="C130" s="7" t="str">
        <f t="shared" si="5"/>
        <v>Premium</v>
      </c>
      <c r="D130" s="7" t="str">
        <f t="shared" si="6"/>
        <v>bg</v>
      </c>
      <c r="E130" s="6">
        <v>254</v>
      </c>
      <c r="F130" s="7" t="str">
        <f>VLOOKUP(E130,[1]characters!$A:$C,3,FALSE)</f>
        <v>怠惰 ベルフェゴール</v>
      </c>
      <c r="G130" s="7" t="str">
        <f>VLOOKUP(E130,[1]characters!$A:$J,10,FALSE)</f>
        <v>PremiumS</v>
      </c>
      <c r="H130" s="7">
        <f>VLOOKUP(E130,[1]characters!$A:$I,9,FALSE)</f>
        <v>4</v>
      </c>
      <c r="I130" s="7" t="str">
        <f>VLOOKUP(E130,[1]characters!$A:$H,8,FALSE)</f>
        <v>green</v>
      </c>
      <c r="J130" s="7" t="str">
        <f>VLOOKUP(E130,[1]characters!$A:$K,11,FALSE)</f>
        <v>technical</v>
      </c>
      <c r="K130" s="7" t="str">
        <f>VLOOKUP(E130,[1]characters!$A:$M,13,FALSE)</f>
        <v>god</v>
      </c>
      <c r="L130" s="7" t="str">
        <f>VLOOKUP(E130,[1]characters!$A:$G,7,FALSE)</f>
        <v>女性</v>
      </c>
      <c r="M130" s="62">
        <f ca="1">IFERROR(VLOOKUP(E130,input_313101!L:R,7,FALSE),VLOOKUP(tables_313101!B130,input_313101!A:H,8,FALSE))</f>
        <v>342090</v>
      </c>
      <c r="N130" s="63">
        <f t="shared" ca="1" si="7"/>
        <v>1.222972972972973E-2</v>
      </c>
      <c r="O130" s="31">
        <f>IFERROR(VLOOKUP($E130,bug_conf_sheet!$A:$H,3,FALSE),VLOOKUP("other",bug_conf_sheet!$A:$H,3,FALSE))</f>
        <v>1</v>
      </c>
      <c r="P130" s="31">
        <f>IFERROR(VLOOKUP($E130,bug_conf_sheet!$A:$H,4,FALSE),VLOOKUP("other",bug_conf_sheet!$A:$H,4,FALSE))</f>
        <v>0</v>
      </c>
      <c r="Q130" s="31">
        <f>IFERROR(VLOOKUP($E130,bug_conf_sheet!$A:$H,5,FALSE),VLOOKUP("other",bug_conf_sheet!$A:$H,5,FALSE))</f>
        <v>0</v>
      </c>
      <c r="R130" s="31">
        <f>IFERROR(VLOOKUP($E130,bug_conf_sheet!$A:$H,6,FALSE),VLOOKUP("other",bug_conf_sheet!$A:$H,6,FALSE))</f>
        <v>0</v>
      </c>
      <c r="S130" s="31">
        <f>IFERROR(VLOOKUP($E130,bug_conf_sheet!$A:$H,7,FALSE),VLOOKUP("other",bug_conf_sheet!$A:$H,7,FALSE))</f>
        <v>0</v>
      </c>
      <c r="T130" s="31">
        <f>IFERROR(VLOOKUP($E130,bug_conf_sheet!$A:$H,8,FALSE),VLOOKUP("other",bug_conf_sheet!$A:$H,8,FALSE))</f>
        <v>1</v>
      </c>
    </row>
    <row r="131" spans="1:20" ht="21" customHeight="1">
      <c r="A131" s="2" t="str">
        <f ca="1">input_313101!A$2</f>
        <v>313101</v>
      </c>
      <c r="B131" s="7" t="str">
        <f t="shared" ref="B131:B194" si="8">C131&amp;IF(C131="premium",,D131)&amp;H131</f>
        <v>Premium5</v>
      </c>
      <c r="C131" s="7" t="str">
        <f t="shared" ref="C131:C194" si="9">IF(G131="PremiumSS",G131,IF(G131="PremiumSSS",G131,"Premium"))</f>
        <v>Premium</v>
      </c>
      <c r="D131" s="7" t="str">
        <f t="shared" ref="D131:D194" si="10">IF(I131="red","ry",IF(I131="yellow","ry","bg"))</f>
        <v>bg</v>
      </c>
      <c r="E131" s="6">
        <v>255</v>
      </c>
      <c r="F131" s="7" t="str">
        <f>VLOOKUP(E131,[1]characters!$A:$C,3,FALSE)</f>
        <v>怠惰の頂点 ベルフェゴール</v>
      </c>
      <c r="G131" s="7" t="str">
        <f>VLOOKUP(E131,[1]characters!$A:$J,10,FALSE)</f>
        <v>PremiumS</v>
      </c>
      <c r="H131" s="7">
        <f>VLOOKUP(E131,[1]characters!$A:$I,9,FALSE)</f>
        <v>5</v>
      </c>
      <c r="I131" s="7" t="str">
        <f>VLOOKUP(E131,[1]characters!$A:$H,8,FALSE)</f>
        <v>green</v>
      </c>
      <c r="J131" s="7" t="str">
        <f>VLOOKUP(E131,[1]characters!$A:$K,11,FALSE)</f>
        <v>technical</v>
      </c>
      <c r="K131" s="7" t="str">
        <f>VLOOKUP(E131,[1]characters!$A:$M,13,FALSE)</f>
        <v>god</v>
      </c>
      <c r="L131" s="7" t="str">
        <f>VLOOKUP(E131,[1]characters!$A:$G,7,FALSE)</f>
        <v>女性</v>
      </c>
      <c r="M131" s="62">
        <f ca="1">IFERROR(VLOOKUP(E131,input_313101!L:R,7,FALSE),VLOOKUP(tables_313101!B131,input_313101!A:H,8,FALSE))</f>
        <v>18130</v>
      </c>
      <c r="N131" s="63">
        <f t="shared" ref="N131:N194" ca="1" si="11">M131/SUM(M:M)</f>
        <v>6.4814814814814813E-4</v>
      </c>
      <c r="O131" s="31">
        <f>IFERROR(VLOOKUP($E131,bug_conf_sheet!$A:$H,3,FALSE),VLOOKUP("other",bug_conf_sheet!$A:$H,3,FALSE))</f>
        <v>1</v>
      </c>
      <c r="P131" s="31">
        <f>IFERROR(VLOOKUP($E131,bug_conf_sheet!$A:$H,4,FALSE),VLOOKUP("other",bug_conf_sheet!$A:$H,4,FALSE))</f>
        <v>0</v>
      </c>
      <c r="Q131" s="31">
        <f>IFERROR(VLOOKUP($E131,bug_conf_sheet!$A:$H,5,FALSE),VLOOKUP("other",bug_conf_sheet!$A:$H,5,FALSE))</f>
        <v>0</v>
      </c>
      <c r="R131" s="31">
        <f>IFERROR(VLOOKUP($E131,bug_conf_sheet!$A:$H,6,FALSE),VLOOKUP("other",bug_conf_sheet!$A:$H,6,FALSE))</f>
        <v>0</v>
      </c>
      <c r="S131" s="31">
        <f>IFERROR(VLOOKUP($E131,bug_conf_sheet!$A:$H,7,FALSE),VLOOKUP("other",bug_conf_sheet!$A:$H,7,FALSE))</f>
        <v>0</v>
      </c>
      <c r="T131" s="31">
        <f>IFERROR(VLOOKUP($E131,bug_conf_sheet!$A:$H,8,FALSE),VLOOKUP("other",bug_conf_sheet!$A:$H,8,FALSE))</f>
        <v>1</v>
      </c>
    </row>
    <row r="132" spans="1:20" ht="21" customHeight="1">
      <c r="A132" s="2" t="str">
        <f ca="1">input_313101!A$2</f>
        <v>313101</v>
      </c>
      <c r="B132" s="7" t="str">
        <f t="shared" si="8"/>
        <v>Premium3</v>
      </c>
      <c r="C132" s="7" t="str">
        <f t="shared" si="9"/>
        <v>Premium</v>
      </c>
      <c r="D132" s="7" t="str">
        <f t="shared" si="10"/>
        <v>bg</v>
      </c>
      <c r="E132" s="6">
        <v>256</v>
      </c>
      <c r="F132" s="7" t="str">
        <f>VLOOKUP(E132,[1]characters!$A:$C,3,FALSE)</f>
        <v>アスモデウス</v>
      </c>
      <c r="G132" s="7" t="str">
        <f>VLOOKUP(E132,[1]characters!$A:$J,10,FALSE)</f>
        <v>PremiumS</v>
      </c>
      <c r="H132" s="7">
        <f>VLOOKUP(E132,[1]characters!$A:$I,9,FALSE)</f>
        <v>3</v>
      </c>
      <c r="I132" s="7" t="str">
        <f>VLOOKUP(E132,[1]characters!$A:$H,8,FALSE)</f>
        <v>blue</v>
      </c>
      <c r="J132" s="7" t="str">
        <f>VLOOKUP(E132,[1]characters!$A:$K,11,FALSE)</f>
        <v>attack</v>
      </c>
      <c r="K132" s="7" t="str">
        <f>VLOOKUP(E132,[1]characters!$A:$M,13,FALSE)</f>
        <v>god</v>
      </c>
      <c r="L132" s="7" t="str">
        <f>VLOOKUP(E132,[1]characters!$A:$G,7,FALSE)</f>
        <v>女性</v>
      </c>
      <c r="M132" s="62">
        <f ca="1">IFERROR(VLOOKUP(E132,input_313101!L:R,7,FALSE),VLOOKUP(tables_313101!B132,input_313101!A:H,8,FALSE))</f>
        <v>0</v>
      </c>
      <c r="N132" s="63">
        <f t="shared" ca="1" si="11"/>
        <v>0</v>
      </c>
      <c r="O132" s="31">
        <f>IFERROR(VLOOKUP($E132,bug_conf_sheet!$A:$H,3,FALSE),VLOOKUP("other",bug_conf_sheet!$A:$H,3,FALSE))</f>
        <v>1</v>
      </c>
      <c r="P132" s="31">
        <f>IFERROR(VLOOKUP($E132,bug_conf_sheet!$A:$H,4,FALSE),VLOOKUP("other",bug_conf_sheet!$A:$H,4,FALSE))</f>
        <v>0</v>
      </c>
      <c r="Q132" s="31">
        <f>IFERROR(VLOOKUP($E132,bug_conf_sheet!$A:$H,5,FALSE),VLOOKUP("other",bug_conf_sheet!$A:$H,5,FALSE))</f>
        <v>0</v>
      </c>
      <c r="R132" s="31">
        <f>IFERROR(VLOOKUP($E132,bug_conf_sheet!$A:$H,6,FALSE),VLOOKUP("other",bug_conf_sheet!$A:$H,6,FALSE))</f>
        <v>0</v>
      </c>
      <c r="S132" s="31">
        <f>IFERROR(VLOOKUP($E132,bug_conf_sheet!$A:$H,7,FALSE),VLOOKUP("other",bug_conf_sheet!$A:$H,7,FALSE))</f>
        <v>0</v>
      </c>
      <c r="T132" s="31">
        <f>IFERROR(VLOOKUP($E132,bug_conf_sheet!$A:$H,8,FALSE),VLOOKUP("other",bug_conf_sheet!$A:$H,8,FALSE))</f>
        <v>1</v>
      </c>
    </row>
    <row r="133" spans="1:20" ht="21" customHeight="1">
      <c r="A133" s="2" t="str">
        <f ca="1">input_313101!A$2</f>
        <v>313101</v>
      </c>
      <c r="B133" s="7" t="str">
        <f t="shared" si="8"/>
        <v>Premium4</v>
      </c>
      <c r="C133" s="7" t="str">
        <f t="shared" si="9"/>
        <v>Premium</v>
      </c>
      <c r="D133" s="7" t="str">
        <f t="shared" si="10"/>
        <v>bg</v>
      </c>
      <c r="E133" s="6">
        <v>257</v>
      </c>
      <c r="F133" s="7" t="str">
        <f>VLOOKUP(E133,[1]characters!$A:$C,3,FALSE)</f>
        <v>色欲 アスモデウス</v>
      </c>
      <c r="G133" s="7" t="str">
        <f>VLOOKUP(E133,[1]characters!$A:$J,10,FALSE)</f>
        <v>PremiumS</v>
      </c>
      <c r="H133" s="7">
        <f>VLOOKUP(E133,[1]characters!$A:$I,9,FALSE)</f>
        <v>4</v>
      </c>
      <c r="I133" s="7" t="str">
        <f>VLOOKUP(E133,[1]characters!$A:$H,8,FALSE)</f>
        <v>blue</v>
      </c>
      <c r="J133" s="7" t="str">
        <f>VLOOKUP(E133,[1]characters!$A:$K,11,FALSE)</f>
        <v>attack</v>
      </c>
      <c r="K133" s="7" t="str">
        <f>VLOOKUP(E133,[1]characters!$A:$M,13,FALSE)</f>
        <v>god</v>
      </c>
      <c r="L133" s="7" t="str">
        <f>VLOOKUP(E133,[1]characters!$A:$G,7,FALSE)</f>
        <v>女性</v>
      </c>
      <c r="M133" s="62">
        <f ca="1">IFERROR(VLOOKUP(E133,input_313101!L:R,7,FALSE),VLOOKUP(tables_313101!B133,input_313101!A:H,8,FALSE))</f>
        <v>342090</v>
      </c>
      <c r="N133" s="63">
        <f t="shared" ca="1" si="11"/>
        <v>1.222972972972973E-2</v>
      </c>
      <c r="O133" s="31">
        <f>IFERROR(VLOOKUP($E133,bug_conf_sheet!$A:$H,3,FALSE),VLOOKUP("other",bug_conf_sheet!$A:$H,3,FALSE))</f>
        <v>1</v>
      </c>
      <c r="P133" s="31">
        <f>IFERROR(VLOOKUP($E133,bug_conf_sheet!$A:$H,4,FALSE),VLOOKUP("other",bug_conf_sheet!$A:$H,4,FALSE))</f>
        <v>0</v>
      </c>
      <c r="Q133" s="31">
        <f>IFERROR(VLOOKUP($E133,bug_conf_sheet!$A:$H,5,FALSE),VLOOKUP("other",bug_conf_sheet!$A:$H,5,FALSE))</f>
        <v>0</v>
      </c>
      <c r="R133" s="31">
        <f>IFERROR(VLOOKUP($E133,bug_conf_sheet!$A:$H,6,FALSE),VLOOKUP("other",bug_conf_sheet!$A:$H,6,FALSE))</f>
        <v>0</v>
      </c>
      <c r="S133" s="31">
        <f>IFERROR(VLOOKUP($E133,bug_conf_sheet!$A:$H,7,FALSE),VLOOKUP("other",bug_conf_sheet!$A:$H,7,FALSE))</f>
        <v>0</v>
      </c>
      <c r="T133" s="31">
        <f>IFERROR(VLOOKUP($E133,bug_conf_sheet!$A:$H,8,FALSE),VLOOKUP("other",bug_conf_sheet!$A:$H,8,FALSE))</f>
        <v>1</v>
      </c>
    </row>
    <row r="134" spans="1:20" ht="21" customHeight="1">
      <c r="A134" s="2" t="str">
        <f ca="1">input_313101!A$2</f>
        <v>313101</v>
      </c>
      <c r="B134" s="7" t="str">
        <f t="shared" si="8"/>
        <v>Premium5</v>
      </c>
      <c r="C134" s="7" t="str">
        <f t="shared" si="9"/>
        <v>Premium</v>
      </c>
      <c r="D134" s="7" t="str">
        <f t="shared" si="10"/>
        <v>bg</v>
      </c>
      <c r="E134" s="6">
        <v>258</v>
      </c>
      <c r="F134" s="7" t="str">
        <f>VLOOKUP(E134,[1]characters!$A:$C,3,FALSE)</f>
        <v>色欲の源流 アスモデウス</v>
      </c>
      <c r="G134" s="7" t="str">
        <f>VLOOKUP(E134,[1]characters!$A:$J,10,FALSE)</f>
        <v>PremiumS</v>
      </c>
      <c r="H134" s="7">
        <f>VLOOKUP(E134,[1]characters!$A:$I,9,FALSE)</f>
        <v>5</v>
      </c>
      <c r="I134" s="7" t="str">
        <f>VLOOKUP(E134,[1]characters!$A:$H,8,FALSE)</f>
        <v>blue</v>
      </c>
      <c r="J134" s="7" t="str">
        <f>VLOOKUP(E134,[1]characters!$A:$K,11,FALSE)</f>
        <v>attack</v>
      </c>
      <c r="K134" s="7" t="str">
        <f>VLOOKUP(E134,[1]characters!$A:$M,13,FALSE)</f>
        <v>god</v>
      </c>
      <c r="L134" s="7" t="str">
        <f>VLOOKUP(E134,[1]characters!$A:$G,7,FALSE)</f>
        <v>女性</v>
      </c>
      <c r="M134" s="62">
        <f ca="1">IFERROR(VLOOKUP(E134,input_313101!L:R,7,FALSE),VLOOKUP(tables_313101!B134,input_313101!A:H,8,FALSE))</f>
        <v>18130</v>
      </c>
      <c r="N134" s="63">
        <f t="shared" ca="1" si="11"/>
        <v>6.4814814814814813E-4</v>
      </c>
      <c r="O134" s="31">
        <f>IFERROR(VLOOKUP($E134,bug_conf_sheet!$A:$H,3,FALSE),VLOOKUP("other",bug_conf_sheet!$A:$H,3,FALSE))</f>
        <v>1</v>
      </c>
      <c r="P134" s="31">
        <f>IFERROR(VLOOKUP($E134,bug_conf_sheet!$A:$H,4,FALSE),VLOOKUP("other",bug_conf_sheet!$A:$H,4,FALSE))</f>
        <v>0</v>
      </c>
      <c r="Q134" s="31">
        <f>IFERROR(VLOOKUP($E134,bug_conf_sheet!$A:$H,5,FALSE),VLOOKUP("other",bug_conf_sheet!$A:$H,5,FALSE))</f>
        <v>0</v>
      </c>
      <c r="R134" s="31">
        <f>IFERROR(VLOOKUP($E134,bug_conf_sheet!$A:$H,6,FALSE),VLOOKUP("other",bug_conf_sheet!$A:$H,6,FALSE))</f>
        <v>0</v>
      </c>
      <c r="S134" s="31">
        <f>IFERROR(VLOOKUP($E134,bug_conf_sheet!$A:$H,7,FALSE),VLOOKUP("other",bug_conf_sheet!$A:$H,7,FALSE))</f>
        <v>0</v>
      </c>
      <c r="T134" s="31">
        <f>IFERROR(VLOOKUP($E134,bug_conf_sheet!$A:$H,8,FALSE),VLOOKUP("other",bug_conf_sheet!$A:$H,8,FALSE))</f>
        <v>1</v>
      </c>
    </row>
    <row r="135" spans="1:20" ht="21" customHeight="1">
      <c r="A135" s="2" t="str">
        <f ca="1">input_313101!A$2</f>
        <v>313101</v>
      </c>
      <c r="B135" s="7" t="str">
        <f t="shared" si="8"/>
        <v>Premium3</v>
      </c>
      <c r="C135" s="7" t="str">
        <f t="shared" si="9"/>
        <v>Premium</v>
      </c>
      <c r="D135" s="7" t="str">
        <f t="shared" si="10"/>
        <v>ry</v>
      </c>
      <c r="E135" s="6">
        <v>259</v>
      </c>
      <c r="F135" s="7" t="str">
        <f>VLOOKUP(E135,[1]characters!$A:$C,3,FALSE)</f>
        <v>ウロボロス</v>
      </c>
      <c r="G135" s="7" t="str">
        <f>VLOOKUP(E135,[1]characters!$A:$J,10,FALSE)</f>
        <v>PremiumS</v>
      </c>
      <c r="H135" s="7">
        <f>VLOOKUP(E135,[1]characters!$A:$I,9,FALSE)</f>
        <v>3</v>
      </c>
      <c r="I135" s="7" t="str">
        <f>VLOOKUP(E135,[1]characters!$A:$H,8,FALSE)</f>
        <v>yellow</v>
      </c>
      <c r="J135" s="7" t="str">
        <f>VLOOKUP(E135,[1]characters!$A:$K,11,FALSE)</f>
        <v>balance</v>
      </c>
      <c r="K135" s="7" t="str">
        <f>VLOOKUP(E135,[1]characters!$A:$M,13,FALSE)</f>
        <v>dragon</v>
      </c>
      <c r="L135" s="7" t="str">
        <f>VLOOKUP(E135,[1]characters!$A:$G,7,FALSE)</f>
        <v>女性</v>
      </c>
      <c r="M135" s="62">
        <f ca="1">IFERROR(VLOOKUP(E135,input_313101!L:R,7,FALSE),VLOOKUP(tables_313101!B135,input_313101!A:H,8,FALSE))</f>
        <v>0</v>
      </c>
      <c r="N135" s="63">
        <f t="shared" ca="1" si="11"/>
        <v>0</v>
      </c>
      <c r="O135" s="31">
        <f>IFERROR(VLOOKUP($E135,bug_conf_sheet!$A:$H,3,FALSE),VLOOKUP("other",bug_conf_sheet!$A:$H,3,FALSE))</f>
        <v>1</v>
      </c>
      <c r="P135" s="31">
        <f>IFERROR(VLOOKUP($E135,bug_conf_sheet!$A:$H,4,FALSE),VLOOKUP("other",bug_conf_sheet!$A:$H,4,FALSE))</f>
        <v>0</v>
      </c>
      <c r="Q135" s="31">
        <f>IFERROR(VLOOKUP($E135,bug_conf_sheet!$A:$H,5,FALSE),VLOOKUP("other",bug_conf_sheet!$A:$H,5,FALSE))</f>
        <v>0</v>
      </c>
      <c r="R135" s="31">
        <f>IFERROR(VLOOKUP($E135,bug_conf_sheet!$A:$H,6,FALSE),VLOOKUP("other",bug_conf_sheet!$A:$H,6,FALSE))</f>
        <v>0</v>
      </c>
      <c r="S135" s="31">
        <f>IFERROR(VLOOKUP($E135,bug_conf_sheet!$A:$H,7,FALSE),VLOOKUP("other",bug_conf_sheet!$A:$H,7,FALSE))</f>
        <v>0</v>
      </c>
      <c r="T135" s="31">
        <f>IFERROR(VLOOKUP($E135,bug_conf_sheet!$A:$H,8,FALSE),VLOOKUP("other",bug_conf_sheet!$A:$H,8,FALSE))</f>
        <v>1</v>
      </c>
    </row>
    <row r="136" spans="1:20" ht="21" customHeight="1">
      <c r="A136" s="2" t="str">
        <f ca="1">input_313101!A$2</f>
        <v>313101</v>
      </c>
      <c r="B136" s="7" t="str">
        <f t="shared" si="8"/>
        <v>Premium4</v>
      </c>
      <c r="C136" s="7" t="str">
        <f t="shared" si="9"/>
        <v>Premium</v>
      </c>
      <c r="D136" s="7" t="str">
        <f t="shared" si="10"/>
        <v>ry</v>
      </c>
      <c r="E136" s="8">
        <v>260</v>
      </c>
      <c r="F136" s="7" t="str">
        <f>VLOOKUP(E136,[1]characters!$A:$C,3,FALSE)</f>
        <v>輪廻 ウロボロス</v>
      </c>
      <c r="G136" s="7" t="str">
        <f>VLOOKUP(E136,[1]characters!$A:$J,10,FALSE)</f>
        <v>PremiumS</v>
      </c>
      <c r="H136" s="7">
        <f>VLOOKUP(E136,[1]characters!$A:$I,9,FALSE)</f>
        <v>4</v>
      </c>
      <c r="I136" s="7" t="str">
        <f>VLOOKUP(E136,[1]characters!$A:$H,8,FALSE)</f>
        <v>yellow</v>
      </c>
      <c r="J136" s="7" t="str">
        <f>VLOOKUP(E136,[1]characters!$A:$K,11,FALSE)</f>
        <v>balance</v>
      </c>
      <c r="K136" s="7" t="str">
        <f>VLOOKUP(E136,[1]characters!$A:$M,13,FALSE)</f>
        <v>dragon</v>
      </c>
      <c r="L136" s="7" t="str">
        <f>VLOOKUP(E136,[1]characters!$A:$G,7,FALSE)</f>
        <v>女性</v>
      </c>
      <c r="M136" s="62">
        <f ca="1">IFERROR(VLOOKUP(E136,input_313101!L:R,7,FALSE),VLOOKUP(tables_313101!B136,input_313101!A:H,8,FALSE))</f>
        <v>342090</v>
      </c>
      <c r="N136" s="63">
        <f t="shared" ca="1" si="11"/>
        <v>1.222972972972973E-2</v>
      </c>
      <c r="O136" s="31">
        <f>IFERROR(VLOOKUP($E136,bug_conf_sheet!$A:$H,3,FALSE),VLOOKUP("other",bug_conf_sheet!$A:$H,3,FALSE))</f>
        <v>1</v>
      </c>
      <c r="P136" s="31">
        <f>IFERROR(VLOOKUP($E136,bug_conf_sheet!$A:$H,4,FALSE),VLOOKUP("other",bug_conf_sheet!$A:$H,4,FALSE))</f>
        <v>0</v>
      </c>
      <c r="Q136" s="31">
        <f>IFERROR(VLOOKUP($E136,bug_conf_sheet!$A:$H,5,FALSE),VLOOKUP("other",bug_conf_sheet!$A:$H,5,FALSE))</f>
        <v>0</v>
      </c>
      <c r="R136" s="31">
        <f>IFERROR(VLOOKUP($E136,bug_conf_sheet!$A:$H,6,FALSE),VLOOKUP("other",bug_conf_sheet!$A:$H,6,FALSE))</f>
        <v>0</v>
      </c>
      <c r="S136" s="31">
        <f>IFERROR(VLOOKUP($E136,bug_conf_sheet!$A:$H,7,FALSE),VLOOKUP("other",bug_conf_sheet!$A:$H,7,FALSE))</f>
        <v>0</v>
      </c>
      <c r="T136" s="31">
        <f>IFERROR(VLOOKUP($E136,bug_conf_sheet!$A:$H,8,FALSE),VLOOKUP("other",bug_conf_sheet!$A:$H,8,FALSE))</f>
        <v>1</v>
      </c>
    </row>
    <row r="137" spans="1:20" ht="21" customHeight="1">
      <c r="A137" s="2" t="str">
        <f ca="1">input_313101!A$2</f>
        <v>313101</v>
      </c>
      <c r="B137" s="7" t="str">
        <f t="shared" si="8"/>
        <v>Premium5</v>
      </c>
      <c r="C137" s="7" t="str">
        <f t="shared" si="9"/>
        <v>Premium</v>
      </c>
      <c r="D137" s="7" t="str">
        <f t="shared" si="10"/>
        <v>ry</v>
      </c>
      <c r="E137" s="8">
        <v>261</v>
      </c>
      <c r="F137" s="7" t="str">
        <f>VLOOKUP(E137,[1]characters!$A:$C,3,FALSE)</f>
        <v>輪廻の蛇龍 ウロボロス</v>
      </c>
      <c r="G137" s="7" t="str">
        <f>VLOOKUP(E137,[1]characters!$A:$J,10,FALSE)</f>
        <v>PremiumS</v>
      </c>
      <c r="H137" s="7">
        <f>VLOOKUP(E137,[1]characters!$A:$I,9,FALSE)</f>
        <v>5</v>
      </c>
      <c r="I137" s="7" t="str">
        <f>VLOOKUP(E137,[1]characters!$A:$H,8,FALSE)</f>
        <v>yellow</v>
      </c>
      <c r="J137" s="7" t="str">
        <f>VLOOKUP(E137,[1]characters!$A:$K,11,FALSE)</f>
        <v>balance</v>
      </c>
      <c r="K137" s="7" t="str">
        <f>VLOOKUP(E137,[1]characters!$A:$M,13,FALSE)</f>
        <v>dragon</v>
      </c>
      <c r="L137" s="7" t="str">
        <f>VLOOKUP(E137,[1]characters!$A:$G,7,FALSE)</f>
        <v>女性</v>
      </c>
      <c r="M137" s="62">
        <f ca="1">IFERROR(VLOOKUP(E137,input_313101!L:R,7,FALSE),VLOOKUP(tables_313101!B137,input_313101!A:H,8,FALSE))</f>
        <v>18130</v>
      </c>
      <c r="N137" s="63">
        <f t="shared" ca="1" si="11"/>
        <v>6.4814814814814813E-4</v>
      </c>
      <c r="O137" s="31">
        <f>IFERROR(VLOOKUP($E137,bug_conf_sheet!$A:$H,3,FALSE),VLOOKUP("other",bug_conf_sheet!$A:$H,3,FALSE))</f>
        <v>1</v>
      </c>
      <c r="P137" s="31">
        <f>IFERROR(VLOOKUP($E137,bug_conf_sheet!$A:$H,4,FALSE),VLOOKUP("other",bug_conf_sheet!$A:$H,4,FALSE))</f>
        <v>0</v>
      </c>
      <c r="Q137" s="31">
        <f>IFERROR(VLOOKUP($E137,bug_conf_sheet!$A:$H,5,FALSE),VLOOKUP("other",bug_conf_sheet!$A:$H,5,FALSE))</f>
        <v>0</v>
      </c>
      <c r="R137" s="31">
        <f>IFERROR(VLOOKUP($E137,bug_conf_sheet!$A:$H,6,FALSE),VLOOKUP("other",bug_conf_sheet!$A:$H,6,FALSE))</f>
        <v>0</v>
      </c>
      <c r="S137" s="31">
        <f>IFERROR(VLOOKUP($E137,bug_conf_sheet!$A:$H,7,FALSE),VLOOKUP("other",bug_conf_sheet!$A:$H,7,FALSE))</f>
        <v>0</v>
      </c>
      <c r="T137" s="31">
        <f>IFERROR(VLOOKUP($E137,bug_conf_sheet!$A:$H,8,FALSE),VLOOKUP("other",bug_conf_sheet!$A:$H,8,FALSE))</f>
        <v>1</v>
      </c>
    </row>
    <row r="138" spans="1:20" ht="21" customHeight="1">
      <c r="A138" s="2" t="str">
        <f ca="1">input_313101!A$2</f>
        <v>313101</v>
      </c>
      <c r="B138" s="7" t="str">
        <f t="shared" si="8"/>
        <v>PremiumSSry4</v>
      </c>
      <c r="C138" s="7" t="str">
        <f t="shared" si="9"/>
        <v>PremiumSS</v>
      </c>
      <c r="D138" s="7" t="str">
        <f t="shared" si="10"/>
        <v>ry</v>
      </c>
      <c r="E138" s="6">
        <v>320</v>
      </c>
      <c r="F138" s="7" t="str">
        <f>VLOOKUP(E138,[1]characters!$A:$C,3,FALSE)</f>
        <v>烈志士 近藤勇</v>
      </c>
      <c r="G138" s="7" t="str">
        <f>VLOOKUP(E138,[1]characters!$A:$J,10,FALSE)</f>
        <v>PremiumSS</v>
      </c>
      <c r="H138" s="7">
        <f>VLOOKUP(E138,[1]characters!$A:$I,9,FALSE)</f>
        <v>4</v>
      </c>
      <c r="I138" s="7" t="str">
        <f>VLOOKUP(E138,[1]characters!$A:$H,8,FALSE)</f>
        <v>red</v>
      </c>
      <c r="J138" s="7" t="str">
        <f>VLOOKUP(E138,[1]characters!$A:$K,11,FALSE)</f>
        <v>hp</v>
      </c>
      <c r="K138" s="7" t="str">
        <f>VLOOKUP(E138,[1]characters!$A:$M,13,FALSE)</f>
        <v>human</v>
      </c>
      <c r="L138" s="7" t="str">
        <f>VLOOKUP(E138,[1]characters!$A:$G,7,FALSE)</f>
        <v>男性</v>
      </c>
      <c r="M138" s="62">
        <f ca="1">IFERROR(VLOOKUP(E138,input_313101!L:R,7,FALSE),VLOOKUP(tables_313101!B138,input_313101!A:H,8,FALSE))</f>
        <v>53946</v>
      </c>
      <c r="N138" s="63">
        <f t="shared" ca="1" si="11"/>
        <v>1.9285714285714286E-3</v>
      </c>
      <c r="O138" s="31">
        <f>IFERROR(VLOOKUP($E138,bug_conf_sheet!$A:$H,3,FALSE),VLOOKUP("other",bug_conf_sheet!$A:$H,3,FALSE))</f>
        <v>1</v>
      </c>
      <c r="P138" s="31">
        <f>IFERROR(VLOOKUP($E138,bug_conf_sheet!$A:$H,4,FALSE),VLOOKUP("other",bug_conf_sheet!$A:$H,4,FALSE))</f>
        <v>0</v>
      </c>
      <c r="Q138" s="31">
        <f>IFERROR(VLOOKUP($E138,bug_conf_sheet!$A:$H,5,FALSE),VLOOKUP("other",bug_conf_sheet!$A:$H,5,FALSE))</f>
        <v>0</v>
      </c>
      <c r="R138" s="31">
        <f>IFERROR(VLOOKUP($E138,bug_conf_sheet!$A:$H,6,FALSE),VLOOKUP("other",bug_conf_sheet!$A:$H,6,FALSE))</f>
        <v>0</v>
      </c>
      <c r="S138" s="31">
        <f>IFERROR(VLOOKUP($E138,bug_conf_sheet!$A:$H,7,FALSE),VLOOKUP("other",bug_conf_sheet!$A:$H,7,FALSE))</f>
        <v>0</v>
      </c>
      <c r="T138" s="31">
        <f>IFERROR(VLOOKUP($E138,bug_conf_sheet!$A:$H,8,FALSE),VLOOKUP("other",bug_conf_sheet!$A:$H,8,FALSE))</f>
        <v>1</v>
      </c>
    </row>
    <row r="139" spans="1:20" ht="21" customHeight="1">
      <c r="A139" s="2" t="str">
        <f ca="1">input_313101!A$2</f>
        <v>313101</v>
      </c>
      <c r="B139" s="7" t="str">
        <f t="shared" si="8"/>
        <v>PremiumSSry5</v>
      </c>
      <c r="C139" s="7" t="str">
        <f t="shared" si="9"/>
        <v>PremiumSS</v>
      </c>
      <c r="D139" s="7" t="str">
        <f t="shared" si="10"/>
        <v>ry</v>
      </c>
      <c r="E139" s="6">
        <v>321</v>
      </c>
      <c r="F139" s="7" t="str">
        <f>VLOOKUP(E139,[1]characters!$A:$C,3,FALSE)</f>
        <v>巌鉄の烈志士 近藤勇</v>
      </c>
      <c r="G139" s="7" t="str">
        <f>VLOOKUP(E139,[1]characters!$A:$J,10,FALSE)</f>
        <v>PremiumSS</v>
      </c>
      <c r="H139" s="7">
        <f>VLOOKUP(E139,[1]characters!$A:$I,9,FALSE)</f>
        <v>5</v>
      </c>
      <c r="I139" s="7" t="str">
        <f>VLOOKUP(E139,[1]characters!$A:$H,8,FALSE)</f>
        <v>red</v>
      </c>
      <c r="J139" s="7" t="str">
        <f>VLOOKUP(E139,[1]characters!$A:$K,11,FALSE)</f>
        <v>hp</v>
      </c>
      <c r="K139" s="7" t="str">
        <f>VLOOKUP(E139,[1]characters!$A:$M,13,FALSE)</f>
        <v>human</v>
      </c>
      <c r="L139" s="7" t="str">
        <f>VLOOKUP(E139,[1]characters!$A:$G,7,FALSE)</f>
        <v>男性</v>
      </c>
      <c r="M139" s="62">
        <f ca="1">IFERROR(VLOOKUP(E139,input_313101!L:R,7,FALSE),VLOOKUP(tables_313101!B139,input_313101!A:H,8,FALSE))</f>
        <v>5994</v>
      </c>
      <c r="N139" s="63">
        <f t="shared" ca="1" si="11"/>
        <v>2.1428571428571427E-4</v>
      </c>
      <c r="O139" s="31">
        <f>IFERROR(VLOOKUP($E139,bug_conf_sheet!$A:$H,3,FALSE),VLOOKUP("other",bug_conf_sheet!$A:$H,3,FALSE))</f>
        <v>1</v>
      </c>
      <c r="P139" s="31">
        <f>IFERROR(VLOOKUP($E139,bug_conf_sheet!$A:$H,4,FALSE),VLOOKUP("other",bug_conf_sheet!$A:$H,4,FALSE))</f>
        <v>0</v>
      </c>
      <c r="Q139" s="31">
        <f>IFERROR(VLOOKUP($E139,bug_conf_sheet!$A:$H,5,FALSE),VLOOKUP("other",bug_conf_sheet!$A:$H,5,FALSE))</f>
        <v>0</v>
      </c>
      <c r="R139" s="31">
        <f>IFERROR(VLOOKUP($E139,bug_conf_sheet!$A:$H,6,FALSE),VLOOKUP("other",bug_conf_sheet!$A:$H,6,FALSE))</f>
        <v>0</v>
      </c>
      <c r="S139" s="31">
        <f>IFERROR(VLOOKUP($E139,bug_conf_sheet!$A:$H,7,FALSE),VLOOKUP("other",bug_conf_sheet!$A:$H,7,FALSE))</f>
        <v>0</v>
      </c>
      <c r="T139" s="31">
        <f>IFERROR(VLOOKUP($E139,bug_conf_sheet!$A:$H,8,FALSE),VLOOKUP("other",bug_conf_sheet!$A:$H,8,FALSE))</f>
        <v>1</v>
      </c>
    </row>
    <row r="140" spans="1:20" ht="21" customHeight="1">
      <c r="A140" s="2" t="str">
        <f ca="1">input_313101!A$2</f>
        <v>313101</v>
      </c>
      <c r="B140" s="7" t="str">
        <f t="shared" si="8"/>
        <v>PremiumSSbg4</v>
      </c>
      <c r="C140" s="7" t="str">
        <f t="shared" si="9"/>
        <v>PremiumSS</v>
      </c>
      <c r="D140" s="7" t="str">
        <f t="shared" si="10"/>
        <v>bg</v>
      </c>
      <c r="E140" s="6">
        <v>322</v>
      </c>
      <c r="F140" s="7" t="str">
        <f>VLOOKUP(E140,[1]characters!$A:$C,3,FALSE)</f>
        <v>愛志士 土方歳三</v>
      </c>
      <c r="G140" s="7" t="str">
        <f>VLOOKUP(E140,[1]characters!$A:$J,10,FALSE)</f>
        <v>PremiumSS</v>
      </c>
      <c r="H140" s="7">
        <f>VLOOKUP(E140,[1]characters!$A:$I,9,FALSE)</f>
        <v>4</v>
      </c>
      <c r="I140" s="7" t="str">
        <f>VLOOKUP(E140,[1]characters!$A:$H,8,FALSE)</f>
        <v>green</v>
      </c>
      <c r="J140" s="7" t="str">
        <f>VLOOKUP(E140,[1]characters!$A:$K,11,FALSE)</f>
        <v>attack</v>
      </c>
      <c r="K140" s="7" t="str">
        <f>VLOOKUP(E140,[1]characters!$A:$M,13,FALSE)</f>
        <v>human</v>
      </c>
      <c r="L140" s="7" t="str">
        <f>VLOOKUP(E140,[1]characters!$A:$G,7,FALSE)</f>
        <v>女性</v>
      </c>
      <c r="M140" s="62">
        <f ca="1">IFERROR(VLOOKUP(E140,input_313101!L:R,7,FALSE),VLOOKUP(tables_313101!B140,input_313101!A:H,8,FALSE))</f>
        <v>41958</v>
      </c>
      <c r="N140" s="63">
        <f t="shared" ca="1" si="11"/>
        <v>1.5E-3</v>
      </c>
      <c r="O140" s="31">
        <f>IFERROR(VLOOKUP($E140,bug_conf_sheet!$A:$H,3,FALSE),VLOOKUP("other",bug_conf_sheet!$A:$H,3,FALSE))</f>
        <v>1</v>
      </c>
      <c r="P140" s="31">
        <f>IFERROR(VLOOKUP($E140,bug_conf_sheet!$A:$H,4,FALSE),VLOOKUP("other",bug_conf_sheet!$A:$H,4,FALSE))</f>
        <v>0</v>
      </c>
      <c r="Q140" s="31">
        <f>IFERROR(VLOOKUP($E140,bug_conf_sheet!$A:$H,5,FALSE),VLOOKUP("other",bug_conf_sheet!$A:$H,5,FALSE))</f>
        <v>0</v>
      </c>
      <c r="R140" s="31">
        <f>IFERROR(VLOOKUP($E140,bug_conf_sheet!$A:$H,6,FALSE),VLOOKUP("other",bug_conf_sheet!$A:$H,6,FALSE))</f>
        <v>0</v>
      </c>
      <c r="S140" s="31">
        <f>IFERROR(VLOOKUP($E140,bug_conf_sheet!$A:$H,7,FALSE),VLOOKUP("other",bug_conf_sheet!$A:$H,7,FALSE))</f>
        <v>0</v>
      </c>
      <c r="T140" s="31">
        <f>IFERROR(VLOOKUP($E140,bug_conf_sheet!$A:$H,8,FALSE),VLOOKUP("other",bug_conf_sheet!$A:$H,8,FALSE))</f>
        <v>1</v>
      </c>
    </row>
    <row r="141" spans="1:20" ht="21" customHeight="1">
      <c r="A141" s="2" t="str">
        <f ca="1">input_313101!A$2</f>
        <v>313101</v>
      </c>
      <c r="B141" s="7" t="str">
        <f t="shared" si="8"/>
        <v>PremiumSSbg5</v>
      </c>
      <c r="C141" s="7" t="str">
        <f t="shared" si="9"/>
        <v>PremiumSS</v>
      </c>
      <c r="D141" s="7" t="str">
        <f t="shared" si="10"/>
        <v>bg</v>
      </c>
      <c r="E141" s="6">
        <v>323</v>
      </c>
      <c r="F141" s="7" t="str">
        <f>VLOOKUP(E141,[1]characters!$A:$C,3,FALSE)</f>
        <v>流麗の愛志士 土方歳三</v>
      </c>
      <c r="G141" s="7" t="str">
        <f>VLOOKUP(E141,[1]characters!$A:$J,10,FALSE)</f>
        <v>PremiumSS</v>
      </c>
      <c r="H141" s="7">
        <f>VLOOKUP(E141,[1]characters!$A:$I,9,FALSE)</f>
        <v>5</v>
      </c>
      <c r="I141" s="7" t="str">
        <f>VLOOKUP(E141,[1]characters!$A:$H,8,FALSE)</f>
        <v>green</v>
      </c>
      <c r="J141" s="7" t="str">
        <f>VLOOKUP(E141,[1]characters!$A:$K,11,FALSE)</f>
        <v>attack</v>
      </c>
      <c r="K141" s="7" t="str">
        <f>VLOOKUP(E141,[1]characters!$A:$M,13,FALSE)</f>
        <v>human</v>
      </c>
      <c r="L141" s="7" t="str">
        <f>VLOOKUP(E141,[1]characters!$A:$G,7,FALSE)</f>
        <v>女性</v>
      </c>
      <c r="M141" s="62">
        <f ca="1">IFERROR(VLOOKUP(E141,input_313101!L:R,7,FALSE),VLOOKUP(tables_313101!B141,input_313101!A:H,8,FALSE))</f>
        <v>4662</v>
      </c>
      <c r="N141" s="63">
        <f t="shared" ca="1" si="11"/>
        <v>1.6666666666666666E-4</v>
      </c>
      <c r="O141" s="31">
        <f>IFERROR(VLOOKUP($E141,bug_conf_sheet!$A:$H,3,FALSE),VLOOKUP("other",bug_conf_sheet!$A:$H,3,FALSE))</f>
        <v>1</v>
      </c>
      <c r="P141" s="31">
        <f>IFERROR(VLOOKUP($E141,bug_conf_sheet!$A:$H,4,FALSE),VLOOKUP("other",bug_conf_sheet!$A:$H,4,FALSE))</f>
        <v>0</v>
      </c>
      <c r="Q141" s="31">
        <f>IFERROR(VLOOKUP($E141,bug_conf_sheet!$A:$H,5,FALSE),VLOOKUP("other",bug_conf_sheet!$A:$H,5,FALSE))</f>
        <v>0</v>
      </c>
      <c r="R141" s="31">
        <f>IFERROR(VLOOKUP($E141,bug_conf_sheet!$A:$H,6,FALSE),VLOOKUP("other",bug_conf_sheet!$A:$H,6,FALSE))</f>
        <v>0</v>
      </c>
      <c r="S141" s="31">
        <f>IFERROR(VLOOKUP($E141,bug_conf_sheet!$A:$H,7,FALSE),VLOOKUP("other",bug_conf_sheet!$A:$H,7,FALSE))</f>
        <v>0</v>
      </c>
      <c r="T141" s="31">
        <f>IFERROR(VLOOKUP($E141,bug_conf_sheet!$A:$H,8,FALSE),VLOOKUP("other",bug_conf_sheet!$A:$H,8,FALSE))</f>
        <v>1</v>
      </c>
    </row>
    <row r="142" spans="1:20" ht="21" customHeight="1">
      <c r="A142" s="2" t="str">
        <f ca="1">input_313101!A$2</f>
        <v>313101</v>
      </c>
      <c r="B142" s="7" t="str">
        <f t="shared" si="8"/>
        <v>PremiumSSbg4</v>
      </c>
      <c r="C142" s="7" t="str">
        <f t="shared" si="9"/>
        <v>PremiumSS</v>
      </c>
      <c r="D142" s="7" t="str">
        <f t="shared" si="10"/>
        <v>bg</v>
      </c>
      <c r="E142" s="6">
        <v>324</v>
      </c>
      <c r="F142" s="7" t="str">
        <f>VLOOKUP(E142,[1]characters!$A:$C,3,FALSE)</f>
        <v>凛志士 沖田総司</v>
      </c>
      <c r="G142" s="7" t="str">
        <f>VLOOKUP(E142,[1]characters!$A:$J,10,FALSE)</f>
        <v>PremiumSS</v>
      </c>
      <c r="H142" s="7">
        <f>VLOOKUP(E142,[1]characters!$A:$I,9,FALSE)</f>
        <v>4</v>
      </c>
      <c r="I142" s="7" t="str">
        <f>VLOOKUP(E142,[1]characters!$A:$H,8,FALSE)</f>
        <v>blue</v>
      </c>
      <c r="J142" s="7" t="str">
        <f>VLOOKUP(E142,[1]characters!$A:$K,11,FALSE)</f>
        <v>balance</v>
      </c>
      <c r="K142" s="7" t="str">
        <f>VLOOKUP(E142,[1]characters!$A:$M,13,FALSE)</f>
        <v>human</v>
      </c>
      <c r="L142" s="7" t="str">
        <f>VLOOKUP(E142,[1]characters!$A:$G,7,FALSE)</f>
        <v>女性</v>
      </c>
      <c r="M142" s="62">
        <f ca="1">IFERROR(VLOOKUP(E142,input_313101!L:R,7,FALSE),VLOOKUP(tables_313101!B142,input_313101!A:H,8,FALSE))</f>
        <v>41958</v>
      </c>
      <c r="N142" s="63">
        <f t="shared" ca="1" si="11"/>
        <v>1.5E-3</v>
      </c>
      <c r="O142" s="31">
        <f>IFERROR(VLOOKUP($E142,bug_conf_sheet!$A:$H,3,FALSE),VLOOKUP("other",bug_conf_sheet!$A:$H,3,FALSE))</f>
        <v>1</v>
      </c>
      <c r="P142" s="31">
        <f>IFERROR(VLOOKUP($E142,bug_conf_sheet!$A:$H,4,FALSE),VLOOKUP("other",bug_conf_sheet!$A:$H,4,FALSE))</f>
        <v>0</v>
      </c>
      <c r="Q142" s="31">
        <f>IFERROR(VLOOKUP($E142,bug_conf_sheet!$A:$H,5,FALSE),VLOOKUP("other",bug_conf_sheet!$A:$H,5,FALSE))</f>
        <v>0</v>
      </c>
      <c r="R142" s="31">
        <f>IFERROR(VLOOKUP($E142,bug_conf_sheet!$A:$H,6,FALSE),VLOOKUP("other",bug_conf_sheet!$A:$H,6,FALSE))</f>
        <v>0</v>
      </c>
      <c r="S142" s="31">
        <f>IFERROR(VLOOKUP($E142,bug_conf_sheet!$A:$H,7,FALSE),VLOOKUP("other",bug_conf_sheet!$A:$H,7,FALSE))</f>
        <v>0</v>
      </c>
      <c r="T142" s="31">
        <f>IFERROR(VLOOKUP($E142,bug_conf_sheet!$A:$H,8,FALSE),VLOOKUP("other",bug_conf_sheet!$A:$H,8,FALSE))</f>
        <v>1</v>
      </c>
    </row>
    <row r="143" spans="1:20" s="12" customFormat="1" ht="21" customHeight="1" thickBot="1">
      <c r="A143" s="2" t="str">
        <f ca="1">input_313101!A$2</f>
        <v>313101</v>
      </c>
      <c r="B143" s="7" t="str">
        <f t="shared" si="8"/>
        <v>PremiumSSbg5</v>
      </c>
      <c r="C143" s="7" t="str">
        <f t="shared" si="9"/>
        <v>PremiumSS</v>
      </c>
      <c r="D143" s="7" t="str">
        <f t="shared" si="10"/>
        <v>bg</v>
      </c>
      <c r="E143" s="6">
        <v>325</v>
      </c>
      <c r="F143" s="7" t="str">
        <f>VLOOKUP(E143,[1]characters!$A:$C,3,FALSE)</f>
        <v>天賦の凛志士 沖田総司</v>
      </c>
      <c r="G143" s="7" t="str">
        <f>VLOOKUP(E143,[1]characters!$A:$J,10,FALSE)</f>
        <v>PremiumSS</v>
      </c>
      <c r="H143" s="7">
        <f>VLOOKUP(E143,[1]characters!$A:$I,9,FALSE)</f>
        <v>5</v>
      </c>
      <c r="I143" s="7" t="str">
        <f>VLOOKUP(E143,[1]characters!$A:$H,8,FALSE)</f>
        <v>blue</v>
      </c>
      <c r="J143" s="7" t="str">
        <f>VLOOKUP(E143,[1]characters!$A:$K,11,FALSE)</f>
        <v>balance</v>
      </c>
      <c r="K143" s="7" t="str">
        <f>VLOOKUP(E143,[1]characters!$A:$M,13,FALSE)</f>
        <v>human</v>
      </c>
      <c r="L143" s="7" t="str">
        <f>VLOOKUP(E143,[1]characters!$A:$G,7,FALSE)</f>
        <v>女性</v>
      </c>
      <c r="M143" s="62">
        <f ca="1">IFERROR(VLOOKUP(E143,input_313101!L:R,7,FALSE),VLOOKUP(tables_313101!B143,input_313101!A:H,8,FALSE))</f>
        <v>4662</v>
      </c>
      <c r="N143" s="63">
        <f t="shared" ca="1" si="11"/>
        <v>1.6666666666666666E-4</v>
      </c>
      <c r="O143" s="31">
        <f>IFERROR(VLOOKUP($E143,bug_conf_sheet!$A:$H,3,FALSE),VLOOKUP("other",bug_conf_sheet!$A:$H,3,FALSE))</f>
        <v>1</v>
      </c>
      <c r="P143" s="31">
        <f>IFERROR(VLOOKUP($E143,bug_conf_sheet!$A:$H,4,FALSE),VLOOKUP("other",bug_conf_sheet!$A:$H,4,FALSE))</f>
        <v>0</v>
      </c>
      <c r="Q143" s="31">
        <f>IFERROR(VLOOKUP($E143,bug_conf_sheet!$A:$H,5,FALSE),VLOOKUP("other",bug_conf_sheet!$A:$H,5,FALSE))</f>
        <v>0</v>
      </c>
      <c r="R143" s="31">
        <f>IFERROR(VLOOKUP($E143,bug_conf_sheet!$A:$H,6,FALSE),VLOOKUP("other",bug_conf_sheet!$A:$H,6,FALSE))</f>
        <v>0</v>
      </c>
      <c r="S143" s="31">
        <f>IFERROR(VLOOKUP($E143,bug_conf_sheet!$A:$H,7,FALSE),VLOOKUP("other",bug_conf_sheet!$A:$H,7,FALSE))</f>
        <v>0</v>
      </c>
      <c r="T143" s="31">
        <f>IFERROR(VLOOKUP($E143,bug_conf_sheet!$A:$H,8,FALSE),VLOOKUP("other",bug_conf_sheet!$A:$H,8,FALSE))</f>
        <v>1</v>
      </c>
    </row>
    <row r="144" spans="1:20" ht="21" customHeight="1">
      <c r="A144" s="2" t="str">
        <f ca="1">input_313101!A$2</f>
        <v>313101</v>
      </c>
      <c r="B144" s="7" t="str">
        <f t="shared" si="8"/>
        <v>PremiumSSry4</v>
      </c>
      <c r="C144" s="7" t="str">
        <f t="shared" si="9"/>
        <v>PremiumSS</v>
      </c>
      <c r="D144" s="7" t="str">
        <f t="shared" si="10"/>
        <v>ry</v>
      </c>
      <c r="E144" s="6">
        <v>326</v>
      </c>
      <c r="F144" s="7" t="str">
        <f>VLOOKUP(E144,[1]characters!$A:$C,3,FALSE)</f>
        <v>妖志士 斎藤一</v>
      </c>
      <c r="G144" s="7" t="str">
        <f>VLOOKUP(E144,[1]characters!$A:$J,10,FALSE)</f>
        <v>PremiumSS</v>
      </c>
      <c r="H144" s="7">
        <f>VLOOKUP(E144,[1]characters!$A:$I,9,FALSE)</f>
        <v>4</v>
      </c>
      <c r="I144" s="7" t="str">
        <f>VLOOKUP(E144,[1]characters!$A:$H,8,FALSE)</f>
        <v>yellow</v>
      </c>
      <c r="J144" s="7" t="str">
        <f>VLOOKUP(E144,[1]characters!$A:$K,11,FALSE)</f>
        <v>technical</v>
      </c>
      <c r="K144" s="7" t="str">
        <f>VLOOKUP(E144,[1]characters!$A:$M,13,FALSE)</f>
        <v>human</v>
      </c>
      <c r="L144" s="7" t="str">
        <f>VLOOKUP(E144,[1]characters!$A:$G,7,FALSE)</f>
        <v>女性</v>
      </c>
      <c r="M144" s="62">
        <f ca="1">IFERROR(VLOOKUP(E144,input_313101!L:R,7,FALSE),VLOOKUP(tables_313101!B144,input_313101!A:H,8,FALSE))</f>
        <v>53946</v>
      </c>
      <c r="N144" s="63">
        <f t="shared" ca="1" si="11"/>
        <v>1.9285714285714286E-3</v>
      </c>
      <c r="O144" s="31">
        <f>IFERROR(VLOOKUP($E144,bug_conf_sheet!$A:$H,3,FALSE),VLOOKUP("other",bug_conf_sheet!$A:$H,3,FALSE))</f>
        <v>1</v>
      </c>
      <c r="P144" s="31">
        <f>IFERROR(VLOOKUP($E144,bug_conf_sheet!$A:$H,4,FALSE),VLOOKUP("other",bug_conf_sheet!$A:$H,4,FALSE))</f>
        <v>0</v>
      </c>
      <c r="Q144" s="31">
        <f>IFERROR(VLOOKUP($E144,bug_conf_sheet!$A:$H,5,FALSE),VLOOKUP("other",bug_conf_sheet!$A:$H,5,FALSE))</f>
        <v>0</v>
      </c>
      <c r="R144" s="31">
        <f>IFERROR(VLOOKUP($E144,bug_conf_sheet!$A:$H,6,FALSE),VLOOKUP("other",bug_conf_sheet!$A:$H,6,FALSE))</f>
        <v>0</v>
      </c>
      <c r="S144" s="31">
        <f>IFERROR(VLOOKUP($E144,bug_conf_sheet!$A:$H,7,FALSE),VLOOKUP("other",bug_conf_sheet!$A:$H,7,FALSE))</f>
        <v>0</v>
      </c>
      <c r="T144" s="31">
        <f>IFERROR(VLOOKUP($E144,bug_conf_sheet!$A:$H,8,FALSE),VLOOKUP("other",bug_conf_sheet!$A:$H,8,FALSE))</f>
        <v>1</v>
      </c>
    </row>
    <row r="145" spans="1:20" ht="21" customHeight="1">
      <c r="A145" s="2" t="str">
        <f ca="1">input_313101!A$2</f>
        <v>313101</v>
      </c>
      <c r="B145" s="7" t="str">
        <f t="shared" si="8"/>
        <v>PremiumSSry5</v>
      </c>
      <c r="C145" s="7" t="str">
        <f t="shared" si="9"/>
        <v>PremiumSS</v>
      </c>
      <c r="D145" s="7" t="str">
        <f t="shared" si="10"/>
        <v>ry</v>
      </c>
      <c r="E145" s="6">
        <v>327</v>
      </c>
      <c r="F145" s="7" t="str">
        <f>VLOOKUP(E145,[1]characters!$A:$C,3,FALSE)</f>
        <v>千殺の妖志士 斎藤一</v>
      </c>
      <c r="G145" s="7" t="str">
        <f>VLOOKUP(E145,[1]characters!$A:$J,10,FALSE)</f>
        <v>PremiumSS</v>
      </c>
      <c r="H145" s="7">
        <f>VLOOKUP(E145,[1]characters!$A:$I,9,FALSE)</f>
        <v>5</v>
      </c>
      <c r="I145" s="7" t="str">
        <f>VLOOKUP(E145,[1]characters!$A:$H,8,FALSE)</f>
        <v>yellow</v>
      </c>
      <c r="J145" s="7" t="str">
        <f>VLOOKUP(E145,[1]characters!$A:$K,11,FALSE)</f>
        <v>technical</v>
      </c>
      <c r="K145" s="7" t="str">
        <f>VLOOKUP(E145,[1]characters!$A:$M,13,FALSE)</f>
        <v>human</v>
      </c>
      <c r="L145" s="7" t="str">
        <f>VLOOKUP(E145,[1]characters!$A:$G,7,FALSE)</f>
        <v>女性</v>
      </c>
      <c r="M145" s="62">
        <f ca="1">IFERROR(VLOOKUP(E145,input_313101!L:R,7,FALSE),VLOOKUP(tables_313101!B145,input_313101!A:H,8,FALSE))</f>
        <v>5994</v>
      </c>
      <c r="N145" s="63">
        <f t="shared" ca="1" si="11"/>
        <v>2.1428571428571427E-4</v>
      </c>
      <c r="O145" s="31">
        <f>IFERROR(VLOOKUP($E145,bug_conf_sheet!$A:$H,3,FALSE),VLOOKUP("other",bug_conf_sheet!$A:$H,3,FALSE))</f>
        <v>1</v>
      </c>
      <c r="P145" s="31">
        <f>IFERROR(VLOOKUP($E145,bug_conf_sheet!$A:$H,4,FALSE),VLOOKUP("other",bug_conf_sheet!$A:$H,4,FALSE))</f>
        <v>0</v>
      </c>
      <c r="Q145" s="31">
        <f>IFERROR(VLOOKUP($E145,bug_conf_sheet!$A:$H,5,FALSE),VLOOKUP("other",bug_conf_sheet!$A:$H,5,FALSE))</f>
        <v>0</v>
      </c>
      <c r="R145" s="31">
        <f>IFERROR(VLOOKUP($E145,bug_conf_sheet!$A:$H,6,FALSE),VLOOKUP("other",bug_conf_sheet!$A:$H,6,FALSE))</f>
        <v>0</v>
      </c>
      <c r="S145" s="31">
        <f>IFERROR(VLOOKUP($E145,bug_conf_sheet!$A:$H,7,FALSE),VLOOKUP("other",bug_conf_sheet!$A:$H,7,FALSE))</f>
        <v>0</v>
      </c>
      <c r="T145" s="31">
        <f>IFERROR(VLOOKUP($E145,bug_conf_sheet!$A:$H,8,FALSE),VLOOKUP("other",bug_conf_sheet!$A:$H,8,FALSE))</f>
        <v>1</v>
      </c>
    </row>
    <row r="146" spans="1:20" ht="21" customHeight="1">
      <c r="A146" s="2" t="str">
        <f ca="1">input_313101!A$2</f>
        <v>313101</v>
      </c>
      <c r="B146" s="7" t="str">
        <f t="shared" si="8"/>
        <v>Premium3</v>
      </c>
      <c r="C146" s="7" t="str">
        <f t="shared" si="9"/>
        <v>Premium</v>
      </c>
      <c r="D146" s="7" t="str">
        <f t="shared" si="10"/>
        <v>ry</v>
      </c>
      <c r="E146" s="6">
        <v>380</v>
      </c>
      <c r="F146" s="7" t="str">
        <f>VLOOKUP(E146,[1]characters!$A:$C,3,FALSE)</f>
        <v>バハムート</v>
      </c>
      <c r="G146" s="7" t="str">
        <f>VLOOKUP(E146,[1]characters!$A:$J,10,FALSE)</f>
        <v>PremiumS</v>
      </c>
      <c r="H146" s="7">
        <f>VLOOKUP(E146,[1]characters!$A:$I,9,FALSE)</f>
        <v>3</v>
      </c>
      <c r="I146" s="7" t="str">
        <f>VLOOKUP(E146,[1]characters!$A:$H,8,FALSE)</f>
        <v>red</v>
      </c>
      <c r="J146" s="7" t="str">
        <f>VLOOKUP(E146,[1]characters!$A:$K,11,FALSE)</f>
        <v>technical</v>
      </c>
      <c r="K146" s="7" t="str">
        <f>VLOOKUP(E146,[1]characters!$A:$M,13,FALSE)</f>
        <v>dragon</v>
      </c>
      <c r="L146" s="7" t="str">
        <f>VLOOKUP(E146,[1]characters!$A:$G,7,FALSE)</f>
        <v>女性</v>
      </c>
      <c r="M146" s="62">
        <f ca="1">IFERROR(VLOOKUP(E146,input_313101!L:R,7,FALSE),VLOOKUP(tables_313101!B146,input_313101!A:H,8,FALSE))</f>
        <v>0</v>
      </c>
      <c r="N146" s="63">
        <f t="shared" ca="1" si="11"/>
        <v>0</v>
      </c>
      <c r="O146" s="31">
        <f>IFERROR(VLOOKUP($E146,bug_conf_sheet!$A:$H,3,FALSE),VLOOKUP("other",bug_conf_sheet!$A:$H,3,FALSE))</f>
        <v>1</v>
      </c>
      <c r="P146" s="31">
        <f>IFERROR(VLOOKUP($E146,bug_conf_sheet!$A:$H,4,FALSE),VLOOKUP("other",bug_conf_sheet!$A:$H,4,FALSE))</f>
        <v>0</v>
      </c>
      <c r="Q146" s="31">
        <f>IFERROR(VLOOKUP($E146,bug_conf_sheet!$A:$H,5,FALSE),VLOOKUP("other",bug_conf_sheet!$A:$H,5,FALSE))</f>
        <v>0</v>
      </c>
      <c r="R146" s="31">
        <f>IFERROR(VLOOKUP($E146,bug_conf_sheet!$A:$H,6,FALSE),VLOOKUP("other",bug_conf_sheet!$A:$H,6,FALSE))</f>
        <v>0</v>
      </c>
      <c r="S146" s="31">
        <f>IFERROR(VLOOKUP($E146,bug_conf_sheet!$A:$H,7,FALSE),VLOOKUP("other",bug_conf_sheet!$A:$H,7,FALSE))</f>
        <v>0</v>
      </c>
      <c r="T146" s="31">
        <f>IFERROR(VLOOKUP($E146,bug_conf_sheet!$A:$H,8,FALSE),VLOOKUP("other",bug_conf_sheet!$A:$H,8,FALSE))</f>
        <v>1</v>
      </c>
    </row>
    <row r="147" spans="1:20" ht="21" customHeight="1">
      <c r="A147" s="2" t="str">
        <f ca="1">input_313101!A$2</f>
        <v>313101</v>
      </c>
      <c r="B147" s="7" t="str">
        <f t="shared" si="8"/>
        <v>Premium4</v>
      </c>
      <c r="C147" s="7" t="str">
        <f t="shared" si="9"/>
        <v>Premium</v>
      </c>
      <c r="D147" s="7" t="str">
        <f t="shared" si="10"/>
        <v>ry</v>
      </c>
      <c r="E147" s="6">
        <v>381</v>
      </c>
      <c r="F147" s="7" t="str">
        <f>VLOOKUP(E147,[1]characters!$A:$C,3,FALSE)</f>
        <v>肉食の恋火 バハムート</v>
      </c>
      <c r="G147" s="7" t="str">
        <f>VLOOKUP(E147,[1]characters!$A:$J,10,FALSE)</f>
        <v>PremiumS</v>
      </c>
      <c r="H147" s="7">
        <f>VLOOKUP(E147,[1]characters!$A:$I,9,FALSE)</f>
        <v>4</v>
      </c>
      <c r="I147" s="7" t="str">
        <f>VLOOKUP(E147,[1]characters!$A:$H,8,FALSE)</f>
        <v>red</v>
      </c>
      <c r="J147" s="7" t="str">
        <f>VLOOKUP(E147,[1]characters!$A:$K,11,FALSE)</f>
        <v>technical</v>
      </c>
      <c r="K147" s="7" t="str">
        <f>VLOOKUP(E147,[1]characters!$A:$M,13,FALSE)</f>
        <v>dragon</v>
      </c>
      <c r="L147" s="7" t="str">
        <f>VLOOKUP(E147,[1]characters!$A:$G,7,FALSE)</f>
        <v>女性</v>
      </c>
      <c r="M147" s="62">
        <f ca="1">IFERROR(VLOOKUP(E147,input_313101!L:R,7,FALSE),VLOOKUP(tables_313101!B147,input_313101!A:H,8,FALSE))</f>
        <v>342090</v>
      </c>
      <c r="N147" s="63">
        <f t="shared" ca="1" si="11"/>
        <v>1.222972972972973E-2</v>
      </c>
      <c r="O147" s="31">
        <f>IFERROR(VLOOKUP($E147,bug_conf_sheet!$A:$H,3,FALSE),VLOOKUP("other",bug_conf_sheet!$A:$H,3,FALSE))</f>
        <v>1</v>
      </c>
      <c r="P147" s="31">
        <f>IFERROR(VLOOKUP($E147,bug_conf_sheet!$A:$H,4,FALSE),VLOOKUP("other",bug_conf_sheet!$A:$H,4,FALSE))</f>
        <v>0</v>
      </c>
      <c r="Q147" s="31">
        <f>IFERROR(VLOOKUP($E147,bug_conf_sheet!$A:$H,5,FALSE),VLOOKUP("other",bug_conf_sheet!$A:$H,5,FALSE))</f>
        <v>0</v>
      </c>
      <c r="R147" s="31">
        <f>IFERROR(VLOOKUP($E147,bug_conf_sheet!$A:$H,6,FALSE),VLOOKUP("other",bug_conf_sheet!$A:$H,6,FALSE))</f>
        <v>0</v>
      </c>
      <c r="S147" s="31">
        <f>IFERROR(VLOOKUP($E147,bug_conf_sheet!$A:$H,7,FALSE),VLOOKUP("other",bug_conf_sheet!$A:$H,7,FALSE))</f>
        <v>0</v>
      </c>
      <c r="T147" s="31">
        <f>IFERROR(VLOOKUP($E147,bug_conf_sheet!$A:$H,8,FALSE),VLOOKUP("other",bug_conf_sheet!$A:$H,8,FALSE))</f>
        <v>1</v>
      </c>
    </row>
    <row r="148" spans="1:20" ht="21" customHeight="1">
      <c r="A148" s="2" t="str">
        <f ca="1">input_313101!A$2</f>
        <v>313101</v>
      </c>
      <c r="B148" s="7" t="str">
        <f t="shared" si="8"/>
        <v>Premium5</v>
      </c>
      <c r="C148" s="7" t="str">
        <f t="shared" si="9"/>
        <v>Premium</v>
      </c>
      <c r="D148" s="7" t="str">
        <f t="shared" si="10"/>
        <v>ry</v>
      </c>
      <c r="E148" s="6">
        <v>382</v>
      </c>
      <c r="F148" s="7" t="str">
        <f>VLOOKUP(E148,[1]characters!$A:$C,3,FALSE)</f>
        <v>激情の愛炎 バハムート</v>
      </c>
      <c r="G148" s="7" t="str">
        <f>VLOOKUP(E148,[1]characters!$A:$J,10,FALSE)</f>
        <v>PremiumS</v>
      </c>
      <c r="H148" s="7">
        <f>VLOOKUP(E148,[1]characters!$A:$I,9,FALSE)</f>
        <v>5</v>
      </c>
      <c r="I148" s="7" t="str">
        <f>VLOOKUP(E148,[1]characters!$A:$H,8,FALSE)</f>
        <v>red</v>
      </c>
      <c r="J148" s="7" t="str">
        <f>VLOOKUP(E148,[1]characters!$A:$K,11,FALSE)</f>
        <v>technical</v>
      </c>
      <c r="K148" s="7" t="str">
        <f>VLOOKUP(E148,[1]characters!$A:$M,13,FALSE)</f>
        <v>dragon</v>
      </c>
      <c r="L148" s="7" t="str">
        <f>VLOOKUP(E148,[1]characters!$A:$G,7,FALSE)</f>
        <v>女性</v>
      </c>
      <c r="M148" s="62">
        <f ca="1">IFERROR(VLOOKUP(E148,input_313101!L:R,7,FALSE),VLOOKUP(tables_313101!B148,input_313101!A:H,8,FALSE))</f>
        <v>18130</v>
      </c>
      <c r="N148" s="63">
        <f t="shared" ca="1" si="11"/>
        <v>6.4814814814814813E-4</v>
      </c>
      <c r="O148" s="31">
        <f>IFERROR(VLOOKUP($E148,bug_conf_sheet!$A:$H,3,FALSE),VLOOKUP("other",bug_conf_sheet!$A:$H,3,FALSE))</f>
        <v>1</v>
      </c>
      <c r="P148" s="31">
        <f>IFERROR(VLOOKUP($E148,bug_conf_sheet!$A:$H,4,FALSE),VLOOKUP("other",bug_conf_sheet!$A:$H,4,FALSE))</f>
        <v>0</v>
      </c>
      <c r="Q148" s="31">
        <f>IFERROR(VLOOKUP($E148,bug_conf_sheet!$A:$H,5,FALSE),VLOOKUP("other",bug_conf_sheet!$A:$H,5,FALSE))</f>
        <v>0</v>
      </c>
      <c r="R148" s="31">
        <f>IFERROR(VLOOKUP($E148,bug_conf_sheet!$A:$H,6,FALSE),VLOOKUP("other",bug_conf_sheet!$A:$H,6,FALSE))</f>
        <v>0</v>
      </c>
      <c r="S148" s="31">
        <f>IFERROR(VLOOKUP($E148,bug_conf_sheet!$A:$H,7,FALSE),VLOOKUP("other",bug_conf_sheet!$A:$H,7,FALSE))</f>
        <v>0</v>
      </c>
      <c r="T148" s="31">
        <f>IFERROR(VLOOKUP($E148,bug_conf_sheet!$A:$H,8,FALSE),VLOOKUP("other",bug_conf_sheet!$A:$H,8,FALSE))</f>
        <v>1</v>
      </c>
    </row>
    <row r="149" spans="1:20" ht="21" customHeight="1">
      <c r="A149" s="2" t="str">
        <f ca="1">input_313101!A$2</f>
        <v>313101</v>
      </c>
      <c r="B149" s="7" t="str">
        <f t="shared" si="8"/>
        <v>PremiumSSbg4</v>
      </c>
      <c r="C149" s="7" t="str">
        <f t="shared" si="9"/>
        <v>PremiumSS</v>
      </c>
      <c r="D149" s="7" t="str">
        <f t="shared" si="10"/>
        <v>bg</v>
      </c>
      <c r="E149" s="6">
        <v>383</v>
      </c>
      <c r="F149" s="7" t="str">
        <f>VLOOKUP(E149,[1]characters!$A:$C,3,FALSE)</f>
        <v>酒宴の蟒蛇 ヤマタノオロチ</v>
      </c>
      <c r="G149" s="7" t="str">
        <f>VLOOKUP(E149,[1]characters!$A:$J,10,FALSE)</f>
        <v>PremiumSS</v>
      </c>
      <c r="H149" s="7">
        <f>VLOOKUP(E149,[1]characters!$A:$I,9,FALSE)</f>
        <v>4</v>
      </c>
      <c r="I149" s="7" t="str">
        <f>VLOOKUP(E149,[1]characters!$A:$H,8,FALSE)</f>
        <v>green</v>
      </c>
      <c r="J149" s="7" t="str">
        <f>VLOOKUP(E149,[1]characters!$A:$K,11,FALSE)</f>
        <v>hp</v>
      </c>
      <c r="K149" s="7" t="str">
        <f>VLOOKUP(E149,[1]characters!$A:$M,13,FALSE)</f>
        <v>dragon</v>
      </c>
      <c r="L149" s="7" t="str">
        <f>VLOOKUP(E149,[1]characters!$A:$G,7,FALSE)</f>
        <v>女性</v>
      </c>
      <c r="M149" s="62">
        <f ca="1">IFERROR(VLOOKUP(E149,input_313101!L:R,7,FALSE),VLOOKUP(tables_313101!B149,input_313101!A:H,8,FALSE))</f>
        <v>41958</v>
      </c>
      <c r="N149" s="63">
        <f t="shared" ca="1" si="11"/>
        <v>1.5E-3</v>
      </c>
      <c r="O149" s="31">
        <f>IFERROR(VLOOKUP($E149,bug_conf_sheet!$A:$H,3,FALSE),VLOOKUP("other",bug_conf_sheet!$A:$H,3,FALSE))</f>
        <v>1</v>
      </c>
      <c r="P149" s="31">
        <f>IFERROR(VLOOKUP($E149,bug_conf_sheet!$A:$H,4,FALSE),VLOOKUP("other",bug_conf_sheet!$A:$H,4,FALSE))</f>
        <v>0</v>
      </c>
      <c r="Q149" s="31">
        <f>IFERROR(VLOOKUP($E149,bug_conf_sheet!$A:$H,5,FALSE),VLOOKUP("other",bug_conf_sheet!$A:$H,5,FALSE))</f>
        <v>0</v>
      </c>
      <c r="R149" s="31">
        <f>IFERROR(VLOOKUP($E149,bug_conf_sheet!$A:$H,6,FALSE),VLOOKUP("other",bug_conf_sheet!$A:$H,6,FALSE))</f>
        <v>0</v>
      </c>
      <c r="S149" s="31">
        <f>IFERROR(VLOOKUP($E149,bug_conf_sheet!$A:$H,7,FALSE),VLOOKUP("other",bug_conf_sheet!$A:$H,7,FALSE))</f>
        <v>0</v>
      </c>
      <c r="T149" s="31">
        <f>IFERROR(VLOOKUP($E149,bug_conf_sheet!$A:$H,8,FALSE),VLOOKUP("other",bug_conf_sheet!$A:$H,8,FALSE))</f>
        <v>1</v>
      </c>
    </row>
    <row r="150" spans="1:20" ht="21" customHeight="1">
      <c r="A150" s="2" t="str">
        <f ca="1">input_313101!A$2</f>
        <v>313101</v>
      </c>
      <c r="B150" s="7" t="str">
        <f t="shared" si="8"/>
        <v>PremiumSSbg5</v>
      </c>
      <c r="C150" s="7" t="str">
        <f t="shared" si="9"/>
        <v>PremiumSS</v>
      </c>
      <c r="D150" s="7" t="str">
        <f t="shared" si="10"/>
        <v>bg</v>
      </c>
      <c r="E150" s="6">
        <v>384</v>
      </c>
      <c r="F150" s="7" t="str">
        <f>VLOOKUP(E150,[1]characters!$A:$C,3,FALSE)</f>
        <v>破国の呑龍 ヤマタノオロチ</v>
      </c>
      <c r="G150" s="7" t="str">
        <f>VLOOKUP(E150,[1]characters!$A:$J,10,FALSE)</f>
        <v>PremiumSS</v>
      </c>
      <c r="H150" s="7">
        <f>VLOOKUP(E150,[1]characters!$A:$I,9,FALSE)</f>
        <v>5</v>
      </c>
      <c r="I150" s="7" t="str">
        <f>VLOOKUP(E150,[1]characters!$A:$H,8,FALSE)</f>
        <v>green</v>
      </c>
      <c r="J150" s="7" t="str">
        <f>VLOOKUP(E150,[1]characters!$A:$K,11,FALSE)</f>
        <v>hp</v>
      </c>
      <c r="K150" s="7" t="str">
        <f>VLOOKUP(E150,[1]characters!$A:$M,13,FALSE)</f>
        <v>dragon</v>
      </c>
      <c r="L150" s="7" t="str">
        <f>VLOOKUP(E150,[1]characters!$A:$G,7,FALSE)</f>
        <v>女性</v>
      </c>
      <c r="M150" s="62">
        <f ca="1">IFERROR(VLOOKUP(E150,input_313101!L:R,7,FALSE),VLOOKUP(tables_313101!B150,input_313101!A:H,8,FALSE))</f>
        <v>4662</v>
      </c>
      <c r="N150" s="63">
        <f t="shared" ca="1" si="11"/>
        <v>1.6666666666666666E-4</v>
      </c>
      <c r="O150" s="31">
        <f>IFERROR(VLOOKUP($E150,bug_conf_sheet!$A:$H,3,FALSE),VLOOKUP("other",bug_conf_sheet!$A:$H,3,FALSE))</f>
        <v>1</v>
      </c>
      <c r="P150" s="31">
        <f>IFERROR(VLOOKUP($E150,bug_conf_sheet!$A:$H,4,FALSE),VLOOKUP("other",bug_conf_sheet!$A:$H,4,FALSE))</f>
        <v>0</v>
      </c>
      <c r="Q150" s="31">
        <f>IFERROR(VLOOKUP($E150,bug_conf_sheet!$A:$H,5,FALSE),VLOOKUP("other",bug_conf_sheet!$A:$H,5,FALSE))</f>
        <v>0</v>
      </c>
      <c r="R150" s="31">
        <f>IFERROR(VLOOKUP($E150,bug_conf_sheet!$A:$H,6,FALSE),VLOOKUP("other",bug_conf_sheet!$A:$H,6,FALSE))</f>
        <v>0</v>
      </c>
      <c r="S150" s="31">
        <f>IFERROR(VLOOKUP($E150,bug_conf_sheet!$A:$H,7,FALSE),VLOOKUP("other",bug_conf_sheet!$A:$H,7,FALSE))</f>
        <v>0</v>
      </c>
      <c r="T150" s="31">
        <f>IFERROR(VLOOKUP($E150,bug_conf_sheet!$A:$H,8,FALSE),VLOOKUP("other",bug_conf_sheet!$A:$H,8,FALSE))</f>
        <v>1</v>
      </c>
    </row>
    <row r="151" spans="1:20" ht="21" customHeight="1">
      <c r="A151" s="2" t="str">
        <f ca="1">input_313101!A$2</f>
        <v>313101</v>
      </c>
      <c r="B151" s="7" t="str">
        <f t="shared" si="8"/>
        <v>PremiumSSbg4</v>
      </c>
      <c r="C151" s="7" t="str">
        <f t="shared" si="9"/>
        <v>PremiumSS</v>
      </c>
      <c r="D151" s="7" t="str">
        <f t="shared" si="10"/>
        <v>bg</v>
      </c>
      <c r="E151" s="6">
        <v>385</v>
      </c>
      <c r="F151" s="7" t="str">
        <f>VLOOKUP(E151,[1]characters!$A:$C,3,FALSE)</f>
        <v>波烈の出奔 リヴァイアサン</v>
      </c>
      <c r="G151" s="7" t="str">
        <f>VLOOKUP(E151,[1]characters!$A:$J,10,FALSE)</f>
        <v>PremiumSS</v>
      </c>
      <c r="H151" s="7">
        <f>VLOOKUP(E151,[1]characters!$A:$I,9,FALSE)</f>
        <v>4</v>
      </c>
      <c r="I151" s="7" t="str">
        <f>VLOOKUP(E151,[1]characters!$A:$H,8,FALSE)</f>
        <v>blue</v>
      </c>
      <c r="J151" s="7" t="str">
        <f>VLOOKUP(E151,[1]characters!$A:$K,11,FALSE)</f>
        <v>balance</v>
      </c>
      <c r="K151" s="7" t="str">
        <f>VLOOKUP(E151,[1]characters!$A:$M,13,FALSE)</f>
        <v>dragon</v>
      </c>
      <c r="L151" s="7" t="str">
        <f>VLOOKUP(E151,[1]characters!$A:$G,7,FALSE)</f>
        <v>女性</v>
      </c>
      <c r="M151" s="62">
        <f ca="1">IFERROR(VLOOKUP(E151,input_313101!L:R,7,FALSE),VLOOKUP(tables_313101!B151,input_313101!A:H,8,FALSE))</f>
        <v>41958</v>
      </c>
      <c r="N151" s="63">
        <f t="shared" ca="1" si="11"/>
        <v>1.5E-3</v>
      </c>
      <c r="O151" s="31">
        <f>IFERROR(VLOOKUP($E151,bug_conf_sheet!$A:$H,3,FALSE),VLOOKUP("other",bug_conf_sheet!$A:$H,3,FALSE))</f>
        <v>1</v>
      </c>
      <c r="P151" s="31">
        <f>IFERROR(VLOOKUP($E151,bug_conf_sheet!$A:$H,4,FALSE),VLOOKUP("other",bug_conf_sheet!$A:$H,4,FALSE))</f>
        <v>0</v>
      </c>
      <c r="Q151" s="31">
        <f>IFERROR(VLOOKUP($E151,bug_conf_sheet!$A:$H,5,FALSE),VLOOKUP("other",bug_conf_sheet!$A:$H,5,FALSE))</f>
        <v>0</v>
      </c>
      <c r="R151" s="31">
        <f>IFERROR(VLOOKUP($E151,bug_conf_sheet!$A:$H,6,FALSE),VLOOKUP("other",bug_conf_sheet!$A:$H,6,FALSE))</f>
        <v>0</v>
      </c>
      <c r="S151" s="31">
        <f>IFERROR(VLOOKUP($E151,bug_conf_sheet!$A:$H,7,FALSE),VLOOKUP("other",bug_conf_sheet!$A:$H,7,FALSE))</f>
        <v>0</v>
      </c>
      <c r="T151" s="31">
        <f>IFERROR(VLOOKUP($E151,bug_conf_sheet!$A:$H,8,FALSE),VLOOKUP("other",bug_conf_sheet!$A:$H,8,FALSE))</f>
        <v>1</v>
      </c>
    </row>
    <row r="152" spans="1:20" ht="21" customHeight="1">
      <c r="A152" s="2" t="str">
        <f ca="1">input_313101!A$2</f>
        <v>313101</v>
      </c>
      <c r="B152" s="7" t="str">
        <f t="shared" si="8"/>
        <v>PremiumSSbg5</v>
      </c>
      <c r="C152" s="7" t="str">
        <f t="shared" si="9"/>
        <v>PremiumSS</v>
      </c>
      <c r="D152" s="7" t="str">
        <f t="shared" si="10"/>
        <v>bg</v>
      </c>
      <c r="E152" s="6">
        <v>386</v>
      </c>
      <c r="F152" s="7" t="str">
        <f>VLOOKUP(E152,[1]characters!$A:$C,3,FALSE)</f>
        <v>氾乱の海龍 リヴァイアサン</v>
      </c>
      <c r="G152" s="7" t="str">
        <f>VLOOKUP(E152,[1]characters!$A:$J,10,FALSE)</f>
        <v>PremiumSS</v>
      </c>
      <c r="H152" s="7">
        <f>VLOOKUP(E152,[1]characters!$A:$I,9,FALSE)</f>
        <v>5</v>
      </c>
      <c r="I152" s="7" t="str">
        <f>VLOOKUP(E152,[1]characters!$A:$H,8,FALSE)</f>
        <v>blue</v>
      </c>
      <c r="J152" s="7" t="str">
        <f>VLOOKUP(E152,[1]characters!$A:$K,11,FALSE)</f>
        <v>balance</v>
      </c>
      <c r="K152" s="7" t="str">
        <f>VLOOKUP(E152,[1]characters!$A:$M,13,FALSE)</f>
        <v>dragon</v>
      </c>
      <c r="L152" s="7" t="str">
        <f>VLOOKUP(E152,[1]characters!$A:$G,7,FALSE)</f>
        <v>女性</v>
      </c>
      <c r="M152" s="62">
        <f ca="1">IFERROR(VLOOKUP(E152,input_313101!L:R,7,FALSE),VLOOKUP(tables_313101!B152,input_313101!A:H,8,FALSE))</f>
        <v>4662</v>
      </c>
      <c r="N152" s="63">
        <f t="shared" ca="1" si="11"/>
        <v>1.6666666666666666E-4</v>
      </c>
      <c r="O152" s="31">
        <f>IFERROR(VLOOKUP($E152,bug_conf_sheet!$A:$H,3,FALSE),VLOOKUP("other",bug_conf_sheet!$A:$H,3,FALSE))</f>
        <v>1</v>
      </c>
      <c r="P152" s="31">
        <f>IFERROR(VLOOKUP($E152,bug_conf_sheet!$A:$H,4,FALSE),VLOOKUP("other",bug_conf_sheet!$A:$H,4,FALSE))</f>
        <v>0</v>
      </c>
      <c r="Q152" s="31">
        <f>IFERROR(VLOOKUP($E152,bug_conf_sheet!$A:$H,5,FALSE),VLOOKUP("other",bug_conf_sheet!$A:$H,5,FALSE))</f>
        <v>0</v>
      </c>
      <c r="R152" s="31">
        <f>IFERROR(VLOOKUP($E152,bug_conf_sheet!$A:$H,6,FALSE),VLOOKUP("other",bug_conf_sheet!$A:$H,6,FALSE))</f>
        <v>0</v>
      </c>
      <c r="S152" s="31">
        <f>IFERROR(VLOOKUP($E152,bug_conf_sheet!$A:$H,7,FALSE),VLOOKUP("other",bug_conf_sheet!$A:$H,7,FALSE))</f>
        <v>0</v>
      </c>
      <c r="T152" s="31">
        <f>IFERROR(VLOOKUP($E152,bug_conf_sheet!$A:$H,8,FALSE),VLOOKUP("other",bug_conf_sheet!$A:$H,8,FALSE))</f>
        <v>1</v>
      </c>
    </row>
    <row r="153" spans="1:20" ht="21" customHeight="1">
      <c r="A153" s="2" t="str">
        <f ca="1">input_313101!A$2</f>
        <v>313101</v>
      </c>
      <c r="B153" s="7" t="str">
        <f t="shared" si="8"/>
        <v>Premium3</v>
      </c>
      <c r="C153" s="7" t="str">
        <f t="shared" si="9"/>
        <v>Premium</v>
      </c>
      <c r="D153" s="7" t="str">
        <f t="shared" si="10"/>
        <v>ry</v>
      </c>
      <c r="E153" s="6">
        <v>387</v>
      </c>
      <c r="F153" s="7" t="str">
        <f>VLOOKUP(E153,[1]characters!$A:$C,3,FALSE)</f>
        <v>スフィンクス</v>
      </c>
      <c r="G153" s="7" t="str">
        <f>VLOOKUP(E153,[1]characters!$A:$J,10,FALSE)</f>
        <v>PremiumS</v>
      </c>
      <c r="H153" s="7">
        <f>VLOOKUP(E153,[1]characters!$A:$I,9,FALSE)</f>
        <v>3</v>
      </c>
      <c r="I153" s="7" t="str">
        <f>VLOOKUP(E153,[1]characters!$A:$H,8,FALSE)</f>
        <v>yellow</v>
      </c>
      <c r="J153" s="7" t="str">
        <f>VLOOKUP(E153,[1]characters!$A:$K,11,FALSE)</f>
        <v>heal</v>
      </c>
      <c r="K153" s="7" t="str">
        <f>VLOOKUP(E153,[1]characters!$A:$M,13,FALSE)</f>
        <v>animal</v>
      </c>
      <c r="L153" s="7" t="str">
        <f>VLOOKUP(E153,[1]characters!$A:$G,7,FALSE)</f>
        <v>女性</v>
      </c>
      <c r="M153" s="62">
        <f ca="1">IFERROR(VLOOKUP(E153,input_313101!L:R,7,FALSE),VLOOKUP(tables_313101!B153,input_313101!A:H,8,FALSE))</f>
        <v>0</v>
      </c>
      <c r="N153" s="63">
        <f t="shared" ca="1" si="11"/>
        <v>0</v>
      </c>
      <c r="O153" s="31">
        <f>IFERROR(VLOOKUP($E153,bug_conf_sheet!$A:$H,3,FALSE),VLOOKUP("other",bug_conf_sheet!$A:$H,3,FALSE))</f>
        <v>1</v>
      </c>
      <c r="P153" s="31">
        <f>IFERROR(VLOOKUP($E153,bug_conf_sheet!$A:$H,4,FALSE),VLOOKUP("other",bug_conf_sheet!$A:$H,4,FALSE))</f>
        <v>0</v>
      </c>
      <c r="Q153" s="31">
        <f>IFERROR(VLOOKUP($E153,bug_conf_sheet!$A:$H,5,FALSE),VLOOKUP("other",bug_conf_sheet!$A:$H,5,FALSE))</f>
        <v>0</v>
      </c>
      <c r="R153" s="31">
        <f>IFERROR(VLOOKUP($E153,bug_conf_sheet!$A:$H,6,FALSE),VLOOKUP("other",bug_conf_sheet!$A:$H,6,FALSE))</f>
        <v>0</v>
      </c>
      <c r="S153" s="31">
        <f>IFERROR(VLOOKUP($E153,bug_conf_sheet!$A:$H,7,FALSE),VLOOKUP("other",bug_conf_sheet!$A:$H,7,FALSE))</f>
        <v>0</v>
      </c>
      <c r="T153" s="31">
        <f>IFERROR(VLOOKUP($E153,bug_conf_sheet!$A:$H,8,FALSE),VLOOKUP("other",bug_conf_sheet!$A:$H,8,FALSE))</f>
        <v>1</v>
      </c>
    </row>
    <row r="154" spans="1:20" ht="21" customHeight="1">
      <c r="A154" s="2" t="str">
        <f ca="1">input_313101!A$2</f>
        <v>313101</v>
      </c>
      <c r="B154" s="7" t="str">
        <f t="shared" si="8"/>
        <v>Premium4</v>
      </c>
      <c r="C154" s="7" t="str">
        <f t="shared" si="9"/>
        <v>Premium</v>
      </c>
      <c r="D154" s="7" t="str">
        <f t="shared" si="10"/>
        <v>ry</v>
      </c>
      <c r="E154" s="6">
        <v>388</v>
      </c>
      <c r="F154" s="7" t="str">
        <f>VLOOKUP(E154,[1]characters!$A:$C,3,FALSE)</f>
        <v>神円の恋姫 スフィンクス</v>
      </c>
      <c r="G154" s="7" t="str">
        <f>VLOOKUP(E154,[1]characters!$A:$J,10,FALSE)</f>
        <v>PremiumS</v>
      </c>
      <c r="H154" s="7">
        <f>VLOOKUP(E154,[1]characters!$A:$I,9,FALSE)</f>
        <v>4</v>
      </c>
      <c r="I154" s="7" t="str">
        <f>VLOOKUP(E154,[1]characters!$A:$H,8,FALSE)</f>
        <v>yellow</v>
      </c>
      <c r="J154" s="7" t="str">
        <f>VLOOKUP(E154,[1]characters!$A:$K,11,FALSE)</f>
        <v>heal</v>
      </c>
      <c r="K154" s="7" t="str">
        <f>VLOOKUP(E154,[1]characters!$A:$M,13,FALSE)</f>
        <v>animal</v>
      </c>
      <c r="L154" s="7" t="str">
        <f>VLOOKUP(E154,[1]characters!$A:$G,7,FALSE)</f>
        <v>女性</v>
      </c>
      <c r="M154" s="62">
        <f ca="1">IFERROR(VLOOKUP(E154,input_313101!L:R,7,FALSE),VLOOKUP(tables_313101!B154,input_313101!A:H,8,FALSE))</f>
        <v>342090</v>
      </c>
      <c r="N154" s="63">
        <f t="shared" ca="1" si="11"/>
        <v>1.222972972972973E-2</v>
      </c>
      <c r="O154" s="31">
        <f>IFERROR(VLOOKUP($E154,bug_conf_sheet!$A:$H,3,FALSE),VLOOKUP("other",bug_conf_sheet!$A:$H,3,FALSE))</f>
        <v>1</v>
      </c>
      <c r="P154" s="31">
        <f>IFERROR(VLOOKUP($E154,bug_conf_sheet!$A:$H,4,FALSE),VLOOKUP("other",bug_conf_sheet!$A:$H,4,FALSE))</f>
        <v>0</v>
      </c>
      <c r="Q154" s="31">
        <f>IFERROR(VLOOKUP($E154,bug_conf_sheet!$A:$H,5,FALSE),VLOOKUP("other",bug_conf_sheet!$A:$H,5,FALSE))</f>
        <v>0</v>
      </c>
      <c r="R154" s="31">
        <f>IFERROR(VLOOKUP($E154,bug_conf_sheet!$A:$H,6,FALSE),VLOOKUP("other",bug_conf_sheet!$A:$H,6,FALSE))</f>
        <v>0</v>
      </c>
      <c r="S154" s="31">
        <f>IFERROR(VLOOKUP($E154,bug_conf_sheet!$A:$H,7,FALSE),VLOOKUP("other",bug_conf_sheet!$A:$H,7,FALSE))</f>
        <v>0</v>
      </c>
      <c r="T154" s="31">
        <f>IFERROR(VLOOKUP($E154,bug_conf_sheet!$A:$H,8,FALSE),VLOOKUP("other",bug_conf_sheet!$A:$H,8,FALSE))</f>
        <v>1</v>
      </c>
    </row>
    <row r="155" spans="1:20" ht="21" customHeight="1">
      <c r="A155" s="2" t="str">
        <f ca="1">input_313101!A$2</f>
        <v>313101</v>
      </c>
      <c r="B155" s="7" t="str">
        <f t="shared" si="8"/>
        <v>Premium5</v>
      </c>
      <c r="C155" s="7" t="str">
        <f t="shared" si="9"/>
        <v>Premium</v>
      </c>
      <c r="D155" s="7" t="str">
        <f t="shared" si="10"/>
        <v>ry</v>
      </c>
      <c r="E155" s="6">
        <v>389</v>
      </c>
      <c r="F155" s="7" t="str">
        <f>VLOOKUP(E155,[1]characters!$A:$C,3,FALSE)</f>
        <v>操神の愛姫 スフィンクス</v>
      </c>
      <c r="G155" s="7" t="str">
        <f>VLOOKUP(E155,[1]characters!$A:$J,10,FALSE)</f>
        <v>PremiumS</v>
      </c>
      <c r="H155" s="7">
        <f>VLOOKUP(E155,[1]characters!$A:$I,9,FALSE)</f>
        <v>5</v>
      </c>
      <c r="I155" s="7" t="str">
        <f>VLOOKUP(E155,[1]characters!$A:$H,8,FALSE)</f>
        <v>yellow</v>
      </c>
      <c r="J155" s="7" t="str">
        <f>VLOOKUP(E155,[1]characters!$A:$K,11,FALSE)</f>
        <v>heal</v>
      </c>
      <c r="K155" s="7" t="str">
        <f>VLOOKUP(E155,[1]characters!$A:$M,13,FALSE)</f>
        <v>animal</v>
      </c>
      <c r="L155" s="7" t="str">
        <f>VLOOKUP(E155,[1]characters!$A:$G,7,FALSE)</f>
        <v>女性</v>
      </c>
      <c r="M155" s="62">
        <f ca="1">IFERROR(VLOOKUP(E155,input_313101!L:R,7,FALSE),VLOOKUP(tables_313101!B155,input_313101!A:H,8,FALSE))</f>
        <v>18130</v>
      </c>
      <c r="N155" s="63">
        <f t="shared" ca="1" si="11"/>
        <v>6.4814814814814813E-4</v>
      </c>
      <c r="O155" s="31">
        <f>IFERROR(VLOOKUP($E155,bug_conf_sheet!$A:$H,3,FALSE),VLOOKUP("other",bug_conf_sheet!$A:$H,3,FALSE))</f>
        <v>1</v>
      </c>
      <c r="P155" s="31">
        <f>IFERROR(VLOOKUP($E155,bug_conf_sheet!$A:$H,4,FALSE),VLOOKUP("other",bug_conf_sheet!$A:$H,4,FALSE))</f>
        <v>0</v>
      </c>
      <c r="Q155" s="31">
        <f>IFERROR(VLOOKUP($E155,bug_conf_sheet!$A:$H,5,FALSE),VLOOKUP("other",bug_conf_sheet!$A:$H,5,FALSE))</f>
        <v>0</v>
      </c>
      <c r="R155" s="31">
        <f>IFERROR(VLOOKUP($E155,bug_conf_sheet!$A:$H,6,FALSE),VLOOKUP("other",bug_conf_sheet!$A:$H,6,FALSE))</f>
        <v>0</v>
      </c>
      <c r="S155" s="31">
        <f>IFERROR(VLOOKUP($E155,bug_conf_sheet!$A:$H,7,FALSE),VLOOKUP("other",bug_conf_sheet!$A:$H,7,FALSE))</f>
        <v>0</v>
      </c>
      <c r="T155" s="31">
        <f>IFERROR(VLOOKUP($E155,bug_conf_sheet!$A:$H,8,FALSE),VLOOKUP("other",bug_conf_sheet!$A:$H,8,FALSE))</f>
        <v>1</v>
      </c>
    </row>
    <row r="156" spans="1:20" ht="21" customHeight="1">
      <c r="A156" s="2" t="str">
        <f ca="1">input_313101!A$2</f>
        <v>313101</v>
      </c>
      <c r="B156" s="7" t="str">
        <f t="shared" si="8"/>
        <v>PremiumSSry4</v>
      </c>
      <c r="C156" s="7" t="str">
        <f t="shared" si="9"/>
        <v>PremiumSS</v>
      </c>
      <c r="D156" s="7" t="str">
        <f t="shared" si="10"/>
        <v>ry</v>
      </c>
      <c r="E156" s="6">
        <v>390</v>
      </c>
      <c r="F156" s="7" t="str">
        <f>VLOOKUP(E156,[1]characters!$A:$C,3,FALSE)</f>
        <v>華環の旅客 親指姫</v>
      </c>
      <c r="G156" s="7" t="str">
        <f>VLOOKUP(E156,[1]characters!$A:$J,10,FALSE)</f>
        <v>PremiumSS</v>
      </c>
      <c r="H156" s="7">
        <f>VLOOKUP(E156,[1]characters!$A:$I,9,FALSE)</f>
        <v>4</v>
      </c>
      <c r="I156" s="7" t="str">
        <f>VLOOKUP(E156,[1]characters!$A:$H,8,FALSE)</f>
        <v>red</v>
      </c>
      <c r="J156" s="7" t="str">
        <f>VLOOKUP(E156,[1]characters!$A:$K,11,FALSE)</f>
        <v>heal</v>
      </c>
      <c r="K156" s="7" t="str">
        <f>VLOOKUP(E156,[1]characters!$A:$M,13,FALSE)</f>
        <v>human</v>
      </c>
      <c r="L156" s="7" t="str">
        <f>VLOOKUP(E156,[1]characters!$A:$G,7,FALSE)</f>
        <v>女性</v>
      </c>
      <c r="M156" s="62">
        <f ca="1">IFERROR(VLOOKUP(E156,input_313101!L:R,7,FALSE),VLOOKUP(tables_313101!B156,input_313101!A:H,8,FALSE))</f>
        <v>53946</v>
      </c>
      <c r="N156" s="63">
        <f t="shared" ca="1" si="11"/>
        <v>1.9285714285714286E-3</v>
      </c>
      <c r="O156" s="31">
        <f>IFERROR(VLOOKUP($E156,bug_conf_sheet!$A:$H,3,FALSE),VLOOKUP("other",bug_conf_sheet!$A:$H,3,FALSE))</f>
        <v>1</v>
      </c>
      <c r="P156" s="31">
        <f>IFERROR(VLOOKUP($E156,bug_conf_sheet!$A:$H,4,FALSE),VLOOKUP("other",bug_conf_sheet!$A:$H,4,FALSE))</f>
        <v>0</v>
      </c>
      <c r="Q156" s="31">
        <f>IFERROR(VLOOKUP($E156,bug_conf_sheet!$A:$H,5,FALSE),VLOOKUP("other",bug_conf_sheet!$A:$H,5,FALSE))</f>
        <v>0</v>
      </c>
      <c r="R156" s="31">
        <f>IFERROR(VLOOKUP($E156,bug_conf_sheet!$A:$H,6,FALSE),VLOOKUP("other",bug_conf_sheet!$A:$H,6,FALSE))</f>
        <v>0</v>
      </c>
      <c r="S156" s="31">
        <f>IFERROR(VLOOKUP($E156,bug_conf_sheet!$A:$H,7,FALSE),VLOOKUP("other",bug_conf_sheet!$A:$H,7,FALSE))</f>
        <v>0</v>
      </c>
      <c r="T156" s="31">
        <f>IFERROR(VLOOKUP($E156,bug_conf_sheet!$A:$H,8,FALSE),VLOOKUP("other",bug_conf_sheet!$A:$H,8,FALSE))</f>
        <v>1</v>
      </c>
    </row>
    <row r="157" spans="1:20" ht="21" customHeight="1">
      <c r="A157" s="2" t="str">
        <f ca="1">input_313101!A$2</f>
        <v>313101</v>
      </c>
      <c r="B157" s="7" t="str">
        <f t="shared" si="8"/>
        <v>PremiumSSry5</v>
      </c>
      <c r="C157" s="7" t="str">
        <f t="shared" si="9"/>
        <v>PremiumSS</v>
      </c>
      <c r="D157" s="7" t="str">
        <f t="shared" si="10"/>
        <v>ry</v>
      </c>
      <c r="E157" s="6">
        <v>391</v>
      </c>
      <c r="F157" s="7" t="str">
        <f>VLOOKUP(E157,[1]characters!$A:$C,3,FALSE)</f>
        <v>燕翼の旅人 親指姫</v>
      </c>
      <c r="G157" s="7" t="str">
        <f>VLOOKUP(E157,[1]characters!$A:$J,10,FALSE)</f>
        <v>PremiumSS</v>
      </c>
      <c r="H157" s="7">
        <f>VLOOKUP(E157,[1]characters!$A:$I,9,FALSE)</f>
        <v>5</v>
      </c>
      <c r="I157" s="7" t="str">
        <f>VLOOKUP(E157,[1]characters!$A:$H,8,FALSE)</f>
        <v>red</v>
      </c>
      <c r="J157" s="7" t="str">
        <f>VLOOKUP(E157,[1]characters!$A:$K,11,FALSE)</f>
        <v>heal</v>
      </c>
      <c r="K157" s="7" t="str">
        <f>VLOOKUP(E157,[1]characters!$A:$M,13,FALSE)</f>
        <v>human</v>
      </c>
      <c r="L157" s="7" t="str">
        <f>VLOOKUP(E157,[1]characters!$A:$G,7,FALSE)</f>
        <v>女性</v>
      </c>
      <c r="M157" s="62">
        <f ca="1">IFERROR(VLOOKUP(E157,input_313101!L:R,7,FALSE),VLOOKUP(tables_313101!B157,input_313101!A:H,8,FALSE))</f>
        <v>5994</v>
      </c>
      <c r="N157" s="63">
        <f t="shared" ca="1" si="11"/>
        <v>2.1428571428571427E-4</v>
      </c>
      <c r="O157" s="31">
        <f>IFERROR(VLOOKUP($E157,bug_conf_sheet!$A:$H,3,FALSE),VLOOKUP("other",bug_conf_sheet!$A:$H,3,FALSE))</f>
        <v>1</v>
      </c>
      <c r="P157" s="31">
        <f>IFERROR(VLOOKUP($E157,bug_conf_sheet!$A:$H,4,FALSE),VLOOKUP("other",bug_conf_sheet!$A:$H,4,FALSE))</f>
        <v>0</v>
      </c>
      <c r="Q157" s="31">
        <f>IFERROR(VLOOKUP($E157,bug_conf_sheet!$A:$H,5,FALSE),VLOOKUP("other",bug_conf_sheet!$A:$H,5,FALSE))</f>
        <v>0</v>
      </c>
      <c r="R157" s="31">
        <f>IFERROR(VLOOKUP($E157,bug_conf_sheet!$A:$H,6,FALSE),VLOOKUP("other",bug_conf_sheet!$A:$H,6,FALSE))</f>
        <v>0</v>
      </c>
      <c r="S157" s="31">
        <f>IFERROR(VLOOKUP($E157,bug_conf_sheet!$A:$H,7,FALSE),VLOOKUP("other",bug_conf_sheet!$A:$H,7,FALSE))</f>
        <v>0</v>
      </c>
      <c r="T157" s="31">
        <f>IFERROR(VLOOKUP($E157,bug_conf_sheet!$A:$H,8,FALSE),VLOOKUP("other",bug_conf_sheet!$A:$H,8,FALSE))</f>
        <v>1</v>
      </c>
    </row>
    <row r="158" spans="1:20" ht="21" customHeight="1">
      <c r="A158" s="2" t="str">
        <f ca="1">input_313101!A$2</f>
        <v>313101</v>
      </c>
      <c r="B158" s="7" t="str">
        <f t="shared" si="8"/>
        <v>Premium3</v>
      </c>
      <c r="C158" s="7" t="str">
        <f t="shared" si="9"/>
        <v>Premium</v>
      </c>
      <c r="D158" s="7" t="str">
        <f t="shared" si="10"/>
        <v>bg</v>
      </c>
      <c r="E158" s="6">
        <v>392</v>
      </c>
      <c r="F158" s="7" t="str">
        <f>VLOOKUP(E158,[1]characters!$A:$C,3,FALSE)</f>
        <v>ピーターパン</v>
      </c>
      <c r="G158" s="7" t="str">
        <f>VLOOKUP(E158,[1]characters!$A:$J,10,FALSE)</f>
        <v>PremiumS</v>
      </c>
      <c r="H158" s="7">
        <f>VLOOKUP(E158,[1]characters!$A:$I,9,FALSE)</f>
        <v>3</v>
      </c>
      <c r="I158" s="7" t="str">
        <f>VLOOKUP(E158,[1]characters!$A:$H,8,FALSE)</f>
        <v>green</v>
      </c>
      <c r="J158" s="7" t="str">
        <f>VLOOKUP(E158,[1]characters!$A:$K,11,FALSE)</f>
        <v>attack</v>
      </c>
      <c r="K158" s="7" t="str">
        <f>VLOOKUP(E158,[1]characters!$A:$M,13,FALSE)</f>
        <v>human</v>
      </c>
      <c r="L158" s="7" t="str">
        <f>VLOOKUP(E158,[1]characters!$A:$G,7,FALSE)</f>
        <v>男性</v>
      </c>
      <c r="M158" s="62">
        <f ca="1">IFERROR(VLOOKUP(E158,input_313101!L:R,7,FALSE),VLOOKUP(tables_313101!B158,input_313101!A:H,8,FALSE))</f>
        <v>0</v>
      </c>
      <c r="N158" s="63">
        <f t="shared" ca="1" si="11"/>
        <v>0</v>
      </c>
      <c r="O158" s="31">
        <f>IFERROR(VLOOKUP($E158,bug_conf_sheet!$A:$H,3,FALSE),VLOOKUP("other",bug_conf_sheet!$A:$H,3,FALSE))</f>
        <v>1</v>
      </c>
      <c r="P158" s="31">
        <f>IFERROR(VLOOKUP($E158,bug_conf_sheet!$A:$H,4,FALSE),VLOOKUP("other",bug_conf_sheet!$A:$H,4,FALSE))</f>
        <v>0</v>
      </c>
      <c r="Q158" s="31">
        <f>IFERROR(VLOOKUP($E158,bug_conf_sheet!$A:$H,5,FALSE),VLOOKUP("other",bug_conf_sheet!$A:$H,5,FALSE))</f>
        <v>0</v>
      </c>
      <c r="R158" s="31">
        <f>IFERROR(VLOOKUP($E158,bug_conf_sheet!$A:$H,6,FALSE),VLOOKUP("other",bug_conf_sheet!$A:$H,6,FALSE))</f>
        <v>0</v>
      </c>
      <c r="S158" s="31">
        <f>IFERROR(VLOOKUP($E158,bug_conf_sheet!$A:$H,7,FALSE),VLOOKUP("other",bug_conf_sheet!$A:$H,7,FALSE))</f>
        <v>0</v>
      </c>
      <c r="T158" s="31">
        <f>IFERROR(VLOOKUP($E158,bug_conf_sheet!$A:$H,8,FALSE),VLOOKUP("other",bug_conf_sheet!$A:$H,8,FALSE))</f>
        <v>1</v>
      </c>
    </row>
    <row r="159" spans="1:20" ht="21" customHeight="1">
      <c r="A159" s="2" t="str">
        <f ca="1">input_313101!A$2</f>
        <v>313101</v>
      </c>
      <c r="B159" s="7" t="str">
        <f t="shared" si="8"/>
        <v>Premium4</v>
      </c>
      <c r="C159" s="7" t="str">
        <f t="shared" si="9"/>
        <v>Premium</v>
      </c>
      <c r="D159" s="7" t="str">
        <f t="shared" si="10"/>
        <v>bg</v>
      </c>
      <c r="E159" s="6">
        <v>393</v>
      </c>
      <c r="F159" s="7" t="str">
        <f>VLOOKUP(E159,[1]characters!$A:$C,3,FALSE)</f>
        <v>影縫い ピーターパン</v>
      </c>
      <c r="G159" s="7" t="str">
        <f>VLOOKUP(E159,[1]characters!$A:$J,10,FALSE)</f>
        <v>PremiumS</v>
      </c>
      <c r="H159" s="7">
        <f>VLOOKUP(E159,[1]characters!$A:$I,9,FALSE)</f>
        <v>4</v>
      </c>
      <c r="I159" s="7" t="str">
        <f>VLOOKUP(E159,[1]characters!$A:$H,8,FALSE)</f>
        <v>green</v>
      </c>
      <c r="J159" s="7" t="str">
        <f>VLOOKUP(E159,[1]characters!$A:$K,11,FALSE)</f>
        <v>attack</v>
      </c>
      <c r="K159" s="7" t="str">
        <f>VLOOKUP(E159,[1]characters!$A:$M,13,FALSE)</f>
        <v>human</v>
      </c>
      <c r="L159" s="7" t="str">
        <f>VLOOKUP(E159,[1]characters!$A:$G,7,FALSE)</f>
        <v>男性</v>
      </c>
      <c r="M159" s="62">
        <f ca="1">IFERROR(VLOOKUP(E159,input_313101!L:R,7,FALSE),VLOOKUP(tables_313101!B159,input_313101!A:H,8,FALSE))</f>
        <v>342090</v>
      </c>
      <c r="N159" s="63">
        <f t="shared" ca="1" si="11"/>
        <v>1.222972972972973E-2</v>
      </c>
      <c r="O159" s="31">
        <f>IFERROR(VLOOKUP($E159,bug_conf_sheet!$A:$H,3,FALSE),VLOOKUP("other",bug_conf_sheet!$A:$H,3,FALSE))</f>
        <v>1</v>
      </c>
      <c r="P159" s="31">
        <f>IFERROR(VLOOKUP($E159,bug_conf_sheet!$A:$H,4,FALSE),VLOOKUP("other",bug_conf_sheet!$A:$H,4,FALSE))</f>
        <v>0</v>
      </c>
      <c r="Q159" s="31">
        <f>IFERROR(VLOOKUP($E159,bug_conf_sheet!$A:$H,5,FALSE),VLOOKUP("other",bug_conf_sheet!$A:$H,5,FALSE))</f>
        <v>0</v>
      </c>
      <c r="R159" s="31">
        <f>IFERROR(VLOOKUP($E159,bug_conf_sheet!$A:$H,6,FALSE),VLOOKUP("other",bug_conf_sheet!$A:$H,6,FALSE))</f>
        <v>0</v>
      </c>
      <c r="S159" s="31">
        <f>IFERROR(VLOOKUP($E159,bug_conf_sheet!$A:$H,7,FALSE),VLOOKUP("other",bug_conf_sheet!$A:$H,7,FALSE))</f>
        <v>0</v>
      </c>
      <c r="T159" s="31">
        <f>IFERROR(VLOOKUP($E159,bug_conf_sheet!$A:$H,8,FALSE),VLOOKUP("other",bug_conf_sheet!$A:$H,8,FALSE))</f>
        <v>1</v>
      </c>
    </row>
    <row r="160" spans="1:20" ht="21" customHeight="1">
      <c r="A160" s="2" t="str">
        <f ca="1">input_313101!A$2</f>
        <v>313101</v>
      </c>
      <c r="B160" s="7" t="str">
        <f t="shared" si="8"/>
        <v>Premium5</v>
      </c>
      <c r="C160" s="7" t="str">
        <f t="shared" si="9"/>
        <v>Premium</v>
      </c>
      <c r="D160" s="7" t="str">
        <f t="shared" si="10"/>
        <v>bg</v>
      </c>
      <c r="E160" s="6">
        <v>394</v>
      </c>
      <c r="F160" s="7" t="str">
        <f>VLOOKUP(E160,[1]characters!$A:$C,3,FALSE)</f>
        <v>影求の悪童 ピーターパン</v>
      </c>
      <c r="G160" s="7" t="str">
        <f>VLOOKUP(E160,[1]characters!$A:$J,10,FALSE)</f>
        <v>PremiumS</v>
      </c>
      <c r="H160" s="7">
        <f>VLOOKUP(E160,[1]characters!$A:$I,9,FALSE)</f>
        <v>5</v>
      </c>
      <c r="I160" s="7" t="str">
        <f>VLOOKUP(E160,[1]characters!$A:$H,8,FALSE)</f>
        <v>green</v>
      </c>
      <c r="J160" s="7" t="str">
        <f>VLOOKUP(E160,[1]characters!$A:$K,11,FALSE)</f>
        <v>attack</v>
      </c>
      <c r="K160" s="7" t="str">
        <f>VLOOKUP(E160,[1]characters!$A:$M,13,FALSE)</f>
        <v>human</v>
      </c>
      <c r="L160" s="7" t="str">
        <f>VLOOKUP(E160,[1]characters!$A:$G,7,FALSE)</f>
        <v>男性</v>
      </c>
      <c r="M160" s="62">
        <f ca="1">IFERROR(VLOOKUP(E160,input_313101!L:R,7,FALSE),VLOOKUP(tables_313101!B160,input_313101!A:H,8,FALSE))</f>
        <v>18130</v>
      </c>
      <c r="N160" s="63">
        <f t="shared" ca="1" si="11"/>
        <v>6.4814814814814813E-4</v>
      </c>
      <c r="O160" s="31">
        <f>IFERROR(VLOOKUP($E160,bug_conf_sheet!$A:$H,3,FALSE),VLOOKUP("other",bug_conf_sheet!$A:$H,3,FALSE))</f>
        <v>1</v>
      </c>
      <c r="P160" s="31">
        <f>IFERROR(VLOOKUP($E160,bug_conf_sheet!$A:$H,4,FALSE),VLOOKUP("other",bug_conf_sheet!$A:$H,4,FALSE))</f>
        <v>0</v>
      </c>
      <c r="Q160" s="31">
        <f>IFERROR(VLOOKUP($E160,bug_conf_sheet!$A:$H,5,FALSE),VLOOKUP("other",bug_conf_sheet!$A:$H,5,FALSE))</f>
        <v>0</v>
      </c>
      <c r="R160" s="31">
        <f>IFERROR(VLOOKUP($E160,bug_conf_sheet!$A:$H,6,FALSE),VLOOKUP("other",bug_conf_sheet!$A:$H,6,FALSE))</f>
        <v>0</v>
      </c>
      <c r="S160" s="31">
        <f>IFERROR(VLOOKUP($E160,bug_conf_sheet!$A:$H,7,FALSE),VLOOKUP("other",bug_conf_sheet!$A:$H,7,FALSE))</f>
        <v>0</v>
      </c>
      <c r="T160" s="31">
        <f>IFERROR(VLOOKUP($E160,bug_conf_sheet!$A:$H,8,FALSE),VLOOKUP("other",bug_conf_sheet!$A:$H,8,FALSE))</f>
        <v>1</v>
      </c>
    </row>
    <row r="161" spans="1:20" ht="21" customHeight="1">
      <c r="A161" s="2" t="str">
        <f ca="1">input_313101!A$2</f>
        <v>313101</v>
      </c>
      <c r="B161" s="7" t="str">
        <f t="shared" si="8"/>
        <v>Premium3</v>
      </c>
      <c r="C161" s="7" t="str">
        <f t="shared" si="9"/>
        <v>Premium</v>
      </c>
      <c r="D161" s="7" t="str">
        <f t="shared" si="10"/>
        <v>bg</v>
      </c>
      <c r="E161" s="6">
        <v>395</v>
      </c>
      <c r="F161" s="7" t="str">
        <f>VLOOKUP(E161,[1]characters!$A:$C,3,FALSE)</f>
        <v>乙姫</v>
      </c>
      <c r="G161" s="7" t="str">
        <f>VLOOKUP(E161,[1]characters!$A:$J,10,FALSE)</f>
        <v>PremiumS</v>
      </c>
      <c r="H161" s="7">
        <f>VLOOKUP(E161,[1]characters!$A:$I,9,FALSE)</f>
        <v>3</v>
      </c>
      <c r="I161" s="7" t="str">
        <f>VLOOKUP(E161,[1]characters!$A:$H,8,FALSE)</f>
        <v>blue</v>
      </c>
      <c r="J161" s="7" t="str">
        <f>VLOOKUP(E161,[1]characters!$A:$K,11,FALSE)</f>
        <v>hp</v>
      </c>
      <c r="K161" s="7" t="str">
        <f>VLOOKUP(E161,[1]characters!$A:$M,13,FALSE)</f>
        <v>human</v>
      </c>
      <c r="L161" s="7" t="str">
        <f>VLOOKUP(E161,[1]characters!$A:$G,7,FALSE)</f>
        <v>女性</v>
      </c>
      <c r="M161" s="62">
        <f ca="1">IFERROR(VLOOKUP(E161,input_313101!L:R,7,FALSE),VLOOKUP(tables_313101!B161,input_313101!A:H,8,FALSE))</f>
        <v>0</v>
      </c>
      <c r="N161" s="63">
        <f t="shared" ca="1" si="11"/>
        <v>0</v>
      </c>
      <c r="O161" s="31">
        <f>IFERROR(VLOOKUP($E161,bug_conf_sheet!$A:$H,3,FALSE),VLOOKUP("other",bug_conf_sheet!$A:$H,3,FALSE))</f>
        <v>1</v>
      </c>
      <c r="P161" s="31">
        <f>IFERROR(VLOOKUP($E161,bug_conf_sheet!$A:$H,4,FALSE),VLOOKUP("other",bug_conf_sheet!$A:$H,4,FALSE))</f>
        <v>0</v>
      </c>
      <c r="Q161" s="31">
        <f>IFERROR(VLOOKUP($E161,bug_conf_sheet!$A:$H,5,FALSE),VLOOKUP("other",bug_conf_sheet!$A:$H,5,FALSE))</f>
        <v>0</v>
      </c>
      <c r="R161" s="31">
        <f>IFERROR(VLOOKUP($E161,bug_conf_sheet!$A:$H,6,FALSE),VLOOKUP("other",bug_conf_sheet!$A:$H,6,FALSE))</f>
        <v>0</v>
      </c>
      <c r="S161" s="31">
        <f>IFERROR(VLOOKUP($E161,bug_conf_sheet!$A:$H,7,FALSE),VLOOKUP("other",bug_conf_sheet!$A:$H,7,FALSE))</f>
        <v>0</v>
      </c>
      <c r="T161" s="31">
        <f>IFERROR(VLOOKUP($E161,bug_conf_sheet!$A:$H,8,FALSE),VLOOKUP("other",bug_conf_sheet!$A:$H,8,FALSE))</f>
        <v>1</v>
      </c>
    </row>
    <row r="162" spans="1:20" ht="21" customHeight="1">
      <c r="A162" s="2" t="str">
        <f ca="1">input_313101!A$2</f>
        <v>313101</v>
      </c>
      <c r="B162" s="7" t="str">
        <f t="shared" si="8"/>
        <v>Premium4</v>
      </c>
      <c r="C162" s="7" t="str">
        <f t="shared" si="9"/>
        <v>Premium</v>
      </c>
      <c r="D162" s="7" t="str">
        <f t="shared" si="10"/>
        <v>bg</v>
      </c>
      <c r="E162" s="6">
        <v>396</v>
      </c>
      <c r="F162" s="7" t="str">
        <f>VLOOKUP(E162,[1]characters!$A:$C,3,FALSE)</f>
        <v>竜宮の水雷 乙姫</v>
      </c>
      <c r="G162" s="7" t="str">
        <f>VLOOKUP(E162,[1]characters!$A:$J,10,FALSE)</f>
        <v>PremiumS</v>
      </c>
      <c r="H162" s="7">
        <f>VLOOKUP(E162,[1]characters!$A:$I,9,FALSE)</f>
        <v>4</v>
      </c>
      <c r="I162" s="7" t="str">
        <f>VLOOKUP(E162,[1]characters!$A:$H,8,FALSE)</f>
        <v>blue</v>
      </c>
      <c r="J162" s="7" t="str">
        <f>VLOOKUP(E162,[1]characters!$A:$K,11,FALSE)</f>
        <v>hp</v>
      </c>
      <c r="K162" s="7" t="str">
        <f>VLOOKUP(E162,[1]characters!$A:$M,13,FALSE)</f>
        <v>human</v>
      </c>
      <c r="L162" s="7" t="str">
        <f>VLOOKUP(E162,[1]characters!$A:$G,7,FALSE)</f>
        <v>女性</v>
      </c>
      <c r="M162" s="62">
        <f ca="1">IFERROR(VLOOKUP(E162,input_313101!L:R,7,FALSE),VLOOKUP(tables_313101!B162,input_313101!A:H,8,FALSE))</f>
        <v>342090</v>
      </c>
      <c r="N162" s="63">
        <f t="shared" ca="1" si="11"/>
        <v>1.222972972972973E-2</v>
      </c>
      <c r="O162" s="31">
        <f>IFERROR(VLOOKUP($E162,bug_conf_sheet!$A:$H,3,FALSE),VLOOKUP("other",bug_conf_sheet!$A:$H,3,FALSE))</f>
        <v>1</v>
      </c>
      <c r="P162" s="31">
        <f>IFERROR(VLOOKUP($E162,bug_conf_sheet!$A:$H,4,FALSE),VLOOKUP("other",bug_conf_sheet!$A:$H,4,FALSE))</f>
        <v>0</v>
      </c>
      <c r="Q162" s="31">
        <f>IFERROR(VLOOKUP($E162,bug_conf_sheet!$A:$H,5,FALSE),VLOOKUP("other",bug_conf_sheet!$A:$H,5,FALSE))</f>
        <v>0</v>
      </c>
      <c r="R162" s="31">
        <f>IFERROR(VLOOKUP($E162,bug_conf_sheet!$A:$H,6,FALSE),VLOOKUP("other",bug_conf_sheet!$A:$H,6,FALSE))</f>
        <v>0</v>
      </c>
      <c r="S162" s="31">
        <f>IFERROR(VLOOKUP($E162,bug_conf_sheet!$A:$H,7,FALSE),VLOOKUP("other",bug_conf_sheet!$A:$H,7,FALSE))</f>
        <v>0</v>
      </c>
      <c r="T162" s="31">
        <f>IFERROR(VLOOKUP($E162,bug_conf_sheet!$A:$H,8,FALSE),VLOOKUP("other",bug_conf_sheet!$A:$H,8,FALSE))</f>
        <v>1</v>
      </c>
    </row>
    <row r="163" spans="1:20" ht="21" customHeight="1">
      <c r="A163" s="2" t="str">
        <f ca="1">input_313101!A$2</f>
        <v>313101</v>
      </c>
      <c r="B163" s="7" t="str">
        <f t="shared" si="8"/>
        <v>Premium5</v>
      </c>
      <c r="C163" s="7" t="str">
        <f t="shared" si="9"/>
        <v>Premium</v>
      </c>
      <c r="D163" s="7" t="str">
        <f t="shared" si="10"/>
        <v>bg</v>
      </c>
      <c r="E163" s="6">
        <v>397</v>
      </c>
      <c r="F163" s="7" t="str">
        <f>VLOOKUP(E163,[1]characters!$A:$C,3,FALSE)</f>
        <v>禁断の追箱 乙姫</v>
      </c>
      <c r="G163" s="7" t="str">
        <f>VLOOKUP(E163,[1]characters!$A:$J,10,FALSE)</f>
        <v>PremiumS</v>
      </c>
      <c r="H163" s="7">
        <f>VLOOKUP(E163,[1]characters!$A:$I,9,FALSE)</f>
        <v>5</v>
      </c>
      <c r="I163" s="7" t="str">
        <f>VLOOKUP(E163,[1]characters!$A:$H,8,FALSE)</f>
        <v>blue</v>
      </c>
      <c r="J163" s="7" t="str">
        <f>VLOOKUP(E163,[1]characters!$A:$K,11,FALSE)</f>
        <v>hp</v>
      </c>
      <c r="K163" s="7" t="str">
        <f>VLOOKUP(E163,[1]characters!$A:$M,13,FALSE)</f>
        <v>human</v>
      </c>
      <c r="L163" s="7" t="str">
        <f>VLOOKUP(E163,[1]characters!$A:$G,7,FALSE)</f>
        <v>女性</v>
      </c>
      <c r="M163" s="62">
        <f ca="1">IFERROR(VLOOKUP(E163,input_313101!L:R,7,FALSE),VLOOKUP(tables_313101!B163,input_313101!A:H,8,FALSE))</f>
        <v>18130</v>
      </c>
      <c r="N163" s="63">
        <f t="shared" ca="1" si="11"/>
        <v>6.4814814814814813E-4</v>
      </c>
      <c r="O163" s="31">
        <f>IFERROR(VLOOKUP($E163,bug_conf_sheet!$A:$H,3,FALSE),VLOOKUP("other",bug_conf_sheet!$A:$H,3,FALSE))</f>
        <v>1</v>
      </c>
      <c r="P163" s="31">
        <f>IFERROR(VLOOKUP($E163,bug_conf_sheet!$A:$H,4,FALSE),VLOOKUP("other",bug_conf_sheet!$A:$H,4,FALSE))</f>
        <v>0</v>
      </c>
      <c r="Q163" s="31">
        <f>IFERROR(VLOOKUP($E163,bug_conf_sheet!$A:$H,5,FALSE),VLOOKUP("other",bug_conf_sheet!$A:$H,5,FALSE))</f>
        <v>0</v>
      </c>
      <c r="R163" s="31">
        <f>IFERROR(VLOOKUP($E163,bug_conf_sheet!$A:$H,6,FALSE),VLOOKUP("other",bug_conf_sheet!$A:$H,6,FALSE))</f>
        <v>0</v>
      </c>
      <c r="S163" s="31">
        <f>IFERROR(VLOOKUP($E163,bug_conf_sheet!$A:$H,7,FALSE),VLOOKUP("other",bug_conf_sheet!$A:$H,7,FALSE))</f>
        <v>0</v>
      </c>
      <c r="T163" s="31">
        <f>IFERROR(VLOOKUP($E163,bug_conf_sheet!$A:$H,8,FALSE),VLOOKUP("other",bug_conf_sheet!$A:$H,8,FALSE))</f>
        <v>1</v>
      </c>
    </row>
    <row r="164" spans="1:20" ht="21" customHeight="1">
      <c r="A164" s="2" t="str">
        <f ca="1">input_313101!A$2</f>
        <v>313101</v>
      </c>
      <c r="B164" s="7" t="str">
        <f t="shared" si="8"/>
        <v>PremiumSSry4</v>
      </c>
      <c r="C164" s="7" t="str">
        <f t="shared" si="9"/>
        <v>PremiumSS</v>
      </c>
      <c r="D164" s="7" t="str">
        <f t="shared" si="10"/>
        <v>ry</v>
      </c>
      <c r="E164" s="6">
        <v>398</v>
      </c>
      <c r="F164" s="7" t="str">
        <f>VLOOKUP(E164,[1]characters!$A:$C,3,FALSE)</f>
        <v>ヘンゼル＆グレーテル</v>
      </c>
      <c r="G164" s="7" t="str">
        <f>VLOOKUP(E164,[1]characters!$A:$J,10,FALSE)</f>
        <v>PremiumSS</v>
      </c>
      <c r="H164" s="7">
        <f>VLOOKUP(E164,[1]characters!$A:$I,9,FALSE)</f>
        <v>4</v>
      </c>
      <c r="I164" s="7" t="str">
        <f>VLOOKUP(E164,[1]characters!$A:$H,8,FALSE)</f>
        <v>yellow</v>
      </c>
      <c r="J164" s="7" t="str">
        <f>VLOOKUP(E164,[1]characters!$A:$K,11,FALSE)</f>
        <v>balance</v>
      </c>
      <c r="K164" s="7" t="str">
        <f>VLOOKUP(E164,[1]characters!$A:$M,13,FALSE)</f>
        <v>human</v>
      </c>
      <c r="L164" s="7" t="str">
        <f>VLOOKUP(E164,[1]characters!$A:$G,7,FALSE)</f>
        <v>女性</v>
      </c>
      <c r="M164" s="62">
        <f ca="1">IFERROR(VLOOKUP(E164,input_313101!L:R,7,FALSE),VLOOKUP(tables_313101!B164,input_313101!A:H,8,FALSE))</f>
        <v>53946</v>
      </c>
      <c r="N164" s="63">
        <f t="shared" ca="1" si="11"/>
        <v>1.9285714285714286E-3</v>
      </c>
      <c r="O164" s="31">
        <f>IFERROR(VLOOKUP($E164,bug_conf_sheet!$A:$H,3,FALSE),VLOOKUP("other",bug_conf_sheet!$A:$H,3,FALSE))</f>
        <v>1</v>
      </c>
      <c r="P164" s="31">
        <f>IFERROR(VLOOKUP($E164,bug_conf_sheet!$A:$H,4,FALSE),VLOOKUP("other",bug_conf_sheet!$A:$H,4,FALSE))</f>
        <v>0</v>
      </c>
      <c r="Q164" s="31">
        <f>IFERROR(VLOOKUP($E164,bug_conf_sheet!$A:$H,5,FALSE),VLOOKUP("other",bug_conf_sheet!$A:$H,5,FALSE))</f>
        <v>0</v>
      </c>
      <c r="R164" s="31">
        <f>IFERROR(VLOOKUP($E164,bug_conf_sheet!$A:$H,6,FALSE),VLOOKUP("other",bug_conf_sheet!$A:$H,6,FALSE))</f>
        <v>0</v>
      </c>
      <c r="S164" s="31">
        <f>IFERROR(VLOOKUP($E164,bug_conf_sheet!$A:$H,7,FALSE),VLOOKUP("other",bug_conf_sheet!$A:$H,7,FALSE))</f>
        <v>0</v>
      </c>
      <c r="T164" s="31">
        <f>IFERROR(VLOOKUP($E164,bug_conf_sheet!$A:$H,8,FALSE),VLOOKUP("other",bug_conf_sheet!$A:$H,8,FALSE))</f>
        <v>1</v>
      </c>
    </row>
    <row r="165" spans="1:20" ht="21" customHeight="1">
      <c r="A165" s="2" t="str">
        <f ca="1">input_313101!A$2</f>
        <v>313101</v>
      </c>
      <c r="B165" s="7" t="str">
        <f t="shared" si="8"/>
        <v>PremiumSSry5</v>
      </c>
      <c r="C165" s="7" t="str">
        <f t="shared" si="9"/>
        <v>PremiumSS</v>
      </c>
      <c r="D165" s="7" t="str">
        <f t="shared" si="10"/>
        <v>ry</v>
      </c>
      <c r="E165" s="6">
        <v>399</v>
      </c>
      <c r="F165" s="7" t="str">
        <f>VLOOKUP(E165,[1]characters!$A:$C,3,FALSE)</f>
        <v>信愛の兄妹 ヘンゼル＆グレーテル</v>
      </c>
      <c r="G165" s="7" t="str">
        <f>VLOOKUP(E165,[1]characters!$A:$J,10,FALSE)</f>
        <v>PremiumSS</v>
      </c>
      <c r="H165" s="7">
        <f>VLOOKUP(E165,[1]characters!$A:$I,9,FALSE)</f>
        <v>5</v>
      </c>
      <c r="I165" s="7" t="str">
        <f>VLOOKUP(E165,[1]characters!$A:$H,8,FALSE)</f>
        <v>yellow</v>
      </c>
      <c r="J165" s="7" t="str">
        <f>VLOOKUP(E165,[1]characters!$A:$K,11,FALSE)</f>
        <v>balance</v>
      </c>
      <c r="K165" s="7" t="str">
        <f>VLOOKUP(E165,[1]characters!$A:$M,13,FALSE)</f>
        <v>human</v>
      </c>
      <c r="L165" s="7" t="str">
        <f>VLOOKUP(E165,[1]characters!$A:$G,7,FALSE)</f>
        <v>女性</v>
      </c>
      <c r="M165" s="62">
        <f ca="1">IFERROR(VLOOKUP(E165,input_313101!L:R,7,FALSE),VLOOKUP(tables_313101!B165,input_313101!A:H,8,FALSE))</f>
        <v>5994</v>
      </c>
      <c r="N165" s="63">
        <f t="shared" ca="1" si="11"/>
        <v>2.1428571428571427E-4</v>
      </c>
      <c r="O165" s="31">
        <f>IFERROR(VLOOKUP($E165,bug_conf_sheet!$A:$H,3,FALSE),VLOOKUP("other",bug_conf_sheet!$A:$H,3,FALSE))</f>
        <v>1</v>
      </c>
      <c r="P165" s="31">
        <f>IFERROR(VLOOKUP($E165,bug_conf_sheet!$A:$H,4,FALSE),VLOOKUP("other",bug_conf_sheet!$A:$H,4,FALSE))</f>
        <v>0</v>
      </c>
      <c r="Q165" s="31">
        <f>IFERROR(VLOOKUP($E165,bug_conf_sheet!$A:$H,5,FALSE),VLOOKUP("other",bug_conf_sheet!$A:$H,5,FALSE))</f>
        <v>0</v>
      </c>
      <c r="R165" s="31">
        <f>IFERROR(VLOOKUP($E165,bug_conf_sheet!$A:$H,6,FALSE),VLOOKUP("other",bug_conf_sheet!$A:$H,6,FALSE))</f>
        <v>0</v>
      </c>
      <c r="S165" s="31">
        <f>IFERROR(VLOOKUP($E165,bug_conf_sheet!$A:$H,7,FALSE),VLOOKUP("other",bug_conf_sheet!$A:$H,7,FALSE))</f>
        <v>0</v>
      </c>
      <c r="T165" s="31">
        <f>IFERROR(VLOOKUP($E165,bug_conf_sheet!$A:$H,8,FALSE),VLOOKUP("other",bug_conf_sheet!$A:$H,8,FALSE))</f>
        <v>1</v>
      </c>
    </row>
    <row r="166" spans="1:20" ht="21" customHeight="1">
      <c r="A166" s="2" t="str">
        <f ca="1">input_313101!A$2</f>
        <v>313101</v>
      </c>
      <c r="B166" s="7" t="str">
        <f t="shared" si="8"/>
        <v>Premium3</v>
      </c>
      <c r="C166" s="7" t="str">
        <f t="shared" si="9"/>
        <v>Premium</v>
      </c>
      <c r="D166" s="7" t="str">
        <f t="shared" si="10"/>
        <v>ry</v>
      </c>
      <c r="E166" s="6">
        <v>400</v>
      </c>
      <c r="F166" s="7" t="str">
        <f>VLOOKUP(E166,[1]characters!$A:$C,3,FALSE)</f>
        <v>フェンリル</v>
      </c>
      <c r="G166" s="7" t="str">
        <f>VLOOKUP(E166,[1]characters!$A:$J,10,FALSE)</f>
        <v>PremiumS</v>
      </c>
      <c r="H166" s="7">
        <f>VLOOKUP(E166,[1]characters!$A:$I,9,FALSE)</f>
        <v>3</v>
      </c>
      <c r="I166" s="7" t="str">
        <f>VLOOKUP(E166,[1]characters!$A:$H,8,FALSE)</f>
        <v>red</v>
      </c>
      <c r="J166" s="7" t="str">
        <f>VLOOKUP(E166,[1]characters!$A:$K,11,FALSE)</f>
        <v>attack</v>
      </c>
      <c r="K166" s="7" t="str">
        <f>VLOOKUP(E166,[1]characters!$A:$M,13,FALSE)</f>
        <v>animal</v>
      </c>
      <c r="L166" s="7" t="str">
        <f>VLOOKUP(E166,[1]characters!$A:$G,7,FALSE)</f>
        <v>女性</v>
      </c>
      <c r="M166" s="62">
        <f ca="1">IFERROR(VLOOKUP(E166,input_313101!L:R,7,FALSE),VLOOKUP(tables_313101!B166,input_313101!A:H,8,FALSE))</f>
        <v>0</v>
      </c>
      <c r="N166" s="63">
        <f t="shared" ca="1" si="11"/>
        <v>0</v>
      </c>
      <c r="O166" s="31">
        <f>IFERROR(VLOOKUP($E166,bug_conf_sheet!$A:$H,3,FALSE),VLOOKUP("other",bug_conf_sheet!$A:$H,3,FALSE))</f>
        <v>1</v>
      </c>
      <c r="P166" s="31">
        <f>IFERROR(VLOOKUP($E166,bug_conf_sheet!$A:$H,4,FALSE),VLOOKUP("other",bug_conf_sheet!$A:$H,4,FALSE))</f>
        <v>0</v>
      </c>
      <c r="Q166" s="31">
        <f>IFERROR(VLOOKUP($E166,bug_conf_sheet!$A:$H,5,FALSE),VLOOKUP("other",bug_conf_sheet!$A:$H,5,FALSE))</f>
        <v>0</v>
      </c>
      <c r="R166" s="31">
        <f>IFERROR(VLOOKUP($E166,bug_conf_sheet!$A:$H,6,FALSE),VLOOKUP("other",bug_conf_sheet!$A:$H,6,FALSE))</f>
        <v>0</v>
      </c>
      <c r="S166" s="31">
        <f>IFERROR(VLOOKUP($E166,bug_conf_sheet!$A:$H,7,FALSE),VLOOKUP("other",bug_conf_sheet!$A:$H,7,FALSE))</f>
        <v>0</v>
      </c>
      <c r="T166" s="31">
        <f>IFERROR(VLOOKUP($E166,bug_conf_sheet!$A:$H,8,FALSE),VLOOKUP("other",bug_conf_sheet!$A:$H,8,FALSE))</f>
        <v>1</v>
      </c>
    </row>
    <row r="167" spans="1:20" ht="21" customHeight="1">
      <c r="A167" s="2" t="str">
        <f ca="1">input_313101!A$2</f>
        <v>313101</v>
      </c>
      <c r="B167" s="7" t="str">
        <f t="shared" si="8"/>
        <v>Premium4</v>
      </c>
      <c r="C167" s="7" t="str">
        <f t="shared" si="9"/>
        <v>Premium</v>
      </c>
      <c r="D167" s="7" t="str">
        <f t="shared" si="10"/>
        <v>ry</v>
      </c>
      <c r="E167" s="6">
        <v>401</v>
      </c>
      <c r="F167" s="7" t="str">
        <f>VLOOKUP(E167,[1]characters!$A:$C,3,FALSE)</f>
        <v>紅銀の孤狼 フェンリル</v>
      </c>
      <c r="G167" s="7" t="str">
        <f>VLOOKUP(E167,[1]characters!$A:$J,10,FALSE)</f>
        <v>PremiumS</v>
      </c>
      <c r="H167" s="7">
        <f>VLOOKUP(E167,[1]characters!$A:$I,9,FALSE)</f>
        <v>4</v>
      </c>
      <c r="I167" s="7" t="str">
        <f>VLOOKUP(E167,[1]characters!$A:$H,8,FALSE)</f>
        <v>red</v>
      </c>
      <c r="J167" s="7" t="str">
        <f>VLOOKUP(E167,[1]characters!$A:$K,11,FALSE)</f>
        <v>attack</v>
      </c>
      <c r="K167" s="7" t="str">
        <f>VLOOKUP(E167,[1]characters!$A:$M,13,FALSE)</f>
        <v>animal</v>
      </c>
      <c r="L167" s="7" t="str">
        <f>VLOOKUP(E167,[1]characters!$A:$G,7,FALSE)</f>
        <v>女性</v>
      </c>
      <c r="M167" s="62">
        <f ca="1">IFERROR(VLOOKUP(E167,input_313101!L:R,7,FALSE),VLOOKUP(tables_313101!B167,input_313101!A:H,8,FALSE))</f>
        <v>342090</v>
      </c>
      <c r="N167" s="63">
        <f t="shared" ca="1" si="11"/>
        <v>1.222972972972973E-2</v>
      </c>
      <c r="O167" s="31">
        <f>IFERROR(VLOOKUP($E167,bug_conf_sheet!$A:$H,3,FALSE),VLOOKUP("other",bug_conf_sheet!$A:$H,3,FALSE))</f>
        <v>1</v>
      </c>
      <c r="P167" s="31">
        <f>IFERROR(VLOOKUP($E167,bug_conf_sheet!$A:$H,4,FALSE),VLOOKUP("other",bug_conf_sheet!$A:$H,4,FALSE))</f>
        <v>0</v>
      </c>
      <c r="Q167" s="31">
        <f>IFERROR(VLOOKUP($E167,bug_conf_sheet!$A:$H,5,FALSE),VLOOKUP("other",bug_conf_sheet!$A:$H,5,FALSE))</f>
        <v>0</v>
      </c>
      <c r="R167" s="31">
        <f>IFERROR(VLOOKUP($E167,bug_conf_sheet!$A:$H,6,FALSE),VLOOKUP("other",bug_conf_sheet!$A:$H,6,FALSE))</f>
        <v>0</v>
      </c>
      <c r="S167" s="31">
        <f>IFERROR(VLOOKUP($E167,bug_conf_sheet!$A:$H,7,FALSE),VLOOKUP("other",bug_conf_sheet!$A:$H,7,FALSE))</f>
        <v>0</v>
      </c>
      <c r="T167" s="31">
        <f>IFERROR(VLOOKUP($E167,bug_conf_sheet!$A:$H,8,FALSE),VLOOKUP("other",bug_conf_sheet!$A:$H,8,FALSE))</f>
        <v>1</v>
      </c>
    </row>
    <row r="168" spans="1:20" ht="21" customHeight="1">
      <c r="A168" s="2" t="str">
        <f ca="1">input_313101!A$2</f>
        <v>313101</v>
      </c>
      <c r="B168" s="7" t="str">
        <f t="shared" si="8"/>
        <v>Premium5</v>
      </c>
      <c r="C168" s="7" t="str">
        <f t="shared" si="9"/>
        <v>Premium</v>
      </c>
      <c r="D168" s="7" t="str">
        <f t="shared" si="10"/>
        <v>ry</v>
      </c>
      <c r="E168" s="6">
        <v>402</v>
      </c>
      <c r="F168" s="7" t="str">
        <f>VLOOKUP(E168,[1]characters!$A:$C,3,FALSE)</f>
        <v>天災の神狼 フェンリル</v>
      </c>
      <c r="G168" s="7" t="str">
        <f>VLOOKUP(E168,[1]characters!$A:$J,10,FALSE)</f>
        <v>PremiumS</v>
      </c>
      <c r="H168" s="7">
        <f>VLOOKUP(E168,[1]characters!$A:$I,9,FALSE)</f>
        <v>5</v>
      </c>
      <c r="I168" s="7" t="str">
        <f>VLOOKUP(E168,[1]characters!$A:$H,8,FALSE)</f>
        <v>red</v>
      </c>
      <c r="J168" s="7" t="str">
        <f>VLOOKUP(E168,[1]characters!$A:$K,11,FALSE)</f>
        <v>attack</v>
      </c>
      <c r="K168" s="7" t="str">
        <f>VLOOKUP(E168,[1]characters!$A:$M,13,FALSE)</f>
        <v>animal</v>
      </c>
      <c r="L168" s="7" t="str">
        <f>VLOOKUP(E168,[1]characters!$A:$G,7,FALSE)</f>
        <v>女性</v>
      </c>
      <c r="M168" s="62">
        <f ca="1">IFERROR(VLOOKUP(E168,input_313101!L:R,7,FALSE),VLOOKUP(tables_313101!B168,input_313101!A:H,8,FALSE))</f>
        <v>18130</v>
      </c>
      <c r="N168" s="63">
        <f t="shared" ca="1" si="11"/>
        <v>6.4814814814814813E-4</v>
      </c>
      <c r="O168" s="31">
        <f>IFERROR(VLOOKUP($E168,bug_conf_sheet!$A:$H,3,FALSE),VLOOKUP("other",bug_conf_sheet!$A:$H,3,FALSE))</f>
        <v>1</v>
      </c>
      <c r="P168" s="31">
        <f>IFERROR(VLOOKUP($E168,bug_conf_sheet!$A:$H,4,FALSE),VLOOKUP("other",bug_conf_sheet!$A:$H,4,FALSE))</f>
        <v>0</v>
      </c>
      <c r="Q168" s="31">
        <f>IFERROR(VLOOKUP($E168,bug_conf_sheet!$A:$H,5,FALSE),VLOOKUP("other",bug_conf_sheet!$A:$H,5,FALSE))</f>
        <v>0</v>
      </c>
      <c r="R168" s="31">
        <f>IFERROR(VLOOKUP($E168,bug_conf_sheet!$A:$H,6,FALSE),VLOOKUP("other",bug_conf_sheet!$A:$H,6,FALSE))</f>
        <v>0</v>
      </c>
      <c r="S168" s="31">
        <f>IFERROR(VLOOKUP($E168,bug_conf_sheet!$A:$H,7,FALSE),VLOOKUP("other",bug_conf_sheet!$A:$H,7,FALSE))</f>
        <v>0</v>
      </c>
      <c r="T168" s="31">
        <f>IFERROR(VLOOKUP($E168,bug_conf_sheet!$A:$H,8,FALSE),VLOOKUP("other",bug_conf_sheet!$A:$H,8,FALSE))</f>
        <v>1</v>
      </c>
    </row>
    <row r="169" spans="1:20" ht="21" customHeight="1">
      <c r="A169" s="2" t="str">
        <f ca="1">input_313101!A$2</f>
        <v>313101</v>
      </c>
      <c r="B169" s="7" t="str">
        <f t="shared" si="8"/>
        <v>PremiumSSbg4</v>
      </c>
      <c r="C169" s="7" t="str">
        <f t="shared" si="9"/>
        <v>PremiumSS</v>
      </c>
      <c r="D169" s="7" t="str">
        <f t="shared" si="10"/>
        <v>bg</v>
      </c>
      <c r="E169" s="6">
        <v>403</v>
      </c>
      <c r="F169" s="7" t="str">
        <f>VLOOKUP(E169,[1]characters!$A:$C,3,FALSE)</f>
        <v>静撃の翠眼 八咫烏</v>
      </c>
      <c r="G169" s="7" t="str">
        <f>VLOOKUP(E169,[1]characters!$A:$J,10,FALSE)</f>
        <v>PremiumSS</v>
      </c>
      <c r="H169" s="7">
        <f>VLOOKUP(E169,[1]characters!$A:$I,9,FALSE)</f>
        <v>4</v>
      </c>
      <c r="I169" s="7" t="str">
        <f>VLOOKUP(E169,[1]characters!$A:$H,8,FALSE)</f>
        <v>green</v>
      </c>
      <c r="J169" s="7" t="str">
        <f>VLOOKUP(E169,[1]characters!$A:$K,11,FALSE)</f>
        <v>balance</v>
      </c>
      <c r="K169" s="7" t="str">
        <f>VLOOKUP(E169,[1]characters!$A:$M,13,FALSE)</f>
        <v>animal</v>
      </c>
      <c r="L169" s="7" t="str">
        <f>VLOOKUP(E169,[1]characters!$A:$G,7,FALSE)</f>
        <v>女性</v>
      </c>
      <c r="M169" s="62">
        <f ca="1">IFERROR(VLOOKUP(E169,input_313101!L:R,7,FALSE),VLOOKUP(tables_313101!B169,input_313101!A:H,8,FALSE))</f>
        <v>41958</v>
      </c>
      <c r="N169" s="63">
        <f t="shared" ca="1" si="11"/>
        <v>1.5E-3</v>
      </c>
      <c r="O169" s="31">
        <f>IFERROR(VLOOKUP($E169,bug_conf_sheet!$A:$H,3,FALSE),VLOOKUP("other",bug_conf_sheet!$A:$H,3,FALSE))</f>
        <v>1</v>
      </c>
      <c r="P169" s="31">
        <f>IFERROR(VLOOKUP($E169,bug_conf_sheet!$A:$H,4,FALSE),VLOOKUP("other",bug_conf_sheet!$A:$H,4,FALSE))</f>
        <v>0</v>
      </c>
      <c r="Q169" s="31">
        <f>IFERROR(VLOOKUP($E169,bug_conf_sheet!$A:$H,5,FALSE),VLOOKUP("other",bug_conf_sheet!$A:$H,5,FALSE))</f>
        <v>0</v>
      </c>
      <c r="R169" s="31">
        <f>IFERROR(VLOOKUP($E169,bug_conf_sheet!$A:$H,6,FALSE),VLOOKUP("other",bug_conf_sheet!$A:$H,6,FALSE))</f>
        <v>0</v>
      </c>
      <c r="S169" s="31">
        <f>IFERROR(VLOOKUP($E169,bug_conf_sheet!$A:$H,7,FALSE),VLOOKUP("other",bug_conf_sheet!$A:$H,7,FALSE))</f>
        <v>0</v>
      </c>
      <c r="T169" s="31">
        <f>IFERROR(VLOOKUP($E169,bug_conf_sheet!$A:$H,8,FALSE),VLOOKUP("other",bug_conf_sheet!$A:$H,8,FALSE))</f>
        <v>1</v>
      </c>
    </row>
    <row r="170" spans="1:20" ht="21" customHeight="1">
      <c r="A170" s="2" t="str">
        <f ca="1">input_313101!A$2</f>
        <v>313101</v>
      </c>
      <c r="B170" s="7" t="str">
        <f t="shared" si="8"/>
        <v>PremiumSSbg5</v>
      </c>
      <c r="C170" s="7" t="str">
        <f t="shared" si="9"/>
        <v>PremiumSS</v>
      </c>
      <c r="D170" s="7" t="str">
        <f t="shared" si="10"/>
        <v>bg</v>
      </c>
      <c r="E170" s="6">
        <v>404</v>
      </c>
      <c r="F170" s="7" t="str">
        <f>VLOOKUP(E170,[1]characters!$A:$C,3,FALSE)</f>
        <v>空襲の神眼 八咫烏</v>
      </c>
      <c r="G170" s="7" t="str">
        <f>VLOOKUP(E170,[1]characters!$A:$J,10,FALSE)</f>
        <v>PremiumSS</v>
      </c>
      <c r="H170" s="7">
        <f>VLOOKUP(E170,[1]characters!$A:$I,9,FALSE)</f>
        <v>5</v>
      </c>
      <c r="I170" s="7" t="str">
        <f>VLOOKUP(E170,[1]characters!$A:$H,8,FALSE)</f>
        <v>green</v>
      </c>
      <c r="J170" s="7" t="str">
        <f>VLOOKUP(E170,[1]characters!$A:$K,11,FALSE)</f>
        <v>balance</v>
      </c>
      <c r="K170" s="7" t="str">
        <f>VLOOKUP(E170,[1]characters!$A:$M,13,FALSE)</f>
        <v>animal</v>
      </c>
      <c r="L170" s="7" t="str">
        <f>VLOOKUP(E170,[1]characters!$A:$G,7,FALSE)</f>
        <v>女性</v>
      </c>
      <c r="M170" s="62">
        <f ca="1">IFERROR(VLOOKUP(E170,input_313101!L:R,7,FALSE),VLOOKUP(tables_313101!B170,input_313101!A:H,8,FALSE))</f>
        <v>4662</v>
      </c>
      <c r="N170" s="63">
        <f t="shared" ca="1" si="11"/>
        <v>1.6666666666666666E-4</v>
      </c>
      <c r="O170" s="31">
        <f>IFERROR(VLOOKUP($E170,bug_conf_sheet!$A:$H,3,FALSE),VLOOKUP("other",bug_conf_sheet!$A:$H,3,FALSE))</f>
        <v>1</v>
      </c>
      <c r="P170" s="31">
        <f>IFERROR(VLOOKUP($E170,bug_conf_sheet!$A:$H,4,FALSE),VLOOKUP("other",bug_conf_sheet!$A:$H,4,FALSE))</f>
        <v>0</v>
      </c>
      <c r="Q170" s="31">
        <f>IFERROR(VLOOKUP($E170,bug_conf_sheet!$A:$H,5,FALSE),VLOOKUP("other",bug_conf_sheet!$A:$H,5,FALSE))</f>
        <v>0</v>
      </c>
      <c r="R170" s="31">
        <f>IFERROR(VLOOKUP($E170,bug_conf_sheet!$A:$H,6,FALSE),VLOOKUP("other",bug_conf_sheet!$A:$H,6,FALSE))</f>
        <v>0</v>
      </c>
      <c r="S170" s="31">
        <f>IFERROR(VLOOKUP($E170,bug_conf_sheet!$A:$H,7,FALSE),VLOOKUP("other",bug_conf_sheet!$A:$H,7,FALSE))</f>
        <v>0</v>
      </c>
      <c r="T170" s="31">
        <f>IFERROR(VLOOKUP($E170,bug_conf_sheet!$A:$H,8,FALSE),VLOOKUP("other",bug_conf_sheet!$A:$H,8,FALSE))</f>
        <v>1</v>
      </c>
    </row>
    <row r="171" spans="1:20" ht="21" customHeight="1">
      <c r="A171" s="2" t="str">
        <f ca="1">input_313101!A$2</f>
        <v>313101</v>
      </c>
      <c r="B171" s="7" t="str">
        <f t="shared" si="8"/>
        <v>Premium3</v>
      </c>
      <c r="C171" s="7" t="str">
        <f t="shared" si="9"/>
        <v>Premium</v>
      </c>
      <c r="D171" s="7" t="str">
        <f t="shared" si="10"/>
        <v>bg</v>
      </c>
      <c r="E171" s="6">
        <v>405</v>
      </c>
      <c r="F171" s="7" t="str">
        <f>VLOOKUP(E171,[1]characters!$A:$C,3,FALSE)</f>
        <v>エキドナ</v>
      </c>
      <c r="G171" s="7" t="str">
        <f>VLOOKUP(E171,[1]characters!$A:$J,10,FALSE)</f>
        <v>PremiumS</v>
      </c>
      <c r="H171" s="7">
        <f>VLOOKUP(E171,[1]characters!$A:$I,9,FALSE)</f>
        <v>3</v>
      </c>
      <c r="I171" s="7" t="str">
        <f>VLOOKUP(E171,[1]characters!$A:$H,8,FALSE)</f>
        <v>blue</v>
      </c>
      <c r="J171" s="7" t="str">
        <f>VLOOKUP(E171,[1]characters!$A:$K,11,FALSE)</f>
        <v>technical</v>
      </c>
      <c r="K171" s="7" t="str">
        <f>VLOOKUP(E171,[1]characters!$A:$M,13,FALSE)</f>
        <v>animal</v>
      </c>
      <c r="L171" s="7" t="str">
        <f>VLOOKUP(E171,[1]characters!$A:$G,7,FALSE)</f>
        <v>女性</v>
      </c>
      <c r="M171" s="62">
        <f ca="1">IFERROR(VLOOKUP(E171,input_313101!L:R,7,FALSE),VLOOKUP(tables_313101!B171,input_313101!A:H,8,FALSE))</f>
        <v>0</v>
      </c>
      <c r="N171" s="63">
        <f t="shared" ca="1" si="11"/>
        <v>0</v>
      </c>
      <c r="O171" s="31">
        <f>IFERROR(VLOOKUP($E171,bug_conf_sheet!$A:$H,3,FALSE),VLOOKUP("other",bug_conf_sheet!$A:$H,3,FALSE))</f>
        <v>1</v>
      </c>
      <c r="P171" s="31">
        <f>IFERROR(VLOOKUP($E171,bug_conf_sheet!$A:$H,4,FALSE),VLOOKUP("other",bug_conf_sheet!$A:$H,4,FALSE))</f>
        <v>0</v>
      </c>
      <c r="Q171" s="31">
        <f>IFERROR(VLOOKUP($E171,bug_conf_sheet!$A:$H,5,FALSE),VLOOKUP("other",bug_conf_sheet!$A:$H,5,FALSE))</f>
        <v>0</v>
      </c>
      <c r="R171" s="31">
        <f>IFERROR(VLOOKUP($E171,bug_conf_sheet!$A:$H,6,FALSE),VLOOKUP("other",bug_conf_sheet!$A:$H,6,FALSE))</f>
        <v>0</v>
      </c>
      <c r="S171" s="31">
        <f>IFERROR(VLOOKUP($E171,bug_conf_sheet!$A:$H,7,FALSE),VLOOKUP("other",bug_conf_sheet!$A:$H,7,FALSE))</f>
        <v>0</v>
      </c>
      <c r="T171" s="31">
        <f>IFERROR(VLOOKUP($E171,bug_conf_sheet!$A:$H,8,FALSE),VLOOKUP("other",bug_conf_sheet!$A:$H,8,FALSE))</f>
        <v>1</v>
      </c>
    </row>
    <row r="172" spans="1:20" ht="21" customHeight="1">
      <c r="A172" s="2" t="str">
        <f ca="1">input_313101!A$2</f>
        <v>313101</v>
      </c>
      <c r="B172" s="7" t="str">
        <f t="shared" si="8"/>
        <v>Premium4</v>
      </c>
      <c r="C172" s="7" t="str">
        <f t="shared" si="9"/>
        <v>Premium</v>
      </c>
      <c r="D172" s="7" t="str">
        <f t="shared" si="10"/>
        <v>bg</v>
      </c>
      <c r="E172" s="6">
        <v>406</v>
      </c>
      <c r="F172" s="7" t="str">
        <f>VLOOKUP(E172,[1]characters!$A:$C,3,FALSE)</f>
        <v>美笑の蒼蛇 エキドナ</v>
      </c>
      <c r="G172" s="7" t="str">
        <f>VLOOKUP(E172,[1]characters!$A:$J,10,FALSE)</f>
        <v>PremiumS</v>
      </c>
      <c r="H172" s="7">
        <f>VLOOKUP(E172,[1]characters!$A:$I,9,FALSE)</f>
        <v>4</v>
      </c>
      <c r="I172" s="7" t="str">
        <f>VLOOKUP(E172,[1]characters!$A:$H,8,FALSE)</f>
        <v>blue</v>
      </c>
      <c r="J172" s="7" t="str">
        <f>VLOOKUP(E172,[1]characters!$A:$K,11,FALSE)</f>
        <v>technical</v>
      </c>
      <c r="K172" s="7" t="str">
        <f>VLOOKUP(E172,[1]characters!$A:$M,13,FALSE)</f>
        <v>animal</v>
      </c>
      <c r="L172" s="7" t="str">
        <f>VLOOKUP(E172,[1]characters!$A:$G,7,FALSE)</f>
        <v>女性</v>
      </c>
      <c r="M172" s="62">
        <f ca="1">IFERROR(VLOOKUP(E172,input_313101!L:R,7,FALSE),VLOOKUP(tables_313101!B172,input_313101!A:H,8,FALSE))</f>
        <v>342090</v>
      </c>
      <c r="N172" s="63">
        <f t="shared" ca="1" si="11"/>
        <v>1.222972972972973E-2</v>
      </c>
      <c r="O172" s="31">
        <f>IFERROR(VLOOKUP($E172,bug_conf_sheet!$A:$H,3,FALSE),VLOOKUP("other",bug_conf_sheet!$A:$H,3,FALSE))</f>
        <v>1</v>
      </c>
      <c r="P172" s="31">
        <f>IFERROR(VLOOKUP($E172,bug_conf_sheet!$A:$H,4,FALSE),VLOOKUP("other",bug_conf_sheet!$A:$H,4,FALSE))</f>
        <v>0</v>
      </c>
      <c r="Q172" s="31">
        <f>IFERROR(VLOOKUP($E172,bug_conf_sheet!$A:$H,5,FALSE),VLOOKUP("other",bug_conf_sheet!$A:$H,5,FALSE))</f>
        <v>0</v>
      </c>
      <c r="R172" s="31">
        <f>IFERROR(VLOOKUP($E172,bug_conf_sheet!$A:$H,6,FALSE),VLOOKUP("other",bug_conf_sheet!$A:$H,6,FALSE))</f>
        <v>0</v>
      </c>
      <c r="S172" s="31">
        <f>IFERROR(VLOOKUP($E172,bug_conf_sheet!$A:$H,7,FALSE),VLOOKUP("other",bug_conf_sheet!$A:$H,7,FALSE))</f>
        <v>0</v>
      </c>
      <c r="T172" s="31">
        <f>IFERROR(VLOOKUP($E172,bug_conf_sheet!$A:$H,8,FALSE),VLOOKUP("other",bug_conf_sheet!$A:$H,8,FALSE))</f>
        <v>1</v>
      </c>
    </row>
    <row r="173" spans="1:20" ht="21" customHeight="1">
      <c r="A173" s="2" t="str">
        <f ca="1">input_313101!A$2</f>
        <v>313101</v>
      </c>
      <c r="B173" s="7" t="str">
        <f t="shared" si="8"/>
        <v>Premium5</v>
      </c>
      <c r="C173" s="7" t="str">
        <f t="shared" si="9"/>
        <v>Premium</v>
      </c>
      <c r="D173" s="7" t="str">
        <f t="shared" si="10"/>
        <v>bg</v>
      </c>
      <c r="E173" s="6">
        <v>407</v>
      </c>
      <c r="F173" s="7" t="str">
        <f>VLOOKUP(E173,[1]characters!$A:$C,3,FALSE)</f>
        <v>蠱惑の飛刀 エキドナ</v>
      </c>
      <c r="G173" s="7" t="str">
        <f>VLOOKUP(E173,[1]characters!$A:$J,10,FALSE)</f>
        <v>PremiumS</v>
      </c>
      <c r="H173" s="7">
        <f>VLOOKUP(E173,[1]characters!$A:$I,9,FALSE)</f>
        <v>5</v>
      </c>
      <c r="I173" s="7" t="str">
        <f>VLOOKUP(E173,[1]characters!$A:$H,8,FALSE)</f>
        <v>blue</v>
      </c>
      <c r="J173" s="7" t="str">
        <f>VLOOKUP(E173,[1]characters!$A:$K,11,FALSE)</f>
        <v>technical</v>
      </c>
      <c r="K173" s="7" t="str">
        <f>VLOOKUP(E173,[1]characters!$A:$M,13,FALSE)</f>
        <v>animal</v>
      </c>
      <c r="L173" s="7" t="str">
        <f>VLOOKUP(E173,[1]characters!$A:$G,7,FALSE)</f>
        <v>女性</v>
      </c>
      <c r="M173" s="62">
        <f ca="1">IFERROR(VLOOKUP(E173,input_313101!L:R,7,FALSE),VLOOKUP(tables_313101!B173,input_313101!A:H,8,FALSE))</f>
        <v>18130</v>
      </c>
      <c r="N173" s="63">
        <f t="shared" ca="1" si="11"/>
        <v>6.4814814814814813E-4</v>
      </c>
      <c r="O173" s="31">
        <f>IFERROR(VLOOKUP($E173,bug_conf_sheet!$A:$H,3,FALSE),VLOOKUP("other",bug_conf_sheet!$A:$H,3,FALSE))</f>
        <v>1</v>
      </c>
      <c r="P173" s="31">
        <f>IFERROR(VLOOKUP($E173,bug_conf_sheet!$A:$H,4,FALSE),VLOOKUP("other",bug_conf_sheet!$A:$H,4,FALSE))</f>
        <v>0</v>
      </c>
      <c r="Q173" s="31">
        <f>IFERROR(VLOOKUP($E173,bug_conf_sheet!$A:$H,5,FALSE),VLOOKUP("other",bug_conf_sheet!$A:$H,5,FALSE))</f>
        <v>0</v>
      </c>
      <c r="R173" s="31">
        <f>IFERROR(VLOOKUP($E173,bug_conf_sheet!$A:$H,6,FALSE),VLOOKUP("other",bug_conf_sheet!$A:$H,6,FALSE))</f>
        <v>0</v>
      </c>
      <c r="S173" s="31">
        <f>IFERROR(VLOOKUP($E173,bug_conf_sheet!$A:$H,7,FALSE),VLOOKUP("other",bug_conf_sheet!$A:$H,7,FALSE))</f>
        <v>0</v>
      </c>
      <c r="T173" s="31">
        <f>IFERROR(VLOOKUP($E173,bug_conf_sheet!$A:$H,8,FALSE),VLOOKUP("other",bug_conf_sheet!$A:$H,8,FALSE))</f>
        <v>1</v>
      </c>
    </row>
    <row r="174" spans="1:20" ht="21" customHeight="1">
      <c r="A174" s="2" t="str">
        <f ca="1">input_313101!A$2</f>
        <v>313101</v>
      </c>
      <c r="B174" s="7" t="str">
        <f t="shared" si="8"/>
        <v>PremiumSSry4</v>
      </c>
      <c r="C174" s="7" t="str">
        <f t="shared" si="9"/>
        <v>PremiumSS</v>
      </c>
      <c r="D174" s="7" t="str">
        <f t="shared" si="10"/>
        <v>ry</v>
      </c>
      <c r="E174" s="6">
        <v>408</v>
      </c>
      <c r="F174" s="7" t="str">
        <f>VLOOKUP(E174,[1]characters!$A:$C,3,FALSE)</f>
        <v>皇魔 アスタロト</v>
      </c>
      <c r="G174" s="7" t="str">
        <f>VLOOKUP(E174,[1]characters!$A:$J,10,FALSE)</f>
        <v>PremiumSS</v>
      </c>
      <c r="H174" s="7">
        <f>VLOOKUP(E174,[1]characters!$A:$I,9,FALSE)</f>
        <v>4</v>
      </c>
      <c r="I174" s="7" t="str">
        <f>VLOOKUP(E174,[1]characters!$A:$H,8,FALSE)</f>
        <v>yellow</v>
      </c>
      <c r="J174" s="7" t="str">
        <f>VLOOKUP(E174,[1]characters!$A:$K,11,FALSE)</f>
        <v>attack</v>
      </c>
      <c r="K174" s="7" t="str">
        <f>VLOOKUP(E174,[1]characters!$A:$M,13,FALSE)</f>
        <v>god</v>
      </c>
      <c r="L174" s="7" t="str">
        <f>VLOOKUP(E174,[1]characters!$A:$G,7,FALSE)</f>
        <v>男性</v>
      </c>
      <c r="M174" s="62">
        <f ca="1">IFERROR(VLOOKUP(E174,input_313101!L:R,7,FALSE),VLOOKUP(tables_313101!B174,input_313101!A:H,8,FALSE))</f>
        <v>53946</v>
      </c>
      <c r="N174" s="63">
        <f t="shared" ca="1" si="11"/>
        <v>1.9285714285714286E-3</v>
      </c>
      <c r="O174" s="31">
        <f>IFERROR(VLOOKUP($E174,bug_conf_sheet!$A:$H,3,FALSE),VLOOKUP("other",bug_conf_sheet!$A:$H,3,FALSE))</f>
        <v>1</v>
      </c>
      <c r="P174" s="31">
        <f>IFERROR(VLOOKUP($E174,bug_conf_sheet!$A:$H,4,FALSE),VLOOKUP("other",bug_conf_sheet!$A:$H,4,FALSE))</f>
        <v>0</v>
      </c>
      <c r="Q174" s="31">
        <f>IFERROR(VLOOKUP($E174,bug_conf_sheet!$A:$H,5,FALSE),VLOOKUP("other",bug_conf_sheet!$A:$H,5,FALSE))</f>
        <v>0</v>
      </c>
      <c r="R174" s="31">
        <f>IFERROR(VLOOKUP($E174,bug_conf_sheet!$A:$H,6,FALSE),VLOOKUP("other",bug_conf_sheet!$A:$H,6,FALSE))</f>
        <v>0</v>
      </c>
      <c r="S174" s="31">
        <f>IFERROR(VLOOKUP($E174,bug_conf_sheet!$A:$H,7,FALSE),VLOOKUP("other",bug_conf_sheet!$A:$H,7,FALSE))</f>
        <v>0</v>
      </c>
      <c r="T174" s="31">
        <f>IFERROR(VLOOKUP($E174,bug_conf_sheet!$A:$H,8,FALSE),VLOOKUP("other",bug_conf_sheet!$A:$H,8,FALSE))</f>
        <v>1</v>
      </c>
    </row>
    <row r="175" spans="1:20" ht="21" customHeight="1">
      <c r="A175" s="2" t="str">
        <f ca="1">input_313101!A$2</f>
        <v>313101</v>
      </c>
      <c r="B175" s="7" t="str">
        <f t="shared" si="8"/>
        <v>PremiumSSry5</v>
      </c>
      <c r="C175" s="7" t="str">
        <f t="shared" si="9"/>
        <v>PremiumSS</v>
      </c>
      <c r="D175" s="7" t="str">
        <f t="shared" si="10"/>
        <v>ry</v>
      </c>
      <c r="E175" s="6">
        <v>409</v>
      </c>
      <c r="F175" s="7" t="str">
        <f>VLOOKUP(E175,[1]characters!$A:$C,3,FALSE)</f>
        <v>天眼の皇貴魔 アスタロト</v>
      </c>
      <c r="G175" s="7" t="str">
        <f>VLOOKUP(E175,[1]characters!$A:$J,10,FALSE)</f>
        <v>PremiumSS</v>
      </c>
      <c r="H175" s="7">
        <f>VLOOKUP(E175,[1]characters!$A:$I,9,FALSE)</f>
        <v>5</v>
      </c>
      <c r="I175" s="7" t="str">
        <f>VLOOKUP(E175,[1]characters!$A:$H,8,FALSE)</f>
        <v>yellow</v>
      </c>
      <c r="J175" s="7" t="str">
        <f>VLOOKUP(E175,[1]characters!$A:$K,11,FALSE)</f>
        <v>attack</v>
      </c>
      <c r="K175" s="7" t="str">
        <f>VLOOKUP(E175,[1]characters!$A:$M,13,FALSE)</f>
        <v>god</v>
      </c>
      <c r="L175" s="7" t="str">
        <f>VLOOKUP(E175,[1]characters!$A:$G,7,FALSE)</f>
        <v>男性</v>
      </c>
      <c r="M175" s="62">
        <f ca="1">IFERROR(VLOOKUP(E175,input_313101!L:R,7,FALSE),VLOOKUP(tables_313101!B175,input_313101!A:H,8,FALSE))</f>
        <v>5994</v>
      </c>
      <c r="N175" s="63">
        <f t="shared" ca="1" si="11"/>
        <v>2.1428571428571427E-4</v>
      </c>
      <c r="O175" s="31">
        <f>IFERROR(VLOOKUP($E175,bug_conf_sheet!$A:$H,3,FALSE),VLOOKUP("other",bug_conf_sheet!$A:$H,3,FALSE))</f>
        <v>1</v>
      </c>
      <c r="P175" s="31">
        <f>IFERROR(VLOOKUP($E175,bug_conf_sheet!$A:$H,4,FALSE),VLOOKUP("other",bug_conf_sheet!$A:$H,4,FALSE))</f>
        <v>0</v>
      </c>
      <c r="Q175" s="31">
        <f>IFERROR(VLOOKUP($E175,bug_conf_sheet!$A:$H,5,FALSE),VLOOKUP("other",bug_conf_sheet!$A:$H,5,FALSE))</f>
        <v>0</v>
      </c>
      <c r="R175" s="31">
        <f>IFERROR(VLOOKUP($E175,bug_conf_sheet!$A:$H,6,FALSE),VLOOKUP("other",bug_conf_sheet!$A:$H,6,FALSE))</f>
        <v>0</v>
      </c>
      <c r="S175" s="31">
        <f>IFERROR(VLOOKUP($E175,bug_conf_sheet!$A:$H,7,FALSE),VLOOKUP("other",bug_conf_sheet!$A:$H,7,FALSE))</f>
        <v>0</v>
      </c>
      <c r="T175" s="31">
        <f>IFERROR(VLOOKUP($E175,bug_conf_sheet!$A:$H,8,FALSE),VLOOKUP("other",bug_conf_sheet!$A:$H,8,FALSE))</f>
        <v>1</v>
      </c>
    </row>
    <row r="176" spans="1:20" ht="21" customHeight="1">
      <c r="A176" s="2" t="str">
        <f ca="1">input_313101!A$2</f>
        <v>313101</v>
      </c>
      <c r="B176" s="7" t="str">
        <f t="shared" si="8"/>
        <v>PremiumSSry4</v>
      </c>
      <c r="C176" s="7" t="str">
        <f t="shared" si="9"/>
        <v>PremiumSS</v>
      </c>
      <c r="D176" s="7" t="str">
        <f t="shared" si="10"/>
        <v>ry</v>
      </c>
      <c r="E176" s="6">
        <v>434</v>
      </c>
      <c r="F176" s="7" t="str">
        <f>VLOOKUP(E176,[1]characters!$A:$C,3,FALSE)</f>
        <v>D.R.T.H.</v>
      </c>
      <c r="G176" s="7" t="str">
        <f>VLOOKUP(E176,[1]characters!$A:$J,10,FALSE)</f>
        <v>PremiumSS</v>
      </c>
      <c r="H176" s="7">
        <f>VLOOKUP(E176,[1]characters!$A:$I,9,FALSE)</f>
        <v>4</v>
      </c>
      <c r="I176" s="7" t="str">
        <f>VLOOKUP(E176,[1]characters!$A:$H,8,FALSE)</f>
        <v>red</v>
      </c>
      <c r="J176" s="7" t="str">
        <f>VLOOKUP(E176,[1]characters!$A:$K,11,FALSE)</f>
        <v>balance</v>
      </c>
      <c r="K176" s="7" t="str">
        <f>VLOOKUP(E176,[1]characters!$A:$M,13,FALSE)</f>
        <v>human</v>
      </c>
      <c r="L176" s="7" t="str">
        <f>VLOOKUP(E176,[1]characters!$A:$G,7,FALSE)</f>
        <v>女性</v>
      </c>
      <c r="M176" s="62">
        <f ca="1">IFERROR(VLOOKUP(E176,input_313101!L:R,7,FALSE),VLOOKUP(tables_313101!B176,input_313101!A:H,8,FALSE))</f>
        <v>53946</v>
      </c>
      <c r="N176" s="63">
        <f t="shared" ca="1" si="11"/>
        <v>1.9285714285714286E-3</v>
      </c>
      <c r="O176" s="31">
        <f>IFERROR(VLOOKUP($E176,bug_conf_sheet!$A:$H,3,FALSE),VLOOKUP("other",bug_conf_sheet!$A:$H,3,FALSE))</f>
        <v>1</v>
      </c>
      <c r="P176" s="31">
        <f>IFERROR(VLOOKUP($E176,bug_conf_sheet!$A:$H,4,FALSE),VLOOKUP("other",bug_conf_sheet!$A:$H,4,FALSE))</f>
        <v>0</v>
      </c>
      <c r="Q176" s="31">
        <f>IFERROR(VLOOKUP($E176,bug_conf_sheet!$A:$H,5,FALSE),VLOOKUP("other",bug_conf_sheet!$A:$H,5,FALSE))</f>
        <v>0</v>
      </c>
      <c r="R176" s="31">
        <f>IFERROR(VLOOKUP($E176,bug_conf_sheet!$A:$H,6,FALSE),VLOOKUP("other",bug_conf_sheet!$A:$H,6,FALSE))</f>
        <v>0</v>
      </c>
      <c r="S176" s="31">
        <f>IFERROR(VLOOKUP($E176,bug_conf_sheet!$A:$H,7,FALSE),VLOOKUP("other",bug_conf_sheet!$A:$H,7,FALSE))</f>
        <v>0</v>
      </c>
      <c r="T176" s="31">
        <f>IFERROR(VLOOKUP($E176,bug_conf_sheet!$A:$H,8,FALSE),VLOOKUP("other",bug_conf_sheet!$A:$H,8,FALSE))</f>
        <v>1</v>
      </c>
    </row>
    <row r="177" spans="1:20" ht="21" customHeight="1">
      <c r="A177" s="2" t="str">
        <f ca="1">input_313101!A$2</f>
        <v>313101</v>
      </c>
      <c r="B177" s="7" t="str">
        <f t="shared" si="8"/>
        <v>PremiumSSry5</v>
      </c>
      <c r="C177" s="7" t="str">
        <f t="shared" si="9"/>
        <v>PremiumSS</v>
      </c>
      <c r="D177" s="7" t="str">
        <f t="shared" si="10"/>
        <v>ry</v>
      </c>
      <c r="E177" s="6">
        <v>435</v>
      </c>
      <c r="F177" s="7" t="str">
        <f>VLOOKUP(E177,[1]characters!$A:$C,3,FALSE)</f>
        <v>曝弾の密偵 D.R.T.H.</v>
      </c>
      <c r="G177" s="7" t="str">
        <f>VLOOKUP(E177,[1]characters!$A:$J,10,FALSE)</f>
        <v>PremiumSS</v>
      </c>
      <c r="H177" s="7">
        <f>VLOOKUP(E177,[1]characters!$A:$I,9,FALSE)</f>
        <v>5</v>
      </c>
      <c r="I177" s="7" t="str">
        <f>VLOOKUP(E177,[1]characters!$A:$H,8,FALSE)</f>
        <v>red</v>
      </c>
      <c r="J177" s="7" t="str">
        <f>VLOOKUP(E177,[1]characters!$A:$K,11,FALSE)</f>
        <v>balance</v>
      </c>
      <c r="K177" s="7" t="str">
        <f>VLOOKUP(E177,[1]characters!$A:$M,13,FALSE)</f>
        <v>human</v>
      </c>
      <c r="L177" s="7" t="str">
        <f>VLOOKUP(E177,[1]characters!$A:$G,7,FALSE)</f>
        <v>女性</v>
      </c>
      <c r="M177" s="62">
        <f ca="1">IFERROR(VLOOKUP(E177,input_313101!L:R,7,FALSE),VLOOKUP(tables_313101!B177,input_313101!A:H,8,FALSE))</f>
        <v>5994</v>
      </c>
      <c r="N177" s="63">
        <f t="shared" ca="1" si="11"/>
        <v>2.1428571428571427E-4</v>
      </c>
      <c r="O177" s="31">
        <f>IFERROR(VLOOKUP($E177,bug_conf_sheet!$A:$H,3,FALSE),VLOOKUP("other",bug_conf_sheet!$A:$H,3,FALSE))</f>
        <v>1</v>
      </c>
      <c r="P177" s="31">
        <f>IFERROR(VLOOKUP($E177,bug_conf_sheet!$A:$H,4,FALSE),VLOOKUP("other",bug_conf_sheet!$A:$H,4,FALSE))</f>
        <v>0</v>
      </c>
      <c r="Q177" s="31">
        <f>IFERROR(VLOOKUP($E177,bug_conf_sheet!$A:$H,5,FALSE),VLOOKUP("other",bug_conf_sheet!$A:$H,5,FALSE))</f>
        <v>0</v>
      </c>
      <c r="R177" s="31">
        <f>IFERROR(VLOOKUP($E177,bug_conf_sheet!$A:$H,6,FALSE),VLOOKUP("other",bug_conf_sheet!$A:$H,6,FALSE))</f>
        <v>0</v>
      </c>
      <c r="S177" s="31">
        <f>IFERROR(VLOOKUP($E177,bug_conf_sheet!$A:$H,7,FALSE),VLOOKUP("other",bug_conf_sheet!$A:$H,7,FALSE))</f>
        <v>0</v>
      </c>
      <c r="T177" s="31">
        <f>IFERROR(VLOOKUP($E177,bug_conf_sheet!$A:$H,8,FALSE),VLOOKUP("other",bug_conf_sheet!$A:$H,8,FALSE))</f>
        <v>1</v>
      </c>
    </row>
    <row r="178" spans="1:20" ht="21" customHeight="1">
      <c r="A178" s="2" t="str">
        <f ca="1">input_313101!A$2</f>
        <v>313101</v>
      </c>
      <c r="B178" s="7" t="str">
        <f t="shared" si="8"/>
        <v>Premium3</v>
      </c>
      <c r="C178" s="7" t="str">
        <f t="shared" si="9"/>
        <v>Premium</v>
      </c>
      <c r="D178" s="7" t="str">
        <f t="shared" si="10"/>
        <v>bg</v>
      </c>
      <c r="E178" s="6">
        <v>436</v>
      </c>
      <c r="F178" s="7" t="str">
        <f>VLOOKUP(E178,[1]characters!$A:$C,3,FALSE)</f>
        <v>カカシ</v>
      </c>
      <c r="G178" s="7" t="str">
        <f>VLOOKUP(E178,[1]characters!$A:$J,10,FALSE)</f>
        <v>PremiumS</v>
      </c>
      <c r="H178" s="7">
        <f>VLOOKUP(E178,[1]characters!$A:$I,9,FALSE)</f>
        <v>3</v>
      </c>
      <c r="I178" s="7" t="str">
        <f>VLOOKUP(E178,[1]characters!$A:$H,8,FALSE)</f>
        <v>green</v>
      </c>
      <c r="J178" s="7" t="str">
        <f>VLOOKUP(E178,[1]characters!$A:$K,11,FALSE)</f>
        <v>technical</v>
      </c>
      <c r="K178" s="7" t="str">
        <f>VLOOKUP(E178,[1]characters!$A:$M,13,FALSE)</f>
        <v>human</v>
      </c>
      <c r="L178" s="7" t="str">
        <f>VLOOKUP(E178,[1]characters!$A:$G,7,FALSE)</f>
        <v>男性</v>
      </c>
      <c r="M178" s="62">
        <f ca="1">IFERROR(VLOOKUP(E178,input_313101!L:R,7,FALSE),VLOOKUP(tables_313101!B178,input_313101!A:H,8,FALSE))</f>
        <v>0</v>
      </c>
      <c r="N178" s="63">
        <f t="shared" ca="1" si="11"/>
        <v>0</v>
      </c>
      <c r="O178" s="31">
        <f>IFERROR(VLOOKUP($E178,bug_conf_sheet!$A:$H,3,FALSE),VLOOKUP("other",bug_conf_sheet!$A:$H,3,FALSE))</f>
        <v>1</v>
      </c>
      <c r="P178" s="31">
        <f>IFERROR(VLOOKUP($E178,bug_conf_sheet!$A:$H,4,FALSE),VLOOKUP("other",bug_conf_sheet!$A:$H,4,FALSE))</f>
        <v>0</v>
      </c>
      <c r="Q178" s="31">
        <f>IFERROR(VLOOKUP($E178,bug_conf_sheet!$A:$H,5,FALSE),VLOOKUP("other",bug_conf_sheet!$A:$H,5,FALSE))</f>
        <v>0</v>
      </c>
      <c r="R178" s="31">
        <f>IFERROR(VLOOKUP($E178,bug_conf_sheet!$A:$H,6,FALSE),VLOOKUP("other",bug_conf_sheet!$A:$H,6,FALSE))</f>
        <v>0</v>
      </c>
      <c r="S178" s="31">
        <f>IFERROR(VLOOKUP($E178,bug_conf_sheet!$A:$H,7,FALSE),VLOOKUP("other",bug_conf_sheet!$A:$H,7,FALSE))</f>
        <v>0</v>
      </c>
      <c r="T178" s="31">
        <f>IFERROR(VLOOKUP($E178,bug_conf_sheet!$A:$H,8,FALSE),VLOOKUP("other",bug_conf_sheet!$A:$H,8,FALSE))</f>
        <v>1</v>
      </c>
    </row>
    <row r="179" spans="1:20" ht="21" customHeight="1">
      <c r="A179" s="2" t="str">
        <f ca="1">input_313101!A$2</f>
        <v>313101</v>
      </c>
      <c r="B179" s="7" t="str">
        <f t="shared" si="8"/>
        <v>Premium4</v>
      </c>
      <c r="C179" s="7" t="str">
        <f t="shared" si="9"/>
        <v>Premium</v>
      </c>
      <c r="D179" s="7" t="str">
        <f t="shared" si="10"/>
        <v>bg</v>
      </c>
      <c r="E179" s="6">
        <v>437</v>
      </c>
      <c r="F179" s="7" t="str">
        <f>VLOOKUP(E179,[1]characters!$A:$C,3,FALSE)</f>
        <v>忘却者 カカシ</v>
      </c>
      <c r="G179" s="7" t="str">
        <f>VLOOKUP(E179,[1]characters!$A:$J,10,FALSE)</f>
        <v>PremiumS</v>
      </c>
      <c r="H179" s="7">
        <f>VLOOKUP(E179,[1]characters!$A:$I,9,FALSE)</f>
        <v>4</v>
      </c>
      <c r="I179" s="7" t="str">
        <f>VLOOKUP(E179,[1]characters!$A:$H,8,FALSE)</f>
        <v>green</v>
      </c>
      <c r="J179" s="7" t="str">
        <f>VLOOKUP(E179,[1]characters!$A:$K,11,FALSE)</f>
        <v>technical</v>
      </c>
      <c r="K179" s="7" t="str">
        <f>VLOOKUP(E179,[1]characters!$A:$M,13,FALSE)</f>
        <v>human</v>
      </c>
      <c r="L179" s="7" t="str">
        <f>VLOOKUP(E179,[1]characters!$A:$G,7,FALSE)</f>
        <v>男性</v>
      </c>
      <c r="M179" s="62">
        <f ca="1">IFERROR(VLOOKUP(E179,input_313101!L:R,7,FALSE),VLOOKUP(tables_313101!B179,input_313101!A:H,8,FALSE))</f>
        <v>342090</v>
      </c>
      <c r="N179" s="63">
        <f t="shared" ca="1" si="11"/>
        <v>1.222972972972973E-2</v>
      </c>
      <c r="O179" s="31">
        <f>IFERROR(VLOOKUP($E179,bug_conf_sheet!$A:$H,3,FALSE),VLOOKUP("other",bug_conf_sheet!$A:$H,3,FALSE))</f>
        <v>1</v>
      </c>
      <c r="P179" s="31">
        <f>IFERROR(VLOOKUP($E179,bug_conf_sheet!$A:$H,4,FALSE),VLOOKUP("other",bug_conf_sheet!$A:$H,4,FALSE))</f>
        <v>0</v>
      </c>
      <c r="Q179" s="31">
        <f>IFERROR(VLOOKUP($E179,bug_conf_sheet!$A:$H,5,FALSE),VLOOKUP("other",bug_conf_sheet!$A:$H,5,FALSE))</f>
        <v>0</v>
      </c>
      <c r="R179" s="31">
        <f>IFERROR(VLOOKUP($E179,bug_conf_sheet!$A:$H,6,FALSE),VLOOKUP("other",bug_conf_sheet!$A:$H,6,FALSE))</f>
        <v>0</v>
      </c>
      <c r="S179" s="31">
        <f>IFERROR(VLOOKUP($E179,bug_conf_sheet!$A:$H,7,FALSE),VLOOKUP("other",bug_conf_sheet!$A:$H,7,FALSE))</f>
        <v>0</v>
      </c>
      <c r="T179" s="31">
        <f>IFERROR(VLOOKUP($E179,bug_conf_sheet!$A:$H,8,FALSE),VLOOKUP("other",bug_conf_sheet!$A:$H,8,FALSE))</f>
        <v>1</v>
      </c>
    </row>
    <row r="180" spans="1:20" ht="21" customHeight="1">
      <c r="A180" s="2" t="str">
        <f ca="1">input_313101!A$2</f>
        <v>313101</v>
      </c>
      <c r="B180" s="7" t="str">
        <f t="shared" si="8"/>
        <v>Premium5</v>
      </c>
      <c r="C180" s="7" t="str">
        <f t="shared" si="9"/>
        <v>Premium</v>
      </c>
      <c r="D180" s="7" t="str">
        <f t="shared" si="10"/>
        <v>bg</v>
      </c>
      <c r="E180" s="6">
        <v>438</v>
      </c>
      <c r="F180" s="7" t="str">
        <f>VLOOKUP(E180,[1]characters!$A:$C,3,FALSE)</f>
        <v>記憶の奪還 カカシ</v>
      </c>
      <c r="G180" s="7" t="str">
        <f>VLOOKUP(E180,[1]characters!$A:$J,10,FALSE)</f>
        <v>PremiumS</v>
      </c>
      <c r="H180" s="7">
        <f>VLOOKUP(E180,[1]characters!$A:$I,9,FALSE)</f>
        <v>5</v>
      </c>
      <c r="I180" s="7" t="str">
        <f>VLOOKUP(E180,[1]characters!$A:$H,8,FALSE)</f>
        <v>green</v>
      </c>
      <c r="J180" s="7" t="str">
        <f>VLOOKUP(E180,[1]characters!$A:$K,11,FALSE)</f>
        <v>technical</v>
      </c>
      <c r="K180" s="7" t="str">
        <f>VLOOKUP(E180,[1]characters!$A:$M,13,FALSE)</f>
        <v>human</v>
      </c>
      <c r="L180" s="7" t="str">
        <f>VLOOKUP(E180,[1]characters!$A:$G,7,FALSE)</f>
        <v>男性</v>
      </c>
      <c r="M180" s="62">
        <f ca="1">IFERROR(VLOOKUP(E180,input_313101!L:R,7,FALSE),VLOOKUP(tables_313101!B180,input_313101!A:H,8,FALSE))</f>
        <v>18130</v>
      </c>
      <c r="N180" s="63">
        <f t="shared" ca="1" si="11"/>
        <v>6.4814814814814813E-4</v>
      </c>
      <c r="O180" s="31">
        <f>IFERROR(VLOOKUP($E180,bug_conf_sheet!$A:$H,3,FALSE),VLOOKUP("other",bug_conf_sheet!$A:$H,3,FALSE))</f>
        <v>1</v>
      </c>
      <c r="P180" s="31">
        <f>IFERROR(VLOOKUP($E180,bug_conf_sheet!$A:$H,4,FALSE),VLOOKUP("other",bug_conf_sheet!$A:$H,4,FALSE))</f>
        <v>0</v>
      </c>
      <c r="Q180" s="31">
        <f>IFERROR(VLOOKUP($E180,bug_conf_sheet!$A:$H,5,FALSE),VLOOKUP("other",bug_conf_sheet!$A:$H,5,FALSE))</f>
        <v>0</v>
      </c>
      <c r="R180" s="31">
        <f>IFERROR(VLOOKUP($E180,bug_conf_sheet!$A:$H,6,FALSE),VLOOKUP("other",bug_conf_sheet!$A:$H,6,FALSE))</f>
        <v>0</v>
      </c>
      <c r="S180" s="31">
        <f>IFERROR(VLOOKUP($E180,bug_conf_sheet!$A:$H,7,FALSE),VLOOKUP("other",bug_conf_sheet!$A:$H,7,FALSE))</f>
        <v>0</v>
      </c>
      <c r="T180" s="31">
        <f>IFERROR(VLOOKUP($E180,bug_conf_sheet!$A:$H,8,FALSE),VLOOKUP("other",bug_conf_sheet!$A:$H,8,FALSE))</f>
        <v>1</v>
      </c>
    </row>
    <row r="181" spans="1:20" ht="21" customHeight="1">
      <c r="A181" s="2" t="str">
        <f ca="1">input_313101!A$2</f>
        <v>313101</v>
      </c>
      <c r="B181" s="7" t="str">
        <f t="shared" si="8"/>
        <v>Premium3</v>
      </c>
      <c r="C181" s="7" t="str">
        <f t="shared" si="9"/>
        <v>Premium</v>
      </c>
      <c r="D181" s="7" t="str">
        <f t="shared" si="10"/>
        <v>bg</v>
      </c>
      <c r="E181" s="6">
        <v>439</v>
      </c>
      <c r="F181" s="7" t="str">
        <f>VLOOKUP(E181,[1]characters!$A:$C,3,FALSE)</f>
        <v>ブリキロガー</v>
      </c>
      <c r="G181" s="7" t="str">
        <f>VLOOKUP(E181,[1]characters!$A:$J,10,FALSE)</f>
        <v>PremiumS</v>
      </c>
      <c r="H181" s="7">
        <f>VLOOKUP(E181,[1]characters!$A:$I,9,FALSE)</f>
        <v>3</v>
      </c>
      <c r="I181" s="7" t="str">
        <f>VLOOKUP(E181,[1]characters!$A:$H,8,FALSE)</f>
        <v>blue</v>
      </c>
      <c r="J181" s="7" t="str">
        <f>VLOOKUP(E181,[1]characters!$A:$K,11,FALSE)</f>
        <v>attack</v>
      </c>
      <c r="K181" s="7" t="str">
        <f>VLOOKUP(E181,[1]characters!$A:$M,13,FALSE)</f>
        <v>machine</v>
      </c>
      <c r="L181" s="7" t="str">
        <f>VLOOKUP(E181,[1]characters!$A:$G,7,FALSE)</f>
        <v>不明</v>
      </c>
      <c r="M181" s="62">
        <f ca="1">IFERROR(VLOOKUP(E181,input_313101!L:R,7,FALSE),VLOOKUP(tables_313101!B181,input_313101!A:H,8,FALSE))</f>
        <v>0</v>
      </c>
      <c r="N181" s="63">
        <f t="shared" ca="1" si="11"/>
        <v>0</v>
      </c>
      <c r="O181" s="31">
        <f>IFERROR(VLOOKUP($E181,bug_conf_sheet!$A:$H,3,FALSE),VLOOKUP("other",bug_conf_sheet!$A:$H,3,FALSE))</f>
        <v>1</v>
      </c>
      <c r="P181" s="31">
        <f>IFERROR(VLOOKUP($E181,bug_conf_sheet!$A:$H,4,FALSE),VLOOKUP("other",bug_conf_sheet!$A:$H,4,FALSE))</f>
        <v>0</v>
      </c>
      <c r="Q181" s="31">
        <f>IFERROR(VLOOKUP($E181,bug_conf_sheet!$A:$H,5,FALSE),VLOOKUP("other",bug_conf_sheet!$A:$H,5,FALSE))</f>
        <v>0</v>
      </c>
      <c r="R181" s="31">
        <f>IFERROR(VLOOKUP($E181,bug_conf_sheet!$A:$H,6,FALSE),VLOOKUP("other",bug_conf_sheet!$A:$H,6,FALSE))</f>
        <v>0</v>
      </c>
      <c r="S181" s="31">
        <f>IFERROR(VLOOKUP($E181,bug_conf_sheet!$A:$H,7,FALSE),VLOOKUP("other",bug_conf_sheet!$A:$H,7,FALSE))</f>
        <v>0</v>
      </c>
      <c r="T181" s="31">
        <f>IFERROR(VLOOKUP($E181,bug_conf_sheet!$A:$H,8,FALSE),VLOOKUP("other",bug_conf_sheet!$A:$H,8,FALSE))</f>
        <v>1</v>
      </c>
    </row>
    <row r="182" spans="1:20" ht="21" customHeight="1">
      <c r="A182" s="2" t="str">
        <f ca="1">input_313101!A$2</f>
        <v>313101</v>
      </c>
      <c r="B182" s="7" t="str">
        <f t="shared" si="8"/>
        <v>Premium4</v>
      </c>
      <c r="C182" s="7" t="str">
        <f t="shared" si="9"/>
        <v>Premium</v>
      </c>
      <c r="D182" s="7" t="str">
        <f t="shared" si="10"/>
        <v>bg</v>
      </c>
      <c r="E182" s="6">
        <v>440</v>
      </c>
      <c r="F182" s="7" t="str">
        <f>VLOOKUP(E182,[1]characters!$A:$C,3,FALSE)</f>
        <v>改良型 ブリキロガー</v>
      </c>
      <c r="G182" s="7" t="str">
        <f>VLOOKUP(E182,[1]characters!$A:$J,10,FALSE)</f>
        <v>PremiumS</v>
      </c>
      <c r="H182" s="7">
        <f>VLOOKUP(E182,[1]characters!$A:$I,9,FALSE)</f>
        <v>4</v>
      </c>
      <c r="I182" s="7" t="str">
        <f>VLOOKUP(E182,[1]characters!$A:$H,8,FALSE)</f>
        <v>blue</v>
      </c>
      <c r="J182" s="7" t="str">
        <f>VLOOKUP(E182,[1]characters!$A:$K,11,FALSE)</f>
        <v>attack</v>
      </c>
      <c r="K182" s="7" t="str">
        <f>VLOOKUP(E182,[1]characters!$A:$M,13,FALSE)</f>
        <v>machine</v>
      </c>
      <c r="L182" s="7" t="str">
        <f>VLOOKUP(E182,[1]characters!$A:$G,7,FALSE)</f>
        <v>不明</v>
      </c>
      <c r="M182" s="62">
        <f ca="1">IFERROR(VLOOKUP(E182,input_313101!L:R,7,FALSE),VLOOKUP(tables_313101!B182,input_313101!A:H,8,FALSE))</f>
        <v>342090</v>
      </c>
      <c r="N182" s="63">
        <f t="shared" ca="1" si="11"/>
        <v>1.222972972972973E-2</v>
      </c>
      <c r="O182" s="31">
        <f>IFERROR(VLOOKUP($E182,bug_conf_sheet!$A:$H,3,FALSE),VLOOKUP("other",bug_conf_sheet!$A:$H,3,FALSE))</f>
        <v>1</v>
      </c>
      <c r="P182" s="31">
        <f>IFERROR(VLOOKUP($E182,bug_conf_sheet!$A:$H,4,FALSE),VLOOKUP("other",bug_conf_sheet!$A:$H,4,FALSE))</f>
        <v>0</v>
      </c>
      <c r="Q182" s="31">
        <f>IFERROR(VLOOKUP($E182,bug_conf_sheet!$A:$H,5,FALSE),VLOOKUP("other",bug_conf_sheet!$A:$H,5,FALSE))</f>
        <v>0</v>
      </c>
      <c r="R182" s="31">
        <f>IFERROR(VLOOKUP($E182,bug_conf_sheet!$A:$H,6,FALSE),VLOOKUP("other",bug_conf_sheet!$A:$H,6,FALSE))</f>
        <v>0</v>
      </c>
      <c r="S182" s="31">
        <f>IFERROR(VLOOKUP($E182,bug_conf_sheet!$A:$H,7,FALSE),VLOOKUP("other",bug_conf_sheet!$A:$H,7,FALSE))</f>
        <v>0</v>
      </c>
      <c r="T182" s="31">
        <f>IFERROR(VLOOKUP($E182,bug_conf_sheet!$A:$H,8,FALSE),VLOOKUP("other",bug_conf_sheet!$A:$H,8,FALSE))</f>
        <v>1</v>
      </c>
    </row>
    <row r="183" spans="1:20" ht="21" customHeight="1">
      <c r="A183" s="2" t="str">
        <f ca="1">input_313101!A$2</f>
        <v>313101</v>
      </c>
      <c r="B183" s="7" t="str">
        <f t="shared" si="8"/>
        <v>Premium5</v>
      </c>
      <c r="C183" s="7" t="str">
        <f t="shared" si="9"/>
        <v>Premium</v>
      </c>
      <c r="D183" s="7" t="str">
        <f t="shared" si="10"/>
        <v>bg</v>
      </c>
      <c r="E183" s="6">
        <v>441</v>
      </c>
      <c r="F183" s="7" t="str">
        <f>VLOOKUP(E183,[1]characters!$A:$C,3,FALSE)</f>
        <v>求心の錻装 ブリキロガー</v>
      </c>
      <c r="G183" s="7" t="str">
        <f>VLOOKUP(E183,[1]characters!$A:$J,10,FALSE)</f>
        <v>PremiumS</v>
      </c>
      <c r="H183" s="7">
        <f>VLOOKUP(E183,[1]characters!$A:$I,9,FALSE)</f>
        <v>5</v>
      </c>
      <c r="I183" s="7" t="str">
        <f>VLOOKUP(E183,[1]characters!$A:$H,8,FALSE)</f>
        <v>blue</v>
      </c>
      <c r="J183" s="7" t="str">
        <f>VLOOKUP(E183,[1]characters!$A:$K,11,FALSE)</f>
        <v>attack</v>
      </c>
      <c r="K183" s="7" t="str">
        <f>VLOOKUP(E183,[1]characters!$A:$M,13,FALSE)</f>
        <v>machine</v>
      </c>
      <c r="L183" s="7" t="str">
        <f>VLOOKUP(E183,[1]characters!$A:$G,7,FALSE)</f>
        <v>不明</v>
      </c>
      <c r="M183" s="62">
        <f ca="1">IFERROR(VLOOKUP(E183,input_313101!L:R,7,FALSE),VLOOKUP(tables_313101!B183,input_313101!A:H,8,FALSE))</f>
        <v>18130</v>
      </c>
      <c r="N183" s="63">
        <f t="shared" ca="1" si="11"/>
        <v>6.4814814814814813E-4</v>
      </c>
      <c r="O183" s="31">
        <f>IFERROR(VLOOKUP($E183,bug_conf_sheet!$A:$H,3,FALSE),VLOOKUP("other",bug_conf_sheet!$A:$H,3,FALSE))</f>
        <v>1</v>
      </c>
      <c r="P183" s="31">
        <f>IFERROR(VLOOKUP($E183,bug_conf_sheet!$A:$H,4,FALSE),VLOOKUP("other",bug_conf_sheet!$A:$H,4,FALSE))</f>
        <v>0</v>
      </c>
      <c r="Q183" s="31">
        <f>IFERROR(VLOOKUP($E183,bug_conf_sheet!$A:$H,5,FALSE),VLOOKUP("other",bug_conf_sheet!$A:$H,5,FALSE))</f>
        <v>0</v>
      </c>
      <c r="R183" s="31">
        <f>IFERROR(VLOOKUP($E183,bug_conf_sheet!$A:$H,6,FALSE),VLOOKUP("other",bug_conf_sheet!$A:$H,6,FALSE))</f>
        <v>0</v>
      </c>
      <c r="S183" s="31">
        <f>IFERROR(VLOOKUP($E183,bug_conf_sheet!$A:$H,7,FALSE),VLOOKUP("other",bug_conf_sheet!$A:$H,7,FALSE))</f>
        <v>0</v>
      </c>
      <c r="T183" s="31">
        <f>IFERROR(VLOOKUP($E183,bug_conf_sheet!$A:$H,8,FALSE),VLOOKUP("other",bug_conf_sheet!$A:$H,8,FALSE))</f>
        <v>1</v>
      </c>
    </row>
    <row r="184" spans="1:20" ht="21" customHeight="1">
      <c r="A184" s="2" t="str">
        <f ca="1">input_313101!A$2</f>
        <v>313101</v>
      </c>
      <c r="B184" s="7" t="str">
        <f t="shared" si="8"/>
        <v>PremiumSSry4</v>
      </c>
      <c r="C184" s="7" t="str">
        <f t="shared" si="9"/>
        <v>PremiumSS</v>
      </c>
      <c r="D184" s="7" t="str">
        <f t="shared" si="10"/>
        <v>ry</v>
      </c>
      <c r="E184" s="6">
        <v>442</v>
      </c>
      <c r="F184" s="7" t="str">
        <f>VLOOKUP(E184,[1]characters!$A:$C,3,FALSE)</f>
        <v>ブレイブリー・ライオン</v>
      </c>
      <c r="G184" s="7" t="str">
        <f>VLOOKUP(E184,[1]characters!$A:$J,10,FALSE)</f>
        <v>PremiumSS</v>
      </c>
      <c r="H184" s="7">
        <f>VLOOKUP(E184,[1]characters!$A:$I,9,FALSE)</f>
        <v>4</v>
      </c>
      <c r="I184" s="7" t="str">
        <f>VLOOKUP(E184,[1]characters!$A:$H,8,FALSE)</f>
        <v>yellow</v>
      </c>
      <c r="J184" s="7" t="str">
        <f>VLOOKUP(E184,[1]characters!$A:$K,11,FALSE)</f>
        <v>hp</v>
      </c>
      <c r="K184" s="7" t="str">
        <f>VLOOKUP(E184,[1]characters!$A:$M,13,FALSE)</f>
        <v>animal</v>
      </c>
      <c r="L184" s="7" t="str">
        <f>VLOOKUP(E184,[1]characters!$A:$G,7,FALSE)</f>
        <v>不明</v>
      </c>
      <c r="M184" s="62">
        <f ca="1">IFERROR(VLOOKUP(E184,input_313101!L:R,7,FALSE),VLOOKUP(tables_313101!B184,input_313101!A:H,8,FALSE))</f>
        <v>53946</v>
      </c>
      <c r="N184" s="63">
        <f t="shared" ca="1" si="11"/>
        <v>1.9285714285714286E-3</v>
      </c>
      <c r="O184" s="31">
        <f>IFERROR(VLOOKUP($E184,bug_conf_sheet!$A:$H,3,FALSE),VLOOKUP("other",bug_conf_sheet!$A:$H,3,FALSE))</f>
        <v>1</v>
      </c>
      <c r="P184" s="31">
        <f>IFERROR(VLOOKUP($E184,bug_conf_sheet!$A:$H,4,FALSE),VLOOKUP("other",bug_conf_sheet!$A:$H,4,FALSE))</f>
        <v>0</v>
      </c>
      <c r="Q184" s="31">
        <f>IFERROR(VLOOKUP($E184,bug_conf_sheet!$A:$H,5,FALSE),VLOOKUP("other",bug_conf_sheet!$A:$H,5,FALSE))</f>
        <v>0</v>
      </c>
      <c r="R184" s="31">
        <f>IFERROR(VLOOKUP($E184,bug_conf_sheet!$A:$H,6,FALSE),VLOOKUP("other",bug_conf_sheet!$A:$H,6,FALSE))</f>
        <v>0</v>
      </c>
      <c r="S184" s="31">
        <f>IFERROR(VLOOKUP($E184,bug_conf_sheet!$A:$H,7,FALSE),VLOOKUP("other",bug_conf_sheet!$A:$H,7,FALSE))</f>
        <v>0</v>
      </c>
      <c r="T184" s="31">
        <f>IFERROR(VLOOKUP($E184,bug_conf_sheet!$A:$H,8,FALSE),VLOOKUP("other",bug_conf_sheet!$A:$H,8,FALSE))</f>
        <v>1</v>
      </c>
    </row>
    <row r="185" spans="1:20" ht="21" customHeight="1">
      <c r="A185" s="2" t="str">
        <f ca="1">input_313101!A$2</f>
        <v>313101</v>
      </c>
      <c r="B185" s="7" t="str">
        <f t="shared" si="8"/>
        <v>PremiumSSry5</v>
      </c>
      <c r="C185" s="7" t="str">
        <f t="shared" si="9"/>
        <v>PremiumSS</v>
      </c>
      <c r="D185" s="7" t="str">
        <f t="shared" si="10"/>
        <v>ry</v>
      </c>
      <c r="E185" s="6">
        <v>443</v>
      </c>
      <c r="F185" s="7" t="str">
        <f>VLOOKUP(E185,[1]characters!$A:$C,3,FALSE)</f>
        <v>勇機結集 ブレイブリー・ライオン</v>
      </c>
      <c r="G185" s="7" t="str">
        <f>VLOOKUP(E185,[1]characters!$A:$J,10,FALSE)</f>
        <v>PremiumSS</v>
      </c>
      <c r="H185" s="7">
        <f>VLOOKUP(E185,[1]characters!$A:$I,9,FALSE)</f>
        <v>5</v>
      </c>
      <c r="I185" s="7" t="str">
        <f>VLOOKUP(E185,[1]characters!$A:$H,8,FALSE)</f>
        <v>yellow</v>
      </c>
      <c r="J185" s="7" t="str">
        <f>VLOOKUP(E185,[1]characters!$A:$K,11,FALSE)</f>
        <v>hp</v>
      </c>
      <c r="K185" s="7" t="str">
        <f>VLOOKUP(E185,[1]characters!$A:$M,13,FALSE)</f>
        <v>animal</v>
      </c>
      <c r="L185" s="7" t="str">
        <f>VLOOKUP(E185,[1]characters!$A:$G,7,FALSE)</f>
        <v>不明</v>
      </c>
      <c r="M185" s="62">
        <f ca="1">IFERROR(VLOOKUP(E185,input_313101!L:R,7,FALSE),VLOOKUP(tables_313101!B185,input_313101!A:H,8,FALSE))</f>
        <v>5994</v>
      </c>
      <c r="N185" s="63">
        <f t="shared" ca="1" si="11"/>
        <v>2.1428571428571427E-4</v>
      </c>
      <c r="O185" s="31">
        <f>IFERROR(VLOOKUP($E185,bug_conf_sheet!$A:$H,3,FALSE),VLOOKUP("other",bug_conf_sheet!$A:$H,3,FALSE))</f>
        <v>1</v>
      </c>
      <c r="P185" s="31">
        <f>IFERROR(VLOOKUP($E185,bug_conf_sheet!$A:$H,4,FALSE),VLOOKUP("other",bug_conf_sheet!$A:$H,4,FALSE))</f>
        <v>0</v>
      </c>
      <c r="Q185" s="31">
        <f>IFERROR(VLOOKUP($E185,bug_conf_sheet!$A:$H,5,FALSE),VLOOKUP("other",bug_conf_sheet!$A:$H,5,FALSE))</f>
        <v>0</v>
      </c>
      <c r="R185" s="31">
        <f>IFERROR(VLOOKUP($E185,bug_conf_sheet!$A:$H,6,FALSE),VLOOKUP("other",bug_conf_sheet!$A:$H,6,FALSE))</f>
        <v>0</v>
      </c>
      <c r="S185" s="31">
        <f>IFERROR(VLOOKUP($E185,bug_conf_sheet!$A:$H,7,FALSE),VLOOKUP("other",bug_conf_sheet!$A:$H,7,FALSE))</f>
        <v>0</v>
      </c>
      <c r="T185" s="31">
        <f>IFERROR(VLOOKUP($E185,bug_conf_sheet!$A:$H,8,FALSE),VLOOKUP("other",bug_conf_sheet!$A:$H,8,FALSE))</f>
        <v>1</v>
      </c>
    </row>
    <row r="186" spans="1:20" ht="21" customHeight="1">
      <c r="A186" s="2" t="str">
        <f ca="1">input_313101!A$2</f>
        <v>313101</v>
      </c>
      <c r="B186" s="7" t="str">
        <f t="shared" si="8"/>
        <v>Premium3</v>
      </c>
      <c r="C186" s="7" t="str">
        <f t="shared" si="9"/>
        <v>Premium</v>
      </c>
      <c r="D186" s="7" t="str">
        <f t="shared" si="10"/>
        <v>ry</v>
      </c>
      <c r="E186" s="8">
        <v>462</v>
      </c>
      <c r="F186" s="7" t="str">
        <f>VLOOKUP(E186,[1]characters!$A:$C,3,FALSE)</f>
        <v>ガウェイン</v>
      </c>
      <c r="G186" s="7" t="str">
        <f>VLOOKUP(E186,[1]characters!$A:$J,10,FALSE)</f>
        <v>PremiumS</v>
      </c>
      <c r="H186" s="7">
        <f>VLOOKUP(E186,[1]characters!$A:$I,9,FALSE)</f>
        <v>3</v>
      </c>
      <c r="I186" s="7" t="str">
        <f>VLOOKUP(E186,[1]characters!$A:$H,8,FALSE)</f>
        <v>red</v>
      </c>
      <c r="J186" s="7" t="str">
        <f>VLOOKUP(E186,[1]characters!$A:$K,11,FALSE)</f>
        <v>hp</v>
      </c>
      <c r="K186" s="7" t="str">
        <f>VLOOKUP(E186,[1]characters!$A:$M,13,FALSE)</f>
        <v>human</v>
      </c>
      <c r="L186" s="7" t="str">
        <f>VLOOKUP(E186,[1]characters!$A:$G,7,FALSE)</f>
        <v>男性</v>
      </c>
      <c r="M186" s="62">
        <f ca="1">IFERROR(VLOOKUP(E186,input_313101!L:R,7,FALSE),VLOOKUP(tables_313101!B186,input_313101!A:H,8,FALSE))</f>
        <v>0</v>
      </c>
      <c r="N186" s="63">
        <f t="shared" ca="1" si="11"/>
        <v>0</v>
      </c>
      <c r="O186" s="31">
        <f>IFERROR(VLOOKUP($E186,bug_conf_sheet!$A:$H,3,FALSE),VLOOKUP("other",bug_conf_sheet!$A:$H,3,FALSE))</f>
        <v>1</v>
      </c>
      <c r="P186" s="31">
        <f>IFERROR(VLOOKUP($E186,bug_conf_sheet!$A:$H,4,FALSE),VLOOKUP("other",bug_conf_sheet!$A:$H,4,FALSE))</f>
        <v>0</v>
      </c>
      <c r="Q186" s="31">
        <f>IFERROR(VLOOKUP($E186,bug_conf_sheet!$A:$H,5,FALSE),VLOOKUP("other",bug_conf_sheet!$A:$H,5,FALSE))</f>
        <v>0</v>
      </c>
      <c r="R186" s="31">
        <f>IFERROR(VLOOKUP($E186,bug_conf_sheet!$A:$H,6,FALSE),VLOOKUP("other",bug_conf_sheet!$A:$H,6,FALSE))</f>
        <v>0</v>
      </c>
      <c r="S186" s="31">
        <f>IFERROR(VLOOKUP($E186,bug_conf_sheet!$A:$H,7,FALSE),VLOOKUP("other",bug_conf_sheet!$A:$H,7,FALSE))</f>
        <v>0</v>
      </c>
      <c r="T186" s="31">
        <f>IFERROR(VLOOKUP($E186,bug_conf_sheet!$A:$H,8,FALSE),VLOOKUP("other",bug_conf_sheet!$A:$H,8,FALSE))</f>
        <v>1</v>
      </c>
    </row>
    <row r="187" spans="1:20" ht="21" customHeight="1">
      <c r="A187" s="2" t="str">
        <f ca="1">input_313101!A$2</f>
        <v>313101</v>
      </c>
      <c r="B187" s="7" t="str">
        <f t="shared" si="8"/>
        <v>Premium4</v>
      </c>
      <c r="C187" s="7" t="str">
        <f t="shared" si="9"/>
        <v>Premium</v>
      </c>
      <c r="D187" s="7" t="str">
        <f t="shared" si="10"/>
        <v>ry</v>
      </c>
      <c r="E187" s="8">
        <v>463</v>
      </c>
      <c r="F187" s="7" t="str">
        <f>VLOOKUP(E187,[1]characters!$A:$C,3,FALSE)</f>
        <v>燻銀 ガウェイン</v>
      </c>
      <c r="G187" s="7" t="str">
        <f>VLOOKUP(E187,[1]characters!$A:$J,10,FALSE)</f>
        <v>PremiumS</v>
      </c>
      <c r="H187" s="7">
        <f>VLOOKUP(E187,[1]characters!$A:$I,9,FALSE)</f>
        <v>4</v>
      </c>
      <c r="I187" s="7" t="str">
        <f>VLOOKUP(E187,[1]characters!$A:$H,8,FALSE)</f>
        <v>red</v>
      </c>
      <c r="J187" s="7" t="str">
        <f>VLOOKUP(E187,[1]characters!$A:$K,11,FALSE)</f>
        <v>hp</v>
      </c>
      <c r="K187" s="7" t="str">
        <f>VLOOKUP(E187,[1]characters!$A:$M,13,FALSE)</f>
        <v>human</v>
      </c>
      <c r="L187" s="7" t="str">
        <f>VLOOKUP(E187,[1]characters!$A:$G,7,FALSE)</f>
        <v>男性</v>
      </c>
      <c r="M187" s="62">
        <f ca="1">IFERROR(VLOOKUP(E187,input_313101!L:R,7,FALSE),VLOOKUP(tables_313101!B187,input_313101!A:H,8,FALSE))</f>
        <v>342090</v>
      </c>
      <c r="N187" s="63">
        <f t="shared" ca="1" si="11"/>
        <v>1.222972972972973E-2</v>
      </c>
      <c r="O187" s="31">
        <f>IFERROR(VLOOKUP($E187,bug_conf_sheet!$A:$H,3,FALSE),VLOOKUP("other",bug_conf_sheet!$A:$H,3,FALSE))</f>
        <v>1</v>
      </c>
      <c r="P187" s="31">
        <f>IFERROR(VLOOKUP($E187,bug_conf_sheet!$A:$H,4,FALSE),VLOOKUP("other",bug_conf_sheet!$A:$H,4,FALSE))</f>
        <v>0</v>
      </c>
      <c r="Q187" s="31">
        <f>IFERROR(VLOOKUP($E187,bug_conf_sheet!$A:$H,5,FALSE),VLOOKUP("other",bug_conf_sheet!$A:$H,5,FALSE))</f>
        <v>0</v>
      </c>
      <c r="R187" s="31">
        <f>IFERROR(VLOOKUP($E187,bug_conf_sheet!$A:$H,6,FALSE),VLOOKUP("other",bug_conf_sheet!$A:$H,6,FALSE))</f>
        <v>0</v>
      </c>
      <c r="S187" s="31">
        <f>IFERROR(VLOOKUP($E187,bug_conf_sheet!$A:$H,7,FALSE),VLOOKUP("other",bug_conf_sheet!$A:$H,7,FALSE))</f>
        <v>0</v>
      </c>
      <c r="T187" s="31">
        <f>IFERROR(VLOOKUP($E187,bug_conf_sheet!$A:$H,8,FALSE),VLOOKUP("other",bug_conf_sheet!$A:$H,8,FALSE))</f>
        <v>1</v>
      </c>
    </row>
    <row r="188" spans="1:20" ht="21" customHeight="1">
      <c r="A188" s="2" t="str">
        <f ca="1">input_313101!A$2</f>
        <v>313101</v>
      </c>
      <c r="B188" s="7" t="str">
        <f t="shared" si="8"/>
        <v>Premium5</v>
      </c>
      <c r="C188" s="7" t="str">
        <f t="shared" si="9"/>
        <v>Premium</v>
      </c>
      <c r="D188" s="7" t="str">
        <f t="shared" si="10"/>
        <v>ry</v>
      </c>
      <c r="E188" s="8">
        <v>464</v>
      </c>
      <c r="F188" s="7" t="str">
        <f>VLOOKUP(E188,[1]characters!$A:$C,3,FALSE)</f>
        <v>円熟の弾導 ガウェイン</v>
      </c>
      <c r="G188" s="7" t="str">
        <f>VLOOKUP(E188,[1]characters!$A:$J,10,FALSE)</f>
        <v>PremiumS</v>
      </c>
      <c r="H188" s="7">
        <f>VLOOKUP(E188,[1]characters!$A:$I,9,FALSE)</f>
        <v>5</v>
      </c>
      <c r="I188" s="7" t="str">
        <f>VLOOKUP(E188,[1]characters!$A:$H,8,FALSE)</f>
        <v>red</v>
      </c>
      <c r="J188" s="7" t="str">
        <f>VLOOKUP(E188,[1]characters!$A:$K,11,FALSE)</f>
        <v>hp</v>
      </c>
      <c r="K188" s="7" t="str">
        <f>VLOOKUP(E188,[1]characters!$A:$M,13,FALSE)</f>
        <v>human</v>
      </c>
      <c r="L188" s="7" t="str">
        <f>VLOOKUP(E188,[1]characters!$A:$G,7,FALSE)</f>
        <v>男性</v>
      </c>
      <c r="M188" s="62">
        <f ca="1">IFERROR(VLOOKUP(E188,input_313101!L:R,7,FALSE),VLOOKUP(tables_313101!B188,input_313101!A:H,8,FALSE))</f>
        <v>18130</v>
      </c>
      <c r="N188" s="63">
        <f t="shared" ca="1" si="11"/>
        <v>6.4814814814814813E-4</v>
      </c>
      <c r="O188" s="31">
        <f>IFERROR(VLOOKUP($E188,bug_conf_sheet!$A:$H,3,FALSE),VLOOKUP("other",bug_conf_sheet!$A:$H,3,FALSE))</f>
        <v>1</v>
      </c>
      <c r="P188" s="31">
        <f>IFERROR(VLOOKUP($E188,bug_conf_sheet!$A:$H,4,FALSE),VLOOKUP("other",bug_conf_sheet!$A:$H,4,FALSE))</f>
        <v>0</v>
      </c>
      <c r="Q188" s="31">
        <f>IFERROR(VLOOKUP($E188,bug_conf_sheet!$A:$H,5,FALSE),VLOOKUP("other",bug_conf_sheet!$A:$H,5,FALSE))</f>
        <v>0</v>
      </c>
      <c r="R188" s="31">
        <f>IFERROR(VLOOKUP($E188,bug_conf_sheet!$A:$H,6,FALSE),VLOOKUP("other",bug_conf_sheet!$A:$H,6,FALSE))</f>
        <v>0</v>
      </c>
      <c r="S188" s="31">
        <f>IFERROR(VLOOKUP($E188,bug_conf_sheet!$A:$H,7,FALSE),VLOOKUP("other",bug_conf_sheet!$A:$H,7,FALSE))</f>
        <v>0</v>
      </c>
      <c r="T188" s="31">
        <f>IFERROR(VLOOKUP($E188,bug_conf_sheet!$A:$H,8,FALSE),VLOOKUP("other",bug_conf_sheet!$A:$H,8,FALSE))</f>
        <v>1</v>
      </c>
    </row>
    <row r="189" spans="1:20" ht="21" customHeight="1">
      <c r="A189" s="2" t="str">
        <f ca="1">input_313101!A$2</f>
        <v>313101</v>
      </c>
      <c r="B189" s="7" t="str">
        <f t="shared" si="8"/>
        <v>PremiumSSbg4</v>
      </c>
      <c r="C189" s="7" t="str">
        <f t="shared" si="9"/>
        <v>PremiumSS</v>
      </c>
      <c r="D189" s="7" t="str">
        <f t="shared" si="10"/>
        <v>bg</v>
      </c>
      <c r="E189" s="8">
        <v>465</v>
      </c>
      <c r="F189" s="7" t="str">
        <f>VLOOKUP(E189,[1]characters!$A:$C,3,FALSE)</f>
        <v>真撃 ランスロット</v>
      </c>
      <c r="G189" s="7" t="str">
        <f>VLOOKUP(E189,[1]characters!$A:$J,10,FALSE)</f>
        <v>PremiumSS</v>
      </c>
      <c r="H189" s="7">
        <f>VLOOKUP(E189,[1]characters!$A:$I,9,FALSE)</f>
        <v>4</v>
      </c>
      <c r="I189" s="7" t="str">
        <f>VLOOKUP(E189,[1]characters!$A:$H,8,FALSE)</f>
        <v>green</v>
      </c>
      <c r="J189" s="7" t="str">
        <f>VLOOKUP(E189,[1]characters!$A:$K,11,FALSE)</f>
        <v>balance</v>
      </c>
      <c r="K189" s="7" t="str">
        <f>VLOOKUP(E189,[1]characters!$A:$M,13,FALSE)</f>
        <v>human</v>
      </c>
      <c r="L189" s="7" t="str">
        <f>VLOOKUP(E189,[1]characters!$A:$G,7,FALSE)</f>
        <v>男性</v>
      </c>
      <c r="M189" s="62">
        <f ca="1">IFERROR(VLOOKUP(E189,input_313101!L:R,7,FALSE),VLOOKUP(tables_313101!B189,input_313101!A:H,8,FALSE))</f>
        <v>41958</v>
      </c>
      <c r="N189" s="63">
        <f t="shared" ca="1" si="11"/>
        <v>1.5E-3</v>
      </c>
      <c r="O189" s="31">
        <f>IFERROR(VLOOKUP($E189,bug_conf_sheet!$A:$H,3,FALSE),VLOOKUP("other",bug_conf_sheet!$A:$H,3,FALSE))</f>
        <v>1</v>
      </c>
      <c r="P189" s="31">
        <f>IFERROR(VLOOKUP($E189,bug_conf_sheet!$A:$H,4,FALSE),VLOOKUP("other",bug_conf_sheet!$A:$H,4,FALSE))</f>
        <v>0</v>
      </c>
      <c r="Q189" s="31">
        <f>IFERROR(VLOOKUP($E189,bug_conf_sheet!$A:$H,5,FALSE),VLOOKUP("other",bug_conf_sheet!$A:$H,5,FALSE))</f>
        <v>0</v>
      </c>
      <c r="R189" s="31">
        <f>IFERROR(VLOOKUP($E189,bug_conf_sheet!$A:$H,6,FALSE),VLOOKUP("other",bug_conf_sheet!$A:$H,6,FALSE))</f>
        <v>0</v>
      </c>
      <c r="S189" s="31">
        <f>IFERROR(VLOOKUP($E189,bug_conf_sheet!$A:$H,7,FALSE),VLOOKUP("other",bug_conf_sheet!$A:$H,7,FALSE))</f>
        <v>0</v>
      </c>
      <c r="T189" s="31">
        <f>IFERROR(VLOOKUP($E189,bug_conf_sheet!$A:$H,8,FALSE),VLOOKUP("other",bug_conf_sheet!$A:$H,8,FALSE))</f>
        <v>1</v>
      </c>
    </row>
    <row r="190" spans="1:20" s="9" customFormat="1" ht="21" customHeight="1" thickBot="1">
      <c r="A190" s="2" t="str">
        <f ca="1">input_313101!A$2</f>
        <v>313101</v>
      </c>
      <c r="B190" s="7" t="str">
        <f t="shared" si="8"/>
        <v>PremiumSSbg5</v>
      </c>
      <c r="C190" s="7" t="str">
        <f t="shared" si="9"/>
        <v>PremiumSS</v>
      </c>
      <c r="D190" s="7" t="str">
        <f t="shared" si="10"/>
        <v>bg</v>
      </c>
      <c r="E190" s="6">
        <v>466</v>
      </c>
      <c r="F190" s="7" t="str">
        <f>VLOOKUP(E190,[1]characters!$A:$C,3,FALSE)</f>
        <v>真断の勇覇 ランスロット</v>
      </c>
      <c r="G190" s="7" t="str">
        <f>VLOOKUP(E190,[1]characters!$A:$J,10,FALSE)</f>
        <v>PremiumSS</v>
      </c>
      <c r="H190" s="7">
        <f>VLOOKUP(E190,[1]characters!$A:$I,9,FALSE)</f>
        <v>5</v>
      </c>
      <c r="I190" s="7" t="str">
        <f>VLOOKUP(E190,[1]characters!$A:$H,8,FALSE)</f>
        <v>green</v>
      </c>
      <c r="J190" s="7" t="str">
        <f>VLOOKUP(E190,[1]characters!$A:$K,11,FALSE)</f>
        <v>balance</v>
      </c>
      <c r="K190" s="7" t="str">
        <f>VLOOKUP(E190,[1]characters!$A:$M,13,FALSE)</f>
        <v>human</v>
      </c>
      <c r="L190" s="7" t="str">
        <f>VLOOKUP(E190,[1]characters!$A:$G,7,FALSE)</f>
        <v>男性</v>
      </c>
      <c r="M190" s="62">
        <f ca="1">IFERROR(VLOOKUP(E190,input_313101!L:R,7,FALSE),VLOOKUP(tables_313101!B190,input_313101!A:H,8,FALSE))</f>
        <v>4662</v>
      </c>
      <c r="N190" s="63">
        <f t="shared" ca="1" si="11"/>
        <v>1.6666666666666666E-4</v>
      </c>
      <c r="O190" s="31">
        <f>IFERROR(VLOOKUP($E190,bug_conf_sheet!$A:$H,3,FALSE),VLOOKUP("other",bug_conf_sheet!$A:$H,3,FALSE))</f>
        <v>1</v>
      </c>
      <c r="P190" s="31">
        <f>IFERROR(VLOOKUP($E190,bug_conf_sheet!$A:$H,4,FALSE),VLOOKUP("other",bug_conf_sheet!$A:$H,4,FALSE))</f>
        <v>0</v>
      </c>
      <c r="Q190" s="31">
        <f>IFERROR(VLOOKUP($E190,bug_conf_sheet!$A:$H,5,FALSE),VLOOKUP("other",bug_conf_sheet!$A:$H,5,FALSE))</f>
        <v>0</v>
      </c>
      <c r="R190" s="31">
        <f>IFERROR(VLOOKUP($E190,bug_conf_sheet!$A:$H,6,FALSE),VLOOKUP("other",bug_conf_sheet!$A:$H,6,FALSE))</f>
        <v>0</v>
      </c>
      <c r="S190" s="31">
        <f>IFERROR(VLOOKUP($E190,bug_conf_sheet!$A:$H,7,FALSE),VLOOKUP("other",bug_conf_sheet!$A:$H,7,FALSE))</f>
        <v>0</v>
      </c>
      <c r="T190" s="31">
        <f>IFERROR(VLOOKUP($E190,bug_conf_sheet!$A:$H,8,FALSE),VLOOKUP("other",bug_conf_sheet!$A:$H,8,FALSE))</f>
        <v>1</v>
      </c>
    </row>
    <row r="191" spans="1:20" ht="21" customHeight="1">
      <c r="A191" s="2" t="str">
        <f ca="1">input_313101!A$2</f>
        <v>313101</v>
      </c>
      <c r="B191" s="7" t="str">
        <f t="shared" si="8"/>
        <v>PremiumSSbg4</v>
      </c>
      <c r="C191" s="7" t="str">
        <f t="shared" si="9"/>
        <v>PremiumSS</v>
      </c>
      <c r="D191" s="7" t="str">
        <f t="shared" si="10"/>
        <v>bg</v>
      </c>
      <c r="E191" s="6">
        <v>467</v>
      </c>
      <c r="F191" s="7" t="str">
        <f>VLOOKUP(E191,[1]characters!$A:$C,3,FALSE)</f>
        <v>報復 モルドレッド</v>
      </c>
      <c r="G191" s="7" t="str">
        <f>VLOOKUP(E191,[1]characters!$A:$J,10,FALSE)</f>
        <v>PremiumSS</v>
      </c>
      <c r="H191" s="7">
        <f>VLOOKUP(E191,[1]characters!$A:$I,9,FALSE)</f>
        <v>4</v>
      </c>
      <c r="I191" s="7" t="str">
        <f>VLOOKUP(E191,[1]characters!$A:$H,8,FALSE)</f>
        <v>blue</v>
      </c>
      <c r="J191" s="7" t="str">
        <f>VLOOKUP(E191,[1]characters!$A:$K,11,FALSE)</f>
        <v>technical</v>
      </c>
      <c r="K191" s="7" t="str">
        <f>VLOOKUP(E191,[1]characters!$A:$M,13,FALSE)</f>
        <v>human</v>
      </c>
      <c r="L191" s="7" t="str">
        <f>VLOOKUP(E191,[1]characters!$A:$G,7,FALSE)</f>
        <v>女性</v>
      </c>
      <c r="M191" s="62">
        <f ca="1">IFERROR(VLOOKUP(E191,input_313101!L:R,7,FALSE),VLOOKUP(tables_313101!B191,input_313101!A:H,8,FALSE))</f>
        <v>41958</v>
      </c>
      <c r="N191" s="63">
        <f t="shared" ca="1" si="11"/>
        <v>1.5E-3</v>
      </c>
      <c r="O191" s="31">
        <f>IFERROR(VLOOKUP($E191,bug_conf_sheet!$A:$H,3,FALSE),VLOOKUP("other",bug_conf_sheet!$A:$H,3,FALSE))</f>
        <v>1</v>
      </c>
      <c r="P191" s="31">
        <f>IFERROR(VLOOKUP($E191,bug_conf_sheet!$A:$H,4,FALSE),VLOOKUP("other",bug_conf_sheet!$A:$H,4,FALSE))</f>
        <v>0</v>
      </c>
      <c r="Q191" s="31">
        <f>IFERROR(VLOOKUP($E191,bug_conf_sheet!$A:$H,5,FALSE),VLOOKUP("other",bug_conf_sheet!$A:$H,5,FALSE))</f>
        <v>0</v>
      </c>
      <c r="R191" s="31">
        <f>IFERROR(VLOOKUP($E191,bug_conf_sheet!$A:$H,6,FALSE),VLOOKUP("other",bug_conf_sheet!$A:$H,6,FALSE))</f>
        <v>0</v>
      </c>
      <c r="S191" s="31">
        <f>IFERROR(VLOOKUP($E191,bug_conf_sheet!$A:$H,7,FALSE),VLOOKUP("other",bug_conf_sheet!$A:$H,7,FALSE))</f>
        <v>0</v>
      </c>
      <c r="T191" s="31">
        <f>IFERROR(VLOOKUP($E191,bug_conf_sheet!$A:$H,8,FALSE),VLOOKUP("other",bug_conf_sheet!$A:$H,8,FALSE))</f>
        <v>1</v>
      </c>
    </row>
    <row r="192" spans="1:20" ht="21" customHeight="1">
      <c r="A192" s="2" t="str">
        <f ca="1">input_313101!A$2</f>
        <v>313101</v>
      </c>
      <c r="B192" s="7" t="str">
        <f t="shared" si="8"/>
        <v>PremiumSSbg5</v>
      </c>
      <c r="C192" s="7" t="str">
        <f t="shared" si="9"/>
        <v>PremiumSS</v>
      </c>
      <c r="D192" s="7" t="str">
        <f t="shared" si="10"/>
        <v>bg</v>
      </c>
      <c r="E192" s="6">
        <v>468</v>
      </c>
      <c r="F192" s="7" t="str">
        <f>VLOOKUP(E192,[1]characters!$A:$C,3,FALSE)</f>
        <v>憎愛の尖鋒 モルドレッド</v>
      </c>
      <c r="G192" s="7" t="str">
        <f>VLOOKUP(E192,[1]characters!$A:$J,10,FALSE)</f>
        <v>PremiumSS</v>
      </c>
      <c r="H192" s="7">
        <f>VLOOKUP(E192,[1]characters!$A:$I,9,FALSE)</f>
        <v>5</v>
      </c>
      <c r="I192" s="7" t="str">
        <f>VLOOKUP(E192,[1]characters!$A:$H,8,FALSE)</f>
        <v>blue</v>
      </c>
      <c r="J192" s="7" t="str">
        <f>VLOOKUP(E192,[1]characters!$A:$K,11,FALSE)</f>
        <v>technical</v>
      </c>
      <c r="K192" s="7" t="str">
        <f>VLOOKUP(E192,[1]characters!$A:$M,13,FALSE)</f>
        <v>human</v>
      </c>
      <c r="L192" s="7" t="str">
        <f>VLOOKUP(E192,[1]characters!$A:$G,7,FALSE)</f>
        <v>女性</v>
      </c>
      <c r="M192" s="62">
        <f ca="1">IFERROR(VLOOKUP(E192,input_313101!L:R,7,FALSE),VLOOKUP(tables_313101!B192,input_313101!A:H,8,FALSE))</f>
        <v>4662</v>
      </c>
      <c r="N192" s="63">
        <f t="shared" ca="1" si="11"/>
        <v>1.6666666666666666E-4</v>
      </c>
      <c r="O192" s="31">
        <f>IFERROR(VLOOKUP($E192,bug_conf_sheet!$A:$H,3,FALSE),VLOOKUP("other",bug_conf_sheet!$A:$H,3,FALSE))</f>
        <v>1</v>
      </c>
      <c r="P192" s="31">
        <f>IFERROR(VLOOKUP($E192,bug_conf_sheet!$A:$H,4,FALSE),VLOOKUP("other",bug_conf_sheet!$A:$H,4,FALSE))</f>
        <v>0</v>
      </c>
      <c r="Q192" s="31">
        <f>IFERROR(VLOOKUP($E192,bug_conf_sheet!$A:$H,5,FALSE),VLOOKUP("other",bug_conf_sheet!$A:$H,5,FALSE))</f>
        <v>0</v>
      </c>
      <c r="R192" s="31">
        <f>IFERROR(VLOOKUP($E192,bug_conf_sheet!$A:$H,6,FALSE),VLOOKUP("other",bug_conf_sheet!$A:$H,6,FALSE))</f>
        <v>0</v>
      </c>
      <c r="S192" s="31">
        <f>IFERROR(VLOOKUP($E192,bug_conf_sheet!$A:$H,7,FALSE),VLOOKUP("other",bug_conf_sheet!$A:$H,7,FALSE))</f>
        <v>0</v>
      </c>
      <c r="T192" s="31">
        <f>IFERROR(VLOOKUP($E192,bug_conf_sheet!$A:$H,8,FALSE),VLOOKUP("other",bug_conf_sheet!$A:$H,8,FALSE))</f>
        <v>1</v>
      </c>
    </row>
    <row r="193" spans="1:20" ht="21" customHeight="1">
      <c r="A193" s="2" t="str">
        <f ca="1">input_313101!A$2</f>
        <v>313101</v>
      </c>
      <c r="B193" s="7" t="str">
        <f t="shared" si="8"/>
        <v>Premium3</v>
      </c>
      <c r="C193" s="7" t="str">
        <f t="shared" si="9"/>
        <v>Premium</v>
      </c>
      <c r="D193" s="7" t="str">
        <f t="shared" si="10"/>
        <v>ry</v>
      </c>
      <c r="E193" s="6">
        <v>469</v>
      </c>
      <c r="F193" s="7" t="str">
        <f>VLOOKUP(E193,[1]characters!$A:$C,3,FALSE)</f>
        <v>トリスタン</v>
      </c>
      <c r="G193" s="7" t="str">
        <f>VLOOKUP(E193,[1]characters!$A:$J,10,FALSE)</f>
        <v>PremiumS</v>
      </c>
      <c r="H193" s="7">
        <f>VLOOKUP(E193,[1]characters!$A:$I,9,FALSE)</f>
        <v>3</v>
      </c>
      <c r="I193" s="7" t="str">
        <f>VLOOKUP(E193,[1]characters!$A:$H,8,FALSE)</f>
        <v>yellow</v>
      </c>
      <c r="J193" s="7" t="str">
        <f>VLOOKUP(E193,[1]characters!$A:$K,11,FALSE)</f>
        <v>attack</v>
      </c>
      <c r="K193" s="7" t="str">
        <f>VLOOKUP(E193,[1]characters!$A:$M,13,FALSE)</f>
        <v>human</v>
      </c>
      <c r="L193" s="7" t="str">
        <f>VLOOKUP(E193,[1]characters!$A:$G,7,FALSE)</f>
        <v>男性</v>
      </c>
      <c r="M193" s="62">
        <f ca="1">IFERROR(VLOOKUP(E193,input_313101!L:R,7,FALSE),VLOOKUP(tables_313101!B193,input_313101!A:H,8,FALSE))</f>
        <v>0</v>
      </c>
      <c r="N193" s="63">
        <f t="shared" ca="1" si="11"/>
        <v>0</v>
      </c>
      <c r="O193" s="31">
        <f>IFERROR(VLOOKUP($E193,bug_conf_sheet!$A:$H,3,FALSE),VLOOKUP("other",bug_conf_sheet!$A:$H,3,FALSE))</f>
        <v>1</v>
      </c>
      <c r="P193" s="31">
        <f>IFERROR(VLOOKUP($E193,bug_conf_sheet!$A:$H,4,FALSE),VLOOKUP("other",bug_conf_sheet!$A:$H,4,FALSE))</f>
        <v>0</v>
      </c>
      <c r="Q193" s="31">
        <f>IFERROR(VLOOKUP($E193,bug_conf_sheet!$A:$H,5,FALSE),VLOOKUP("other",bug_conf_sheet!$A:$H,5,FALSE))</f>
        <v>0</v>
      </c>
      <c r="R193" s="31">
        <f>IFERROR(VLOOKUP($E193,bug_conf_sheet!$A:$H,6,FALSE),VLOOKUP("other",bug_conf_sheet!$A:$H,6,FALSE))</f>
        <v>0</v>
      </c>
      <c r="S193" s="31">
        <f>IFERROR(VLOOKUP($E193,bug_conf_sheet!$A:$H,7,FALSE),VLOOKUP("other",bug_conf_sheet!$A:$H,7,FALSE))</f>
        <v>0</v>
      </c>
      <c r="T193" s="31">
        <f>IFERROR(VLOOKUP($E193,bug_conf_sheet!$A:$H,8,FALSE),VLOOKUP("other",bug_conf_sheet!$A:$H,8,FALSE))</f>
        <v>1</v>
      </c>
    </row>
    <row r="194" spans="1:20" ht="21" customHeight="1">
      <c r="A194" s="2" t="str">
        <f ca="1">input_313101!A$2</f>
        <v>313101</v>
      </c>
      <c r="B194" s="7" t="str">
        <f t="shared" si="8"/>
        <v>Premium4</v>
      </c>
      <c r="C194" s="7" t="str">
        <f t="shared" si="9"/>
        <v>Premium</v>
      </c>
      <c r="D194" s="7" t="str">
        <f t="shared" si="10"/>
        <v>ry</v>
      </c>
      <c r="E194" s="6">
        <v>470</v>
      </c>
      <c r="F194" s="7" t="str">
        <f>VLOOKUP(E194,[1]characters!$A:$C,3,FALSE)</f>
        <v>純心 トリスタン</v>
      </c>
      <c r="G194" s="7" t="str">
        <f>VLOOKUP(E194,[1]characters!$A:$J,10,FALSE)</f>
        <v>PremiumS</v>
      </c>
      <c r="H194" s="7">
        <f>VLOOKUP(E194,[1]characters!$A:$I,9,FALSE)</f>
        <v>4</v>
      </c>
      <c r="I194" s="7" t="str">
        <f>VLOOKUP(E194,[1]characters!$A:$H,8,FALSE)</f>
        <v>yellow</v>
      </c>
      <c r="J194" s="7" t="str">
        <f>VLOOKUP(E194,[1]characters!$A:$K,11,FALSE)</f>
        <v>attack</v>
      </c>
      <c r="K194" s="7" t="str">
        <f>VLOOKUP(E194,[1]characters!$A:$M,13,FALSE)</f>
        <v>human</v>
      </c>
      <c r="L194" s="7" t="str">
        <f>VLOOKUP(E194,[1]characters!$A:$G,7,FALSE)</f>
        <v>男性</v>
      </c>
      <c r="M194" s="62">
        <f ca="1">IFERROR(VLOOKUP(E194,input_313101!L:R,7,FALSE),VLOOKUP(tables_313101!B194,input_313101!A:H,8,FALSE))</f>
        <v>342090</v>
      </c>
      <c r="N194" s="63">
        <f t="shared" ca="1" si="11"/>
        <v>1.222972972972973E-2</v>
      </c>
      <c r="O194" s="31">
        <f>IFERROR(VLOOKUP($E194,bug_conf_sheet!$A:$H,3,FALSE),VLOOKUP("other",bug_conf_sheet!$A:$H,3,FALSE))</f>
        <v>1</v>
      </c>
      <c r="P194" s="31">
        <f>IFERROR(VLOOKUP($E194,bug_conf_sheet!$A:$H,4,FALSE),VLOOKUP("other",bug_conf_sheet!$A:$H,4,FALSE))</f>
        <v>0</v>
      </c>
      <c r="Q194" s="31">
        <f>IFERROR(VLOOKUP($E194,bug_conf_sheet!$A:$H,5,FALSE),VLOOKUP("other",bug_conf_sheet!$A:$H,5,FALSE))</f>
        <v>0</v>
      </c>
      <c r="R194" s="31">
        <f>IFERROR(VLOOKUP($E194,bug_conf_sheet!$A:$H,6,FALSE),VLOOKUP("other",bug_conf_sheet!$A:$H,6,FALSE))</f>
        <v>0</v>
      </c>
      <c r="S194" s="31">
        <f>IFERROR(VLOOKUP($E194,bug_conf_sheet!$A:$H,7,FALSE),VLOOKUP("other",bug_conf_sheet!$A:$H,7,FALSE))</f>
        <v>0</v>
      </c>
      <c r="T194" s="31">
        <f>IFERROR(VLOOKUP($E194,bug_conf_sheet!$A:$H,8,FALSE),VLOOKUP("other",bug_conf_sheet!$A:$H,8,FALSE))</f>
        <v>1</v>
      </c>
    </row>
    <row r="195" spans="1:20" ht="21" customHeight="1">
      <c r="A195" s="2" t="str">
        <f ca="1">input_313101!A$2</f>
        <v>313101</v>
      </c>
      <c r="B195" s="7" t="str">
        <f t="shared" ref="B195:B258" si="12">C195&amp;IF(C195="premium",,D195)&amp;H195</f>
        <v>Premium5</v>
      </c>
      <c r="C195" s="7" t="str">
        <f t="shared" ref="C195:C258" si="13">IF(G195="PremiumSS",G195,IF(G195="PremiumSSS",G195,"Premium"))</f>
        <v>Premium</v>
      </c>
      <c r="D195" s="7" t="str">
        <f t="shared" ref="D195:D258" si="14">IF(I195="red","ry",IF(I195="yellow","ry","bg"))</f>
        <v>ry</v>
      </c>
      <c r="E195" s="6">
        <v>471</v>
      </c>
      <c r="F195" s="7" t="str">
        <f>VLOOKUP(E195,[1]characters!$A:$C,3,FALSE)</f>
        <v>不可避の爆激 トリスタン</v>
      </c>
      <c r="G195" s="7" t="str">
        <f>VLOOKUP(E195,[1]characters!$A:$J,10,FALSE)</f>
        <v>PremiumS</v>
      </c>
      <c r="H195" s="7">
        <f>VLOOKUP(E195,[1]characters!$A:$I,9,FALSE)</f>
        <v>5</v>
      </c>
      <c r="I195" s="7" t="str">
        <f>VLOOKUP(E195,[1]characters!$A:$H,8,FALSE)</f>
        <v>yellow</v>
      </c>
      <c r="J195" s="7" t="str">
        <f>VLOOKUP(E195,[1]characters!$A:$K,11,FALSE)</f>
        <v>attack</v>
      </c>
      <c r="K195" s="7" t="str">
        <f>VLOOKUP(E195,[1]characters!$A:$M,13,FALSE)</f>
        <v>human</v>
      </c>
      <c r="L195" s="7" t="str">
        <f>VLOOKUP(E195,[1]characters!$A:$G,7,FALSE)</f>
        <v>男性</v>
      </c>
      <c r="M195" s="62">
        <f ca="1">IFERROR(VLOOKUP(E195,input_313101!L:R,7,FALSE),VLOOKUP(tables_313101!B195,input_313101!A:H,8,FALSE))</f>
        <v>18130</v>
      </c>
      <c r="N195" s="63">
        <f t="shared" ref="N195:N249" ca="1" si="15">M195/SUM(M:M)</f>
        <v>6.4814814814814813E-4</v>
      </c>
      <c r="O195" s="31">
        <f>IFERROR(VLOOKUP($E195,bug_conf_sheet!$A:$H,3,FALSE),VLOOKUP("other",bug_conf_sheet!$A:$H,3,FALSE))</f>
        <v>1</v>
      </c>
      <c r="P195" s="31">
        <f>IFERROR(VLOOKUP($E195,bug_conf_sheet!$A:$H,4,FALSE),VLOOKUP("other",bug_conf_sheet!$A:$H,4,FALSE))</f>
        <v>0</v>
      </c>
      <c r="Q195" s="31">
        <f>IFERROR(VLOOKUP($E195,bug_conf_sheet!$A:$H,5,FALSE),VLOOKUP("other",bug_conf_sheet!$A:$H,5,FALSE))</f>
        <v>0</v>
      </c>
      <c r="R195" s="31">
        <f>IFERROR(VLOOKUP($E195,bug_conf_sheet!$A:$H,6,FALSE),VLOOKUP("other",bug_conf_sheet!$A:$H,6,FALSE))</f>
        <v>0</v>
      </c>
      <c r="S195" s="31">
        <f>IFERROR(VLOOKUP($E195,bug_conf_sheet!$A:$H,7,FALSE),VLOOKUP("other",bug_conf_sheet!$A:$H,7,FALSE))</f>
        <v>0</v>
      </c>
      <c r="T195" s="31">
        <f>IFERROR(VLOOKUP($E195,bug_conf_sheet!$A:$H,8,FALSE),VLOOKUP("other",bug_conf_sheet!$A:$H,8,FALSE))</f>
        <v>1</v>
      </c>
    </row>
    <row r="196" spans="1:20" ht="21" customHeight="1">
      <c r="A196" s="2" t="str">
        <f ca="1">input_313101!A$2</f>
        <v>313101</v>
      </c>
      <c r="B196" s="7" t="str">
        <f t="shared" si="12"/>
        <v>PremiumSSry4</v>
      </c>
      <c r="C196" s="7" t="str">
        <f t="shared" si="13"/>
        <v>PremiumSS</v>
      </c>
      <c r="D196" s="7" t="str">
        <f t="shared" si="14"/>
        <v>ry</v>
      </c>
      <c r="E196" s="6">
        <v>474</v>
      </c>
      <c r="F196" s="7" t="str">
        <f>VLOOKUP(E196,[1]characters!$A:$C,3,FALSE)</f>
        <v>キング・ドライグ</v>
      </c>
      <c r="G196" s="7" t="str">
        <f>VLOOKUP(E196,[1]characters!$A:$J,10,FALSE)</f>
        <v>PremiumSS</v>
      </c>
      <c r="H196" s="7">
        <f>VLOOKUP(E196,[1]characters!$A:$I,9,FALSE)</f>
        <v>4</v>
      </c>
      <c r="I196" s="7" t="str">
        <f>VLOOKUP(E196,[1]characters!$A:$H,8,FALSE)</f>
        <v>red</v>
      </c>
      <c r="J196" s="7" t="str">
        <f>VLOOKUP(E196,[1]characters!$A:$K,11,FALSE)</f>
        <v>attack</v>
      </c>
      <c r="K196" s="7" t="str">
        <f>VLOOKUP(E196,[1]characters!$A:$M,13,FALSE)</f>
        <v>dragon</v>
      </c>
      <c r="L196" s="7" t="str">
        <f>VLOOKUP(E196,[1]characters!$A:$G,7,FALSE)</f>
        <v>不明</v>
      </c>
      <c r="M196" s="62">
        <f ca="1">IFERROR(VLOOKUP(E196,input_313101!L:R,7,FALSE),VLOOKUP(tables_313101!B196,input_313101!A:H,8,FALSE))</f>
        <v>53946</v>
      </c>
      <c r="N196" s="63">
        <f t="shared" ca="1" si="15"/>
        <v>1.9285714285714286E-3</v>
      </c>
      <c r="O196" s="31">
        <f>IFERROR(VLOOKUP($E196,bug_conf_sheet!$A:$H,3,FALSE),VLOOKUP("other",bug_conf_sheet!$A:$H,3,FALSE))</f>
        <v>1</v>
      </c>
      <c r="P196" s="31">
        <f>IFERROR(VLOOKUP($E196,bug_conf_sheet!$A:$H,4,FALSE),VLOOKUP("other",bug_conf_sheet!$A:$H,4,FALSE))</f>
        <v>0</v>
      </c>
      <c r="Q196" s="31">
        <f>IFERROR(VLOOKUP($E196,bug_conf_sheet!$A:$H,5,FALSE),VLOOKUP("other",bug_conf_sheet!$A:$H,5,FALSE))</f>
        <v>0</v>
      </c>
      <c r="R196" s="31">
        <f>IFERROR(VLOOKUP($E196,bug_conf_sheet!$A:$H,6,FALSE),VLOOKUP("other",bug_conf_sheet!$A:$H,6,FALSE))</f>
        <v>0</v>
      </c>
      <c r="S196" s="31">
        <f>IFERROR(VLOOKUP($E196,bug_conf_sheet!$A:$H,7,FALSE),VLOOKUP("other",bug_conf_sheet!$A:$H,7,FALSE))</f>
        <v>0</v>
      </c>
      <c r="T196" s="31">
        <f>IFERROR(VLOOKUP($E196,bug_conf_sheet!$A:$H,8,FALSE),VLOOKUP("other",bug_conf_sheet!$A:$H,8,FALSE))</f>
        <v>1</v>
      </c>
    </row>
    <row r="197" spans="1:20" ht="21" customHeight="1">
      <c r="A197" s="2" t="str">
        <f ca="1">input_313101!A$2</f>
        <v>313101</v>
      </c>
      <c r="B197" s="7" t="str">
        <f t="shared" si="12"/>
        <v>PremiumSSry5</v>
      </c>
      <c r="C197" s="7" t="str">
        <f t="shared" si="13"/>
        <v>PremiumSS</v>
      </c>
      <c r="D197" s="7" t="str">
        <f t="shared" si="14"/>
        <v>ry</v>
      </c>
      <c r="E197" s="6">
        <v>475</v>
      </c>
      <c r="F197" s="7" t="str">
        <f>VLOOKUP(E197,[1]characters!$A:$C,3,FALSE)</f>
        <v>緋王 キング・ドライグ</v>
      </c>
      <c r="G197" s="7" t="str">
        <f>VLOOKUP(E197,[1]characters!$A:$J,10,FALSE)</f>
        <v>PremiumSS</v>
      </c>
      <c r="H197" s="7">
        <f>VLOOKUP(E197,[1]characters!$A:$I,9,FALSE)</f>
        <v>5</v>
      </c>
      <c r="I197" s="7" t="str">
        <f>VLOOKUP(E197,[1]characters!$A:$H,8,FALSE)</f>
        <v>red</v>
      </c>
      <c r="J197" s="7" t="str">
        <f>VLOOKUP(E197,[1]characters!$A:$K,11,FALSE)</f>
        <v>attack</v>
      </c>
      <c r="K197" s="7" t="str">
        <f>VLOOKUP(E197,[1]characters!$A:$M,13,FALSE)</f>
        <v>dragon</v>
      </c>
      <c r="L197" s="7" t="str">
        <f>VLOOKUP(E197,[1]characters!$A:$G,7,FALSE)</f>
        <v>不明</v>
      </c>
      <c r="M197" s="62">
        <f ca="1">IFERROR(VLOOKUP(E197,input_313101!L:R,7,FALSE),VLOOKUP(tables_313101!B197,input_313101!A:H,8,FALSE))</f>
        <v>5994</v>
      </c>
      <c r="N197" s="63">
        <f t="shared" ca="1" si="15"/>
        <v>2.1428571428571427E-4</v>
      </c>
      <c r="O197" s="31">
        <f>IFERROR(VLOOKUP($E197,bug_conf_sheet!$A:$H,3,FALSE),VLOOKUP("other",bug_conf_sheet!$A:$H,3,FALSE))</f>
        <v>1</v>
      </c>
      <c r="P197" s="31">
        <f>IFERROR(VLOOKUP($E197,bug_conf_sheet!$A:$H,4,FALSE),VLOOKUP("other",bug_conf_sheet!$A:$H,4,FALSE))</f>
        <v>0</v>
      </c>
      <c r="Q197" s="31">
        <f>IFERROR(VLOOKUP($E197,bug_conf_sheet!$A:$H,5,FALSE),VLOOKUP("other",bug_conf_sheet!$A:$H,5,FALSE))</f>
        <v>0</v>
      </c>
      <c r="R197" s="31">
        <f>IFERROR(VLOOKUP($E197,bug_conf_sheet!$A:$H,6,FALSE),VLOOKUP("other",bug_conf_sheet!$A:$H,6,FALSE))</f>
        <v>0</v>
      </c>
      <c r="S197" s="31">
        <f>IFERROR(VLOOKUP($E197,bug_conf_sheet!$A:$H,7,FALSE),VLOOKUP("other",bug_conf_sheet!$A:$H,7,FALSE))</f>
        <v>0</v>
      </c>
      <c r="T197" s="31">
        <f>IFERROR(VLOOKUP($E197,bug_conf_sheet!$A:$H,8,FALSE),VLOOKUP("other",bug_conf_sheet!$A:$H,8,FALSE))</f>
        <v>1</v>
      </c>
    </row>
    <row r="198" spans="1:20" ht="21" customHeight="1">
      <c r="A198" s="2" t="str">
        <f ca="1">input_313101!A$2</f>
        <v>313101</v>
      </c>
      <c r="B198" s="7" t="str">
        <f t="shared" si="12"/>
        <v>Premium3</v>
      </c>
      <c r="C198" s="7" t="str">
        <f t="shared" si="13"/>
        <v>Premium</v>
      </c>
      <c r="D198" s="7" t="str">
        <f t="shared" si="14"/>
        <v>bg</v>
      </c>
      <c r="E198" s="6">
        <v>476</v>
      </c>
      <c r="F198" s="7" t="str">
        <f>VLOOKUP(E198,[1]characters!$A:$C,3,FALSE)</f>
        <v>ファータ</v>
      </c>
      <c r="G198" s="7" t="str">
        <f>VLOOKUP(E198,[1]characters!$A:$J,10,FALSE)</f>
        <v>PremiumS</v>
      </c>
      <c r="H198" s="7">
        <f>VLOOKUP(E198,[1]characters!$A:$I,9,FALSE)</f>
        <v>3</v>
      </c>
      <c r="I198" s="7" t="str">
        <f>VLOOKUP(E198,[1]characters!$A:$H,8,FALSE)</f>
        <v>green</v>
      </c>
      <c r="J198" s="7" t="str">
        <f>VLOOKUP(E198,[1]characters!$A:$K,11,FALSE)</f>
        <v>heal</v>
      </c>
      <c r="K198" s="7" t="str">
        <f>VLOOKUP(E198,[1]characters!$A:$M,13,FALSE)</f>
        <v>unknown</v>
      </c>
      <c r="L198" s="7" t="str">
        <f>VLOOKUP(E198,[1]characters!$A:$G,7,FALSE)</f>
        <v>女性</v>
      </c>
      <c r="M198" s="62">
        <f ca="1">IFERROR(VLOOKUP(E198,input_313101!L:R,7,FALSE),VLOOKUP(tables_313101!B198,input_313101!A:H,8,FALSE))</f>
        <v>0</v>
      </c>
      <c r="N198" s="63">
        <f t="shared" ca="1" si="15"/>
        <v>0</v>
      </c>
      <c r="O198" s="31">
        <f>IFERROR(VLOOKUP($E198,bug_conf_sheet!$A:$H,3,FALSE),VLOOKUP("other",bug_conf_sheet!$A:$H,3,FALSE))</f>
        <v>1</v>
      </c>
      <c r="P198" s="31">
        <f>IFERROR(VLOOKUP($E198,bug_conf_sheet!$A:$H,4,FALSE),VLOOKUP("other",bug_conf_sheet!$A:$H,4,FALSE))</f>
        <v>0</v>
      </c>
      <c r="Q198" s="31">
        <f>IFERROR(VLOOKUP($E198,bug_conf_sheet!$A:$H,5,FALSE),VLOOKUP("other",bug_conf_sheet!$A:$H,5,FALSE))</f>
        <v>0</v>
      </c>
      <c r="R198" s="31">
        <f>IFERROR(VLOOKUP($E198,bug_conf_sheet!$A:$H,6,FALSE),VLOOKUP("other",bug_conf_sheet!$A:$H,6,FALSE))</f>
        <v>0</v>
      </c>
      <c r="S198" s="31">
        <f>IFERROR(VLOOKUP($E198,bug_conf_sheet!$A:$H,7,FALSE),VLOOKUP("other",bug_conf_sheet!$A:$H,7,FALSE))</f>
        <v>0</v>
      </c>
      <c r="T198" s="31">
        <f>IFERROR(VLOOKUP($E198,bug_conf_sheet!$A:$H,8,FALSE),VLOOKUP("other",bug_conf_sheet!$A:$H,8,FALSE))</f>
        <v>1</v>
      </c>
    </row>
    <row r="199" spans="1:20" ht="21" customHeight="1">
      <c r="A199" s="2" t="str">
        <f ca="1">input_313101!A$2</f>
        <v>313101</v>
      </c>
      <c r="B199" s="7" t="str">
        <f t="shared" si="12"/>
        <v>Premium4</v>
      </c>
      <c r="C199" s="7" t="str">
        <f t="shared" si="13"/>
        <v>Premium</v>
      </c>
      <c r="D199" s="7" t="str">
        <f t="shared" si="14"/>
        <v>bg</v>
      </c>
      <c r="E199" s="6">
        <v>477</v>
      </c>
      <c r="F199" s="7" t="str">
        <f>VLOOKUP(E199,[1]characters!$A:$C,3,FALSE)</f>
        <v>愛羽妖精 ファータ</v>
      </c>
      <c r="G199" s="7" t="str">
        <f>VLOOKUP(E199,[1]characters!$A:$J,10,FALSE)</f>
        <v>PremiumS</v>
      </c>
      <c r="H199" s="7">
        <f>VLOOKUP(E199,[1]characters!$A:$I,9,FALSE)</f>
        <v>4</v>
      </c>
      <c r="I199" s="7" t="str">
        <f>VLOOKUP(E199,[1]characters!$A:$H,8,FALSE)</f>
        <v>green</v>
      </c>
      <c r="J199" s="7" t="str">
        <f>VLOOKUP(E199,[1]characters!$A:$K,11,FALSE)</f>
        <v>heal</v>
      </c>
      <c r="K199" s="7" t="str">
        <f>VLOOKUP(E199,[1]characters!$A:$M,13,FALSE)</f>
        <v>unknown</v>
      </c>
      <c r="L199" s="7" t="str">
        <f>VLOOKUP(E199,[1]characters!$A:$G,7,FALSE)</f>
        <v>女性</v>
      </c>
      <c r="M199" s="62">
        <f ca="1">IFERROR(VLOOKUP(E199,input_313101!L:R,7,FALSE),VLOOKUP(tables_313101!B199,input_313101!A:H,8,FALSE))</f>
        <v>342090</v>
      </c>
      <c r="N199" s="63">
        <f t="shared" ca="1" si="15"/>
        <v>1.222972972972973E-2</v>
      </c>
      <c r="O199" s="31">
        <f>IFERROR(VLOOKUP($E199,bug_conf_sheet!$A:$H,3,FALSE),VLOOKUP("other",bug_conf_sheet!$A:$H,3,FALSE))</f>
        <v>1</v>
      </c>
      <c r="P199" s="31">
        <f>IFERROR(VLOOKUP($E199,bug_conf_sheet!$A:$H,4,FALSE),VLOOKUP("other",bug_conf_sheet!$A:$H,4,FALSE))</f>
        <v>0</v>
      </c>
      <c r="Q199" s="31">
        <f>IFERROR(VLOOKUP($E199,bug_conf_sheet!$A:$H,5,FALSE),VLOOKUP("other",bug_conf_sheet!$A:$H,5,FALSE))</f>
        <v>0</v>
      </c>
      <c r="R199" s="31">
        <f>IFERROR(VLOOKUP($E199,bug_conf_sheet!$A:$H,6,FALSE),VLOOKUP("other",bug_conf_sheet!$A:$H,6,FALSE))</f>
        <v>0</v>
      </c>
      <c r="S199" s="31">
        <f>IFERROR(VLOOKUP($E199,bug_conf_sheet!$A:$H,7,FALSE),VLOOKUP("other",bug_conf_sheet!$A:$H,7,FALSE))</f>
        <v>0</v>
      </c>
      <c r="T199" s="31">
        <f>IFERROR(VLOOKUP($E199,bug_conf_sheet!$A:$H,8,FALSE),VLOOKUP("other",bug_conf_sheet!$A:$H,8,FALSE))</f>
        <v>1</v>
      </c>
    </row>
    <row r="200" spans="1:20" ht="21" customHeight="1">
      <c r="A200" s="2" t="str">
        <f ca="1">input_313101!A$2</f>
        <v>313101</v>
      </c>
      <c r="B200" s="7" t="str">
        <f t="shared" si="12"/>
        <v>Premium5</v>
      </c>
      <c r="C200" s="7" t="str">
        <f t="shared" si="13"/>
        <v>Premium</v>
      </c>
      <c r="D200" s="7" t="str">
        <f t="shared" si="14"/>
        <v>bg</v>
      </c>
      <c r="E200" s="6">
        <v>478</v>
      </c>
      <c r="F200" s="7" t="str">
        <f>VLOOKUP(E200,[1]characters!$A:$C,3,FALSE)</f>
        <v>時計仕掛けの愛羽妖精 ファータ</v>
      </c>
      <c r="G200" s="7" t="str">
        <f>VLOOKUP(E200,[1]characters!$A:$J,10,FALSE)</f>
        <v>PremiumS</v>
      </c>
      <c r="H200" s="7">
        <f>VLOOKUP(E200,[1]characters!$A:$I,9,FALSE)</f>
        <v>5</v>
      </c>
      <c r="I200" s="7" t="str">
        <f>VLOOKUP(E200,[1]characters!$A:$H,8,FALSE)</f>
        <v>green</v>
      </c>
      <c r="J200" s="7" t="str">
        <f>VLOOKUP(E200,[1]characters!$A:$K,11,FALSE)</f>
        <v>heal</v>
      </c>
      <c r="K200" s="7" t="str">
        <f>VLOOKUP(E200,[1]characters!$A:$M,13,FALSE)</f>
        <v>unknown</v>
      </c>
      <c r="L200" s="7" t="str">
        <f>VLOOKUP(E200,[1]characters!$A:$G,7,FALSE)</f>
        <v>女性</v>
      </c>
      <c r="M200" s="62">
        <f ca="1">IFERROR(VLOOKUP(E200,input_313101!L:R,7,FALSE),VLOOKUP(tables_313101!B200,input_313101!A:H,8,FALSE))</f>
        <v>18130</v>
      </c>
      <c r="N200" s="63">
        <f t="shared" ca="1" si="15"/>
        <v>6.4814814814814813E-4</v>
      </c>
      <c r="O200" s="31">
        <f>IFERROR(VLOOKUP($E200,bug_conf_sheet!$A:$H,3,FALSE),VLOOKUP("other",bug_conf_sheet!$A:$H,3,FALSE))</f>
        <v>1</v>
      </c>
      <c r="P200" s="31">
        <f>IFERROR(VLOOKUP($E200,bug_conf_sheet!$A:$H,4,FALSE),VLOOKUP("other",bug_conf_sheet!$A:$H,4,FALSE))</f>
        <v>0</v>
      </c>
      <c r="Q200" s="31">
        <f>IFERROR(VLOOKUP($E200,bug_conf_sheet!$A:$H,5,FALSE),VLOOKUP("other",bug_conf_sheet!$A:$H,5,FALSE))</f>
        <v>0</v>
      </c>
      <c r="R200" s="31">
        <f>IFERROR(VLOOKUP($E200,bug_conf_sheet!$A:$H,6,FALSE),VLOOKUP("other",bug_conf_sheet!$A:$H,6,FALSE))</f>
        <v>0</v>
      </c>
      <c r="S200" s="31">
        <f>IFERROR(VLOOKUP($E200,bug_conf_sheet!$A:$H,7,FALSE),VLOOKUP("other",bug_conf_sheet!$A:$H,7,FALSE))</f>
        <v>0</v>
      </c>
      <c r="T200" s="31">
        <f>IFERROR(VLOOKUP($E200,bug_conf_sheet!$A:$H,8,FALSE),VLOOKUP("other",bug_conf_sheet!$A:$H,8,FALSE))</f>
        <v>1</v>
      </c>
    </row>
    <row r="201" spans="1:20" ht="21" customHeight="1">
      <c r="A201" s="2" t="str">
        <f ca="1">input_313101!A$2</f>
        <v>313101</v>
      </c>
      <c r="B201" s="7" t="str">
        <f t="shared" si="12"/>
        <v>PremiumSSbg4</v>
      </c>
      <c r="C201" s="7" t="str">
        <f t="shared" si="13"/>
        <v>PremiumSS</v>
      </c>
      <c r="D201" s="7" t="str">
        <f t="shared" si="14"/>
        <v>bg</v>
      </c>
      <c r="E201" s="6">
        <v>479</v>
      </c>
      <c r="F201" s="7" t="str">
        <f>VLOOKUP(E201,[1]characters!$A:$C,3,FALSE)</f>
        <v>フール</v>
      </c>
      <c r="G201" s="7" t="str">
        <f>VLOOKUP(E201,[1]characters!$A:$J,10,FALSE)</f>
        <v>PremiumSS</v>
      </c>
      <c r="H201" s="7">
        <f>VLOOKUP(E201,[1]characters!$A:$I,9,FALSE)</f>
        <v>4</v>
      </c>
      <c r="I201" s="7" t="str">
        <f>VLOOKUP(E201,[1]characters!$A:$H,8,FALSE)</f>
        <v>blue</v>
      </c>
      <c r="J201" s="7" t="str">
        <f>VLOOKUP(E201,[1]characters!$A:$K,11,FALSE)</f>
        <v>technical</v>
      </c>
      <c r="K201" s="7" t="str">
        <f>VLOOKUP(E201,[1]characters!$A:$M,13,FALSE)</f>
        <v>god</v>
      </c>
      <c r="L201" s="7" t="str">
        <f>VLOOKUP(E201,[1]characters!$A:$G,7,FALSE)</f>
        <v>男性</v>
      </c>
      <c r="M201" s="62">
        <f ca="1">IFERROR(VLOOKUP(E201,input_313101!L:R,7,FALSE),VLOOKUP(tables_313101!B201,input_313101!A:H,8,FALSE))</f>
        <v>41958</v>
      </c>
      <c r="N201" s="63">
        <f t="shared" ca="1" si="15"/>
        <v>1.5E-3</v>
      </c>
      <c r="O201" s="31">
        <f>IFERROR(VLOOKUP($E201,bug_conf_sheet!$A:$H,3,FALSE),VLOOKUP("other",bug_conf_sheet!$A:$H,3,FALSE))</f>
        <v>1</v>
      </c>
      <c r="P201" s="31">
        <f>IFERROR(VLOOKUP($E201,bug_conf_sheet!$A:$H,4,FALSE),VLOOKUP("other",bug_conf_sheet!$A:$H,4,FALSE))</f>
        <v>0</v>
      </c>
      <c r="Q201" s="31">
        <f>IFERROR(VLOOKUP($E201,bug_conf_sheet!$A:$H,5,FALSE),VLOOKUP("other",bug_conf_sheet!$A:$H,5,FALSE))</f>
        <v>0</v>
      </c>
      <c r="R201" s="31">
        <f>IFERROR(VLOOKUP($E201,bug_conf_sheet!$A:$H,6,FALSE),VLOOKUP("other",bug_conf_sheet!$A:$H,6,FALSE))</f>
        <v>0</v>
      </c>
      <c r="S201" s="31">
        <f>IFERROR(VLOOKUP($E201,bug_conf_sheet!$A:$H,7,FALSE),VLOOKUP("other",bug_conf_sheet!$A:$H,7,FALSE))</f>
        <v>0</v>
      </c>
      <c r="T201" s="31">
        <f>IFERROR(VLOOKUP($E201,bug_conf_sheet!$A:$H,8,FALSE),VLOOKUP("other",bug_conf_sheet!$A:$H,8,FALSE))</f>
        <v>1</v>
      </c>
    </row>
    <row r="202" spans="1:20" ht="21" customHeight="1">
      <c r="A202" s="2" t="str">
        <f ca="1">input_313101!A$2</f>
        <v>313101</v>
      </c>
      <c r="B202" s="7" t="str">
        <f t="shared" si="12"/>
        <v>PremiumSSbg5</v>
      </c>
      <c r="C202" s="7" t="str">
        <f t="shared" si="13"/>
        <v>PremiumSS</v>
      </c>
      <c r="D202" s="7" t="str">
        <f t="shared" si="14"/>
        <v>bg</v>
      </c>
      <c r="E202" s="6">
        <v>480</v>
      </c>
      <c r="F202" s="7" t="str">
        <f>VLOOKUP(E202,[1]characters!$A:$C,3,FALSE)</f>
        <v>夢幻の愚者フール</v>
      </c>
      <c r="G202" s="7" t="str">
        <f>VLOOKUP(E202,[1]characters!$A:$J,10,FALSE)</f>
        <v>PremiumSS</v>
      </c>
      <c r="H202" s="7">
        <f>VLOOKUP(E202,[1]characters!$A:$I,9,FALSE)</f>
        <v>5</v>
      </c>
      <c r="I202" s="7" t="str">
        <f>VLOOKUP(E202,[1]characters!$A:$H,8,FALSE)</f>
        <v>blue</v>
      </c>
      <c r="J202" s="7" t="str">
        <f>VLOOKUP(E202,[1]characters!$A:$K,11,FALSE)</f>
        <v>technical</v>
      </c>
      <c r="K202" s="7" t="str">
        <f>VLOOKUP(E202,[1]characters!$A:$M,13,FALSE)</f>
        <v>god</v>
      </c>
      <c r="L202" s="7" t="str">
        <f>VLOOKUP(E202,[1]characters!$A:$G,7,FALSE)</f>
        <v>男性</v>
      </c>
      <c r="M202" s="62">
        <f ca="1">IFERROR(VLOOKUP(E202,input_313101!L:R,7,FALSE),VLOOKUP(tables_313101!B202,input_313101!A:H,8,FALSE))</f>
        <v>4662</v>
      </c>
      <c r="N202" s="63">
        <f t="shared" ca="1" si="15"/>
        <v>1.6666666666666666E-4</v>
      </c>
      <c r="O202" s="31">
        <f>IFERROR(VLOOKUP($E202,bug_conf_sheet!$A:$H,3,FALSE),VLOOKUP("other",bug_conf_sheet!$A:$H,3,FALSE))</f>
        <v>1</v>
      </c>
      <c r="P202" s="31">
        <f>IFERROR(VLOOKUP($E202,bug_conf_sheet!$A:$H,4,FALSE),VLOOKUP("other",bug_conf_sheet!$A:$H,4,FALSE))</f>
        <v>0</v>
      </c>
      <c r="Q202" s="31">
        <f>IFERROR(VLOOKUP($E202,bug_conf_sheet!$A:$H,5,FALSE),VLOOKUP("other",bug_conf_sheet!$A:$H,5,FALSE))</f>
        <v>0</v>
      </c>
      <c r="R202" s="31">
        <f>IFERROR(VLOOKUP($E202,bug_conf_sheet!$A:$H,6,FALSE),VLOOKUP("other",bug_conf_sheet!$A:$H,6,FALSE))</f>
        <v>0</v>
      </c>
      <c r="S202" s="31">
        <f>IFERROR(VLOOKUP($E202,bug_conf_sheet!$A:$H,7,FALSE),VLOOKUP("other",bug_conf_sheet!$A:$H,7,FALSE))</f>
        <v>0</v>
      </c>
      <c r="T202" s="31">
        <f>IFERROR(VLOOKUP($E202,bug_conf_sheet!$A:$H,8,FALSE),VLOOKUP("other",bug_conf_sheet!$A:$H,8,FALSE))</f>
        <v>1</v>
      </c>
    </row>
    <row r="203" spans="1:20" ht="21" customHeight="1">
      <c r="A203" s="2" t="str">
        <f ca="1">input_313101!A$2</f>
        <v>313101</v>
      </c>
      <c r="B203" s="7" t="str">
        <f t="shared" si="12"/>
        <v>Premium3</v>
      </c>
      <c r="C203" s="7" t="str">
        <f t="shared" si="13"/>
        <v>Premium</v>
      </c>
      <c r="D203" s="7" t="str">
        <f t="shared" si="14"/>
        <v>ry</v>
      </c>
      <c r="E203" s="6">
        <v>481</v>
      </c>
      <c r="F203" s="7" t="str">
        <f>VLOOKUP(E203,[1]characters!$A:$C,3,FALSE)</f>
        <v>沢庵宗彭</v>
      </c>
      <c r="G203" s="7" t="str">
        <f>VLOOKUP(E203,[1]characters!$A:$J,10,FALSE)</f>
        <v>PremiumS</v>
      </c>
      <c r="H203" s="7">
        <f>VLOOKUP(E203,[1]characters!$A:$I,9,FALSE)</f>
        <v>3</v>
      </c>
      <c r="I203" s="7" t="str">
        <f>VLOOKUP(E203,[1]characters!$A:$H,8,FALSE)</f>
        <v>yellow</v>
      </c>
      <c r="J203" s="7" t="str">
        <f>VLOOKUP(E203,[1]characters!$A:$K,11,FALSE)</f>
        <v>hp</v>
      </c>
      <c r="K203" s="7" t="str">
        <f>VLOOKUP(E203,[1]characters!$A:$M,13,FALSE)</f>
        <v>human</v>
      </c>
      <c r="L203" s="7" t="str">
        <f>VLOOKUP(E203,[1]characters!$A:$G,7,FALSE)</f>
        <v>男性</v>
      </c>
      <c r="M203" s="62">
        <f ca="1">IFERROR(VLOOKUP(E203,input_313101!L:R,7,FALSE),VLOOKUP(tables_313101!B203,input_313101!A:H,8,FALSE))</f>
        <v>0</v>
      </c>
      <c r="N203" s="63">
        <f t="shared" ca="1" si="15"/>
        <v>0</v>
      </c>
      <c r="O203" s="31">
        <f>IFERROR(VLOOKUP($E203,bug_conf_sheet!$A:$H,3,FALSE),VLOOKUP("other",bug_conf_sheet!$A:$H,3,FALSE))</f>
        <v>1</v>
      </c>
      <c r="P203" s="31">
        <f>IFERROR(VLOOKUP($E203,bug_conf_sheet!$A:$H,4,FALSE),VLOOKUP("other",bug_conf_sheet!$A:$H,4,FALSE))</f>
        <v>0</v>
      </c>
      <c r="Q203" s="31">
        <f>IFERROR(VLOOKUP($E203,bug_conf_sheet!$A:$H,5,FALSE),VLOOKUP("other",bug_conf_sheet!$A:$H,5,FALSE))</f>
        <v>0</v>
      </c>
      <c r="R203" s="31">
        <f>IFERROR(VLOOKUP($E203,bug_conf_sheet!$A:$H,6,FALSE),VLOOKUP("other",bug_conf_sheet!$A:$H,6,FALSE))</f>
        <v>0</v>
      </c>
      <c r="S203" s="31">
        <f>IFERROR(VLOOKUP($E203,bug_conf_sheet!$A:$H,7,FALSE),VLOOKUP("other",bug_conf_sheet!$A:$H,7,FALSE))</f>
        <v>0</v>
      </c>
      <c r="T203" s="31">
        <f>IFERROR(VLOOKUP($E203,bug_conf_sheet!$A:$H,8,FALSE),VLOOKUP("other",bug_conf_sheet!$A:$H,8,FALSE))</f>
        <v>1</v>
      </c>
    </row>
    <row r="204" spans="1:20" ht="21" customHeight="1">
      <c r="A204" s="2" t="str">
        <f ca="1">input_313101!A$2</f>
        <v>313101</v>
      </c>
      <c r="B204" s="7" t="str">
        <f t="shared" si="12"/>
        <v>Premium4</v>
      </c>
      <c r="C204" s="7" t="str">
        <f t="shared" si="13"/>
        <v>Premium</v>
      </c>
      <c r="D204" s="7" t="str">
        <f t="shared" si="14"/>
        <v>ry</v>
      </c>
      <c r="E204" s="6">
        <v>482</v>
      </c>
      <c r="F204" s="7" t="str">
        <f>VLOOKUP(E204,[1]characters!$A:$C,3,FALSE)</f>
        <v>魁僧 沢庵宗彭</v>
      </c>
      <c r="G204" s="7" t="str">
        <f>VLOOKUP(E204,[1]characters!$A:$J,10,FALSE)</f>
        <v>PremiumS</v>
      </c>
      <c r="H204" s="7">
        <f>VLOOKUP(E204,[1]characters!$A:$I,9,FALSE)</f>
        <v>4</v>
      </c>
      <c r="I204" s="7" t="str">
        <f>VLOOKUP(E204,[1]characters!$A:$H,8,FALSE)</f>
        <v>yellow</v>
      </c>
      <c r="J204" s="7" t="str">
        <f>VLOOKUP(E204,[1]characters!$A:$K,11,FALSE)</f>
        <v>hp</v>
      </c>
      <c r="K204" s="7" t="str">
        <f>VLOOKUP(E204,[1]characters!$A:$M,13,FALSE)</f>
        <v>human</v>
      </c>
      <c r="L204" s="7" t="str">
        <f>VLOOKUP(E204,[1]characters!$A:$G,7,FALSE)</f>
        <v>男性</v>
      </c>
      <c r="M204" s="62">
        <f ca="1">IFERROR(VLOOKUP(E204,input_313101!L:R,7,FALSE),VLOOKUP(tables_313101!B204,input_313101!A:H,8,FALSE))</f>
        <v>342090</v>
      </c>
      <c r="N204" s="63">
        <f t="shared" ca="1" si="15"/>
        <v>1.222972972972973E-2</v>
      </c>
      <c r="O204" s="31">
        <f>IFERROR(VLOOKUP($E204,bug_conf_sheet!$A:$H,3,FALSE),VLOOKUP("other",bug_conf_sheet!$A:$H,3,FALSE))</f>
        <v>1</v>
      </c>
      <c r="P204" s="31">
        <f>IFERROR(VLOOKUP($E204,bug_conf_sheet!$A:$H,4,FALSE),VLOOKUP("other",bug_conf_sheet!$A:$H,4,FALSE))</f>
        <v>0</v>
      </c>
      <c r="Q204" s="31">
        <f>IFERROR(VLOOKUP($E204,bug_conf_sheet!$A:$H,5,FALSE),VLOOKUP("other",bug_conf_sheet!$A:$H,5,FALSE))</f>
        <v>0</v>
      </c>
      <c r="R204" s="31">
        <f>IFERROR(VLOOKUP($E204,bug_conf_sheet!$A:$H,6,FALSE),VLOOKUP("other",bug_conf_sheet!$A:$H,6,FALSE))</f>
        <v>0</v>
      </c>
      <c r="S204" s="31">
        <f>IFERROR(VLOOKUP($E204,bug_conf_sheet!$A:$H,7,FALSE),VLOOKUP("other",bug_conf_sheet!$A:$H,7,FALSE))</f>
        <v>0</v>
      </c>
      <c r="T204" s="31">
        <f>IFERROR(VLOOKUP($E204,bug_conf_sheet!$A:$H,8,FALSE),VLOOKUP("other",bug_conf_sheet!$A:$H,8,FALSE))</f>
        <v>1</v>
      </c>
    </row>
    <row r="205" spans="1:20" ht="21" customHeight="1">
      <c r="A205" s="2" t="str">
        <f ca="1">input_313101!A$2</f>
        <v>313101</v>
      </c>
      <c r="B205" s="7" t="str">
        <f t="shared" si="12"/>
        <v>Premium5</v>
      </c>
      <c r="C205" s="7" t="str">
        <f t="shared" si="13"/>
        <v>Premium</v>
      </c>
      <c r="D205" s="7" t="str">
        <f t="shared" si="14"/>
        <v>ry</v>
      </c>
      <c r="E205" s="6">
        <v>483</v>
      </c>
      <c r="F205" s="7" t="str">
        <f>VLOOKUP(E205,[1]characters!$A:$C,3,FALSE)</f>
        <v xml:space="preserve">命経死遂 沢庵宗彭 </v>
      </c>
      <c r="G205" s="7" t="str">
        <f>VLOOKUP(E205,[1]characters!$A:$J,10,FALSE)</f>
        <v>PremiumS</v>
      </c>
      <c r="H205" s="7">
        <f>VLOOKUP(E205,[1]characters!$A:$I,9,FALSE)</f>
        <v>5</v>
      </c>
      <c r="I205" s="7" t="str">
        <f>VLOOKUP(E205,[1]characters!$A:$H,8,FALSE)</f>
        <v>yellow</v>
      </c>
      <c r="J205" s="7" t="str">
        <f>VLOOKUP(E205,[1]characters!$A:$K,11,FALSE)</f>
        <v>hp</v>
      </c>
      <c r="K205" s="7" t="str">
        <f>VLOOKUP(E205,[1]characters!$A:$M,13,FALSE)</f>
        <v>human</v>
      </c>
      <c r="L205" s="7" t="str">
        <f>VLOOKUP(E205,[1]characters!$A:$G,7,FALSE)</f>
        <v>男性</v>
      </c>
      <c r="M205" s="62">
        <f ca="1">IFERROR(VLOOKUP(E205,input_313101!L:R,7,FALSE),VLOOKUP(tables_313101!B205,input_313101!A:H,8,FALSE))</f>
        <v>18130</v>
      </c>
      <c r="N205" s="63">
        <f t="shared" ca="1" si="15"/>
        <v>6.4814814814814813E-4</v>
      </c>
      <c r="O205" s="31">
        <f>IFERROR(VLOOKUP($E205,bug_conf_sheet!$A:$H,3,FALSE),VLOOKUP("other",bug_conf_sheet!$A:$H,3,FALSE))</f>
        <v>1</v>
      </c>
      <c r="P205" s="31">
        <f>IFERROR(VLOOKUP($E205,bug_conf_sheet!$A:$H,4,FALSE),VLOOKUP("other",bug_conf_sheet!$A:$H,4,FALSE))</f>
        <v>0</v>
      </c>
      <c r="Q205" s="31">
        <f>IFERROR(VLOOKUP($E205,bug_conf_sheet!$A:$H,5,FALSE),VLOOKUP("other",bug_conf_sheet!$A:$H,5,FALSE))</f>
        <v>0</v>
      </c>
      <c r="R205" s="31">
        <f>IFERROR(VLOOKUP($E205,bug_conf_sheet!$A:$H,6,FALSE),VLOOKUP("other",bug_conf_sheet!$A:$H,6,FALSE))</f>
        <v>0</v>
      </c>
      <c r="S205" s="31">
        <f>IFERROR(VLOOKUP($E205,bug_conf_sheet!$A:$H,7,FALSE),VLOOKUP("other",bug_conf_sheet!$A:$H,7,FALSE))</f>
        <v>0</v>
      </c>
      <c r="T205" s="31">
        <f>IFERROR(VLOOKUP($E205,bug_conf_sheet!$A:$H,8,FALSE),VLOOKUP("other",bug_conf_sheet!$A:$H,8,FALSE))</f>
        <v>1</v>
      </c>
    </row>
    <row r="206" spans="1:20" ht="21" customHeight="1">
      <c r="A206" s="2" t="str">
        <f ca="1">input_313101!A$2</f>
        <v>313101</v>
      </c>
      <c r="B206" s="7" t="str">
        <f t="shared" si="12"/>
        <v>PremiumSSry4</v>
      </c>
      <c r="C206" s="7" t="str">
        <f t="shared" si="13"/>
        <v>PremiumSS</v>
      </c>
      <c r="D206" s="7" t="str">
        <f t="shared" si="14"/>
        <v>ry</v>
      </c>
      <c r="E206" s="6">
        <v>492</v>
      </c>
      <c r="F206" s="7" t="str">
        <f>VLOOKUP(E206,[1]characters!$A:$C,3,FALSE)</f>
        <v>ブートレグ・ペロー</v>
      </c>
      <c r="G206" s="7" t="str">
        <f>VLOOKUP(E206,[1]characters!$A:$J,10,FALSE)</f>
        <v>PremiumSS</v>
      </c>
      <c r="H206" s="7">
        <f>VLOOKUP(E206,[1]characters!$A:$I,9,FALSE)</f>
        <v>4</v>
      </c>
      <c r="I206" s="7" t="str">
        <f>VLOOKUP(E206,[1]characters!$A:$H,8,FALSE)</f>
        <v>red</v>
      </c>
      <c r="J206" s="7" t="str">
        <f>VLOOKUP(E206,[1]characters!$A:$K,11,FALSE)</f>
        <v>hp</v>
      </c>
      <c r="K206" s="7" t="str">
        <f>VLOOKUP(E206,[1]characters!$A:$M,13,FALSE)</f>
        <v>animal</v>
      </c>
      <c r="L206" s="7" t="str">
        <f>VLOOKUP(E206,[1]characters!$A:$G,7,FALSE)</f>
        <v>不明</v>
      </c>
      <c r="M206" s="62">
        <f ca="1">IFERROR(VLOOKUP(E206,input_313101!L:R,7,FALSE),VLOOKUP(tables_313101!B206,input_313101!A:H,8,FALSE))</f>
        <v>53946</v>
      </c>
      <c r="N206" s="63">
        <f t="shared" ca="1" si="15"/>
        <v>1.9285714285714286E-3</v>
      </c>
      <c r="O206" s="31">
        <f>IFERROR(VLOOKUP($E206,bug_conf_sheet!$A:$H,3,FALSE),VLOOKUP("other",bug_conf_sheet!$A:$H,3,FALSE))</f>
        <v>1</v>
      </c>
      <c r="P206" s="31">
        <f>IFERROR(VLOOKUP($E206,bug_conf_sheet!$A:$H,4,FALSE),VLOOKUP("other",bug_conf_sheet!$A:$H,4,FALSE))</f>
        <v>0</v>
      </c>
      <c r="Q206" s="31">
        <f>IFERROR(VLOOKUP($E206,bug_conf_sheet!$A:$H,5,FALSE),VLOOKUP("other",bug_conf_sheet!$A:$H,5,FALSE))</f>
        <v>0</v>
      </c>
      <c r="R206" s="31">
        <f>IFERROR(VLOOKUP($E206,bug_conf_sheet!$A:$H,6,FALSE),VLOOKUP("other",bug_conf_sheet!$A:$H,6,FALSE))</f>
        <v>0</v>
      </c>
      <c r="S206" s="31">
        <f>IFERROR(VLOOKUP($E206,bug_conf_sheet!$A:$H,7,FALSE),VLOOKUP("other",bug_conf_sheet!$A:$H,7,FALSE))</f>
        <v>0</v>
      </c>
      <c r="T206" s="31">
        <f>IFERROR(VLOOKUP($E206,bug_conf_sheet!$A:$H,8,FALSE),VLOOKUP("other",bug_conf_sheet!$A:$H,8,FALSE))</f>
        <v>1</v>
      </c>
    </row>
    <row r="207" spans="1:20" ht="21" customHeight="1">
      <c r="A207" s="2" t="str">
        <f ca="1">input_313101!A$2</f>
        <v>313101</v>
      </c>
      <c r="B207" s="7" t="str">
        <f t="shared" si="12"/>
        <v>PremiumSSry5</v>
      </c>
      <c r="C207" s="7" t="str">
        <f t="shared" si="13"/>
        <v>PremiumSS</v>
      </c>
      <c r="D207" s="7" t="str">
        <f t="shared" si="14"/>
        <v>ry</v>
      </c>
      <c r="E207" s="6">
        <v>493</v>
      </c>
      <c r="F207" s="7" t="str">
        <f>VLOOKUP(E207,[1]characters!$A:$C,3,FALSE)</f>
        <v>跋扈の機脚 ブートレグ・ペロー</v>
      </c>
      <c r="G207" s="7" t="str">
        <f>VLOOKUP(E207,[1]characters!$A:$J,10,FALSE)</f>
        <v>PremiumSS</v>
      </c>
      <c r="H207" s="7">
        <f>VLOOKUP(E207,[1]characters!$A:$I,9,FALSE)</f>
        <v>5</v>
      </c>
      <c r="I207" s="7" t="str">
        <f>VLOOKUP(E207,[1]characters!$A:$H,8,FALSE)</f>
        <v>red</v>
      </c>
      <c r="J207" s="7" t="str">
        <f>VLOOKUP(E207,[1]characters!$A:$K,11,FALSE)</f>
        <v>hp</v>
      </c>
      <c r="K207" s="7" t="str">
        <f>VLOOKUP(E207,[1]characters!$A:$M,13,FALSE)</f>
        <v>animal</v>
      </c>
      <c r="L207" s="7" t="str">
        <f>VLOOKUP(E207,[1]characters!$A:$G,7,FALSE)</f>
        <v>不明</v>
      </c>
      <c r="M207" s="62">
        <f ca="1">IFERROR(VLOOKUP(E207,input_313101!L:R,7,FALSE),VLOOKUP(tables_313101!B207,input_313101!A:H,8,FALSE))</f>
        <v>5994</v>
      </c>
      <c r="N207" s="63">
        <f t="shared" ca="1" si="15"/>
        <v>2.1428571428571427E-4</v>
      </c>
      <c r="O207" s="31">
        <f>IFERROR(VLOOKUP($E207,bug_conf_sheet!$A:$H,3,FALSE),VLOOKUP("other",bug_conf_sheet!$A:$H,3,FALSE))</f>
        <v>1</v>
      </c>
      <c r="P207" s="31">
        <f>IFERROR(VLOOKUP($E207,bug_conf_sheet!$A:$H,4,FALSE),VLOOKUP("other",bug_conf_sheet!$A:$H,4,FALSE))</f>
        <v>0</v>
      </c>
      <c r="Q207" s="31">
        <f>IFERROR(VLOOKUP($E207,bug_conf_sheet!$A:$H,5,FALSE),VLOOKUP("other",bug_conf_sheet!$A:$H,5,FALSE))</f>
        <v>0</v>
      </c>
      <c r="R207" s="31">
        <f>IFERROR(VLOOKUP($E207,bug_conf_sheet!$A:$H,6,FALSE),VLOOKUP("other",bug_conf_sheet!$A:$H,6,FALSE))</f>
        <v>0</v>
      </c>
      <c r="S207" s="31">
        <f>IFERROR(VLOOKUP($E207,bug_conf_sheet!$A:$H,7,FALSE),VLOOKUP("other",bug_conf_sheet!$A:$H,7,FALSE))</f>
        <v>0</v>
      </c>
      <c r="T207" s="31">
        <f>IFERROR(VLOOKUP($E207,bug_conf_sheet!$A:$H,8,FALSE),VLOOKUP("other",bug_conf_sheet!$A:$H,8,FALSE))</f>
        <v>1</v>
      </c>
    </row>
    <row r="208" spans="1:20" ht="21" customHeight="1">
      <c r="A208" s="2" t="str">
        <f ca="1">input_313101!A$2</f>
        <v>313101</v>
      </c>
      <c r="B208" s="7" t="str">
        <f t="shared" si="12"/>
        <v>PremiumSSbg4</v>
      </c>
      <c r="C208" s="7" t="str">
        <f t="shared" si="13"/>
        <v>PremiumSS</v>
      </c>
      <c r="D208" s="7" t="str">
        <f t="shared" si="14"/>
        <v>bg</v>
      </c>
      <c r="E208" s="6">
        <v>494</v>
      </c>
      <c r="F208" s="7" t="str">
        <f>VLOOKUP(E208,[1]characters!$A:$C,3,FALSE)</f>
        <v>ハーメルン</v>
      </c>
      <c r="G208" s="7" t="str">
        <f>VLOOKUP(E208,[1]characters!$A:$J,10,FALSE)</f>
        <v>PremiumSS</v>
      </c>
      <c r="H208" s="7">
        <f>VLOOKUP(E208,[1]characters!$A:$I,9,FALSE)</f>
        <v>4</v>
      </c>
      <c r="I208" s="7" t="str">
        <f>VLOOKUP(E208,[1]characters!$A:$H,8,FALSE)</f>
        <v>green</v>
      </c>
      <c r="J208" s="7" t="str">
        <f>VLOOKUP(E208,[1]characters!$A:$K,11,FALSE)</f>
        <v>technical</v>
      </c>
      <c r="K208" s="7" t="str">
        <f>VLOOKUP(E208,[1]characters!$A:$M,13,FALSE)</f>
        <v>human</v>
      </c>
      <c r="L208" s="7" t="str">
        <f>VLOOKUP(E208,[1]characters!$A:$G,7,FALSE)</f>
        <v>男性</v>
      </c>
      <c r="M208" s="62">
        <f ca="1">IFERROR(VLOOKUP(E208,input_313101!L:R,7,FALSE),VLOOKUP(tables_313101!B208,input_313101!A:H,8,FALSE))</f>
        <v>41958</v>
      </c>
      <c r="N208" s="63">
        <f t="shared" ca="1" si="15"/>
        <v>1.5E-3</v>
      </c>
      <c r="O208" s="31">
        <f>IFERROR(VLOOKUP($E208,bug_conf_sheet!$A:$H,3,FALSE),VLOOKUP("other",bug_conf_sheet!$A:$H,3,FALSE))</f>
        <v>1</v>
      </c>
      <c r="P208" s="31">
        <f>IFERROR(VLOOKUP($E208,bug_conf_sheet!$A:$H,4,FALSE),VLOOKUP("other",bug_conf_sheet!$A:$H,4,FALSE))</f>
        <v>0</v>
      </c>
      <c r="Q208" s="31">
        <f>IFERROR(VLOOKUP($E208,bug_conf_sheet!$A:$H,5,FALSE),VLOOKUP("other",bug_conf_sheet!$A:$H,5,FALSE))</f>
        <v>0</v>
      </c>
      <c r="R208" s="31">
        <f>IFERROR(VLOOKUP($E208,bug_conf_sheet!$A:$H,6,FALSE),VLOOKUP("other",bug_conf_sheet!$A:$H,6,FALSE))</f>
        <v>0</v>
      </c>
      <c r="S208" s="31">
        <f>IFERROR(VLOOKUP($E208,bug_conf_sheet!$A:$H,7,FALSE),VLOOKUP("other",bug_conf_sheet!$A:$H,7,FALSE))</f>
        <v>0</v>
      </c>
      <c r="T208" s="31">
        <f>IFERROR(VLOOKUP($E208,bug_conf_sheet!$A:$H,8,FALSE),VLOOKUP("other",bug_conf_sheet!$A:$H,8,FALSE))</f>
        <v>1</v>
      </c>
    </row>
    <row r="209" spans="1:20" ht="21" customHeight="1">
      <c r="A209" s="2" t="str">
        <f ca="1">input_313101!A$2</f>
        <v>313101</v>
      </c>
      <c r="B209" s="7" t="str">
        <f t="shared" si="12"/>
        <v>PremiumSSbg5</v>
      </c>
      <c r="C209" s="7" t="str">
        <f t="shared" si="13"/>
        <v>PremiumSS</v>
      </c>
      <c r="D209" s="7" t="str">
        <f t="shared" si="14"/>
        <v>bg</v>
      </c>
      <c r="E209" s="6">
        <v>495</v>
      </c>
      <c r="F209" s="7" t="str">
        <f>VLOOKUP(E209,[1]characters!$A:$C,3,FALSE)</f>
        <v>鼠災呼ぶ笛音 ハーメルン</v>
      </c>
      <c r="G209" s="7" t="str">
        <f>VLOOKUP(E209,[1]characters!$A:$J,10,FALSE)</f>
        <v>PremiumSS</v>
      </c>
      <c r="H209" s="7">
        <f>VLOOKUP(E209,[1]characters!$A:$I,9,FALSE)</f>
        <v>5</v>
      </c>
      <c r="I209" s="7" t="str">
        <f>VLOOKUP(E209,[1]characters!$A:$H,8,FALSE)</f>
        <v>green</v>
      </c>
      <c r="J209" s="7" t="str">
        <f>VLOOKUP(E209,[1]characters!$A:$K,11,FALSE)</f>
        <v>technical</v>
      </c>
      <c r="K209" s="7" t="str">
        <f>VLOOKUP(E209,[1]characters!$A:$M,13,FALSE)</f>
        <v>human</v>
      </c>
      <c r="L209" s="7" t="str">
        <f>VLOOKUP(E209,[1]characters!$A:$G,7,FALSE)</f>
        <v>男性</v>
      </c>
      <c r="M209" s="62">
        <f ca="1">IFERROR(VLOOKUP(E209,input_313101!L:R,7,FALSE),VLOOKUP(tables_313101!B209,input_313101!A:H,8,FALSE))</f>
        <v>4662</v>
      </c>
      <c r="N209" s="63">
        <f t="shared" ca="1" si="15"/>
        <v>1.6666666666666666E-4</v>
      </c>
      <c r="O209" s="31">
        <f>IFERROR(VLOOKUP($E209,bug_conf_sheet!$A:$H,3,FALSE),VLOOKUP("other",bug_conf_sheet!$A:$H,3,FALSE))</f>
        <v>1</v>
      </c>
      <c r="P209" s="31">
        <f>IFERROR(VLOOKUP($E209,bug_conf_sheet!$A:$H,4,FALSE),VLOOKUP("other",bug_conf_sheet!$A:$H,4,FALSE))</f>
        <v>0</v>
      </c>
      <c r="Q209" s="31">
        <f>IFERROR(VLOOKUP($E209,bug_conf_sheet!$A:$H,5,FALSE),VLOOKUP("other",bug_conf_sheet!$A:$H,5,FALSE))</f>
        <v>0</v>
      </c>
      <c r="R209" s="31">
        <f>IFERROR(VLOOKUP($E209,bug_conf_sheet!$A:$H,6,FALSE),VLOOKUP("other",bug_conf_sheet!$A:$H,6,FALSE))</f>
        <v>0</v>
      </c>
      <c r="S209" s="31">
        <f>IFERROR(VLOOKUP($E209,bug_conf_sheet!$A:$H,7,FALSE),VLOOKUP("other",bug_conf_sheet!$A:$H,7,FALSE))</f>
        <v>0</v>
      </c>
      <c r="T209" s="31">
        <f>IFERROR(VLOOKUP($E209,bug_conf_sheet!$A:$H,8,FALSE),VLOOKUP("other",bug_conf_sheet!$A:$H,8,FALSE))</f>
        <v>1</v>
      </c>
    </row>
    <row r="210" spans="1:20" ht="21" customHeight="1">
      <c r="A210" s="2" t="str">
        <f ca="1">input_313101!A$2</f>
        <v>313101</v>
      </c>
      <c r="B210" s="7" t="str">
        <f t="shared" si="12"/>
        <v>Premium3</v>
      </c>
      <c r="C210" s="7" t="str">
        <f t="shared" si="13"/>
        <v>Premium</v>
      </c>
      <c r="D210" s="7" t="str">
        <f t="shared" si="14"/>
        <v>bg</v>
      </c>
      <c r="E210" s="6">
        <v>496</v>
      </c>
      <c r="F210" s="7" t="str">
        <f>VLOOKUP(E210,[1]characters!$A:$C,3,FALSE)</f>
        <v>エスタブ</v>
      </c>
      <c r="G210" s="7" t="str">
        <f>VLOOKUP(E210,[1]characters!$A:$J,10,FALSE)</f>
        <v>PremiumS</v>
      </c>
      <c r="H210" s="7">
        <f>VLOOKUP(E210,[1]characters!$A:$I,9,FALSE)</f>
        <v>3</v>
      </c>
      <c r="I210" s="7" t="str">
        <f>VLOOKUP(E210,[1]characters!$A:$H,8,FALSE)</f>
        <v>blue</v>
      </c>
      <c r="J210" s="7" t="str">
        <f>VLOOKUP(E210,[1]characters!$A:$K,11,FALSE)</f>
        <v>attack</v>
      </c>
      <c r="K210" s="7" t="str">
        <f>VLOOKUP(E210,[1]characters!$A:$M,13,FALSE)</f>
        <v>human</v>
      </c>
      <c r="L210" s="7" t="str">
        <f>VLOOKUP(E210,[1]characters!$A:$G,7,FALSE)</f>
        <v>男性</v>
      </c>
      <c r="M210" s="62">
        <f ca="1">IFERROR(VLOOKUP(E210,input_313101!L:R,7,FALSE),VLOOKUP(tables_313101!B210,input_313101!A:H,8,FALSE))</f>
        <v>0</v>
      </c>
      <c r="N210" s="63">
        <f t="shared" ca="1" si="15"/>
        <v>0</v>
      </c>
      <c r="O210" s="31">
        <f>IFERROR(VLOOKUP($E210,bug_conf_sheet!$A:$H,3,FALSE),VLOOKUP("other",bug_conf_sheet!$A:$H,3,FALSE))</f>
        <v>1</v>
      </c>
      <c r="P210" s="31">
        <f>IFERROR(VLOOKUP($E210,bug_conf_sheet!$A:$H,4,FALSE),VLOOKUP("other",bug_conf_sheet!$A:$H,4,FALSE))</f>
        <v>0</v>
      </c>
      <c r="Q210" s="31">
        <f>IFERROR(VLOOKUP($E210,bug_conf_sheet!$A:$H,5,FALSE),VLOOKUP("other",bug_conf_sheet!$A:$H,5,FALSE))</f>
        <v>0</v>
      </c>
      <c r="R210" s="31">
        <f>IFERROR(VLOOKUP($E210,bug_conf_sheet!$A:$H,6,FALSE),VLOOKUP("other",bug_conf_sheet!$A:$H,6,FALSE))</f>
        <v>0</v>
      </c>
      <c r="S210" s="31">
        <f>IFERROR(VLOOKUP($E210,bug_conf_sheet!$A:$H,7,FALSE),VLOOKUP("other",bug_conf_sheet!$A:$H,7,FALSE))</f>
        <v>0</v>
      </c>
      <c r="T210" s="31">
        <f>IFERROR(VLOOKUP($E210,bug_conf_sheet!$A:$H,8,FALSE),VLOOKUP("other",bug_conf_sheet!$A:$H,8,FALSE))</f>
        <v>1</v>
      </c>
    </row>
    <row r="211" spans="1:20" ht="21" customHeight="1">
      <c r="A211" s="2" t="str">
        <f ca="1">input_313101!A$2</f>
        <v>313101</v>
      </c>
      <c r="B211" s="7" t="str">
        <f t="shared" si="12"/>
        <v>Premium4</v>
      </c>
      <c r="C211" s="7" t="str">
        <f t="shared" si="13"/>
        <v>Premium</v>
      </c>
      <c r="D211" s="7" t="str">
        <f t="shared" si="14"/>
        <v>bg</v>
      </c>
      <c r="E211" s="6">
        <v>497</v>
      </c>
      <c r="F211" s="7" t="str">
        <f>VLOOKUP(E211,[1]characters!$A:$C,3,FALSE)</f>
        <v>偏愛の野獣 エスタブ</v>
      </c>
      <c r="G211" s="7" t="str">
        <f>VLOOKUP(E211,[1]characters!$A:$J,10,FALSE)</f>
        <v>PremiumS</v>
      </c>
      <c r="H211" s="7">
        <f>VLOOKUP(E211,[1]characters!$A:$I,9,FALSE)</f>
        <v>4</v>
      </c>
      <c r="I211" s="7" t="str">
        <f>VLOOKUP(E211,[1]characters!$A:$H,8,FALSE)</f>
        <v>blue</v>
      </c>
      <c r="J211" s="7" t="str">
        <f>VLOOKUP(E211,[1]characters!$A:$K,11,FALSE)</f>
        <v>attack</v>
      </c>
      <c r="K211" s="7" t="str">
        <f>VLOOKUP(E211,[1]characters!$A:$M,13,FALSE)</f>
        <v>human</v>
      </c>
      <c r="L211" s="7" t="str">
        <f>VLOOKUP(E211,[1]characters!$A:$G,7,FALSE)</f>
        <v>男性</v>
      </c>
      <c r="M211" s="62">
        <f ca="1">IFERROR(VLOOKUP(E211,input_313101!L:R,7,FALSE),VLOOKUP(tables_313101!B211,input_313101!A:H,8,FALSE))</f>
        <v>342090</v>
      </c>
      <c r="N211" s="63">
        <f t="shared" ca="1" si="15"/>
        <v>1.222972972972973E-2</v>
      </c>
      <c r="O211" s="31">
        <f>IFERROR(VLOOKUP($E211,bug_conf_sheet!$A:$H,3,FALSE),VLOOKUP("other",bug_conf_sheet!$A:$H,3,FALSE))</f>
        <v>1</v>
      </c>
      <c r="P211" s="31">
        <f>IFERROR(VLOOKUP($E211,bug_conf_sheet!$A:$H,4,FALSE),VLOOKUP("other",bug_conf_sheet!$A:$H,4,FALSE))</f>
        <v>0</v>
      </c>
      <c r="Q211" s="31">
        <f>IFERROR(VLOOKUP($E211,bug_conf_sheet!$A:$H,5,FALSE),VLOOKUP("other",bug_conf_sheet!$A:$H,5,FALSE))</f>
        <v>0</v>
      </c>
      <c r="R211" s="31">
        <f>IFERROR(VLOOKUP($E211,bug_conf_sheet!$A:$H,6,FALSE),VLOOKUP("other",bug_conf_sheet!$A:$H,6,FALSE))</f>
        <v>0</v>
      </c>
      <c r="S211" s="31">
        <f>IFERROR(VLOOKUP($E211,bug_conf_sheet!$A:$H,7,FALSE),VLOOKUP("other",bug_conf_sheet!$A:$H,7,FALSE))</f>
        <v>0</v>
      </c>
      <c r="T211" s="31">
        <f>IFERROR(VLOOKUP($E211,bug_conf_sheet!$A:$H,8,FALSE),VLOOKUP("other",bug_conf_sheet!$A:$H,8,FALSE))</f>
        <v>1</v>
      </c>
    </row>
    <row r="212" spans="1:20" ht="21" customHeight="1">
      <c r="A212" s="2" t="str">
        <f ca="1">input_313101!A$2</f>
        <v>313101</v>
      </c>
      <c r="B212" s="7" t="str">
        <f t="shared" si="12"/>
        <v>Premium5</v>
      </c>
      <c r="C212" s="7" t="str">
        <f t="shared" si="13"/>
        <v>Premium</v>
      </c>
      <c r="D212" s="7" t="str">
        <f t="shared" si="14"/>
        <v>bg</v>
      </c>
      <c r="E212" s="6">
        <v>498</v>
      </c>
      <c r="F212" s="7" t="str">
        <f>VLOOKUP(E212,[1]characters!$A:$C,3,FALSE)</f>
        <v>自愛の高魔 エスタブ</v>
      </c>
      <c r="G212" s="7" t="str">
        <f>VLOOKUP(E212,[1]characters!$A:$J,10,FALSE)</f>
        <v>PremiumS</v>
      </c>
      <c r="H212" s="7">
        <f>VLOOKUP(E212,[1]characters!$A:$I,9,FALSE)</f>
        <v>5</v>
      </c>
      <c r="I212" s="7" t="str">
        <f>VLOOKUP(E212,[1]characters!$A:$H,8,FALSE)</f>
        <v>blue</v>
      </c>
      <c r="J212" s="7" t="str">
        <f>VLOOKUP(E212,[1]characters!$A:$K,11,FALSE)</f>
        <v>attack</v>
      </c>
      <c r="K212" s="7" t="str">
        <f>VLOOKUP(E212,[1]characters!$A:$M,13,FALSE)</f>
        <v>human</v>
      </c>
      <c r="L212" s="7" t="str">
        <f>VLOOKUP(E212,[1]characters!$A:$G,7,FALSE)</f>
        <v>男性</v>
      </c>
      <c r="M212" s="62">
        <f ca="1">IFERROR(VLOOKUP(E212,input_313101!L:R,7,FALSE),VLOOKUP(tables_313101!B212,input_313101!A:H,8,FALSE))</f>
        <v>18130</v>
      </c>
      <c r="N212" s="63">
        <f t="shared" ca="1" si="15"/>
        <v>6.4814814814814813E-4</v>
      </c>
      <c r="O212" s="31">
        <f>IFERROR(VLOOKUP($E212,bug_conf_sheet!$A:$H,3,FALSE),VLOOKUP("other",bug_conf_sheet!$A:$H,3,FALSE))</f>
        <v>1</v>
      </c>
      <c r="P212" s="31">
        <f>IFERROR(VLOOKUP($E212,bug_conf_sheet!$A:$H,4,FALSE),VLOOKUP("other",bug_conf_sheet!$A:$H,4,FALSE))</f>
        <v>0</v>
      </c>
      <c r="Q212" s="31">
        <f>IFERROR(VLOOKUP($E212,bug_conf_sheet!$A:$H,5,FALSE),VLOOKUP("other",bug_conf_sheet!$A:$H,5,FALSE))</f>
        <v>0</v>
      </c>
      <c r="R212" s="31">
        <f>IFERROR(VLOOKUP($E212,bug_conf_sheet!$A:$H,6,FALSE),VLOOKUP("other",bug_conf_sheet!$A:$H,6,FALSE))</f>
        <v>0</v>
      </c>
      <c r="S212" s="31">
        <f>IFERROR(VLOOKUP($E212,bug_conf_sheet!$A:$H,7,FALSE),VLOOKUP("other",bug_conf_sheet!$A:$H,7,FALSE))</f>
        <v>0</v>
      </c>
      <c r="T212" s="31">
        <f>IFERROR(VLOOKUP($E212,bug_conf_sheet!$A:$H,8,FALSE),VLOOKUP("other",bug_conf_sheet!$A:$H,8,FALSE))</f>
        <v>1</v>
      </c>
    </row>
    <row r="213" spans="1:20" ht="21" customHeight="1">
      <c r="A213" s="2" t="str">
        <f ca="1">input_313101!A$2</f>
        <v>313101</v>
      </c>
      <c r="B213" s="7" t="str">
        <f t="shared" si="12"/>
        <v>PremiumSSry4</v>
      </c>
      <c r="C213" s="7" t="str">
        <f t="shared" si="13"/>
        <v>PremiumSS</v>
      </c>
      <c r="D213" s="7" t="str">
        <f t="shared" si="14"/>
        <v>ry</v>
      </c>
      <c r="E213" s="6">
        <v>499</v>
      </c>
      <c r="F213" s="7" t="str">
        <f>VLOOKUP(E213,[1]characters!$A:$C,3,FALSE)</f>
        <v>ラプンツェル</v>
      </c>
      <c r="G213" s="7" t="str">
        <f>VLOOKUP(E213,[1]characters!$A:$J,10,FALSE)</f>
        <v>PremiumSS</v>
      </c>
      <c r="H213" s="7">
        <f>VLOOKUP(E213,[1]characters!$A:$I,9,FALSE)</f>
        <v>4</v>
      </c>
      <c r="I213" s="7" t="str">
        <f>VLOOKUP(E213,[1]characters!$A:$H,8,FALSE)</f>
        <v>yellow</v>
      </c>
      <c r="J213" s="7" t="str">
        <f>VLOOKUP(E213,[1]characters!$A:$K,11,FALSE)</f>
        <v>balance</v>
      </c>
      <c r="K213" s="7" t="str">
        <f>VLOOKUP(E213,[1]characters!$A:$M,13,FALSE)</f>
        <v>human</v>
      </c>
      <c r="L213" s="7" t="str">
        <f>VLOOKUP(E213,[1]characters!$A:$G,7,FALSE)</f>
        <v>女性</v>
      </c>
      <c r="M213" s="62">
        <f ca="1">IFERROR(VLOOKUP(E213,input_313101!L:R,7,FALSE),VLOOKUP(tables_313101!B213,input_313101!A:H,8,FALSE))</f>
        <v>53946</v>
      </c>
      <c r="N213" s="63">
        <f t="shared" ca="1" si="15"/>
        <v>1.9285714285714286E-3</v>
      </c>
      <c r="O213" s="31">
        <f>IFERROR(VLOOKUP($E213,bug_conf_sheet!$A:$H,3,FALSE),VLOOKUP("other",bug_conf_sheet!$A:$H,3,FALSE))</f>
        <v>1</v>
      </c>
      <c r="P213" s="31">
        <f>IFERROR(VLOOKUP($E213,bug_conf_sheet!$A:$H,4,FALSE),VLOOKUP("other",bug_conf_sheet!$A:$H,4,FALSE))</f>
        <v>0</v>
      </c>
      <c r="Q213" s="31">
        <f>IFERROR(VLOOKUP($E213,bug_conf_sheet!$A:$H,5,FALSE),VLOOKUP("other",bug_conf_sheet!$A:$H,5,FALSE))</f>
        <v>0</v>
      </c>
      <c r="R213" s="31">
        <f>IFERROR(VLOOKUP($E213,bug_conf_sheet!$A:$H,6,FALSE),VLOOKUP("other",bug_conf_sheet!$A:$H,6,FALSE))</f>
        <v>0</v>
      </c>
      <c r="S213" s="31">
        <f>IFERROR(VLOOKUP($E213,bug_conf_sheet!$A:$H,7,FALSE),VLOOKUP("other",bug_conf_sheet!$A:$H,7,FALSE))</f>
        <v>0</v>
      </c>
      <c r="T213" s="31">
        <f>IFERROR(VLOOKUP($E213,bug_conf_sheet!$A:$H,8,FALSE),VLOOKUP("other",bug_conf_sheet!$A:$H,8,FALSE))</f>
        <v>1</v>
      </c>
    </row>
    <row r="214" spans="1:20" ht="21" customHeight="1">
      <c r="A214" s="2" t="str">
        <f ca="1">input_313101!A$2</f>
        <v>313101</v>
      </c>
      <c r="B214" s="7" t="str">
        <f t="shared" si="12"/>
        <v>PremiumSSry5</v>
      </c>
      <c r="C214" s="7" t="str">
        <f t="shared" si="13"/>
        <v>PremiumSS</v>
      </c>
      <c r="D214" s="7" t="str">
        <f t="shared" si="14"/>
        <v>ry</v>
      </c>
      <c r="E214" s="6">
        <v>500</v>
      </c>
      <c r="F214" s="7" t="str">
        <f>VLOOKUP(E214,[1]characters!$A:$C,3,FALSE)</f>
        <v>脈動の禁髪 ラプンツェル</v>
      </c>
      <c r="G214" s="7" t="str">
        <f>VLOOKUP(E214,[1]characters!$A:$J,10,FALSE)</f>
        <v>PremiumSS</v>
      </c>
      <c r="H214" s="7">
        <f>VLOOKUP(E214,[1]characters!$A:$I,9,FALSE)</f>
        <v>5</v>
      </c>
      <c r="I214" s="7" t="str">
        <f>VLOOKUP(E214,[1]characters!$A:$H,8,FALSE)</f>
        <v>yellow</v>
      </c>
      <c r="J214" s="7" t="str">
        <f>VLOOKUP(E214,[1]characters!$A:$K,11,FALSE)</f>
        <v>balance</v>
      </c>
      <c r="K214" s="7" t="str">
        <f>VLOOKUP(E214,[1]characters!$A:$M,13,FALSE)</f>
        <v>human</v>
      </c>
      <c r="L214" s="7" t="str">
        <f>VLOOKUP(E214,[1]characters!$A:$G,7,FALSE)</f>
        <v>女性</v>
      </c>
      <c r="M214" s="62">
        <f ca="1">IFERROR(VLOOKUP(E214,input_313101!L:R,7,FALSE),VLOOKUP(tables_313101!B214,input_313101!A:H,8,FALSE))</f>
        <v>5994</v>
      </c>
      <c r="N214" s="63">
        <f t="shared" ca="1" si="15"/>
        <v>2.1428571428571427E-4</v>
      </c>
      <c r="O214" s="31">
        <f>IFERROR(VLOOKUP($E214,bug_conf_sheet!$A:$H,3,FALSE),VLOOKUP("other",bug_conf_sheet!$A:$H,3,FALSE))</f>
        <v>1</v>
      </c>
      <c r="P214" s="31">
        <f>IFERROR(VLOOKUP($E214,bug_conf_sheet!$A:$H,4,FALSE),VLOOKUP("other",bug_conf_sheet!$A:$H,4,FALSE))</f>
        <v>0</v>
      </c>
      <c r="Q214" s="31">
        <f>IFERROR(VLOOKUP($E214,bug_conf_sheet!$A:$H,5,FALSE),VLOOKUP("other",bug_conf_sheet!$A:$H,5,FALSE))</f>
        <v>0</v>
      </c>
      <c r="R214" s="31">
        <f>IFERROR(VLOOKUP($E214,bug_conf_sheet!$A:$H,6,FALSE),VLOOKUP("other",bug_conf_sheet!$A:$H,6,FALSE))</f>
        <v>0</v>
      </c>
      <c r="S214" s="31">
        <f>IFERROR(VLOOKUP($E214,bug_conf_sheet!$A:$H,7,FALSE),VLOOKUP("other",bug_conf_sheet!$A:$H,7,FALSE))</f>
        <v>0</v>
      </c>
      <c r="T214" s="31">
        <f>IFERROR(VLOOKUP($E214,bug_conf_sheet!$A:$H,8,FALSE),VLOOKUP("other",bug_conf_sheet!$A:$H,8,FALSE))</f>
        <v>1</v>
      </c>
    </row>
    <row r="215" spans="1:20" ht="21" customHeight="1">
      <c r="A215" s="2" t="str">
        <f ca="1">input_313101!A$2</f>
        <v>313101</v>
      </c>
      <c r="B215" s="7" t="str">
        <f t="shared" si="12"/>
        <v>PremiumSSry4</v>
      </c>
      <c r="C215" s="7" t="str">
        <f t="shared" si="13"/>
        <v>PremiumSS</v>
      </c>
      <c r="D215" s="7" t="str">
        <f t="shared" si="14"/>
        <v>ry</v>
      </c>
      <c r="E215" s="6">
        <v>586</v>
      </c>
      <c r="F215" s="7" t="str">
        <f>VLOOKUP(E215,[1]characters!$A:$C,3,FALSE)</f>
        <v>ユミル</v>
      </c>
      <c r="G215" s="7" t="str">
        <f>VLOOKUP(E215,[1]characters!$A:$J,10,FALSE)</f>
        <v>PremiumSS</v>
      </c>
      <c r="H215" s="7">
        <f>VLOOKUP(E215,[1]characters!$A:$I,9,FALSE)</f>
        <v>4</v>
      </c>
      <c r="I215" s="7" t="str">
        <f>VLOOKUP(E215,[1]characters!$A:$H,8,FALSE)</f>
        <v>red</v>
      </c>
      <c r="J215" s="7" t="str">
        <f>VLOOKUP(E215,[1]characters!$A:$K,11,FALSE)</f>
        <v>hp</v>
      </c>
      <c r="K215" s="7" t="str">
        <f>VLOOKUP(E215,[1]characters!$A:$M,13,FALSE)</f>
        <v>machine</v>
      </c>
      <c r="L215" s="7" t="str">
        <f>VLOOKUP(E215,[1]characters!$A:$G,7,FALSE)</f>
        <v>不明</v>
      </c>
      <c r="M215" s="62">
        <f ca="1">IFERROR(VLOOKUP(E215,input_313101!L:R,7,FALSE),VLOOKUP(tables_313101!B215,input_313101!A:H,8,FALSE))</f>
        <v>53946</v>
      </c>
      <c r="N215" s="63">
        <f t="shared" ca="1" si="15"/>
        <v>1.9285714285714286E-3</v>
      </c>
      <c r="O215" s="31">
        <f>IFERROR(VLOOKUP($E215,bug_conf_sheet!$A:$H,3,FALSE),VLOOKUP("other",bug_conf_sheet!$A:$H,3,FALSE))</f>
        <v>1</v>
      </c>
      <c r="P215" s="31">
        <f>IFERROR(VLOOKUP($E215,bug_conf_sheet!$A:$H,4,FALSE),VLOOKUP("other",bug_conf_sheet!$A:$H,4,FALSE))</f>
        <v>0</v>
      </c>
      <c r="Q215" s="31">
        <f>IFERROR(VLOOKUP($E215,bug_conf_sheet!$A:$H,5,FALSE),VLOOKUP("other",bug_conf_sheet!$A:$H,5,FALSE))</f>
        <v>0</v>
      </c>
      <c r="R215" s="31">
        <f>IFERROR(VLOOKUP($E215,bug_conf_sheet!$A:$H,6,FALSE),VLOOKUP("other",bug_conf_sheet!$A:$H,6,FALSE))</f>
        <v>0</v>
      </c>
      <c r="S215" s="31">
        <f>IFERROR(VLOOKUP($E215,bug_conf_sheet!$A:$H,7,FALSE),VLOOKUP("other",bug_conf_sheet!$A:$H,7,FALSE))</f>
        <v>0</v>
      </c>
      <c r="T215" s="31">
        <f>IFERROR(VLOOKUP($E215,bug_conf_sheet!$A:$H,8,FALSE),VLOOKUP("other",bug_conf_sheet!$A:$H,8,FALSE))</f>
        <v>1</v>
      </c>
    </row>
    <row r="216" spans="1:20" ht="21" customHeight="1">
      <c r="A216" s="2" t="str">
        <f ca="1">input_313101!A$2</f>
        <v>313101</v>
      </c>
      <c r="B216" s="7" t="str">
        <f t="shared" si="12"/>
        <v>PremiumSSry5</v>
      </c>
      <c r="C216" s="7" t="str">
        <f t="shared" si="13"/>
        <v>PremiumSS</v>
      </c>
      <c r="D216" s="7" t="str">
        <f t="shared" si="14"/>
        <v>ry</v>
      </c>
      <c r="E216" s="6">
        <v>587</v>
      </c>
      <c r="F216" s="7" t="str">
        <f>VLOOKUP(E216,[1]characters!$A:$C,3,FALSE)</f>
        <v>原初の煉鋼巨刃 ユミル</v>
      </c>
      <c r="G216" s="7" t="str">
        <f>VLOOKUP(E216,[1]characters!$A:$J,10,FALSE)</f>
        <v>PremiumSS</v>
      </c>
      <c r="H216" s="7">
        <f>VLOOKUP(E216,[1]characters!$A:$I,9,FALSE)</f>
        <v>5</v>
      </c>
      <c r="I216" s="7" t="str">
        <f>VLOOKUP(E216,[1]characters!$A:$H,8,FALSE)</f>
        <v>red</v>
      </c>
      <c r="J216" s="7" t="str">
        <f>VLOOKUP(E216,[1]characters!$A:$K,11,FALSE)</f>
        <v>hp</v>
      </c>
      <c r="K216" s="7" t="str">
        <f>VLOOKUP(E216,[1]characters!$A:$M,13,FALSE)</f>
        <v>machine</v>
      </c>
      <c r="L216" s="7" t="str">
        <f>VLOOKUP(E216,[1]characters!$A:$G,7,FALSE)</f>
        <v>不明</v>
      </c>
      <c r="M216" s="62">
        <f ca="1">IFERROR(VLOOKUP(E216,input_313101!L:R,7,FALSE),VLOOKUP(tables_313101!B216,input_313101!A:H,8,FALSE))</f>
        <v>5994</v>
      </c>
      <c r="N216" s="63">
        <f t="shared" ca="1" si="15"/>
        <v>2.1428571428571427E-4</v>
      </c>
      <c r="O216" s="31">
        <f>IFERROR(VLOOKUP($E216,bug_conf_sheet!$A:$H,3,FALSE),VLOOKUP("other",bug_conf_sheet!$A:$H,3,FALSE))</f>
        <v>1</v>
      </c>
      <c r="P216" s="31">
        <f>IFERROR(VLOOKUP($E216,bug_conf_sheet!$A:$H,4,FALSE),VLOOKUP("other",bug_conf_sheet!$A:$H,4,FALSE))</f>
        <v>0</v>
      </c>
      <c r="Q216" s="31">
        <f>IFERROR(VLOOKUP($E216,bug_conf_sheet!$A:$H,5,FALSE),VLOOKUP("other",bug_conf_sheet!$A:$H,5,FALSE))</f>
        <v>0</v>
      </c>
      <c r="R216" s="31">
        <f>IFERROR(VLOOKUP($E216,bug_conf_sheet!$A:$H,6,FALSE),VLOOKUP("other",bug_conf_sheet!$A:$H,6,FALSE))</f>
        <v>0</v>
      </c>
      <c r="S216" s="31">
        <f>IFERROR(VLOOKUP($E216,bug_conf_sheet!$A:$H,7,FALSE),VLOOKUP("other",bug_conf_sheet!$A:$H,7,FALSE))</f>
        <v>0</v>
      </c>
      <c r="T216" s="31">
        <f>IFERROR(VLOOKUP($E216,bug_conf_sheet!$A:$H,8,FALSE),VLOOKUP("other",bug_conf_sheet!$A:$H,8,FALSE))</f>
        <v>1</v>
      </c>
    </row>
    <row r="217" spans="1:20" ht="21" customHeight="1">
      <c r="A217" s="2" t="str">
        <f ca="1">input_313101!A$2</f>
        <v>313101</v>
      </c>
      <c r="B217" s="7" t="str">
        <f t="shared" si="12"/>
        <v>Premium3</v>
      </c>
      <c r="C217" s="7" t="str">
        <f t="shared" si="13"/>
        <v>Premium</v>
      </c>
      <c r="D217" s="7" t="str">
        <f t="shared" si="14"/>
        <v>bg</v>
      </c>
      <c r="E217" s="6">
        <v>588</v>
      </c>
      <c r="F217" s="7" t="str">
        <f>VLOOKUP(E217,[1]characters!$A:$C,3,FALSE)</f>
        <v>ニーベルゲン</v>
      </c>
      <c r="G217" s="7" t="str">
        <f>VLOOKUP(E217,[1]characters!$A:$J,10,FALSE)</f>
        <v>PremiumS</v>
      </c>
      <c r="H217" s="7">
        <f>VLOOKUP(E217,[1]characters!$A:$I,9,FALSE)</f>
        <v>3</v>
      </c>
      <c r="I217" s="7" t="str">
        <f>VLOOKUP(E217,[1]characters!$A:$H,8,FALSE)</f>
        <v>green</v>
      </c>
      <c r="J217" s="7" t="str">
        <f>VLOOKUP(E217,[1]characters!$A:$K,11,FALSE)</f>
        <v>balance</v>
      </c>
      <c r="K217" s="7" t="str">
        <f>VLOOKUP(E217,[1]characters!$A:$M,13,FALSE)</f>
        <v>unknown</v>
      </c>
      <c r="L217" s="7" t="str">
        <f>VLOOKUP(E217,[1]characters!$A:$G,7,FALSE)</f>
        <v>女性</v>
      </c>
      <c r="M217" s="62">
        <f ca="1">IFERROR(VLOOKUP(E217,input_313101!L:R,7,FALSE),VLOOKUP(tables_313101!B217,input_313101!A:H,8,FALSE))</f>
        <v>0</v>
      </c>
      <c r="N217" s="63">
        <f t="shared" ca="1" si="15"/>
        <v>0</v>
      </c>
      <c r="O217" s="31">
        <f>IFERROR(VLOOKUP($E217,bug_conf_sheet!$A:$H,3,FALSE),VLOOKUP("other",bug_conf_sheet!$A:$H,3,FALSE))</f>
        <v>1</v>
      </c>
      <c r="P217" s="31">
        <f>IFERROR(VLOOKUP($E217,bug_conf_sheet!$A:$H,4,FALSE),VLOOKUP("other",bug_conf_sheet!$A:$H,4,FALSE))</f>
        <v>0</v>
      </c>
      <c r="Q217" s="31">
        <f>IFERROR(VLOOKUP($E217,bug_conf_sheet!$A:$H,5,FALSE),VLOOKUP("other",bug_conf_sheet!$A:$H,5,FALSE))</f>
        <v>0</v>
      </c>
      <c r="R217" s="31">
        <f>IFERROR(VLOOKUP($E217,bug_conf_sheet!$A:$H,6,FALSE),VLOOKUP("other",bug_conf_sheet!$A:$H,6,FALSE))</f>
        <v>0</v>
      </c>
      <c r="S217" s="31">
        <f>IFERROR(VLOOKUP($E217,bug_conf_sheet!$A:$H,7,FALSE),VLOOKUP("other",bug_conf_sheet!$A:$H,7,FALSE))</f>
        <v>0</v>
      </c>
      <c r="T217" s="31">
        <f>IFERROR(VLOOKUP($E217,bug_conf_sheet!$A:$H,8,FALSE),VLOOKUP("other",bug_conf_sheet!$A:$H,8,FALSE))</f>
        <v>1</v>
      </c>
    </row>
    <row r="218" spans="1:20" ht="21" customHeight="1">
      <c r="A218" s="2" t="str">
        <f ca="1">input_313101!A$2</f>
        <v>313101</v>
      </c>
      <c r="B218" s="7" t="str">
        <f t="shared" si="12"/>
        <v>Premium4</v>
      </c>
      <c r="C218" s="7" t="str">
        <f t="shared" si="13"/>
        <v>Premium</v>
      </c>
      <c r="D218" s="7" t="str">
        <f t="shared" si="14"/>
        <v>bg</v>
      </c>
      <c r="E218" s="6">
        <v>589</v>
      </c>
      <c r="F218" s="7" t="str">
        <f>VLOOKUP(E218,[1]characters!$A:$C,3,FALSE)</f>
        <v>不幸の円環 ニーベルゲン</v>
      </c>
      <c r="G218" s="7" t="str">
        <f>VLOOKUP(E218,[1]characters!$A:$J,10,FALSE)</f>
        <v>PremiumS</v>
      </c>
      <c r="H218" s="7">
        <f>VLOOKUP(E218,[1]characters!$A:$I,9,FALSE)</f>
        <v>4</v>
      </c>
      <c r="I218" s="7" t="str">
        <f>VLOOKUP(E218,[1]characters!$A:$H,8,FALSE)</f>
        <v>green</v>
      </c>
      <c r="J218" s="7" t="str">
        <f>VLOOKUP(E218,[1]characters!$A:$K,11,FALSE)</f>
        <v>balance</v>
      </c>
      <c r="K218" s="7" t="str">
        <f>VLOOKUP(E218,[1]characters!$A:$M,13,FALSE)</f>
        <v>unknown</v>
      </c>
      <c r="L218" s="7" t="str">
        <f>VLOOKUP(E218,[1]characters!$A:$G,7,FALSE)</f>
        <v>女性</v>
      </c>
      <c r="M218" s="62">
        <f ca="1">IFERROR(VLOOKUP(E218,input_313101!L:R,7,FALSE),VLOOKUP(tables_313101!B218,input_313101!A:H,8,FALSE))</f>
        <v>342090</v>
      </c>
      <c r="N218" s="63">
        <f t="shared" ca="1" si="15"/>
        <v>1.222972972972973E-2</v>
      </c>
      <c r="O218" s="31">
        <f>IFERROR(VLOOKUP($E218,bug_conf_sheet!$A:$H,3,FALSE),VLOOKUP("other",bug_conf_sheet!$A:$H,3,FALSE))</f>
        <v>1</v>
      </c>
      <c r="P218" s="31">
        <f>IFERROR(VLOOKUP($E218,bug_conf_sheet!$A:$H,4,FALSE),VLOOKUP("other",bug_conf_sheet!$A:$H,4,FALSE))</f>
        <v>0</v>
      </c>
      <c r="Q218" s="31">
        <f>IFERROR(VLOOKUP($E218,bug_conf_sheet!$A:$H,5,FALSE),VLOOKUP("other",bug_conf_sheet!$A:$H,5,FALSE))</f>
        <v>0</v>
      </c>
      <c r="R218" s="31">
        <f>IFERROR(VLOOKUP($E218,bug_conf_sheet!$A:$H,6,FALSE),VLOOKUP("other",bug_conf_sheet!$A:$H,6,FALSE))</f>
        <v>0</v>
      </c>
      <c r="S218" s="31">
        <f>IFERROR(VLOOKUP($E218,bug_conf_sheet!$A:$H,7,FALSE),VLOOKUP("other",bug_conf_sheet!$A:$H,7,FALSE))</f>
        <v>0</v>
      </c>
      <c r="T218" s="31">
        <f>IFERROR(VLOOKUP($E218,bug_conf_sheet!$A:$H,8,FALSE),VLOOKUP("other",bug_conf_sheet!$A:$H,8,FALSE))</f>
        <v>1</v>
      </c>
    </row>
    <row r="219" spans="1:20" ht="21" customHeight="1">
      <c r="A219" s="2" t="str">
        <f ca="1">input_313101!A$2</f>
        <v>313101</v>
      </c>
      <c r="B219" s="7" t="str">
        <f t="shared" si="12"/>
        <v>Premium5</v>
      </c>
      <c r="C219" s="7" t="str">
        <f t="shared" si="13"/>
        <v>Premium</v>
      </c>
      <c r="D219" s="7" t="str">
        <f t="shared" si="14"/>
        <v>bg</v>
      </c>
      <c r="E219" s="6">
        <v>590</v>
      </c>
      <c r="F219" s="7" t="str">
        <f>VLOOKUP(E219,[1]characters!$A:$C,3,FALSE)</f>
        <v>永遠を廻る呪い ニーベルゲン</v>
      </c>
      <c r="G219" s="7" t="str">
        <f>VLOOKUP(E219,[1]characters!$A:$J,10,FALSE)</f>
        <v>PremiumS</v>
      </c>
      <c r="H219" s="7">
        <f>VLOOKUP(E219,[1]characters!$A:$I,9,FALSE)</f>
        <v>5</v>
      </c>
      <c r="I219" s="7" t="str">
        <f>VLOOKUP(E219,[1]characters!$A:$H,8,FALSE)</f>
        <v>green</v>
      </c>
      <c r="J219" s="7" t="str">
        <f>VLOOKUP(E219,[1]characters!$A:$K,11,FALSE)</f>
        <v>balance</v>
      </c>
      <c r="K219" s="7" t="str">
        <f>VLOOKUP(E219,[1]characters!$A:$M,13,FALSE)</f>
        <v>unknown</v>
      </c>
      <c r="L219" s="7" t="str">
        <f>VLOOKUP(E219,[1]characters!$A:$G,7,FALSE)</f>
        <v>女性</v>
      </c>
      <c r="M219" s="62">
        <f ca="1">IFERROR(VLOOKUP(E219,input_313101!L:R,7,FALSE),VLOOKUP(tables_313101!B219,input_313101!A:H,8,FALSE))</f>
        <v>18130</v>
      </c>
      <c r="N219" s="63">
        <f t="shared" ca="1" si="15"/>
        <v>6.4814814814814813E-4</v>
      </c>
      <c r="O219" s="31">
        <f>IFERROR(VLOOKUP($E219,bug_conf_sheet!$A:$H,3,FALSE),VLOOKUP("other",bug_conf_sheet!$A:$H,3,FALSE))</f>
        <v>1</v>
      </c>
      <c r="P219" s="31">
        <f>IFERROR(VLOOKUP($E219,bug_conf_sheet!$A:$H,4,FALSE),VLOOKUP("other",bug_conf_sheet!$A:$H,4,FALSE))</f>
        <v>0</v>
      </c>
      <c r="Q219" s="31">
        <f>IFERROR(VLOOKUP($E219,bug_conf_sheet!$A:$H,5,FALSE),VLOOKUP("other",bug_conf_sheet!$A:$H,5,FALSE))</f>
        <v>0</v>
      </c>
      <c r="R219" s="31">
        <f>IFERROR(VLOOKUP($E219,bug_conf_sheet!$A:$H,6,FALSE),VLOOKUP("other",bug_conf_sheet!$A:$H,6,FALSE))</f>
        <v>0</v>
      </c>
      <c r="S219" s="31">
        <f>IFERROR(VLOOKUP($E219,bug_conf_sheet!$A:$H,7,FALSE),VLOOKUP("other",bug_conf_sheet!$A:$H,7,FALSE))</f>
        <v>0</v>
      </c>
      <c r="T219" s="31">
        <f>IFERROR(VLOOKUP($E219,bug_conf_sheet!$A:$H,8,FALSE),VLOOKUP("other",bug_conf_sheet!$A:$H,8,FALSE))</f>
        <v>1</v>
      </c>
    </row>
    <row r="220" spans="1:20" ht="21" customHeight="1">
      <c r="A220" s="2" t="str">
        <f ca="1">input_313101!A$2</f>
        <v>313101</v>
      </c>
      <c r="B220" s="7" t="str">
        <f t="shared" si="12"/>
        <v>Premium3</v>
      </c>
      <c r="C220" s="7" t="str">
        <f t="shared" si="13"/>
        <v>Premium</v>
      </c>
      <c r="D220" s="7" t="str">
        <f t="shared" si="14"/>
        <v>bg</v>
      </c>
      <c r="E220" s="6">
        <v>591</v>
      </c>
      <c r="F220" s="7" t="str">
        <f>VLOOKUP(E220,[1]characters!$A:$C,3,FALSE)</f>
        <v>ファフニール</v>
      </c>
      <c r="G220" s="7" t="str">
        <f>VLOOKUP(E220,[1]characters!$A:$J,10,FALSE)</f>
        <v>PremiumS</v>
      </c>
      <c r="H220" s="7">
        <f>VLOOKUP(E220,[1]characters!$A:$I,9,FALSE)</f>
        <v>3</v>
      </c>
      <c r="I220" s="7" t="str">
        <f>VLOOKUP(E220,[1]characters!$A:$H,8,FALSE)</f>
        <v>blue</v>
      </c>
      <c r="J220" s="7" t="str">
        <f>VLOOKUP(E220,[1]characters!$A:$K,11,FALSE)</f>
        <v>technical</v>
      </c>
      <c r="K220" s="7" t="str">
        <f>VLOOKUP(E220,[1]characters!$A:$M,13,FALSE)</f>
        <v>dragon</v>
      </c>
      <c r="L220" s="7" t="str">
        <f>VLOOKUP(E220,[1]characters!$A:$G,7,FALSE)</f>
        <v>不明</v>
      </c>
      <c r="M220" s="62">
        <f ca="1">IFERROR(VLOOKUP(E220,input_313101!L:R,7,FALSE),VLOOKUP(tables_313101!B220,input_313101!A:H,8,FALSE))</f>
        <v>0</v>
      </c>
      <c r="N220" s="63">
        <f t="shared" ca="1" si="15"/>
        <v>0</v>
      </c>
      <c r="O220" s="31">
        <f>IFERROR(VLOOKUP($E220,bug_conf_sheet!$A:$H,3,FALSE),VLOOKUP("other",bug_conf_sheet!$A:$H,3,FALSE))</f>
        <v>1</v>
      </c>
      <c r="P220" s="31">
        <f>IFERROR(VLOOKUP($E220,bug_conf_sheet!$A:$H,4,FALSE),VLOOKUP("other",bug_conf_sheet!$A:$H,4,FALSE))</f>
        <v>0</v>
      </c>
      <c r="Q220" s="31">
        <f>IFERROR(VLOOKUP($E220,bug_conf_sheet!$A:$H,5,FALSE),VLOOKUP("other",bug_conf_sheet!$A:$H,5,FALSE))</f>
        <v>0</v>
      </c>
      <c r="R220" s="31">
        <f>IFERROR(VLOOKUP($E220,bug_conf_sheet!$A:$H,6,FALSE),VLOOKUP("other",bug_conf_sheet!$A:$H,6,FALSE))</f>
        <v>0</v>
      </c>
      <c r="S220" s="31">
        <f>IFERROR(VLOOKUP($E220,bug_conf_sheet!$A:$H,7,FALSE),VLOOKUP("other",bug_conf_sheet!$A:$H,7,FALSE))</f>
        <v>0</v>
      </c>
      <c r="T220" s="31">
        <f>IFERROR(VLOOKUP($E220,bug_conf_sheet!$A:$H,8,FALSE),VLOOKUP("other",bug_conf_sheet!$A:$H,8,FALSE))</f>
        <v>1</v>
      </c>
    </row>
    <row r="221" spans="1:20" ht="21" customHeight="1">
      <c r="A221" s="2" t="str">
        <f ca="1">input_313101!A$2</f>
        <v>313101</v>
      </c>
      <c r="B221" s="7" t="str">
        <f t="shared" si="12"/>
        <v>Premium4</v>
      </c>
      <c r="C221" s="7" t="str">
        <f t="shared" si="13"/>
        <v>Premium</v>
      </c>
      <c r="D221" s="7" t="str">
        <f t="shared" si="14"/>
        <v>bg</v>
      </c>
      <c r="E221" s="6">
        <v>592</v>
      </c>
      <c r="F221" s="7" t="str">
        <f>VLOOKUP(E221,[1]characters!$A:$C,3,FALSE)</f>
        <v>財宝への執着 ファフニール</v>
      </c>
      <c r="G221" s="7" t="str">
        <f>VLOOKUP(E221,[1]characters!$A:$J,10,FALSE)</f>
        <v>PremiumS</v>
      </c>
      <c r="H221" s="7">
        <f>VLOOKUP(E221,[1]characters!$A:$I,9,FALSE)</f>
        <v>4</v>
      </c>
      <c r="I221" s="7" t="str">
        <f>VLOOKUP(E221,[1]characters!$A:$H,8,FALSE)</f>
        <v>blue</v>
      </c>
      <c r="J221" s="7" t="str">
        <f>VLOOKUP(E221,[1]characters!$A:$K,11,FALSE)</f>
        <v>technical</v>
      </c>
      <c r="K221" s="7" t="str">
        <f>VLOOKUP(E221,[1]characters!$A:$M,13,FALSE)</f>
        <v>dragon</v>
      </c>
      <c r="L221" s="7" t="str">
        <f>VLOOKUP(E221,[1]characters!$A:$G,7,FALSE)</f>
        <v>不明</v>
      </c>
      <c r="M221" s="62">
        <f ca="1">IFERROR(VLOOKUP(E221,input_313101!L:R,7,FALSE),VLOOKUP(tables_313101!B221,input_313101!A:H,8,FALSE))</f>
        <v>342090</v>
      </c>
      <c r="N221" s="63">
        <f t="shared" ca="1" si="15"/>
        <v>1.222972972972973E-2</v>
      </c>
      <c r="O221" s="31">
        <f>IFERROR(VLOOKUP($E221,bug_conf_sheet!$A:$H,3,FALSE),VLOOKUP("other",bug_conf_sheet!$A:$H,3,FALSE))</f>
        <v>1</v>
      </c>
      <c r="P221" s="31">
        <f>IFERROR(VLOOKUP($E221,bug_conf_sheet!$A:$H,4,FALSE),VLOOKUP("other",bug_conf_sheet!$A:$H,4,FALSE))</f>
        <v>0</v>
      </c>
      <c r="Q221" s="31">
        <f>IFERROR(VLOOKUP($E221,bug_conf_sheet!$A:$H,5,FALSE),VLOOKUP("other",bug_conf_sheet!$A:$H,5,FALSE))</f>
        <v>0</v>
      </c>
      <c r="R221" s="31">
        <f>IFERROR(VLOOKUP($E221,bug_conf_sheet!$A:$H,6,FALSE),VLOOKUP("other",bug_conf_sheet!$A:$H,6,FALSE))</f>
        <v>0</v>
      </c>
      <c r="S221" s="31">
        <f>IFERROR(VLOOKUP($E221,bug_conf_sheet!$A:$H,7,FALSE),VLOOKUP("other",bug_conf_sheet!$A:$H,7,FALSE))</f>
        <v>0</v>
      </c>
      <c r="T221" s="31">
        <f>IFERROR(VLOOKUP($E221,bug_conf_sheet!$A:$H,8,FALSE),VLOOKUP("other",bug_conf_sheet!$A:$H,8,FALSE))</f>
        <v>1</v>
      </c>
    </row>
    <row r="222" spans="1:20" ht="21" customHeight="1">
      <c r="A222" s="2" t="str">
        <f ca="1">input_313101!A$2</f>
        <v>313101</v>
      </c>
      <c r="B222" s="7" t="str">
        <f t="shared" si="12"/>
        <v>Premium5</v>
      </c>
      <c r="C222" s="7" t="str">
        <f t="shared" si="13"/>
        <v>Premium</v>
      </c>
      <c r="D222" s="7" t="str">
        <f t="shared" si="14"/>
        <v>bg</v>
      </c>
      <c r="E222" s="6">
        <v>593</v>
      </c>
      <c r="F222" s="7" t="str">
        <f>VLOOKUP(E222,[1]characters!$A:$C,3,FALSE)</f>
        <v>妄執する邪毒龍 ファフニール</v>
      </c>
      <c r="G222" s="7" t="str">
        <f>VLOOKUP(E222,[1]characters!$A:$J,10,FALSE)</f>
        <v>PremiumS</v>
      </c>
      <c r="H222" s="7">
        <f>VLOOKUP(E222,[1]characters!$A:$I,9,FALSE)</f>
        <v>5</v>
      </c>
      <c r="I222" s="7" t="str">
        <f>VLOOKUP(E222,[1]characters!$A:$H,8,FALSE)</f>
        <v>blue</v>
      </c>
      <c r="J222" s="7" t="str">
        <f>VLOOKUP(E222,[1]characters!$A:$K,11,FALSE)</f>
        <v>technical</v>
      </c>
      <c r="K222" s="7" t="str">
        <f>VLOOKUP(E222,[1]characters!$A:$M,13,FALSE)</f>
        <v>dragon</v>
      </c>
      <c r="L222" s="7" t="str">
        <f>VLOOKUP(E222,[1]characters!$A:$G,7,FALSE)</f>
        <v>不明</v>
      </c>
      <c r="M222" s="62">
        <f ca="1">IFERROR(VLOOKUP(E222,input_313101!L:R,7,FALSE),VLOOKUP(tables_313101!B222,input_313101!A:H,8,FALSE))</f>
        <v>18130</v>
      </c>
      <c r="N222" s="63">
        <f t="shared" ca="1" si="15"/>
        <v>6.4814814814814813E-4</v>
      </c>
      <c r="O222" s="31">
        <f>IFERROR(VLOOKUP($E222,bug_conf_sheet!$A:$H,3,FALSE),VLOOKUP("other",bug_conf_sheet!$A:$H,3,FALSE))</f>
        <v>1</v>
      </c>
      <c r="P222" s="31">
        <f>IFERROR(VLOOKUP($E222,bug_conf_sheet!$A:$H,4,FALSE),VLOOKUP("other",bug_conf_sheet!$A:$H,4,FALSE))</f>
        <v>0</v>
      </c>
      <c r="Q222" s="31">
        <f>IFERROR(VLOOKUP($E222,bug_conf_sheet!$A:$H,5,FALSE),VLOOKUP("other",bug_conf_sheet!$A:$H,5,FALSE))</f>
        <v>0</v>
      </c>
      <c r="R222" s="31">
        <f>IFERROR(VLOOKUP($E222,bug_conf_sheet!$A:$H,6,FALSE),VLOOKUP("other",bug_conf_sheet!$A:$H,6,FALSE))</f>
        <v>0</v>
      </c>
      <c r="S222" s="31">
        <f>IFERROR(VLOOKUP($E222,bug_conf_sheet!$A:$H,7,FALSE),VLOOKUP("other",bug_conf_sheet!$A:$H,7,FALSE))</f>
        <v>0</v>
      </c>
      <c r="T222" s="31">
        <f>IFERROR(VLOOKUP($E222,bug_conf_sheet!$A:$H,8,FALSE),VLOOKUP("other",bug_conf_sheet!$A:$H,8,FALSE))</f>
        <v>1</v>
      </c>
    </row>
    <row r="223" spans="1:20" ht="21" customHeight="1">
      <c r="A223" s="2" t="str">
        <f ca="1">input_313101!A$2</f>
        <v>313101</v>
      </c>
      <c r="B223" s="7" t="str">
        <f t="shared" si="12"/>
        <v>PremiumSSry4</v>
      </c>
      <c r="C223" s="7" t="str">
        <f t="shared" si="13"/>
        <v>PremiumSS</v>
      </c>
      <c r="D223" s="7" t="str">
        <f t="shared" si="14"/>
        <v>ry</v>
      </c>
      <c r="E223" s="6">
        <v>594</v>
      </c>
      <c r="F223" s="7" t="str">
        <f>VLOOKUP(E223,[1]characters!$A:$C,3,FALSE)</f>
        <v>アルフヘイム</v>
      </c>
      <c r="G223" s="7" t="str">
        <f>VLOOKUP(E223,[1]characters!$A:$J,10,FALSE)</f>
        <v>PremiumSS</v>
      </c>
      <c r="H223" s="7">
        <f>VLOOKUP(E223,[1]characters!$A:$I,9,FALSE)</f>
        <v>4</v>
      </c>
      <c r="I223" s="7" t="str">
        <f>VLOOKUP(E223,[1]characters!$A:$H,8,FALSE)</f>
        <v>yellow</v>
      </c>
      <c r="J223" s="7" t="str">
        <f>VLOOKUP(E223,[1]characters!$A:$K,11,FALSE)</f>
        <v>attack</v>
      </c>
      <c r="K223" s="7" t="str">
        <f>VLOOKUP(E223,[1]characters!$A:$M,13,FALSE)</f>
        <v>dragon</v>
      </c>
      <c r="L223" s="7" t="str">
        <f>VLOOKUP(E223,[1]characters!$A:$G,7,FALSE)</f>
        <v>不明</v>
      </c>
      <c r="M223" s="62">
        <f ca="1">IFERROR(VLOOKUP(E223,input_313101!L:R,7,FALSE),VLOOKUP(tables_313101!B223,input_313101!A:H,8,FALSE))</f>
        <v>53946</v>
      </c>
      <c r="N223" s="63">
        <f t="shared" ca="1" si="15"/>
        <v>1.9285714285714286E-3</v>
      </c>
      <c r="O223" s="31">
        <f>IFERROR(VLOOKUP($E223,bug_conf_sheet!$A:$H,3,FALSE),VLOOKUP("other",bug_conf_sheet!$A:$H,3,FALSE))</f>
        <v>1</v>
      </c>
      <c r="P223" s="31">
        <f>IFERROR(VLOOKUP($E223,bug_conf_sheet!$A:$H,4,FALSE),VLOOKUP("other",bug_conf_sheet!$A:$H,4,FALSE))</f>
        <v>0</v>
      </c>
      <c r="Q223" s="31">
        <f>IFERROR(VLOOKUP($E223,bug_conf_sheet!$A:$H,5,FALSE),VLOOKUP("other",bug_conf_sheet!$A:$H,5,FALSE))</f>
        <v>0</v>
      </c>
      <c r="R223" s="31">
        <f>IFERROR(VLOOKUP($E223,bug_conf_sheet!$A:$H,6,FALSE),VLOOKUP("other",bug_conf_sheet!$A:$H,6,FALSE))</f>
        <v>0</v>
      </c>
      <c r="S223" s="31">
        <f>IFERROR(VLOOKUP($E223,bug_conf_sheet!$A:$H,7,FALSE),VLOOKUP("other",bug_conf_sheet!$A:$H,7,FALSE))</f>
        <v>0</v>
      </c>
      <c r="T223" s="31">
        <f>IFERROR(VLOOKUP($E223,bug_conf_sheet!$A:$H,8,FALSE),VLOOKUP("other",bug_conf_sheet!$A:$H,8,FALSE))</f>
        <v>1</v>
      </c>
    </row>
    <row r="224" spans="1:20" ht="21" customHeight="1">
      <c r="A224" s="2" t="str">
        <f ca="1">input_313101!A$2</f>
        <v>313101</v>
      </c>
      <c r="B224" s="7" t="str">
        <f t="shared" si="12"/>
        <v>PremiumSSry5</v>
      </c>
      <c r="C224" s="7" t="str">
        <f t="shared" si="13"/>
        <v>PremiumSS</v>
      </c>
      <c r="D224" s="7" t="str">
        <f t="shared" si="14"/>
        <v>ry</v>
      </c>
      <c r="E224" s="6">
        <v>595</v>
      </c>
      <c r="F224" s="7" t="str">
        <f>VLOOKUP(E224,[1]characters!$A:$C,3,FALSE)</f>
        <v>光華なる神域 アルフヘイム</v>
      </c>
      <c r="G224" s="7" t="str">
        <f>VLOOKUP(E224,[1]characters!$A:$J,10,FALSE)</f>
        <v>PremiumSS</v>
      </c>
      <c r="H224" s="7">
        <f>VLOOKUP(E224,[1]characters!$A:$I,9,FALSE)</f>
        <v>5</v>
      </c>
      <c r="I224" s="7" t="str">
        <f>VLOOKUP(E224,[1]characters!$A:$H,8,FALSE)</f>
        <v>yellow</v>
      </c>
      <c r="J224" s="7" t="str">
        <f>VLOOKUP(E224,[1]characters!$A:$K,11,FALSE)</f>
        <v>attack</v>
      </c>
      <c r="K224" s="7" t="str">
        <f>VLOOKUP(E224,[1]characters!$A:$M,13,FALSE)</f>
        <v>dragon</v>
      </c>
      <c r="L224" s="7" t="str">
        <f>VLOOKUP(E224,[1]characters!$A:$G,7,FALSE)</f>
        <v>不明</v>
      </c>
      <c r="M224" s="62">
        <f ca="1">IFERROR(VLOOKUP(E224,input_313101!L:R,7,FALSE),VLOOKUP(tables_313101!B224,input_313101!A:H,8,FALSE))</f>
        <v>5994</v>
      </c>
      <c r="N224" s="63">
        <f t="shared" ca="1" si="15"/>
        <v>2.1428571428571427E-4</v>
      </c>
      <c r="O224" s="31">
        <f>IFERROR(VLOOKUP($E224,bug_conf_sheet!$A:$H,3,FALSE),VLOOKUP("other",bug_conf_sheet!$A:$H,3,FALSE))</f>
        <v>1</v>
      </c>
      <c r="P224" s="31">
        <f>IFERROR(VLOOKUP($E224,bug_conf_sheet!$A:$H,4,FALSE),VLOOKUP("other",bug_conf_sheet!$A:$H,4,FALSE))</f>
        <v>0</v>
      </c>
      <c r="Q224" s="31">
        <f>IFERROR(VLOOKUP($E224,bug_conf_sheet!$A:$H,5,FALSE),VLOOKUP("other",bug_conf_sheet!$A:$H,5,FALSE))</f>
        <v>0</v>
      </c>
      <c r="R224" s="31">
        <f>IFERROR(VLOOKUP($E224,bug_conf_sheet!$A:$H,6,FALSE),VLOOKUP("other",bug_conf_sheet!$A:$H,6,FALSE))</f>
        <v>0</v>
      </c>
      <c r="S224" s="31">
        <f>IFERROR(VLOOKUP($E224,bug_conf_sheet!$A:$H,7,FALSE),VLOOKUP("other",bug_conf_sheet!$A:$H,7,FALSE))</f>
        <v>0</v>
      </c>
      <c r="T224" s="31">
        <f>IFERROR(VLOOKUP($E224,bug_conf_sheet!$A:$H,8,FALSE),VLOOKUP("other",bug_conf_sheet!$A:$H,8,FALSE))</f>
        <v>1</v>
      </c>
    </row>
    <row r="225" spans="1:20" ht="21" customHeight="1">
      <c r="A225" s="2" t="str">
        <f ca="1">input_313101!A$2</f>
        <v>313101</v>
      </c>
      <c r="B225" s="7" t="str">
        <f t="shared" si="12"/>
        <v>Premium3</v>
      </c>
      <c r="C225" s="7" t="str">
        <f t="shared" si="13"/>
        <v>Premium</v>
      </c>
      <c r="D225" s="7" t="str">
        <f t="shared" si="14"/>
        <v>ry</v>
      </c>
      <c r="E225" s="6">
        <v>596</v>
      </c>
      <c r="F225" s="7" t="str">
        <f>VLOOKUP(E225,[1]characters!$A:$C,3,FALSE)</f>
        <v>ムスペルヘイム</v>
      </c>
      <c r="G225" s="7" t="str">
        <f>VLOOKUP(E225,[1]characters!$A:$J,10,FALSE)</f>
        <v>PremiumS</v>
      </c>
      <c r="H225" s="7">
        <f>VLOOKUP(E225,[1]characters!$A:$I,9,FALSE)</f>
        <v>3</v>
      </c>
      <c r="I225" s="7" t="str">
        <f>VLOOKUP(E225,[1]characters!$A:$H,8,FALSE)</f>
        <v>red</v>
      </c>
      <c r="J225" s="7" t="str">
        <f>VLOOKUP(E225,[1]characters!$A:$K,11,FALSE)</f>
        <v>balance</v>
      </c>
      <c r="K225" s="7" t="str">
        <f>VLOOKUP(E225,[1]characters!$A:$M,13,FALSE)</f>
        <v>human</v>
      </c>
      <c r="L225" s="7" t="str">
        <f>VLOOKUP(E225,[1]characters!$A:$G,7,FALSE)</f>
        <v>男性</v>
      </c>
      <c r="M225" s="62">
        <f ca="1">IFERROR(VLOOKUP(E225,input_313101!L:R,7,FALSE),VLOOKUP(tables_313101!B225,input_313101!A:H,8,FALSE))</f>
        <v>0</v>
      </c>
      <c r="N225" s="63">
        <f t="shared" ca="1" si="15"/>
        <v>0</v>
      </c>
      <c r="O225" s="31">
        <f>IFERROR(VLOOKUP($E225,bug_conf_sheet!$A:$H,3,FALSE),VLOOKUP("other",bug_conf_sheet!$A:$H,3,FALSE))</f>
        <v>1</v>
      </c>
      <c r="P225" s="31">
        <f>IFERROR(VLOOKUP($E225,bug_conf_sheet!$A:$H,4,FALSE),VLOOKUP("other",bug_conf_sheet!$A:$H,4,FALSE))</f>
        <v>0</v>
      </c>
      <c r="Q225" s="31">
        <f>IFERROR(VLOOKUP($E225,bug_conf_sheet!$A:$H,5,FALSE),VLOOKUP("other",bug_conf_sheet!$A:$H,5,FALSE))</f>
        <v>0</v>
      </c>
      <c r="R225" s="31">
        <f>IFERROR(VLOOKUP($E225,bug_conf_sheet!$A:$H,6,FALSE),VLOOKUP("other",bug_conf_sheet!$A:$H,6,FALSE))</f>
        <v>0</v>
      </c>
      <c r="S225" s="31">
        <f>IFERROR(VLOOKUP($E225,bug_conf_sheet!$A:$H,7,FALSE),VLOOKUP("other",bug_conf_sheet!$A:$H,7,FALSE))</f>
        <v>0</v>
      </c>
      <c r="T225" s="31">
        <f>IFERROR(VLOOKUP($E225,bug_conf_sheet!$A:$H,8,FALSE),VLOOKUP("other",bug_conf_sheet!$A:$H,8,FALSE))</f>
        <v>1</v>
      </c>
    </row>
    <row r="226" spans="1:20" ht="21" customHeight="1">
      <c r="A226" s="2" t="str">
        <f ca="1">input_313101!A$2</f>
        <v>313101</v>
      </c>
      <c r="B226" s="7" t="str">
        <f t="shared" si="12"/>
        <v>Premium4</v>
      </c>
      <c r="C226" s="7" t="str">
        <f t="shared" si="13"/>
        <v>Premium</v>
      </c>
      <c r="D226" s="7" t="str">
        <f t="shared" si="14"/>
        <v>ry</v>
      </c>
      <c r="E226" s="6">
        <v>597</v>
      </c>
      <c r="F226" s="7" t="str">
        <f>VLOOKUP(E226,[1]characters!$A:$C,3,FALSE)</f>
        <v>灼熱の魂 ムスペルヘイム</v>
      </c>
      <c r="G226" s="7" t="str">
        <f>VLOOKUP(E226,[1]characters!$A:$J,10,FALSE)</f>
        <v>PremiumS</v>
      </c>
      <c r="H226" s="7">
        <f>VLOOKUP(E226,[1]characters!$A:$I,9,FALSE)</f>
        <v>4</v>
      </c>
      <c r="I226" s="7" t="str">
        <f>VLOOKUP(E226,[1]characters!$A:$H,8,FALSE)</f>
        <v>red</v>
      </c>
      <c r="J226" s="7" t="str">
        <f>VLOOKUP(E226,[1]characters!$A:$K,11,FALSE)</f>
        <v>balance</v>
      </c>
      <c r="K226" s="7" t="str">
        <f>VLOOKUP(E226,[1]characters!$A:$M,13,FALSE)</f>
        <v>human</v>
      </c>
      <c r="L226" s="7" t="str">
        <f>VLOOKUP(E226,[1]characters!$A:$G,7,FALSE)</f>
        <v>男性</v>
      </c>
      <c r="M226" s="62">
        <f ca="1">IFERROR(VLOOKUP(E226,input_313101!L:R,7,FALSE),VLOOKUP(tables_313101!B226,input_313101!A:H,8,FALSE))</f>
        <v>342090</v>
      </c>
      <c r="N226" s="63">
        <f t="shared" ca="1" si="15"/>
        <v>1.222972972972973E-2</v>
      </c>
      <c r="O226" s="31">
        <f>IFERROR(VLOOKUP($E226,bug_conf_sheet!$A:$H,3,FALSE),VLOOKUP("other",bug_conf_sheet!$A:$H,3,FALSE))</f>
        <v>1</v>
      </c>
      <c r="P226" s="31">
        <f>IFERROR(VLOOKUP($E226,bug_conf_sheet!$A:$H,4,FALSE),VLOOKUP("other",bug_conf_sheet!$A:$H,4,FALSE))</f>
        <v>0</v>
      </c>
      <c r="Q226" s="31">
        <f>IFERROR(VLOOKUP($E226,bug_conf_sheet!$A:$H,5,FALSE),VLOOKUP("other",bug_conf_sheet!$A:$H,5,FALSE))</f>
        <v>0</v>
      </c>
      <c r="R226" s="31">
        <f>IFERROR(VLOOKUP($E226,bug_conf_sheet!$A:$H,6,FALSE),VLOOKUP("other",bug_conf_sheet!$A:$H,6,FALSE))</f>
        <v>0</v>
      </c>
      <c r="S226" s="31">
        <f>IFERROR(VLOOKUP($E226,bug_conf_sheet!$A:$H,7,FALSE),VLOOKUP("other",bug_conf_sheet!$A:$H,7,FALSE))</f>
        <v>0</v>
      </c>
      <c r="T226" s="31">
        <f>IFERROR(VLOOKUP($E226,bug_conf_sheet!$A:$H,8,FALSE),VLOOKUP("other",bug_conf_sheet!$A:$H,8,FALSE))</f>
        <v>1</v>
      </c>
    </row>
    <row r="227" spans="1:20" ht="21" customHeight="1">
      <c r="A227" s="2" t="str">
        <f ca="1">input_313101!A$2</f>
        <v>313101</v>
      </c>
      <c r="B227" s="7" t="str">
        <f t="shared" si="12"/>
        <v>Premium5</v>
      </c>
      <c r="C227" s="7" t="str">
        <f t="shared" si="13"/>
        <v>Premium</v>
      </c>
      <c r="D227" s="7" t="str">
        <f t="shared" si="14"/>
        <v>ry</v>
      </c>
      <c r="E227" s="6">
        <v>598</v>
      </c>
      <c r="F227" s="7" t="str">
        <f>VLOOKUP(E227,[1]characters!$A:$C,3,FALSE)</f>
        <v>焼燃の情熱 ムスペルヘイム</v>
      </c>
      <c r="G227" s="7" t="str">
        <f>VLOOKUP(E227,[1]characters!$A:$J,10,FALSE)</f>
        <v>PremiumS</v>
      </c>
      <c r="H227" s="7">
        <f>VLOOKUP(E227,[1]characters!$A:$I,9,FALSE)</f>
        <v>5</v>
      </c>
      <c r="I227" s="7" t="str">
        <f>VLOOKUP(E227,[1]characters!$A:$H,8,FALSE)</f>
        <v>red</v>
      </c>
      <c r="J227" s="7" t="str">
        <f>VLOOKUP(E227,[1]characters!$A:$K,11,FALSE)</f>
        <v>balance</v>
      </c>
      <c r="K227" s="7" t="str">
        <f>VLOOKUP(E227,[1]characters!$A:$M,13,FALSE)</f>
        <v>human</v>
      </c>
      <c r="L227" s="7" t="str">
        <f>VLOOKUP(E227,[1]characters!$A:$G,7,FALSE)</f>
        <v>男性</v>
      </c>
      <c r="M227" s="62">
        <f ca="1">IFERROR(VLOOKUP(E227,input_313101!L:R,7,FALSE),VLOOKUP(tables_313101!B227,input_313101!A:H,8,FALSE))</f>
        <v>18130</v>
      </c>
      <c r="N227" s="63">
        <f t="shared" ca="1" si="15"/>
        <v>6.4814814814814813E-4</v>
      </c>
      <c r="O227" s="31">
        <f>IFERROR(VLOOKUP($E227,bug_conf_sheet!$A:$H,3,FALSE),VLOOKUP("other",bug_conf_sheet!$A:$H,3,FALSE))</f>
        <v>1</v>
      </c>
      <c r="P227" s="31">
        <f>IFERROR(VLOOKUP($E227,bug_conf_sheet!$A:$H,4,FALSE),VLOOKUP("other",bug_conf_sheet!$A:$H,4,FALSE))</f>
        <v>0</v>
      </c>
      <c r="Q227" s="31">
        <f>IFERROR(VLOOKUP($E227,bug_conf_sheet!$A:$H,5,FALSE),VLOOKUP("other",bug_conf_sheet!$A:$H,5,FALSE))</f>
        <v>0</v>
      </c>
      <c r="R227" s="31">
        <f>IFERROR(VLOOKUP($E227,bug_conf_sheet!$A:$H,6,FALSE),VLOOKUP("other",bug_conf_sheet!$A:$H,6,FALSE))</f>
        <v>0</v>
      </c>
      <c r="S227" s="31">
        <f>IFERROR(VLOOKUP($E227,bug_conf_sheet!$A:$H,7,FALSE),VLOOKUP("other",bug_conf_sheet!$A:$H,7,FALSE))</f>
        <v>0</v>
      </c>
      <c r="T227" s="31">
        <f>IFERROR(VLOOKUP($E227,bug_conf_sheet!$A:$H,8,FALSE),VLOOKUP("other",bug_conf_sheet!$A:$H,8,FALSE))</f>
        <v>1</v>
      </c>
    </row>
    <row r="228" spans="1:20" ht="21" customHeight="1">
      <c r="A228" s="2" t="str">
        <f ca="1">input_313101!A$2</f>
        <v>313101</v>
      </c>
      <c r="B228" s="7" t="str">
        <f t="shared" si="12"/>
        <v>Premium3</v>
      </c>
      <c r="C228" s="7" t="str">
        <f t="shared" si="13"/>
        <v>Premium</v>
      </c>
      <c r="D228" s="7" t="str">
        <f t="shared" si="14"/>
        <v>bg</v>
      </c>
      <c r="E228" s="6">
        <v>599</v>
      </c>
      <c r="F228" s="7" t="str">
        <f>VLOOKUP(E228,[1]characters!$A:$C,3,FALSE)</f>
        <v>ニーズヘッグ</v>
      </c>
      <c r="G228" s="7" t="str">
        <f>VLOOKUP(E228,[1]characters!$A:$J,10,FALSE)</f>
        <v>PremiumS</v>
      </c>
      <c r="H228" s="7">
        <f>VLOOKUP(E228,[1]characters!$A:$I,9,FALSE)</f>
        <v>3</v>
      </c>
      <c r="I228" s="7" t="str">
        <f>VLOOKUP(E228,[1]characters!$A:$H,8,FALSE)</f>
        <v>green</v>
      </c>
      <c r="J228" s="7" t="str">
        <f>VLOOKUP(E228,[1]characters!$A:$K,11,FALSE)</f>
        <v>attack</v>
      </c>
      <c r="K228" s="7" t="str">
        <f>VLOOKUP(E228,[1]characters!$A:$M,13,FALSE)</f>
        <v>dragon</v>
      </c>
      <c r="L228" s="7" t="str">
        <f>VLOOKUP(E228,[1]characters!$A:$G,7,FALSE)</f>
        <v>不明</v>
      </c>
      <c r="M228" s="62">
        <f ca="1">IFERROR(VLOOKUP(E228,input_313101!L:R,7,FALSE),VLOOKUP(tables_313101!B228,input_313101!A:H,8,FALSE))</f>
        <v>0</v>
      </c>
      <c r="N228" s="63">
        <f t="shared" ca="1" si="15"/>
        <v>0</v>
      </c>
      <c r="O228" s="31">
        <f>IFERROR(VLOOKUP($E228,bug_conf_sheet!$A:$H,3,FALSE),VLOOKUP("other",bug_conf_sheet!$A:$H,3,FALSE))</f>
        <v>1</v>
      </c>
      <c r="P228" s="31">
        <f>IFERROR(VLOOKUP($E228,bug_conf_sheet!$A:$H,4,FALSE),VLOOKUP("other",bug_conf_sheet!$A:$H,4,FALSE))</f>
        <v>0</v>
      </c>
      <c r="Q228" s="31">
        <f>IFERROR(VLOOKUP($E228,bug_conf_sheet!$A:$H,5,FALSE),VLOOKUP("other",bug_conf_sheet!$A:$H,5,FALSE))</f>
        <v>0</v>
      </c>
      <c r="R228" s="31">
        <f>IFERROR(VLOOKUP($E228,bug_conf_sheet!$A:$H,6,FALSE),VLOOKUP("other",bug_conf_sheet!$A:$H,6,FALSE))</f>
        <v>0</v>
      </c>
      <c r="S228" s="31">
        <f>IFERROR(VLOOKUP($E228,bug_conf_sheet!$A:$H,7,FALSE),VLOOKUP("other",bug_conf_sheet!$A:$H,7,FALSE))</f>
        <v>0</v>
      </c>
      <c r="T228" s="31">
        <f>IFERROR(VLOOKUP($E228,bug_conf_sheet!$A:$H,8,FALSE),VLOOKUP("other",bug_conf_sheet!$A:$H,8,FALSE))</f>
        <v>1</v>
      </c>
    </row>
    <row r="229" spans="1:20" ht="21" customHeight="1">
      <c r="A229" s="2" t="str">
        <f ca="1">input_313101!A$2</f>
        <v>313101</v>
      </c>
      <c r="B229" s="7" t="str">
        <f t="shared" si="12"/>
        <v>Premium4</v>
      </c>
      <c r="C229" s="7" t="str">
        <f t="shared" si="13"/>
        <v>Premium</v>
      </c>
      <c r="D229" s="7" t="str">
        <f t="shared" si="14"/>
        <v>bg</v>
      </c>
      <c r="E229" s="6">
        <v>600</v>
      </c>
      <c r="F229" s="7" t="str">
        <f>VLOOKUP(E229,[1]characters!$A:$C,3,FALSE)</f>
        <v>界下に潜む蛇 ニーズヘッグ</v>
      </c>
      <c r="G229" s="7" t="str">
        <f>VLOOKUP(E229,[1]characters!$A:$J,10,FALSE)</f>
        <v>PremiumS</v>
      </c>
      <c r="H229" s="7">
        <f>VLOOKUP(E229,[1]characters!$A:$I,9,FALSE)</f>
        <v>4</v>
      </c>
      <c r="I229" s="7" t="str">
        <f>VLOOKUP(E229,[1]characters!$A:$H,8,FALSE)</f>
        <v>green</v>
      </c>
      <c r="J229" s="7" t="str">
        <f>VLOOKUP(E229,[1]characters!$A:$K,11,FALSE)</f>
        <v>attack</v>
      </c>
      <c r="K229" s="7" t="str">
        <f>VLOOKUP(E229,[1]characters!$A:$M,13,FALSE)</f>
        <v>dragon</v>
      </c>
      <c r="L229" s="7" t="str">
        <f>VLOOKUP(E229,[1]characters!$A:$G,7,FALSE)</f>
        <v>不明</v>
      </c>
      <c r="M229" s="62">
        <f ca="1">IFERROR(VLOOKUP(E229,input_313101!L:R,7,FALSE),VLOOKUP(tables_313101!B229,input_313101!A:H,8,FALSE))</f>
        <v>342090</v>
      </c>
      <c r="N229" s="63">
        <f t="shared" ca="1" si="15"/>
        <v>1.222972972972973E-2</v>
      </c>
      <c r="O229" s="31">
        <f>IFERROR(VLOOKUP($E229,bug_conf_sheet!$A:$H,3,FALSE),VLOOKUP("other",bug_conf_sheet!$A:$H,3,FALSE))</f>
        <v>1</v>
      </c>
      <c r="P229" s="31">
        <f>IFERROR(VLOOKUP($E229,bug_conf_sheet!$A:$H,4,FALSE),VLOOKUP("other",bug_conf_sheet!$A:$H,4,FALSE))</f>
        <v>0</v>
      </c>
      <c r="Q229" s="31">
        <f>IFERROR(VLOOKUP($E229,bug_conf_sheet!$A:$H,5,FALSE),VLOOKUP("other",bug_conf_sheet!$A:$H,5,FALSE))</f>
        <v>0</v>
      </c>
      <c r="R229" s="31">
        <f>IFERROR(VLOOKUP($E229,bug_conf_sheet!$A:$H,6,FALSE),VLOOKUP("other",bug_conf_sheet!$A:$H,6,FALSE))</f>
        <v>0</v>
      </c>
      <c r="S229" s="31">
        <f>IFERROR(VLOOKUP($E229,bug_conf_sheet!$A:$H,7,FALSE),VLOOKUP("other",bug_conf_sheet!$A:$H,7,FALSE))</f>
        <v>0</v>
      </c>
      <c r="T229" s="31">
        <f>IFERROR(VLOOKUP($E229,bug_conf_sheet!$A:$H,8,FALSE),VLOOKUP("other",bug_conf_sheet!$A:$H,8,FALSE))</f>
        <v>1</v>
      </c>
    </row>
    <row r="230" spans="1:20" ht="21" customHeight="1">
      <c r="A230" s="2" t="str">
        <f ca="1">input_313101!A$2</f>
        <v>313101</v>
      </c>
      <c r="B230" s="7" t="str">
        <f t="shared" si="12"/>
        <v>Premium5</v>
      </c>
      <c r="C230" s="7" t="str">
        <f t="shared" si="13"/>
        <v>Premium</v>
      </c>
      <c r="D230" s="7" t="str">
        <f t="shared" si="14"/>
        <v>bg</v>
      </c>
      <c r="E230" s="6">
        <v>601</v>
      </c>
      <c r="F230" s="7" t="str">
        <f>VLOOKUP(E230,[1]characters!$A:$C,3,FALSE)</f>
        <v>界根蝕む悪食 ニーズヘッグ</v>
      </c>
      <c r="G230" s="7" t="str">
        <f>VLOOKUP(E230,[1]characters!$A:$J,10,FALSE)</f>
        <v>PremiumS</v>
      </c>
      <c r="H230" s="7">
        <f>VLOOKUP(E230,[1]characters!$A:$I,9,FALSE)</f>
        <v>5</v>
      </c>
      <c r="I230" s="7" t="str">
        <f>VLOOKUP(E230,[1]characters!$A:$H,8,FALSE)</f>
        <v>green</v>
      </c>
      <c r="J230" s="7" t="str">
        <f>VLOOKUP(E230,[1]characters!$A:$K,11,FALSE)</f>
        <v>attack</v>
      </c>
      <c r="K230" s="7" t="str">
        <f>VLOOKUP(E230,[1]characters!$A:$M,13,FALSE)</f>
        <v>dragon</v>
      </c>
      <c r="L230" s="7" t="str">
        <f>VLOOKUP(E230,[1]characters!$A:$G,7,FALSE)</f>
        <v>不明</v>
      </c>
      <c r="M230" s="62">
        <f ca="1">IFERROR(VLOOKUP(E230,input_313101!L:R,7,FALSE),VLOOKUP(tables_313101!B230,input_313101!A:H,8,FALSE))</f>
        <v>18130</v>
      </c>
      <c r="N230" s="63">
        <f t="shared" ca="1" si="15"/>
        <v>6.4814814814814813E-4</v>
      </c>
      <c r="O230" s="31">
        <f>IFERROR(VLOOKUP($E230,bug_conf_sheet!$A:$H,3,FALSE),VLOOKUP("other",bug_conf_sheet!$A:$H,3,FALSE))</f>
        <v>1</v>
      </c>
      <c r="P230" s="31">
        <f>IFERROR(VLOOKUP($E230,bug_conf_sheet!$A:$H,4,FALSE),VLOOKUP("other",bug_conf_sheet!$A:$H,4,FALSE))</f>
        <v>0</v>
      </c>
      <c r="Q230" s="31">
        <f>IFERROR(VLOOKUP($E230,bug_conf_sheet!$A:$H,5,FALSE),VLOOKUP("other",bug_conf_sheet!$A:$H,5,FALSE))</f>
        <v>0</v>
      </c>
      <c r="R230" s="31">
        <f>IFERROR(VLOOKUP($E230,bug_conf_sheet!$A:$H,6,FALSE),VLOOKUP("other",bug_conf_sheet!$A:$H,6,FALSE))</f>
        <v>0</v>
      </c>
      <c r="S230" s="31">
        <f>IFERROR(VLOOKUP($E230,bug_conf_sheet!$A:$H,7,FALSE),VLOOKUP("other",bug_conf_sheet!$A:$H,7,FALSE))</f>
        <v>0</v>
      </c>
      <c r="T230" s="31">
        <f>IFERROR(VLOOKUP($E230,bug_conf_sheet!$A:$H,8,FALSE),VLOOKUP("other",bug_conf_sheet!$A:$H,8,FALSE))</f>
        <v>1</v>
      </c>
    </row>
    <row r="231" spans="1:20" ht="21" customHeight="1">
      <c r="A231" s="2" t="str">
        <f ca="1">input_313101!A$2</f>
        <v>313101</v>
      </c>
      <c r="B231" s="7" t="str">
        <f t="shared" si="12"/>
        <v>PremiumSSbg4</v>
      </c>
      <c r="C231" s="7" t="str">
        <f t="shared" si="13"/>
        <v>PremiumSS</v>
      </c>
      <c r="D231" s="7" t="str">
        <f t="shared" si="14"/>
        <v>bg</v>
      </c>
      <c r="E231" s="6">
        <v>602</v>
      </c>
      <c r="F231" s="7" t="str">
        <f>VLOOKUP(E231,[1]characters!$A:$C,3,FALSE)</f>
        <v>フレイヤ</v>
      </c>
      <c r="G231" s="7" t="str">
        <f>VLOOKUP(E231,[1]characters!$A:$J,10,FALSE)</f>
        <v>PremiumSS</v>
      </c>
      <c r="H231" s="7">
        <f>VLOOKUP(E231,[1]characters!$A:$I,9,FALSE)</f>
        <v>4</v>
      </c>
      <c r="I231" s="7" t="str">
        <f>VLOOKUP(E231,[1]characters!$A:$H,8,FALSE)</f>
        <v>blue</v>
      </c>
      <c r="J231" s="7" t="str">
        <f>VLOOKUP(E231,[1]characters!$A:$K,11,FALSE)</f>
        <v>heal</v>
      </c>
      <c r="K231" s="7" t="str">
        <f>VLOOKUP(E231,[1]characters!$A:$M,13,FALSE)</f>
        <v>animal</v>
      </c>
      <c r="L231" s="7" t="str">
        <f>VLOOKUP(E231,[1]characters!$A:$G,7,FALSE)</f>
        <v>女性</v>
      </c>
      <c r="M231" s="62">
        <f ca="1">IFERROR(VLOOKUP(E231,input_313101!L:R,7,FALSE),VLOOKUP(tables_313101!B231,input_313101!A:H,8,FALSE))</f>
        <v>41958</v>
      </c>
      <c r="N231" s="63">
        <f t="shared" ca="1" si="15"/>
        <v>1.5E-3</v>
      </c>
      <c r="O231" s="31">
        <f>IFERROR(VLOOKUP($E231,bug_conf_sheet!$A:$H,3,FALSE),VLOOKUP("other",bug_conf_sheet!$A:$H,3,FALSE))</f>
        <v>1</v>
      </c>
      <c r="P231" s="31">
        <f>IFERROR(VLOOKUP($E231,bug_conf_sheet!$A:$H,4,FALSE),VLOOKUP("other",bug_conf_sheet!$A:$H,4,FALSE))</f>
        <v>0</v>
      </c>
      <c r="Q231" s="31">
        <f>IFERROR(VLOOKUP($E231,bug_conf_sheet!$A:$H,5,FALSE),VLOOKUP("other",bug_conf_sheet!$A:$H,5,FALSE))</f>
        <v>0</v>
      </c>
      <c r="R231" s="31">
        <f>IFERROR(VLOOKUP($E231,bug_conf_sheet!$A:$H,6,FALSE),VLOOKUP("other",bug_conf_sheet!$A:$H,6,FALSE))</f>
        <v>0</v>
      </c>
      <c r="S231" s="31">
        <f>IFERROR(VLOOKUP($E231,bug_conf_sheet!$A:$H,7,FALSE),VLOOKUP("other",bug_conf_sheet!$A:$H,7,FALSE))</f>
        <v>0</v>
      </c>
      <c r="T231" s="31">
        <f>IFERROR(VLOOKUP($E231,bug_conf_sheet!$A:$H,8,FALSE),VLOOKUP("other",bug_conf_sheet!$A:$H,8,FALSE))</f>
        <v>1</v>
      </c>
    </row>
    <row r="232" spans="1:20" ht="21" customHeight="1">
      <c r="A232" s="2" t="str">
        <f ca="1">input_313101!A$2</f>
        <v>313101</v>
      </c>
      <c r="B232" s="7" t="str">
        <f t="shared" si="12"/>
        <v>PremiumSSbg5</v>
      </c>
      <c r="C232" s="7" t="str">
        <f t="shared" si="13"/>
        <v>PremiumSS</v>
      </c>
      <c r="D232" s="7" t="str">
        <f t="shared" si="14"/>
        <v>bg</v>
      </c>
      <c r="E232" s="6">
        <v>603</v>
      </c>
      <c r="F232" s="7" t="str">
        <f>VLOOKUP(E232,[1]characters!$A:$C,3,FALSE)</f>
        <v>掌愛の豊穣女神 フレイヤ</v>
      </c>
      <c r="G232" s="7" t="str">
        <f>VLOOKUP(E232,[1]characters!$A:$J,10,FALSE)</f>
        <v>PremiumSS</v>
      </c>
      <c r="H232" s="7">
        <f>VLOOKUP(E232,[1]characters!$A:$I,9,FALSE)</f>
        <v>5</v>
      </c>
      <c r="I232" s="7" t="str">
        <f>VLOOKUP(E232,[1]characters!$A:$H,8,FALSE)</f>
        <v>blue</v>
      </c>
      <c r="J232" s="7" t="str">
        <f>VLOOKUP(E232,[1]characters!$A:$K,11,FALSE)</f>
        <v>heal</v>
      </c>
      <c r="K232" s="7" t="str">
        <f>VLOOKUP(E232,[1]characters!$A:$M,13,FALSE)</f>
        <v>animal</v>
      </c>
      <c r="L232" s="7" t="str">
        <f>VLOOKUP(E232,[1]characters!$A:$G,7,FALSE)</f>
        <v>女性</v>
      </c>
      <c r="M232" s="62">
        <f ca="1">IFERROR(VLOOKUP(E232,input_313101!L:R,7,FALSE),VLOOKUP(tables_313101!B232,input_313101!A:H,8,FALSE))</f>
        <v>4662</v>
      </c>
      <c r="N232" s="63">
        <f t="shared" ca="1" si="15"/>
        <v>1.6666666666666666E-4</v>
      </c>
      <c r="O232" s="31">
        <f>IFERROR(VLOOKUP($E232,bug_conf_sheet!$A:$H,3,FALSE),VLOOKUP("other",bug_conf_sheet!$A:$H,3,FALSE))</f>
        <v>1</v>
      </c>
      <c r="P232" s="31">
        <f>IFERROR(VLOOKUP($E232,bug_conf_sheet!$A:$H,4,FALSE),VLOOKUP("other",bug_conf_sheet!$A:$H,4,FALSE))</f>
        <v>0</v>
      </c>
      <c r="Q232" s="31">
        <f>IFERROR(VLOOKUP($E232,bug_conf_sheet!$A:$H,5,FALSE),VLOOKUP("other",bug_conf_sheet!$A:$H,5,FALSE))</f>
        <v>0</v>
      </c>
      <c r="R232" s="31">
        <f>IFERROR(VLOOKUP($E232,bug_conf_sheet!$A:$H,6,FALSE),VLOOKUP("other",bug_conf_sheet!$A:$H,6,FALSE))</f>
        <v>0</v>
      </c>
      <c r="S232" s="31">
        <f>IFERROR(VLOOKUP($E232,bug_conf_sheet!$A:$H,7,FALSE),VLOOKUP("other",bug_conf_sheet!$A:$H,7,FALSE))</f>
        <v>0</v>
      </c>
      <c r="T232" s="31">
        <f>IFERROR(VLOOKUP($E232,bug_conf_sheet!$A:$H,8,FALSE),VLOOKUP("other",bug_conf_sheet!$A:$H,8,FALSE))</f>
        <v>1</v>
      </c>
    </row>
    <row r="233" spans="1:20" ht="21" customHeight="1">
      <c r="A233" s="2" t="str">
        <f ca="1">input_313101!A$2</f>
        <v>313101</v>
      </c>
      <c r="B233" s="7" t="str">
        <f t="shared" si="12"/>
        <v>Premium3</v>
      </c>
      <c r="C233" s="7" t="str">
        <f t="shared" si="13"/>
        <v>Premium</v>
      </c>
      <c r="D233" s="7" t="str">
        <f t="shared" si="14"/>
        <v>ry</v>
      </c>
      <c r="E233" s="6">
        <v>604</v>
      </c>
      <c r="F233" s="7" t="str">
        <f>VLOOKUP(E233,[1]characters!$A:$C,3,FALSE)</f>
        <v>バルドル</v>
      </c>
      <c r="G233" s="7" t="str">
        <f>VLOOKUP(E233,[1]characters!$A:$J,10,FALSE)</f>
        <v>PremiumS</v>
      </c>
      <c r="H233" s="7">
        <f>VLOOKUP(E233,[1]characters!$A:$I,9,FALSE)</f>
        <v>3</v>
      </c>
      <c r="I233" s="7" t="str">
        <f>VLOOKUP(E233,[1]characters!$A:$H,8,FALSE)</f>
        <v>yellow</v>
      </c>
      <c r="J233" s="7" t="str">
        <f>VLOOKUP(E233,[1]characters!$A:$K,11,FALSE)</f>
        <v>heal</v>
      </c>
      <c r="K233" s="7" t="str">
        <f>VLOOKUP(E233,[1]characters!$A:$M,13,FALSE)</f>
        <v>god</v>
      </c>
      <c r="L233" s="7" t="str">
        <f>VLOOKUP(E233,[1]characters!$A:$G,7,FALSE)</f>
        <v>男性</v>
      </c>
      <c r="M233" s="62">
        <f ca="1">IFERROR(VLOOKUP(E233,input_313101!L:R,7,FALSE),VLOOKUP(tables_313101!B233,input_313101!A:H,8,FALSE))</f>
        <v>0</v>
      </c>
      <c r="N233" s="63">
        <f t="shared" ca="1" si="15"/>
        <v>0</v>
      </c>
      <c r="O233" s="31">
        <f>IFERROR(VLOOKUP($E233,bug_conf_sheet!$A:$H,3,FALSE),VLOOKUP("other",bug_conf_sheet!$A:$H,3,FALSE))</f>
        <v>1</v>
      </c>
      <c r="P233" s="31">
        <f>IFERROR(VLOOKUP($E233,bug_conf_sheet!$A:$H,4,FALSE),VLOOKUP("other",bug_conf_sheet!$A:$H,4,FALSE))</f>
        <v>0</v>
      </c>
      <c r="Q233" s="31">
        <f>IFERROR(VLOOKUP($E233,bug_conf_sheet!$A:$H,5,FALSE),VLOOKUP("other",bug_conf_sheet!$A:$H,5,FALSE))</f>
        <v>0</v>
      </c>
      <c r="R233" s="31">
        <f>IFERROR(VLOOKUP($E233,bug_conf_sheet!$A:$H,6,FALSE),VLOOKUP("other",bug_conf_sheet!$A:$H,6,FALSE))</f>
        <v>0</v>
      </c>
      <c r="S233" s="31">
        <f>IFERROR(VLOOKUP($E233,bug_conf_sheet!$A:$H,7,FALSE),VLOOKUP("other",bug_conf_sheet!$A:$H,7,FALSE))</f>
        <v>0</v>
      </c>
      <c r="T233" s="31">
        <f>IFERROR(VLOOKUP($E233,bug_conf_sheet!$A:$H,8,FALSE),VLOOKUP("other",bug_conf_sheet!$A:$H,8,FALSE))</f>
        <v>1</v>
      </c>
    </row>
    <row r="234" spans="1:20" ht="21" customHeight="1">
      <c r="A234" s="2" t="str">
        <f ca="1">input_313101!A$2</f>
        <v>313101</v>
      </c>
      <c r="B234" s="7" t="str">
        <f t="shared" si="12"/>
        <v>Premium4</v>
      </c>
      <c r="C234" s="7" t="str">
        <f t="shared" si="13"/>
        <v>Premium</v>
      </c>
      <c r="D234" s="7" t="str">
        <f t="shared" si="14"/>
        <v>ry</v>
      </c>
      <c r="E234" s="6">
        <v>605</v>
      </c>
      <c r="F234" s="7" t="str">
        <f>VLOOKUP(E234,[1]characters!$A:$C,3,FALSE)</f>
        <v>祝福される光耀 バルドル</v>
      </c>
      <c r="G234" s="7" t="str">
        <f>VLOOKUP(E234,[1]characters!$A:$J,10,FALSE)</f>
        <v>PremiumS</v>
      </c>
      <c r="H234" s="7">
        <f>VLOOKUP(E234,[1]characters!$A:$I,9,FALSE)</f>
        <v>4</v>
      </c>
      <c r="I234" s="7" t="str">
        <f>VLOOKUP(E234,[1]characters!$A:$H,8,FALSE)</f>
        <v>yellow</v>
      </c>
      <c r="J234" s="7" t="str">
        <f>VLOOKUP(E234,[1]characters!$A:$K,11,FALSE)</f>
        <v>heal</v>
      </c>
      <c r="K234" s="7" t="str">
        <f>VLOOKUP(E234,[1]characters!$A:$M,13,FALSE)</f>
        <v>god</v>
      </c>
      <c r="L234" s="7" t="str">
        <f>VLOOKUP(E234,[1]characters!$A:$G,7,FALSE)</f>
        <v>男性</v>
      </c>
      <c r="M234" s="62">
        <f ca="1">IFERROR(VLOOKUP(E234,input_313101!L:R,7,FALSE),VLOOKUP(tables_313101!B234,input_313101!A:H,8,FALSE))</f>
        <v>342090</v>
      </c>
      <c r="N234" s="63">
        <f t="shared" ca="1" si="15"/>
        <v>1.222972972972973E-2</v>
      </c>
      <c r="O234" s="31">
        <f>IFERROR(VLOOKUP($E234,bug_conf_sheet!$A:$H,3,FALSE),VLOOKUP("other",bug_conf_sheet!$A:$H,3,FALSE))</f>
        <v>1</v>
      </c>
      <c r="P234" s="31">
        <f>IFERROR(VLOOKUP($E234,bug_conf_sheet!$A:$H,4,FALSE),VLOOKUP("other",bug_conf_sheet!$A:$H,4,FALSE))</f>
        <v>0</v>
      </c>
      <c r="Q234" s="31">
        <f>IFERROR(VLOOKUP($E234,bug_conf_sheet!$A:$H,5,FALSE),VLOOKUP("other",bug_conf_sheet!$A:$H,5,FALSE))</f>
        <v>0</v>
      </c>
      <c r="R234" s="31">
        <f>IFERROR(VLOOKUP($E234,bug_conf_sheet!$A:$H,6,FALSE),VLOOKUP("other",bug_conf_sheet!$A:$H,6,FALSE))</f>
        <v>0</v>
      </c>
      <c r="S234" s="31">
        <f>IFERROR(VLOOKUP($E234,bug_conf_sheet!$A:$H,7,FALSE),VLOOKUP("other",bug_conf_sheet!$A:$H,7,FALSE))</f>
        <v>0</v>
      </c>
      <c r="T234" s="31">
        <f>IFERROR(VLOOKUP($E234,bug_conf_sheet!$A:$H,8,FALSE),VLOOKUP("other",bug_conf_sheet!$A:$H,8,FALSE))</f>
        <v>1</v>
      </c>
    </row>
    <row r="235" spans="1:20" ht="21" customHeight="1">
      <c r="A235" s="2" t="str">
        <f ca="1">input_313101!A$2</f>
        <v>313101</v>
      </c>
      <c r="B235" s="7" t="str">
        <f t="shared" si="12"/>
        <v>Premium5</v>
      </c>
      <c r="C235" s="7" t="str">
        <f t="shared" si="13"/>
        <v>Premium</v>
      </c>
      <c r="D235" s="7" t="str">
        <f t="shared" si="14"/>
        <v>ry</v>
      </c>
      <c r="E235" s="6">
        <v>606</v>
      </c>
      <c r="F235" s="7" t="str">
        <f>VLOOKUP(E235,[1]characters!$A:$C,3,FALSE)</f>
        <v>冀望の光芒 バルドル</v>
      </c>
      <c r="G235" s="7" t="str">
        <f>VLOOKUP(E235,[1]characters!$A:$J,10,FALSE)</f>
        <v>PremiumS</v>
      </c>
      <c r="H235" s="7">
        <f>VLOOKUP(E235,[1]characters!$A:$I,9,FALSE)</f>
        <v>5</v>
      </c>
      <c r="I235" s="7" t="str">
        <f>VLOOKUP(E235,[1]characters!$A:$H,8,FALSE)</f>
        <v>yellow</v>
      </c>
      <c r="J235" s="7" t="str">
        <f>VLOOKUP(E235,[1]characters!$A:$K,11,FALSE)</f>
        <v>heal</v>
      </c>
      <c r="K235" s="7" t="str">
        <f>VLOOKUP(E235,[1]characters!$A:$M,13,FALSE)</f>
        <v>god</v>
      </c>
      <c r="L235" s="7" t="str">
        <f>VLOOKUP(E235,[1]characters!$A:$G,7,FALSE)</f>
        <v>男性</v>
      </c>
      <c r="M235" s="62">
        <f ca="1">IFERROR(VLOOKUP(E235,input_313101!L:R,7,FALSE),VLOOKUP(tables_313101!B235,input_313101!A:H,8,FALSE))</f>
        <v>18130</v>
      </c>
      <c r="N235" s="63">
        <f t="shared" ca="1" si="15"/>
        <v>6.4814814814814813E-4</v>
      </c>
      <c r="O235" s="31">
        <f>IFERROR(VLOOKUP($E235,bug_conf_sheet!$A:$H,3,FALSE),VLOOKUP("other",bug_conf_sheet!$A:$H,3,FALSE))</f>
        <v>1</v>
      </c>
      <c r="P235" s="31">
        <f>IFERROR(VLOOKUP($E235,bug_conf_sheet!$A:$H,4,FALSE),VLOOKUP("other",bug_conf_sheet!$A:$H,4,FALSE))</f>
        <v>0</v>
      </c>
      <c r="Q235" s="31">
        <f>IFERROR(VLOOKUP($E235,bug_conf_sheet!$A:$H,5,FALSE),VLOOKUP("other",bug_conf_sheet!$A:$H,5,FALSE))</f>
        <v>0</v>
      </c>
      <c r="R235" s="31">
        <f>IFERROR(VLOOKUP($E235,bug_conf_sheet!$A:$H,6,FALSE),VLOOKUP("other",bug_conf_sheet!$A:$H,6,FALSE))</f>
        <v>0</v>
      </c>
      <c r="S235" s="31">
        <f>IFERROR(VLOOKUP($E235,bug_conf_sheet!$A:$H,7,FALSE),VLOOKUP("other",bug_conf_sheet!$A:$H,7,FALSE))</f>
        <v>0</v>
      </c>
      <c r="T235" s="31">
        <f>IFERROR(VLOOKUP($E235,bug_conf_sheet!$A:$H,8,FALSE),VLOOKUP("other",bug_conf_sheet!$A:$H,8,FALSE))</f>
        <v>1</v>
      </c>
    </row>
    <row r="236" spans="1:20" ht="21" customHeight="1">
      <c r="A236" s="2" t="str">
        <f ca="1">input_313101!A$2</f>
        <v>313101</v>
      </c>
      <c r="B236" s="7" t="str">
        <f t="shared" si="12"/>
        <v>PremiumSSry4</v>
      </c>
      <c r="C236" s="7" t="str">
        <f t="shared" si="13"/>
        <v>PremiumSS</v>
      </c>
      <c r="D236" s="7" t="str">
        <f t="shared" si="14"/>
        <v>ry</v>
      </c>
      <c r="E236" s="6">
        <v>658</v>
      </c>
      <c r="F236" s="7" t="str">
        <f>VLOOKUP(E236,[1]characters!$A:$C,3,FALSE)</f>
        <v>猫又 クルミ</v>
      </c>
      <c r="G236" s="7" t="str">
        <f>VLOOKUP(E236,[1]characters!$A:$J,10,FALSE)</f>
        <v>PremiumSS</v>
      </c>
      <c r="H236" s="7">
        <f>VLOOKUP(E236,[1]characters!$A:$I,9,FALSE)</f>
        <v>4</v>
      </c>
      <c r="I236" s="7" t="str">
        <f>VLOOKUP(E236,[1]characters!$A:$H,8,FALSE)</f>
        <v>red</v>
      </c>
      <c r="J236" s="7" t="str">
        <f>VLOOKUP(E236,[1]characters!$A:$K,11,FALSE)</f>
        <v>attack</v>
      </c>
      <c r="K236" s="7" t="str">
        <f>VLOOKUP(E236,[1]characters!$A:$M,13,FALSE)</f>
        <v>animal</v>
      </c>
      <c r="L236" s="7" t="str">
        <f>VLOOKUP(E236,[1]characters!$A:$G,7,FALSE)</f>
        <v>女性</v>
      </c>
      <c r="M236" s="62">
        <f ca="1">IFERROR(VLOOKUP(E236,input_313101!L:R,7,FALSE),VLOOKUP(tables_313101!B236,input_313101!A:H,8,FALSE))</f>
        <v>53946</v>
      </c>
      <c r="N236" s="63">
        <f t="shared" ca="1" si="15"/>
        <v>1.9285714285714286E-3</v>
      </c>
      <c r="O236" s="31">
        <f>IFERROR(VLOOKUP($E236,bug_conf_sheet!$A:$H,3,FALSE),VLOOKUP("other",bug_conf_sheet!$A:$H,3,FALSE))</f>
        <v>1</v>
      </c>
      <c r="P236" s="31">
        <f>IFERROR(VLOOKUP($E236,bug_conf_sheet!$A:$H,4,FALSE),VLOOKUP("other",bug_conf_sheet!$A:$H,4,FALSE))</f>
        <v>0</v>
      </c>
      <c r="Q236" s="31">
        <f>IFERROR(VLOOKUP($E236,bug_conf_sheet!$A:$H,5,FALSE),VLOOKUP("other",bug_conf_sheet!$A:$H,5,FALSE))</f>
        <v>0</v>
      </c>
      <c r="R236" s="31">
        <f>IFERROR(VLOOKUP($E236,bug_conf_sheet!$A:$H,6,FALSE),VLOOKUP("other",bug_conf_sheet!$A:$H,6,FALSE))</f>
        <v>0</v>
      </c>
      <c r="S236" s="31">
        <f>IFERROR(VLOOKUP($E236,bug_conf_sheet!$A:$H,7,FALSE),VLOOKUP("other",bug_conf_sheet!$A:$H,7,FALSE))</f>
        <v>0</v>
      </c>
      <c r="T236" s="31">
        <f>IFERROR(VLOOKUP($E236,bug_conf_sheet!$A:$H,8,FALSE),VLOOKUP("other",bug_conf_sheet!$A:$H,8,FALSE))</f>
        <v>1</v>
      </c>
    </row>
    <row r="237" spans="1:20" ht="21" customHeight="1">
      <c r="A237" s="2" t="str">
        <f ca="1">input_313101!A$2</f>
        <v>313101</v>
      </c>
      <c r="B237" s="7" t="str">
        <f t="shared" si="12"/>
        <v>PremiumSSry5</v>
      </c>
      <c r="C237" s="7" t="str">
        <f t="shared" si="13"/>
        <v>PremiumSS</v>
      </c>
      <c r="D237" s="7" t="str">
        <f t="shared" si="14"/>
        <v>ry</v>
      </c>
      <c r="E237" s="6">
        <v>659</v>
      </c>
      <c r="F237" s="7" t="str">
        <f>VLOOKUP(E237,[1]characters!$A:$C,3,FALSE)</f>
        <v>跳梁する化猫 クルミ</v>
      </c>
      <c r="G237" s="7" t="str">
        <f>VLOOKUP(E237,[1]characters!$A:$J,10,FALSE)</f>
        <v>PremiumSS</v>
      </c>
      <c r="H237" s="7">
        <f>VLOOKUP(E237,[1]characters!$A:$I,9,FALSE)</f>
        <v>5</v>
      </c>
      <c r="I237" s="7" t="str">
        <f>VLOOKUP(E237,[1]characters!$A:$H,8,FALSE)</f>
        <v>red</v>
      </c>
      <c r="J237" s="7" t="str">
        <f>VLOOKUP(E237,[1]characters!$A:$K,11,FALSE)</f>
        <v>attack</v>
      </c>
      <c r="K237" s="7" t="str">
        <f>VLOOKUP(E237,[1]characters!$A:$M,13,FALSE)</f>
        <v>animal</v>
      </c>
      <c r="L237" s="7" t="str">
        <f>VLOOKUP(E237,[1]characters!$A:$G,7,FALSE)</f>
        <v>女性</v>
      </c>
      <c r="M237" s="62">
        <f ca="1">IFERROR(VLOOKUP(E237,input_313101!L:R,7,FALSE),VLOOKUP(tables_313101!B237,input_313101!A:H,8,FALSE))</f>
        <v>5994</v>
      </c>
      <c r="N237" s="63">
        <f t="shared" ca="1" si="15"/>
        <v>2.1428571428571427E-4</v>
      </c>
      <c r="O237" s="31">
        <f>IFERROR(VLOOKUP($E237,bug_conf_sheet!$A:$H,3,FALSE),VLOOKUP("other",bug_conf_sheet!$A:$H,3,FALSE))</f>
        <v>1</v>
      </c>
      <c r="P237" s="31">
        <f>IFERROR(VLOOKUP($E237,bug_conf_sheet!$A:$H,4,FALSE),VLOOKUP("other",bug_conf_sheet!$A:$H,4,FALSE))</f>
        <v>0</v>
      </c>
      <c r="Q237" s="31">
        <f>IFERROR(VLOOKUP($E237,bug_conf_sheet!$A:$H,5,FALSE),VLOOKUP("other",bug_conf_sheet!$A:$H,5,FALSE))</f>
        <v>0</v>
      </c>
      <c r="R237" s="31">
        <f>IFERROR(VLOOKUP($E237,bug_conf_sheet!$A:$H,6,FALSE),VLOOKUP("other",bug_conf_sheet!$A:$H,6,FALSE))</f>
        <v>0</v>
      </c>
      <c r="S237" s="31">
        <f>IFERROR(VLOOKUP($E237,bug_conf_sheet!$A:$H,7,FALSE),VLOOKUP("other",bug_conf_sheet!$A:$H,7,FALSE))</f>
        <v>0</v>
      </c>
      <c r="T237" s="31">
        <f>IFERROR(VLOOKUP($E237,bug_conf_sheet!$A:$H,8,FALSE),VLOOKUP("other",bug_conf_sheet!$A:$H,8,FALSE))</f>
        <v>1</v>
      </c>
    </row>
    <row r="238" spans="1:20" ht="21" customHeight="1">
      <c r="A238" s="2" t="str">
        <f ca="1">input_313101!A$2</f>
        <v>313101</v>
      </c>
      <c r="B238" s="7" t="str">
        <f t="shared" si="12"/>
        <v>PremiumSSbg4</v>
      </c>
      <c r="C238" s="7" t="str">
        <f t="shared" si="13"/>
        <v>PremiumSS</v>
      </c>
      <c r="D238" s="7" t="str">
        <f t="shared" si="14"/>
        <v>bg</v>
      </c>
      <c r="E238" s="6">
        <v>660</v>
      </c>
      <c r="F238" s="7" t="str">
        <f>VLOOKUP(E238,[1]characters!$A:$C,3,FALSE)</f>
        <v>烏天狗 フウガ</v>
      </c>
      <c r="G238" s="7" t="str">
        <f>VLOOKUP(E238,[1]characters!$A:$J,10,FALSE)</f>
        <v>PremiumSS</v>
      </c>
      <c r="H238" s="7">
        <f>VLOOKUP(E238,[1]characters!$A:$I,9,FALSE)</f>
        <v>4</v>
      </c>
      <c r="I238" s="7" t="str">
        <f>VLOOKUP(E238,[1]characters!$A:$H,8,FALSE)</f>
        <v>green</v>
      </c>
      <c r="J238" s="7" t="str">
        <f>VLOOKUP(E238,[1]characters!$A:$K,11,FALSE)</f>
        <v>balance</v>
      </c>
      <c r="K238" s="7" t="str">
        <f>VLOOKUP(E238,[1]characters!$A:$M,13,FALSE)</f>
        <v>animal</v>
      </c>
      <c r="L238" s="7" t="str">
        <f>VLOOKUP(E238,[1]characters!$A:$G,7,FALSE)</f>
        <v>男性</v>
      </c>
      <c r="M238" s="62">
        <f ca="1">IFERROR(VLOOKUP(E238,input_313101!L:R,7,FALSE),VLOOKUP(tables_313101!B238,input_313101!A:H,8,FALSE))</f>
        <v>41958</v>
      </c>
      <c r="N238" s="63">
        <f t="shared" ca="1" si="15"/>
        <v>1.5E-3</v>
      </c>
      <c r="O238" s="31">
        <f>IFERROR(VLOOKUP($E238,bug_conf_sheet!$A:$H,3,FALSE),VLOOKUP("other",bug_conf_sheet!$A:$H,3,FALSE))</f>
        <v>1</v>
      </c>
      <c r="P238" s="31">
        <f>IFERROR(VLOOKUP($E238,bug_conf_sheet!$A:$H,4,FALSE),VLOOKUP("other",bug_conf_sheet!$A:$H,4,FALSE))</f>
        <v>0</v>
      </c>
      <c r="Q238" s="31">
        <f>IFERROR(VLOOKUP($E238,bug_conf_sheet!$A:$H,5,FALSE),VLOOKUP("other",bug_conf_sheet!$A:$H,5,FALSE))</f>
        <v>0</v>
      </c>
      <c r="R238" s="31">
        <f>IFERROR(VLOOKUP($E238,bug_conf_sheet!$A:$H,6,FALSE),VLOOKUP("other",bug_conf_sheet!$A:$H,6,FALSE))</f>
        <v>0</v>
      </c>
      <c r="S238" s="31">
        <f>IFERROR(VLOOKUP($E238,bug_conf_sheet!$A:$H,7,FALSE),VLOOKUP("other",bug_conf_sheet!$A:$H,7,FALSE))</f>
        <v>0</v>
      </c>
      <c r="T238" s="31">
        <f>IFERROR(VLOOKUP($E238,bug_conf_sheet!$A:$H,8,FALSE),VLOOKUP("other",bug_conf_sheet!$A:$H,8,FALSE))</f>
        <v>1</v>
      </c>
    </row>
    <row r="239" spans="1:20" ht="21" customHeight="1">
      <c r="A239" s="2" t="str">
        <f ca="1">input_313101!A$2</f>
        <v>313101</v>
      </c>
      <c r="B239" s="7" t="str">
        <f t="shared" si="12"/>
        <v>PremiumSSbg5</v>
      </c>
      <c r="C239" s="7" t="str">
        <f t="shared" si="13"/>
        <v>PremiumSS</v>
      </c>
      <c r="D239" s="7" t="str">
        <f t="shared" si="14"/>
        <v>bg</v>
      </c>
      <c r="E239" s="6">
        <v>661</v>
      </c>
      <c r="F239" s="7" t="str">
        <f>VLOOKUP(E239,[1]characters!$A:$C,3,FALSE)</f>
        <v>疾風の天狗礫 フウガ</v>
      </c>
      <c r="G239" s="7" t="str">
        <f>VLOOKUP(E239,[1]characters!$A:$J,10,FALSE)</f>
        <v>PremiumSS</v>
      </c>
      <c r="H239" s="7">
        <f>VLOOKUP(E239,[1]characters!$A:$I,9,FALSE)</f>
        <v>5</v>
      </c>
      <c r="I239" s="7" t="str">
        <f>VLOOKUP(E239,[1]characters!$A:$H,8,FALSE)</f>
        <v>green</v>
      </c>
      <c r="J239" s="7" t="str">
        <f>VLOOKUP(E239,[1]characters!$A:$K,11,FALSE)</f>
        <v>balance</v>
      </c>
      <c r="K239" s="7" t="str">
        <f>VLOOKUP(E239,[1]characters!$A:$M,13,FALSE)</f>
        <v>animal</v>
      </c>
      <c r="L239" s="7" t="str">
        <f>VLOOKUP(E239,[1]characters!$A:$G,7,FALSE)</f>
        <v>男性</v>
      </c>
      <c r="M239" s="62">
        <f ca="1">IFERROR(VLOOKUP(E239,input_313101!L:R,7,FALSE),VLOOKUP(tables_313101!B239,input_313101!A:H,8,FALSE))</f>
        <v>4662</v>
      </c>
      <c r="N239" s="63">
        <f t="shared" ca="1" si="15"/>
        <v>1.6666666666666666E-4</v>
      </c>
      <c r="O239" s="31">
        <f>IFERROR(VLOOKUP($E239,bug_conf_sheet!$A:$H,3,FALSE),VLOOKUP("other",bug_conf_sheet!$A:$H,3,FALSE))</f>
        <v>1</v>
      </c>
      <c r="P239" s="31">
        <f>IFERROR(VLOOKUP($E239,bug_conf_sheet!$A:$H,4,FALSE),VLOOKUP("other",bug_conf_sheet!$A:$H,4,FALSE))</f>
        <v>0</v>
      </c>
      <c r="Q239" s="31">
        <f>IFERROR(VLOOKUP($E239,bug_conf_sheet!$A:$H,5,FALSE),VLOOKUP("other",bug_conf_sheet!$A:$H,5,FALSE))</f>
        <v>0</v>
      </c>
      <c r="R239" s="31">
        <f>IFERROR(VLOOKUP($E239,bug_conf_sheet!$A:$H,6,FALSE),VLOOKUP("other",bug_conf_sheet!$A:$H,6,FALSE))</f>
        <v>0</v>
      </c>
      <c r="S239" s="31">
        <f>IFERROR(VLOOKUP($E239,bug_conf_sheet!$A:$H,7,FALSE),VLOOKUP("other",bug_conf_sheet!$A:$H,7,FALSE))</f>
        <v>0</v>
      </c>
      <c r="T239" s="31">
        <f>IFERROR(VLOOKUP($E239,bug_conf_sheet!$A:$H,8,FALSE),VLOOKUP("other",bug_conf_sheet!$A:$H,8,FALSE))</f>
        <v>1</v>
      </c>
    </row>
    <row r="240" spans="1:20" ht="21" customHeight="1">
      <c r="A240" s="2" t="str">
        <f ca="1">input_313101!A$2</f>
        <v>313101</v>
      </c>
      <c r="B240" s="7" t="str">
        <f t="shared" si="12"/>
        <v>Premium3</v>
      </c>
      <c r="C240" s="7" t="str">
        <f t="shared" si="13"/>
        <v>Premium</v>
      </c>
      <c r="D240" s="7" t="str">
        <f t="shared" si="14"/>
        <v>bg</v>
      </c>
      <c r="E240" s="6">
        <v>662</v>
      </c>
      <c r="F240" s="7" t="str">
        <f>VLOOKUP(E240,[1]characters!$A:$C,3,FALSE)</f>
        <v>ダイダラ</v>
      </c>
      <c r="G240" s="7" t="str">
        <f>VLOOKUP(E240,[1]characters!$A:$J,10,FALSE)</f>
        <v>PremiumS</v>
      </c>
      <c r="H240" s="7">
        <f>VLOOKUP(E240,[1]characters!$A:$I,9,FALSE)</f>
        <v>3</v>
      </c>
      <c r="I240" s="7" t="str">
        <f>VLOOKUP(E240,[1]characters!$A:$H,8,FALSE)</f>
        <v>blue</v>
      </c>
      <c r="J240" s="7" t="str">
        <f>VLOOKUP(E240,[1]characters!$A:$K,11,FALSE)</f>
        <v>hp</v>
      </c>
      <c r="K240" s="7" t="str">
        <f>VLOOKUP(E240,[1]characters!$A:$M,13,FALSE)</f>
        <v>unknown</v>
      </c>
      <c r="L240" s="7" t="str">
        <f>VLOOKUP(E240,[1]characters!$A:$G,7,FALSE)</f>
        <v>不明</v>
      </c>
      <c r="M240" s="62">
        <f ca="1">IFERROR(VLOOKUP(E240,input_313101!L:R,7,FALSE),VLOOKUP(tables_313101!B240,input_313101!A:H,8,FALSE))</f>
        <v>0</v>
      </c>
      <c r="N240" s="63">
        <f t="shared" ca="1" si="15"/>
        <v>0</v>
      </c>
      <c r="O240" s="31">
        <f>IFERROR(VLOOKUP($E240,bug_conf_sheet!$A:$H,3,FALSE),VLOOKUP("other",bug_conf_sheet!$A:$H,3,FALSE))</f>
        <v>1</v>
      </c>
      <c r="P240" s="31">
        <f>IFERROR(VLOOKUP($E240,bug_conf_sheet!$A:$H,4,FALSE),VLOOKUP("other",bug_conf_sheet!$A:$H,4,FALSE))</f>
        <v>0</v>
      </c>
      <c r="Q240" s="31">
        <f>IFERROR(VLOOKUP($E240,bug_conf_sheet!$A:$H,5,FALSE),VLOOKUP("other",bug_conf_sheet!$A:$H,5,FALSE))</f>
        <v>0</v>
      </c>
      <c r="R240" s="31">
        <f>IFERROR(VLOOKUP($E240,bug_conf_sheet!$A:$H,6,FALSE),VLOOKUP("other",bug_conf_sheet!$A:$H,6,FALSE))</f>
        <v>0</v>
      </c>
      <c r="S240" s="31">
        <f>IFERROR(VLOOKUP($E240,bug_conf_sheet!$A:$H,7,FALSE),VLOOKUP("other",bug_conf_sheet!$A:$H,7,FALSE))</f>
        <v>0</v>
      </c>
      <c r="T240" s="31">
        <f>IFERROR(VLOOKUP($E240,bug_conf_sheet!$A:$H,8,FALSE),VLOOKUP("other",bug_conf_sheet!$A:$H,8,FALSE))</f>
        <v>1</v>
      </c>
    </row>
    <row r="241" spans="1:20" ht="21" customHeight="1">
      <c r="A241" s="2" t="str">
        <f ca="1">input_313101!A$2</f>
        <v>313101</v>
      </c>
      <c r="B241" s="7" t="str">
        <f t="shared" si="12"/>
        <v>Premium4</v>
      </c>
      <c r="C241" s="7" t="str">
        <f t="shared" si="13"/>
        <v>Premium</v>
      </c>
      <c r="D241" s="7" t="str">
        <f t="shared" si="14"/>
        <v>bg</v>
      </c>
      <c r="E241" s="6">
        <v>663</v>
      </c>
      <c r="F241" s="7" t="str">
        <f>VLOOKUP(E241,[1]characters!$A:$C,3,FALSE)</f>
        <v>都揺らす地響き ダイダラ</v>
      </c>
      <c r="G241" s="7" t="str">
        <f>VLOOKUP(E241,[1]characters!$A:$J,10,FALSE)</f>
        <v>PremiumS</v>
      </c>
      <c r="H241" s="7">
        <f>VLOOKUP(E241,[1]characters!$A:$I,9,FALSE)</f>
        <v>4</v>
      </c>
      <c r="I241" s="7" t="str">
        <f>VLOOKUP(E241,[1]characters!$A:$H,8,FALSE)</f>
        <v>blue</v>
      </c>
      <c r="J241" s="7" t="str">
        <f>VLOOKUP(E241,[1]characters!$A:$K,11,FALSE)</f>
        <v>hp</v>
      </c>
      <c r="K241" s="7" t="str">
        <f>VLOOKUP(E241,[1]characters!$A:$M,13,FALSE)</f>
        <v>unknown</v>
      </c>
      <c r="L241" s="7" t="str">
        <f>VLOOKUP(E241,[1]characters!$A:$G,7,FALSE)</f>
        <v>不明</v>
      </c>
      <c r="M241" s="62">
        <f ca="1">IFERROR(VLOOKUP(E241,input_313101!L:R,7,FALSE),VLOOKUP(tables_313101!B241,input_313101!A:H,8,FALSE))</f>
        <v>342090</v>
      </c>
      <c r="N241" s="63">
        <f t="shared" ca="1" si="15"/>
        <v>1.222972972972973E-2</v>
      </c>
      <c r="O241" s="31">
        <f>IFERROR(VLOOKUP($E241,bug_conf_sheet!$A:$H,3,FALSE),VLOOKUP("other",bug_conf_sheet!$A:$H,3,FALSE))</f>
        <v>1</v>
      </c>
      <c r="P241" s="31">
        <f>IFERROR(VLOOKUP($E241,bug_conf_sheet!$A:$H,4,FALSE),VLOOKUP("other",bug_conf_sheet!$A:$H,4,FALSE))</f>
        <v>0</v>
      </c>
      <c r="Q241" s="31">
        <f>IFERROR(VLOOKUP($E241,bug_conf_sheet!$A:$H,5,FALSE),VLOOKUP("other",bug_conf_sheet!$A:$H,5,FALSE))</f>
        <v>0</v>
      </c>
      <c r="R241" s="31">
        <f>IFERROR(VLOOKUP($E241,bug_conf_sheet!$A:$H,6,FALSE),VLOOKUP("other",bug_conf_sheet!$A:$H,6,FALSE))</f>
        <v>0</v>
      </c>
      <c r="S241" s="31">
        <f>IFERROR(VLOOKUP($E241,bug_conf_sheet!$A:$H,7,FALSE),VLOOKUP("other",bug_conf_sheet!$A:$H,7,FALSE))</f>
        <v>0</v>
      </c>
      <c r="T241" s="31">
        <f>IFERROR(VLOOKUP($E241,bug_conf_sheet!$A:$H,8,FALSE),VLOOKUP("other",bug_conf_sheet!$A:$H,8,FALSE))</f>
        <v>1</v>
      </c>
    </row>
    <row r="242" spans="1:20" ht="21" customHeight="1">
      <c r="A242" s="2" t="str">
        <f ca="1">input_313101!A$2</f>
        <v>313101</v>
      </c>
      <c r="B242" s="7" t="str">
        <f t="shared" si="12"/>
        <v>Premium5</v>
      </c>
      <c r="C242" s="7" t="str">
        <f t="shared" si="13"/>
        <v>Premium</v>
      </c>
      <c r="D242" s="7" t="str">
        <f t="shared" si="14"/>
        <v>bg</v>
      </c>
      <c r="E242" s="6">
        <v>664</v>
      </c>
      <c r="F242" s="7" t="str">
        <f>VLOOKUP(E242,[1]characters!$A:$C,3,FALSE)</f>
        <v>山掴み国造り ダイダラ</v>
      </c>
      <c r="G242" s="7" t="str">
        <f>VLOOKUP(E242,[1]characters!$A:$J,10,FALSE)</f>
        <v>PremiumS</v>
      </c>
      <c r="H242" s="7">
        <f>VLOOKUP(E242,[1]characters!$A:$I,9,FALSE)</f>
        <v>5</v>
      </c>
      <c r="I242" s="7" t="str">
        <f>VLOOKUP(E242,[1]characters!$A:$H,8,FALSE)</f>
        <v>blue</v>
      </c>
      <c r="J242" s="7" t="str">
        <f>VLOOKUP(E242,[1]characters!$A:$K,11,FALSE)</f>
        <v>hp</v>
      </c>
      <c r="K242" s="7" t="str">
        <f>VLOOKUP(E242,[1]characters!$A:$M,13,FALSE)</f>
        <v>unknown</v>
      </c>
      <c r="L242" s="7" t="str">
        <f>VLOOKUP(E242,[1]characters!$A:$G,7,FALSE)</f>
        <v>不明</v>
      </c>
      <c r="M242" s="62">
        <f ca="1">IFERROR(VLOOKUP(E242,input_313101!L:R,7,FALSE),VLOOKUP(tables_313101!B242,input_313101!A:H,8,FALSE))</f>
        <v>18130</v>
      </c>
      <c r="N242" s="63">
        <f t="shared" ca="1" si="15"/>
        <v>6.4814814814814813E-4</v>
      </c>
      <c r="O242" s="31">
        <f>IFERROR(VLOOKUP($E242,bug_conf_sheet!$A:$H,3,FALSE),VLOOKUP("other",bug_conf_sheet!$A:$H,3,FALSE))</f>
        <v>1</v>
      </c>
      <c r="P242" s="31">
        <f>IFERROR(VLOOKUP($E242,bug_conf_sheet!$A:$H,4,FALSE),VLOOKUP("other",bug_conf_sheet!$A:$H,4,FALSE))</f>
        <v>0</v>
      </c>
      <c r="Q242" s="31">
        <f>IFERROR(VLOOKUP($E242,bug_conf_sheet!$A:$H,5,FALSE),VLOOKUP("other",bug_conf_sheet!$A:$H,5,FALSE))</f>
        <v>0</v>
      </c>
      <c r="R242" s="31">
        <f>IFERROR(VLOOKUP($E242,bug_conf_sheet!$A:$H,6,FALSE),VLOOKUP("other",bug_conf_sheet!$A:$H,6,FALSE))</f>
        <v>0</v>
      </c>
      <c r="S242" s="31">
        <f>IFERROR(VLOOKUP($E242,bug_conf_sheet!$A:$H,7,FALSE),VLOOKUP("other",bug_conf_sheet!$A:$H,7,FALSE))</f>
        <v>0</v>
      </c>
      <c r="T242" s="31">
        <f>IFERROR(VLOOKUP($E242,bug_conf_sheet!$A:$H,8,FALSE),VLOOKUP("other",bug_conf_sheet!$A:$H,8,FALSE))</f>
        <v>1</v>
      </c>
    </row>
    <row r="243" spans="1:20" ht="21" customHeight="1">
      <c r="A243" s="2" t="str">
        <f ca="1">input_313101!A$2</f>
        <v>313101</v>
      </c>
      <c r="B243" s="7" t="str">
        <f t="shared" si="12"/>
        <v>Premium3</v>
      </c>
      <c r="C243" s="7" t="str">
        <f t="shared" si="13"/>
        <v>Premium</v>
      </c>
      <c r="D243" s="7" t="str">
        <f t="shared" si="14"/>
        <v>ry</v>
      </c>
      <c r="E243" s="6">
        <v>665</v>
      </c>
      <c r="F243" s="7" t="str">
        <f>VLOOKUP(E243,[1]characters!$A:$C,3,FALSE)</f>
        <v>座敷童子 テマリ</v>
      </c>
      <c r="G243" s="7" t="str">
        <f>VLOOKUP(E243,[1]characters!$A:$J,10,FALSE)</f>
        <v>PremiumS</v>
      </c>
      <c r="H243" s="7">
        <f>VLOOKUP(E243,[1]characters!$A:$I,9,FALSE)</f>
        <v>3</v>
      </c>
      <c r="I243" s="7" t="str">
        <f>VLOOKUP(E243,[1]characters!$A:$H,8,FALSE)</f>
        <v>yellow</v>
      </c>
      <c r="J243" s="7" t="str">
        <f>VLOOKUP(E243,[1]characters!$A:$K,11,FALSE)</f>
        <v>balance</v>
      </c>
      <c r="K243" s="7" t="str">
        <f>VLOOKUP(E243,[1]characters!$A:$M,13,FALSE)</f>
        <v>unknown</v>
      </c>
      <c r="L243" s="7" t="str">
        <f>VLOOKUP(E243,[1]characters!$A:$G,7,FALSE)</f>
        <v>女性</v>
      </c>
      <c r="M243" s="62">
        <f ca="1">IFERROR(VLOOKUP(E243,input_313101!L:R,7,FALSE),VLOOKUP(tables_313101!B243,input_313101!A:H,8,FALSE))</f>
        <v>0</v>
      </c>
      <c r="N243" s="63">
        <f t="shared" ca="1" si="15"/>
        <v>0</v>
      </c>
      <c r="O243" s="31">
        <f>IFERROR(VLOOKUP($E243,bug_conf_sheet!$A:$H,3,FALSE),VLOOKUP("other",bug_conf_sheet!$A:$H,3,FALSE))</f>
        <v>1</v>
      </c>
      <c r="P243" s="31">
        <f>IFERROR(VLOOKUP($E243,bug_conf_sheet!$A:$H,4,FALSE),VLOOKUP("other",bug_conf_sheet!$A:$H,4,FALSE))</f>
        <v>0</v>
      </c>
      <c r="Q243" s="31">
        <f>IFERROR(VLOOKUP($E243,bug_conf_sheet!$A:$H,5,FALSE),VLOOKUP("other",bug_conf_sheet!$A:$H,5,FALSE))</f>
        <v>0</v>
      </c>
      <c r="R243" s="31">
        <f>IFERROR(VLOOKUP($E243,bug_conf_sheet!$A:$H,6,FALSE),VLOOKUP("other",bug_conf_sheet!$A:$H,6,FALSE))</f>
        <v>0</v>
      </c>
      <c r="S243" s="31">
        <f>IFERROR(VLOOKUP($E243,bug_conf_sheet!$A:$H,7,FALSE),VLOOKUP("other",bug_conf_sheet!$A:$H,7,FALSE))</f>
        <v>0</v>
      </c>
      <c r="T243" s="31">
        <f>IFERROR(VLOOKUP($E243,bug_conf_sheet!$A:$H,8,FALSE),VLOOKUP("other",bug_conf_sheet!$A:$H,8,FALSE))</f>
        <v>1</v>
      </c>
    </row>
    <row r="244" spans="1:20" ht="21" customHeight="1">
      <c r="A244" s="2" t="str">
        <f ca="1">input_313101!A$2</f>
        <v>313101</v>
      </c>
      <c r="B244" s="7" t="str">
        <f t="shared" si="12"/>
        <v>Premium4</v>
      </c>
      <c r="C244" s="7" t="str">
        <f t="shared" si="13"/>
        <v>Premium</v>
      </c>
      <c r="D244" s="7" t="str">
        <f t="shared" si="14"/>
        <v>ry</v>
      </c>
      <c r="E244" s="6">
        <v>666</v>
      </c>
      <c r="F244" s="7" t="str">
        <f>VLOOKUP(E244,[1]characters!$A:$C,3,FALSE)</f>
        <v>拡散する幸福 テマリ</v>
      </c>
      <c r="G244" s="7" t="str">
        <f>VLOOKUP(E244,[1]characters!$A:$J,10,FALSE)</f>
        <v>PremiumS</v>
      </c>
      <c r="H244" s="7">
        <f>VLOOKUP(E244,[1]characters!$A:$I,9,FALSE)</f>
        <v>4</v>
      </c>
      <c r="I244" s="7" t="str">
        <f>VLOOKUP(E244,[1]characters!$A:$H,8,FALSE)</f>
        <v>yellow</v>
      </c>
      <c r="J244" s="7" t="str">
        <f>VLOOKUP(E244,[1]characters!$A:$K,11,FALSE)</f>
        <v>balance</v>
      </c>
      <c r="K244" s="7" t="str">
        <f>VLOOKUP(E244,[1]characters!$A:$M,13,FALSE)</f>
        <v>unknown</v>
      </c>
      <c r="L244" s="7" t="str">
        <f>VLOOKUP(E244,[1]characters!$A:$G,7,FALSE)</f>
        <v>女性</v>
      </c>
      <c r="M244" s="62">
        <f ca="1">IFERROR(VLOOKUP(E244,input_313101!L:R,7,FALSE),VLOOKUP(tables_313101!B244,input_313101!A:H,8,FALSE))</f>
        <v>342090</v>
      </c>
      <c r="N244" s="63">
        <f t="shared" ca="1" si="15"/>
        <v>1.222972972972973E-2</v>
      </c>
      <c r="O244" s="31">
        <f>IFERROR(VLOOKUP($E244,bug_conf_sheet!$A:$H,3,FALSE),VLOOKUP("other",bug_conf_sheet!$A:$H,3,FALSE))</f>
        <v>1</v>
      </c>
      <c r="P244" s="31">
        <f>IFERROR(VLOOKUP($E244,bug_conf_sheet!$A:$H,4,FALSE),VLOOKUP("other",bug_conf_sheet!$A:$H,4,FALSE))</f>
        <v>0</v>
      </c>
      <c r="Q244" s="31">
        <f>IFERROR(VLOOKUP($E244,bug_conf_sheet!$A:$H,5,FALSE),VLOOKUP("other",bug_conf_sheet!$A:$H,5,FALSE))</f>
        <v>0</v>
      </c>
      <c r="R244" s="31">
        <f>IFERROR(VLOOKUP($E244,bug_conf_sheet!$A:$H,6,FALSE),VLOOKUP("other",bug_conf_sheet!$A:$H,6,FALSE))</f>
        <v>0</v>
      </c>
      <c r="S244" s="31">
        <f>IFERROR(VLOOKUP($E244,bug_conf_sheet!$A:$H,7,FALSE),VLOOKUP("other",bug_conf_sheet!$A:$H,7,FALSE))</f>
        <v>0</v>
      </c>
      <c r="T244" s="31">
        <f>IFERROR(VLOOKUP($E244,bug_conf_sheet!$A:$H,8,FALSE),VLOOKUP("other",bug_conf_sheet!$A:$H,8,FALSE))</f>
        <v>1</v>
      </c>
    </row>
    <row r="245" spans="1:20" ht="21" customHeight="1">
      <c r="A245" s="2" t="str">
        <f ca="1">input_313101!A$2</f>
        <v>313101</v>
      </c>
      <c r="B245" s="7" t="str">
        <f t="shared" si="12"/>
        <v>Premium5</v>
      </c>
      <c r="C245" s="7" t="str">
        <f t="shared" si="13"/>
        <v>Premium</v>
      </c>
      <c r="D245" s="7" t="str">
        <f t="shared" si="14"/>
        <v>ry</v>
      </c>
      <c r="E245" s="6">
        <v>667</v>
      </c>
      <c r="F245" s="7" t="str">
        <f>VLOOKUP(E245,[1]characters!$A:$C,3,FALSE)</f>
        <v>最幸運の妖童 テマリ</v>
      </c>
      <c r="G245" s="7" t="str">
        <f>VLOOKUP(E245,[1]characters!$A:$J,10,FALSE)</f>
        <v>PremiumS</v>
      </c>
      <c r="H245" s="7">
        <f>VLOOKUP(E245,[1]characters!$A:$I,9,FALSE)</f>
        <v>5</v>
      </c>
      <c r="I245" s="7" t="str">
        <f>VLOOKUP(E245,[1]characters!$A:$H,8,FALSE)</f>
        <v>yellow</v>
      </c>
      <c r="J245" s="7" t="str">
        <f>VLOOKUP(E245,[1]characters!$A:$K,11,FALSE)</f>
        <v>balance</v>
      </c>
      <c r="K245" s="7" t="str">
        <f>VLOOKUP(E245,[1]characters!$A:$M,13,FALSE)</f>
        <v>unknown</v>
      </c>
      <c r="L245" s="7" t="str">
        <f>VLOOKUP(E245,[1]characters!$A:$G,7,FALSE)</f>
        <v>女性</v>
      </c>
      <c r="M245" s="62">
        <f ca="1">IFERROR(VLOOKUP(E245,input_313101!L:R,7,FALSE),VLOOKUP(tables_313101!B245,input_313101!A:H,8,FALSE))</f>
        <v>18130</v>
      </c>
      <c r="N245" s="63">
        <f t="shared" ca="1" si="15"/>
        <v>6.4814814814814813E-4</v>
      </c>
      <c r="O245" s="31">
        <f>IFERROR(VLOOKUP($E245,bug_conf_sheet!$A:$H,3,FALSE),VLOOKUP("other",bug_conf_sheet!$A:$H,3,FALSE))</f>
        <v>1</v>
      </c>
      <c r="P245" s="31">
        <f>IFERROR(VLOOKUP($E245,bug_conf_sheet!$A:$H,4,FALSE),VLOOKUP("other",bug_conf_sheet!$A:$H,4,FALSE))</f>
        <v>0</v>
      </c>
      <c r="Q245" s="31">
        <f>IFERROR(VLOOKUP($E245,bug_conf_sheet!$A:$H,5,FALSE),VLOOKUP("other",bug_conf_sheet!$A:$H,5,FALSE))</f>
        <v>0</v>
      </c>
      <c r="R245" s="31">
        <f>IFERROR(VLOOKUP($E245,bug_conf_sheet!$A:$H,6,FALSE),VLOOKUP("other",bug_conf_sheet!$A:$H,6,FALSE))</f>
        <v>0</v>
      </c>
      <c r="S245" s="31">
        <f>IFERROR(VLOOKUP($E245,bug_conf_sheet!$A:$H,7,FALSE),VLOOKUP("other",bug_conf_sheet!$A:$H,7,FALSE))</f>
        <v>0</v>
      </c>
      <c r="T245" s="31">
        <f>IFERROR(VLOOKUP($E245,bug_conf_sheet!$A:$H,8,FALSE),VLOOKUP("other",bug_conf_sheet!$A:$H,8,FALSE))</f>
        <v>1</v>
      </c>
    </row>
    <row r="246" spans="1:20" ht="21" customHeight="1">
      <c r="A246" s="2" t="str">
        <f ca="1">input_313101!A$2</f>
        <v>313101</v>
      </c>
      <c r="B246" s="7" t="str">
        <f t="shared" si="12"/>
        <v>PremiumSSSry5</v>
      </c>
      <c r="C246" s="7" t="str">
        <f t="shared" si="13"/>
        <v>PremiumSSS</v>
      </c>
      <c r="D246" s="7" t="str">
        <f t="shared" si="14"/>
        <v>ry</v>
      </c>
      <c r="E246" s="6">
        <v>486</v>
      </c>
      <c r="F246" s="7" t="str">
        <f>VLOOKUP(E246,[1]characters!$A:$C,3,FALSE)</f>
        <v>重なる世解 シュレディンガー</v>
      </c>
      <c r="G246" s="7" t="str">
        <f>VLOOKUP(E246,[1]characters!$A:$J,10,FALSE)</f>
        <v>PremiumSSS</v>
      </c>
      <c r="H246" s="7">
        <f>VLOOKUP(E246,[1]characters!$A:$I,9,FALSE)</f>
        <v>5</v>
      </c>
      <c r="I246" s="7" t="str">
        <f>VLOOKUP(E246,[1]characters!$A:$H,8,FALSE)</f>
        <v>red</v>
      </c>
      <c r="J246" s="7" t="str">
        <f>VLOOKUP(E246,[1]characters!$A:$K,11,FALSE)</f>
        <v>balance</v>
      </c>
      <c r="K246" s="7" t="str">
        <f>VLOOKUP(E246,[1]characters!$A:$M,13,FALSE)</f>
        <v>animal</v>
      </c>
      <c r="L246" s="7" t="str">
        <f>VLOOKUP(E246,[1]characters!$A:$G,7,FALSE)</f>
        <v>男性</v>
      </c>
      <c r="M246" s="62">
        <f ca="1">IFERROR(VLOOKUP(E246,input_313101!L:R,7,FALSE),VLOOKUP(tables_313101!B246,input_313101!A:H,8,FALSE))</f>
        <v>104895</v>
      </c>
      <c r="N246" s="63">
        <f t="shared" ca="1" si="15"/>
        <v>3.7499999999999999E-3</v>
      </c>
      <c r="O246" s="31">
        <f>IFERROR(VLOOKUP($E246,bug_conf_sheet!$A:$H,3,FALSE),VLOOKUP("other",bug_conf_sheet!$A:$H,3,FALSE))</f>
        <v>1</v>
      </c>
      <c r="P246" s="31">
        <f>IFERROR(VLOOKUP($E246,bug_conf_sheet!$A:$H,4,FALSE),VLOOKUP("other",bug_conf_sheet!$A:$H,4,FALSE))</f>
        <v>0</v>
      </c>
      <c r="Q246" s="31">
        <f>IFERROR(VLOOKUP($E246,bug_conf_sheet!$A:$H,5,FALSE),VLOOKUP("other",bug_conf_sheet!$A:$H,5,FALSE))</f>
        <v>0</v>
      </c>
      <c r="R246" s="31">
        <f>IFERROR(VLOOKUP($E246,bug_conf_sheet!$A:$H,6,FALSE),VLOOKUP("other",bug_conf_sheet!$A:$H,6,FALSE))</f>
        <v>0</v>
      </c>
      <c r="S246" s="31">
        <f>IFERROR(VLOOKUP($E246,bug_conf_sheet!$A:$H,7,FALSE),VLOOKUP("other",bug_conf_sheet!$A:$H,7,FALSE))</f>
        <v>0</v>
      </c>
      <c r="T246" s="31">
        <f>IFERROR(VLOOKUP($E246,bug_conf_sheet!$A:$H,8,FALSE),VLOOKUP("other",bug_conf_sheet!$A:$H,8,FALSE))</f>
        <v>1</v>
      </c>
    </row>
    <row r="247" spans="1:20" ht="21" customHeight="1">
      <c r="A247" s="2" t="str">
        <f ca="1">input_313101!A$2</f>
        <v>313101</v>
      </c>
      <c r="B247" s="7" t="str">
        <f t="shared" si="12"/>
        <v>PremiumSSSbg5</v>
      </c>
      <c r="C247" s="7" t="str">
        <f t="shared" si="13"/>
        <v>PremiumSSS</v>
      </c>
      <c r="D247" s="7" t="str">
        <f t="shared" si="14"/>
        <v>bg</v>
      </c>
      <c r="E247" s="6">
        <v>487</v>
      </c>
      <c r="F247" s="7" t="str">
        <f>VLOOKUP(E247,[1]characters!$A:$C,3,FALSE)</f>
        <v>暴創の造物 チューリング</v>
      </c>
      <c r="G247" s="7" t="str">
        <f>VLOOKUP(E247,[1]characters!$A:$J,10,FALSE)</f>
        <v>PremiumSSS</v>
      </c>
      <c r="H247" s="7">
        <f>VLOOKUP(E247,[1]characters!$A:$I,9,FALSE)</f>
        <v>5</v>
      </c>
      <c r="I247" s="7" t="str">
        <f>VLOOKUP(E247,[1]characters!$A:$H,8,FALSE)</f>
        <v>green</v>
      </c>
      <c r="J247" s="7" t="str">
        <f>VLOOKUP(E247,[1]characters!$A:$K,11,FALSE)</f>
        <v>hp</v>
      </c>
      <c r="K247" s="7" t="str">
        <f>VLOOKUP(E247,[1]characters!$A:$M,13,FALSE)</f>
        <v>human</v>
      </c>
      <c r="L247" s="7" t="str">
        <f>VLOOKUP(E247,[1]characters!$A:$G,7,FALSE)</f>
        <v>女性</v>
      </c>
      <c r="M247" s="62">
        <f ca="1">IFERROR(VLOOKUP(E247,input_313101!L:R,7,FALSE),VLOOKUP(tables_313101!B247,input_313101!A:H,8,FALSE))</f>
        <v>34965</v>
      </c>
      <c r="N247" s="63">
        <f t="shared" ca="1" si="15"/>
        <v>1.25E-3</v>
      </c>
      <c r="O247" s="31">
        <f>IFERROR(VLOOKUP($E247,bug_conf_sheet!$A:$H,3,FALSE),VLOOKUP("other",bug_conf_sheet!$A:$H,3,FALSE))</f>
        <v>1</v>
      </c>
      <c r="P247" s="31">
        <f>IFERROR(VLOOKUP($E247,bug_conf_sheet!$A:$H,4,FALSE),VLOOKUP("other",bug_conf_sheet!$A:$H,4,FALSE))</f>
        <v>0</v>
      </c>
      <c r="Q247" s="31">
        <f>IFERROR(VLOOKUP($E247,bug_conf_sheet!$A:$H,5,FALSE),VLOOKUP("other",bug_conf_sheet!$A:$H,5,FALSE))</f>
        <v>0</v>
      </c>
      <c r="R247" s="31">
        <f>IFERROR(VLOOKUP($E247,bug_conf_sheet!$A:$H,6,FALSE),VLOOKUP("other",bug_conf_sheet!$A:$H,6,FALSE))</f>
        <v>0</v>
      </c>
      <c r="S247" s="31">
        <f>IFERROR(VLOOKUP($E247,bug_conf_sheet!$A:$H,7,FALSE),VLOOKUP("other",bug_conf_sheet!$A:$H,7,FALSE))</f>
        <v>0</v>
      </c>
      <c r="T247" s="31">
        <f>IFERROR(VLOOKUP($E247,bug_conf_sheet!$A:$H,8,FALSE),VLOOKUP("other",bug_conf_sheet!$A:$H,8,FALSE))</f>
        <v>1</v>
      </c>
    </row>
    <row r="248" spans="1:20" ht="21" customHeight="1">
      <c r="A248" s="2" t="str">
        <f ca="1">input_313101!A$2</f>
        <v>313101</v>
      </c>
      <c r="B248" s="7" t="str">
        <f t="shared" si="12"/>
        <v>PremiumSSSbg5</v>
      </c>
      <c r="C248" s="7" t="str">
        <f t="shared" si="13"/>
        <v>PremiumSSS</v>
      </c>
      <c r="D248" s="7" t="str">
        <f t="shared" si="14"/>
        <v>bg</v>
      </c>
      <c r="E248" s="6">
        <v>488</v>
      </c>
      <c r="F248" s="7" t="str">
        <f>VLOOKUP(E248,[1]characters!$A:$C,3,FALSE)</f>
        <v>直観の異論 ヘンペル</v>
      </c>
      <c r="G248" s="7" t="str">
        <f>VLOOKUP(E248,[1]characters!$A:$J,10,FALSE)</f>
        <v>PremiumSSS</v>
      </c>
      <c r="H248" s="7">
        <f>VLOOKUP(E248,[1]characters!$A:$I,9,FALSE)</f>
        <v>5</v>
      </c>
      <c r="I248" s="7" t="str">
        <f>VLOOKUP(E248,[1]characters!$A:$H,8,FALSE)</f>
        <v>blue</v>
      </c>
      <c r="J248" s="7" t="str">
        <f>VLOOKUP(E248,[1]characters!$A:$K,11,FALSE)</f>
        <v>technical</v>
      </c>
      <c r="K248" s="7" t="str">
        <f>VLOOKUP(E248,[1]characters!$A:$M,13,FALSE)</f>
        <v>human</v>
      </c>
      <c r="L248" s="7" t="str">
        <f>VLOOKUP(E248,[1]characters!$A:$G,7,FALSE)</f>
        <v>男性</v>
      </c>
      <c r="M248" s="62">
        <f ca="1">IFERROR(VLOOKUP(E248,input_313101!L:R,7,FALSE),VLOOKUP(tables_313101!B248,input_313101!A:H,8,FALSE))</f>
        <v>34965</v>
      </c>
      <c r="N248" s="63">
        <f t="shared" ca="1" si="15"/>
        <v>1.25E-3</v>
      </c>
      <c r="O248" s="31">
        <f>IFERROR(VLOOKUP($E248,bug_conf_sheet!$A:$H,3,FALSE),VLOOKUP("other",bug_conf_sheet!$A:$H,3,FALSE))</f>
        <v>1</v>
      </c>
      <c r="P248" s="31">
        <f>IFERROR(VLOOKUP($E248,bug_conf_sheet!$A:$H,4,FALSE),VLOOKUP("other",bug_conf_sheet!$A:$H,4,FALSE))</f>
        <v>0</v>
      </c>
      <c r="Q248" s="31">
        <f>IFERROR(VLOOKUP($E248,bug_conf_sheet!$A:$H,5,FALSE),VLOOKUP("other",bug_conf_sheet!$A:$H,5,FALSE))</f>
        <v>0</v>
      </c>
      <c r="R248" s="31">
        <f>IFERROR(VLOOKUP($E248,bug_conf_sheet!$A:$H,6,FALSE),VLOOKUP("other",bug_conf_sheet!$A:$H,6,FALSE))</f>
        <v>0</v>
      </c>
      <c r="S248" s="31">
        <f>IFERROR(VLOOKUP($E248,bug_conf_sheet!$A:$H,7,FALSE),VLOOKUP("other",bug_conf_sheet!$A:$H,7,FALSE))</f>
        <v>0</v>
      </c>
      <c r="T248" s="31">
        <f>IFERROR(VLOOKUP($E248,bug_conf_sheet!$A:$H,8,FALSE),VLOOKUP("other",bug_conf_sheet!$A:$H,8,FALSE))</f>
        <v>1</v>
      </c>
    </row>
    <row r="249" spans="1:20" ht="21" customHeight="1">
      <c r="A249" s="2" t="str">
        <f ca="1">input_313101!A$2</f>
        <v>313101</v>
      </c>
      <c r="B249" s="7" t="str">
        <f t="shared" si="12"/>
        <v>PremiumSSSry5</v>
      </c>
      <c r="C249" s="7" t="str">
        <f t="shared" si="13"/>
        <v>PremiumSSS</v>
      </c>
      <c r="D249" s="7" t="str">
        <f t="shared" si="14"/>
        <v>ry</v>
      </c>
      <c r="E249" s="6">
        <v>489</v>
      </c>
      <c r="F249" s="7" t="str">
        <f>VLOOKUP(E249,[1]characters!$A:$C,3,FALSE)</f>
        <v>宇宙の拡超 ハップル</v>
      </c>
      <c r="G249" s="7" t="str">
        <f>VLOOKUP(E249,[1]characters!$A:$J,10,FALSE)</f>
        <v>PremiumSSS</v>
      </c>
      <c r="H249" s="7">
        <f>VLOOKUP(E249,[1]characters!$A:$I,9,FALSE)</f>
        <v>5</v>
      </c>
      <c r="I249" s="7" t="str">
        <f>VLOOKUP(E249,[1]characters!$A:$H,8,FALSE)</f>
        <v>yellow</v>
      </c>
      <c r="J249" s="7" t="str">
        <f>VLOOKUP(E249,[1]characters!$A:$K,11,FALSE)</f>
        <v>technical</v>
      </c>
      <c r="K249" s="7" t="str">
        <f>VLOOKUP(E249,[1]characters!$A:$M,13,FALSE)</f>
        <v>human</v>
      </c>
      <c r="L249" s="7" t="str">
        <f>VLOOKUP(E249,[1]characters!$A:$G,7,FALSE)</f>
        <v>女性</v>
      </c>
      <c r="M249" s="62">
        <f ca="1">IFERROR(VLOOKUP(E249,input_313101!L:R,7,FALSE),VLOOKUP(tables_313101!B249,input_313101!A:H,8,FALSE))</f>
        <v>104895</v>
      </c>
      <c r="N249" s="63">
        <f t="shared" ca="1" si="15"/>
        <v>3.7499999999999999E-3</v>
      </c>
      <c r="O249" s="31">
        <f>IFERROR(VLOOKUP($E249,bug_conf_sheet!$A:$H,3,FALSE),VLOOKUP("other",bug_conf_sheet!$A:$H,3,FALSE))</f>
        <v>1</v>
      </c>
      <c r="P249" s="31">
        <f>IFERROR(VLOOKUP($E249,bug_conf_sheet!$A:$H,4,FALSE),VLOOKUP("other",bug_conf_sheet!$A:$H,4,FALSE))</f>
        <v>0</v>
      </c>
      <c r="Q249" s="31">
        <f>IFERROR(VLOOKUP($E249,bug_conf_sheet!$A:$H,5,FALSE),VLOOKUP("other",bug_conf_sheet!$A:$H,5,FALSE))</f>
        <v>0</v>
      </c>
      <c r="R249" s="31">
        <f>IFERROR(VLOOKUP($E249,bug_conf_sheet!$A:$H,6,FALSE),VLOOKUP("other",bug_conf_sheet!$A:$H,6,FALSE))</f>
        <v>0</v>
      </c>
      <c r="S249" s="31">
        <f>IFERROR(VLOOKUP($E249,bug_conf_sheet!$A:$H,7,FALSE),VLOOKUP("other",bug_conf_sheet!$A:$H,7,FALSE))</f>
        <v>0</v>
      </c>
      <c r="T249" s="31">
        <f>IFERROR(VLOOKUP($E249,bug_conf_sheet!$A:$H,8,FALSE),VLOOKUP("other",bug_conf_sheet!$A:$H,8,FALSE))</f>
        <v>1</v>
      </c>
    </row>
    <row r="250" spans="1:20" ht="21" customHeight="1">
      <c r="A250" s="2" t="str">
        <f ca="1">input_313101!A$2</f>
        <v>313101</v>
      </c>
      <c r="B250" s="7" t="str">
        <f t="shared" si="12"/>
        <v>Premium3</v>
      </c>
      <c r="C250" s="7" t="str">
        <f t="shared" si="13"/>
        <v>Premium</v>
      </c>
      <c r="D250" s="7" t="str">
        <f t="shared" si="14"/>
        <v>ry</v>
      </c>
      <c r="E250" s="6">
        <v>668</v>
      </c>
      <c r="F250" s="7" t="str">
        <f>VLOOKUP(E250,[1]characters!$A:$C,3,FALSE)</f>
        <v>アグニ</v>
      </c>
      <c r="G250" s="7" t="str">
        <f>VLOOKUP(E250,[1]characters!$A:$J,10,FALSE)</f>
        <v>PremiumS</v>
      </c>
      <c r="H250" s="7">
        <f>VLOOKUP(E250,[1]characters!$A:$I,9,FALSE)</f>
        <v>3</v>
      </c>
      <c r="I250" s="7" t="str">
        <f>VLOOKUP(E250,[1]characters!$A:$H,8,FALSE)</f>
        <v>red</v>
      </c>
      <c r="J250" s="7" t="str">
        <f>VLOOKUP(E250,[1]characters!$A:$K,11,FALSE)</f>
        <v>hp</v>
      </c>
      <c r="K250" s="7" t="str">
        <f>VLOOKUP(E250,[1]characters!$A:$M,13,FALSE)</f>
        <v>god</v>
      </c>
      <c r="L250" s="7" t="str">
        <f>VLOOKUP(E250,[1]characters!$A:$G,7,FALSE)</f>
        <v>男性</v>
      </c>
      <c r="M250" s="62">
        <f ca="1">IFERROR(VLOOKUP(E250,input_313101!L:R,7,FALSE),VLOOKUP(tables_313101!B250,input_313101!A:H,8,FALSE))</f>
        <v>0</v>
      </c>
      <c r="N250" s="63">
        <f t="shared" ref="N250:N259" ca="1" si="16">M250/SUM(M:M)</f>
        <v>0</v>
      </c>
      <c r="O250" s="31">
        <f>IFERROR(VLOOKUP($E250,bug_conf_sheet!$A:$H,3,FALSE),VLOOKUP("other",bug_conf_sheet!$A:$H,3,FALSE))</f>
        <v>1</v>
      </c>
      <c r="P250" s="31">
        <f>IFERROR(VLOOKUP($E250,bug_conf_sheet!$A:$H,4,FALSE),VLOOKUP("other",bug_conf_sheet!$A:$H,4,FALSE))</f>
        <v>0</v>
      </c>
      <c r="Q250" s="31">
        <f>IFERROR(VLOOKUP($E250,bug_conf_sheet!$A:$H,5,FALSE),VLOOKUP("other",bug_conf_sheet!$A:$H,5,FALSE))</f>
        <v>0</v>
      </c>
      <c r="R250" s="31">
        <f>IFERROR(VLOOKUP($E250,bug_conf_sheet!$A:$H,6,FALSE),VLOOKUP("other",bug_conf_sheet!$A:$H,6,FALSE))</f>
        <v>0</v>
      </c>
      <c r="S250" s="31">
        <f>IFERROR(VLOOKUP($E250,bug_conf_sheet!$A:$H,7,FALSE),VLOOKUP("other",bug_conf_sheet!$A:$H,7,FALSE))</f>
        <v>0</v>
      </c>
      <c r="T250" s="31">
        <f>IFERROR(VLOOKUP($E250,bug_conf_sheet!$A:$H,8,FALSE),VLOOKUP("other",bug_conf_sheet!$A:$H,8,FALSE))</f>
        <v>1</v>
      </c>
    </row>
    <row r="251" spans="1:20" ht="21" customHeight="1">
      <c r="A251" s="2" t="str">
        <f ca="1">input_313101!A$2</f>
        <v>313101</v>
      </c>
      <c r="B251" s="7" t="str">
        <f t="shared" si="12"/>
        <v>Premium4</v>
      </c>
      <c r="C251" s="7" t="str">
        <f t="shared" si="13"/>
        <v>Premium</v>
      </c>
      <c r="D251" s="7" t="str">
        <f t="shared" si="14"/>
        <v>ry</v>
      </c>
      <c r="E251" s="6">
        <v>669</v>
      </c>
      <c r="F251" s="7" t="str">
        <f>VLOOKUP(E251,[1]characters!$A:$C,3,FALSE)</f>
        <v>天地の仲界 アグニ</v>
      </c>
      <c r="G251" s="7" t="str">
        <f>VLOOKUP(E251,[1]characters!$A:$J,10,FALSE)</f>
        <v>PremiumS</v>
      </c>
      <c r="H251" s="7">
        <f>VLOOKUP(E251,[1]characters!$A:$I,9,FALSE)</f>
        <v>4</v>
      </c>
      <c r="I251" s="7" t="str">
        <f>VLOOKUP(E251,[1]characters!$A:$H,8,FALSE)</f>
        <v>red</v>
      </c>
      <c r="J251" s="7" t="str">
        <f>VLOOKUP(E251,[1]characters!$A:$K,11,FALSE)</f>
        <v>hp</v>
      </c>
      <c r="K251" s="7" t="str">
        <f>VLOOKUP(E251,[1]characters!$A:$M,13,FALSE)</f>
        <v>god</v>
      </c>
      <c r="L251" s="7" t="str">
        <f>VLOOKUP(E251,[1]characters!$A:$G,7,FALSE)</f>
        <v>男性</v>
      </c>
      <c r="M251" s="62">
        <f ca="1">IFERROR(VLOOKUP(E251,input_313101!L:R,7,FALSE),VLOOKUP(tables_313101!B251,input_313101!A:H,8,FALSE))</f>
        <v>342090</v>
      </c>
      <c r="N251" s="63">
        <f t="shared" ca="1" si="16"/>
        <v>1.222972972972973E-2</v>
      </c>
      <c r="O251" s="31">
        <f>IFERROR(VLOOKUP($E251,bug_conf_sheet!$A:$H,3,FALSE),VLOOKUP("other",bug_conf_sheet!$A:$H,3,FALSE))</f>
        <v>1</v>
      </c>
      <c r="P251" s="31">
        <f>IFERROR(VLOOKUP($E251,bug_conf_sheet!$A:$H,4,FALSE),VLOOKUP("other",bug_conf_sheet!$A:$H,4,FALSE))</f>
        <v>0</v>
      </c>
      <c r="Q251" s="31">
        <f>IFERROR(VLOOKUP($E251,bug_conf_sheet!$A:$H,5,FALSE),VLOOKUP("other",bug_conf_sheet!$A:$H,5,FALSE))</f>
        <v>0</v>
      </c>
      <c r="R251" s="31">
        <f>IFERROR(VLOOKUP($E251,bug_conf_sheet!$A:$H,6,FALSE),VLOOKUP("other",bug_conf_sheet!$A:$H,6,FALSE))</f>
        <v>0</v>
      </c>
      <c r="S251" s="31">
        <f>IFERROR(VLOOKUP($E251,bug_conf_sheet!$A:$H,7,FALSE),VLOOKUP("other",bug_conf_sheet!$A:$H,7,FALSE))</f>
        <v>0</v>
      </c>
      <c r="T251" s="31">
        <f>IFERROR(VLOOKUP($E251,bug_conf_sheet!$A:$H,8,FALSE),VLOOKUP("other",bug_conf_sheet!$A:$H,8,FALSE))</f>
        <v>1</v>
      </c>
    </row>
    <row r="252" spans="1:20" ht="21" customHeight="1">
      <c r="A252" s="2" t="str">
        <f ca="1">input_313101!A$2</f>
        <v>313101</v>
      </c>
      <c r="B252" s="7" t="str">
        <f t="shared" si="12"/>
        <v>Premium5</v>
      </c>
      <c r="C252" s="7" t="str">
        <f t="shared" si="13"/>
        <v>Premium</v>
      </c>
      <c r="D252" s="7" t="str">
        <f t="shared" si="14"/>
        <v>ry</v>
      </c>
      <c r="E252" s="6">
        <v>670</v>
      </c>
      <c r="F252" s="7" t="str">
        <f>VLOOKUP(E252,[1]characters!$A:$C,3,FALSE)</f>
        <v>陽天の噴煙 アグニ</v>
      </c>
      <c r="G252" s="7" t="str">
        <f>VLOOKUP(E252,[1]characters!$A:$J,10,FALSE)</f>
        <v>PremiumS</v>
      </c>
      <c r="H252" s="7">
        <f>VLOOKUP(E252,[1]characters!$A:$I,9,FALSE)</f>
        <v>5</v>
      </c>
      <c r="I252" s="7" t="str">
        <f>VLOOKUP(E252,[1]characters!$A:$H,8,FALSE)</f>
        <v>red</v>
      </c>
      <c r="J252" s="7" t="str">
        <f>VLOOKUP(E252,[1]characters!$A:$K,11,FALSE)</f>
        <v>hp</v>
      </c>
      <c r="K252" s="7" t="str">
        <f>VLOOKUP(E252,[1]characters!$A:$M,13,FALSE)</f>
        <v>god</v>
      </c>
      <c r="L252" s="7" t="str">
        <f>VLOOKUP(E252,[1]characters!$A:$G,7,FALSE)</f>
        <v>男性</v>
      </c>
      <c r="M252" s="62">
        <f ca="1">IFERROR(VLOOKUP(E252,input_313101!L:R,7,FALSE),VLOOKUP(tables_313101!B252,input_313101!A:H,8,FALSE))</f>
        <v>18130</v>
      </c>
      <c r="N252" s="63">
        <f t="shared" ca="1" si="16"/>
        <v>6.4814814814814813E-4</v>
      </c>
      <c r="O252" s="31">
        <f>IFERROR(VLOOKUP($E252,bug_conf_sheet!$A:$H,3,FALSE),VLOOKUP("other",bug_conf_sheet!$A:$H,3,FALSE))</f>
        <v>1</v>
      </c>
      <c r="P252" s="31">
        <f>IFERROR(VLOOKUP($E252,bug_conf_sheet!$A:$H,4,FALSE),VLOOKUP("other",bug_conf_sheet!$A:$H,4,FALSE))</f>
        <v>0</v>
      </c>
      <c r="Q252" s="31">
        <f>IFERROR(VLOOKUP($E252,bug_conf_sheet!$A:$H,5,FALSE),VLOOKUP("other",bug_conf_sheet!$A:$H,5,FALSE))</f>
        <v>0</v>
      </c>
      <c r="R252" s="31">
        <f>IFERROR(VLOOKUP($E252,bug_conf_sheet!$A:$H,6,FALSE),VLOOKUP("other",bug_conf_sheet!$A:$H,6,FALSE))</f>
        <v>0</v>
      </c>
      <c r="S252" s="31">
        <f>IFERROR(VLOOKUP($E252,bug_conf_sheet!$A:$H,7,FALSE),VLOOKUP("other",bug_conf_sheet!$A:$H,7,FALSE))</f>
        <v>0</v>
      </c>
      <c r="T252" s="31">
        <f>IFERROR(VLOOKUP($E252,bug_conf_sheet!$A:$H,8,FALSE),VLOOKUP("other",bug_conf_sheet!$A:$H,8,FALSE))</f>
        <v>1</v>
      </c>
    </row>
    <row r="253" spans="1:20" ht="21" customHeight="1">
      <c r="A253" s="2" t="str">
        <f ca="1">input_313101!A$2</f>
        <v>313101</v>
      </c>
      <c r="B253" s="7" t="str">
        <f t="shared" si="12"/>
        <v>Premium3</v>
      </c>
      <c r="C253" s="7" t="str">
        <f t="shared" si="13"/>
        <v>Premium</v>
      </c>
      <c r="D253" s="7" t="str">
        <f t="shared" si="14"/>
        <v>bg</v>
      </c>
      <c r="E253" s="6">
        <v>671</v>
      </c>
      <c r="F253" s="7" t="str">
        <f>VLOOKUP(E253,[1]characters!$A:$C,3,FALSE)</f>
        <v>ハヌマーン</v>
      </c>
      <c r="G253" s="7" t="str">
        <f>VLOOKUP(E253,[1]characters!$A:$J,10,FALSE)</f>
        <v>PremiumS</v>
      </c>
      <c r="H253" s="7">
        <f>VLOOKUP(E253,[1]characters!$A:$I,9,FALSE)</f>
        <v>3</v>
      </c>
      <c r="I253" s="7" t="str">
        <f>VLOOKUP(E253,[1]characters!$A:$H,8,FALSE)</f>
        <v>green</v>
      </c>
      <c r="J253" s="7" t="str">
        <f>VLOOKUP(E253,[1]characters!$A:$K,11,FALSE)</f>
        <v>attack</v>
      </c>
      <c r="K253" s="7" t="str">
        <f>VLOOKUP(E253,[1]characters!$A:$M,13,FALSE)</f>
        <v>animal</v>
      </c>
      <c r="L253" s="7" t="str">
        <f>VLOOKUP(E253,[1]characters!$A:$G,7,FALSE)</f>
        <v>男性</v>
      </c>
      <c r="M253" s="62">
        <f ca="1">IFERROR(VLOOKUP(E253,input_313101!L:R,7,FALSE),VLOOKUP(tables_313101!B253,input_313101!A:H,8,FALSE))</f>
        <v>0</v>
      </c>
      <c r="N253" s="63">
        <f t="shared" ca="1" si="16"/>
        <v>0</v>
      </c>
      <c r="O253" s="31">
        <f>IFERROR(VLOOKUP($E253,bug_conf_sheet!$A:$H,3,FALSE),VLOOKUP("other",bug_conf_sheet!$A:$H,3,FALSE))</f>
        <v>1</v>
      </c>
      <c r="P253" s="31">
        <f>IFERROR(VLOOKUP($E253,bug_conf_sheet!$A:$H,4,FALSE),VLOOKUP("other",bug_conf_sheet!$A:$H,4,FALSE))</f>
        <v>0</v>
      </c>
      <c r="Q253" s="31">
        <f>IFERROR(VLOOKUP($E253,bug_conf_sheet!$A:$H,5,FALSE),VLOOKUP("other",bug_conf_sheet!$A:$H,5,FALSE))</f>
        <v>0</v>
      </c>
      <c r="R253" s="31">
        <f>IFERROR(VLOOKUP($E253,bug_conf_sheet!$A:$H,6,FALSE),VLOOKUP("other",bug_conf_sheet!$A:$H,6,FALSE))</f>
        <v>0</v>
      </c>
      <c r="S253" s="31">
        <f>IFERROR(VLOOKUP($E253,bug_conf_sheet!$A:$H,7,FALSE),VLOOKUP("other",bug_conf_sheet!$A:$H,7,FALSE))</f>
        <v>0</v>
      </c>
      <c r="T253" s="31">
        <f>IFERROR(VLOOKUP($E253,bug_conf_sheet!$A:$H,8,FALSE),VLOOKUP("other",bug_conf_sheet!$A:$H,8,FALSE))</f>
        <v>1</v>
      </c>
    </row>
    <row r="254" spans="1:20" ht="21" customHeight="1">
      <c r="A254" s="2" t="str">
        <f ca="1">input_313101!A$2</f>
        <v>313101</v>
      </c>
      <c r="B254" s="7" t="str">
        <f t="shared" si="12"/>
        <v>Premium4</v>
      </c>
      <c r="C254" s="7" t="str">
        <f t="shared" si="13"/>
        <v>Premium</v>
      </c>
      <c r="D254" s="7" t="str">
        <f t="shared" si="14"/>
        <v>bg</v>
      </c>
      <c r="E254" s="6">
        <v>672</v>
      </c>
      <c r="F254" s="7" t="str">
        <f>VLOOKUP(E254,[1]characters!$A:$C,3,FALSE)</f>
        <v>西遊韋駄天 ハヌマーン</v>
      </c>
      <c r="G254" s="7" t="str">
        <f>VLOOKUP(E254,[1]characters!$A:$J,10,FALSE)</f>
        <v>PremiumS</v>
      </c>
      <c r="H254" s="7">
        <f>VLOOKUP(E254,[1]characters!$A:$I,9,FALSE)</f>
        <v>4</v>
      </c>
      <c r="I254" s="7" t="str">
        <f>VLOOKUP(E254,[1]characters!$A:$H,8,FALSE)</f>
        <v>green</v>
      </c>
      <c r="J254" s="7" t="str">
        <f>VLOOKUP(E254,[1]characters!$A:$K,11,FALSE)</f>
        <v>attack</v>
      </c>
      <c r="K254" s="7" t="str">
        <f>VLOOKUP(E254,[1]characters!$A:$M,13,FALSE)</f>
        <v>animal</v>
      </c>
      <c r="L254" s="7" t="str">
        <f>VLOOKUP(E254,[1]characters!$A:$G,7,FALSE)</f>
        <v>男性</v>
      </c>
      <c r="M254" s="62">
        <f ca="1">IFERROR(VLOOKUP(E254,input_313101!L:R,7,FALSE),VLOOKUP(tables_313101!B254,input_313101!A:H,8,FALSE))</f>
        <v>342090</v>
      </c>
      <c r="N254" s="63">
        <f t="shared" ca="1" si="16"/>
        <v>1.222972972972973E-2</v>
      </c>
      <c r="O254" s="31">
        <f>IFERROR(VLOOKUP($E254,bug_conf_sheet!$A:$H,3,FALSE),VLOOKUP("other",bug_conf_sheet!$A:$H,3,FALSE))</f>
        <v>1</v>
      </c>
      <c r="P254" s="31">
        <f>IFERROR(VLOOKUP($E254,bug_conf_sheet!$A:$H,4,FALSE),VLOOKUP("other",bug_conf_sheet!$A:$H,4,FALSE))</f>
        <v>0</v>
      </c>
      <c r="Q254" s="31">
        <f>IFERROR(VLOOKUP($E254,bug_conf_sheet!$A:$H,5,FALSE),VLOOKUP("other",bug_conf_sheet!$A:$H,5,FALSE))</f>
        <v>0</v>
      </c>
      <c r="R254" s="31">
        <f>IFERROR(VLOOKUP($E254,bug_conf_sheet!$A:$H,6,FALSE),VLOOKUP("other",bug_conf_sheet!$A:$H,6,FALSE))</f>
        <v>0</v>
      </c>
      <c r="S254" s="31">
        <f>IFERROR(VLOOKUP($E254,bug_conf_sheet!$A:$H,7,FALSE),VLOOKUP("other",bug_conf_sheet!$A:$H,7,FALSE))</f>
        <v>0</v>
      </c>
      <c r="T254" s="31">
        <f>IFERROR(VLOOKUP($E254,bug_conf_sheet!$A:$H,8,FALSE),VLOOKUP("other",bug_conf_sheet!$A:$H,8,FALSE))</f>
        <v>1</v>
      </c>
    </row>
    <row r="255" spans="1:20" ht="21" customHeight="1">
      <c r="A255" s="2" t="str">
        <f ca="1">input_313101!A$2</f>
        <v>313101</v>
      </c>
      <c r="B255" s="7" t="str">
        <f t="shared" si="12"/>
        <v>Premium5</v>
      </c>
      <c r="C255" s="7" t="str">
        <f t="shared" si="13"/>
        <v>Premium</v>
      </c>
      <c r="D255" s="7" t="str">
        <f t="shared" si="14"/>
        <v>bg</v>
      </c>
      <c r="E255" s="6">
        <v>673</v>
      </c>
      <c r="F255" s="7" t="str">
        <f>VLOOKUP(E255,[1]characters!$A:$C,3,FALSE)</f>
        <v>変幻自在の猿王 ハヌマーン</v>
      </c>
      <c r="G255" s="7" t="str">
        <f>VLOOKUP(E255,[1]characters!$A:$J,10,FALSE)</f>
        <v>PremiumS</v>
      </c>
      <c r="H255" s="7">
        <f>VLOOKUP(E255,[1]characters!$A:$I,9,FALSE)</f>
        <v>5</v>
      </c>
      <c r="I255" s="7" t="str">
        <f>VLOOKUP(E255,[1]characters!$A:$H,8,FALSE)</f>
        <v>green</v>
      </c>
      <c r="J255" s="7" t="str">
        <f>VLOOKUP(E255,[1]characters!$A:$K,11,FALSE)</f>
        <v>attack</v>
      </c>
      <c r="K255" s="7" t="str">
        <f>VLOOKUP(E255,[1]characters!$A:$M,13,FALSE)</f>
        <v>animal</v>
      </c>
      <c r="L255" s="7" t="str">
        <f>VLOOKUP(E255,[1]characters!$A:$G,7,FALSE)</f>
        <v>男性</v>
      </c>
      <c r="M255" s="62">
        <f ca="1">IFERROR(VLOOKUP(E255,input_313101!L:R,7,FALSE),VLOOKUP(tables_313101!B255,input_313101!A:H,8,FALSE))</f>
        <v>18130</v>
      </c>
      <c r="N255" s="63">
        <f t="shared" ca="1" si="16"/>
        <v>6.4814814814814813E-4</v>
      </c>
      <c r="O255" s="31">
        <f>IFERROR(VLOOKUP($E255,bug_conf_sheet!$A:$H,3,FALSE),VLOOKUP("other",bug_conf_sheet!$A:$H,3,FALSE))</f>
        <v>1</v>
      </c>
      <c r="P255" s="31">
        <f>IFERROR(VLOOKUP($E255,bug_conf_sheet!$A:$H,4,FALSE),VLOOKUP("other",bug_conf_sheet!$A:$H,4,FALSE))</f>
        <v>0</v>
      </c>
      <c r="Q255" s="31">
        <f>IFERROR(VLOOKUP($E255,bug_conf_sheet!$A:$H,5,FALSE),VLOOKUP("other",bug_conf_sheet!$A:$H,5,FALSE))</f>
        <v>0</v>
      </c>
      <c r="R255" s="31">
        <f>IFERROR(VLOOKUP($E255,bug_conf_sheet!$A:$H,6,FALSE),VLOOKUP("other",bug_conf_sheet!$A:$H,6,FALSE))</f>
        <v>0</v>
      </c>
      <c r="S255" s="31">
        <f>IFERROR(VLOOKUP($E255,bug_conf_sheet!$A:$H,7,FALSE),VLOOKUP("other",bug_conf_sheet!$A:$H,7,FALSE))</f>
        <v>0</v>
      </c>
      <c r="T255" s="31">
        <f>IFERROR(VLOOKUP($E255,bug_conf_sheet!$A:$H,8,FALSE),VLOOKUP("other",bug_conf_sheet!$A:$H,8,FALSE))</f>
        <v>1</v>
      </c>
    </row>
    <row r="256" spans="1:20" ht="21" customHeight="1">
      <c r="A256" s="2" t="str">
        <f ca="1">input_313101!A$2</f>
        <v>313101</v>
      </c>
      <c r="B256" s="7" t="str">
        <f t="shared" si="12"/>
        <v>PremiumSSbg4</v>
      </c>
      <c r="C256" s="7" t="str">
        <f t="shared" si="13"/>
        <v>PremiumSS</v>
      </c>
      <c r="D256" s="7" t="str">
        <f t="shared" si="14"/>
        <v>bg</v>
      </c>
      <c r="E256" s="6">
        <v>674</v>
      </c>
      <c r="F256" s="7" t="str">
        <f>VLOOKUP(E256,[1]characters!$A:$C,3,FALSE)</f>
        <v>サラスヴァティ</v>
      </c>
      <c r="G256" s="7" t="str">
        <f>VLOOKUP(E256,[1]characters!$A:$J,10,FALSE)</f>
        <v>PremiumSS</v>
      </c>
      <c r="H256" s="7">
        <f>VLOOKUP(E256,[1]characters!$A:$I,9,FALSE)</f>
        <v>4</v>
      </c>
      <c r="I256" s="7" t="str">
        <f>VLOOKUP(E256,[1]characters!$A:$H,8,FALSE)</f>
        <v>blue</v>
      </c>
      <c r="J256" s="7" t="str">
        <f>VLOOKUP(E256,[1]characters!$A:$K,11,FALSE)</f>
        <v>balance</v>
      </c>
      <c r="K256" s="7" t="str">
        <f>VLOOKUP(E256,[1]characters!$A:$M,13,FALSE)</f>
        <v>god</v>
      </c>
      <c r="L256" s="7" t="str">
        <f>VLOOKUP(E256,[1]characters!$A:$G,7,FALSE)</f>
        <v>女性</v>
      </c>
      <c r="M256" s="62">
        <f ca="1">IFERROR(VLOOKUP(E256,input_313101!L:R,7,FALSE),VLOOKUP(tables_313101!B256,input_313101!A:H,8,FALSE))</f>
        <v>41958</v>
      </c>
      <c r="N256" s="63">
        <f t="shared" ca="1" si="16"/>
        <v>1.5E-3</v>
      </c>
      <c r="O256" s="31">
        <f>IFERROR(VLOOKUP($E256,bug_conf_sheet!$A:$H,3,FALSE),VLOOKUP("other",bug_conf_sheet!$A:$H,3,FALSE))</f>
        <v>1</v>
      </c>
      <c r="P256" s="31">
        <f>IFERROR(VLOOKUP($E256,bug_conf_sheet!$A:$H,4,FALSE),VLOOKUP("other",bug_conf_sheet!$A:$H,4,FALSE))</f>
        <v>0</v>
      </c>
      <c r="Q256" s="31">
        <f>IFERROR(VLOOKUP($E256,bug_conf_sheet!$A:$H,5,FALSE),VLOOKUP("other",bug_conf_sheet!$A:$H,5,FALSE))</f>
        <v>0</v>
      </c>
      <c r="R256" s="31">
        <f>IFERROR(VLOOKUP($E256,bug_conf_sheet!$A:$H,6,FALSE),VLOOKUP("other",bug_conf_sheet!$A:$H,6,FALSE))</f>
        <v>0</v>
      </c>
      <c r="S256" s="31">
        <f>IFERROR(VLOOKUP($E256,bug_conf_sheet!$A:$H,7,FALSE),VLOOKUP("other",bug_conf_sheet!$A:$H,7,FALSE))</f>
        <v>0</v>
      </c>
      <c r="T256" s="31">
        <f>IFERROR(VLOOKUP($E256,bug_conf_sheet!$A:$H,8,FALSE),VLOOKUP("other",bug_conf_sheet!$A:$H,8,FALSE))</f>
        <v>1</v>
      </c>
    </row>
    <row r="257" spans="1:20" ht="21" customHeight="1">
      <c r="A257" s="2" t="str">
        <f ca="1">input_313101!A$2</f>
        <v>313101</v>
      </c>
      <c r="B257" s="7" t="str">
        <f t="shared" si="12"/>
        <v>PremiumSSbg5</v>
      </c>
      <c r="C257" s="7" t="str">
        <f t="shared" si="13"/>
        <v>PremiumSS</v>
      </c>
      <c r="D257" s="7" t="str">
        <f t="shared" si="14"/>
        <v>bg</v>
      </c>
      <c r="E257" s="6">
        <v>675</v>
      </c>
      <c r="F257" s="7" t="str">
        <f>VLOOKUP(E257,[1]characters!$A:$C,3,FALSE)</f>
        <v>芸楽の奔流 サラスヴァティ</v>
      </c>
      <c r="G257" s="7" t="str">
        <f>VLOOKUP(E257,[1]characters!$A:$J,10,FALSE)</f>
        <v>PremiumSS</v>
      </c>
      <c r="H257" s="7">
        <f>VLOOKUP(E257,[1]characters!$A:$I,9,FALSE)</f>
        <v>5</v>
      </c>
      <c r="I257" s="7" t="str">
        <f>VLOOKUP(E257,[1]characters!$A:$H,8,FALSE)</f>
        <v>blue</v>
      </c>
      <c r="J257" s="7" t="str">
        <f>VLOOKUP(E257,[1]characters!$A:$K,11,FALSE)</f>
        <v>balance</v>
      </c>
      <c r="K257" s="7" t="str">
        <f>VLOOKUP(E257,[1]characters!$A:$M,13,FALSE)</f>
        <v>god</v>
      </c>
      <c r="L257" s="7" t="str">
        <f>VLOOKUP(E257,[1]characters!$A:$G,7,FALSE)</f>
        <v>女性</v>
      </c>
      <c r="M257" s="62">
        <f ca="1">IFERROR(VLOOKUP(E257,input_313101!L:R,7,FALSE),VLOOKUP(tables_313101!B257,input_313101!A:H,8,FALSE))</f>
        <v>4662</v>
      </c>
      <c r="N257" s="63">
        <f t="shared" ca="1" si="16"/>
        <v>1.6666666666666666E-4</v>
      </c>
      <c r="O257" s="31">
        <f>IFERROR(VLOOKUP($E257,bug_conf_sheet!$A:$H,3,FALSE),VLOOKUP("other",bug_conf_sheet!$A:$H,3,FALSE))</f>
        <v>1</v>
      </c>
      <c r="P257" s="31">
        <f>IFERROR(VLOOKUP($E257,bug_conf_sheet!$A:$H,4,FALSE),VLOOKUP("other",bug_conf_sheet!$A:$H,4,FALSE))</f>
        <v>0</v>
      </c>
      <c r="Q257" s="31">
        <f>IFERROR(VLOOKUP($E257,bug_conf_sheet!$A:$H,5,FALSE),VLOOKUP("other",bug_conf_sheet!$A:$H,5,FALSE))</f>
        <v>0</v>
      </c>
      <c r="R257" s="31">
        <f>IFERROR(VLOOKUP($E257,bug_conf_sheet!$A:$H,6,FALSE),VLOOKUP("other",bug_conf_sheet!$A:$H,6,FALSE))</f>
        <v>0</v>
      </c>
      <c r="S257" s="31">
        <f>IFERROR(VLOOKUP($E257,bug_conf_sheet!$A:$H,7,FALSE),VLOOKUP("other",bug_conf_sheet!$A:$H,7,FALSE))</f>
        <v>0</v>
      </c>
      <c r="T257" s="31">
        <f>IFERROR(VLOOKUP($E257,bug_conf_sheet!$A:$H,8,FALSE),VLOOKUP("other",bug_conf_sheet!$A:$H,8,FALSE))</f>
        <v>1</v>
      </c>
    </row>
    <row r="258" spans="1:20" ht="21" customHeight="1">
      <c r="A258" s="2" t="str">
        <f ca="1">input_313101!A$2</f>
        <v>313101</v>
      </c>
      <c r="B258" s="7" t="str">
        <f t="shared" si="12"/>
        <v>PremiumSSry4</v>
      </c>
      <c r="C258" s="7" t="str">
        <f t="shared" si="13"/>
        <v>PremiumSS</v>
      </c>
      <c r="D258" s="7" t="str">
        <f t="shared" si="14"/>
        <v>ry</v>
      </c>
      <c r="E258" s="6">
        <v>676</v>
      </c>
      <c r="F258" s="7" t="str">
        <f>VLOOKUP(E258,[1]characters!$A:$C,3,FALSE)</f>
        <v>ヴィシュヌ</v>
      </c>
      <c r="G258" s="7" t="str">
        <f>VLOOKUP(E258,[1]characters!$A:$J,10,FALSE)</f>
        <v>PremiumSS</v>
      </c>
      <c r="H258" s="7">
        <f>VLOOKUP(E258,[1]characters!$A:$I,9,FALSE)</f>
        <v>4</v>
      </c>
      <c r="I258" s="7" t="str">
        <f>VLOOKUP(E258,[1]characters!$A:$H,8,FALSE)</f>
        <v>yellow</v>
      </c>
      <c r="J258" s="7" t="str">
        <f>VLOOKUP(E258,[1]characters!$A:$K,11,FALSE)</f>
        <v>attack</v>
      </c>
      <c r="K258" s="7" t="str">
        <f>VLOOKUP(E258,[1]characters!$A:$M,13,FALSE)</f>
        <v>god</v>
      </c>
      <c r="L258" s="7" t="str">
        <f>VLOOKUP(E258,[1]characters!$A:$G,7,FALSE)</f>
        <v>女性</v>
      </c>
      <c r="M258" s="62">
        <f ca="1">IFERROR(VLOOKUP(E258,input_313101!L:R,7,FALSE),VLOOKUP(tables_313101!B258,input_313101!A:H,8,FALSE))</f>
        <v>53946</v>
      </c>
      <c r="N258" s="63">
        <f t="shared" ca="1" si="16"/>
        <v>1.9285714285714286E-3</v>
      </c>
      <c r="O258" s="31">
        <f>IFERROR(VLOOKUP($E258,bug_conf_sheet!$A:$H,3,FALSE),VLOOKUP("other",bug_conf_sheet!$A:$H,3,FALSE))</f>
        <v>1</v>
      </c>
      <c r="P258" s="31">
        <f>IFERROR(VLOOKUP($E258,bug_conf_sheet!$A:$H,4,FALSE),VLOOKUP("other",bug_conf_sheet!$A:$H,4,FALSE))</f>
        <v>0</v>
      </c>
      <c r="Q258" s="31">
        <f>IFERROR(VLOOKUP($E258,bug_conf_sheet!$A:$H,5,FALSE),VLOOKUP("other",bug_conf_sheet!$A:$H,5,FALSE))</f>
        <v>0</v>
      </c>
      <c r="R258" s="31">
        <f>IFERROR(VLOOKUP($E258,bug_conf_sheet!$A:$H,6,FALSE),VLOOKUP("other",bug_conf_sheet!$A:$H,6,FALSE))</f>
        <v>0</v>
      </c>
      <c r="S258" s="31">
        <f>IFERROR(VLOOKUP($E258,bug_conf_sheet!$A:$H,7,FALSE),VLOOKUP("other",bug_conf_sheet!$A:$H,7,FALSE))</f>
        <v>0</v>
      </c>
      <c r="T258" s="31">
        <f>IFERROR(VLOOKUP($E258,bug_conf_sheet!$A:$H,8,FALSE),VLOOKUP("other",bug_conf_sheet!$A:$H,8,FALSE))</f>
        <v>1</v>
      </c>
    </row>
    <row r="259" spans="1:20" ht="21" customHeight="1">
      <c r="A259" s="2" t="str">
        <f ca="1">input_313101!A$2</f>
        <v>313101</v>
      </c>
      <c r="B259" s="7" t="str">
        <f t="shared" ref="B259" si="17">C259&amp;IF(C259="premium",,D259)&amp;H259</f>
        <v>PremiumSSry5</v>
      </c>
      <c r="C259" s="7" t="str">
        <f t="shared" ref="C259" si="18">IF(G259="PremiumSS",G259,IF(G259="PremiumSSS",G259,"Premium"))</f>
        <v>PremiumSS</v>
      </c>
      <c r="D259" s="7" t="str">
        <f t="shared" ref="D259" si="19">IF(I259="red","ry",IF(I259="yellow","ry","bg"))</f>
        <v>ry</v>
      </c>
      <c r="E259" s="6">
        <v>677</v>
      </c>
      <c r="F259" s="7" t="str">
        <f>VLOOKUP(E259,[1]characters!$A:$C,3,FALSE)</f>
        <v>武遊闊歩 ヴィシュヌ</v>
      </c>
      <c r="G259" s="7" t="str">
        <f>VLOOKUP(E259,[1]characters!$A:$J,10,FALSE)</f>
        <v>PremiumSS</v>
      </c>
      <c r="H259" s="7">
        <f>VLOOKUP(E259,[1]characters!$A:$I,9,FALSE)</f>
        <v>5</v>
      </c>
      <c r="I259" s="7" t="str">
        <f>VLOOKUP(E259,[1]characters!$A:$H,8,FALSE)</f>
        <v>yellow</v>
      </c>
      <c r="J259" s="7" t="str">
        <f>VLOOKUP(E259,[1]characters!$A:$K,11,FALSE)</f>
        <v>attack</v>
      </c>
      <c r="K259" s="7" t="str">
        <f>VLOOKUP(E259,[1]characters!$A:$M,13,FALSE)</f>
        <v>god</v>
      </c>
      <c r="L259" s="7" t="str">
        <f>VLOOKUP(E259,[1]characters!$A:$G,7,FALSE)</f>
        <v>女性</v>
      </c>
      <c r="M259" s="62">
        <f ca="1">IFERROR(VLOOKUP(E259,input_313101!L:R,7,FALSE),VLOOKUP(tables_313101!B259,input_313101!A:H,8,FALSE))</f>
        <v>5994</v>
      </c>
      <c r="N259" s="63">
        <f t="shared" ca="1" si="16"/>
        <v>2.1428571428571427E-4</v>
      </c>
      <c r="O259" s="31">
        <f>IFERROR(VLOOKUP($E259,bug_conf_sheet!$A:$H,3,FALSE),VLOOKUP("other",bug_conf_sheet!$A:$H,3,FALSE))</f>
        <v>1</v>
      </c>
      <c r="P259" s="31">
        <f>IFERROR(VLOOKUP($E259,bug_conf_sheet!$A:$H,4,FALSE),VLOOKUP("other",bug_conf_sheet!$A:$H,4,FALSE))</f>
        <v>0</v>
      </c>
      <c r="Q259" s="31">
        <f>IFERROR(VLOOKUP($E259,bug_conf_sheet!$A:$H,5,FALSE),VLOOKUP("other",bug_conf_sheet!$A:$H,5,FALSE))</f>
        <v>0</v>
      </c>
      <c r="R259" s="31">
        <f>IFERROR(VLOOKUP($E259,bug_conf_sheet!$A:$H,6,FALSE),VLOOKUP("other",bug_conf_sheet!$A:$H,6,FALSE))</f>
        <v>0</v>
      </c>
      <c r="S259" s="31">
        <f>IFERROR(VLOOKUP($E259,bug_conf_sheet!$A:$H,7,FALSE),VLOOKUP("other",bug_conf_sheet!$A:$H,7,FALSE))</f>
        <v>0</v>
      </c>
      <c r="T259" s="31">
        <f>IFERROR(VLOOKUP($E259,bug_conf_sheet!$A:$H,8,FALSE),VLOOKUP("other",bug_conf_sheet!$A:$H,8,FALSE))</f>
        <v>1</v>
      </c>
    </row>
  </sheetData>
  <phoneticPr fontId="15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>
    <tabColor theme="5"/>
  </sheetPr>
  <dimension ref="A1:R51"/>
  <sheetViews>
    <sheetView workbookViewId="0">
      <selection activeCell="H28" sqref="H28"/>
    </sheetView>
  </sheetViews>
  <sheetFormatPr baseColWidth="12" defaultRowHeight="14" x14ac:dyDescent="0"/>
  <sheetData>
    <row r="1" spans="1:18">
      <c r="A1" s="66" t="s">
        <v>101</v>
      </c>
      <c r="B1" s="66"/>
    </row>
    <row r="2" spans="1:18">
      <c r="A2" t="str">
        <f ca="1">RIGHT(RIGHT(CELL("filename",A2),LEN(CELL("filename",A2))-FIND("]",CELL("filename",A2))),6)</f>
        <v>313100</v>
      </c>
    </row>
    <row r="4" spans="1:18">
      <c r="A4" s="49" t="s">
        <v>69</v>
      </c>
      <c r="B4" s="49"/>
    </row>
    <row r="5" spans="1:18">
      <c r="A5" s="47" t="s">
        <v>86</v>
      </c>
      <c r="B5" s="48">
        <f>1-B6-B7</f>
        <v>0</v>
      </c>
    </row>
    <row r="6" spans="1:18">
      <c r="A6" s="47" t="s">
        <v>87</v>
      </c>
      <c r="B6" s="48">
        <v>0.95</v>
      </c>
    </row>
    <row r="7" spans="1:18">
      <c r="A7" s="47" t="s">
        <v>88</v>
      </c>
      <c r="B7" s="48">
        <v>0.05</v>
      </c>
    </row>
    <row r="9" spans="1:18">
      <c r="A9" s="50" t="s">
        <v>70</v>
      </c>
      <c r="B9" s="50"/>
    </row>
    <row r="10" spans="1:18">
      <c r="A10" s="47" t="s">
        <v>116</v>
      </c>
      <c r="B10" s="48">
        <f>1-B11-B12</f>
        <v>0.92999999999999994</v>
      </c>
    </row>
    <row r="11" spans="1:18">
      <c r="A11" s="47" t="s">
        <v>72</v>
      </c>
      <c r="B11" s="48">
        <v>0.05</v>
      </c>
    </row>
    <row r="12" spans="1:18">
      <c r="A12" s="47" t="s">
        <v>71</v>
      </c>
      <c r="B12" s="48">
        <v>0.02</v>
      </c>
    </row>
    <row r="15" spans="1:18">
      <c r="A15" s="52" t="s">
        <v>74</v>
      </c>
      <c r="B15" s="52"/>
      <c r="C15" t="s">
        <v>102</v>
      </c>
      <c r="L15" s="54" t="s">
        <v>79</v>
      </c>
      <c r="M15" s="54"/>
    </row>
    <row r="16" spans="1:18">
      <c r="A16" s="47" t="s">
        <v>77</v>
      </c>
      <c r="B16" s="47" t="s">
        <v>78</v>
      </c>
      <c r="C16" s="53" t="s">
        <v>79</v>
      </c>
      <c r="D16" s="53" t="s">
        <v>80</v>
      </c>
      <c r="E16" t="s">
        <v>90</v>
      </c>
      <c r="F16" t="s">
        <v>89</v>
      </c>
      <c r="G16" t="s">
        <v>92</v>
      </c>
      <c r="H16" t="s">
        <v>91</v>
      </c>
      <c r="I16" t="s">
        <v>93</v>
      </c>
      <c r="J16" t="s">
        <v>96</v>
      </c>
      <c r="L16" s="47" t="s">
        <v>1</v>
      </c>
      <c r="M16" s="53" t="s">
        <v>83</v>
      </c>
      <c r="N16" s="47" t="s">
        <v>81</v>
      </c>
      <c r="O16" s="53" t="s">
        <v>84</v>
      </c>
      <c r="P16" s="53" t="s">
        <v>85</v>
      </c>
      <c r="Q16" s="53" t="s">
        <v>82</v>
      </c>
      <c r="R16" s="61" t="s">
        <v>91</v>
      </c>
    </row>
    <row r="17" spans="1:17">
      <c r="A17" s="47" t="s">
        <v>117</v>
      </c>
      <c r="B17" s="79">
        <f>B5</f>
        <v>0</v>
      </c>
      <c r="C17" s="65">
        <f>SUMIF(Q:Q,A17,N:N)</f>
        <v>0</v>
      </c>
      <c r="D17" s="58">
        <f t="shared" ref="D17:D28" si="0">B17-C17</f>
        <v>0</v>
      </c>
      <c r="E17">
        <f>COUNTIF(tables_313100!B:B,input_313100!A17)-COUNTIF(Q:Q,A17)</f>
        <v>74</v>
      </c>
      <c r="F17" s="60">
        <f t="shared" ref="F17:F27" si="1">IFERROR(D17/E17,0)</f>
        <v>0</v>
      </c>
      <c r="G17">
        <f>A$36*D17</f>
        <v>0</v>
      </c>
      <c r="H17">
        <f t="shared" ref="H17:H27" si="2">IFERROR(ROUND(G17/E17,5),0)</f>
        <v>0</v>
      </c>
      <c r="I17">
        <f>MOD(H17,1)</f>
        <v>0</v>
      </c>
      <c r="J17">
        <f t="shared" ref="J17:J27" si="3">IFERROR(1/I17,1)</f>
        <v>1</v>
      </c>
      <c r="L17" s="47"/>
      <c r="M17" s="53"/>
      <c r="N17" s="51"/>
      <c r="O17" s="53"/>
      <c r="P17" s="53"/>
      <c r="Q17" s="53"/>
    </row>
    <row r="18" spans="1:17">
      <c r="A18" s="47" t="s">
        <v>118</v>
      </c>
      <c r="B18" s="78">
        <f>B6-B19-B20-B21-B22</f>
        <v>0.90499999999999992</v>
      </c>
      <c r="C18" s="65">
        <f>SUMIF(Q:Q,A18,N:N)</f>
        <v>0</v>
      </c>
      <c r="D18" s="58">
        <f t="shared" si="0"/>
        <v>0.90499999999999992</v>
      </c>
      <c r="E18">
        <f>COUNTIF(tables_313100!B:B,input_313100!A18)-COUNTIF(Q:Q,A18)</f>
        <v>74</v>
      </c>
      <c r="F18" s="60">
        <f t="shared" si="1"/>
        <v>1.2229729729729728E-2</v>
      </c>
      <c r="G18">
        <f>A$36*D18</f>
        <v>25314659.999999996</v>
      </c>
      <c r="H18">
        <f t="shared" si="2"/>
        <v>342090</v>
      </c>
      <c r="I18">
        <f t="shared" ref="I18:I27" si="4">MOD(H18,1)</f>
        <v>0</v>
      </c>
      <c r="J18">
        <f t="shared" si="3"/>
        <v>1</v>
      </c>
      <c r="L18" s="47"/>
      <c r="M18" s="53"/>
      <c r="N18" s="51"/>
      <c r="O18" s="53"/>
      <c r="P18" s="53"/>
      <c r="Q18" s="53"/>
    </row>
    <row r="19" spans="1:17">
      <c r="A19" s="47" t="s">
        <v>128</v>
      </c>
      <c r="B19" s="75">
        <f>1.8%*1.5</f>
        <v>2.7000000000000003E-2</v>
      </c>
      <c r="C19" s="65">
        <f>SUMIF(Q:Q,A19,N:N)</f>
        <v>0</v>
      </c>
      <c r="D19" s="58">
        <f t="shared" si="0"/>
        <v>2.7000000000000003E-2</v>
      </c>
      <c r="E19">
        <f>COUNTIF(tables_313100!B:B,input_313100!A19)-COUNTIF(Q:Q,A19)</f>
        <v>14</v>
      </c>
      <c r="F19" s="60">
        <f t="shared" si="1"/>
        <v>1.9285714285714288E-3</v>
      </c>
      <c r="G19">
        <f>A$36*D19</f>
        <v>755244.00000000012</v>
      </c>
      <c r="H19">
        <f t="shared" si="2"/>
        <v>53946</v>
      </c>
      <c r="I19">
        <f t="shared" si="4"/>
        <v>0</v>
      </c>
      <c r="J19">
        <f t="shared" si="3"/>
        <v>1</v>
      </c>
      <c r="L19" s="47"/>
      <c r="M19" s="53"/>
      <c r="N19" s="51"/>
      <c r="O19" s="53"/>
      <c r="P19" s="53"/>
      <c r="Q19" s="53"/>
    </row>
    <row r="20" spans="1:17">
      <c r="A20" s="47" t="s">
        <v>130</v>
      </c>
      <c r="B20" s="75">
        <v>1.7999999999999999E-2</v>
      </c>
      <c r="C20" s="65">
        <f t="shared" ref="C20:C27" si="5">SUMIF(Q:Q,A20,N:N)</f>
        <v>0</v>
      </c>
      <c r="D20" s="58">
        <f t="shared" si="0"/>
        <v>1.7999999999999999E-2</v>
      </c>
      <c r="E20">
        <f>COUNTIF(tables_313100!B:B,input_313100!A20)-COUNTIF(Q:Q,A20)</f>
        <v>12</v>
      </c>
      <c r="F20" s="60">
        <f t="shared" si="1"/>
        <v>1.4999999999999998E-3</v>
      </c>
      <c r="G20">
        <f>A$36*D20</f>
        <v>503495.99999999994</v>
      </c>
      <c r="H20">
        <f t="shared" si="2"/>
        <v>41958</v>
      </c>
      <c r="I20">
        <f t="shared" si="4"/>
        <v>0</v>
      </c>
      <c r="J20">
        <f t="shared" si="3"/>
        <v>1</v>
      </c>
      <c r="L20" s="47"/>
      <c r="M20" s="53"/>
      <c r="N20" s="51"/>
      <c r="O20" s="53"/>
      <c r="P20" s="53"/>
      <c r="Q20" s="53"/>
    </row>
    <row r="21" spans="1:17">
      <c r="A21" s="47" t="s">
        <v>132</v>
      </c>
      <c r="B21" s="76">
        <v>0</v>
      </c>
      <c r="C21" s="65">
        <f t="shared" si="5"/>
        <v>0</v>
      </c>
      <c r="D21" s="58">
        <f t="shared" si="0"/>
        <v>0</v>
      </c>
      <c r="E21">
        <f>COUNTIF(tables_313100!B:B,input_313100!A21)-COUNTIF(Q:Q,A21)</f>
        <v>0</v>
      </c>
      <c r="F21" s="60">
        <f t="shared" si="1"/>
        <v>0</v>
      </c>
      <c r="G21">
        <f t="shared" ref="G21:G27" si="6">A$36*D21</f>
        <v>0</v>
      </c>
      <c r="H21">
        <f t="shared" si="2"/>
        <v>0</v>
      </c>
      <c r="I21">
        <f t="shared" si="4"/>
        <v>0</v>
      </c>
      <c r="J21">
        <f t="shared" si="3"/>
        <v>1</v>
      </c>
      <c r="L21" s="47"/>
      <c r="M21" s="53"/>
      <c r="N21" s="51"/>
      <c r="O21" s="53"/>
      <c r="P21" s="53"/>
      <c r="Q21" s="53"/>
    </row>
    <row r="22" spans="1:17">
      <c r="A22" s="47" t="s">
        <v>134</v>
      </c>
      <c r="B22" s="76">
        <v>0</v>
      </c>
      <c r="C22" s="65">
        <f t="shared" si="5"/>
        <v>0</v>
      </c>
      <c r="D22" s="58">
        <f t="shared" si="0"/>
        <v>0</v>
      </c>
      <c r="E22">
        <f>COUNTIF(tables_313100!B:B,input_313100!A22)-COUNTIF(Q:Q,A22)</f>
        <v>0</v>
      </c>
      <c r="F22" s="60">
        <f t="shared" si="1"/>
        <v>0</v>
      </c>
      <c r="G22">
        <f t="shared" si="6"/>
        <v>0</v>
      </c>
      <c r="H22">
        <f t="shared" si="2"/>
        <v>0</v>
      </c>
      <c r="I22">
        <f t="shared" si="4"/>
        <v>0</v>
      </c>
      <c r="J22">
        <f t="shared" si="3"/>
        <v>1</v>
      </c>
      <c r="L22" s="47"/>
      <c r="M22" s="53"/>
      <c r="N22" s="51"/>
      <c r="O22" s="53"/>
      <c r="P22" s="53"/>
      <c r="Q22" s="53"/>
    </row>
    <row r="23" spans="1:17">
      <c r="A23" s="47" t="s">
        <v>119</v>
      </c>
      <c r="B23" s="77">
        <f>B7-B24-B25-B26-B27</f>
        <v>2.4999999999999998E-2</v>
      </c>
      <c r="C23" s="65">
        <f t="shared" si="5"/>
        <v>0</v>
      </c>
      <c r="D23" s="58">
        <f t="shared" si="0"/>
        <v>2.4999999999999998E-2</v>
      </c>
      <c r="E23">
        <f>COUNTIF(tables_313100!B:B,input_313100!A23)-COUNTIF(Q:Q,A23)</f>
        <v>54</v>
      </c>
      <c r="F23" s="60">
        <f t="shared" si="1"/>
        <v>4.6296296296296293E-4</v>
      </c>
      <c r="G23">
        <f>A$36*D23</f>
        <v>699299.99999999988</v>
      </c>
      <c r="H23">
        <f t="shared" si="2"/>
        <v>12950</v>
      </c>
      <c r="I23">
        <f t="shared" si="4"/>
        <v>0</v>
      </c>
      <c r="J23">
        <f t="shared" si="3"/>
        <v>1</v>
      </c>
      <c r="L23" s="47"/>
      <c r="M23" s="53"/>
      <c r="N23" s="47"/>
      <c r="O23" s="53"/>
      <c r="P23" s="53"/>
      <c r="Q23" s="53"/>
    </row>
    <row r="24" spans="1:17">
      <c r="A24" s="47" t="s">
        <v>136</v>
      </c>
      <c r="B24" s="74">
        <v>3.0000000000000001E-3</v>
      </c>
      <c r="C24" s="65">
        <f t="shared" si="5"/>
        <v>0</v>
      </c>
      <c r="D24" s="58">
        <f t="shared" si="0"/>
        <v>3.0000000000000001E-3</v>
      </c>
      <c r="E24">
        <f>COUNTIF(tables_313100!B:B,input_313100!A24)-COUNTIF(Q:Q,A24)</f>
        <v>14</v>
      </c>
      <c r="F24" s="60">
        <f t="shared" si="1"/>
        <v>2.142857142857143E-4</v>
      </c>
      <c r="G24">
        <f t="shared" si="6"/>
        <v>83916</v>
      </c>
      <c r="H24">
        <f t="shared" si="2"/>
        <v>5994</v>
      </c>
      <c r="I24">
        <f t="shared" si="4"/>
        <v>0</v>
      </c>
      <c r="J24">
        <f t="shared" si="3"/>
        <v>1</v>
      </c>
      <c r="L24" s="47"/>
      <c r="M24" s="53"/>
      <c r="N24" s="47"/>
      <c r="O24" s="53"/>
      <c r="P24" s="53"/>
      <c r="Q24" s="53"/>
    </row>
    <row r="25" spans="1:17">
      <c r="A25" s="47" t="s">
        <v>138</v>
      </c>
      <c r="B25" s="74">
        <v>2E-3</v>
      </c>
      <c r="C25" s="65">
        <f t="shared" si="5"/>
        <v>0</v>
      </c>
      <c r="D25" s="58">
        <f t="shared" si="0"/>
        <v>2E-3</v>
      </c>
      <c r="E25">
        <f>COUNTIF(tables_313100!B:B,input_313100!A25)-COUNTIF(Q:Q,A25)</f>
        <v>12</v>
      </c>
      <c r="F25" s="60">
        <f t="shared" si="1"/>
        <v>1.6666666666666666E-4</v>
      </c>
      <c r="G25">
        <f t="shared" si="6"/>
        <v>55944</v>
      </c>
      <c r="H25">
        <f t="shared" si="2"/>
        <v>4662</v>
      </c>
      <c r="I25">
        <f t="shared" si="4"/>
        <v>0</v>
      </c>
      <c r="J25">
        <f t="shared" si="3"/>
        <v>1</v>
      </c>
      <c r="L25" s="47"/>
      <c r="M25" s="53"/>
      <c r="N25" s="47"/>
      <c r="O25" s="53"/>
      <c r="P25" s="53"/>
      <c r="Q25" s="53"/>
    </row>
    <row r="26" spans="1:17">
      <c r="A26" s="47" t="s">
        <v>140</v>
      </c>
      <c r="B26" s="74">
        <f>1.5%</f>
        <v>1.4999999999999999E-2</v>
      </c>
      <c r="C26" s="65">
        <f t="shared" si="5"/>
        <v>0</v>
      </c>
      <c r="D26" s="58">
        <f t="shared" si="0"/>
        <v>1.4999999999999999E-2</v>
      </c>
      <c r="E26">
        <f>COUNTIF(tables_313100!B:B,input_313100!A26)-COUNTIF(Q:Q,A26)</f>
        <v>2</v>
      </c>
      <c r="F26" s="60">
        <f t="shared" si="1"/>
        <v>7.4999999999999997E-3</v>
      </c>
      <c r="G26">
        <f t="shared" si="6"/>
        <v>419580</v>
      </c>
      <c r="H26">
        <f t="shared" si="2"/>
        <v>209790</v>
      </c>
      <c r="I26">
        <f t="shared" si="4"/>
        <v>0</v>
      </c>
      <c r="J26">
        <f t="shared" si="3"/>
        <v>1</v>
      </c>
      <c r="L26" s="47"/>
      <c r="M26" s="53"/>
      <c r="N26" s="47"/>
      <c r="O26" s="53"/>
      <c r="P26" s="53"/>
      <c r="Q26" s="53"/>
    </row>
    <row r="27" spans="1:17">
      <c r="A27" s="47" t="s">
        <v>142</v>
      </c>
      <c r="B27" s="74">
        <f>0.5%</f>
        <v>5.0000000000000001E-3</v>
      </c>
      <c r="C27" s="65">
        <f t="shared" si="5"/>
        <v>0</v>
      </c>
      <c r="D27" s="58">
        <f t="shared" si="0"/>
        <v>5.0000000000000001E-3</v>
      </c>
      <c r="E27">
        <f>COUNTIF(tables_313100!B:B,input_313100!A27)-COUNTIF(Q:Q,A27)</f>
        <v>2</v>
      </c>
      <c r="F27" s="60">
        <f t="shared" si="1"/>
        <v>2.5000000000000001E-3</v>
      </c>
      <c r="G27">
        <f t="shared" si="6"/>
        <v>139860</v>
      </c>
      <c r="H27">
        <f t="shared" si="2"/>
        <v>69930</v>
      </c>
      <c r="I27">
        <f t="shared" si="4"/>
        <v>0</v>
      </c>
      <c r="J27">
        <f t="shared" si="3"/>
        <v>1</v>
      </c>
      <c r="L27" s="47"/>
      <c r="M27" s="53"/>
      <c r="N27" s="47"/>
      <c r="O27" s="53"/>
      <c r="P27" s="53"/>
      <c r="Q27" s="53"/>
    </row>
    <row r="28" spans="1:17">
      <c r="A28" s="55" t="s">
        <v>76</v>
      </c>
      <c r="B28" s="56">
        <f>SUM(B17:B27)</f>
        <v>1</v>
      </c>
      <c r="C28" s="57">
        <f>SUM(C17:C26)</f>
        <v>0</v>
      </c>
      <c r="D28" s="59">
        <f t="shared" si="0"/>
        <v>1</v>
      </c>
      <c r="L28" s="47"/>
      <c r="M28" s="53"/>
      <c r="N28" s="47"/>
      <c r="O28" s="53"/>
      <c r="P28" s="53"/>
      <c r="Q28" s="53"/>
    </row>
    <row r="35" spans="1:6">
      <c r="A35" t="s">
        <v>91</v>
      </c>
    </row>
    <row r="36" spans="1:6">
      <c r="A36" s="34">
        <f>14*54*74*250*2</f>
        <v>27972000</v>
      </c>
    </row>
    <row r="38" spans="1:6">
      <c r="A38" s="64" t="s">
        <v>95</v>
      </c>
    </row>
    <row r="39" spans="1:6">
      <c r="A39" s="47" t="s">
        <v>77</v>
      </c>
      <c r="B39" t="s">
        <v>92</v>
      </c>
      <c r="C39" t="s">
        <v>120</v>
      </c>
      <c r="E39" t="s">
        <v>121</v>
      </c>
    </row>
    <row r="40" spans="1:6">
      <c r="A40" s="47" t="s">
        <v>143</v>
      </c>
      <c r="B40">
        <f ca="1">SUMIF(tables_313100!B:B,input_313100!A40,tables_313100!M:M)</f>
        <v>0</v>
      </c>
      <c r="C40" s="72">
        <f ca="1">B40/B$51</f>
        <v>0</v>
      </c>
      <c r="E40">
        <v>3</v>
      </c>
      <c r="F40" s="73">
        <f ca="1">C40</f>
        <v>0</v>
      </c>
    </row>
    <row r="41" spans="1:6">
      <c r="A41" s="47" t="s">
        <v>144</v>
      </c>
      <c r="B41">
        <f ca="1">SUMIF(tables_313100!B:B,input_313100!A41,tables_313100!M:M)</f>
        <v>25314660</v>
      </c>
      <c r="C41" s="72">
        <f t="shared" ref="C41:C50" ca="1" si="7">B41/B$51</f>
        <v>0.90500000000000003</v>
      </c>
      <c r="E41">
        <v>4</v>
      </c>
      <c r="F41" s="73">
        <f ca="1">SUM(C41:C45)</f>
        <v>0.95000000000000007</v>
      </c>
    </row>
    <row r="42" spans="1:6">
      <c r="A42" s="47" t="s">
        <v>127</v>
      </c>
      <c r="B42">
        <f ca="1">SUMIF(tables_313100!B:B,input_313100!A42,tables_313100!M:M)</f>
        <v>755244</v>
      </c>
      <c r="C42" s="72">
        <f t="shared" ca="1" si="7"/>
        <v>2.7E-2</v>
      </c>
      <c r="E42">
        <v>5</v>
      </c>
      <c r="F42" s="73">
        <f ca="1">SUM(C46:C50)</f>
        <v>4.9999999999999996E-2</v>
      </c>
    </row>
    <row r="43" spans="1:6">
      <c r="A43" s="47" t="s">
        <v>129</v>
      </c>
      <c r="B43">
        <f ca="1">SUMIF(tables_313100!B:B,input_313100!A43,tables_313100!M:M)</f>
        <v>503496</v>
      </c>
      <c r="C43" s="72">
        <f t="shared" ca="1" si="7"/>
        <v>1.7999999999999999E-2</v>
      </c>
      <c r="F43" s="73"/>
    </row>
    <row r="44" spans="1:6">
      <c r="A44" s="47" t="s">
        <v>131</v>
      </c>
      <c r="B44">
        <f>SUMIF(tables_313100!B:B,input_313100!A44,tables_313100!M:M)</f>
        <v>0</v>
      </c>
      <c r="C44" s="72">
        <f t="shared" ca="1" si="7"/>
        <v>0</v>
      </c>
    </row>
    <row r="45" spans="1:6">
      <c r="A45" s="47" t="s">
        <v>133</v>
      </c>
      <c r="B45">
        <f>SUMIF(tables_313100!B:B,input_313100!A45,tables_313100!M:M)</f>
        <v>0</v>
      </c>
      <c r="C45" s="72">
        <f t="shared" ca="1" si="7"/>
        <v>0</v>
      </c>
    </row>
    <row r="46" spans="1:6">
      <c r="A46" s="47" t="s">
        <v>145</v>
      </c>
      <c r="B46">
        <f ca="1">SUMIF(tables_313100!B:B,input_313100!A46,tables_313100!M:M)</f>
        <v>699300</v>
      </c>
      <c r="C46" s="72">
        <f t="shared" ca="1" si="7"/>
        <v>2.5000000000000001E-2</v>
      </c>
      <c r="E46" t="s">
        <v>70</v>
      </c>
    </row>
    <row r="47" spans="1:6">
      <c r="A47" s="47" t="s">
        <v>135</v>
      </c>
      <c r="B47">
        <f ca="1">SUMIF(tables_313100!B:B,input_313100!A47,tables_313100!M:M)</f>
        <v>83916</v>
      </c>
      <c r="C47" s="72">
        <f ca="1">B47/B$51</f>
        <v>3.0000000000000001E-3</v>
      </c>
      <c r="E47" t="s">
        <v>123</v>
      </c>
      <c r="F47" s="73">
        <f ca="1">C40+C41+C46</f>
        <v>0.93</v>
      </c>
    </row>
    <row r="48" spans="1:6">
      <c r="A48" s="47" t="s">
        <v>137</v>
      </c>
      <c r="B48">
        <f ca="1">SUMIF(tables_313100!B:B,input_313100!A48,tables_313100!M:M)</f>
        <v>55944</v>
      </c>
      <c r="C48" s="72">
        <f t="shared" ca="1" si="7"/>
        <v>2E-3</v>
      </c>
      <c r="F48" s="73"/>
    </row>
    <row r="49" spans="1:6">
      <c r="A49" s="47" t="s">
        <v>139</v>
      </c>
      <c r="B49">
        <f ca="1">SUMIF(tables_313100!B:B,input_313100!A49,tables_313100!M:M)</f>
        <v>419580</v>
      </c>
      <c r="C49" s="72">
        <f t="shared" ca="1" si="7"/>
        <v>1.4999999999999999E-2</v>
      </c>
      <c r="F49" s="73"/>
    </row>
    <row r="50" spans="1:6">
      <c r="A50" s="47" t="s">
        <v>141</v>
      </c>
      <c r="B50">
        <f ca="1">SUMIF(tables_313100!B:B,input_313100!A50,tables_313100!M:M)</f>
        <v>139860</v>
      </c>
      <c r="C50" s="72">
        <f t="shared" ca="1" si="7"/>
        <v>5.0000000000000001E-3</v>
      </c>
      <c r="E50" t="s">
        <v>124</v>
      </c>
      <c r="F50" s="73">
        <f ca="1">C42+C43+C47+C48</f>
        <v>0.05</v>
      </c>
    </row>
    <row r="51" spans="1:6">
      <c r="A51" s="55" t="s">
        <v>76</v>
      </c>
      <c r="B51">
        <f ca="1">SUM(B40:B50)</f>
        <v>27972000</v>
      </c>
      <c r="E51" t="s">
        <v>125</v>
      </c>
      <c r="F51" s="73">
        <f ca="1">C44+C45+C49+C50</f>
        <v>0.02</v>
      </c>
    </row>
  </sheetData>
  <phoneticPr fontId="15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 enableFormatConditionsCalculation="0">
    <tabColor rgb="FF0000FF"/>
    <outlinePr summaryBelow="0" summaryRight="0"/>
  </sheetPr>
  <dimension ref="A1:T259"/>
  <sheetViews>
    <sheetView showGridLines="0" zoomScale="75" zoomScaleNormal="75" zoomScalePageLayoutView="75" workbookViewId="0">
      <pane ySplit="1" topLeftCell="A247" activePane="bottomLeft" state="frozen"/>
      <selection activeCell="M2" sqref="M2"/>
      <selection pane="bottomLeft" activeCell="C257" sqref="C257"/>
    </sheetView>
  </sheetViews>
  <sheetFormatPr baseColWidth="12" defaultRowHeight="21" customHeight="1" outlineLevelCol="1" x14ac:dyDescent="0"/>
  <cols>
    <col min="1" max="1" width="12.6640625" style="1" bestFit="1" customWidth="1"/>
    <col min="2" max="2" width="17.6640625" style="1" bestFit="1" customWidth="1" outlineLevel="1"/>
    <col min="3" max="4" width="17.6640625" style="1" customWidth="1" outlineLevel="1"/>
    <col min="5" max="5" width="10.5" style="1" customWidth="1"/>
    <col min="6" max="6" width="23.33203125" style="1" customWidth="1" outlineLevel="1"/>
    <col min="7" max="7" width="13.6640625" style="1" customWidth="1" outlineLevel="1"/>
    <col min="8" max="8" width="9.6640625" style="1" customWidth="1" outlineLevel="1"/>
    <col min="9" max="9" width="10.5" style="4" customWidth="1" outlineLevel="1"/>
    <col min="10" max="10" width="18.83203125" style="1" customWidth="1" outlineLevel="1"/>
    <col min="11" max="12" width="19" style="1" customWidth="1" outlineLevel="1"/>
    <col min="13" max="13" width="11.33203125" style="1" bestFit="1" customWidth="1"/>
    <col min="14" max="14" width="11.33203125" style="1" customWidth="1"/>
    <col min="15" max="15" width="13.1640625" style="1" bestFit="1" customWidth="1"/>
    <col min="16" max="16384" width="12.83203125" style="1"/>
  </cols>
  <sheetData>
    <row r="1" spans="1:20" ht="21" customHeight="1">
      <c r="A1" s="14" t="s">
        <v>103</v>
      </c>
      <c r="B1" s="3" t="s">
        <v>32</v>
      </c>
      <c r="C1" s="3" t="s">
        <v>115</v>
      </c>
      <c r="D1" s="3" t="s">
        <v>126</v>
      </c>
      <c r="E1" s="16" t="s">
        <v>1</v>
      </c>
      <c r="F1" s="3" t="s">
        <v>34</v>
      </c>
      <c r="G1" s="3" t="s">
        <v>35</v>
      </c>
      <c r="H1" s="3" t="s">
        <v>3</v>
      </c>
      <c r="I1" s="3" t="s">
        <v>55</v>
      </c>
      <c r="J1" s="3" t="s">
        <v>37</v>
      </c>
      <c r="K1" s="3" t="s">
        <v>38</v>
      </c>
      <c r="L1" s="3" t="s">
        <v>75</v>
      </c>
      <c r="M1" s="16" t="s">
        <v>13</v>
      </c>
      <c r="N1" s="3" t="s">
        <v>81</v>
      </c>
      <c r="O1" s="16" t="s">
        <v>39</v>
      </c>
      <c r="P1" s="30" t="s">
        <v>6</v>
      </c>
      <c r="Q1" s="30" t="s">
        <v>7</v>
      </c>
      <c r="R1" s="30" t="s">
        <v>8</v>
      </c>
      <c r="S1" s="30" t="s">
        <v>9</v>
      </c>
      <c r="T1" s="30" t="s">
        <v>10</v>
      </c>
    </row>
    <row r="2" spans="1:20" ht="21" customHeight="1">
      <c r="A2" s="2" t="str">
        <f ca="1">input_313100!A$2</f>
        <v>313100</v>
      </c>
      <c r="B2" s="7" t="str">
        <f t="shared" ref="B2:B65" si="0">C2&amp;IF(C2="premium",,D2)&amp;H2</f>
        <v>Premium3</v>
      </c>
      <c r="C2" s="7" t="str">
        <f>IF(G2="PremiumSS",G2,IF(G2="PremiumSSS",G2,"Premium"))</f>
        <v>Premium</v>
      </c>
      <c r="D2" s="7" t="str">
        <f>IF(I2="red","ry",IF(I2="yellow","ry","bg"))</f>
        <v>ry</v>
      </c>
      <c r="E2" s="6">
        <v>126</v>
      </c>
      <c r="F2" s="7" t="str">
        <f>VLOOKUP(E2,[1]characters!$A:$C,3,FALSE)</f>
        <v>骨器使い ユノ</v>
      </c>
      <c r="G2" s="7" t="str">
        <f>VLOOKUP(E2,[1]characters!$A:$J,10,FALSE)</f>
        <v>PremiumW</v>
      </c>
      <c r="H2" s="7">
        <f>VLOOKUP(E2,[1]characters!$A:$I,9,FALSE)</f>
        <v>3</v>
      </c>
      <c r="I2" s="7" t="str">
        <f>VLOOKUP(E2,[1]characters!$A:$H,8,FALSE)</f>
        <v>red</v>
      </c>
      <c r="J2" s="7" t="str">
        <f>VLOOKUP(E2,[1]characters!$A:$K,11,FALSE)</f>
        <v>attack</v>
      </c>
      <c r="K2" s="7" t="str">
        <f>VLOOKUP(E2,[1]characters!$A:$M,13,FALSE)</f>
        <v>human</v>
      </c>
      <c r="L2" s="7" t="str">
        <f>VLOOKUP(E2,[1]characters!$A:$G,7,FALSE)</f>
        <v>女性</v>
      </c>
      <c r="M2" s="62">
        <f ca="1">IFERROR(VLOOKUP(E2,input_313100!L:R,7,FALSE),VLOOKUP(tables_313100!B2,input_313100!A:H,8,FALSE))</f>
        <v>0</v>
      </c>
      <c r="N2" s="63">
        <f ca="1">M2/SUM(M:M)</f>
        <v>0</v>
      </c>
      <c r="O2" s="31">
        <f>IFERROR(VLOOKUP($E2,bug_conf_sheet!$A:$H,3,FALSE),VLOOKUP("other",bug_conf_sheet!$A:$H,3,FALSE))</f>
        <v>1</v>
      </c>
      <c r="P2" s="31">
        <f>IFERROR(VLOOKUP($E2,bug_conf_sheet!$A:$H,4,FALSE),VLOOKUP("other",bug_conf_sheet!$A:$H,4,FALSE))</f>
        <v>0</v>
      </c>
      <c r="Q2" s="31">
        <f>IFERROR(VLOOKUP($E2,bug_conf_sheet!$A:$H,5,FALSE),VLOOKUP("other",bug_conf_sheet!$A:$H,5,FALSE))</f>
        <v>0</v>
      </c>
      <c r="R2" s="31">
        <f>IFERROR(VLOOKUP($E2,bug_conf_sheet!$A:$H,6,FALSE),VLOOKUP("other",bug_conf_sheet!$A:$H,6,FALSE))</f>
        <v>0</v>
      </c>
      <c r="S2" s="31">
        <f>IFERROR(VLOOKUP($E2,bug_conf_sheet!$A:$H,7,FALSE),VLOOKUP("other",bug_conf_sheet!$A:$H,7,FALSE))</f>
        <v>0</v>
      </c>
      <c r="T2" s="31">
        <f>IFERROR(VLOOKUP($E2,bug_conf_sheet!$A:$H,8,FALSE),VLOOKUP("other",bug_conf_sheet!$A:$H,8,FALSE))</f>
        <v>1</v>
      </c>
    </row>
    <row r="3" spans="1:20" ht="21" customHeight="1">
      <c r="A3" s="2" t="str">
        <f ca="1">input_313100!A$2</f>
        <v>313100</v>
      </c>
      <c r="B3" s="7" t="str">
        <f t="shared" ref="B3:B66" si="1">C3&amp;IF(C3="premium",,D3)&amp;H3</f>
        <v>Premium4</v>
      </c>
      <c r="C3" s="7" t="str">
        <f t="shared" ref="C3:C66" si="2">IF(G3="PremiumSS",G3,IF(G3="PremiumSSS",G3,"Premium"))</f>
        <v>Premium</v>
      </c>
      <c r="D3" s="7" t="str">
        <f t="shared" ref="D3:D66" si="3">IF(I3="red","ry",IF(I3="yellow","ry","bg"))</f>
        <v>ry</v>
      </c>
      <c r="E3" s="6">
        <v>127</v>
      </c>
      <c r="F3" s="7" t="str">
        <f>VLOOKUP(E3,[1]characters!$A:$C,3,FALSE)</f>
        <v>狂喜の賢者 ユノ</v>
      </c>
      <c r="G3" s="7" t="str">
        <f>VLOOKUP(E3,[1]characters!$A:$J,10,FALSE)</f>
        <v>PremiumW</v>
      </c>
      <c r="H3" s="7">
        <f>VLOOKUP(E3,[1]characters!$A:$I,9,FALSE)</f>
        <v>4</v>
      </c>
      <c r="I3" s="7" t="str">
        <f>VLOOKUP(E3,[1]characters!$A:$H,8,FALSE)</f>
        <v>red</v>
      </c>
      <c r="J3" s="7" t="str">
        <f>VLOOKUP(E3,[1]characters!$A:$K,11,FALSE)</f>
        <v>attack</v>
      </c>
      <c r="K3" s="7" t="str">
        <f>VLOOKUP(E3,[1]characters!$A:$M,13,FALSE)</f>
        <v>human</v>
      </c>
      <c r="L3" s="7" t="str">
        <f>VLOOKUP(E3,[1]characters!$A:$G,7,FALSE)</f>
        <v>女性</v>
      </c>
      <c r="M3" s="62">
        <f ca="1">IFERROR(VLOOKUP(E3,input_313100!L:R,7,FALSE),VLOOKUP(tables_313100!B3,input_313100!A:H,8,FALSE))</f>
        <v>342090</v>
      </c>
      <c r="N3" s="63">
        <f t="shared" ref="N3:N66" ca="1" si="4">M3/SUM(M:M)</f>
        <v>1.222972972972973E-2</v>
      </c>
      <c r="O3" s="31">
        <f>IFERROR(VLOOKUP($E3,bug_conf_sheet!$A:$H,3,FALSE),VLOOKUP("other",bug_conf_sheet!$A:$H,3,FALSE))</f>
        <v>1</v>
      </c>
      <c r="P3" s="31">
        <f>IFERROR(VLOOKUP($E3,bug_conf_sheet!$A:$H,4,FALSE),VLOOKUP("other",bug_conf_sheet!$A:$H,4,FALSE))</f>
        <v>0</v>
      </c>
      <c r="Q3" s="31">
        <f>IFERROR(VLOOKUP($E3,bug_conf_sheet!$A:$H,5,FALSE),VLOOKUP("other",bug_conf_sheet!$A:$H,5,FALSE))</f>
        <v>0</v>
      </c>
      <c r="R3" s="31">
        <f>IFERROR(VLOOKUP($E3,bug_conf_sheet!$A:$H,6,FALSE),VLOOKUP("other",bug_conf_sheet!$A:$H,6,FALSE))</f>
        <v>0</v>
      </c>
      <c r="S3" s="31">
        <f>IFERROR(VLOOKUP($E3,bug_conf_sheet!$A:$H,7,FALSE),VLOOKUP("other",bug_conf_sheet!$A:$H,7,FALSE))</f>
        <v>0</v>
      </c>
      <c r="T3" s="31">
        <f>IFERROR(VLOOKUP($E3,bug_conf_sheet!$A:$H,8,FALSE),VLOOKUP("other",bug_conf_sheet!$A:$H,8,FALSE))</f>
        <v>1</v>
      </c>
    </row>
    <row r="4" spans="1:20" ht="21" customHeight="1">
      <c r="A4" s="2" t="str">
        <f ca="1">input_313100!A$2</f>
        <v>313100</v>
      </c>
      <c r="B4" s="7" t="str">
        <f t="shared" si="1"/>
        <v>Premium3</v>
      </c>
      <c r="C4" s="7" t="str">
        <f t="shared" si="2"/>
        <v>Premium</v>
      </c>
      <c r="D4" s="7" t="str">
        <f t="shared" si="3"/>
        <v>bg</v>
      </c>
      <c r="E4" s="6">
        <v>128</v>
      </c>
      <c r="F4" s="7" t="str">
        <f>VLOOKUP(E4,[1]characters!$A:$C,3,FALSE)</f>
        <v>野生児 アマラ</v>
      </c>
      <c r="G4" s="7" t="str">
        <f>VLOOKUP(E4,[1]characters!$A:$J,10,FALSE)</f>
        <v>PremiumW</v>
      </c>
      <c r="H4" s="7">
        <f>VLOOKUP(E4,[1]characters!$A:$I,9,FALSE)</f>
        <v>3</v>
      </c>
      <c r="I4" s="7" t="str">
        <f>VLOOKUP(E4,[1]characters!$A:$H,8,FALSE)</f>
        <v>green</v>
      </c>
      <c r="J4" s="7" t="str">
        <f>VLOOKUP(E4,[1]characters!$A:$K,11,FALSE)</f>
        <v>attack</v>
      </c>
      <c r="K4" s="7" t="str">
        <f>VLOOKUP(E4,[1]characters!$A:$M,13,FALSE)</f>
        <v>human</v>
      </c>
      <c r="L4" s="7" t="str">
        <f>VLOOKUP(E4,[1]characters!$A:$G,7,FALSE)</f>
        <v>女性</v>
      </c>
      <c r="M4" s="62">
        <f ca="1">IFERROR(VLOOKUP(E4,input_313100!L:R,7,FALSE),VLOOKUP(tables_313100!B4,input_313100!A:H,8,FALSE))</f>
        <v>0</v>
      </c>
      <c r="N4" s="63">
        <f t="shared" ca="1" si="4"/>
        <v>0</v>
      </c>
      <c r="O4" s="31">
        <f>IFERROR(VLOOKUP($E4,bug_conf_sheet!$A:$H,3,FALSE),VLOOKUP("other",bug_conf_sheet!$A:$H,3,FALSE))</f>
        <v>1</v>
      </c>
      <c r="P4" s="31">
        <f>IFERROR(VLOOKUP($E4,bug_conf_sheet!$A:$H,4,FALSE),VLOOKUP("other",bug_conf_sheet!$A:$H,4,FALSE))</f>
        <v>0</v>
      </c>
      <c r="Q4" s="31">
        <f>IFERROR(VLOOKUP($E4,bug_conf_sheet!$A:$H,5,FALSE),VLOOKUP("other",bug_conf_sheet!$A:$H,5,FALSE))</f>
        <v>0</v>
      </c>
      <c r="R4" s="31">
        <f>IFERROR(VLOOKUP($E4,bug_conf_sheet!$A:$H,6,FALSE),VLOOKUP("other",bug_conf_sheet!$A:$H,6,FALSE))</f>
        <v>0</v>
      </c>
      <c r="S4" s="31">
        <f>IFERROR(VLOOKUP($E4,bug_conf_sheet!$A:$H,7,FALSE),VLOOKUP("other",bug_conf_sheet!$A:$H,7,FALSE))</f>
        <v>0</v>
      </c>
      <c r="T4" s="31">
        <f>IFERROR(VLOOKUP($E4,bug_conf_sheet!$A:$H,8,FALSE),VLOOKUP("other",bug_conf_sheet!$A:$H,8,FALSE))</f>
        <v>1</v>
      </c>
    </row>
    <row r="5" spans="1:20" ht="21" customHeight="1">
      <c r="A5" s="2" t="str">
        <f ca="1">input_313100!A$2</f>
        <v>313100</v>
      </c>
      <c r="B5" s="7" t="str">
        <f t="shared" si="1"/>
        <v>Premium4</v>
      </c>
      <c r="C5" s="7" t="str">
        <f t="shared" si="2"/>
        <v>Premium</v>
      </c>
      <c r="D5" s="7" t="str">
        <f t="shared" si="3"/>
        <v>bg</v>
      </c>
      <c r="E5" s="6">
        <v>129</v>
      </c>
      <c r="F5" s="7" t="str">
        <f>VLOOKUP(E5,[1]characters!$A:$C,3,FALSE)</f>
        <v>孤高の狼憑き アマラ</v>
      </c>
      <c r="G5" s="7" t="str">
        <f>VLOOKUP(E5,[1]characters!$A:$J,10,FALSE)</f>
        <v>PremiumW</v>
      </c>
      <c r="H5" s="7">
        <f>VLOOKUP(E5,[1]characters!$A:$I,9,FALSE)</f>
        <v>4</v>
      </c>
      <c r="I5" s="7" t="str">
        <f>VLOOKUP(E5,[1]characters!$A:$H,8,FALSE)</f>
        <v>green</v>
      </c>
      <c r="J5" s="7" t="str">
        <f>VLOOKUP(E5,[1]characters!$A:$K,11,FALSE)</f>
        <v>attack</v>
      </c>
      <c r="K5" s="7" t="str">
        <f>VLOOKUP(E5,[1]characters!$A:$M,13,FALSE)</f>
        <v>human</v>
      </c>
      <c r="L5" s="7" t="str">
        <f>VLOOKUP(E5,[1]characters!$A:$G,7,FALSE)</f>
        <v>女性</v>
      </c>
      <c r="M5" s="62">
        <f ca="1">IFERROR(VLOOKUP(E5,input_313100!L:R,7,FALSE),VLOOKUP(tables_313100!B5,input_313100!A:H,8,FALSE))</f>
        <v>342090</v>
      </c>
      <c r="N5" s="63">
        <f t="shared" ca="1" si="4"/>
        <v>1.222972972972973E-2</v>
      </c>
      <c r="O5" s="31">
        <f>IFERROR(VLOOKUP($E5,bug_conf_sheet!$A:$H,3,FALSE),VLOOKUP("other",bug_conf_sheet!$A:$H,3,FALSE))</f>
        <v>1</v>
      </c>
      <c r="P5" s="31">
        <f>IFERROR(VLOOKUP($E5,bug_conf_sheet!$A:$H,4,FALSE),VLOOKUP("other",bug_conf_sheet!$A:$H,4,FALSE))</f>
        <v>0</v>
      </c>
      <c r="Q5" s="31">
        <f>IFERROR(VLOOKUP($E5,bug_conf_sheet!$A:$H,5,FALSE),VLOOKUP("other",bug_conf_sheet!$A:$H,5,FALSE))</f>
        <v>0</v>
      </c>
      <c r="R5" s="31">
        <f>IFERROR(VLOOKUP($E5,bug_conf_sheet!$A:$H,6,FALSE),VLOOKUP("other",bug_conf_sheet!$A:$H,6,FALSE))</f>
        <v>0</v>
      </c>
      <c r="S5" s="31">
        <f>IFERROR(VLOOKUP($E5,bug_conf_sheet!$A:$H,7,FALSE),VLOOKUP("other",bug_conf_sheet!$A:$H,7,FALSE))</f>
        <v>0</v>
      </c>
      <c r="T5" s="31">
        <f>IFERROR(VLOOKUP($E5,bug_conf_sheet!$A:$H,8,FALSE),VLOOKUP("other",bug_conf_sheet!$A:$H,8,FALSE))</f>
        <v>1</v>
      </c>
    </row>
    <row r="6" spans="1:20" ht="21" customHeight="1">
      <c r="A6" s="2" t="str">
        <f ca="1">input_313100!A$2</f>
        <v>313100</v>
      </c>
      <c r="B6" s="7" t="str">
        <f t="shared" si="1"/>
        <v>Premium3</v>
      </c>
      <c r="C6" s="7" t="str">
        <f t="shared" si="2"/>
        <v>Premium</v>
      </c>
      <c r="D6" s="7" t="str">
        <f t="shared" si="3"/>
        <v>bg</v>
      </c>
      <c r="E6" s="6">
        <v>130</v>
      </c>
      <c r="F6" s="7" t="str">
        <f>VLOOKUP(E6,[1]characters!$A:$C,3,FALSE)</f>
        <v>狼男 ローレンス</v>
      </c>
      <c r="G6" s="7" t="str">
        <f>VLOOKUP(E6,[1]characters!$A:$J,10,FALSE)</f>
        <v>PremiumW</v>
      </c>
      <c r="H6" s="7">
        <f>VLOOKUP(E6,[1]characters!$A:$I,9,FALSE)</f>
        <v>3</v>
      </c>
      <c r="I6" s="7" t="str">
        <f>VLOOKUP(E6,[1]characters!$A:$H,8,FALSE)</f>
        <v>blue</v>
      </c>
      <c r="J6" s="7" t="str">
        <f>VLOOKUP(E6,[1]characters!$A:$K,11,FALSE)</f>
        <v>attack</v>
      </c>
      <c r="K6" s="7" t="str">
        <f>VLOOKUP(E6,[1]characters!$A:$M,13,FALSE)</f>
        <v>animal</v>
      </c>
      <c r="L6" s="7" t="str">
        <f>VLOOKUP(E6,[1]characters!$A:$G,7,FALSE)</f>
        <v>不明</v>
      </c>
      <c r="M6" s="62">
        <f ca="1">IFERROR(VLOOKUP(E6,input_313100!L:R,7,FALSE),VLOOKUP(tables_313100!B6,input_313100!A:H,8,FALSE))</f>
        <v>0</v>
      </c>
      <c r="N6" s="63">
        <f t="shared" ca="1" si="4"/>
        <v>0</v>
      </c>
      <c r="O6" s="31">
        <f>IFERROR(VLOOKUP($E6,bug_conf_sheet!$A:$H,3,FALSE),VLOOKUP("other",bug_conf_sheet!$A:$H,3,FALSE))</f>
        <v>1</v>
      </c>
      <c r="P6" s="31">
        <f>IFERROR(VLOOKUP($E6,bug_conf_sheet!$A:$H,4,FALSE),VLOOKUP("other",bug_conf_sheet!$A:$H,4,FALSE))</f>
        <v>0</v>
      </c>
      <c r="Q6" s="31">
        <f>IFERROR(VLOOKUP($E6,bug_conf_sheet!$A:$H,5,FALSE),VLOOKUP("other",bug_conf_sheet!$A:$H,5,FALSE))</f>
        <v>0</v>
      </c>
      <c r="R6" s="31">
        <f>IFERROR(VLOOKUP($E6,bug_conf_sheet!$A:$H,6,FALSE),VLOOKUP("other",bug_conf_sheet!$A:$H,6,FALSE))</f>
        <v>0</v>
      </c>
      <c r="S6" s="31">
        <f>IFERROR(VLOOKUP($E6,bug_conf_sheet!$A:$H,7,FALSE),VLOOKUP("other",bug_conf_sheet!$A:$H,7,FALSE))</f>
        <v>0</v>
      </c>
      <c r="T6" s="31">
        <f>IFERROR(VLOOKUP($E6,bug_conf_sheet!$A:$H,8,FALSE),VLOOKUP("other",bug_conf_sheet!$A:$H,8,FALSE))</f>
        <v>1</v>
      </c>
    </row>
    <row r="7" spans="1:20" ht="21" customHeight="1">
      <c r="A7" s="2" t="str">
        <f ca="1">input_313100!A$2</f>
        <v>313100</v>
      </c>
      <c r="B7" s="7" t="str">
        <f t="shared" si="1"/>
        <v>Premium4</v>
      </c>
      <c r="C7" s="7" t="str">
        <f t="shared" si="2"/>
        <v>Premium</v>
      </c>
      <c r="D7" s="7" t="str">
        <f t="shared" si="3"/>
        <v>bg</v>
      </c>
      <c r="E7" s="6">
        <v>131</v>
      </c>
      <c r="F7" s="7" t="str">
        <f>VLOOKUP(E7,[1]characters!$A:$C,3,FALSE)</f>
        <v>月下の人狼 ローレンス</v>
      </c>
      <c r="G7" s="7" t="str">
        <f>VLOOKUP(E7,[1]characters!$A:$J,10,FALSE)</f>
        <v>PremiumW</v>
      </c>
      <c r="H7" s="7">
        <f>VLOOKUP(E7,[1]characters!$A:$I,9,FALSE)</f>
        <v>4</v>
      </c>
      <c r="I7" s="7" t="str">
        <f>VLOOKUP(E7,[1]characters!$A:$H,8,FALSE)</f>
        <v>blue</v>
      </c>
      <c r="J7" s="7" t="str">
        <f>VLOOKUP(E7,[1]characters!$A:$K,11,FALSE)</f>
        <v>attack</v>
      </c>
      <c r="K7" s="7" t="str">
        <f>VLOOKUP(E7,[1]characters!$A:$M,13,FALSE)</f>
        <v>animal</v>
      </c>
      <c r="L7" s="7" t="str">
        <f>VLOOKUP(E7,[1]characters!$A:$G,7,FALSE)</f>
        <v>不明</v>
      </c>
      <c r="M7" s="62">
        <f ca="1">IFERROR(VLOOKUP(E7,input_313100!L:R,7,FALSE),VLOOKUP(tables_313100!B7,input_313100!A:H,8,FALSE))</f>
        <v>342090</v>
      </c>
      <c r="N7" s="63">
        <f t="shared" ca="1" si="4"/>
        <v>1.222972972972973E-2</v>
      </c>
      <c r="O7" s="31">
        <f>IFERROR(VLOOKUP($E7,bug_conf_sheet!$A:$H,3,FALSE),VLOOKUP("other",bug_conf_sheet!$A:$H,3,FALSE))</f>
        <v>1</v>
      </c>
      <c r="P7" s="31">
        <f>IFERROR(VLOOKUP($E7,bug_conf_sheet!$A:$H,4,FALSE),VLOOKUP("other",bug_conf_sheet!$A:$H,4,FALSE))</f>
        <v>0</v>
      </c>
      <c r="Q7" s="31">
        <f>IFERROR(VLOOKUP($E7,bug_conf_sheet!$A:$H,5,FALSE),VLOOKUP("other",bug_conf_sheet!$A:$H,5,FALSE))</f>
        <v>0</v>
      </c>
      <c r="R7" s="31">
        <f>IFERROR(VLOOKUP($E7,bug_conf_sheet!$A:$H,6,FALSE),VLOOKUP("other",bug_conf_sheet!$A:$H,6,FALSE))</f>
        <v>0</v>
      </c>
      <c r="S7" s="31">
        <f>IFERROR(VLOOKUP($E7,bug_conf_sheet!$A:$H,7,FALSE),VLOOKUP("other",bug_conf_sheet!$A:$H,7,FALSE))</f>
        <v>0</v>
      </c>
      <c r="T7" s="31">
        <f>IFERROR(VLOOKUP($E7,bug_conf_sheet!$A:$H,8,FALSE),VLOOKUP("other",bug_conf_sheet!$A:$H,8,FALSE))</f>
        <v>1</v>
      </c>
    </row>
    <row r="8" spans="1:20" ht="21" customHeight="1">
      <c r="A8" s="2" t="str">
        <f ca="1">input_313100!A$2</f>
        <v>313100</v>
      </c>
      <c r="B8" s="7" t="str">
        <f t="shared" si="1"/>
        <v>Premium3</v>
      </c>
      <c r="C8" s="7" t="str">
        <f t="shared" si="2"/>
        <v>Premium</v>
      </c>
      <c r="D8" s="7" t="str">
        <f t="shared" si="3"/>
        <v>ry</v>
      </c>
      <c r="E8" s="6">
        <v>132</v>
      </c>
      <c r="F8" s="7" t="str">
        <f>VLOOKUP(E8,[1]characters!$A:$C,3,FALSE)</f>
        <v>鳥人ハヤト</v>
      </c>
      <c r="G8" s="7" t="str">
        <f>VLOOKUP(E8,[1]characters!$A:$J,10,FALSE)</f>
        <v>PremiumW</v>
      </c>
      <c r="H8" s="7">
        <f>VLOOKUP(E8,[1]characters!$A:$I,9,FALSE)</f>
        <v>3</v>
      </c>
      <c r="I8" s="7" t="str">
        <f>VLOOKUP(E8,[1]characters!$A:$H,8,FALSE)</f>
        <v>yellow</v>
      </c>
      <c r="J8" s="7" t="str">
        <f>VLOOKUP(E8,[1]characters!$A:$K,11,FALSE)</f>
        <v>attack</v>
      </c>
      <c r="K8" s="7" t="str">
        <f>VLOOKUP(E8,[1]characters!$A:$M,13,FALSE)</f>
        <v>human</v>
      </c>
      <c r="L8" s="7" t="str">
        <f>VLOOKUP(E8,[1]characters!$A:$G,7,FALSE)</f>
        <v>男性</v>
      </c>
      <c r="M8" s="62">
        <f ca="1">IFERROR(VLOOKUP(E8,input_313100!L:R,7,FALSE),VLOOKUP(tables_313100!B8,input_313100!A:H,8,FALSE))</f>
        <v>0</v>
      </c>
      <c r="N8" s="63">
        <f t="shared" ca="1" si="4"/>
        <v>0</v>
      </c>
      <c r="O8" s="31">
        <f>IFERROR(VLOOKUP($E8,bug_conf_sheet!$A:$H,3,FALSE),VLOOKUP("other",bug_conf_sheet!$A:$H,3,FALSE))</f>
        <v>1</v>
      </c>
      <c r="P8" s="31">
        <f>IFERROR(VLOOKUP($E8,bug_conf_sheet!$A:$H,4,FALSE),VLOOKUP("other",bug_conf_sheet!$A:$H,4,FALSE))</f>
        <v>0</v>
      </c>
      <c r="Q8" s="31">
        <f>IFERROR(VLOOKUP($E8,bug_conf_sheet!$A:$H,5,FALSE),VLOOKUP("other",bug_conf_sheet!$A:$H,5,FALSE))</f>
        <v>0</v>
      </c>
      <c r="R8" s="31">
        <f>IFERROR(VLOOKUP($E8,bug_conf_sheet!$A:$H,6,FALSE),VLOOKUP("other",bug_conf_sheet!$A:$H,6,FALSE))</f>
        <v>0</v>
      </c>
      <c r="S8" s="31">
        <f>IFERROR(VLOOKUP($E8,bug_conf_sheet!$A:$H,7,FALSE),VLOOKUP("other",bug_conf_sheet!$A:$H,7,FALSE))</f>
        <v>0</v>
      </c>
      <c r="T8" s="31">
        <f>IFERROR(VLOOKUP($E8,bug_conf_sheet!$A:$H,8,FALSE),VLOOKUP("other",bug_conf_sheet!$A:$H,8,FALSE))</f>
        <v>1</v>
      </c>
    </row>
    <row r="9" spans="1:20" ht="21" customHeight="1">
      <c r="A9" s="2" t="str">
        <f ca="1">input_313100!A$2</f>
        <v>313100</v>
      </c>
      <c r="B9" s="7" t="str">
        <f t="shared" si="1"/>
        <v>Premium4</v>
      </c>
      <c r="C9" s="7" t="str">
        <f t="shared" si="2"/>
        <v>Premium</v>
      </c>
      <c r="D9" s="7" t="str">
        <f t="shared" si="3"/>
        <v>ry</v>
      </c>
      <c r="E9" s="6">
        <v>133</v>
      </c>
      <c r="F9" s="7" t="str">
        <f>VLOOKUP(E9,[1]characters!$A:$C,3,FALSE)</f>
        <v>迅雷の刀剣 ハヤト</v>
      </c>
      <c r="G9" s="7" t="str">
        <f>VLOOKUP(E9,[1]characters!$A:$J,10,FALSE)</f>
        <v>PremiumW</v>
      </c>
      <c r="H9" s="7">
        <f>VLOOKUP(E9,[1]characters!$A:$I,9,FALSE)</f>
        <v>4</v>
      </c>
      <c r="I9" s="7" t="str">
        <f>VLOOKUP(E9,[1]characters!$A:$H,8,FALSE)</f>
        <v>yellow</v>
      </c>
      <c r="J9" s="7" t="str">
        <f>VLOOKUP(E9,[1]characters!$A:$K,11,FALSE)</f>
        <v>attack</v>
      </c>
      <c r="K9" s="7" t="str">
        <f>VLOOKUP(E9,[1]characters!$A:$M,13,FALSE)</f>
        <v>human</v>
      </c>
      <c r="L9" s="7" t="str">
        <f>VLOOKUP(E9,[1]characters!$A:$G,7,FALSE)</f>
        <v>男性</v>
      </c>
      <c r="M9" s="62">
        <f ca="1">IFERROR(VLOOKUP(E9,input_313100!L:R,7,FALSE),VLOOKUP(tables_313100!B9,input_313100!A:H,8,FALSE))</f>
        <v>342090</v>
      </c>
      <c r="N9" s="63">
        <f t="shared" ca="1" si="4"/>
        <v>1.222972972972973E-2</v>
      </c>
      <c r="O9" s="31">
        <f>IFERROR(VLOOKUP($E9,bug_conf_sheet!$A:$H,3,FALSE),VLOOKUP("other",bug_conf_sheet!$A:$H,3,FALSE))</f>
        <v>1</v>
      </c>
      <c r="P9" s="31">
        <f>IFERROR(VLOOKUP($E9,bug_conf_sheet!$A:$H,4,FALSE),VLOOKUP("other",bug_conf_sheet!$A:$H,4,FALSE))</f>
        <v>0</v>
      </c>
      <c r="Q9" s="31">
        <f>IFERROR(VLOOKUP($E9,bug_conf_sheet!$A:$H,5,FALSE),VLOOKUP("other",bug_conf_sheet!$A:$H,5,FALSE))</f>
        <v>0</v>
      </c>
      <c r="R9" s="31">
        <f>IFERROR(VLOOKUP($E9,bug_conf_sheet!$A:$H,6,FALSE),VLOOKUP("other",bug_conf_sheet!$A:$H,6,FALSE))</f>
        <v>0</v>
      </c>
      <c r="S9" s="31">
        <f>IFERROR(VLOOKUP($E9,bug_conf_sheet!$A:$H,7,FALSE),VLOOKUP("other",bug_conf_sheet!$A:$H,7,FALSE))</f>
        <v>0</v>
      </c>
      <c r="T9" s="31">
        <f>IFERROR(VLOOKUP($E9,bug_conf_sheet!$A:$H,8,FALSE),VLOOKUP("other",bug_conf_sheet!$A:$H,8,FALSE))</f>
        <v>1</v>
      </c>
    </row>
    <row r="10" spans="1:20" ht="21" customHeight="1">
      <c r="A10" s="2" t="str">
        <f ca="1">input_313100!A$2</f>
        <v>313100</v>
      </c>
      <c r="B10" s="7" t="str">
        <f t="shared" si="1"/>
        <v>Premium3</v>
      </c>
      <c r="C10" s="7" t="str">
        <f t="shared" si="2"/>
        <v>Premium</v>
      </c>
      <c r="D10" s="7" t="str">
        <f t="shared" si="3"/>
        <v>ry</v>
      </c>
      <c r="E10" s="6">
        <v>134</v>
      </c>
      <c r="F10" s="7" t="str">
        <f>VLOOKUP(E10,[1]characters!$A:$C,3,FALSE)</f>
        <v>妖炎の夕霧</v>
      </c>
      <c r="G10" s="7" t="str">
        <f>VLOOKUP(E10,[1]characters!$A:$J,10,FALSE)</f>
        <v>PremiumW</v>
      </c>
      <c r="H10" s="7">
        <f>VLOOKUP(E10,[1]characters!$A:$I,9,FALSE)</f>
        <v>3</v>
      </c>
      <c r="I10" s="7" t="str">
        <f>VLOOKUP(E10,[1]characters!$A:$H,8,FALSE)</f>
        <v>red</v>
      </c>
      <c r="J10" s="7" t="str">
        <f>VLOOKUP(E10,[1]characters!$A:$K,11,FALSE)</f>
        <v>balance</v>
      </c>
      <c r="K10" s="7" t="str">
        <f>VLOOKUP(E10,[1]characters!$A:$M,13,FALSE)</f>
        <v>human</v>
      </c>
      <c r="L10" s="7" t="str">
        <f>VLOOKUP(E10,[1]characters!$A:$G,7,FALSE)</f>
        <v>女性</v>
      </c>
      <c r="M10" s="62">
        <f ca="1">IFERROR(VLOOKUP(E10,input_313100!L:R,7,FALSE),VLOOKUP(tables_313100!B10,input_313100!A:H,8,FALSE))</f>
        <v>0</v>
      </c>
      <c r="N10" s="63">
        <f t="shared" ca="1" si="4"/>
        <v>0</v>
      </c>
      <c r="O10" s="31">
        <f>IFERROR(VLOOKUP($E10,bug_conf_sheet!$A:$H,3,FALSE),VLOOKUP("other",bug_conf_sheet!$A:$H,3,FALSE))</f>
        <v>1</v>
      </c>
      <c r="P10" s="31">
        <f>IFERROR(VLOOKUP($E10,bug_conf_sheet!$A:$H,4,FALSE),VLOOKUP("other",bug_conf_sheet!$A:$H,4,FALSE))</f>
        <v>0</v>
      </c>
      <c r="Q10" s="31">
        <f>IFERROR(VLOOKUP($E10,bug_conf_sheet!$A:$H,5,FALSE),VLOOKUP("other",bug_conf_sheet!$A:$H,5,FALSE))</f>
        <v>0</v>
      </c>
      <c r="R10" s="31">
        <f>IFERROR(VLOOKUP($E10,bug_conf_sheet!$A:$H,6,FALSE),VLOOKUP("other",bug_conf_sheet!$A:$H,6,FALSE))</f>
        <v>0</v>
      </c>
      <c r="S10" s="31">
        <f>IFERROR(VLOOKUP($E10,bug_conf_sheet!$A:$H,7,FALSE),VLOOKUP("other",bug_conf_sheet!$A:$H,7,FALSE))</f>
        <v>0</v>
      </c>
      <c r="T10" s="31">
        <f>IFERROR(VLOOKUP($E10,bug_conf_sheet!$A:$H,8,FALSE),VLOOKUP("other",bug_conf_sheet!$A:$H,8,FALSE))</f>
        <v>1</v>
      </c>
    </row>
    <row r="11" spans="1:20" ht="21" customHeight="1">
      <c r="A11" s="2" t="str">
        <f ca="1">input_313100!A$2</f>
        <v>313100</v>
      </c>
      <c r="B11" s="7" t="str">
        <f t="shared" si="1"/>
        <v>Premium4</v>
      </c>
      <c r="C11" s="7" t="str">
        <f t="shared" si="2"/>
        <v>Premium</v>
      </c>
      <c r="D11" s="7" t="str">
        <f t="shared" si="3"/>
        <v>ry</v>
      </c>
      <c r="E11" s="6">
        <v>135</v>
      </c>
      <c r="F11" s="7" t="str">
        <f>VLOOKUP(E11,[1]characters!$A:$C,3,FALSE)</f>
        <v>京の炎華夕霧</v>
      </c>
      <c r="G11" s="7" t="str">
        <f>VLOOKUP(E11,[1]characters!$A:$J,10,FALSE)</f>
        <v>PremiumW</v>
      </c>
      <c r="H11" s="7">
        <f>VLOOKUP(E11,[1]characters!$A:$I,9,FALSE)</f>
        <v>4</v>
      </c>
      <c r="I11" s="7" t="str">
        <f>VLOOKUP(E11,[1]characters!$A:$H,8,FALSE)</f>
        <v>red</v>
      </c>
      <c r="J11" s="7" t="str">
        <f>VLOOKUP(E11,[1]characters!$A:$K,11,FALSE)</f>
        <v>balance</v>
      </c>
      <c r="K11" s="7" t="str">
        <f>VLOOKUP(E11,[1]characters!$A:$M,13,FALSE)</f>
        <v>human</v>
      </c>
      <c r="L11" s="7" t="str">
        <f>VLOOKUP(E11,[1]characters!$A:$G,7,FALSE)</f>
        <v>女性</v>
      </c>
      <c r="M11" s="62">
        <f ca="1">IFERROR(VLOOKUP(E11,input_313100!L:R,7,FALSE),VLOOKUP(tables_313100!B11,input_313100!A:H,8,FALSE))</f>
        <v>342090</v>
      </c>
      <c r="N11" s="63">
        <f t="shared" ca="1" si="4"/>
        <v>1.222972972972973E-2</v>
      </c>
      <c r="O11" s="31">
        <f>IFERROR(VLOOKUP($E11,bug_conf_sheet!$A:$H,3,FALSE),VLOOKUP("other",bug_conf_sheet!$A:$H,3,FALSE))</f>
        <v>1</v>
      </c>
      <c r="P11" s="31">
        <f>IFERROR(VLOOKUP($E11,bug_conf_sheet!$A:$H,4,FALSE),VLOOKUP("other",bug_conf_sheet!$A:$H,4,FALSE))</f>
        <v>0</v>
      </c>
      <c r="Q11" s="31">
        <f>IFERROR(VLOOKUP($E11,bug_conf_sheet!$A:$H,5,FALSE),VLOOKUP("other",bug_conf_sheet!$A:$H,5,FALSE))</f>
        <v>0</v>
      </c>
      <c r="R11" s="31">
        <f>IFERROR(VLOOKUP($E11,bug_conf_sheet!$A:$H,6,FALSE),VLOOKUP("other",bug_conf_sheet!$A:$H,6,FALSE))</f>
        <v>0</v>
      </c>
      <c r="S11" s="31">
        <f>IFERROR(VLOOKUP($E11,bug_conf_sheet!$A:$H,7,FALSE),VLOOKUP("other",bug_conf_sheet!$A:$H,7,FALSE))</f>
        <v>0</v>
      </c>
      <c r="T11" s="31">
        <f>IFERROR(VLOOKUP($E11,bug_conf_sheet!$A:$H,8,FALSE),VLOOKUP("other",bug_conf_sheet!$A:$H,8,FALSE))</f>
        <v>1</v>
      </c>
    </row>
    <row r="12" spans="1:20" ht="21" customHeight="1">
      <c r="A12" s="2" t="str">
        <f ca="1">input_313100!A$2</f>
        <v>313100</v>
      </c>
      <c r="B12" s="7" t="str">
        <f t="shared" si="1"/>
        <v>Premium3</v>
      </c>
      <c r="C12" s="7" t="str">
        <f t="shared" si="2"/>
        <v>Premium</v>
      </c>
      <c r="D12" s="7" t="str">
        <f t="shared" si="3"/>
        <v>bg</v>
      </c>
      <c r="E12" s="8">
        <v>136</v>
      </c>
      <c r="F12" s="7" t="str">
        <f>VLOOKUP(E12,[1]characters!$A:$C,3,FALSE)</f>
        <v>お針子チハヤ</v>
      </c>
      <c r="G12" s="7" t="str">
        <f>VLOOKUP(E12,[1]characters!$A:$J,10,FALSE)</f>
        <v>PremiumW</v>
      </c>
      <c r="H12" s="7">
        <f>VLOOKUP(E12,[1]characters!$A:$I,9,FALSE)</f>
        <v>3</v>
      </c>
      <c r="I12" s="7" t="str">
        <f>VLOOKUP(E12,[1]characters!$A:$H,8,FALSE)</f>
        <v>green</v>
      </c>
      <c r="J12" s="7" t="str">
        <f>VLOOKUP(E12,[1]characters!$A:$K,11,FALSE)</f>
        <v>balance</v>
      </c>
      <c r="K12" s="7" t="str">
        <f>VLOOKUP(E12,[1]characters!$A:$M,13,FALSE)</f>
        <v>human</v>
      </c>
      <c r="L12" s="7" t="str">
        <f>VLOOKUP(E12,[1]characters!$A:$G,7,FALSE)</f>
        <v>女性</v>
      </c>
      <c r="M12" s="62">
        <f ca="1">IFERROR(VLOOKUP(E12,input_313100!L:R,7,FALSE),VLOOKUP(tables_313100!B12,input_313100!A:H,8,FALSE))</f>
        <v>0</v>
      </c>
      <c r="N12" s="63">
        <f t="shared" ca="1" si="4"/>
        <v>0</v>
      </c>
      <c r="O12" s="31">
        <f>IFERROR(VLOOKUP($E12,bug_conf_sheet!$A:$H,3,FALSE),VLOOKUP("other",bug_conf_sheet!$A:$H,3,FALSE))</f>
        <v>1</v>
      </c>
      <c r="P12" s="31">
        <f>IFERROR(VLOOKUP($E12,bug_conf_sheet!$A:$H,4,FALSE),VLOOKUP("other",bug_conf_sheet!$A:$H,4,FALSE))</f>
        <v>0</v>
      </c>
      <c r="Q12" s="31">
        <f>IFERROR(VLOOKUP($E12,bug_conf_sheet!$A:$H,5,FALSE),VLOOKUP("other",bug_conf_sheet!$A:$H,5,FALSE))</f>
        <v>0</v>
      </c>
      <c r="R12" s="31">
        <f>IFERROR(VLOOKUP($E12,bug_conf_sheet!$A:$H,6,FALSE),VLOOKUP("other",bug_conf_sheet!$A:$H,6,FALSE))</f>
        <v>0</v>
      </c>
      <c r="S12" s="31">
        <f>IFERROR(VLOOKUP($E12,bug_conf_sheet!$A:$H,7,FALSE),VLOOKUP("other",bug_conf_sheet!$A:$H,7,FALSE))</f>
        <v>0</v>
      </c>
      <c r="T12" s="31">
        <f>IFERROR(VLOOKUP($E12,bug_conf_sheet!$A:$H,8,FALSE),VLOOKUP("other",bug_conf_sheet!$A:$H,8,FALSE))</f>
        <v>1</v>
      </c>
    </row>
    <row r="13" spans="1:20" ht="21" customHeight="1">
      <c r="A13" s="2" t="str">
        <f ca="1">input_313100!A$2</f>
        <v>313100</v>
      </c>
      <c r="B13" s="7" t="str">
        <f t="shared" si="1"/>
        <v>Premium4</v>
      </c>
      <c r="C13" s="7" t="str">
        <f t="shared" si="2"/>
        <v>Premium</v>
      </c>
      <c r="D13" s="7" t="str">
        <f t="shared" si="3"/>
        <v>bg</v>
      </c>
      <c r="E13" s="8">
        <v>137</v>
      </c>
      <c r="F13" s="7" t="str">
        <f>VLOOKUP(E13,[1]characters!$A:$C,3,FALSE)</f>
        <v>清福の仕立屋 チハヤ</v>
      </c>
      <c r="G13" s="7" t="str">
        <f>VLOOKUP(E13,[1]characters!$A:$J,10,FALSE)</f>
        <v>PremiumW</v>
      </c>
      <c r="H13" s="7">
        <f>VLOOKUP(E13,[1]characters!$A:$I,9,FALSE)</f>
        <v>4</v>
      </c>
      <c r="I13" s="7" t="str">
        <f>VLOOKUP(E13,[1]characters!$A:$H,8,FALSE)</f>
        <v>green</v>
      </c>
      <c r="J13" s="7" t="str">
        <f>VLOOKUP(E13,[1]characters!$A:$K,11,FALSE)</f>
        <v>balance</v>
      </c>
      <c r="K13" s="7" t="str">
        <f>VLOOKUP(E13,[1]characters!$A:$M,13,FALSE)</f>
        <v>human</v>
      </c>
      <c r="L13" s="7" t="str">
        <f>VLOOKUP(E13,[1]characters!$A:$G,7,FALSE)</f>
        <v>女性</v>
      </c>
      <c r="M13" s="62">
        <f ca="1">IFERROR(VLOOKUP(E13,input_313100!L:R,7,FALSE),VLOOKUP(tables_313100!B13,input_313100!A:H,8,FALSE))</f>
        <v>342090</v>
      </c>
      <c r="N13" s="63">
        <f t="shared" ca="1" si="4"/>
        <v>1.222972972972973E-2</v>
      </c>
      <c r="O13" s="31">
        <f>IFERROR(VLOOKUP($E13,bug_conf_sheet!$A:$H,3,FALSE),VLOOKUP("other",bug_conf_sheet!$A:$H,3,FALSE))</f>
        <v>1</v>
      </c>
      <c r="P13" s="31">
        <f>IFERROR(VLOOKUP($E13,bug_conf_sheet!$A:$H,4,FALSE),VLOOKUP("other",bug_conf_sheet!$A:$H,4,FALSE))</f>
        <v>0</v>
      </c>
      <c r="Q13" s="31">
        <f>IFERROR(VLOOKUP($E13,bug_conf_sheet!$A:$H,5,FALSE),VLOOKUP("other",bug_conf_sheet!$A:$H,5,FALSE))</f>
        <v>0</v>
      </c>
      <c r="R13" s="31">
        <f>IFERROR(VLOOKUP($E13,bug_conf_sheet!$A:$H,6,FALSE),VLOOKUP("other",bug_conf_sheet!$A:$H,6,FALSE))</f>
        <v>0</v>
      </c>
      <c r="S13" s="31">
        <f>IFERROR(VLOOKUP($E13,bug_conf_sheet!$A:$H,7,FALSE),VLOOKUP("other",bug_conf_sheet!$A:$H,7,FALSE))</f>
        <v>0</v>
      </c>
      <c r="T13" s="31">
        <f>IFERROR(VLOOKUP($E13,bug_conf_sheet!$A:$H,8,FALSE),VLOOKUP("other",bug_conf_sheet!$A:$H,8,FALSE))</f>
        <v>1</v>
      </c>
    </row>
    <row r="14" spans="1:20" ht="21" customHeight="1">
      <c r="A14" s="2" t="str">
        <f ca="1">input_313100!A$2</f>
        <v>313100</v>
      </c>
      <c r="B14" s="7" t="str">
        <f t="shared" si="1"/>
        <v>Premium3</v>
      </c>
      <c r="C14" s="7" t="str">
        <f t="shared" si="2"/>
        <v>Premium</v>
      </c>
      <c r="D14" s="7" t="str">
        <f t="shared" si="3"/>
        <v>bg</v>
      </c>
      <c r="E14" s="6">
        <v>138</v>
      </c>
      <c r="F14" s="7" t="str">
        <f>VLOOKUP(E14,[1]characters!$A:$C,3,FALSE)</f>
        <v>蒼薙のトモエ</v>
      </c>
      <c r="G14" s="7" t="str">
        <f>VLOOKUP(E14,[1]characters!$A:$J,10,FALSE)</f>
        <v>PremiumW</v>
      </c>
      <c r="H14" s="7">
        <f>VLOOKUP(E14,[1]characters!$A:$I,9,FALSE)</f>
        <v>3</v>
      </c>
      <c r="I14" s="7" t="str">
        <f>VLOOKUP(E14,[1]characters!$A:$H,8,FALSE)</f>
        <v>blue</v>
      </c>
      <c r="J14" s="7" t="str">
        <f>VLOOKUP(E14,[1]characters!$A:$K,11,FALSE)</f>
        <v>balance</v>
      </c>
      <c r="K14" s="7" t="str">
        <f>VLOOKUP(E14,[1]characters!$A:$M,13,FALSE)</f>
        <v>human</v>
      </c>
      <c r="L14" s="7" t="str">
        <f>VLOOKUP(E14,[1]characters!$A:$G,7,FALSE)</f>
        <v>女性</v>
      </c>
      <c r="M14" s="62">
        <f ca="1">IFERROR(VLOOKUP(E14,input_313100!L:R,7,FALSE),VLOOKUP(tables_313100!B14,input_313100!A:H,8,FALSE))</f>
        <v>0</v>
      </c>
      <c r="N14" s="63">
        <f t="shared" ca="1" si="4"/>
        <v>0</v>
      </c>
      <c r="O14" s="31">
        <f>IFERROR(VLOOKUP($E14,bug_conf_sheet!$A:$H,3,FALSE),VLOOKUP("other",bug_conf_sheet!$A:$H,3,FALSE))</f>
        <v>1</v>
      </c>
      <c r="P14" s="31">
        <f>IFERROR(VLOOKUP($E14,bug_conf_sheet!$A:$H,4,FALSE),VLOOKUP("other",bug_conf_sheet!$A:$H,4,FALSE))</f>
        <v>0</v>
      </c>
      <c r="Q14" s="31">
        <f>IFERROR(VLOOKUP($E14,bug_conf_sheet!$A:$H,5,FALSE),VLOOKUP("other",bug_conf_sheet!$A:$H,5,FALSE))</f>
        <v>0</v>
      </c>
      <c r="R14" s="31">
        <f>IFERROR(VLOOKUP($E14,bug_conf_sheet!$A:$H,6,FALSE),VLOOKUP("other",bug_conf_sheet!$A:$H,6,FALSE))</f>
        <v>0</v>
      </c>
      <c r="S14" s="31">
        <f>IFERROR(VLOOKUP($E14,bug_conf_sheet!$A:$H,7,FALSE),VLOOKUP("other",bug_conf_sheet!$A:$H,7,FALSE))</f>
        <v>0</v>
      </c>
      <c r="T14" s="31">
        <f>IFERROR(VLOOKUP($E14,bug_conf_sheet!$A:$H,8,FALSE),VLOOKUP("other",bug_conf_sheet!$A:$H,8,FALSE))</f>
        <v>1</v>
      </c>
    </row>
    <row r="15" spans="1:20" ht="21" customHeight="1">
      <c r="A15" s="2" t="str">
        <f ca="1">input_313100!A$2</f>
        <v>313100</v>
      </c>
      <c r="B15" s="7" t="str">
        <f t="shared" si="1"/>
        <v>Premium4</v>
      </c>
      <c r="C15" s="7" t="str">
        <f t="shared" si="2"/>
        <v>Premium</v>
      </c>
      <c r="D15" s="7" t="str">
        <f t="shared" si="3"/>
        <v>bg</v>
      </c>
      <c r="E15" s="6">
        <v>139</v>
      </c>
      <c r="F15" s="7" t="str">
        <f>VLOOKUP(E15,[1]characters!$A:$C,3,FALSE)</f>
        <v>蒼昇刃姫 トモエ</v>
      </c>
      <c r="G15" s="7" t="str">
        <f>VLOOKUP(E15,[1]characters!$A:$J,10,FALSE)</f>
        <v>PremiumW</v>
      </c>
      <c r="H15" s="7">
        <f>VLOOKUP(E15,[1]characters!$A:$I,9,FALSE)</f>
        <v>4</v>
      </c>
      <c r="I15" s="7" t="str">
        <f>VLOOKUP(E15,[1]characters!$A:$H,8,FALSE)</f>
        <v>blue</v>
      </c>
      <c r="J15" s="7" t="str">
        <f>VLOOKUP(E15,[1]characters!$A:$K,11,FALSE)</f>
        <v>balance</v>
      </c>
      <c r="K15" s="7" t="str">
        <f>VLOOKUP(E15,[1]characters!$A:$M,13,FALSE)</f>
        <v>human</v>
      </c>
      <c r="L15" s="7" t="str">
        <f>VLOOKUP(E15,[1]characters!$A:$G,7,FALSE)</f>
        <v>女性</v>
      </c>
      <c r="M15" s="62">
        <f ca="1">IFERROR(VLOOKUP(E15,input_313100!L:R,7,FALSE),VLOOKUP(tables_313100!B15,input_313100!A:H,8,FALSE))</f>
        <v>342090</v>
      </c>
      <c r="N15" s="63">
        <f t="shared" ca="1" si="4"/>
        <v>1.222972972972973E-2</v>
      </c>
      <c r="O15" s="31">
        <f>IFERROR(VLOOKUP($E15,bug_conf_sheet!$A:$H,3,FALSE),VLOOKUP("other",bug_conf_sheet!$A:$H,3,FALSE))</f>
        <v>1</v>
      </c>
      <c r="P15" s="31">
        <f>IFERROR(VLOOKUP($E15,bug_conf_sheet!$A:$H,4,FALSE),VLOOKUP("other",bug_conf_sheet!$A:$H,4,FALSE))</f>
        <v>0</v>
      </c>
      <c r="Q15" s="31">
        <f>IFERROR(VLOOKUP($E15,bug_conf_sheet!$A:$H,5,FALSE),VLOOKUP("other",bug_conf_sheet!$A:$H,5,FALSE))</f>
        <v>0</v>
      </c>
      <c r="R15" s="31">
        <f>IFERROR(VLOOKUP($E15,bug_conf_sheet!$A:$H,6,FALSE),VLOOKUP("other",bug_conf_sheet!$A:$H,6,FALSE))</f>
        <v>0</v>
      </c>
      <c r="S15" s="31">
        <f>IFERROR(VLOOKUP($E15,bug_conf_sheet!$A:$H,7,FALSE),VLOOKUP("other",bug_conf_sheet!$A:$H,7,FALSE))</f>
        <v>0</v>
      </c>
      <c r="T15" s="31">
        <f>IFERROR(VLOOKUP($E15,bug_conf_sheet!$A:$H,8,FALSE),VLOOKUP("other",bug_conf_sheet!$A:$H,8,FALSE))</f>
        <v>1</v>
      </c>
    </row>
    <row r="16" spans="1:20" ht="21" customHeight="1">
      <c r="A16" s="2" t="str">
        <f ca="1">input_313100!A$2</f>
        <v>313100</v>
      </c>
      <c r="B16" s="7" t="str">
        <f t="shared" si="1"/>
        <v>Premium3</v>
      </c>
      <c r="C16" s="7" t="str">
        <f t="shared" si="2"/>
        <v>Premium</v>
      </c>
      <c r="D16" s="7" t="str">
        <f t="shared" si="3"/>
        <v>ry</v>
      </c>
      <c r="E16" s="10">
        <v>140</v>
      </c>
      <c r="F16" s="7" t="str">
        <f>VLOOKUP(E16,[1]characters!$A:$C,3,FALSE)</f>
        <v>秋祭のタマモ</v>
      </c>
      <c r="G16" s="7" t="str">
        <f>VLOOKUP(E16,[1]characters!$A:$J,10,FALSE)</f>
        <v>PremiumW</v>
      </c>
      <c r="H16" s="7">
        <f>VLOOKUP(E16,[1]characters!$A:$I,9,FALSE)</f>
        <v>3</v>
      </c>
      <c r="I16" s="7" t="str">
        <f>VLOOKUP(E16,[1]characters!$A:$H,8,FALSE)</f>
        <v>yellow</v>
      </c>
      <c r="J16" s="7" t="str">
        <f>VLOOKUP(E16,[1]characters!$A:$K,11,FALSE)</f>
        <v>balance</v>
      </c>
      <c r="K16" s="7" t="str">
        <f>VLOOKUP(E16,[1]characters!$A:$M,13,FALSE)</f>
        <v>animal</v>
      </c>
      <c r="L16" s="7" t="str">
        <f>VLOOKUP(E16,[1]characters!$A:$G,7,FALSE)</f>
        <v>女性</v>
      </c>
      <c r="M16" s="62">
        <f ca="1">IFERROR(VLOOKUP(E16,input_313100!L:R,7,FALSE),VLOOKUP(tables_313100!B16,input_313100!A:H,8,FALSE))</f>
        <v>0</v>
      </c>
      <c r="N16" s="63">
        <f t="shared" ca="1" si="4"/>
        <v>0</v>
      </c>
      <c r="O16" s="31">
        <f>IFERROR(VLOOKUP($E16,bug_conf_sheet!$A:$H,3,FALSE),VLOOKUP("other",bug_conf_sheet!$A:$H,3,FALSE))</f>
        <v>1</v>
      </c>
      <c r="P16" s="31">
        <f>IFERROR(VLOOKUP($E16,bug_conf_sheet!$A:$H,4,FALSE),VLOOKUP("other",bug_conf_sheet!$A:$H,4,FALSE))</f>
        <v>0</v>
      </c>
      <c r="Q16" s="31">
        <f>IFERROR(VLOOKUP($E16,bug_conf_sheet!$A:$H,5,FALSE),VLOOKUP("other",bug_conf_sheet!$A:$H,5,FALSE))</f>
        <v>0</v>
      </c>
      <c r="R16" s="31">
        <f>IFERROR(VLOOKUP($E16,bug_conf_sheet!$A:$H,6,FALSE),VLOOKUP("other",bug_conf_sheet!$A:$H,6,FALSE))</f>
        <v>0</v>
      </c>
      <c r="S16" s="31">
        <f>IFERROR(VLOOKUP($E16,bug_conf_sheet!$A:$H,7,FALSE),VLOOKUP("other",bug_conf_sheet!$A:$H,7,FALSE))</f>
        <v>0</v>
      </c>
      <c r="T16" s="31">
        <f>IFERROR(VLOOKUP($E16,bug_conf_sheet!$A:$H,8,FALSE),VLOOKUP("other",bug_conf_sheet!$A:$H,8,FALSE))</f>
        <v>1</v>
      </c>
    </row>
    <row r="17" spans="1:20" ht="21" customHeight="1">
      <c r="A17" s="2" t="str">
        <f ca="1">input_313100!A$2</f>
        <v>313100</v>
      </c>
      <c r="B17" s="7" t="str">
        <f t="shared" si="1"/>
        <v>Premium4</v>
      </c>
      <c r="C17" s="7" t="str">
        <f t="shared" si="2"/>
        <v>Premium</v>
      </c>
      <c r="D17" s="7" t="str">
        <f t="shared" si="3"/>
        <v>ry</v>
      </c>
      <c r="E17" s="11">
        <v>141</v>
      </c>
      <c r="F17" s="7" t="str">
        <f>VLOOKUP(E17,[1]characters!$A:$C,3,FALSE)</f>
        <v>妖狐演舞 タマモ</v>
      </c>
      <c r="G17" s="7" t="str">
        <f>VLOOKUP(E17,[1]characters!$A:$J,10,FALSE)</f>
        <v>PremiumW</v>
      </c>
      <c r="H17" s="7">
        <f>VLOOKUP(E17,[1]characters!$A:$I,9,FALSE)</f>
        <v>4</v>
      </c>
      <c r="I17" s="7" t="str">
        <f>VLOOKUP(E17,[1]characters!$A:$H,8,FALSE)</f>
        <v>yellow</v>
      </c>
      <c r="J17" s="7" t="str">
        <f>VLOOKUP(E17,[1]characters!$A:$K,11,FALSE)</f>
        <v>balance</v>
      </c>
      <c r="K17" s="7" t="str">
        <f>VLOOKUP(E17,[1]characters!$A:$M,13,FALSE)</f>
        <v>animal</v>
      </c>
      <c r="L17" s="7" t="str">
        <f>VLOOKUP(E17,[1]characters!$A:$G,7,FALSE)</f>
        <v>女性</v>
      </c>
      <c r="M17" s="62">
        <f ca="1">IFERROR(VLOOKUP(E17,input_313100!L:R,7,FALSE),VLOOKUP(tables_313100!B17,input_313100!A:H,8,FALSE))</f>
        <v>342090</v>
      </c>
      <c r="N17" s="63">
        <f t="shared" ca="1" si="4"/>
        <v>1.222972972972973E-2</v>
      </c>
      <c r="O17" s="31">
        <f>IFERROR(VLOOKUP($E17,bug_conf_sheet!$A:$H,3,FALSE),VLOOKUP("other",bug_conf_sheet!$A:$H,3,FALSE))</f>
        <v>1</v>
      </c>
      <c r="P17" s="31">
        <f>IFERROR(VLOOKUP($E17,bug_conf_sheet!$A:$H,4,FALSE),VLOOKUP("other",bug_conf_sheet!$A:$H,4,FALSE))</f>
        <v>0</v>
      </c>
      <c r="Q17" s="31">
        <f>IFERROR(VLOOKUP($E17,bug_conf_sheet!$A:$H,5,FALSE),VLOOKUP("other",bug_conf_sheet!$A:$H,5,FALSE))</f>
        <v>0</v>
      </c>
      <c r="R17" s="31">
        <f>IFERROR(VLOOKUP($E17,bug_conf_sheet!$A:$H,6,FALSE),VLOOKUP("other",bug_conf_sheet!$A:$H,6,FALSE))</f>
        <v>0</v>
      </c>
      <c r="S17" s="31">
        <f>IFERROR(VLOOKUP($E17,bug_conf_sheet!$A:$H,7,FALSE),VLOOKUP("other",bug_conf_sheet!$A:$H,7,FALSE))</f>
        <v>0</v>
      </c>
      <c r="T17" s="31">
        <f>IFERROR(VLOOKUP($E17,bug_conf_sheet!$A:$H,8,FALSE),VLOOKUP("other",bug_conf_sheet!$A:$H,8,FALSE))</f>
        <v>1</v>
      </c>
    </row>
    <row r="18" spans="1:20" ht="21" customHeight="1">
      <c r="A18" s="2" t="str">
        <f ca="1">input_313100!A$2</f>
        <v>313100</v>
      </c>
      <c r="B18" s="7" t="str">
        <f t="shared" si="1"/>
        <v>Premium3</v>
      </c>
      <c r="C18" s="7" t="str">
        <f t="shared" si="2"/>
        <v>Premium</v>
      </c>
      <c r="D18" s="7" t="str">
        <f t="shared" si="3"/>
        <v>ry</v>
      </c>
      <c r="E18" s="6">
        <v>142</v>
      </c>
      <c r="F18" s="7" t="str">
        <f>VLOOKUP(E18,[1]characters!$A:$C,3,FALSE)</f>
        <v>赤ずきん</v>
      </c>
      <c r="G18" s="7" t="str">
        <f>VLOOKUP(E18,[1]characters!$A:$J,10,FALSE)</f>
        <v>PremiumW</v>
      </c>
      <c r="H18" s="7">
        <f>VLOOKUP(E18,[1]characters!$A:$I,9,FALSE)</f>
        <v>3</v>
      </c>
      <c r="I18" s="7" t="str">
        <f>VLOOKUP(E18,[1]characters!$A:$H,8,FALSE)</f>
        <v>red</v>
      </c>
      <c r="J18" s="7" t="str">
        <f>VLOOKUP(E18,[1]characters!$A:$K,11,FALSE)</f>
        <v>balance</v>
      </c>
      <c r="K18" s="7" t="str">
        <f>VLOOKUP(E18,[1]characters!$A:$M,13,FALSE)</f>
        <v>human</v>
      </c>
      <c r="L18" s="7" t="str">
        <f>VLOOKUP(E18,[1]characters!$A:$G,7,FALSE)</f>
        <v>女性</v>
      </c>
      <c r="M18" s="62">
        <f ca="1">IFERROR(VLOOKUP(E18,input_313100!L:R,7,FALSE),VLOOKUP(tables_313100!B18,input_313100!A:H,8,FALSE))</f>
        <v>0</v>
      </c>
      <c r="N18" s="63">
        <f t="shared" ca="1" si="4"/>
        <v>0</v>
      </c>
      <c r="O18" s="31">
        <f>IFERROR(VLOOKUP($E18,bug_conf_sheet!$A:$H,3,FALSE),VLOOKUP("other",bug_conf_sheet!$A:$H,3,FALSE))</f>
        <v>1</v>
      </c>
      <c r="P18" s="31">
        <f>IFERROR(VLOOKUP($E18,bug_conf_sheet!$A:$H,4,FALSE),VLOOKUP("other",bug_conf_sheet!$A:$H,4,FALSE))</f>
        <v>0</v>
      </c>
      <c r="Q18" s="31">
        <f>IFERROR(VLOOKUP($E18,bug_conf_sheet!$A:$H,5,FALSE),VLOOKUP("other",bug_conf_sheet!$A:$H,5,FALSE))</f>
        <v>0</v>
      </c>
      <c r="R18" s="31">
        <f>IFERROR(VLOOKUP($E18,bug_conf_sheet!$A:$H,6,FALSE),VLOOKUP("other",bug_conf_sheet!$A:$H,6,FALSE))</f>
        <v>0</v>
      </c>
      <c r="S18" s="31">
        <f>IFERROR(VLOOKUP($E18,bug_conf_sheet!$A:$H,7,FALSE),VLOOKUP("other",bug_conf_sheet!$A:$H,7,FALSE))</f>
        <v>0</v>
      </c>
      <c r="T18" s="31">
        <f>IFERROR(VLOOKUP($E18,bug_conf_sheet!$A:$H,8,FALSE),VLOOKUP("other",bug_conf_sheet!$A:$H,8,FALSE))</f>
        <v>1</v>
      </c>
    </row>
    <row r="19" spans="1:20" s="12" customFormat="1" ht="21" customHeight="1" thickBot="1">
      <c r="A19" s="2" t="str">
        <f ca="1">input_313100!A$2</f>
        <v>313100</v>
      </c>
      <c r="B19" s="7" t="str">
        <f t="shared" si="1"/>
        <v>Premium4</v>
      </c>
      <c r="C19" s="7" t="str">
        <f t="shared" si="2"/>
        <v>Premium</v>
      </c>
      <c r="D19" s="7" t="str">
        <f t="shared" si="3"/>
        <v>ry</v>
      </c>
      <c r="E19" s="6">
        <v>143</v>
      </c>
      <c r="F19" s="7" t="str">
        <f>VLOOKUP(E19,[1]characters!$A:$C,3,FALSE)</f>
        <v>深紅の死神 赤ずきん</v>
      </c>
      <c r="G19" s="7" t="str">
        <f>VLOOKUP(E19,[1]characters!$A:$J,10,FALSE)</f>
        <v>PremiumW</v>
      </c>
      <c r="H19" s="7">
        <f>VLOOKUP(E19,[1]characters!$A:$I,9,FALSE)</f>
        <v>4</v>
      </c>
      <c r="I19" s="7" t="str">
        <f>VLOOKUP(E19,[1]characters!$A:$H,8,FALSE)</f>
        <v>red</v>
      </c>
      <c r="J19" s="7" t="str">
        <f>VLOOKUP(E19,[1]characters!$A:$K,11,FALSE)</f>
        <v>balance</v>
      </c>
      <c r="K19" s="7" t="str">
        <f>VLOOKUP(E19,[1]characters!$A:$M,13,FALSE)</f>
        <v>human</v>
      </c>
      <c r="L19" s="7" t="str">
        <f>VLOOKUP(E19,[1]characters!$A:$G,7,FALSE)</f>
        <v>女性</v>
      </c>
      <c r="M19" s="62">
        <f ca="1">IFERROR(VLOOKUP(E19,input_313100!L:R,7,FALSE),VLOOKUP(tables_313100!B19,input_313100!A:H,8,FALSE))</f>
        <v>342090</v>
      </c>
      <c r="N19" s="63">
        <f t="shared" ca="1" si="4"/>
        <v>1.222972972972973E-2</v>
      </c>
      <c r="O19" s="31">
        <f>IFERROR(VLOOKUP($E19,bug_conf_sheet!$A:$H,3,FALSE),VLOOKUP("other",bug_conf_sheet!$A:$H,3,FALSE))</f>
        <v>1</v>
      </c>
      <c r="P19" s="31">
        <f>IFERROR(VLOOKUP($E19,bug_conf_sheet!$A:$H,4,FALSE),VLOOKUP("other",bug_conf_sheet!$A:$H,4,FALSE))</f>
        <v>0</v>
      </c>
      <c r="Q19" s="31">
        <f>IFERROR(VLOOKUP($E19,bug_conf_sheet!$A:$H,5,FALSE),VLOOKUP("other",bug_conf_sheet!$A:$H,5,FALSE))</f>
        <v>0</v>
      </c>
      <c r="R19" s="31">
        <f>IFERROR(VLOOKUP($E19,bug_conf_sheet!$A:$H,6,FALSE),VLOOKUP("other",bug_conf_sheet!$A:$H,6,FALSE))</f>
        <v>0</v>
      </c>
      <c r="S19" s="31">
        <f>IFERROR(VLOOKUP($E19,bug_conf_sheet!$A:$H,7,FALSE),VLOOKUP("other",bug_conf_sheet!$A:$H,7,FALSE))</f>
        <v>0</v>
      </c>
      <c r="T19" s="31">
        <f>IFERROR(VLOOKUP($E19,bug_conf_sheet!$A:$H,8,FALSE),VLOOKUP("other",bug_conf_sheet!$A:$H,8,FALSE))</f>
        <v>1</v>
      </c>
    </row>
    <row r="20" spans="1:20" ht="21" customHeight="1">
      <c r="A20" s="2" t="str">
        <f ca="1">input_313100!A$2</f>
        <v>313100</v>
      </c>
      <c r="B20" s="7" t="str">
        <f t="shared" si="1"/>
        <v>Premium3</v>
      </c>
      <c r="C20" s="7" t="str">
        <f t="shared" si="2"/>
        <v>Premium</v>
      </c>
      <c r="D20" s="7" t="str">
        <f t="shared" si="3"/>
        <v>bg</v>
      </c>
      <c r="E20" s="10">
        <v>144</v>
      </c>
      <c r="F20" s="7" t="str">
        <f>VLOOKUP(E20,[1]characters!$A:$C,3,FALSE)</f>
        <v>かぐや</v>
      </c>
      <c r="G20" s="7" t="str">
        <f>VLOOKUP(E20,[1]characters!$A:$J,10,FALSE)</f>
        <v>PremiumW</v>
      </c>
      <c r="H20" s="7">
        <f>VLOOKUP(E20,[1]characters!$A:$I,9,FALSE)</f>
        <v>3</v>
      </c>
      <c r="I20" s="7" t="str">
        <f>VLOOKUP(E20,[1]characters!$A:$H,8,FALSE)</f>
        <v>green</v>
      </c>
      <c r="J20" s="7" t="str">
        <f>VLOOKUP(E20,[1]characters!$A:$K,11,FALSE)</f>
        <v>hp</v>
      </c>
      <c r="K20" s="7" t="str">
        <f>VLOOKUP(E20,[1]characters!$A:$M,13,FALSE)</f>
        <v>human</v>
      </c>
      <c r="L20" s="7" t="str">
        <f>VLOOKUP(E20,[1]characters!$A:$G,7,FALSE)</f>
        <v>女性</v>
      </c>
      <c r="M20" s="62">
        <f ca="1">IFERROR(VLOOKUP(E20,input_313100!L:R,7,FALSE),VLOOKUP(tables_313100!B20,input_313100!A:H,8,FALSE))</f>
        <v>0</v>
      </c>
      <c r="N20" s="63">
        <f t="shared" ca="1" si="4"/>
        <v>0</v>
      </c>
      <c r="O20" s="31">
        <f>IFERROR(VLOOKUP($E20,bug_conf_sheet!$A:$H,3,FALSE),VLOOKUP("other",bug_conf_sheet!$A:$H,3,FALSE))</f>
        <v>1</v>
      </c>
      <c r="P20" s="31">
        <f>IFERROR(VLOOKUP($E20,bug_conf_sheet!$A:$H,4,FALSE),VLOOKUP("other",bug_conf_sheet!$A:$H,4,FALSE))</f>
        <v>0</v>
      </c>
      <c r="Q20" s="31">
        <f>IFERROR(VLOOKUP($E20,bug_conf_sheet!$A:$H,5,FALSE),VLOOKUP("other",bug_conf_sheet!$A:$H,5,FALSE))</f>
        <v>0</v>
      </c>
      <c r="R20" s="31">
        <f>IFERROR(VLOOKUP($E20,bug_conf_sheet!$A:$H,6,FALSE),VLOOKUP("other",bug_conf_sheet!$A:$H,6,FALSE))</f>
        <v>0</v>
      </c>
      <c r="S20" s="31">
        <f>IFERROR(VLOOKUP($E20,bug_conf_sheet!$A:$H,7,FALSE),VLOOKUP("other",bug_conf_sheet!$A:$H,7,FALSE))</f>
        <v>0</v>
      </c>
      <c r="T20" s="31">
        <f>IFERROR(VLOOKUP($E20,bug_conf_sheet!$A:$H,8,FALSE),VLOOKUP("other",bug_conf_sheet!$A:$H,8,FALSE))</f>
        <v>1</v>
      </c>
    </row>
    <row r="21" spans="1:20" ht="21" customHeight="1">
      <c r="A21" s="2" t="str">
        <f ca="1">input_313100!A$2</f>
        <v>313100</v>
      </c>
      <c r="B21" s="7" t="str">
        <f t="shared" si="1"/>
        <v>Premium4</v>
      </c>
      <c r="C21" s="7" t="str">
        <f t="shared" si="2"/>
        <v>Premium</v>
      </c>
      <c r="D21" s="7" t="str">
        <f t="shared" si="3"/>
        <v>bg</v>
      </c>
      <c r="E21" s="6">
        <v>145</v>
      </c>
      <c r="F21" s="7" t="str">
        <f>VLOOKUP(E21,[1]characters!$A:$C,3,FALSE)</f>
        <v>魔性妖艶 かぐや</v>
      </c>
      <c r="G21" s="7" t="str">
        <f>VLOOKUP(E21,[1]characters!$A:$J,10,FALSE)</f>
        <v>PremiumW</v>
      </c>
      <c r="H21" s="7">
        <f>VLOOKUP(E21,[1]characters!$A:$I,9,FALSE)</f>
        <v>4</v>
      </c>
      <c r="I21" s="7" t="str">
        <f>VLOOKUP(E21,[1]characters!$A:$H,8,FALSE)</f>
        <v>green</v>
      </c>
      <c r="J21" s="7" t="str">
        <f>VLOOKUP(E21,[1]characters!$A:$K,11,FALSE)</f>
        <v>hp</v>
      </c>
      <c r="K21" s="7" t="str">
        <f>VLOOKUP(E21,[1]characters!$A:$M,13,FALSE)</f>
        <v>human</v>
      </c>
      <c r="L21" s="7" t="str">
        <f>VLOOKUP(E21,[1]characters!$A:$G,7,FALSE)</f>
        <v>女性</v>
      </c>
      <c r="M21" s="62">
        <f ca="1">IFERROR(VLOOKUP(E21,input_313100!L:R,7,FALSE),VLOOKUP(tables_313100!B21,input_313100!A:H,8,FALSE))</f>
        <v>342090</v>
      </c>
      <c r="N21" s="63">
        <f t="shared" ca="1" si="4"/>
        <v>1.222972972972973E-2</v>
      </c>
      <c r="O21" s="31">
        <f>IFERROR(VLOOKUP($E21,bug_conf_sheet!$A:$H,3,FALSE),VLOOKUP("other",bug_conf_sheet!$A:$H,3,FALSE))</f>
        <v>1</v>
      </c>
      <c r="P21" s="31">
        <f>IFERROR(VLOOKUP($E21,bug_conf_sheet!$A:$H,4,FALSE),VLOOKUP("other",bug_conf_sheet!$A:$H,4,FALSE))</f>
        <v>0</v>
      </c>
      <c r="Q21" s="31">
        <f>IFERROR(VLOOKUP($E21,bug_conf_sheet!$A:$H,5,FALSE),VLOOKUP("other",bug_conf_sheet!$A:$H,5,FALSE))</f>
        <v>0</v>
      </c>
      <c r="R21" s="31">
        <f>IFERROR(VLOOKUP($E21,bug_conf_sheet!$A:$H,6,FALSE),VLOOKUP("other",bug_conf_sheet!$A:$H,6,FALSE))</f>
        <v>0</v>
      </c>
      <c r="S21" s="31">
        <f>IFERROR(VLOOKUP($E21,bug_conf_sheet!$A:$H,7,FALSE),VLOOKUP("other",bug_conf_sheet!$A:$H,7,FALSE))</f>
        <v>0</v>
      </c>
      <c r="T21" s="31">
        <f>IFERROR(VLOOKUP($E21,bug_conf_sheet!$A:$H,8,FALSE),VLOOKUP("other",bug_conf_sheet!$A:$H,8,FALSE))</f>
        <v>1</v>
      </c>
    </row>
    <row r="22" spans="1:20" ht="21" customHeight="1">
      <c r="A22" s="2" t="str">
        <f ca="1">input_313100!A$2</f>
        <v>313100</v>
      </c>
      <c r="B22" s="7" t="str">
        <f t="shared" si="1"/>
        <v>Premium3</v>
      </c>
      <c r="C22" s="7" t="str">
        <f t="shared" si="2"/>
        <v>Premium</v>
      </c>
      <c r="D22" s="7" t="str">
        <f t="shared" si="3"/>
        <v>bg</v>
      </c>
      <c r="E22" s="6">
        <v>146</v>
      </c>
      <c r="F22" s="7" t="str">
        <f>VLOOKUP(E22,[1]characters!$A:$C,3,FALSE)</f>
        <v>マーメイド</v>
      </c>
      <c r="G22" s="7" t="str">
        <f>VLOOKUP(E22,[1]characters!$A:$J,10,FALSE)</f>
        <v>PremiumW</v>
      </c>
      <c r="H22" s="7">
        <f>VLOOKUP(E22,[1]characters!$A:$I,9,FALSE)</f>
        <v>3</v>
      </c>
      <c r="I22" s="7" t="str">
        <f>VLOOKUP(E22,[1]characters!$A:$H,8,FALSE)</f>
        <v>blue</v>
      </c>
      <c r="J22" s="7" t="str">
        <f>VLOOKUP(E22,[1]characters!$A:$K,11,FALSE)</f>
        <v>hp</v>
      </c>
      <c r="K22" s="7" t="str">
        <f>VLOOKUP(E22,[1]characters!$A:$M,13,FALSE)</f>
        <v>human</v>
      </c>
      <c r="L22" s="7" t="str">
        <f>VLOOKUP(E22,[1]characters!$A:$G,7,FALSE)</f>
        <v>女性</v>
      </c>
      <c r="M22" s="62">
        <f ca="1">IFERROR(VLOOKUP(E22,input_313100!L:R,7,FALSE),VLOOKUP(tables_313100!B22,input_313100!A:H,8,FALSE))</f>
        <v>0</v>
      </c>
      <c r="N22" s="63">
        <f t="shared" ca="1" si="4"/>
        <v>0</v>
      </c>
      <c r="O22" s="31">
        <f>IFERROR(VLOOKUP($E22,bug_conf_sheet!$A:$H,3,FALSE),VLOOKUP("other",bug_conf_sheet!$A:$H,3,FALSE))</f>
        <v>1</v>
      </c>
      <c r="P22" s="31">
        <f>IFERROR(VLOOKUP($E22,bug_conf_sheet!$A:$H,4,FALSE),VLOOKUP("other",bug_conf_sheet!$A:$H,4,FALSE))</f>
        <v>0</v>
      </c>
      <c r="Q22" s="31">
        <f>IFERROR(VLOOKUP($E22,bug_conf_sheet!$A:$H,5,FALSE),VLOOKUP("other",bug_conf_sheet!$A:$H,5,FALSE))</f>
        <v>0</v>
      </c>
      <c r="R22" s="31">
        <f>IFERROR(VLOOKUP($E22,bug_conf_sheet!$A:$H,6,FALSE),VLOOKUP("other",bug_conf_sheet!$A:$H,6,FALSE))</f>
        <v>0</v>
      </c>
      <c r="S22" s="31">
        <f>IFERROR(VLOOKUP($E22,bug_conf_sheet!$A:$H,7,FALSE),VLOOKUP("other",bug_conf_sheet!$A:$H,7,FALSE))</f>
        <v>0</v>
      </c>
      <c r="T22" s="31">
        <f>IFERROR(VLOOKUP($E22,bug_conf_sheet!$A:$H,8,FALSE),VLOOKUP("other",bug_conf_sheet!$A:$H,8,FALSE))</f>
        <v>1</v>
      </c>
    </row>
    <row r="23" spans="1:20" ht="21" customHeight="1">
      <c r="A23" s="2" t="str">
        <f ca="1">input_313100!A$2</f>
        <v>313100</v>
      </c>
      <c r="B23" s="7" t="str">
        <f t="shared" si="1"/>
        <v>Premium4</v>
      </c>
      <c r="C23" s="7" t="str">
        <f t="shared" si="2"/>
        <v>Premium</v>
      </c>
      <c r="D23" s="7" t="str">
        <f t="shared" si="3"/>
        <v>bg</v>
      </c>
      <c r="E23" s="6">
        <v>147</v>
      </c>
      <c r="F23" s="7" t="str">
        <f>VLOOKUP(E23,[1]characters!$A:$C,3,FALSE)</f>
        <v>蒼き閃光 元マーメイド</v>
      </c>
      <c r="G23" s="7" t="str">
        <f>VLOOKUP(E23,[1]characters!$A:$J,10,FALSE)</f>
        <v>PremiumW</v>
      </c>
      <c r="H23" s="7">
        <f>VLOOKUP(E23,[1]characters!$A:$I,9,FALSE)</f>
        <v>4</v>
      </c>
      <c r="I23" s="7" t="str">
        <f>VLOOKUP(E23,[1]characters!$A:$H,8,FALSE)</f>
        <v>blue</v>
      </c>
      <c r="J23" s="7" t="str">
        <f>VLOOKUP(E23,[1]characters!$A:$K,11,FALSE)</f>
        <v>hp</v>
      </c>
      <c r="K23" s="7" t="str">
        <f>VLOOKUP(E23,[1]characters!$A:$M,13,FALSE)</f>
        <v>human</v>
      </c>
      <c r="L23" s="7" t="str">
        <f>VLOOKUP(E23,[1]characters!$A:$G,7,FALSE)</f>
        <v>女性</v>
      </c>
      <c r="M23" s="62">
        <f ca="1">IFERROR(VLOOKUP(E23,input_313100!L:R,7,FALSE),VLOOKUP(tables_313100!B23,input_313100!A:H,8,FALSE))</f>
        <v>342090</v>
      </c>
      <c r="N23" s="63">
        <f t="shared" ca="1" si="4"/>
        <v>1.222972972972973E-2</v>
      </c>
      <c r="O23" s="31">
        <f>IFERROR(VLOOKUP($E23,bug_conf_sheet!$A:$H,3,FALSE),VLOOKUP("other",bug_conf_sheet!$A:$H,3,FALSE))</f>
        <v>1</v>
      </c>
      <c r="P23" s="31">
        <f>IFERROR(VLOOKUP($E23,bug_conf_sheet!$A:$H,4,FALSE),VLOOKUP("other",bug_conf_sheet!$A:$H,4,FALSE))</f>
        <v>0</v>
      </c>
      <c r="Q23" s="31">
        <f>IFERROR(VLOOKUP($E23,bug_conf_sheet!$A:$H,5,FALSE),VLOOKUP("other",bug_conf_sheet!$A:$H,5,FALSE))</f>
        <v>0</v>
      </c>
      <c r="R23" s="31">
        <f>IFERROR(VLOOKUP($E23,bug_conf_sheet!$A:$H,6,FALSE),VLOOKUP("other",bug_conf_sheet!$A:$H,6,FALSE))</f>
        <v>0</v>
      </c>
      <c r="S23" s="31">
        <f>IFERROR(VLOOKUP($E23,bug_conf_sheet!$A:$H,7,FALSE),VLOOKUP("other",bug_conf_sheet!$A:$H,7,FALSE))</f>
        <v>0</v>
      </c>
      <c r="T23" s="31">
        <f>IFERROR(VLOOKUP($E23,bug_conf_sheet!$A:$H,8,FALSE),VLOOKUP("other",bug_conf_sheet!$A:$H,8,FALSE))</f>
        <v>1</v>
      </c>
    </row>
    <row r="24" spans="1:20" ht="21" customHeight="1">
      <c r="A24" s="2" t="str">
        <f ca="1">input_313100!A$2</f>
        <v>313100</v>
      </c>
      <c r="B24" s="7" t="str">
        <f t="shared" si="1"/>
        <v>Premium3</v>
      </c>
      <c r="C24" s="7" t="str">
        <f t="shared" si="2"/>
        <v>Premium</v>
      </c>
      <c r="D24" s="7" t="str">
        <f t="shared" si="3"/>
        <v>ry</v>
      </c>
      <c r="E24" s="6">
        <v>148</v>
      </c>
      <c r="F24" s="7" t="str">
        <f>VLOOKUP(E24,[1]characters!$A:$C,3,FALSE)</f>
        <v>シンデレラ</v>
      </c>
      <c r="G24" s="7" t="str">
        <f>VLOOKUP(E24,[1]characters!$A:$J,10,FALSE)</f>
        <v>PremiumW</v>
      </c>
      <c r="H24" s="7">
        <f>VLOOKUP(E24,[1]characters!$A:$I,9,FALSE)</f>
        <v>3</v>
      </c>
      <c r="I24" s="7" t="str">
        <f>VLOOKUP(E24,[1]characters!$A:$H,8,FALSE)</f>
        <v>yellow</v>
      </c>
      <c r="J24" s="7" t="str">
        <f>VLOOKUP(E24,[1]characters!$A:$K,11,FALSE)</f>
        <v>balance</v>
      </c>
      <c r="K24" s="7" t="str">
        <f>VLOOKUP(E24,[1]characters!$A:$M,13,FALSE)</f>
        <v>human</v>
      </c>
      <c r="L24" s="7" t="str">
        <f>VLOOKUP(E24,[1]characters!$A:$G,7,FALSE)</f>
        <v>女性</v>
      </c>
      <c r="M24" s="62">
        <f ca="1">IFERROR(VLOOKUP(E24,input_313100!L:R,7,FALSE),VLOOKUP(tables_313100!B24,input_313100!A:H,8,FALSE))</f>
        <v>0</v>
      </c>
      <c r="N24" s="63">
        <f t="shared" ca="1" si="4"/>
        <v>0</v>
      </c>
      <c r="O24" s="31">
        <f>IFERROR(VLOOKUP($E24,bug_conf_sheet!$A:$H,3,FALSE),VLOOKUP("other",bug_conf_sheet!$A:$H,3,FALSE))</f>
        <v>1</v>
      </c>
      <c r="P24" s="31">
        <f>IFERROR(VLOOKUP($E24,bug_conf_sheet!$A:$H,4,FALSE),VLOOKUP("other",bug_conf_sheet!$A:$H,4,FALSE))</f>
        <v>0</v>
      </c>
      <c r="Q24" s="31">
        <f>IFERROR(VLOOKUP($E24,bug_conf_sheet!$A:$H,5,FALSE),VLOOKUP("other",bug_conf_sheet!$A:$H,5,FALSE))</f>
        <v>0</v>
      </c>
      <c r="R24" s="31">
        <f>IFERROR(VLOOKUP($E24,bug_conf_sheet!$A:$H,6,FALSE),VLOOKUP("other",bug_conf_sheet!$A:$H,6,FALSE))</f>
        <v>0</v>
      </c>
      <c r="S24" s="31">
        <f>IFERROR(VLOOKUP($E24,bug_conf_sheet!$A:$H,7,FALSE),VLOOKUP("other",bug_conf_sheet!$A:$H,7,FALSE))</f>
        <v>0</v>
      </c>
      <c r="T24" s="31">
        <f>IFERROR(VLOOKUP($E24,bug_conf_sheet!$A:$H,8,FALSE),VLOOKUP("other",bug_conf_sheet!$A:$H,8,FALSE))</f>
        <v>1</v>
      </c>
    </row>
    <row r="25" spans="1:20" ht="21" customHeight="1">
      <c r="A25" s="2" t="str">
        <f ca="1">input_313100!A$2</f>
        <v>313100</v>
      </c>
      <c r="B25" s="7" t="str">
        <f t="shared" si="1"/>
        <v>Premium4</v>
      </c>
      <c r="C25" s="7" t="str">
        <f t="shared" si="2"/>
        <v>Premium</v>
      </c>
      <c r="D25" s="7" t="str">
        <f t="shared" si="3"/>
        <v>ry</v>
      </c>
      <c r="E25" s="6">
        <v>149</v>
      </c>
      <c r="F25" s="7" t="str">
        <f>VLOOKUP(E25,[1]characters!$A:$C,3,FALSE)</f>
        <v>雷撃蹴技を極めし者 シンデレラ</v>
      </c>
      <c r="G25" s="7" t="str">
        <f>VLOOKUP(E25,[1]characters!$A:$J,10,FALSE)</f>
        <v>PremiumW</v>
      </c>
      <c r="H25" s="7">
        <f>VLOOKUP(E25,[1]characters!$A:$I,9,FALSE)</f>
        <v>4</v>
      </c>
      <c r="I25" s="7" t="str">
        <f>VLOOKUP(E25,[1]characters!$A:$H,8,FALSE)</f>
        <v>yellow</v>
      </c>
      <c r="J25" s="7" t="str">
        <f>VLOOKUP(E25,[1]characters!$A:$K,11,FALSE)</f>
        <v>balance</v>
      </c>
      <c r="K25" s="7" t="str">
        <f>VLOOKUP(E25,[1]characters!$A:$M,13,FALSE)</f>
        <v>human</v>
      </c>
      <c r="L25" s="7" t="str">
        <f>VLOOKUP(E25,[1]characters!$A:$G,7,FALSE)</f>
        <v>女性</v>
      </c>
      <c r="M25" s="62">
        <f ca="1">IFERROR(VLOOKUP(E25,input_313100!L:R,7,FALSE),VLOOKUP(tables_313100!B25,input_313100!A:H,8,FALSE))</f>
        <v>342090</v>
      </c>
      <c r="N25" s="63">
        <f t="shared" ca="1" si="4"/>
        <v>1.222972972972973E-2</v>
      </c>
      <c r="O25" s="31">
        <f>IFERROR(VLOOKUP($E25,bug_conf_sheet!$A:$H,3,FALSE),VLOOKUP("other",bug_conf_sheet!$A:$H,3,FALSE))</f>
        <v>1</v>
      </c>
      <c r="P25" s="31">
        <f>IFERROR(VLOOKUP($E25,bug_conf_sheet!$A:$H,4,FALSE),VLOOKUP("other",bug_conf_sheet!$A:$H,4,FALSE))</f>
        <v>0</v>
      </c>
      <c r="Q25" s="31">
        <f>IFERROR(VLOOKUP($E25,bug_conf_sheet!$A:$H,5,FALSE),VLOOKUP("other",bug_conf_sheet!$A:$H,5,FALSE))</f>
        <v>0</v>
      </c>
      <c r="R25" s="31">
        <f>IFERROR(VLOOKUP($E25,bug_conf_sheet!$A:$H,6,FALSE),VLOOKUP("other",bug_conf_sheet!$A:$H,6,FALSE))</f>
        <v>0</v>
      </c>
      <c r="S25" s="31">
        <f>IFERROR(VLOOKUP($E25,bug_conf_sheet!$A:$H,7,FALSE),VLOOKUP("other",bug_conf_sheet!$A:$H,7,FALSE))</f>
        <v>0</v>
      </c>
      <c r="T25" s="31">
        <f>IFERROR(VLOOKUP($E25,bug_conf_sheet!$A:$H,8,FALSE),VLOOKUP("other",bug_conf_sheet!$A:$H,8,FALSE))</f>
        <v>1</v>
      </c>
    </row>
    <row r="26" spans="1:20" ht="21" customHeight="1">
      <c r="A26" s="2" t="str">
        <f ca="1">input_313100!A$2</f>
        <v>313100</v>
      </c>
      <c r="B26" s="7" t="str">
        <f t="shared" si="1"/>
        <v>Premium3</v>
      </c>
      <c r="C26" s="7" t="str">
        <f t="shared" si="2"/>
        <v>Premium</v>
      </c>
      <c r="D26" s="7" t="str">
        <f t="shared" si="3"/>
        <v>ry</v>
      </c>
      <c r="E26" s="6">
        <v>150</v>
      </c>
      <c r="F26" s="7" t="str">
        <f>VLOOKUP(E26,[1]characters!$A:$C,3,FALSE)</f>
        <v>ポイズンマスターサキ</v>
      </c>
      <c r="G26" s="7" t="str">
        <f>VLOOKUP(E26,[1]characters!$A:$J,10,FALSE)</f>
        <v>PremiumW</v>
      </c>
      <c r="H26" s="7">
        <f>VLOOKUP(E26,[1]characters!$A:$I,9,FALSE)</f>
        <v>3</v>
      </c>
      <c r="I26" s="7" t="str">
        <f>VLOOKUP(E26,[1]characters!$A:$H,8,FALSE)</f>
        <v>red</v>
      </c>
      <c r="J26" s="7" t="str">
        <f>VLOOKUP(E26,[1]characters!$A:$K,11,FALSE)</f>
        <v>technical</v>
      </c>
      <c r="K26" s="7" t="str">
        <f>VLOOKUP(E26,[1]characters!$A:$M,13,FALSE)</f>
        <v>human</v>
      </c>
      <c r="L26" s="7" t="str">
        <f>VLOOKUP(E26,[1]characters!$A:$G,7,FALSE)</f>
        <v>女性</v>
      </c>
      <c r="M26" s="62">
        <f ca="1">IFERROR(VLOOKUP(E26,input_313100!L:R,7,FALSE),VLOOKUP(tables_313100!B26,input_313100!A:H,8,FALSE))</f>
        <v>0</v>
      </c>
      <c r="N26" s="63">
        <f t="shared" ca="1" si="4"/>
        <v>0</v>
      </c>
      <c r="O26" s="31">
        <f>IFERROR(VLOOKUP($E26,bug_conf_sheet!$A:$H,3,FALSE),VLOOKUP("other",bug_conf_sheet!$A:$H,3,FALSE))</f>
        <v>1</v>
      </c>
      <c r="P26" s="31">
        <f>IFERROR(VLOOKUP($E26,bug_conf_sheet!$A:$H,4,FALSE),VLOOKUP("other",bug_conf_sheet!$A:$H,4,FALSE))</f>
        <v>0</v>
      </c>
      <c r="Q26" s="31">
        <f>IFERROR(VLOOKUP($E26,bug_conf_sheet!$A:$H,5,FALSE),VLOOKUP("other",bug_conf_sheet!$A:$H,5,FALSE))</f>
        <v>0</v>
      </c>
      <c r="R26" s="31">
        <f>IFERROR(VLOOKUP($E26,bug_conf_sheet!$A:$H,6,FALSE),VLOOKUP("other",bug_conf_sheet!$A:$H,6,FALSE))</f>
        <v>0</v>
      </c>
      <c r="S26" s="31">
        <f>IFERROR(VLOOKUP($E26,bug_conf_sheet!$A:$H,7,FALSE),VLOOKUP("other",bug_conf_sheet!$A:$H,7,FALSE))</f>
        <v>0</v>
      </c>
      <c r="T26" s="31">
        <f>IFERROR(VLOOKUP($E26,bug_conf_sheet!$A:$H,8,FALSE),VLOOKUP("other",bug_conf_sheet!$A:$H,8,FALSE))</f>
        <v>1</v>
      </c>
    </row>
    <row r="27" spans="1:20" ht="21" customHeight="1">
      <c r="A27" s="2" t="str">
        <f ca="1">input_313100!A$2</f>
        <v>313100</v>
      </c>
      <c r="B27" s="7" t="str">
        <f t="shared" si="1"/>
        <v>Premium4</v>
      </c>
      <c r="C27" s="7" t="str">
        <f t="shared" si="2"/>
        <v>Premium</v>
      </c>
      <c r="D27" s="7" t="str">
        <f t="shared" si="3"/>
        <v>ry</v>
      </c>
      <c r="E27" s="6">
        <v>151</v>
      </c>
      <c r="F27" s="7" t="str">
        <f>VLOOKUP(E27,[1]characters!$A:$C,3,FALSE)</f>
        <v>毒煙の処刑人サキ</v>
      </c>
      <c r="G27" s="7" t="str">
        <f>VLOOKUP(E27,[1]characters!$A:$J,10,FALSE)</f>
        <v>PremiumW</v>
      </c>
      <c r="H27" s="7">
        <f>VLOOKUP(E27,[1]characters!$A:$I,9,FALSE)</f>
        <v>4</v>
      </c>
      <c r="I27" s="7" t="str">
        <f>VLOOKUP(E27,[1]characters!$A:$H,8,FALSE)</f>
        <v>red</v>
      </c>
      <c r="J27" s="7" t="str">
        <f>VLOOKUP(E27,[1]characters!$A:$K,11,FALSE)</f>
        <v>technical</v>
      </c>
      <c r="K27" s="7" t="str">
        <f>VLOOKUP(E27,[1]characters!$A:$M,13,FALSE)</f>
        <v>human</v>
      </c>
      <c r="L27" s="7" t="str">
        <f>VLOOKUP(E27,[1]characters!$A:$G,7,FALSE)</f>
        <v>女性</v>
      </c>
      <c r="M27" s="62">
        <f ca="1">IFERROR(VLOOKUP(E27,input_313100!L:R,7,FALSE),VLOOKUP(tables_313100!B27,input_313100!A:H,8,FALSE))</f>
        <v>342090</v>
      </c>
      <c r="N27" s="63">
        <f t="shared" ca="1" si="4"/>
        <v>1.222972972972973E-2</v>
      </c>
      <c r="O27" s="31">
        <f>IFERROR(VLOOKUP($E27,bug_conf_sheet!$A:$H,3,FALSE),VLOOKUP("other",bug_conf_sheet!$A:$H,3,FALSE))</f>
        <v>1</v>
      </c>
      <c r="P27" s="31">
        <f>IFERROR(VLOOKUP($E27,bug_conf_sheet!$A:$H,4,FALSE),VLOOKUP("other",bug_conf_sheet!$A:$H,4,FALSE))</f>
        <v>0</v>
      </c>
      <c r="Q27" s="31">
        <f>IFERROR(VLOOKUP($E27,bug_conf_sheet!$A:$H,5,FALSE),VLOOKUP("other",bug_conf_sheet!$A:$H,5,FALSE))</f>
        <v>0</v>
      </c>
      <c r="R27" s="31">
        <f>IFERROR(VLOOKUP($E27,bug_conf_sheet!$A:$H,6,FALSE),VLOOKUP("other",bug_conf_sheet!$A:$H,6,FALSE))</f>
        <v>0</v>
      </c>
      <c r="S27" s="31">
        <f>IFERROR(VLOOKUP($E27,bug_conf_sheet!$A:$H,7,FALSE),VLOOKUP("other",bug_conf_sheet!$A:$H,7,FALSE))</f>
        <v>0</v>
      </c>
      <c r="T27" s="31">
        <f>IFERROR(VLOOKUP($E27,bug_conf_sheet!$A:$H,8,FALSE),VLOOKUP("other",bug_conf_sheet!$A:$H,8,FALSE))</f>
        <v>1</v>
      </c>
    </row>
    <row r="28" spans="1:20" ht="21" customHeight="1">
      <c r="A28" s="2" t="str">
        <f ca="1">input_313100!A$2</f>
        <v>313100</v>
      </c>
      <c r="B28" s="7" t="str">
        <f t="shared" si="1"/>
        <v>Premium3</v>
      </c>
      <c r="C28" s="7" t="str">
        <f t="shared" si="2"/>
        <v>Premium</v>
      </c>
      <c r="D28" s="7" t="str">
        <f t="shared" si="3"/>
        <v>bg</v>
      </c>
      <c r="E28" s="6">
        <v>152</v>
      </c>
      <c r="F28" s="7" t="str">
        <f>VLOOKUP(E28,[1]characters!$A:$C,3,FALSE)</f>
        <v>功夫少女ランラン</v>
      </c>
      <c r="G28" s="7" t="str">
        <f>VLOOKUP(E28,[1]characters!$A:$J,10,FALSE)</f>
        <v>PremiumW</v>
      </c>
      <c r="H28" s="7">
        <f>VLOOKUP(E28,[1]characters!$A:$I,9,FALSE)</f>
        <v>3</v>
      </c>
      <c r="I28" s="7" t="str">
        <f>VLOOKUP(E28,[1]characters!$A:$H,8,FALSE)</f>
        <v>green</v>
      </c>
      <c r="J28" s="7" t="str">
        <f>VLOOKUP(E28,[1]characters!$A:$K,11,FALSE)</f>
        <v>heal</v>
      </c>
      <c r="K28" s="7" t="str">
        <f>VLOOKUP(E28,[1]characters!$A:$M,13,FALSE)</f>
        <v>human</v>
      </c>
      <c r="L28" s="7" t="str">
        <f>VLOOKUP(E28,[1]characters!$A:$G,7,FALSE)</f>
        <v>女性</v>
      </c>
      <c r="M28" s="62">
        <f ca="1">IFERROR(VLOOKUP(E28,input_313100!L:R,7,FALSE),VLOOKUP(tables_313100!B28,input_313100!A:H,8,FALSE))</f>
        <v>0</v>
      </c>
      <c r="N28" s="63">
        <f t="shared" ca="1" si="4"/>
        <v>0</v>
      </c>
      <c r="O28" s="31">
        <f>IFERROR(VLOOKUP($E28,bug_conf_sheet!$A:$H,3,FALSE),VLOOKUP("other",bug_conf_sheet!$A:$H,3,FALSE))</f>
        <v>1</v>
      </c>
      <c r="P28" s="31">
        <f>IFERROR(VLOOKUP($E28,bug_conf_sheet!$A:$H,4,FALSE),VLOOKUP("other",bug_conf_sheet!$A:$H,4,FALSE))</f>
        <v>0</v>
      </c>
      <c r="Q28" s="31">
        <f>IFERROR(VLOOKUP($E28,bug_conf_sheet!$A:$H,5,FALSE),VLOOKUP("other",bug_conf_sheet!$A:$H,5,FALSE))</f>
        <v>0</v>
      </c>
      <c r="R28" s="31">
        <f>IFERROR(VLOOKUP($E28,bug_conf_sheet!$A:$H,6,FALSE),VLOOKUP("other",bug_conf_sheet!$A:$H,6,FALSE))</f>
        <v>0</v>
      </c>
      <c r="S28" s="31">
        <f>IFERROR(VLOOKUP($E28,bug_conf_sheet!$A:$H,7,FALSE),VLOOKUP("other",bug_conf_sheet!$A:$H,7,FALSE))</f>
        <v>0</v>
      </c>
      <c r="T28" s="31">
        <f>IFERROR(VLOOKUP($E28,bug_conf_sheet!$A:$H,8,FALSE),VLOOKUP("other",bug_conf_sheet!$A:$H,8,FALSE))</f>
        <v>1</v>
      </c>
    </row>
    <row r="29" spans="1:20" ht="21" customHeight="1">
      <c r="A29" s="2" t="str">
        <f ca="1">input_313100!A$2</f>
        <v>313100</v>
      </c>
      <c r="B29" s="7" t="str">
        <f t="shared" si="1"/>
        <v>Premium4</v>
      </c>
      <c r="C29" s="7" t="str">
        <f t="shared" si="2"/>
        <v>Premium</v>
      </c>
      <c r="D29" s="7" t="str">
        <f t="shared" si="3"/>
        <v>bg</v>
      </c>
      <c r="E29" s="6">
        <v>153</v>
      </c>
      <c r="F29" s="7" t="str">
        <f>VLOOKUP(E29,[1]characters!$A:$C,3,FALSE)</f>
        <v>拳聖ランラン</v>
      </c>
      <c r="G29" s="7" t="str">
        <f>VLOOKUP(E29,[1]characters!$A:$J,10,FALSE)</f>
        <v>PremiumW</v>
      </c>
      <c r="H29" s="7">
        <f>VLOOKUP(E29,[1]characters!$A:$I,9,FALSE)</f>
        <v>4</v>
      </c>
      <c r="I29" s="7" t="str">
        <f>VLOOKUP(E29,[1]characters!$A:$H,8,FALSE)</f>
        <v>green</v>
      </c>
      <c r="J29" s="7" t="str">
        <f>VLOOKUP(E29,[1]characters!$A:$K,11,FALSE)</f>
        <v>heal</v>
      </c>
      <c r="K29" s="7" t="str">
        <f>VLOOKUP(E29,[1]characters!$A:$M,13,FALSE)</f>
        <v>human</v>
      </c>
      <c r="L29" s="7" t="str">
        <f>VLOOKUP(E29,[1]characters!$A:$G,7,FALSE)</f>
        <v>女性</v>
      </c>
      <c r="M29" s="62">
        <f ca="1">IFERROR(VLOOKUP(E29,input_313100!L:R,7,FALSE),VLOOKUP(tables_313100!B29,input_313100!A:H,8,FALSE))</f>
        <v>342090</v>
      </c>
      <c r="N29" s="63">
        <f t="shared" ca="1" si="4"/>
        <v>1.222972972972973E-2</v>
      </c>
      <c r="O29" s="31">
        <f>IFERROR(VLOOKUP($E29,bug_conf_sheet!$A:$H,3,FALSE),VLOOKUP("other",bug_conf_sheet!$A:$H,3,FALSE))</f>
        <v>1</v>
      </c>
      <c r="P29" s="31">
        <f>IFERROR(VLOOKUP($E29,bug_conf_sheet!$A:$H,4,FALSE),VLOOKUP("other",bug_conf_sheet!$A:$H,4,FALSE))</f>
        <v>0</v>
      </c>
      <c r="Q29" s="31">
        <f>IFERROR(VLOOKUP($E29,bug_conf_sheet!$A:$H,5,FALSE),VLOOKUP("other",bug_conf_sheet!$A:$H,5,FALSE))</f>
        <v>0</v>
      </c>
      <c r="R29" s="31">
        <f>IFERROR(VLOOKUP($E29,bug_conf_sheet!$A:$H,6,FALSE),VLOOKUP("other",bug_conf_sheet!$A:$H,6,FALSE))</f>
        <v>0</v>
      </c>
      <c r="S29" s="31">
        <f>IFERROR(VLOOKUP($E29,bug_conf_sheet!$A:$H,7,FALSE),VLOOKUP("other",bug_conf_sheet!$A:$H,7,FALSE))</f>
        <v>0</v>
      </c>
      <c r="T29" s="31">
        <f>IFERROR(VLOOKUP($E29,bug_conf_sheet!$A:$H,8,FALSE),VLOOKUP("other",bug_conf_sheet!$A:$H,8,FALSE))</f>
        <v>1</v>
      </c>
    </row>
    <row r="30" spans="1:20" ht="21" customHeight="1">
      <c r="A30" s="2" t="str">
        <f ca="1">input_313100!A$2</f>
        <v>313100</v>
      </c>
      <c r="B30" s="7" t="str">
        <f t="shared" si="1"/>
        <v>Premium3</v>
      </c>
      <c r="C30" s="7" t="str">
        <f t="shared" si="2"/>
        <v>Premium</v>
      </c>
      <c r="D30" s="7" t="str">
        <f t="shared" si="3"/>
        <v>bg</v>
      </c>
      <c r="E30" s="6">
        <v>154</v>
      </c>
      <c r="F30" s="7" t="str">
        <f>VLOOKUP(E30,[1]characters!$A:$C,3,FALSE)</f>
        <v>始末屋 ハンナ</v>
      </c>
      <c r="G30" s="7" t="str">
        <f>VLOOKUP(E30,[1]characters!$A:$J,10,FALSE)</f>
        <v>PremiumW</v>
      </c>
      <c r="H30" s="7">
        <f>VLOOKUP(E30,[1]characters!$A:$I,9,FALSE)</f>
        <v>3</v>
      </c>
      <c r="I30" s="7" t="str">
        <f>VLOOKUP(E30,[1]characters!$A:$H,8,FALSE)</f>
        <v>blue</v>
      </c>
      <c r="J30" s="7" t="str">
        <f>VLOOKUP(E30,[1]characters!$A:$K,11,FALSE)</f>
        <v>heal</v>
      </c>
      <c r="K30" s="7" t="str">
        <f>VLOOKUP(E30,[1]characters!$A:$M,13,FALSE)</f>
        <v>human</v>
      </c>
      <c r="L30" s="7" t="str">
        <f>VLOOKUP(E30,[1]characters!$A:$G,7,FALSE)</f>
        <v>女性</v>
      </c>
      <c r="M30" s="62">
        <f ca="1">IFERROR(VLOOKUP(E30,input_313100!L:R,7,FALSE),VLOOKUP(tables_313100!B30,input_313100!A:H,8,FALSE))</f>
        <v>0</v>
      </c>
      <c r="N30" s="63">
        <f t="shared" ca="1" si="4"/>
        <v>0</v>
      </c>
      <c r="O30" s="31">
        <f>IFERROR(VLOOKUP($E30,bug_conf_sheet!$A:$H,3,FALSE),VLOOKUP("other",bug_conf_sheet!$A:$H,3,FALSE))</f>
        <v>1</v>
      </c>
      <c r="P30" s="31">
        <f>IFERROR(VLOOKUP($E30,bug_conf_sheet!$A:$H,4,FALSE),VLOOKUP("other",bug_conf_sheet!$A:$H,4,FALSE))</f>
        <v>0</v>
      </c>
      <c r="Q30" s="31">
        <f>IFERROR(VLOOKUP($E30,bug_conf_sheet!$A:$H,5,FALSE),VLOOKUP("other",bug_conf_sheet!$A:$H,5,FALSE))</f>
        <v>0</v>
      </c>
      <c r="R30" s="31">
        <f>IFERROR(VLOOKUP($E30,bug_conf_sheet!$A:$H,6,FALSE),VLOOKUP("other",bug_conf_sheet!$A:$H,6,FALSE))</f>
        <v>0</v>
      </c>
      <c r="S30" s="31">
        <f>IFERROR(VLOOKUP($E30,bug_conf_sheet!$A:$H,7,FALSE),VLOOKUP("other",bug_conf_sheet!$A:$H,7,FALSE))</f>
        <v>0</v>
      </c>
      <c r="T30" s="31">
        <f>IFERROR(VLOOKUP($E30,bug_conf_sheet!$A:$H,8,FALSE),VLOOKUP("other",bug_conf_sheet!$A:$H,8,FALSE))</f>
        <v>1</v>
      </c>
    </row>
    <row r="31" spans="1:20" ht="21" customHeight="1">
      <c r="A31" s="2" t="str">
        <f ca="1">input_313100!A$2</f>
        <v>313100</v>
      </c>
      <c r="B31" s="7" t="str">
        <f t="shared" si="1"/>
        <v>Premium4</v>
      </c>
      <c r="C31" s="7" t="str">
        <f t="shared" si="2"/>
        <v>Premium</v>
      </c>
      <c r="D31" s="7" t="str">
        <f t="shared" si="3"/>
        <v>bg</v>
      </c>
      <c r="E31" s="6">
        <v>155</v>
      </c>
      <c r="F31" s="7" t="str">
        <f>VLOOKUP(E31,[1]characters!$A:$C,3,FALSE)</f>
        <v>隻眼の掃除屋 ハンナ</v>
      </c>
      <c r="G31" s="7" t="str">
        <f>VLOOKUP(E31,[1]characters!$A:$J,10,FALSE)</f>
        <v>PremiumW</v>
      </c>
      <c r="H31" s="7">
        <f>VLOOKUP(E31,[1]characters!$A:$I,9,FALSE)</f>
        <v>4</v>
      </c>
      <c r="I31" s="7" t="str">
        <f>VLOOKUP(E31,[1]characters!$A:$H,8,FALSE)</f>
        <v>blue</v>
      </c>
      <c r="J31" s="7" t="str">
        <f>VLOOKUP(E31,[1]characters!$A:$K,11,FALSE)</f>
        <v>heal</v>
      </c>
      <c r="K31" s="7" t="str">
        <f>VLOOKUP(E31,[1]characters!$A:$M,13,FALSE)</f>
        <v>human</v>
      </c>
      <c r="L31" s="7" t="str">
        <f>VLOOKUP(E31,[1]characters!$A:$G,7,FALSE)</f>
        <v>女性</v>
      </c>
      <c r="M31" s="62">
        <f ca="1">IFERROR(VLOOKUP(E31,input_313100!L:R,7,FALSE),VLOOKUP(tables_313100!B31,input_313100!A:H,8,FALSE))</f>
        <v>342090</v>
      </c>
      <c r="N31" s="63">
        <f t="shared" ca="1" si="4"/>
        <v>1.222972972972973E-2</v>
      </c>
      <c r="O31" s="31">
        <f>IFERROR(VLOOKUP($E31,bug_conf_sheet!$A:$H,3,FALSE),VLOOKUP("other",bug_conf_sheet!$A:$H,3,FALSE))</f>
        <v>1</v>
      </c>
      <c r="P31" s="31">
        <f>IFERROR(VLOOKUP($E31,bug_conf_sheet!$A:$H,4,FALSE),VLOOKUP("other",bug_conf_sheet!$A:$H,4,FALSE))</f>
        <v>0</v>
      </c>
      <c r="Q31" s="31">
        <f>IFERROR(VLOOKUP($E31,bug_conf_sheet!$A:$H,5,FALSE),VLOOKUP("other",bug_conf_sheet!$A:$H,5,FALSE))</f>
        <v>0</v>
      </c>
      <c r="R31" s="31">
        <f>IFERROR(VLOOKUP($E31,bug_conf_sheet!$A:$H,6,FALSE),VLOOKUP("other",bug_conf_sheet!$A:$H,6,FALSE))</f>
        <v>0</v>
      </c>
      <c r="S31" s="31">
        <f>IFERROR(VLOOKUP($E31,bug_conf_sheet!$A:$H,7,FALSE),VLOOKUP("other",bug_conf_sheet!$A:$H,7,FALSE))</f>
        <v>0</v>
      </c>
      <c r="T31" s="31">
        <f>IFERROR(VLOOKUP($E31,bug_conf_sheet!$A:$H,8,FALSE),VLOOKUP("other",bug_conf_sheet!$A:$H,8,FALSE))</f>
        <v>1</v>
      </c>
    </row>
    <row r="32" spans="1:20" ht="21" customHeight="1">
      <c r="A32" s="2" t="str">
        <f ca="1">input_313100!A$2</f>
        <v>313100</v>
      </c>
      <c r="B32" s="7" t="str">
        <f t="shared" si="1"/>
        <v>Premium3</v>
      </c>
      <c r="C32" s="7" t="str">
        <f t="shared" si="2"/>
        <v>Premium</v>
      </c>
      <c r="D32" s="7" t="str">
        <f t="shared" si="3"/>
        <v>ry</v>
      </c>
      <c r="E32" s="6">
        <v>156</v>
      </c>
      <c r="F32" s="7" t="str">
        <f>VLOOKUP(E32,[1]characters!$A:$C,3,FALSE)</f>
        <v>踊り子 エレナ</v>
      </c>
      <c r="G32" s="7" t="str">
        <f>VLOOKUP(E32,[1]characters!$A:$J,10,FALSE)</f>
        <v>PremiumW</v>
      </c>
      <c r="H32" s="7">
        <f>VLOOKUP(E32,[1]characters!$A:$I,9,FALSE)</f>
        <v>3</v>
      </c>
      <c r="I32" s="7" t="str">
        <f>VLOOKUP(E32,[1]characters!$A:$H,8,FALSE)</f>
        <v>yellow</v>
      </c>
      <c r="J32" s="7" t="str">
        <f>VLOOKUP(E32,[1]characters!$A:$K,11,FALSE)</f>
        <v>heal</v>
      </c>
      <c r="K32" s="7" t="str">
        <f>VLOOKUP(E32,[1]characters!$A:$M,13,FALSE)</f>
        <v>human</v>
      </c>
      <c r="L32" s="7" t="str">
        <f>VLOOKUP(E32,[1]characters!$A:$G,7,FALSE)</f>
        <v>女性</v>
      </c>
      <c r="M32" s="62">
        <f ca="1">IFERROR(VLOOKUP(E32,input_313100!L:R,7,FALSE),VLOOKUP(tables_313100!B32,input_313100!A:H,8,FALSE))</f>
        <v>0</v>
      </c>
      <c r="N32" s="63">
        <f t="shared" ca="1" si="4"/>
        <v>0</v>
      </c>
      <c r="O32" s="31">
        <f>IFERROR(VLOOKUP($E32,bug_conf_sheet!$A:$H,3,FALSE),VLOOKUP("other",bug_conf_sheet!$A:$H,3,FALSE))</f>
        <v>1</v>
      </c>
      <c r="P32" s="31">
        <f>IFERROR(VLOOKUP($E32,bug_conf_sheet!$A:$H,4,FALSE),VLOOKUP("other",bug_conf_sheet!$A:$H,4,FALSE))</f>
        <v>0</v>
      </c>
      <c r="Q32" s="31">
        <f>IFERROR(VLOOKUP($E32,bug_conf_sheet!$A:$H,5,FALSE),VLOOKUP("other",bug_conf_sheet!$A:$H,5,FALSE))</f>
        <v>0</v>
      </c>
      <c r="R32" s="31">
        <f>IFERROR(VLOOKUP($E32,bug_conf_sheet!$A:$H,6,FALSE),VLOOKUP("other",bug_conf_sheet!$A:$H,6,FALSE))</f>
        <v>0</v>
      </c>
      <c r="S32" s="31">
        <f>IFERROR(VLOOKUP($E32,bug_conf_sheet!$A:$H,7,FALSE),VLOOKUP("other",bug_conf_sheet!$A:$H,7,FALSE))</f>
        <v>0</v>
      </c>
      <c r="T32" s="31">
        <f>IFERROR(VLOOKUP($E32,bug_conf_sheet!$A:$H,8,FALSE),VLOOKUP("other",bug_conf_sheet!$A:$H,8,FALSE))</f>
        <v>1</v>
      </c>
    </row>
    <row r="33" spans="1:20" ht="21" customHeight="1">
      <c r="A33" s="2" t="str">
        <f ca="1">input_313100!A$2</f>
        <v>313100</v>
      </c>
      <c r="B33" s="7" t="str">
        <f t="shared" si="1"/>
        <v>Premium4</v>
      </c>
      <c r="C33" s="7" t="str">
        <f t="shared" si="2"/>
        <v>Premium</v>
      </c>
      <c r="D33" s="7" t="str">
        <f t="shared" si="3"/>
        <v>ry</v>
      </c>
      <c r="E33" s="6">
        <v>157</v>
      </c>
      <c r="F33" s="7" t="str">
        <f>VLOOKUP(E33,[1]characters!$A:$C,3,FALSE)</f>
        <v>雷光舞姫 エレナ</v>
      </c>
      <c r="G33" s="7" t="str">
        <f>VLOOKUP(E33,[1]characters!$A:$J,10,FALSE)</f>
        <v>PremiumW</v>
      </c>
      <c r="H33" s="7">
        <f>VLOOKUP(E33,[1]characters!$A:$I,9,FALSE)</f>
        <v>4</v>
      </c>
      <c r="I33" s="7" t="str">
        <f>VLOOKUP(E33,[1]characters!$A:$H,8,FALSE)</f>
        <v>yellow</v>
      </c>
      <c r="J33" s="7" t="str">
        <f>VLOOKUP(E33,[1]characters!$A:$K,11,FALSE)</f>
        <v>heal</v>
      </c>
      <c r="K33" s="7" t="str">
        <f>VLOOKUP(E33,[1]characters!$A:$M,13,FALSE)</f>
        <v>human</v>
      </c>
      <c r="L33" s="7" t="str">
        <f>VLOOKUP(E33,[1]characters!$A:$G,7,FALSE)</f>
        <v>女性</v>
      </c>
      <c r="M33" s="62">
        <f ca="1">IFERROR(VLOOKUP(E33,input_313100!L:R,7,FALSE),VLOOKUP(tables_313100!B33,input_313100!A:H,8,FALSE))</f>
        <v>342090</v>
      </c>
      <c r="N33" s="63">
        <f t="shared" ca="1" si="4"/>
        <v>1.222972972972973E-2</v>
      </c>
      <c r="O33" s="31">
        <f>IFERROR(VLOOKUP($E33,bug_conf_sheet!$A:$H,3,FALSE),VLOOKUP("other",bug_conf_sheet!$A:$H,3,FALSE))</f>
        <v>1</v>
      </c>
      <c r="P33" s="31">
        <f>IFERROR(VLOOKUP($E33,bug_conf_sheet!$A:$H,4,FALSE),VLOOKUP("other",bug_conf_sheet!$A:$H,4,FALSE))</f>
        <v>0</v>
      </c>
      <c r="Q33" s="31">
        <f>IFERROR(VLOOKUP($E33,bug_conf_sheet!$A:$H,5,FALSE),VLOOKUP("other",bug_conf_sheet!$A:$H,5,FALSE))</f>
        <v>0</v>
      </c>
      <c r="R33" s="31">
        <f>IFERROR(VLOOKUP($E33,bug_conf_sheet!$A:$H,6,FALSE),VLOOKUP("other",bug_conf_sheet!$A:$H,6,FALSE))</f>
        <v>0</v>
      </c>
      <c r="S33" s="31">
        <f>IFERROR(VLOOKUP($E33,bug_conf_sheet!$A:$H,7,FALSE),VLOOKUP("other",bug_conf_sheet!$A:$H,7,FALSE))</f>
        <v>0</v>
      </c>
      <c r="T33" s="31">
        <f>IFERROR(VLOOKUP($E33,bug_conf_sheet!$A:$H,8,FALSE),VLOOKUP("other",bug_conf_sheet!$A:$H,8,FALSE))</f>
        <v>1</v>
      </c>
    </row>
    <row r="34" spans="1:20" ht="21" customHeight="1">
      <c r="A34" s="2" t="str">
        <f ca="1">input_313100!A$2</f>
        <v>313100</v>
      </c>
      <c r="B34" s="7" t="str">
        <f t="shared" si="1"/>
        <v>Premium3</v>
      </c>
      <c r="C34" s="7" t="str">
        <f t="shared" si="2"/>
        <v>Premium</v>
      </c>
      <c r="D34" s="7" t="str">
        <f t="shared" si="3"/>
        <v>ry</v>
      </c>
      <c r="E34" s="6">
        <v>158</v>
      </c>
      <c r="F34" s="7" t="str">
        <f>VLOOKUP(E34,[1]characters!$A:$C,3,FALSE)</f>
        <v>シスター シャルロッテ</v>
      </c>
      <c r="G34" s="7" t="str">
        <f>VLOOKUP(E34,[1]characters!$A:$J,10,FALSE)</f>
        <v>PremiumW</v>
      </c>
      <c r="H34" s="7">
        <f>VLOOKUP(E34,[1]characters!$A:$I,9,FALSE)</f>
        <v>3</v>
      </c>
      <c r="I34" s="7" t="str">
        <f>VLOOKUP(E34,[1]characters!$A:$H,8,FALSE)</f>
        <v>red</v>
      </c>
      <c r="J34" s="7" t="str">
        <f>VLOOKUP(E34,[1]characters!$A:$K,11,FALSE)</f>
        <v>heal</v>
      </c>
      <c r="K34" s="7" t="str">
        <f>VLOOKUP(E34,[1]characters!$A:$M,13,FALSE)</f>
        <v>human</v>
      </c>
      <c r="L34" s="7" t="str">
        <f>VLOOKUP(E34,[1]characters!$A:$G,7,FALSE)</f>
        <v>女性</v>
      </c>
      <c r="M34" s="62">
        <f ca="1">IFERROR(VLOOKUP(E34,input_313100!L:R,7,FALSE),VLOOKUP(tables_313100!B34,input_313100!A:H,8,FALSE))</f>
        <v>0</v>
      </c>
      <c r="N34" s="63">
        <f t="shared" ca="1" si="4"/>
        <v>0</v>
      </c>
      <c r="O34" s="31">
        <f>IFERROR(VLOOKUP($E34,bug_conf_sheet!$A:$H,3,FALSE),VLOOKUP("other",bug_conf_sheet!$A:$H,3,FALSE))</f>
        <v>1</v>
      </c>
      <c r="P34" s="31">
        <f>IFERROR(VLOOKUP($E34,bug_conf_sheet!$A:$H,4,FALSE),VLOOKUP("other",bug_conf_sheet!$A:$H,4,FALSE))</f>
        <v>0</v>
      </c>
      <c r="Q34" s="31">
        <f>IFERROR(VLOOKUP($E34,bug_conf_sheet!$A:$H,5,FALSE),VLOOKUP("other",bug_conf_sheet!$A:$H,5,FALSE))</f>
        <v>0</v>
      </c>
      <c r="R34" s="31">
        <f>IFERROR(VLOOKUP($E34,bug_conf_sheet!$A:$H,6,FALSE),VLOOKUP("other",bug_conf_sheet!$A:$H,6,FALSE))</f>
        <v>0</v>
      </c>
      <c r="S34" s="31">
        <f>IFERROR(VLOOKUP($E34,bug_conf_sheet!$A:$H,7,FALSE),VLOOKUP("other",bug_conf_sheet!$A:$H,7,FALSE))</f>
        <v>0</v>
      </c>
      <c r="T34" s="31">
        <f>IFERROR(VLOOKUP($E34,bug_conf_sheet!$A:$H,8,FALSE),VLOOKUP("other",bug_conf_sheet!$A:$H,8,FALSE))</f>
        <v>1</v>
      </c>
    </row>
    <row r="35" spans="1:20" ht="21" customHeight="1">
      <c r="A35" s="2" t="str">
        <f ca="1">input_313100!A$2</f>
        <v>313100</v>
      </c>
      <c r="B35" s="7" t="str">
        <f t="shared" si="1"/>
        <v>Premium4</v>
      </c>
      <c r="C35" s="7" t="str">
        <f t="shared" si="2"/>
        <v>Premium</v>
      </c>
      <c r="D35" s="7" t="str">
        <f t="shared" si="3"/>
        <v>ry</v>
      </c>
      <c r="E35" s="6">
        <v>159</v>
      </c>
      <c r="F35" s="7" t="str">
        <f>VLOOKUP(E35,[1]characters!$A:$C,3,FALSE)</f>
        <v>邪を狩りし者 シャルロッテ</v>
      </c>
      <c r="G35" s="7" t="str">
        <f>VLOOKUP(E35,[1]characters!$A:$J,10,FALSE)</f>
        <v>PremiumW</v>
      </c>
      <c r="H35" s="7">
        <f>VLOOKUP(E35,[1]characters!$A:$I,9,FALSE)</f>
        <v>4</v>
      </c>
      <c r="I35" s="7" t="str">
        <f>VLOOKUP(E35,[1]characters!$A:$H,8,FALSE)</f>
        <v>red</v>
      </c>
      <c r="J35" s="7" t="str">
        <f>VLOOKUP(E35,[1]characters!$A:$K,11,FALSE)</f>
        <v>heal</v>
      </c>
      <c r="K35" s="7" t="str">
        <f>VLOOKUP(E35,[1]characters!$A:$M,13,FALSE)</f>
        <v>human</v>
      </c>
      <c r="L35" s="7" t="str">
        <f>VLOOKUP(E35,[1]characters!$A:$G,7,FALSE)</f>
        <v>女性</v>
      </c>
      <c r="M35" s="62">
        <f ca="1">IFERROR(VLOOKUP(E35,input_313100!L:R,7,FALSE),VLOOKUP(tables_313100!B35,input_313100!A:H,8,FALSE))</f>
        <v>342090</v>
      </c>
      <c r="N35" s="63">
        <f t="shared" ca="1" si="4"/>
        <v>1.222972972972973E-2</v>
      </c>
      <c r="O35" s="31">
        <f>IFERROR(VLOOKUP($E35,bug_conf_sheet!$A:$H,3,FALSE),VLOOKUP("other",bug_conf_sheet!$A:$H,3,FALSE))</f>
        <v>1</v>
      </c>
      <c r="P35" s="31">
        <f>IFERROR(VLOOKUP($E35,bug_conf_sheet!$A:$H,4,FALSE),VLOOKUP("other",bug_conf_sheet!$A:$H,4,FALSE))</f>
        <v>0</v>
      </c>
      <c r="Q35" s="31">
        <f>IFERROR(VLOOKUP($E35,bug_conf_sheet!$A:$H,5,FALSE),VLOOKUP("other",bug_conf_sheet!$A:$H,5,FALSE))</f>
        <v>0</v>
      </c>
      <c r="R35" s="31">
        <f>IFERROR(VLOOKUP($E35,bug_conf_sheet!$A:$H,6,FALSE),VLOOKUP("other",bug_conf_sheet!$A:$H,6,FALSE))</f>
        <v>0</v>
      </c>
      <c r="S35" s="31">
        <f>IFERROR(VLOOKUP($E35,bug_conf_sheet!$A:$H,7,FALSE),VLOOKUP("other",bug_conf_sheet!$A:$H,7,FALSE))</f>
        <v>0</v>
      </c>
      <c r="T35" s="31">
        <f>IFERROR(VLOOKUP($E35,bug_conf_sheet!$A:$H,8,FALSE),VLOOKUP("other",bug_conf_sheet!$A:$H,8,FALSE))</f>
        <v>1</v>
      </c>
    </row>
    <row r="36" spans="1:20" ht="21" customHeight="1">
      <c r="A36" s="2" t="str">
        <f ca="1">input_313100!A$2</f>
        <v>313100</v>
      </c>
      <c r="B36" s="7" t="str">
        <f t="shared" si="1"/>
        <v>Premium3</v>
      </c>
      <c r="C36" s="7" t="str">
        <f t="shared" si="2"/>
        <v>Premium</v>
      </c>
      <c r="D36" s="7" t="str">
        <f t="shared" si="3"/>
        <v>bg</v>
      </c>
      <c r="E36" s="6">
        <v>160</v>
      </c>
      <c r="F36" s="7" t="str">
        <f>VLOOKUP(E36,[1]characters!$A:$C,3,FALSE)</f>
        <v>反逆者 クリエ</v>
      </c>
      <c r="G36" s="7" t="str">
        <f>VLOOKUP(E36,[1]characters!$A:$J,10,FALSE)</f>
        <v>PremiumW</v>
      </c>
      <c r="H36" s="7">
        <f>VLOOKUP(E36,[1]characters!$A:$I,9,FALSE)</f>
        <v>3</v>
      </c>
      <c r="I36" s="7" t="str">
        <f>VLOOKUP(E36,[1]characters!$A:$H,8,FALSE)</f>
        <v>green</v>
      </c>
      <c r="J36" s="7" t="str">
        <f>VLOOKUP(E36,[1]characters!$A:$K,11,FALSE)</f>
        <v>balance</v>
      </c>
      <c r="K36" s="7" t="str">
        <f>VLOOKUP(E36,[1]characters!$A:$M,13,FALSE)</f>
        <v>human</v>
      </c>
      <c r="L36" s="7" t="str">
        <f>VLOOKUP(E36,[1]characters!$A:$G,7,FALSE)</f>
        <v>女性</v>
      </c>
      <c r="M36" s="62">
        <f ca="1">IFERROR(VLOOKUP(E36,input_313100!L:R,7,FALSE),VLOOKUP(tables_313100!B36,input_313100!A:H,8,FALSE))</f>
        <v>0</v>
      </c>
      <c r="N36" s="63">
        <f t="shared" ca="1" si="4"/>
        <v>0</v>
      </c>
      <c r="O36" s="31">
        <f>IFERROR(VLOOKUP($E36,bug_conf_sheet!$A:$H,3,FALSE),VLOOKUP("other",bug_conf_sheet!$A:$H,3,FALSE))</f>
        <v>1</v>
      </c>
      <c r="P36" s="31">
        <f>IFERROR(VLOOKUP($E36,bug_conf_sheet!$A:$H,4,FALSE),VLOOKUP("other",bug_conf_sheet!$A:$H,4,FALSE))</f>
        <v>0</v>
      </c>
      <c r="Q36" s="31">
        <f>IFERROR(VLOOKUP($E36,bug_conf_sheet!$A:$H,5,FALSE),VLOOKUP("other",bug_conf_sheet!$A:$H,5,FALSE))</f>
        <v>0</v>
      </c>
      <c r="R36" s="31">
        <f>IFERROR(VLOOKUP($E36,bug_conf_sheet!$A:$H,6,FALSE),VLOOKUP("other",bug_conf_sheet!$A:$H,6,FALSE))</f>
        <v>0</v>
      </c>
      <c r="S36" s="31">
        <f>IFERROR(VLOOKUP($E36,bug_conf_sheet!$A:$H,7,FALSE),VLOOKUP("other",bug_conf_sheet!$A:$H,7,FALSE))</f>
        <v>0</v>
      </c>
      <c r="T36" s="31">
        <f>IFERROR(VLOOKUP($E36,bug_conf_sheet!$A:$H,8,FALSE),VLOOKUP("other",bug_conf_sheet!$A:$H,8,FALSE))</f>
        <v>1</v>
      </c>
    </row>
    <row r="37" spans="1:20" ht="21" customHeight="1">
      <c r="A37" s="2" t="str">
        <f ca="1">input_313100!A$2</f>
        <v>313100</v>
      </c>
      <c r="B37" s="7" t="str">
        <f t="shared" si="1"/>
        <v>Premium4</v>
      </c>
      <c r="C37" s="7" t="str">
        <f t="shared" si="2"/>
        <v>Premium</v>
      </c>
      <c r="D37" s="7" t="str">
        <f t="shared" si="3"/>
        <v>bg</v>
      </c>
      <c r="E37" s="6">
        <v>161</v>
      </c>
      <c r="F37" s="7" t="str">
        <f>VLOOKUP(E37,[1]characters!$A:$C,3,FALSE)</f>
        <v>咆哮の先導者 クリエ</v>
      </c>
      <c r="G37" s="7" t="str">
        <f>VLOOKUP(E37,[1]characters!$A:$J,10,FALSE)</f>
        <v>PremiumW</v>
      </c>
      <c r="H37" s="7">
        <f>VLOOKUP(E37,[1]characters!$A:$I,9,FALSE)</f>
        <v>4</v>
      </c>
      <c r="I37" s="7" t="str">
        <f>VLOOKUP(E37,[1]characters!$A:$H,8,FALSE)</f>
        <v>green</v>
      </c>
      <c r="J37" s="7" t="str">
        <f>VLOOKUP(E37,[1]characters!$A:$K,11,FALSE)</f>
        <v>balance</v>
      </c>
      <c r="K37" s="7" t="str">
        <f>VLOOKUP(E37,[1]characters!$A:$M,13,FALSE)</f>
        <v>human</v>
      </c>
      <c r="L37" s="7" t="str">
        <f>VLOOKUP(E37,[1]characters!$A:$G,7,FALSE)</f>
        <v>女性</v>
      </c>
      <c r="M37" s="62">
        <f ca="1">IFERROR(VLOOKUP(E37,input_313100!L:R,7,FALSE),VLOOKUP(tables_313100!B37,input_313100!A:H,8,FALSE))</f>
        <v>342090</v>
      </c>
      <c r="N37" s="63">
        <f t="shared" ca="1" si="4"/>
        <v>1.222972972972973E-2</v>
      </c>
      <c r="O37" s="31">
        <f>IFERROR(VLOOKUP($E37,bug_conf_sheet!$A:$H,3,FALSE),VLOOKUP("other",bug_conf_sheet!$A:$H,3,FALSE))</f>
        <v>1</v>
      </c>
      <c r="P37" s="31">
        <f>IFERROR(VLOOKUP($E37,bug_conf_sheet!$A:$H,4,FALSE),VLOOKUP("other",bug_conf_sheet!$A:$H,4,FALSE))</f>
        <v>0</v>
      </c>
      <c r="Q37" s="31">
        <f>IFERROR(VLOOKUP($E37,bug_conf_sheet!$A:$H,5,FALSE),VLOOKUP("other",bug_conf_sheet!$A:$H,5,FALSE))</f>
        <v>0</v>
      </c>
      <c r="R37" s="31">
        <f>IFERROR(VLOOKUP($E37,bug_conf_sheet!$A:$H,6,FALSE),VLOOKUP("other",bug_conf_sheet!$A:$H,6,FALSE))</f>
        <v>0</v>
      </c>
      <c r="S37" s="31">
        <f>IFERROR(VLOOKUP($E37,bug_conf_sheet!$A:$H,7,FALSE),VLOOKUP("other",bug_conf_sheet!$A:$H,7,FALSE))</f>
        <v>0</v>
      </c>
      <c r="T37" s="31">
        <f>IFERROR(VLOOKUP($E37,bug_conf_sheet!$A:$H,8,FALSE),VLOOKUP("other",bug_conf_sheet!$A:$H,8,FALSE))</f>
        <v>1</v>
      </c>
    </row>
    <row r="38" spans="1:20" ht="21" customHeight="1">
      <c r="A38" s="2" t="str">
        <f ca="1">input_313100!A$2</f>
        <v>313100</v>
      </c>
      <c r="B38" s="7" t="str">
        <f t="shared" si="1"/>
        <v>Premium3</v>
      </c>
      <c r="C38" s="7" t="str">
        <f t="shared" si="2"/>
        <v>Premium</v>
      </c>
      <c r="D38" s="7" t="str">
        <f t="shared" si="3"/>
        <v>bg</v>
      </c>
      <c r="E38" s="6">
        <v>162</v>
      </c>
      <c r="F38" s="7" t="str">
        <f>VLOOKUP(E38,[1]characters!$A:$C,3,FALSE)</f>
        <v>狂女 クララ</v>
      </c>
      <c r="G38" s="7" t="str">
        <f>VLOOKUP(E38,[1]characters!$A:$J,10,FALSE)</f>
        <v>PremiumW</v>
      </c>
      <c r="H38" s="7">
        <f>VLOOKUP(E38,[1]characters!$A:$I,9,FALSE)</f>
        <v>3</v>
      </c>
      <c r="I38" s="7" t="str">
        <f>VLOOKUP(E38,[1]characters!$A:$H,8,FALSE)</f>
        <v>blue</v>
      </c>
      <c r="J38" s="7" t="str">
        <f>VLOOKUP(E38,[1]characters!$A:$K,11,FALSE)</f>
        <v>attack</v>
      </c>
      <c r="K38" s="7" t="str">
        <f>VLOOKUP(E38,[1]characters!$A:$M,13,FALSE)</f>
        <v>human</v>
      </c>
      <c r="L38" s="7" t="str">
        <f>VLOOKUP(E38,[1]characters!$A:$G,7,FALSE)</f>
        <v>女性</v>
      </c>
      <c r="M38" s="62">
        <f ca="1">IFERROR(VLOOKUP(E38,input_313100!L:R,7,FALSE),VLOOKUP(tables_313100!B38,input_313100!A:H,8,FALSE))</f>
        <v>0</v>
      </c>
      <c r="N38" s="63">
        <f t="shared" ca="1" si="4"/>
        <v>0</v>
      </c>
      <c r="O38" s="31">
        <f>IFERROR(VLOOKUP($E38,bug_conf_sheet!$A:$H,3,FALSE),VLOOKUP("other",bug_conf_sheet!$A:$H,3,FALSE))</f>
        <v>1</v>
      </c>
      <c r="P38" s="31">
        <f>IFERROR(VLOOKUP($E38,bug_conf_sheet!$A:$H,4,FALSE),VLOOKUP("other",bug_conf_sheet!$A:$H,4,FALSE))</f>
        <v>0</v>
      </c>
      <c r="Q38" s="31">
        <f>IFERROR(VLOOKUP($E38,bug_conf_sheet!$A:$H,5,FALSE),VLOOKUP("other",bug_conf_sheet!$A:$H,5,FALSE))</f>
        <v>0</v>
      </c>
      <c r="R38" s="31">
        <f>IFERROR(VLOOKUP($E38,bug_conf_sheet!$A:$H,6,FALSE),VLOOKUP("other",bug_conf_sheet!$A:$H,6,FALSE))</f>
        <v>0</v>
      </c>
      <c r="S38" s="31">
        <f>IFERROR(VLOOKUP($E38,bug_conf_sheet!$A:$H,7,FALSE),VLOOKUP("other",bug_conf_sheet!$A:$H,7,FALSE))</f>
        <v>0</v>
      </c>
      <c r="T38" s="31">
        <f>IFERROR(VLOOKUP($E38,bug_conf_sheet!$A:$H,8,FALSE),VLOOKUP("other",bug_conf_sheet!$A:$H,8,FALSE))</f>
        <v>1</v>
      </c>
    </row>
    <row r="39" spans="1:20" ht="21" customHeight="1">
      <c r="A39" s="2" t="str">
        <f ca="1">input_313100!A$2</f>
        <v>313100</v>
      </c>
      <c r="B39" s="7" t="str">
        <f t="shared" si="1"/>
        <v>Premium4</v>
      </c>
      <c r="C39" s="7" t="str">
        <f t="shared" si="2"/>
        <v>Premium</v>
      </c>
      <c r="D39" s="7" t="str">
        <f t="shared" si="3"/>
        <v>bg</v>
      </c>
      <c r="E39" s="6">
        <v>163</v>
      </c>
      <c r="F39" s="7" t="str">
        <f>VLOOKUP(E39,[1]characters!$A:$C,3,FALSE)</f>
        <v>冷酷な狂嬢 クララ</v>
      </c>
      <c r="G39" s="7" t="str">
        <f>VLOOKUP(E39,[1]characters!$A:$J,10,FALSE)</f>
        <v>PremiumW</v>
      </c>
      <c r="H39" s="7">
        <f>VLOOKUP(E39,[1]characters!$A:$I,9,FALSE)</f>
        <v>4</v>
      </c>
      <c r="I39" s="7" t="str">
        <f>VLOOKUP(E39,[1]characters!$A:$H,8,FALSE)</f>
        <v>blue</v>
      </c>
      <c r="J39" s="7" t="str">
        <f>VLOOKUP(E39,[1]characters!$A:$K,11,FALSE)</f>
        <v>attack</v>
      </c>
      <c r="K39" s="7" t="str">
        <f>VLOOKUP(E39,[1]characters!$A:$M,13,FALSE)</f>
        <v>human</v>
      </c>
      <c r="L39" s="7" t="str">
        <f>VLOOKUP(E39,[1]characters!$A:$G,7,FALSE)</f>
        <v>女性</v>
      </c>
      <c r="M39" s="62">
        <f ca="1">IFERROR(VLOOKUP(E39,input_313100!L:R,7,FALSE),VLOOKUP(tables_313100!B39,input_313100!A:H,8,FALSE))</f>
        <v>342090</v>
      </c>
      <c r="N39" s="63">
        <f t="shared" ca="1" si="4"/>
        <v>1.222972972972973E-2</v>
      </c>
      <c r="O39" s="31">
        <f>IFERROR(VLOOKUP($E39,bug_conf_sheet!$A:$H,3,FALSE),VLOOKUP("other",bug_conf_sheet!$A:$H,3,FALSE))</f>
        <v>1</v>
      </c>
      <c r="P39" s="31">
        <f>IFERROR(VLOOKUP($E39,bug_conf_sheet!$A:$H,4,FALSE),VLOOKUP("other",bug_conf_sheet!$A:$H,4,FALSE))</f>
        <v>0</v>
      </c>
      <c r="Q39" s="31">
        <f>IFERROR(VLOOKUP($E39,bug_conf_sheet!$A:$H,5,FALSE),VLOOKUP("other",bug_conf_sheet!$A:$H,5,FALSE))</f>
        <v>0</v>
      </c>
      <c r="R39" s="31">
        <f>IFERROR(VLOOKUP($E39,bug_conf_sheet!$A:$H,6,FALSE),VLOOKUP("other",bug_conf_sheet!$A:$H,6,FALSE))</f>
        <v>0</v>
      </c>
      <c r="S39" s="31">
        <f>IFERROR(VLOOKUP($E39,bug_conf_sheet!$A:$H,7,FALSE),VLOOKUP("other",bug_conf_sheet!$A:$H,7,FALSE))</f>
        <v>0</v>
      </c>
      <c r="T39" s="31">
        <f>IFERROR(VLOOKUP($E39,bug_conf_sheet!$A:$H,8,FALSE),VLOOKUP("other",bug_conf_sheet!$A:$H,8,FALSE))</f>
        <v>1</v>
      </c>
    </row>
    <row r="40" spans="1:20" ht="21" customHeight="1">
      <c r="A40" s="2" t="str">
        <f ca="1">input_313100!A$2</f>
        <v>313100</v>
      </c>
      <c r="B40" s="7" t="str">
        <f t="shared" si="1"/>
        <v>Premium3</v>
      </c>
      <c r="C40" s="7" t="str">
        <f t="shared" si="2"/>
        <v>Premium</v>
      </c>
      <c r="D40" s="7" t="str">
        <f t="shared" si="3"/>
        <v>ry</v>
      </c>
      <c r="E40" s="6">
        <v>164</v>
      </c>
      <c r="F40" s="7" t="str">
        <f>VLOOKUP(E40,[1]characters!$A:$C,3,FALSE)</f>
        <v>イブとトモダチ</v>
      </c>
      <c r="G40" s="7" t="str">
        <f>VLOOKUP(E40,[1]characters!$A:$J,10,FALSE)</f>
        <v>PremiumW</v>
      </c>
      <c r="H40" s="7">
        <f>VLOOKUP(E40,[1]characters!$A:$I,9,FALSE)</f>
        <v>3</v>
      </c>
      <c r="I40" s="7" t="str">
        <f>VLOOKUP(E40,[1]characters!$A:$H,8,FALSE)</f>
        <v>yellow</v>
      </c>
      <c r="J40" s="7" t="str">
        <f>VLOOKUP(E40,[1]characters!$A:$K,11,FALSE)</f>
        <v>technical</v>
      </c>
      <c r="K40" s="7" t="str">
        <f>VLOOKUP(E40,[1]characters!$A:$M,13,FALSE)</f>
        <v>human</v>
      </c>
      <c r="L40" s="7" t="str">
        <f>VLOOKUP(E40,[1]characters!$A:$G,7,FALSE)</f>
        <v>女性</v>
      </c>
      <c r="M40" s="62">
        <f ca="1">IFERROR(VLOOKUP(E40,input_313100!L:R,7,FALSE),VLOOKUP(tables_313100!B40,input_313100!A:H,8,FALSE))</f>
        <v>0</v>
      </c>
      <c r="N40" s="63">
        <f t="shared" ca="1" si="4"/>
        <v>0</v>
      </c>
      <c r="O40" s="31">
        <f>IFERROR(VLOOKUP($E40,bug_conf_sheet!$A:$H,3,FALSE),VLOOKUP("other",bug_conf_sheet!$A:$H,3,FALSE))</f>
        <v>1</v>
      </c>
      <c r="P40" s="31">
        <f>IFERROR(VLOOKUP($E40,bug_conf_sheet!$A:$H,4,FALSE),VLOOKUP("other",bug_conf_sheet!$A:$H,4,FALSE))</f>
        <v>0</v>
      </c>
      <c r="Q40" s="31">
        <f>IFERROR(VLOOKUP($E40,bug_conf_sheet!$A:$H,5,FALSE),VLOOKUP("other",bug_conf_sheet!$A:$H,5,FALSE))</f>
        <v>0</v>
      </c>
      <c r="R40" s="31">
        <f>IFERROR(VLOOKUP($E40,bug_conf_sheet!$A:$H,6,FALSE),VLOOKUP("other",bug_conf_sheet!$A:$H,6,FALSE))</f>
        <v>0</v>
      </c>
      <c r="S40" s="31">
        <f>IFERROR(VLOOKUP($E40,bug_conf_sheet!$A:$H,7,FALSE),VLOOKUP("other",bug_conf_sheet!$A:$H,7,FALSE))</f>
        <v>0</v>
      </c>
      <c r="T40" s="31">
        <f>IFERROR(VLOOKUP($E40,bug_conf_sheet!$A:$H,8,FALSE),VLOOKUP("other",bug_conf_sheet!$A:$H,8,FALSE))</f>
        <v>1</v>
      </c>
    </row>
    <row r="41" spans="1:20" ht="21" customHeight="1">
      <c r="A41" s="2" t="str">
        <f ca="1">input_313100!A$2</f>
        <v>313100</v>
      </c>
      <c r="B41" s="7" t="str">
        <f t="shared" si="1"/>
        <v>Premium4</v>
      </c>
      <c r="C41" s="7" t="str">
        <f t="shared" si="2"/>
        <v>Premium</v>
      </c>
      <c r="D41" s="7" t="str">
        <f t="shared" si="3"/>
        <v>ry</v>
      </c>
      <c r="E41" s="6">
        <v>165</v>
      </c>
      <c r="F41" s="7" t="str">
        <f>VLOOKUP(E41,[1]characters!$A:$C,3,FALSE)</f>
        <v>イブとたったひとりのトモダチ</v>
      </c>
      <c r="G41" s="7" t="str">
        <f>VLOOKUP(E41,[1]characters!$A:$J,10,FALSE)</f>
        <v>PremiumW</v>
      </c>
      <c r="H41" s="7">
        <f>VLOOKUP(E41,[1]characters!$A:$I,9,FALSE)</f>
        <v>4</v>
      </c>
      <c r="I41" s="7" t="str">
        <f>VLOOKUP(E41,[1]characters!$A:$H,8,FALSE)</f>
        <v>yellow</v>
      </c>
      <c r="J41" s="7" t="str">
        <f>VLOOKUP(E41,[1]characters!$A:$K,11,FALSE)</f>
        <v>technical</v>
      </c>
      <c r="K41" s="7" t="str">
        <f>VLOOKUP(E41,[1]characters!$A:$M,13,FALSE)</f>
        <v>human</v>
      </c>
      <c r="L41" s="7" t="str">
        <f>VLOOKUP(E41,[1]characters!$A:$G,7,FALSE)</f>
        <v>女性</v>
      </c>
      <c r="M41" s="62">
        <f ca="1">IFERROR(VLOOKUP(E41,input_313100!L:R,7,FALSE),VLOOKUP(tables_313100!B41,input_313100!A:H,8,FALSE))</f>
        <v>342090</v>
      </c>
      <c r="N41" s="63">
        <f t="shared" ca="1" si="4"/>
        <v>1.222972972972973E-2</v>
      </c>
      <c r="O41" s="31">
        <f>IFERROR(VLOOKUP($E41,bug_conf_sheet!$A:$H,3,FALSE),VLOOKUP("other",bug_conf_sheet!$A:$H,3,FALSE))</f>
        <v>1</v>
      </c>
      <c r="P41" s="31">
        <f>IFERROR(VLOOKUP($E41,bug_conf_sheet!$A:$H,4,FALSE),VLOOKUP("other",bug_conf_sheet!$A:$H,4,FALSE))</f>
        <v>0</v>
      </c>
      <c r="Q41" s="31">
        <f>IFERROR(VLOOKUP($E41,bug_conf_sheet!$A:$H,5,FALSE),VLOOKUP("other",bug_conf_sheet!$A:$H,5,FALSE))</f>
        <v>0</v>
      </c>
      <c r="R41" s="31">
        <f>IFERROR(VLOOKUP($E41,bug_conf_sheet!$A:$H,6,FALSE),VLOOKUP("other",bug_conf_sheet!$A:$H,6,FALSE))</f>
        <v>0</v>
      </c>
      <c r="S41" s="31">
        <f>IFERROR(VLOOKUP($E41,bug_conf_sheet!$A:$H,7,FALSE),VLOOKUP("other",bug_conf_sheet!$A:$H,7,FALSE))</f>
        <v>0</v>
      </c>
      <c r="T41" s="31">
        <f>IFERROR(VLOOKUP($E41,bug_conf_sheet!$A:$H,8,FALSE),VLOOKUP("other",bug_conf_sheet!$A:$H,8,FALSE))</f>
        <v>1</v>
      </c>
    </row>
    <row r="42" spans="1:20" ht="21" customHeight="1">
      <c r="A42" s="2" t="str">
        <f ca="1">input_313100!A$2</f>
        <v>313100</v>
      </c>
      <c r="B42" s="7" t="str">
        <f t="shared" si="1"/>
        <v>Premium3</v>
      </c>
      <c r="C42" s="7" t="str">
        <f t="shared" si="2"/>
        <v>Premium</v>
      </c>
      <c r="D42" s="7" t="str">
        <f t="shared" si="3"/>
        <v>ry</v>
      </c>
      <c r="E42" s="6">
        <v>166</v>
      </c>
      <c r="F42" s="7" t="str">
        <f>VLOOKUP(E42,[1]characters!$A:$C,3,FALSE)</f>
        <v>ベリアル</v>
      </c>
      <c r="G42" s="7" t="str">
        <f>VLOOKUP(E42,[1]characters!$A:$J,10,FALSE)</f>
        <v>PremiumN</v>
      </c>
      <c r="H42" s="7">
        <f>VLOOKUP(E42,[1]characters!$A:$I,9,FALSE)</f>
        <v>3</v>
      </c>
      <c r="I42" s="7" t="str">
        <f>VLOOKUP(E42,[1]characters!$A:$H,8,FALSE)</f>
        <v>red</v>
      </c>
      <c r="J42" s="7" t="str">
        <f>VLOOKUP(E42,[1]characters!$A:$K,11,FALSE)</f>
        <v>attack</v>
      </c>
      <c r="K42" s="7" t="str">
        <f>VLOOKUP(E42,[1]characters!$A:$M,13,FALSE)</f>
        <v>god</v>
      </c>
      <c r="L42" s="7" t="str">
        <f>VLOOKUP(E42,[1]characters!$A:$G,7,FALSE)</f>
        <v>男性</v>
      </c>
      <c r="M42" s="62">
        <f ca="1">IFERROR(VLOOKUP(E42,input_313100!L:R,7,FALSE),VLOOKUP(tables_313100!B42,input_313100!A:H,8,FALSE))</f>
        <v>0</v>
      </c>
      <c r="N42" s="63">
        <f t="shared" ca="1" si="4"/>
        <v>0</v>
      </c>
      <c r="O42" s="31">
        <f>IFERROR(VLOOKUP($E42,bug_conf_sheet!$A:$H,3,FALSE),VLOOKUP("other",bug_conf_sheet!$A:$H,3,FALSE))</f>
        <v>1</v>
      </c>
      <c r="P42" s="31">
        <f>IFERROR(VLOOKUP($E42,bug_conf_sheet!$A:$H,4,FALSE),VLOOKUP("other",bug_conf_sheet!$A:$H,4,FALSE))</f>
        <v>0</v>
      </c>
      <c r="Q42" s="31">
        <f>IFERROR(VLOOKUP($E42,bug_conf_sheet!$A:$H,5,FALSE),VLOOKUP("other",bug_conf_sheet!$A:$H,5,FALSE))</f>
        <v>0</v>
      </c>
      <c r="R42" s="31">
        <f>IFERROR(VLOOKUP($E42,bug_conf_sheet!$A:$H,6,FALSE),VLOOKUP("other",bug_conf_sheet!$A:$H,6,FALSE))</f>
        <v>0</v>
      </c>
      <c r="S42" s="31">
        <f>IFERROR(VLOOKUP($E42,bug_conf_sheet!$A:$H,7,FALSE),VLOOKUP("other",bug_conf_sheet!$A:$H,7,FALSE))</f>
        <v>0</v>
      </c>
      <c r="T42" s="31">
        <f>IFERROR(VLOOKUP($E42,bug_conf_sheet!$A:$H,8,FALSE),VLOOKUP("other",bug_conf_sheet!$A:$H,8,FALSE))</f>
        <v>1</v>
      </c>
    </row>
    <row r="43" spans="1:20" ht="21" customHeight="1">
      <c r="A43" s="2" t="str">
        <f ca="1">input_313100!A$2</f>
        <v>313100</v>
      </c>
      <c r="B43" s="7" t="str">
        <f t="shared" si="1"/>
        <v>Premium4</v>
      </c>
      <c r="C43" s="7" t="str">
        <f t="shared" si="2"/>
        <v>Premium</v>
      </c>
      <c r="D43" s="7" t="str">
        <f t="shared" si="3"/>
        <v>ry</v>
      </c>
      <c r="E43" s="6">
        <v>167</v>
      </c>
      <c r="F43" s="7" t="str">
        <f>VLOOKUP(E43,[1]characters!$A:$C,3,FALSE)</f>
        <v>逆徒 ベリアル</v>
      </c>
      <c r="G43" s="7" t="str">
        <f>VLOOKUP(E43,[1]characters!$A:$J,10,FALSE)</f>
        <v>PremiumN</v>
      </c>
      <c r="H43" s="7">
        <f>VLOOKUP(E43,[1]characters!$A:$I,9,FALSE)</f>
        <v>4</v>
      </c>
      <c r="I43" s="7" t="str">
        <f>VLOOKUP(E43,[1]characters!$A:$H,8,FALSE)</f>
        <v>red</v>
      </c>
      <c r="J43" s="7" t="str">
        <f>VLOOKUP(E43,[1]characters!$A:$K,11,FALSE)</f>
        <v>attack</v>
      </c>
      <c r="K43" s="7" t="str">
        <f>VLOOKUP(E43,[1]characters!$A:$M,13,FALSE)</f>
        <v>god</v>
      </c>
      <c r="L43" s="7" t="str">
        <f>VLOOKUP(E43,[1]characters!$A:$G,7,FALSE)</f>
        <v>男性</v>
      </c>
      <c r="M43" s="62">
        <f ca="1">IFERROR(VLOOKUP(E43,input_313100!L:R,7,FALSE),VLOOKUP(tables_313100!B43,input_313100!A:H,8,FALSE))</f>
        <v>342090</v>
      </c>
      <c r="N43" s="63">
        <f t="shared" ca="1" si="4"/>
        <v>1.222972972972973E-2</v>
      </c>
      <c r="O43" s="31">
        <f>IFERROR(VLOOKUP($E43,bug_conf_sheet!$A:$H,3,FALSE),VLOOKUP("other",bug_conf_sheet!$A:$H,3,FALSE))</f>
        <v>1</v>
      </c>
      <c r="P43" s="31">
        <f>IFERROR(VLOOKUP($E43,bug_conf_sheet!$A:$H,4,FALSE),VLOOKUP("other",bug_conf_sheet!$A:$H,4,FALSE))</f>
        <v>0</v>
      </c>
      <c r="Q43" s="31">
        <f>IFERROR(VLOOKUP($E43,bug_conf_sheet!$A:$H,5,FALSE),VLOOKUP("other",bug_conf_sheet!$A:$H,5,FALSE))</f>
        <v>0</v>
      </c>
      <c r="R43" s="31">
        <f>IFERROR(VLOOKUP($E43,bug_conf_sheet!$A:$H,6,FALSE),VLOOKUP("other",bug_conf_sheet!$A:$H,6,FALSE))</f>
        <v>0</v>
      </c>
      <c r="S43" s="31">
        <f>IFERROR(VLOOKUP($E43,bug_conf_sheet!$A:$H,7,FALSE),VLOOKUP("other",bug_conf_sheet!$A:$H,7,FALSE))</f>
        <v>0</v>
      </c>
      <c r="T43" s="31">
        <f>IFERROR(VLOOKUP($E43,bug_conf_sheet!$A:$H,8,FALSE),VLOOKUP("other",bug_conf_sheet!$A:$H,8,FALSE))</f>
        <v>1</v>
      </c>
    </row>
    <row r="44" spans="1:20" ht="21" customHeight="1">
      <c r="A44" s="2" t="str">
        <f ca="1">input_313100!A$2</f>
        <v>313100</v>
      </c>
      <c r="B44" s="7" t="str">
        <f t="shared" si="1"/>
        <v>Premium5</v>
      </c>
      <c r="C44" s="7" t="str">
        <f t="shared" si="2"/>
        <v>Premium</v>
      </c>
      <c r="D44" s="7" t="str">
        <f t="shared" si="3"/>
        <v>ry</v>
      </c>
      <c r="E44" s="6">
        <v>168</v>
      </c>
      <c r="F44" s="7" t="str">
        <f>VLOOKUP(E44,[1]characters!$A:$C,3,FALSE)</f>
        <v>猛進の大逆者 ベリアル</v>
      </c>
      <c r="G44" s="7" t="str">
        <f>VLOOKUP(E44,[1]characters!$A:$J,10,FALSE)</f>
        <v>PremiumN</v>
      </c>
      <c r="H44" s="7">
        <f>VLOOKUP(E44,[1]characters!$A:$I,9,FALSE)</f>
        <v>5</v>
      </c>
      <c r="I44" s="7" t="str">
        <f>VLOOKUP(E44,[1]characters!$A:$H,8,FALSE)</f>
        <v>red</v>
      </c>
      <c r="J44" s="7" t="str">
        <f>VLOOKUP(E44,[1]characters!$A:$K,11,FALSE)</f>
        <v>attack</v>
      </c>
      <c r="K44" s="7" t="str">
        <f>VLOOKUP(E44,[1]characters!$A:$M,13,FALSE)</f>
        <v>god</v>
      </c>
      <c r="L44" s="7" t="str">
        <f>VLOOKUP(E44,[1]characters!$A:$G,7,FALSE)</f>
        <v>男性</v>
      </c>
      <c r="M44" s="62">
        <f ca="1">IFERROR(VLOOKUP(E44,input_313100!L:R,7,FALSE),VLOOKUP(tables_313100!B44,input_313100!A:H,8,FALSE))</f>
        <v>12950</v>
      </c>
      <c r="N44" s="63">
        <f t="shared" ca="1" si="4"/>
        <v>4.6296296296296298E-4</v>
      </c>
      <c r="O44" s="31">
        <f>IFERROR(VLOOKUP($E44,bug_conf_sheet!$A:$H,3,FALSE),VLOOKUP("other",bug_conf_sheet!$A:$H,3,FALSE))</f>
        <v>1</v>
      </c>
      <c r="P44" s="31">
        <f>IFERROR(VLOOKUP($E44,bug_conf_sheet!$A:$H,4,FALSE),VLOOKUP("other",bug_conf_sheet!$A:$H,4,FALSE))</f>
        <v>0</v>
      </c>
      <c r="Q44" s="31">
        <f>IFERROR(VLOOKUP($E44,bug_conf_sheet!$A:$H,5,FALSE),VLOOKUP("other",bug_conf_sheet!$A:$H,5,FALSE))</f>
        <v>0</v>
      </c>
      <c r="R44" s="31">
        <f>IFERROR(VLOOKUP($E44,bug_conf_sheet!$A:$H,6,FALSE),VLOOKUP("other",bug_conf_sheet!$A:$H,6,FALSE))</f>
        <v>0</v>
      </c>
      <c r="S44" s="31">
        <f>IFERROR(VLOOKUP($E44,bug_conf_sheet!$A:$H,7,FALSE),VLOOKUP("other",bug_conf_sheet!$A:$H,7,FALSE))</f>
        <v>0</v>
      </c>
      <c r="T44" s="31">
        <f>IFERROR(VLOOKUP($E44,bug_conf_sheet!$A:$H,8,FALSE),VLOOKUP("other",bug_conf_sheet!$A:$H,8,FALSE))</f>
        <v>1</v>
      </c>
    </row>
    <row r="45" spans="1:20" ht="21" customHeight="1">
      <c r="A45" s="2" t="str">
        <f ca="1">input_313100!A$2</f>
        <v>313100</v>
      </c>
      <c r="B45" s="7" t="str">
        <f t="shared" si="1"/>
        <v>Premium3</v>
      </c>
      <c r="C45" s="7" t="str">
        <f t="shared" si="2"/>
        <v>Premium</v>
      </c>
      <c r="D45" s="7" t="str">
        <f t="shared" si="3"/>
        <v>bg</v>
      </c>
      <c r="E45" s="6">
        <v>169</v>
      </c>
      <c r="F45" s="7" t="str">
        <f>VLOOKUP(E45,[1]characters!$A:$C,3,FALSE)</f>
        <v>オセ</v>
      </c>
      <c r="G45" s="7" t="str">
        <f>VLOOKUP(E45,[1]characters!$A:$J,10,FALSE)</f>
        <v>PremiumN</v>
      </c>
      <c r="H45" s="7">
        <f>VLOOKUP(E45,[1]characters!$A:$I,9,FALSE)</f>
        <v>3</v>
      </c>
      <c r="I45" s="7" t="str">
        <f>VLOOKUP(E45,[1]characters!$A:$H,8,FALSE)</f>
        <v>green</v>
      </c>
      <c r="J45" s="7" t="str">
        <f>VLOOKUP(E45,[1]characters!$A:$K,11,FALSE)</f>
        <v>attack</v>
      </c>
      <c r="K45" s="7" t="str">
        <f>VLOOKUP(E45,[1]characters!$A:$M,13,FALSE)</f>
        <v>god</v>
      </c>
      <c r="L45" s="7" t="str">
        <f>VLOOKUP(E45,[1]characters!$A:$G,7,FALSE)</f>
        <v>女性</v>
      </c>
      <c r="M45" s="62">
        <f ca="1">IFERROR(VLOOKUP(E45,input_313100!L:R,7,FALSE),VLOOKUP(tables_313100!B45,input_313100!A:H,8,FALSE))</f>
        <v>0</v>
      </c>
      <c r="N45" s="63">
        <f t="shared" ca="1" si="4"/>
        <v>0</v>
      </c>
      <c r="O45" s="31">
        <f>IFERROR(VLOOKUP($E45,bug_conf_sheet!$A:$H,3,FALSE),VLOOKUP("other",bug_conf_sheet!$A:$H,3,FALSE))</f>
        <v>1</v>
      </c>
      <c r="P45" s="31">
        <f>IFERROR(VLOOKUP($E45,bug_conf_sheet!$A:$H,4,FALSE),VLOOKUP("other",bug_conf_sheet!$A:$H,4,FALSE))</f>
        <v>0</v>
      </c>
      <c r="Q45" s="31">
        <f>IFERROR(VLOOKUP($E45,bug_conf_sheet!$A:$H,5,FALSE),VLOOKUP("other",bug_conf_sheet!$A:$H,5,FALSE))</f>
        <v>0</v>
      </c>
      <c r="R45" s="31">
        <f>IFERROR(VLOOKUP($E45,bug_conf_sheet!$A:$H,6,FALSE),VLOOKUP("other",bug_conf_sheet!$A:$H,6,FALSE))</f>
        <v>0</v>
      </c>
      <c r="S45" s="31">
        <f>IFERROR(VLOOKUP($E45,bug_conf_sheet!$A:$H,7,FALSE),VLOOKUP("other",bug_conf_sheet!$A:$H,7,FALSE))</f>
        <v>0</v>
      </c>
      <c r="T45" s="31">
        <f>IFERROR(VLOOKUP($E45,bug_conf_sheet!$A:$H,8,FALSE),VLOOKUP("other",bug_conf_sheet!$A:$H,8,FALSE))</f>
        <v>1</v>
      </c>
    </row>
    <row r="46" spans="1:20" ht="21" customHeight="1">
      <c r="A46" s="2" t="str">
        <f ca="1">input_313100!A$2</f>
        <v>313100</v>
      </c>
      <c r="B46" s="7" t="str">
        <f t="shared" si="1"/>
        <v>Premium4</v>
      </c>
      <c r="C46" s="7" t="str">
        <f t="shared" si="2"/>
        <v>Premium</v>
      </c>
      <c r="D46" s="7" t="str">
        <f t="shared" si="3"/>
        <v>bg</v>
      </c>
      <c r="E46" s="6">
        <v>170</v>
      </c>
      <c r="F46" s="7" t="str">
        <f>VLOOKUP(E46,[1]characters!$A:$C,3,FALSE)</f>
        <v>識徒 オセ</v>
      </c>
      <c r="G46" s="7" t="str">
        <f>VLOOKUP(E46,[1]characters!$A:$J,10,FALSE)</f>
        <v>PremiumN</v>
      </c>
      <c r="H46" s="7">
        <f>VLOOKUP(E46,[1]characters!$A:$I,9,FALSE)</f>
        <v>4</v>
      </c>
      <c r="I46" s="7" t="str">
        <f>VLOOKUP(E46,[1]characters!$A:$H,8,FALSE)</f>
        <v>green</v>
      </c>
      <c r="J46" s="7" t="str">
        <f>VLOOKUP(E46,[1]characters!$A:$K,11,FALSE)</f>
        <v>attack</v>
      </c>
      <c r="K46" s="7" t="str">
        <f>VLOOKUP(E46,[1]characters!$A:$M,13,FALSE)</f>
        <v>god</v>
      </c>
      <c r="L46" s="7" t="str">
        <f>VLOOKUP(E46,[1]characters!$A:$G,7,FALSE)</f>
        <v>女性</v>
      </c>
      <c r="M46" s="62">
        <f ca="1">IFERROR(VLOOKUP(E46,input_313100!L:R,7,FALSE),VLOOKUP(tables_313100!B46,input_313100!A:H,8,FALSE))</f>
        <v>342090</v>
      </c>
      <c r="N46" s="63">
        <f t="shared" ca="1" si="4"/>
        <v>1.222972972972973E-2</v>
      </c>
      <c r="O46" s="31">
        <f>IFERROR(VLOOKUP($E46,bug_conf_sheet!$A:$H,3,FALSE),VLOOKUP("other",bug_conf_sheet!$A:$H,3,FALSE))</f>
        <v>1</v>
      </c>
      <c r="P46" s="31">
        <f>IFERROR(VLOOKUP($E46,bug_conf_sheet!$A:$H,4,FALSE),VLOOKUP("other",bug_conf_sheet!$A:$H,4,FALSE))</f>
        <v>0</v>
      </c>
      <c r="Q46" s="31">
        <f>IFERROR(VLOOKUP($E46,bug_conf_sheet!$A:$H,5,FALSE),VLOOKUP("other",bug_conf_sheet!$A:$H,5,FALSE))</f>
        <v>0</v>
      </c>
      <c r="R46" s="31">
        <f>IFERROR(VLOOKUP($E46,bug_conf_sheet!$A:$H,6,FALSE),VLOOKUP("other",bug_conf_sheet!$A:$H,6,FALSE))</f>
        <v>0</v>
      </c>
      <c r="S46" s="31">
        <f>IFERROR(VLOOKUP($E46,bug_conf_sheet!$A:$H,7,FALSE),VLOOKUP("other",bug_conf_sheet!$A:$H,7,FALSE))</f>
        <v>0</v>
      </c>
      <c r="T46" s="31">
        <f>IFERROR(VLOOKUP($E46,bug_conf_sheet!$A:$H,8,FALSE),VLOOKUP("other",bug_conf_sheet!$A:$H,8,FALSE))</f>
        <v>1</v>
      </c>
    </row>
    <row r="47" spans="1:20" ht="21" customHeight="1">
      <c r="A47" s="2" t="str">
        <f ca="1">input_313100!A$2</f>
        <v>313100</v>
      </c>
      <c r="B47" s="7" t="str">
        <f t="shared" si="1"/>
        <v>Premium5</v>
      </c>
      <c r="C47" s="7" t="str">
        <f t="shared" si="2"/>
        <v>Premium</v>
      </c>
      <c r="D47" s="7" t="str">
        <f t="shared" si="3"/>
        <v>bg</v>
      </c>
      <c r="E47" s="6">
        <v>171</v>
      </c>
      <c r="F47" s="7" t="str">
        <f>VLOOKUP(E47,[1]characters!$A:$C,3,FALSE)</f>
        <v>精解の預知者 オセ</v>
      </c>
      <c r="G47" s="7" t="str">
        <f>VLOOKUP(E47,[1]characters!$A:$J,10,FALSE)</f>
        <v>PremiumN</v>
      </c>
      <c r="H47" s="7">
        <f>VLOOKUP(E47,[1]characters!$A:$I,9,FALSE)</f>
        <v>5</v>
      </c>
      <c r="I47" s="7" t="str">
        <f>VLOOKUP(E47,[1]characters!$A:$H,8,FALSE)</f>
        <v>green</v>
      </c>
      <c r="J47" s="7" t="str">
        <f>VLOOKUP(E47,[1]characters!$A:$K,11,FALSE)</f>
        <v>attack</v>
      </c>
      <c r="K47" s="7" t="str">
        <f>VLOOKUP(E47,[1]characters!$A:$M,13,FALSE)</f>
        <v>god</v>
      </c>
      <c r="L47" s="7" t="str">
        <f>VLOOKUP(E47,[1]characters!$A:$G,7,FALSE)</f>
        <v>女性</v>
      </c>
      <c r="M47" s="62">
        <f ca="1">IFERROR(VLOOKUP(E47,input_313100!L:R,7,FALSE),VLOOKUP(tables_313100!B47,input_313100!A:H,8,FALSE))</f>
        <v>12950</v>
      </c>
      <c r="N47" s="63">
        <f t="shared" ca="1" si="4"/>
        <v>4.6296296296296298E-4</v>
      </c>
      <c r="O47" s="31">
        <f>IFERROR(VLOOKUP($E47,bug_conf_sheet!$A:$H,3,FALSE),VLOOKUP("other",bug_conf_sheet!$A:$H,3,FALSE))</f>
        <v>1</v>
      </c>
      <c r="P47" s="31">
        <f>IFERROR(VLOOKUP($E47,bug_conf_sheet!$A:$H,4,FALSE),VLOOKUP("other",bug_conf_sheet!$A:$H,4,FALSE))</f>
        <v>0</v>
      </c>
      <c r="Q47" s="31">
        <f>IFERROR(VLOOKUP($E47,bug_conf_sheet!$A:$H,5,FALSE),VLOOKUP("other",bug_conf_sheet!$A:$H,5,FALSE))</f>
        <v>0</v>
      </c>
      <c r="R47" s="31">
        <f>IFERROR(VLOOKUP($E47,bug_conf_sheet!$A:$H,6,FALSE),VLOOKUP("other",bug_conf_sheet!$A:$H,6,FALSE))</f>
        <v>0</v>
      </c>
      <c r="S47" s="31">
        <f>IFERROR(VLOOKUP($E47,bug_conf_sheet!$A:$H,7,FALSE),VLOOKUP("other",bug_conf_sheet!$A:$H,7,FALSE))</f>
        <v>0</v>
      </c>
      <c r="T47" s="31">
        <f>IFERROR(VLOOKUP($E47,bug_conf_sheet!$A:$H,8,FALSE),VLOOKUP("other",bug_conf_sheet!$A:$H,8,FALSE))</f>
        <v>1</v>
      </c>
    </row>
    <row r="48" spans="1:20" ht="21" customHeight="1">
      <c r="A48" s="2" t="str">
        <f ca="1">input_313100!A$2</f>
        <v>313100</v>
      </c>
      <c r="B48" s="7" t="str">
        <f t="shared" si="1"/>
        <v>Premium3</v>
      </c>
      <c r="C48" s="7" t="str">
        <f t="shared" si="2"/>
        <v>Premium</v>
      </c>
      <c r="D48" s="7" t="str">
        <f t="shared" si="3"/>
        <v>bg</v>
      </c>
      <c r="E48" s="6">
        <v>172</v>
      </c>
      <c r="F48" s="7" t="str">
        <f>VLOOKUP(E48,[1]characters!$A:$C,3,FALSE)</f>
        <v>フォルネウス</v>
      </c>
      <c r="G48" s="7" t="str">
        <f>VLOOKUP(E48,[1]characters!$A:$J,10,FALSE)</f>
        <v>PremiumN</v>
      </c>
      <c r="H48" s="7">
        <f>VLOOKUP(E48,[1]characters!$A:$I,9,FALSE)</f>
        <v>3</v>
      </c>
      <c r="I48" s="7" t="str">
        <f>VLOOKUP(E48,[1]characters!$A:$H,8,FALSE)</f>
        <v>blue</v>
      </c>
      <c r="J48" s="7" t="str">
        <f>VLOOKUP(E48,[1]characters!$A:$K,11,FALSE)</f>
        <v>attack</v>
      </c>
      <c r="K48" s="7" t="str">
        <f>VLOOKUP(E48,[1]characters!$A:$M,13,FALSE)</f>
        <v>god</v>
      </c>
      <c r="L48" s="7" t="str">
        <f>VLOOKUP(E48,[1]characters!$A:$G,7,FALSE)</f>
        <v>女性</v>
      </c>
      <c r="M48" s="62">
        <f ca="1">IFERROR(VLOOKUP(E48,input_313100!L:R,7,FALSE),VLOOKUP(tables_313100!B48,input_313100!A:H,8,FALSE))</f>
        <v>0</v>
      </c>
      <c r="N48" s="63">
        <f t="shared" ca="1" si="4"/>
        <v>0</v>
      </c>
      <c r="O48" s="31">
        <f>IFERROR(VLOOKUP($E48,bug_conf_sheet!$A:$H,3,FALSE),VLOOKUP("other",bug_conf_sheet!$A:$H,3,FALSE))</f>
        <v>1</v>
      </c>
      <c r="P48" s="31">
        <f>IFERROR(VLOOKUP($E48,bug_conf_sheet!$A:$H,4,FALSE),VLOOKUP("other",bug_conf_sheet!$A:$H,4,FALSE))</f>
        <v>0</v>
      </c>
      <c r="Q48" s="31">
        <f>IFERROR(VLOOKUP($E48,bug_conf_sheet!$A:$H,5,FALSE),VLOOKUP("other",bug_conf_sheet!$A:$H,5,FALSE))</f>
        <v>0</v>
      </c>
      <c r="R48" s="31">
        <f>IFERROR(VLOOKUP($E48,bug_conf_sheet!$A:$H,6,FALSE),VLOOKUP("other",bug_conf_sheet!$A:$H,6,FALSE))</f>
        <v>0</v>
      </c>
      <c r="S48" s="31">
        <f>IFERROR(VLOOKUP($E48,bug_conf_sheet!$A:$H,7,FALSE),VLOOKUP("other",bug_conf_sheet!$A:$H,7,FALSE))</f>
        <v>0</v>
      </c>
      <c r="T48" s="31">
        <f>IFERROR(VLOOKUP($E48,bug_conf_sheet!$A:$H,8,FALSE),VLOOKUP("other",bug_conf_sheet!$A:$H,8,FALSE))</f>
        <v>1</v>
      </c>
    </row>
    <row r="49" spans="1:20" ht="21" customHeight="1">
      <c r="A49" s="2" t="str">
        <f ca="1">input_313100!A$2</f>
        <v>313100</v>
      </c>
      <c r="B49" s="7" t="str">
        <f t="shared" si="1"/>
        <v>Premium4</v>
      </c>
      <c r="C49" s="7" t="str">
        <f t="shared" si="2"/>
        <v>Premium</v>
      </c>
      <c r="D49" s="7" t="str">
        <f t="shared" si="3"/>
        <v>bg</v>
      </c>
      <c r="E49" s="6">
        <v>173</v>
      </c>
      <c r="F49" s="7" t="str">
        <f>VLOOKUP(E49,[1]characters!$A:$C,3,FALSE)</f>
        <v>公爵 フォルネウス</v>
      </c>
      <c r="G49" s="7" t="str">
        <f>VLOOKUP(E49,[1]characters!$A:$J,10,FALSE)</f>
        <v>PremiumN</v>
      </c>
      <c r="H49" s="7">
        <f>VLOOKUP(E49,[1]characters!$A:$I,9,FALSE)</f>
        <v>4</v>
      </c>
      <c r="I49" s="7" t="str">
        <f>VLOOKUP(E49,[1]characters!$A:$H,8,FALSE)</f>
        <v>blue</v>
      </c>
      <c r="J49" s="7" t="str">
        <f>VLOOKUP(E49,[1]characters!$A:$K,11,FALSE)</f>
        <v>attack</v>
      </c>
      <c r="K49" s="7" t="str">
        <f>VLOOKUP(E49,[1]characters!$A:$M,13,FALSE)</f>
        <v>god</v>
      </c>
      <c r="L49" s="7" t="str">
        <f>VLOOKUP(E49,[1]characters!$A:$G,7,FALSE)</f>
        <v>女性</v>
      </c>
      <c r="M49" s="62">
        <f ca="1">IFERROR(VLOOKUP(E49,input_313100!L:R,7,FALSE),VLOOKUP(tables_313100!B49,input_313100!A:H,8,FALSE))</f>
        <v>342090</v>
      </c>
      <c r="N49" s="63">
        <f t="shared" ca="1" si="4"/>
        <v>1.222972972972973E-2</v>
      </c>
      <c r="O49" s="31">
        <f>IFERROR(VLOOKUP($E49,bug_conf_sheet!$A:$H,3,FALSE),VLOOKUP("other",bug_conf_sheet!$A:$H,3,FALSE))</f>
        <v>1</v>
      </c>
      <c r="P49" s="31">
        <f>IFERROR(VLOOKUP($E49,bug_conf_sheet!$A:$H,4,FALSE),VLOOKUP("other",bug_conf_sheet!$A:$H,4,FALSE))</f>
        <v>0</v>
      </c>
      <c r="Q49" s="31">
        <f>IFERROR(VLOOKUP($E49,bug_conf_sheet!$A:$H,5,FALSE),VLOOKUP("other",bug_conf_sheet!$A:$H,5,FALSE))</f>
        <v>0</v>
      </c>
      <c r="R49" s="31">
        <f>IFERROR(VLOOKUP($E49,bug_conf_sheet!$A:$H,6,FALSE),VLOOKUP("other",bug_conf_sheet!$A:$H,6,FALSE))</f>
        <v>0</v>
      </c>
      <c r="S49" s="31">
        <f>IFERROR(VLOOKUP($E49,bug_conf_sheet!$A:$H,7,FALSE),VLOOKUP("other",bug_conf_sheet!$A:$H,7,FALSE))</f>
        <v>0</v>
      </c>
      <c r="T49" s="31">
        <f>IFERROR(VLOOKUP($E49,bug_conf_sheet!$A:$H,8,FALSE),VLOOKUP("other",bug_conf_sheet!$A:$H,8,FALSE))</f>
        <v>1</v>
      </c>
    </row>
    <row r="50" spans="1:20" ht="21" customHeight="1">
      <c r="A50" s="2" t="str">
        <f ca="1">input_313100!A$2</f>
        <v>313100</v>
      </c>
      <c r="B50" s="7" t="str">
        <f t="shared" si="1"/>
        <v>Premium5</v>
      </c>
      <c r="C50" s="7" t="str">
        <f t="shared" si="2"/>
        <v>Premium</v>
      </c>
      <c r="D50" s="7" t="str">
        <f t="shared" si="3"/>
        <v>bg</v>
      </c>
      <c r="E50" s="6">
        <v>174</v>
      </c>
      <c r="F50" s="7" t="str">
        <f>VLOOKUP(E50,[1]characters!$A:$C,3,FALSE)</f>
        <v>偽愛の大公爵 フォルネウス</v>
      </c>
      <c r="G50" s="7" t="str">
        <f>VLOOKUP(E50,[1]characters!$A:$J,10,FALSE)</f>
        <v>PremiumN</v>
      </c>
      <c r="H50" s="7">
        <f>VLOOKUP(E50,[1]characters!$A:$I,9,FALSE)</f>
        <v>5</v>
      </c>
      <c r="I50" s="7" t="str">
        <f>VLOOKUP(E50,[1]characters!$A:$H,8,FALSE)</f>
        <v>blue</v>
      </c>
      <c r="J50" s="7" t="str">
        <f>VLOOKUP(E50,[1]characters!$A:$K,11,FALSE)</f>
        <v>attack</v>
      </c>
      <c r="K50" s="7" t="str">
        <f>VLOOKUP(E50,[1]characters!$A:$M,13,FALSE)</f>
        <v>god</v>
      </c>
      <c r="L50" s="7" t="str">
        <f>VLOOKUP(E50,[1]characters!$A:$G,7,FALSE)</f>
        <v>女性</v>
      </c>
      <c r="M50" s="62">
        <f ca="1">IFERROR(VLOOKUP(E50,input_313100!L:R,7,FALSE),VLOOKUP(tables_313100!B50,input_313100!A:H,8,FALSE))</f>
        <v>12950</v>
      </c>
      <c r="N50" s="63">
        <f t="shared" ca="1" si="4"/>
        <v>4.6296296296296298E-4</v>
      </c>
      <c r="O50" s="31">
        <f>IFERROR(VLOOKUP($E50,bug_conf_sheet!$A:$H,3,FALSE),VLOOKUP("other",bug_conf_sheet!$A:$H,3,FALSE))</f>
        <v>1</v>
      </c>
      <c r="P50" s="31">
        <f>IFERROR(VLOOKUP($E50,bug_conf_sheet!$A:$H,4,FALSE),VLOOKUP("other",bug_conf_sheet!$A:$H,4,FALSE))</f>
        <v>0</v>
      </c>
      <c r="Q50" s="31">
        <f>IFERROR(VLOOKUP($E50,bug_conf_sheet!$A:$H,5,FALSE),VLOOKUP("other",bug_conf_sheet!$A:$H,5,FALSE))</f>
        <v>0</v>
      </c>
      <c r="R50" s="31">
        <f>IFERROR(VLOOKUP($E50,bug_conf_sheet!$A:$H,6,FALSE),VLOOKUP("other",bug_conf_sheet!$A:$H,6,FALSE))</f>
        <v>0</v>
      </c>
      <c r="S50" s="31">
        <f>IFERROR(VLOOKUP($E50,bug_conf_sheet!$A:$H,7,FALSE),VLOOKUP("other",bug_conf_sheet!$A:$H,7,FALSE))</f>
        <v>0</v>
      </c>
      <c r="T50" s="31">
        <f>IFERROR(VLOOKUP($E50,bug_conf_sheet!$A:$H,8,FALSE),VLOOKUP("other",bug_conf_sheet!$A:$H,8,FALSE))</f>
        <v>1</v>
      </c>
    </row>
    <row r="51" spans="1:20" ht="21" customHeight="1">
      <c r="A51" s="2" t="str">
        <f ca="1">input_313100!A$2</f>
        <v>313100</v>
      </c>
      <c r="B51" s="7" t="str">
        <f t="shared" si="1"/>
        <v>Premium3</v>
      </c>
      <c r="C51" s="7" t="str">
        <f t="shared" si="2"/>
        <v>Premium</v>
      </c>
      <c r="D51" s="7" t="str">
        <f t="shared" si="3"/>
        <v>ry</v>
      </c>
      <c r="E51" s="6">
        <v>175</v>
      </c>
      <c r="F51" s="7" t="str">
        <f>VLOOKUP(E51,[1]characters!$A:$C,3,FALSE)</f>
        <v>バフォメット</v>
      </c>
      <c r="G51" s="7" t="str">
        <f>VLOOKUP(E51,[1]characters!$A:$J,10,FALSE)</f>
        <v>PremiumN</v>
      </c>
      <c r="H51" s="7">
        <f>VLOOKUP(E51,[1]characters!$A:$I,9,FALSE)</f>
        <v>3</v>
      </c>
      <c r="I51" s="7" t="str">
        <f>VLOOKUP(E51,[1]characters!$A:$H,8,FALSE)</f>
        <v>yellow</v>
      </c>
      <c r="J51" s="7" t="str">
        <f>VLOOKUP(E51,[1]characters!$A:$K,11,FALSE)</f>
        <v>attack</v>
      </c>
      <c r="K51" s="7" t="str">
        <f>VLOOKUP(E51,[1]characters!$A:$M,13,FALSE)</f>
        <v>god</v>
      </c>
      <c r="L51" s="7" t="str">
        <f>VLOOKUP(E51,[1]characters!$A:$G,7,FALSE)</f>
        <v>女性</v>
      </c>
      <c r="M51" s="62">
        <f ca="1">IFERROR(VLOOKUP(E51,input_313100!L:R,7,FALSE),VLOOKUP(tables_313100!B51,input_313100!A:H,8,FALSE))</f>
        <v>0</v>
      </c>
      <c r="N51" s="63">
        <f t="shared" ca="1" si="4"/>
        <v>0</v>
      </c>
      <c r="O51" s="31">
        <f>IFERROR(VLOOKUP($E51,bug_conf_sheet!$A:$H,3,FALSE),VLOOKUP("other",bug_conf_sheet!$A:$H,3,FALSE))</f>
        <v>1</v>
      </c>
      <c r="P51" s="31">
        <f>IFERROR(VLOOKUP($E51,bug_conf_sheet!$A:$H,4,FALSE),VLOOKUP("other",bug_conf_sheet!$A:$H,4,FALSE))</f>
        <v>0</v>
      </c>
      <c r="Q51" s="31">
        <f>IFERROR(VLOOKUP($E51,bug_conf_sheet!$A:$H,5,FALSE),VLOOKUP("other",bug_conf_sheet!$A:$H,5,FALSE))</f>
        <v>0</v>
      </c>
      <c r="R51" s="31">
        <f>IFERROR(VLOOKUP($E51,bug_conf_sheet!$A:$H,6,FALSE),VLOOKUP("other",bug_conf_sheet!$A:$H,6,FALSE))</f>
        <v>0</v>
      </c>
      <c r="S51" s="31">
        <f>IFERROR(VLOOKUP($E51,bug_conf_sheet!$A:$H,7,FALSE),VLOOKUP("other",bug_conf_sheet!$A:$H,7,FALSE))</f>
        <v>0</v>
      </c>
      <c r="T51" s="31">
        <f>IFERROR(VLOOKUP($E51,bug_conf_sheet!$A:$H,8,FALSE),VLOOKUP("other",bug_conf_sheet!$A:$H,8,FALSE))</f>
        <v>1</v>
      </c>
    </row>
    <row r="52" spans="1:20" ht="21" customHeight="1">
      <c r="A52" s="2" t="str">
        <f ca="1">input_313100!A$2</f>
        <v>313100</v>
      </c>
      <c r="B52" s="7" t="str">
        <f t="shared" si="1"/>
        <v>Premium4</v>
      </c>
      <c r="C52" s="7" t="str">
        <f t="shared" si="2"/>
        <v>Premium</v>
      </c>
      <c r="D52" s="7" t="str">
        <f t="shared" si="3"/>
        <v>ry</v>
      </c>
      <c r="E52" s="6">
        <v>176</v>
      </c>
      <c r="F52" s="7" t="str">
        <f>VLOOKUP(E52,[1]characters!$A:$C,3,FALSE)</f>
        <v>異教徒 バフォメット</v>
      </c>
      <c r="G52" s="7" t="str">
        <f>VLOOKUP(E52,[1]characters!$A:$J,10,FALSE)</f>
        <v>PremiumN</v>
      </c>
      <c r="H52" s="7">
        <f>VLOOKUP(E52,[1]characters!$A:$I,9,FALSE)</f>
        <v>4</v>
      </c>
      <c r="I52" s="7" t="str">
        <f>VLOOKUP(E52,[1]characters!$A:$H,8,FALSE)</f>
        <v>yellow</v>
      </c>
      <c r="J52" s="7" t="str">
        <f>VLOOKUP(E52,[1]characters!$A:$K,11,FALSE)</f>
        <v>attack</v>
      </c>
      <c r="K52" s="7" t="str">
        <f>VLOOKUP(E52,[1]characters!$A:$M,13,FALSE)</f>
        <v>god</v>
      </c>
      <c r="L52" s="7" t="str">
        <f>VLOOKUP(E52,[1]characters!$A:$G,7,FALSE)</f>
        <v>女性</v>
      </c>
      <c r="M52" s="62">
        <f ca="1">IFERROR(VLOOKUP(E52,input_313100!L:R,7,FALSE),VLOOKUP(tables_313100!B52,input_313100!A:H,8,FALSE))</f>
        <v>342090</v>
      </c>
      <c r="N52" s="63">
        <f t="shared" ca="1" si="4"/>
        <v>1.222972972972973E-2</v>
      </c>
      <c r="O52" s="31">
        <f>IFERROR(VLOOKUP($E52,bug_conf_sheet!$A:$H,3,FALSE),VLOOKUP("other",bug_conf_sheet!$A:$H,3,FALSE))</f>
        <v>1</v>
      </c>
      <c r="P52" s="31">
        <f>IFERROR(VLOOKUP($E52,bug_conf_sheet!$A:$H,4,FALSE),VLOOKUP("other",bug_conf_sheet!$A:$H,4,FALSE))</f>
        <v>0</v>
      </c>
      <c r="Q52" s="31">
        <f>IFERROR(VLOOKUP($E52,bug_conf_sheet!$A:$H,5,FALSE),VLOOKUP("other",bug_conf_sheet!$A:$H,5,FALSE))</f>
        <v>0</v>
      </c>
      <c r="R52" s="31">
        <f>IFERROR(VLOOKUP($E52,bug_conf_sheet!$A:$H,6,FALSE),VLOOKUP("other",bug_conf_sheet!$A:$H,6,FALSE))</f>
        <v>0</v>
      </c>
      <c r="S52" s="31">
        <f>IFERROR(VLOOKUP($E52,bug_conf_sheet!$A:$H,7,FALSE),VLOOKUP("other",bug_conf_sheet!$A:$H,7,FALSE))</f>
        <v>0</v>
      </c>
      <c r="T52" s="31">
        <f>IFERROR(VLOOKUP($E52,bug_conf_sheet!$A:$H,8,FALSE),VLOOKUP("other",bug_conf_sheet!$A:$H,8,FALSE))</f>
        <v>1</v>
      </c>
    </row>
    <row r="53" spans="1:20" ht="21" customHeight="1">
      <c r="A53" s="2" t="str">
        <f ca="1">input_313100!A$2</f>
        <v>313100</v>
      </c>
      <c r="B53" s="7" t="str">
        <f t="shared" si="1"/>
        <v>Premium5</v>
      </c>
      <c r="C53" s="7" t="str">
        <f t="shared" si="2"/>
        <v>Premium</v>
      </c>
      <c r="D53" s="7" t="str">
        <f t="shared" si="3"/>
        <v>ry</v>
      </c>
      <c r="E53" s="6">
        <v>177</v>
      </c>
      <c r="F53" s="7" t="str">
        <f>VLOOKUP(E53,[1]characters!$A:$C,3,FALSE)</f>
        <v>黒魔の異端師 バフォメット</v>
      </c>
      <c r="G53" s="7" t="str">
        <f>VLOOKUP(E53,[1]characters!$A:$J,10,FALSE)</f>
        <v>PremiumN</v>
      </c>
      <c r="H53" s="7">
        <f>VLOOKUP(E53,[1]characters!$A:$I,9,FALSE)</f>
        <v>5</v>
      </c>
      <c r="I53" s="7" t="str">
        <f>VLOOKUP(E53,[1]characters!$A:$H,8,FALSE)</f>
        <v>yellow</v>
      </c>
      <c r="J53" s="7" t="str">
        <f>VLOOKUP(E53,[1]characters!$A:$K,11,FALSE)</f>
        <v>attack</v>
      </c>
      <c r="K53" s="7" t="str">
        <f>VLOOKUP(E53,[1]characters!$A:$M,13,FALSE)</f>
        <v>god</v>
      </c>
      <c r="L53" s="7" t="str">
        <f>VLOOKUP(E53,[1]characters!$A:$G,7,FALSE)</f>
        <v>女性</v>
      </c>
      <c r="M53" s="62">
        <f ca="1">IFERROR(VLOOKUP(E53,input_313100!L:R,7,FALSE),VLOOKUP(tables_313100!B53,input_313100!A:H,8,FALSE))</f>
        <v>12950</v>
      </c>
      <c r="N53" s="63">
        <f t="shared" ca="1" si="4"/>
        <v>4.6296296296296298E-4</v>
      </c>
      <c r="O53" s="31">
        <f>IFERROR(VLOOKUP($E53,bug_conf_sheet!$A:$H,3,FALSE),VLOOKUP("other",bug_conf_sheet!$A:$H,3,FALSE))</f>
        <v>1</v>
      </c>
      <c r="P53" s="31">
        <f>IFERROR(VLOOKUP($E53,bug_conf_sheet!$A:$H,4,FALSE),VLOOKUP("other",bug_conf_sheet!$A:$H,4,FALSE))</f>
        <v>0</v>
      </c>
      <c r="Q53" s="31">
        <f>IFERROR(VLOOKUP($E53,bug_conf_sheet!$A:$H,5,FALSE),VLOOKUP("other",bug_conf_sheet!$A:$H,5,FALSE))</f>
        <v>0</v>
      </c>
      <c r="R53" s="31">
        <f>IFERROR(VLOOKUP($E53,bug_conf_sheet!$A:$H,6,FALSE),VLOOKUP("other",bug_conf_sheet!$A:$H,6,FALSE))</f>
        <v>0</v>
      </c>
      <c r="S53" s="31">
        <f>IFERROR(VLOOKUP($E53,bug_conf_sheet!$A:$H,7,FALSE),VLOOKUP("other",bug_conf_sheet!$A:$H,7,FALSE))</f>
        <v>0</v>
      </c>
      <c r="T53" s="31">
        <f>IFERROR(VLOOKUP($E53,bug_conf_sheet!$A:$H,8,FALSE),VLOOKUP("other",bug_conf_sheet!$A:$H,8,FALSE))</f>
        <v>1</v>
      </c>
    </row>
    <row r="54" spans="1:20" ht="21" customHeight="1">
      <c r="A54" s="2" t="str">
        <f ca="1">input_313100!A$2</f>
        <v>313100</v>
      </c>
      <c r="B54" s="7" t="str">
        <f t="shared" si="1"/>
        <v>Premium3</v>
      </c>
      <c r="C54" s="7" t="str">
        <f t="shared" si="2"/>
        <v>Premium</v>
      </c>
      <c r="D54" s="7" t="str">
        <f t="shared" si="3"/>
        <v>ry</v>
      </c>
      <c r="E54" s="6">
        <v>178</v>
      </c>
      <c r="F54" s="7" t="str">
        <f>VLOOKUP(E54,[1]characters!$A:$C,3,FALSE)</f>
        <v>ケルベロス</v>
      </c>
      <c r="G54" s="7" t="str">
        <f>VLOOKUP(E54,[1]characters!$A:$J,10,FALSE)</f>
        <v>PremiumN</v>
      </c>
      <c r="H54" s="7">
        <f>VLOOKUP(E54,[1]characters!$A:$I,9,FALSE)</f>
        <v>3</v>
      </c>
      <c r="I54" s="7" t="str">
        <f>VLOOKUP(E54,[1]characters!$A:$H,8,FALSE)</f>
        <v>red</v>
      </c>
      <c r="J54" s="7" t="str">
        <f>VLOOKUP(E54,[1]characters!$A:$K,11,FALSE)</f>
        <v>balance</v>
      </c>
      <c r="K54" s="7" t="str">
        <f>VLOOKUP(E54,[1]characters!$A:$M,13,FALSE)</f>
        <v>animal</v>
      </c>
      <c r="L54" s="7" t="str">
        <f>VLOOKUP(E54,[1]characters!$A:$G,7,FALSE)</f>
        <v>女性</v>
      </c>
      <c r="M54" s="62">
        <f ca="1">IFERROR(VLOOKUP(E54,input_313100!L:R,7,FALSE),VLOOKUP(tables_313100!B54,input_313100!A:H,8,FALSE))</f>
        <v>0</v>
      </c>
      <c r="N54" s="63">
        <f t="shared" ca="1" si="4"/>
        <v>0</v>
      </c>
      <c r="O54" s="31">
        <f>IFERROR(VLOOKUP($E54,bug_conf_sheet!$A:$H,3,FALSE),VLOOKUP("other",bug_conf_sheet!$A:$H,3,FALSE))</f>
        <v>1</v>
      </c>
      <c r="P54" s="31">
        <f>IFERROR(VLOOKUP($E54,bug_conf_sheet!$A:$H,4,FALSE),VLOOKUP("other",bug_conf_sheet!$A:$H,4,FALSE))</f>
        <v>0</v>
      </c>
      <c r="Q54" s="31">
        <f>IFERROR(VLOOKUP($E54,bug_conf_sheet!$A:$H,5,FALSE),VLOOKUP("other",bug_conf_sheet!$A:$H,5,FALSE))</f>
        <v>0</v>
      </c>
      <c r="R54" s="31">
        <f>IFERROR(VLOOKUP($E54,bug_conf_sheet!$A:$H,6,FALSE),VLOOKUP("other",bug_conf_sheet!$A:$H,6,FALSE))</f>
        <v>0</v>
      </c>
      <c r="S54" s="31">
        <f>IFERROR(VLOOKUP($E54,bug_conf_sheet!$A:$H,7,FALSE),VLOOKUP("other",bug_conf_sheet!$A:$H,7,FALSE))</f>
        <v>0</v>
      </c>
      <c r="T54" s="31">
        <f>IFERROR(VLOOKUP($E54,bug_conf_sheet!$A:$H,8,FALSE),VLOOKUP("other",bug_conf_sheet!$A:$H,8,FALSE))</f>
        <v>1</v>
      </c>
    </row>
    <row r="55" spans="1:20" ht="21" customHeight="1">
      <c r="A55" s="2" t="str">
        <f ca="1">input_313100!A$2</f>
        <v>313100</v>
      </c>
      <c r="B55" s="7" t="str">
        <f t="shared" si="1"/>
        <v>Premium4</v>
      </c>
      <c r="C55" s="7" t="str">
        <f t="shared" si="2"/>
        <v>Premium</v>
      </c>
      <c r="D55" s="7" t="str">
        <f t="shared" si="3"/>
        <v>ry</v>
      </c>
      <c r="E55" s="6">
        <v>179</v>
      </c>
      <c r="F55" s="7" t="str">
        <f>VLOOKUP(E55,[1]characters!$A:$C,3,FALSE)</f>
        <v>番犬 ケルベロス</v>
      </c>
      <c r="G55" s="7" t="str">
        <f>VLOOKUP(E55,[1]characters!$A:$J,10,FALSE)</f>
        <v>PremiumN</v>
      </c>
      <c r="H55" s="7">
        <f>VLOOKUP(E55,[1]characters!$A:$I,9,FALSE)</f>
        <v>4</v>
      </c>
      <c r="I55" s="7" t="str">
        <f>VLOOKUP(E55,[1]characters!$A:$H,8,FALSE)</f>
        <v>red</v>
      </c>
      <c r="J55" s="7" t="str">
        <f>VLOOKUP(E55,[1]characters!$A:$K,11,FALSE)</f>
        <v>balance</v>
      </c>
      <c r="K55" s="7" t="str">
        <f>VLOOKUP(E55,[1]characters!$A:$M,13,FALSE)</f>
        <v>animal</v>
      </c>
      <c r="L55" s="7" t="str">
        <f>VLOOKUP(E55,[1]characters!$A:$G,7,FALSE)</f>
        <v>女性</v>
      </c>
      <c r="M55" s="62">
        <f ca="1">IFERROR(VLOOKUP(E55,input_313100!L:R,7,FALSE),VLOOKUP(tables_313100!B55,input_313100!A:H,8,FALSE))</f>
        <v>342090</v>
      </c>
      <c r="N55" s="63">
        <f t="shared" ca="1" si="4"/>
        <v>1.222972972972973E-2</v>
      </c>
      <c r="O55" s="31">
        <f>IFERROR(VLOOKUP($E55,bug_conf_sheet!$A:$H,3,FALSE),VLOOKUP("other",bug_conf_sheet!$A:$H,3,FALSE))</f>
        <v>1</v>
      </c>
      <c r="P55" s="31">
        <f>IFERROR(VLOOKUP($E55,bug_conf_sheet!$A:$H,4,FALSE),VLOOKUP("other",bug_conf_sheet!$A:$H,4,FALSE))</f>
        <v>0</v>
      </c>
      <c r="Q55" s="31">
        <f>IFERROR(VLOOKUP($E55,bug_conf_sheet!$A:$H,5,FALSE),VLOOKUP("other",bug_conf_sheet!$A:$H,5,FALSE))</f>
        <v>0</v>
      </c>
      <c r="R55" s="31">
        <f>IFERROR(VLOOKUP($E55,bug_conf_sheet!$A:$H,6,FALSE),VLOOKUP("other",bug_conf_sheet!$A:$H,6,FALSE))</f>
        <v>0</v>
      </c>
      <c r="S55" s="31">
        <f>IFERROR(VLOOKUP($E55,bug_conf_sheet!$A:$H,7,FALSE),VLOOKUP("other",bug_conf_sheet!$A:$H,7,FALSE))</f>
        <v>0</v>
      </c>
      <c r="T55" s="31">
        <f>IFERROR(VLOOKUP($E55,bug_conf_sheet!$A:$H,8,FALSE),VLOOKUP("other",bug_conf_sheet!$A:$H,8,FALSE))</f>
        <v>1</v>
      </c>
    </row>
    <row r="56" spans="1:20" ht="21" customHeight="1">
      <c r="A56" s="2" t="str">
        <f ca="1">input_313100!A$2</f>
        <v>313100</v>
      </c>
      <c r="B56" s="7" t="str">
        <f t="shared" si="1"/>
        <v>Premium5</v>
      </c>
      <c r="C56" s="7" t="str">
        <f t="shared" si="2"/>
        <v>Premium</v>
      </c>
      <c r="D56" s="7" t="str">
        <f t="shared" si="3"/>
        <v>ry</v>
      </c>
      <c r="E56" s="6">
        <v>180</v>
      </c>
      <c r="F56" s="7" t="str">
        <f>VLOOKUP(E56,[1]characters!$A:$C,3,FALSE)</f>
        <v>地獄の大門番 ケルベロス</v>
      </c>
      <c r="G56" s="7" t="str">
        <f>VLOOKUP(E56,[1]characters!$A:$J,10,FALSE)</f>
        <v>PremiumN</v>
      </c>
      <c r="H56" s="7">
        <f>VLOOKUP(E56,[1]characters!$A:$I,9,FALSE)</f>
        <v>5</v>
      </c>
      <c r="I56" s="7" t="str">
        <f>VLOOKUP(E56,[1]characters!$A:$H,8,FALSE)</f>
        <v>red</v>
      </c>
      <c r="J56" s="7" t="str">
        <f>VLOOKUP(E56,[1]characters!$A:$K,11,FALSE)</f>
        <v>balance</v>
      </c>
      <c r="K56" s="7" t="str">
        <f>VLOOKUP(E56,[1]characters!$A:$M,13,FALSE)</f>
        <v>animal</v>
      </c>
      <c r="L56" s="7" t="str">
        <f>VLOOKUP(E56,[1]characters!$A:$G,7,FALSE)</f>
        <v>女性</v>
      </c>
      <c r="M56" s="62">
        <f ca="1">IFERROR(VLOOKUP(E56,input_313100!L:R,7,FALSE),VLOOKUP(tables_313100!B56,input_313100!A:H,8,FALSE))</f>
        <v>12950</v>
      </c>
      <c r="N56" s="63">
        <f t="shared" ca="1" si="4"/>
        <v>4.6296296296296298E-4</v>
      </c>
      <c r="O56" s="31">
        <f>IFERROR(VLOOKUP($E56,bug_conf_sheet!$A:$H,3,FALSE),VLOOKUP("other",bug_conf_sheet!$A:$H,3,FALSE))</f>
        <v>1</v>
      </c>
      <c r="P56" s="31">
        <f>IFERROR(VLOOKUP($E56,bug_conf_sheet!$A:$H,4,FALSE),VLOOKUP("other",bug_conf_sheet!$A:$H,4,FALSE))</f>
        <v>0</v>
      </c>
      <c r="Q56" s="31">
        <f>IFERROR(VLOOKUP($E56,bug_conf_sheet!$A:$H,5,FALSE),VLOOKUP("other",bug_conf_sheet!$A:$H,5,FALSE))</f>
        <v>0</v>
      </c>
      <c r="R56" s="31">
        <f>IFERROR(VLOOKUP($E56,bug_conf_sheet!$A:$H,6,FALSE),VLOOKUP("other",bug_conf_sheet!$A:$H,6,FALSE))</f>
        <v>0</v>
      </c>
      <c r="S56" s="31">
        <f>IFERROR(VLOOKUP($E56,bug_conf_sheet!$A:$H,7,FALSE),VLOOKUP("other",bug_conf_sheet!$A:$H,7,FALSE))</f>
        <v>0</v>
      </c>
      <c r="T56" s="31">
        <f>IFERROR(VLOOKUP($E56,bug_conf_sheet!$A:$H,8,FALSE),VLOOKUP("other",bug_conf_sheet!$A:$H,8,FALSE))</f>
        <v>1</v>
      </c>
    </row>
    <row r="57" spans="1:20" ht="21" customHeight="1">
      <c r="A57" s="2" t="str">
        <f ca="1">input_313100!A$2</f>
        <v>313100</v>
      </c>
      <c r="B57" s="7" t="str">
        <f t="shared" si="1"/>
        <v>Premium3</v>
      </c>
      <c r="C57" s="7" t="str">
        <f t="shared" si="2"/>
        <v>Premium</v>
      </c>
      <c r="D57" s="7" t="str">
        <f t="shared" si="3"/>
        <v>bg</v>
      </c>
      <c r="E57" s="6">
        <v>181</v>
      </c>
      <c r="F57" s="7" t="str">
        <f>VLOOKUP(E57,[1]characters!$A:$C,3,FALSE)</f>
        <v>ベヒモス</v>
      </c>
      <c r="G57" s="7" t="str">
        <f>VLOOKUP(E57,[1]characters!$A:$J,10,FALSE)</f>
        <v>PremiumN</v>
      </c>
      <c r="H57" s="7">
        <f>VLOOKUP(E57,[1]characters!$A:$I,9,FALSE)</f>
        <v>3</v>
      </c>
      <c r="I57" s="7" t="str">
        <f>VLOOKUP(E57,[1]characters!$A:$H,8,FALSE)</f>
        <v>green</v>
      </c>
      <c r="J57" s="7" t="str">
        <f>VLOOKUP(E57,[1]characters!$A:$K,11,FALSE)</f>
        <v>hp</v>
      </c>
      <c r="K57" s="7" t="str">
        <f>VLOOKUP(E57,[1]characters!$A:$M,13,FALSE)</f>
        <v>animal</v>
      </c>
      <c r="L57" s="7" t="str">
        <f>VLOOKUP(E57,[1]characters!$A:$G,7,FALSE)</f>
        <v>女性</v>
      </c>
      <c r="M57" s="62">
        <f ca="1">IFERROR(VLOOKUP(E57,input_313100!L:R,7,FALSE),VLOOKUP(tables_313100!B57,input_313100!A:H,8,FALSE))</f>
        <v>0</v>
      </c>
      <c r="N57" s="63">
        <f t="shared" ca="1" si="4"/>
        <v>0</v>
      </c>
      <c r="O57" s="31">
        <f>IFERROR(VLOOKUP($E57,bug_conf_sheet!$A:$H,3,FALSE),VLOOKUP("other",bug_conf_sheet!$A:$H,3,FALSE))</f>
        <v>1</v>
      </c>
      <c r="P57" s="31">
        <f>IFERROR(VLOOKUP($E57,bug_conf_sheet!$A:$H,4,FALSE),VLOOKUP("other",bug_conf_sheet!$A:$H,4,FALSE))</f>
        <v>0</v>
      </c>
      <c r="Q57" s="31">
        <f>IFERROR(VLOOKUP($E57,bug_conf_sheet!$A:$H,5,FALSE),VLOOKUP("other",bug_conf_sheet!$A:$H,5,FALSE))</f>
        <v>0</v>
      </c>
      <c r="R57" s="31">
        <f>IFERROR(VLOOKUP($E57,bug_conf_sheet!$A:$H,6,FALSE),VLOOKUP("other",bug_conf_sheet!$A:$H,6,FALSE))</f>
        <v>0</v>
      </c>
      <c r="S57" s="31">
        <f>IFERROR(VLOOKUP($E57,bug_conf_sheet!$A:$H,7,FALSE),VLOOKUP("other",bug_conf_sheet!$A:$H,7,FALSE))</f>
        <v>0</v>
      </c>
      <c r="T57" s="31">
        <f>IFERROR(VLOOKUP($E57,bug_conf_sheet!$A:$H,8,FALSE),VLOOKUP("other",bug_conf_sheet!$A:$H,8,FALSE))</f>
        <v>1</v>
      </c>
    </row>
    <row r="58" spans="1:20" ht="21" customHeight="1">
      <c r="A58" s="2" t="str">
        <f ca="1">input_313100!A$2</f>
        <v>313100</v>
      </c>
      <c r="B58" s="7" t="str">
        <f t="shared" si="1"/>
        <v>Premium4</v>
      </c>
      <c r="C58" s="7" t="str">
        <f t="shared" si="2"/>
        <v>Premium</v>
      </c>
      <c r="D58" s="7" t="str">
        <f t="shared" si="3"/>
        <v>bg</v>
      </c>
      <c r="E58" s="6">
        <v>182</v>
      </c>
      <c r="F58" s="7" t="str">
        <f>VLOOKUP(E58,[1]characters!$A:$C,3,FALSE)</f>
        <v>放蕩者 ベヒモス</v>
      </c>
      <c r="G58" s="7" t="str">
        <f>VLOOKUP(E58,[1]characters!$A:$J,10,FALSE)</f>
        <v>PremiumN</v>
      </c>
      <c r="H58" s="7">
        <f>VLOOKUP(E58,[1]characters!$A:$I,9,FALSE)</f>
        <v>4</v>
      </c>
      <c r="I58" s="7" t="str">
        <f>VLOOKUP(E58,[1]characters!$A:$H,8,FALSE)</f>
        <v>green</v>
      </c>
      <c r="J58" s="7" t="str">
        <f>VLOOKUP(E58,[1]characters!$A:$K,11,FALSE)</f>
        <v>hp</v>
      </c>
      <c r="K58" s="7" t="str">
        <f>VLOOKUP(E58,[1]characters!$A:$M,13,FALSE)</f>
        <v>animal</v>
      </c>
      <c r="L58" s="7" t="str">
        <f>VLOOKUP(E58,[1]characters!$A:$G,7,FALSE)</f>
        <v>女性</v>
      </c>
      <c r="M58" s="62">
        <f ca="1">IFERROR(VLOOKUP(E58,input_313100!L:R,7,FALSE),VLOOKUP(tables_313100!B58,input_313100!A:H,8,FALSE))</f>
        <v>342090</v>
      </c>
      <c r="N58" s="63">
        <f t="shared" ca="1" si="4"/>
        <v>1.222972972972973E-2</v>
      </c>
      <c r="O58" s="31">
        <f>IFERROR(VLOOKUP($E58,bug_conf_sheet!$A:$H,3,FALSE),VLOOKUP("other",bug_conf_sheet!$A:$H,3,FALSE))</f>
        <v>1</v>
      </c>
      <c r="P58" s="31">
        <f>IFERROR(VLOOKUP($E58,bug_conf_sheet!$A:$H,4,FALSE),VLOOKUP("other",bug_conf_sheet!$A:$H,4,FALSE))</f>
        <v>0</v>
      </c>
      <c r="Q58" s="31">
        <f>IFERROR(VLOOKUP($E58,bug_conf_sheet!$A:$H,5,FALSE),VLOOKUP("other",bug_conf_sheet!$A:$H,5,FALSE))</f>
        <v>0</v>
      </c>
      <c r="R58" s="31">
        <f>IFERROR(VLOOKUP($E58,bug_conf_sheet!$A:$H,6,FALSE),VLOOKUP("other",bug_conf_sheet!$A:$H,6,FALSE))</f>
        <v>0</v>
      </c>
      <c r="S58" s="31">
        <f>IFERROR(VLOOKUP($E58,bug_conf_sheet!$A:$H,7,FALSE),VLOOKUP("other",bug_conf_sheet!$A:$H,7,FALSE))</f>
        <v>0</v>
      </c>
      <c r="T58" s="31">
        <f>IFERROR(VLOOKUP($E58,bug_conf_sheet!$A:$H,8,FALSE),VLOOKUP("other",bug_conf_sheet!$A:$H,8,FALSE))</f>
        <v>1</v>
      </c>
    </row>
    <row r="59" spans="1:20" ht="21" customHeight="1">
      <c r="A59" s="2" t="str">
        <f ca="1">input_313100!A$2</f>
        <v>313100</v>
      </c>
      <c r="B59" s="7" t="str">
        <f t="shared" si="1"/>
        <v>Premium5</v>
      </c>
      <c r="C59" s="7" t="str">
        <f t="shared" si="2"/>
        <v>Premium</v>
      </c>
      <c r="D59" s="7" t="str">
        <f t="shared" si="3"/>
        <v>bg</v>
      </c>
      <c r="E59" s="6">
        <v>183</v>
      </c>
      <c r="F59" s="7" t="str">
        <f>VLOOKUP(E59,[1]characters!$A:$C,3,FALSE)</f>
        <v>鈍重な彷徨者 ベヒモス</v>
      </c>
      <c r="G59" s="7" t="str">
        <f>VLOOKUP(E59,[1]characters!$A:$J,10,FALSE)</f>
        <v>PremiumN</v>
      </c>
      <c r="H59" s="7">
        <f>VLOOKUP(E59,[1]characters!$A:$I,9,FALSE)</f>
        <v>5</v>
      </c>
      <c r="I59" s="7" t="str">
        <f>VLOOKUP(E59,[1]characters!$A:$H,8,FALSE)</f>
        <v>green</v>
      </c>
      <c r="J59" s="7" t="str">
        <f>VLOOKUP(E59,[1]characters!$A:$K,11,FALSE)</f>
        <v>hp</v>
      </c>
      <c r="K59" s="7" t="str">
        <f>VLOOKUP(E59,[1]characters!$A:$M,13,FALSE)</f>
        <v>animal</v>
      </c>
      <c r="L59" s="7" t="str">
        <f>VLOOKUP(E59,[1]characters!$A:$G,7,FALSE)</f>
        <v>女性</v>
      </c>
      <c r="M59" s="62">
        <f ca="1">IFERROR(VLOOKUP(E59,input_313100!L:R,7,FALSE),VLOOKUP(tables_313100!B59,input_313100!A:H,8,FALSE))</f>
        <v>12950</v>
      </c>
      <c r="N59" s="63">
        <f t="shared" ca="1" si="4"/>
        <v>4.6296296296296298E-4</v>
      </c>
      <c r="O59" s="31">
        <f>IFERROR(VLOOKUP($E59,bug_conf_sheet!$A:$H,3,FALSE),VLOOKUP("other",bug_conf_sheet!$A:$H,3,FALSE))</f>
        <v>1</v>
      </c>
      <c r="P59" s="31">
        <f>IFERROR(VLOOKUP($E59,bug_conf_sheet!$A:$H,4,FALSE),VLOOKUP("other",bug_conf_sheet!$A:$H,4,FALSE))</f>
        <v>0</v>
      </c>
      <c r="Q59" s="31">
        <f>IFERROR(VLOOKUP($E59,bug_conf_sheet!$A:$H,5,FALSE),VLOOKUP("other",bug_conf_sheet!$A:$H,5,FALSE))</f>
        <v>0</v>
      </c>
      <c r="R59" s="31">
        <f>IFERROR(VLOOKUP($E59,bug_conf_sheet!$A:$H,6,FALSE),VLOOKUP("other",bug_conf_sheet!$A:$H,6,FALSE))</f>
        <v>0</v>
      </c>
      <c r="S59" s="31">
        <f>IFERROR(VLOOKUP($E59,bug_conf_sheet!$A:$H,7,FALSE),VLOOKUP("other",bug_conf_sheet!$A:$H,7,FALSE))</f>
        <v>0</v>
      </c>
      <c r="T59" s="31">
        <f>IFERROR(VLOOKUP($E59,bug_conf_sheet!$A:$H,8,FALSE),VLOOKUP("other",bug_conf_sheet!$A:$H,8,FALSE))</f>
        <v>1</v>
      </c>
    </row>
    <row r="60" spans="1:20" ht="21" customHeight="1">
      <c r="A60" s="2" t="str">
        <f ca="1">input_313100!A$2</f>
        <v>313100</v>
      </c>
      <c r="B60" s="7" t="str">
        <f t="shared" si="1"/>
        <v>Premium3</v>
      </c>
      <c r="C60" s="7" t="str">
        <f t="shared" si="2"/>
        <v>Premium</v>
      </c>
      <c r="D60" s="7" t="str">
        <f t="shared" si="3"/>
        <v>bg</v>
      </c>
      <c r="E60" s="6">
        <v>184</v>
      </c>
      <c r="F60" s="7" t="str">
        <f>VLOOKUP(E60,[1]characters!$A:$C,3,FALSE)</f>
        <v>クラーケン</v>
      </c>
      <c r="G60" s="7" t="str">
        <f>VLOOKUP(E60,[1]characters!$A:$J,10,FALSE)</f>
        <v>PremiumN</v>
      </c>
      <c r="H60" s="7">
        <f>VLOOKUP(E60,[1]characters!$A:$I,9,FALSE)</f>
        <v>3</v>
      </c>
      <c r="I60" s="7" t="str">
        <f>VLOOKUP(E60,[1]characters!$A:$H,8,FALSE)</f>
        <v>blue</v>
      </c>
      <c r="J60" s="7" t="str">
        <f>VLOOKUP(E60,[1]characters!$A:$K,11,FALSE)</f>
        <v>heal</v>
      </c>
      <c r="K60" s="7" t="str">
        <f>VLOOKUP(E60,[1]characters!$A:$M,13,FALSE)</f>
        <v>animal</v>
      </c>
      <c r="L60" s="7" t="str">
        <f>VLOOKUP(E60,[1]characters!$A:$G,7,FALSE)</f>
        <v>女性</v>
      </c>
      <c r="M60" s="62">
        <f ca="1">IFERROR(VLOOKUP(E60,input_313100!L:R,7,FALSE),VLOOKUP(tables_313100!B60,input_313100!A:H,8,FALSE))</f>
        <v>0</v>
      </c>
      <c r="N60" s="63">
        <f t="shared" ca="1" si="4"/>
        <v>0</v>
      </c>
      <c r="O60" s="31">
        <f>IFERROR(VLOOKUP($E60,bug_conf_sheet!$A:$H,3,FALSE),VLOOKUP("other",bug_conf_sheet!$A:$H,3,FALSE))</f>
        <v>1</v>
      </c>
      <c r="P60" s="31">
        <f>IFERROR(VLOOKUP($E60,bug_conf_sheet!$A:$H,4,FALSE),VLOOKUP("other",bug_conf_sheet!$A:$H,4,FALSE))</f>
        <v>0</v>
      </c>
      <c r="Q60" s="31">
        <f>IFERROR(VLOOKUP($E60,bug_conf_sheet!$A:$H,5,FALSE),VLOOKUP("other",bug_conf_sheet!$A:$H,5,FALSE))</f>
        <v>0</v>
      </c>
      <c r="R60" s="31">
        <f>IFERROR(VLOOKUP($E60,bug_conf_sheet!$A:$H,6,FALSE),VLOOKUP("other",bug_conf_sheet!$A:$H,6,FALSE))</f>
        <v>0</v>
      </c>
      <c r="S60" s="31">
        <f>IFERROR(VLOOKUP($E60,bug_conf_sheet!$A:$H,7,FALSE),VLOOKUP("other",bug_conf_sheet!$A:$H,7,FALSE))</f>
        <v>0</v>
      </c>
      <c r="T60" s="31">
        <f>IFERROR(VLOOKUP($E60,bug_conf_sheet!$A:$H,8,FALSE),VLOOKUP("other",bug_conf_sheet!$A:$H,8,FALSE))</f>
        <v>1</v>
      </c>
    </row>
    <row r="61" spans="1:20" ht="21" customHeight="1">
      <c r="A61" s="2" t="str">
        <f ca="1">input_313100!A$2</f>
        <v>313100</v>
      </c>
      <c r="B61" s="7" t="str">
        <f t="shared" si="1"/>
        <v>Premium4</v>
      </c>
      <c r="C61" s="7" t="str">
        <f t="shared" si="2"/>
        <v>Premium</v>
      </c>
      <c r="D61" s="7" t="str">
        <f t="shared" si="3"/>
        <v>bg</v>
      </c>
      <c r="E61" s="6">
        <v>185</v>
      </c>
      <c r="F61" s="7" t="str">
        <f>VLOOKUP(E61,[1]characters!$A:$C,3,FALSE)</f>
        <v>海姫 クラーケン</v>
      </c>
      <c r="G61" s="7" t="str">
        <f>VLOOKUP(E61,[1]characters!$A:$J,10,FALSE)</f>
        <v>PremiumN</v>
      </c>
      <c r="H61" s="7">
        <f>VLOOKUP(E61,[1]characters!$A:$I,9,FALSE)</f>
        <v>4</v>
      </c>
      <c r="I61" s="7" t="str">
        <f>VLOOKUP(E61,[1]characters!$A:$H,8,FALSE)</f>
        <v>blue</v>
      </c>
      <c r="J61" s="7" t="str">
        <f>VLOOKUP(E61,[1]characters!$A:$K,11,FALSE)</f>
        <v>heal</v>
      </c>
      <c r="K61" s="7" t="str">
        <f>VLOOKUP(E61,[1]characters!$A:$M,13,FALSE)</f>
        <v>animal</v>
      </c>
      <c r="L61" s="7" t="str">
        <f>VLOOKUP(E61,[1]characters!$A:$G,7,FALSE)</f>
        <v>女性</v>
      </c>
      <c r="M61" s="62">
        <f ca="1">IFERROR(VLOOKUP(E61,input_313100!L:R,7,FALSE),VLOOKUP(tables_313100!B61,input_313100!A:H,8,FALSE))</f>
        <v>342090</v>
      </c>
      <c r="N61" s="63">
        <f t="shared" ca="1" si="4"/>
        <v>1.222972972972973E-2</v>
      </c>
      <c r="O61" s="31">
        <f>IFERROR(VLOOKUP($E61,bug_conf_sheet!$A:$H,3,FALSE),VLOOKUP("other",bug_conf_sheet!$A:$H,3,FALSE))</f>
        <v>1</v>
      </c>
      <c r="P61" s="31">
        <f>IFERROR(VLOOKUP($E61,bug_conf_sheet!$A:$H,4,FALSE),VLOOKUP("other",bug_conf_sheet!$A:$H,4,FALSE))</f>
        <v>0</v>
      </c>
      <c r="Q61" s="31">
        <f>IFERROR(VLOOKUP($E61,bug_conf_sheet!$A:$H,5,FALSE),VLOOKUP("other",bug_conf_sheet!$A:$H,5,FALSE))</f>
        <v>0</v>
      </c>
      <c r="R61" s="31">
        <f>IFERROR(VLOOKUP($E61,bug_conf_sheet!$A:$H,6,FALSE),VLOOKUP("other",bug_conf_sheet!$A:$H,6,FALSE))</f>
        <v>0</v>
      </c>
      <c r="S61" s="31">
        <f>IFERROR(VLOOKUP($E61,bug_conf_sheet!$A:$H,7,FALSE),VLOOKUP("other",bug_conf_sheet!$A:$H,7,FALSE))</f>
        <v>0</v>
      </c>
      <c r="T61" s="31">
        <f>IFERROR(VLOOKUP($E61,bug_conf_sheet!$A:$H,8,FALSE),VLOOKUP("other",bug_conf_sheet!$A:$H,8,FALSE))</f>
        <v>1</v>
      </c>
    </row>
    <row r="62" spans="1:20" ht="21" customHeight="1">
      <c r="A62" s="2" t="str">
        <f ca="1">input_313100!A$2</f>
        <v>313100</v>
      </c>
      <c r="B62" s="7" t="str">
        <f t="shared" si="1"/>
        <v>Premium5</v>
      </c>
      <c r="C62" s="7" t="str">
        <f t="shared" si="2"/>
        <v>Premium</v>
      </c>
      <c r="D62" s="7" t="str">
        <f t="shared" si="3"/>
        <v>bg</v>
      </c>
      <c r="E62" s="8">
        <v>186</v>
      </c>
      <c r="F62" s="7" t="str">
        <f>VLOOKUP(E62,[1]characters!$A:$C,3,FALSE)</f>
        <v>誇り高き多触姫・クラーケン</v>
      </c>
      <c r="G62" s="7" t="str">
        <f>VLOOKUP(E62,[1]characters!$A:$J,10,FALSE)</f>
        <v>PremiumN</v>
      </c>
      <c r="H62" s="7">
        <f>VLOOKUP(E62,[1]characters!$A:$I,9,FALSE)</f>
        <v>5</v>
      </c>
      <c r="I62" s="7" t="str">
        <f>VLOOKUP(E62,[1]characters!$A:$H,8,FALSE)</f>
        <v>blue</v>
      </c>
      <c r="J62" s="7" t="str">
        <f>VLOOKUP(E62,[1]characters!$A:$K,11,FALSE)</f>
        <v>heal</v>
      </c>
      <c r="K62" s="7" t="str">
        <f>VLOOKUP(E62,[1]characters!$A:$M,13,FALSE)</f>
        <v>animal</v>
      </c>
      <c r="L62" s="7" t="str">
        <f>VLOOKUP(E62,[1]characters!$A:$G,7,FALSE)</f>
        <v>女性</v>
      </c>
      <c r="M62" s="62">
        <f ca="1">IFERROR(VLOOKUP(E62,input_313100!L:R,7,FALSE),VLOOKUP(tables_313100!B62,input_313100!A:H,8,FALSE))</f>
        <v>12950</v>
      </c>
      <c r="N62" s="63">
        <f t="shared" ca="1" si="4"/>
        <v>4.6296296296296298E-4</v>
      </c>
      <c r="O62" s="31">
        <f>IFERROR(VLOOKUP($E62,bug_conf_sheet!$A:$H,3,FALSE),VLOOKUP("other",bug_conf_sheet!$A:$H,3,FALSE))</f>
        <v>1</v>
      </c>
      <c r="P62" s="31">
        <f>IFERROR(VLOOKUP($E62,bug_conf_sheet!$A:$H,4,FALSE),VLOOKUP("other",bug_conf_sheet!$A:$H,4,FALSE))</f>
        <v>0</v>
      </c>
      <c r="Q62" s="31">
        <f>IFERROR(VLOOKUP($E62,bug_conf_sheet!$A:$H,5,FALSE),VLOOKUP("other",bug_conf_sheet!$A:$H,5,FALSE))</f>
        <v>0</v>
      </c>
      <c r="R62" s="31">
        <f>IFERROR(VLOOKUP($E62,bug_conf_sheet!$A:$H,6,FALSE),VLOOKUP("other",bug_conf_sheet!$A:$H,6,FALSE))</f>
        <v>0</v>
      </c>
      <c r="S62" s="31">
        <f>IFERROR(VLOOKUP($E62,bug_conf_sheet!$A:$H,7,FALSE),VLOOKUP("other",bug_conf_sheet!$A:$H,7,FALSE))</f>
        <v>0</v>
      </c>
      <c r="T62" s="31">
        <f>IFERROR(VLOOKUP($E62,bug_conf_sheet!$A:$H,8,FALSE),VLOOKUP("other",bug_conf_sheet!$A:$H,8,FALSE))</f>
        <v>1</v>
      </c>
    </row>
    <row r="63" spans="1:20" ht="21" customHeight="1">
      <c r="A63" s="2" t="str">
        <f ca="1">input_313100!A$2</f>
        <v>313100</v>
      </c>
      <c r="B63" s="7" t="str">
        <f t="shared" si="1"/>
        <v>Premium3</v>
      </c>
      <c r="C63" s="7" t="str">
        <f t="shared" si="2"/>
        <v>Premium</v>
      </c>
      <c r="D63" s="7" t="str">
        <f t="shared" si="3"/>
        <v>ry</v>
      </c>
      <c r="E63" s="8">
        <v>187</v>
      </c>
      <c r="F63" s="7" t="str">
        <f>VLOOKUP(E63,[1]characters!$A:$C,3,FALSE)</f>
        <v>ホルス</v>
      </c>
      <c r="G63" s="7" t="str">
        <f>VLOOKUP(E63,[1]characters!$A:$J,10,FALSE)</f>
        <v>PremiumN</v>
      </c>
      <c r="H63" s="7">
        <f>VLOOKUP(E63,[1]characters!$A:$I,9,FALSE)</f>
        <v>3</v>
      </c>
      <c r="I63" s="7" t="str">
        <f>VLOOKUP(E63,[1]characters!$A:$H,8,FALSE)</f>
        <v>yellow</v>
      </c>
      <c r="J63" s="7" t="str">
        <f>VLOOKUP(E63,[1]characters!$A:$K,11,FALSE)</f>
        <v>attack</v>
      </c>
      <c r="K63" s="7" t="str">
        <f>VLOOKUP(E63,[1]characters!$A:$M,13,FALSE)</f>
        <v>animal</v>
      </c>
      <c r="L63" s="7" t="str">
        <f>VLOOKUP(E63,[1]characters!$A:$G,7,FALSE)</f>
        <v>女性</v>
      </c>
      <c r="M63" s="62">
        <f ca="1">IFERROR(VLOOKUP(E63,input_313100!L:R,7,FALSE),VLOOKUP(tables_313100!B63,input_313100!A:H,8,FALSE))</f>
        <v>0</v>
      </c>
      <c r="N63" s="63">
        <f t="shared" ca="1" si="4"/>
        <v>0</v>
      </c>
      <c r="O63" s="31">
        <f>IFERROR(VLOOKUP($E63,bug_conf_sheet!$A:$H,3,FALSE),VLOOKUP("other",bug_conf_sheet!$A:$H,3,FALSE))</f>
        <v>1</v>
      </c>
      <c r="P63" s="31">
        <f>IFERROR(VLOOKUP($E63,bug_conf_sheet!$A:$H,4,FALSE),VLOOKUP("other",bug_conf_sheet!$A:$H,4,FALSE))</f>
        <v>0</v>
      </c>
      <c r="Q63" s="31">
        <f>IFERROR(VLOOKUP($E63,bug_conf_sheet!$A:$H,5,FALSE),VLOOKUP("other",bug_conf_sheet!$A:$H,5,FALSE))</f>
        <v>0</v>
      </c>
      <c r="R63" s="31">
        <f>IFERROR(VLOOKUP($E63,bug_conf_sheet!$A:$H,6,FALSE),VLOOKUP("other",bug_conf_sheet!$A:$H,6,FALSE))</f>
        <v>0</v>
      </c>
      <c r="S63" s="31">
        <f>IFERROR(VLOOKUP($E63,bug_conf_sheet!$A:$H,7,FALSE),VLOOKUP("other",bug_conf_sheet!$A:$H,7,FALSE))</f>
        <v>0</v>
      </c>
      <c r="T63" s="31">
        <f>IFERROR(VLOOKUP($E63,bug_conf_sheet!$A:$H,8,FALSE),VLOOKUP("other",bug_conf_sheet!$A:$H,8,FALSE))</f>
        <v>1</v>
      </c>
    </row>
    <row r="64" spans="1:20" ht="21" customHeight="1">
      <c r="A64" s="2" t="str">
        <f ca="1">input_313100!A$2</f>
        <v>313100</v>
      </c>
      <c r="B64" s="7" t="str">
        <f t="shared" si="1"/>
        <v>Premium4</v>
      </c>
      <c r="C64" s="7" t="str">
        <f t="shared" si="2"/>
        <v>Premium</v>
      </c>
      <c r="D64" s="7" t="str">
        <f t="shared" si="3"/>
        <v>ry</v>
      </c>
      <c r="E64" s="8">
        <v>188</v>
      </c>
      <c r="F64" s="7" t="str">
        <f>VLOOKUP(E64,[1]characters!$A:$C,3,FALSE)</f>
        <v>猛禽 ホルス</v>
      </c>
      <c r="G64" s="7" t="str">
        <f>VLOOKUP(E64,[1]characters!$A:$J,10,FALSE)</f>
        <v>PremiumN</v>
      </c>
      <c r="H64" s="7">
        <f>VLOOKUP(E64,[1]characters!$A:$I,9,FALSE)</f>
        <v>4</v>
      </c>
      <c r="I64" s="7" t="str">
        <f>VLOOKUP(E64,[1]characters!$A:$H,8,FALSE)</f>
        <v>yellow</v>
      </c>
      <c r="J64" s="7" t="str">
        <f>VLOOKUP(E64,[1]characters!$A:$K,11,FALSE)</f>
        <v>attack</v>
      </c>
      <c r="K64" s="7" t="str">
        <f>VLOOKUP(E64,[1]characters!$A:$M,13,FALSE)</f>
        <v>animal</v>
      </c>
      <c r="L64" s="7" t="str">
        <f>VLOOKUP(E64,[1]characters!$A:$G,7,FALSE)</f>
        <v>女性</v>
      </c>
      <c r="M64" s="62">
        <f ca="1">IFERROR(VLOOKUP(E64,input_313100!L:R,7,FALSE),VLOOKUP(tables_313100!B64,input_313100!A:H,8,FALSE))</f>
        <v>342090</v>
      </c>
      <c r="N64" s="63">
        <f t="shared" ca="1" si="4"/>
        <v>1.222972972972973E-2</v>
      </c>
      <c r="O64" s="31">
        <f>IFERROR(VLOOKUP($E64,bug_conf_sheet!$A:$H,3,FALSE),VLOOKUP("other",bug_conf_sheet!$A:$H,3,FALSE))</f>
        <v>1</v>
      </c>
      <c r="P64" s="31">
        <f>IFERROR(VLOOKUP($E64,bug_conf_sheet!$A:$H,4,FALSE),VLOOKUP("other",bug_conf_sheet!$A:$H,4,FALSE))</f>
        <v>0</v>
      </c>
      <c r="Q64" s="31">
        <f>IFERROR(VLOOKUP($E64,bug_conf_sheet!$A:$H,5,FALSE),VLOOKUP("other",bug_conf_sheet!$A:$H,5,FALSE))</f>
        <v>0</v>
      </c>
      <c r="R64" s="31">
        <f>IFERROR(VLOOKUP($E64,bug_conf_sheet!$A:$H,6,FALSE),VLOOKUP("other",bug_conf_sheet!$A:$H,6,FALSE))</f>
        <v>0</v>
      </c>
      <c r="S64" s="31">
        <f>IFERROR(VLOOKUP($E64,bug_conf_sheet!$A:$H,7,FALSE),VLOOKUP("other",bug_conf_sheet!$A:$H,7,FALSE))</f>
        <v>0</v>
      </c>
      <c r="T64" s="31">
        <f>IFERROR(VLOOKUP($E64,bug_conf_sheet!$A:$H,8,FALSE),VLOOKUP("other",bug_conf_sheet!$A:$H,8,FALSE))</f>
        <v>1</v>
      </c>
    </row>
    <row r="65" spans="1:20" ht="21" customHeight="1">
      <c r="A65" s="2" t="str">
        <f ca="1">input_313100!A$2</f>
        <v>313100</v>
      </c>
      <c r="B65" s="7" t="str">
        <f t="shared" si="1"/>
        <v>Premium5</v>
      </c>
      <c r="C65" s="7" t="str">
        <f t="shared" si="2"/>
        <v>Premium</v>
      </c>
      <c r="D65" s="7" t="str">
        <f t="shared" si="3"/>
        <v>ry</v>
      </c>
      <c r="E65" s="8">
        <v>189</v>
      </c>
      <c r="F65" s="7" t="str">
        <f>VLOOKUP(E65,[1]characters!$A:$C,3,FALSE)</f>
        <v>迅雷の王禽 ホルス</v>
      </c>
      <c r="G65" s="7" t="str">
        <f>VLOOKUP(E65,[1]characters!$A:$J,10,FALSE)</f>
        <v>PremiumN</v>
      </c>
      <c r="H65" s="7">
        <f>VLOOKUP(E65,[1]characters!$A:$I,9,FALSE)</f>
        <v>5</v>
      </c>
      <c r="I65" s="7" t="str">
        <f>VLOOKUP(E65,[1]characters!$A:$H,8,FALSE)</f>
        <v>yellow</v>
      </c>
      <c r="J65" s="7" t="str">
        <f>VLOOKUP(E65,[1]characters!$A:$K,11,FALSE)</f>
        <v>attack</v>
      </c>
      <c r="K65" s="7" t="str">
        <f>VLOOKUP(E65,[1]characters!$A:$M,13,FALSE)</f>
        <v>animal</v>
      </c>
      <c r="L65" s="7" t="str">
        <f>VLOOKUP(E65,[1]characters!$A:$G,7,FALSE)</f>
        <v>女性</v>
      </c>
      <c r="M65" s="62">
        <f ca="1">IFERROR(VLOOKUP(E65,input_313100!L:R,7,FALSE),VLOOKUP(tables_313100!B65,input_313100!A:H,8,FALSE))</f>
        <v>12950</v>
      </c>
      <c r="N65" s="63">
        <f t="shared" ca="1" si="4"/>
        <v>4.6296296296296298E-4</v>
      </c>
      <c r="O65" s="31">
        <f>IFERROR(VLOOKUP($E65,bug_conf_sheet!$A:$H,3,FALSE),VLOOKUP("other",bug_conf_sheet!$A:$H,3,FALSE))</f>
        <v>1</v>
      </c>
      <c r="P65" s="31">
        <f>IFERROR(VLOOKUP($E65,bug_conf_sheet!$A:$H,4,FALSE),VLOOKUP("other",bug_conf_sheet!$A:$H,4,FALSE))</f>
        <v>0</v>
      </c>
      <c r="Q65" s="31">
        <f>IFERROR(VLOOKUP($E65,bug_conf_sheet!$A:$H,5,FALSE),VLOOKUP("other",bug_conf_sheet!$A:$H,5,FALSE))</f>
        <v>0</v>
      </c>
      <c r="R65" s="31">
        <f>IFERROR(VLOOKUP($E65,bug_conf_sheet!$A:$H,6,FALSE),VLOOKUP("other",bug_conf_sheet!$A:$H,6,FALSE))</f>
        <v>0</v>
      </c>
      <c r="S65" s="31">
        <f>IFERROR(VLOOKUP($E65,bug_conf_sheet!$A:$H,7,FALSE),VLOOKUP("other",bug_conf_sheet!$A:$H,7,FALSE))</f>
        <v>0</v>
      </c>
      <c r="T65" s="31">
        <f>IFERROR(VLOOKUP($E65,bug_conf_sheet!$A:$H,8,FALSE),VLOOKUP("other",bug_conf_sheet!$A:$H,8,FALSE))</f>
        <v>1</v>
      </c>
    </row>
    <row r="66" spans="1:20" s="9" customFormat="1" ht="21" customHeight="1" thickBot="1">
      <c r="A66" s="2" t="str">
        <f ca="1">input_313100!A$2</f>
        <v>313100</v>
      </c>
      <c r="B66" s="7" t="str">
        <f t="shared" si="1"/>
        <v>Premium3</v>
      </c>
      <c r="C66" s="7" t="str">
        <f t="shared" si="2"/>
        <v>Premium</v>
      </c>
      <c r="D66" s="7" t="str">
        <f t="shared" si="3"/>
        <v>ry</v>
      </c>
      <c r="E66" s="6">
        <v>190</v>
      </c>
      <c r="F66" s="7" t="str">
        <f>VLOOKUP(E66,[1]characters!$A:$C,3,FALSE)</f>
        <v>卑弥呼</v>
      </c>
      <c r="G66" s="7" t="str">
        <f>VLOOKUP(E66,[1]characters!$A:$J,10,FALSE)</f>
        <v>PremiumN</v>
      </c>
      <c r="H66" s="7">
        <f>VLOOKUP(E66,[1]characters!$A:$I,9,FALSE)</f>
        <v>3</v>
      </c>
      <c r="I66" s="7" t="str">
        <f>VLOOKUP(E66,[1]characters!$A:$H,8,FALSE)</f>
        <v>red</v>
      </c>
      <c r="J66" s="7" t="str">
        <f>VLOOKUP(E66,[1]characters!$A:$K,11,FALSE)</f>
        <v>balance</v>
      </c>
      <c r="K66" s="7" t="str">
        <f>VLOOKUP(E66,[1]characters!$A:$M,13,FALSE)</f>
        <v>human</v>
      </c>
      <c r="L66" s="7" t="str">
        <f>VLOOKUP(E66,[1]characters!$A:$G,7,FALSE)</f>
        <v>女性</v>
      </c>
      <c r="M66" s="62">
        <f ca="1">IFERROR(VLOOKUP(E66,input_313100!L:R,7,FALSE),VLOOKUP(tables_313100!B66,input_313100!A:H,8,FALSE))</f>
        <v>0</v>
      </c>
      <c r="N66" s="63">
        <f t="shared" ca="1" si="4"/>
        <v>0</v>
      </c>
      <c r="O66" s="31">
        <f>IFERROR(VLOOKUP($E66,bug_conf_sheet!$A:$H,3,FALSE),VLOOKUP("other",bug_conf_sheet!$A:$H,3,FALSE))</f>
        <v>1</v>
      </c>
      <c r="P66" s="31">
        <f>IFERROR(VLOOKUP($E66,bug_conf_sheet!$A:$H,4,FALSE),VLOOKUP("other",bug_conf_sheet!$A:$H,4,FALSE))</f>
        <v>0</v>
      </c>
      <c r="Q66" s="31">
        <f>IFERROR(VLOOKUP($E66,bug_conf_sheet!$A:$H,5,FALSE),VLOOKUP("other",bug_conf_sheet!$A:$H,5,FALSE))</f>
        <v>0</v>
      </c>
      <c r="R66" s="31">
        <f>IFERROR(VLOOKUP($E66,bug_conf_sheet!$A:$H,6,FALSE),VLOOKUP("other",bug_conf_sheet!$A:$H,6,FALSE))</f>
        <v>0</v>
      </c>
      <c r="S66" s="31">
        <f>IFERROR(VLOOKUP($E66,bug_conf_sheet!$A:$H,7,FALSE),VLOOKUP("other",bug_conf_sheet!$A:$H,7,FALSE))</f>
        <v>0</v>
      </c>
      <c r="T66" s="31">
        <f>IFERROR(VLOOKUP($E66,bug_conf_sheet!$A:$H,8,FALSE),VLOOKUP("other",bug_conf_sheet!$A:$H,8,FALSE))</f>
        <v>1</v>
      </c>
    </row>
    <row r="67" spans="1:20" ht="21" customHeight="1">
      <c r="A67" s="2" t="str">
        <f ca="1">input_313100!A$2</f>
        <v>313100</v>
      </c>
      <c r="B67" s="7" t="str">
        <f t="shared" ref="B67:B130" si="5">C67&amp;IF(C67="premium",,D67)&amp;H67</f>
        <v>Premium4</v>
      </c>
      <c r="C67" s="7" t="str">
        <f t="shared" ref="C67:C130" si="6">IF(G67="PremiumSS",G67,IF(G67="PremiumSSS",G67,"Premium"))</f>
        <v>Premium</v>
      </c>
      <c r="D67" s="7" t="str">
        <f t="shared" ref="D67:D130" si="7">IF(I67="red","ry",IF(I67="yellow","ry","bg"))</f>
        <v>ry</v>
      </c>
      <c r="E67" s="6">
        <v>191</v>
      </c>
      <c r="F67" s="7" t="str">
        <f>VLOOKUP(E67,[1]characters!$A:$C,3,FALSE)</f>
        <v>始祖 卑弥呼</v>
      </c>
      <c r="G67" s="7" t="str">
        <f>VLOOKUP(E67,[1]characters!$A:$J,10,FALSE)</f>
        <v>PremiumN</v>
      </c>
      <c r="H67" s="7">
        <f>VLOOKUP(E67,[1]characters!$A:$I,9,FALSE)</f>
        <v>4</v>
      </c>
      <c r="I67" s="7" t="str">
        <f>VLOOKUP(E67,[1]characters!$A:$H,8,FALSE)</f>
        <v>red</v>
      </c>
      <c r="J67" s="7" t="str">
        <f>VLOOKUP(E67,[1]characters!$A:$K,11,FALSE)</f>
        <v>balance</v>
      </c>
      <c r="K67" s="7" t="str">
        <f>VLOOKUP(E67,[1]characters!$A:$M,13,FALSE)</f>
        <v>human</v>
      </c>
      <c r="L67" s="7" t="str">
        <f>VLOOKUP(E67,[1]characters!$A:$G,7,FALSE)</f>
        <v>女性</v>
      </c>
      <c r="M67" s="62">
        <f ca="1">IFERROR(VLOOKUP(E67,input_313100!L:R,7,FALSE),VLOOKUP(tables_313100!B67,input_313100!A:H,8,FALSE))</f>
        <v>342090</v>
      </c>
      <c r="N67" s="63">
        <f t="shared" ref="N67:N130" ca="1" si="8">M67/SUM(M:M)</f>
        <v>1.222972972972973E-2</v>
      </c>
      <c r="O67" s="31">
        <f>IFERROR(VLOOKUP($E67,bug_conf_sheet!$A:$H,3,FALSE),VLOOKUP("other",bug_conf_sheet!$A:$H,3,FALSE))</f>
        <v>1</v>
      </c>
      <c r="P67" s="31">
        <f>IFERROR(VLOOKUP($E67,bug_conf_sheet!$A:$H,4,FALSE),VLOOKUP("other",bug_conf_sheet!$A:$H,4,FALSE))</f>
        <v>0</v>
      </c>
      <c r="Q67" s="31">
        <f>IFERROR(VLOOKUP($E67,bug_conf_sheet!$A:$H,5,FALSE),VLOOKUP("other",bug_conf_sheet!$A:$H,5,FALSE))</f>
        <v>0</v>
      </c>
      <c r="R67" s="31">
        <f>IFERROR(VLOOKUP($E67,bug_conf_sheet!$A:$H,6,FALSE),VLOOKUP("other",bug_conf_sheet!$A:$H,6,FALSE))</f>
        <v>0</v>
      </c>
      <c r="S67" s="31">
        <f>IFERROR(VLOOKUP($E67,bug_conf_sheet!$A:$H,7,FALSE),VLOOKUP("other",bug_conf_sheet!$A:$H,7,FALSE))</f>
        <v>0</v>
      </c>
      <c r="T67" s="31">
        <f>IFERROR(VLOOKUP($E67,bug_conf_sheet!$A:$H,8,FALSE),VLOOKUP("other",bug_conf_sheet!$A:$H,8,FALSE))</f>
        <v>1</v>
      </c>
    </row>
    <row r="68" spans="1:20" ht="21" customHeight="1">
      <c r="A68" s="2" t="str">
        <f ca="1">input_313100!A$2</f>
        <v>313100</v>
      </c>
      <c r="B68" s="7" t="str">
        <f t="shared" si="5"/>
        <v>Premium5</v>
      </c>
      <c r="C68" s="7" t="str">
        <f t="shared" si="6"/>
        <v>Premium</v>
      </c>
      <c r="D68" s="7" t="str">
        <f t="shared" si="7"/>
        <v>ry</v>
      </c>
      <c r="E68" s="6">
        <v>192</v>
      </c>
      <c r="F68" s="7" t="str">
        <f>VLOOKUP(E68,[1]characters!$A:$C,3,FALSE)</f>
        <v>荘厳なる始祖帝 卑弥呼</v>
      </c>
      <c r="G68" s="7" t="str">
        <f>VLOOKUP(E68,[1]characters!$A:$J,10,FALSE)</f>
        <v>PremiumN</v>
      </c>
      <c r="H68" s="7">
        <f>VLOOKUP(E68,[1]characters!$A:$I,9,FALSE)</f>
        <v>5</v>
      </c>
      <c r="I68" s="7" t="str">
        <f>VLOOKUP(E68,[1]characters!$A:$H,8,FALSE)</f>
        <v>red</v>
      </c>
      <c r="J68" s="7" t="str">
        <f>VLOOKUP(E68,[1]characters!$A:$K,11,FALSE)</f>
        <v>balance</v>
      </c>
      <c r="K68" s="7" t="str">
        <f>VLOOKUP(E68,[1]characters!$A:$M,13,FALSE)</f>
        <v>human</v>
      </c>
      <c r="L68" s="7" t="str">
        <f>VLOOKUP(E68,[1]characters!$A:$G,7,FALSE)</f>
        <v>女性</v>
      </c>
      <c r="M68" s="62">
        <f ca="1">IFERROR(VLOOKUP(E68,input_313100!L:R,7,FALSE),VLOOKUP(tables_313100!B68,input_313100!A:H,8,FALSE))</f>
        <v>12950</v>
      </c>
      <c r="N68" s="63">
        <f t="shared" ca="1" si="8"/>
        <v>4.6296296296296298E-4</v>
      </c>
      <c r="O68" s="31">
        <f>IFERROR(VLOOKUP($E68,bug_conf_sheet!$A:$H,3,FALSE),VLOOKUP("other",bug_conf_sheet!$A:$H,3,FALSE))</f>
        <v>1</v>
      </c>
      <c r="P68" s="31">
        <f>IFERROR(VLOOKUP($E68,bug_conf_sheet!$A:$H,4,FALSE),VLOOKUP("other",bug_conf_sheet!$A:$H,4,FALSE))</f>
        <v>0</v>
      </c>
      <c r="Q68" s="31">
        <f>IFERROR(VLOOKUP($E68,bug_conf_sheet!$A:$H,5,FALSE),VLOOKUP("other",bug_conf_sheet!$A:$H,5,FALSE))</f>
        <v>0</v>
      </c>
      <c r="R68" s="31">
        <f>IFERROR(VLOOKUP($E68,bug_conf_sheet!$A:$H,6,FALSE),VLOOKUP("other",bug_conf_sheet!$A:$H,6,FALSE))</f>
        <v>0</v>
      </c>
      <c r="S68" s="31">
        <f>IFERROR(VLOOKUP($E68,bug_conf_sheet!$A:$H,7,FALSE),VLOOKUP("other",bug_conf_sheet!$A:$H,7,FALSE))</f>
        <v>0</v>
      </c>
      <c r="T68" s="31">
        <f>IFERROR(VLOOKUP($E68,bug_conf_sheet!$A:$H,8,FALSE),VLOOKUP("other",bug_conf_sheet!$A:$H,8,FALSE))</f>
        <v>1</v>
      </c>
    </row>
    <row r="69" spans="1:20" ht="21" customHeight="1">
      <c r="A69" s="2" t="str">
        <f ca="1">input_313100!A$2</f>
        <v>313100</v>
      </c>
      <c r="B69" s="7" t="str">
        <f t="shared" si="5"/>
        <v>Premium3</v>
      </c>
      <c r="C69" s="7" t="str">
        <f t="shared" si="6"/>
        <v>Premium</v>
      </c>
      <c r="D69" s="7" t="str">
        <f t="shared" si="7"/>
        <v>bg</v>
      </c>
      <c r="E69" s="6">
        <v>193</v>
      </c>
      <c r="F69" s="7" t="str">
        <f>VLOOKUP(E69,[1]characters!$A:$C,3,FALSE)</f>
        <v>ロビンフッド</v>
      </c>
      <c r="G69" s="7" t="str">
        <f>VLOOKUP(E69,[1]characters!$A:$J,10,FALSE)</f>
        <v>PremiumN</v>
      </c>
      <c r="H69" s="7">
        <f>VLOOKUP(E69,[1]characters!$A:$I,9,FALSE)</f>
        <v>3</v>
      </c>
      <c r="I69" s="7" t="str">
        <f>VLOOKUP(E69,[1]characters!$A:$H,8,FALSE)</f>
        <v>green</v>
      </c>
      <c r="J69" s="7" t="str">
        <f>VLOOKUP(E69,[1]characters!$A:$K,11,FALSE)</f>
        <v>balance</v>
      </c>
      <c r="K69" s="7" t="str">
        <f>VLOOKUP(E69,[1]characters!$A:$M,13,FALSE)</f>
        <v>human</v>
      </c>
      <c r="L69" s="7" t="str">
        <f>VLOOKUP(E69,[1]characters!$A:$G,7,FALSE)</f>
        <v>女性</v>
      </c>
      <c r="M69" s="62">
        <f ca="1">IFERROR(VLOOKUP(E69,input_313100!L:R,7,FALSE),VLOOKUP(tables_313100!B69,input_313100!A:H,8,FALSE))</f>
        <v>0</v>
      </c>
      <c r="N69" s="63">
        <f t="shared" ca="1" si="8"/>
        <v>0</v>
      </c>
      <c r="O69" s="31">
        <f>IFERROR(VLOOKUP($E69,bug_conf_sheet!$A:$H,3,FALSE),VLOOKUP("other",bug_conf_sheet!$A:$H,3,FALSE))</f>
        <v>1</v>
      </c>
      <c r="P69" s="31">
        <f>IFERROR(VLOOKUP($E69,bug_conf_sheet!$A:$H,4,FALSE),VLOOKUP("other",bug_conf_sheet!$A:$H,4,FALSE))</f>
        <v>0</v>
      </c>
      <c r="Q69" s="31">
        <f>IFERROR(VLOOKUP($E69,bug_conf_sheet!$A:$H,5,FALSE),VLOOKUP("other",bug_conf_sheet!$A:$H,5,FALSE))</f>
        <v>0</v>
      </c>
      <c r="R69" s="31">
        <f>IFERROR(VLOOKUP($E69,bug_conf_sheet!$A:$H,6,FALSE),VLOOKUP("other",bug_conf_sheet!$A:$H,6,FALSE))</f>
        <v>0</v>
      </c>
      <c r="S69" s="31">
        <f>IFERROR(VLOOKUP($E69,bug_conf_sheet!$A:$H,7,FALSE),VLOOKUP("other",bug_conf_sheet!$A:$H,7,FALSE))</f>
        <v>0</v>
      </c>
      <c r="T69" s="31">
        <f>IFERROR(VLOOKUP($E69,bug_conf_sheet!$A:$H,8,FALSE),VLOOKUP("other",bug_conf_sheet!$A:$H,8,FALSE))</f>
        <v>1</v>
      </c>
    </row>
    <row r="70" spans="1:20" ht="21" customHeight="1">
      <c r="A70" s="2" t="str">
        <f ca="1">input_313100!A$2</f>
        <v>313100</v>
      </c>
      <c r="B70" s="7" t="str">
        <f t="shared" si="5"/>
        <v>Premium4</v>
      </c>
      <c r="C70" s="7" t="str">
        <f t="shared" si="6"/>
        <v>Premium</v>
      </c>
      <c r="D70" s="7" t="str">
        <f t="shared" si="7"/>
        <v>bg</v>
      </c>
      <c r="E70" s="10">
        <v>194</v>
      </c>
      <c r="F70" s="7" t="str">
        <f>VLOOKUP(E70,[1]characters!$A:$C,3,FALSE)</f>
        <v>スナイパー ロビンフッド</v>
      </c>
      <c r="G70" s="7" t="str">
        <f>VLOOKUP(E70,[1]characters!$A:$J,10,FALSE)</f>
        <v>PremiumN</v>
      </c>
      <c r="H70" s="7">
        <f>VLOOKUP(E70,[1]characters!$A:$I,9,FALSE)</f>
        <v>4</v>
      </c>
      <c r="I70" s="7" t="str">
        <f>VLOOKUP(E70,[1]characters!$A:$H,8,FALSE)</f>
        <v>green</v>
      </c>
      <c r="J70" s="7" t="str">
        <f>VLOOKUP(E70,[1]characters!$A:$K,11,FALSE)</f>
        <v>balance</v>
      </c>
      <c r="K70" s="7" t="str">
        <f>VLOOKUP(E70,[1]characters!$A:$M,13,FALSE)</f>
        <v>human</v>
      </c>
      <c r="L70" s="7" t="str">
        <f>VLOOKUP(E70,[1]characters!$A:$G,7,FALSE)</f>
        <v>女性</v>
      </c>
      <c r="M70" s="62">
        <f ca="1">IFERROR(VLOOKUP(E70,input_313100!L:R,7,FALSE),VLOOKUP(tables_313100!B70,input_313100!A:H,8,FALSE))</f>
        <v>342090</v>
      </c>
      <c r="N70" s="63">
        <f t="shared" ca="1" si="8"/>
        <v>1.222972972972973E-2</v>
      </c>
      <c r="O70" s="31">
        <f>IFERROR(VLOOKUP($E70,bug_conf_sheet!$A:$H,3,FALSE),VLOOKUP("other",bug_conf_sheet!$A:$H,3,FALSE))</f>
        <v>1</v>
      </c>
      <c r="P70" s="31">
        <f>IFERROR(VLOOKUP($E70,bug_conf_sheet!$A:$H,4,FALSE),VLOOKUP("other",bug_conf_sheet!$A:$H,4,FALSE))</f>
        <v>0</v>
      </c>
      <c r="Q70" s="31">
        <f>IFERROR(VLOOKUP($E70,bug_conf_sheet!$A:$H,5,FALSE),VLOOKUP("other",bug_conf_sheet!$A:$H,5,FALSE))</f>
        <v>0</v>
      </c>
      <c r="R70" s="31">
        <f>IFERROR(VLOOKUP($E70,bug_conf_sheet!$A:$H,6,FALSE),VLOOKUP("other",bug_conf_sheet!$A:$H,6,FALSE))</f>
        <v>0</v>
      </c>
      <c r="S70" s="31">
        <f>IFERROR(VLOOKUP($E70,bug_conf_sheet!$A:$H,7,FALSE),VLOOKUP("other",bug_conf_sheet!$A:$H,7,FALSE))</f>
        <v>0</v>
      </c>
      <c r="T70" s="31">
        <f>IFERROR(VLOOKUP($E70,bug_conf_sheet!$A:$H,8,FALSE),VLOOKUP("other",bug_conf_sheet!$A:$H,8,FALSE))</f>
        <v>1</v>
      </c>
    </row>
    <row r="71" spans="1:20" ht="21" customHeight="1">
      <c r="A71" s="2" t="str">
        <f ca="1">input_313100!A$2</f>
        <v>313100</v>
      </c>
      <c r="B71" s="7" t="str">
        <f t="shared" si="5"/>
        <v>Premium5</v>
      </c>
      <c r="C71" s="7" t="str">
        <f t="shared" si="6"/>
        <v>Premium</v>
      </c>
      <c r="D71" s="7" t="str">
        <f t="shared" si="7"/>
        <v>bg</v>
      </c>
      <c r="E71" s="6">
        <v>195</v>
      </c>
      <c r="F71" s="7" t="str">
        <f>VLOOKUP(E71,[1]characters!$A:$C,3,FALSE)</f>
        <v>グランドハンター ロビンフッド</v>
      </c>
      <c r="G71" s="7" t="str">
        <f>VLOOKUP(E71,[1]characters!$A:$J,10,FALSE)</f>
        <v>PremiumN</v>
      </c>
      <c r="H71" s="7">
        <f>VLOOKUP(E71,[1]characters!$A:$I,9,FALSE)</f>
        <v>5</v>
      </c>
      <c r="I71" s="7" t="str">
        <f>VLOOKUP(E71,[1]characters!$A:$H,8,FALSE)</f>
        <v>green</v>
      </c>
      <c r="J71" s="7" t="str">
        <f>VLOOKUP(E71,[1]characters!$A:$K,11,FALSE)</f>
        <v>balance</v>
      </c>
      <c r="K71" s="7" t="str">
        <f>VLOOKUP(E71,[1]characters!$A:$M,13,FALSE)</f>
        <v>human</v>
      </c>
      <c r="L71" s="7" t="str">
        <f>VLOOKUP(E71,[1]characters!$A:$G,7,FALSE)</f>
        <v>女性</v>
      </c>
      <c r="M71" s="62">
        <f ca="1">IFERROR(VLOOKUP(E71,input_313100!L:R,7,FALSE),VLOOKUP(tables_313100!B71,input_313100!A:H,8,FALSE))</f>
        <v>12950</v>
      </c>
      <c r="N71" s="63">
        <f t="shared" ca="1" si="8"/>
        <v>4.6296296296296298E-4</v>
      </c>
      <c r="O71" s="31">
        <f>IFERROR(VLOOKUP($E71,bug_conf_sheet!$A:$H,3,FALSE),VLOOKUP("other",bug_conf_sheet!$A:$H,3,FALSE))</f>
        <v>1</v>
      </c>
      <c r="P71" s="31">
        <f>IFERROR(VLOOKUP($E71,bug_conf_sheet!$A:$H,4,FALSE),VLOOKUP("other",bug_conf_sheet!$A:$H,4,FALSE))</f>
        <v>0</v>
      </c>
      <c r="Q71" s="31">
        <f>IFERROR(VLOOKUP($E71,bug_conf_sheet!$A:$H,5,FALSE),VLOOKUP("other",bug_conf_sheet!$A:$H,5,FALSE))</f>
        <v>0</v>
      </c>
      <c r="R71" s="31">
        <f>IFERROR(VLOOKUP($E71,bug_conf_sheet!$A:$H,6,FALSE),VLOOKUP("other",bug_conf_sheet!$A:$H,6,FALSE))</f>
        <v>0</v>
      </c>
      <c r="S71" s="31">
        <f>IFERROR(VLOOKUP($E71,bug_conf_sheet!$A:$H,7,FALSE),VLOOKUP("other",bug_conf_sheet!$A:$H,7,FALSE))</f>
        <v>0</v>
      </c>
      <c r="T71" s="31">
        <f>IFERROR(VLOOKUP($E71,bug_conf_sheet!$A:$H,8,FALSE),VLOOKUP("other",bug_conf_sheet!$A:$H,8,FALSE))</f>
        <v>1</v>
      </c>
    </row>
    <row r="72" spans="1:20" ht="21" customHeight="1">
      <c r="A72" s="2" t="str">
        <f ca="1">input_313100!A$2</f>
        <v>313100</v>
      </c>
      <c r="B72" s="7" t="str">
        <f t="shared" si="5"/>
        <v>Premium3</v>
      </c>
      <c r="C72" s="7" t="str">
        <f t="shared" si="6"/>
        <v>Premium</v>
      </c>
      <c r="D72" s="7" t="str">
        <f t="shared" si="7"/>
        <v>ry</v>
      </c>
      <c r="E72" s="10">
        <v>196</v>
      </c>
      <c r="F72" s="7" t="str">
        <f>VLOOKUP(E72,[1]characters!$A:$C,3,FALSE)</f>
        <v>アキレス</v>
      </c>
      <c r="G72" s="7" t="str">
        <f>VLOOKUP(E72,[1]characters!$A:$J,10,FALSE)</f>
        <v>PremiumN</v>
      </c>
      <c r="H72" s="7">
        <f>VLOOKUP(E72,[1]characters!$A:$I,9,FALSE)</f>
        <v>3</v>
      </c>
      <c r="I72" s="7" t="str">
        <f>VLOOKUP(E72,[1]characters!$A:$H,8,FALSE)</f>
        <v>yellow</v>
      </c>
      <c r="J72" s="7" t="str">
        <f>VLOOKUP(E72,[1]characters!$A:$K,11,FALSE)</f>
        <v>balance</v>
      </c>
      <c r="K72" s="7" t="str">
        <f>VLOOKUP(E72,[1]characters!$A:$M,13,FALSE)</f>
        <v>human</v>
      </c>
      <c r="L72" s="7" t="str">
        <f>VLOOKUP(E72,[1]characters!$A:$G,7,FALSE)</f>
        <v>女性</v>
      </c>
      <c r="M72" s="62">
        <f ca="1">IFERROR(VLOOKUP(E72,input_313100!L:R,7,FALSE),VLOOKUP(tables_313100!B72,input_313100!A:H,8,FALSE))</f>
        <v>0</v>
      </c>
      <c r="N72" s="63">
        <f t="shared" ca="1" si="8"/>
        <v>0</v>
      </c>
      <c r="O72" s="31">
        <f>IFERROR(VLOOKUP($E72,bug_conf_sheet!$A:$H,3,FALSE),VLOOKUP("other",bug_conf_sheet!$A:$H,3,FALSE))</f>
        <v>1</v>
      </c>
      <c r="P72" s="31">
        <f>IFERROR(VLOOKUP($E72,bug_conf_sheet!$A:$H,4,FALSE),VLOOKUP("other",bug_conf_sheet!$A:$H,4,FALSE))</f>
        <v>0</v>
      </c>
      <c r="Q72" s="31">
        <f>IFERROR(VLOOKUP($E72,bug_conf_sheet!$A:$H,5,FALSE),VLOOKUP("other",bug_conf_sheet!$A:$H,5,FALSE))</f>
        <v>0</v>
      </c>
      <c r="R72" s="31">
        <f>IFERROR(VLOOKUP($E72,bug_conf_sheet!$A:$H,6,FALSE),VLOOKUP("other",bug_conf_sheet!$A:$H,6,FALSE))</f>
        <v>0</v>
      </c>
      <c r="S72" s="31">
        <f>IFERROR(VLOOKUP($E72,bug_conf_sheet!$A:$H,7,FALSE),VLOOKUP("other",bug_conf_sheet!$A:$H,7,FALSE))</f>
        <v>0</v>
      </c>
      <c r="T72" s="31">
        <f>IFERROR(VLOOKUP($E72,bug_conf_sheet!$A:$H,8,FALSE),VLOOKUP("other",bug_conf_sheet!$A:$H,8,FALSE))</f>
        <v>1</v>
      </c>
    </row>
    <row r="73" spans="1:20" ht="21" customHeight="1">
      <c r="A73" s="2" t="str">
        <f ca="1">input_313100!A$2</f>
        <v>313100</v>
      </c>
      <c r="B73" s="7" t="str">
        <f t="shared" si="5"/>
        <v>Premium4</v>
      </c>
      <c r="C73" s="7" t="str">
        <f t="shared" si="6"/>
        <v>Premium</v>
      </c>
      <c r="D73" s="7" t="str">
        <f t="shared" si="7"/>
        <v>ry</v>
      </c>
      <c r="E73" s="11">
        <v>197</v>
      </c>
      <c r="F73" s="7" t="str">
        <f>VLOOKUP(E73,[1]characters!$A:$C,3,FALSE)</f>
        <v>鉄腕 アキレス</v>
      </c>
      <c r="G73" s="7" t="str">
        <f>VLOOKUP(E73,[1]characters!$A:$J,10,FALSE)</f>
        <v>PremiumN</v>
      </c>
      <c r="H73" s="7">
        <f>VLOOKUP(E73,[1]characters!$A:$I,9,FALSE)</f>
        <v>4</v>
      </c>
      <c r="I73" s="7" t="str">
        <f>VLOOKUP(E73,[1]characters!$A:$H,8,FALSE)</f>
        <v>yellow</v>
      </c>
      <c r="J73" s="7" t="str">
        <f>VLOOKUP(E73,[1]characters!$A:$K,11,FALSE)</f>
        <v>balance</v>
      </c>
      <c r="K73" s="7" t="str">
        <f>VLOOKUP(E73,[1]characters!$A:$M,13,FALSE)</f>
        <v>human</v>
      </c>
      <c r="L73" s="7" t="str">
        <f>VLOOKUP(E73,[1]characters!$A:$G,7,FALSE)</f>
        <v>女性</v>
      </c>
      <c r="M73" s="62">
        <f ca="1">IFERROR(VLOOKUP(E73,input_313100!L:R,7,FALSE),VLOOKUP(tables_313100!B73,input_313100!A:H,8,FALSE))</f>
        <v>342090</v>
      </c>
      <c r="N73" s="63">
        <f t="shared" ca="1" si="8"/>
        <v>1.222972972972973E-2</v>
      </c>
      <c r="O73" s="31">
        <f>IFERROR(VLOOKUP($E73,bug_conf_sheet!$A:$H,3,FALSE),VLOOKUP("other",bug_conf_sheet!$A:$H,3,FALSE))</f>
        <v>1</v>
      </c>
      <c r="P73" s="31">
        <f>IFERROR(VLOOKUP($E73,bug_conf_sheet!$A:$H,4,FALSE),VLOOKUP("other",bug_conf_sheet!$A:$H,4,FALSE))</f>
        <v>0</v>
      </c>
      <c r="Q73" s="31">
        <f>IFERROR(VLOOKUP($E73,bug_conf_sheet!$A:$H,5,FALSE),VLOOKUP("other",bug_conf_sheet!$A:$H,5,FALSE))</f>
        <v>0</v>
      </c>
      <c r="R73" s="31">
        <f>IFERROR(VLOOKUP($E73,bug_conf_sheet!$A:$H,6,FALSE),VLOOKUP("other",bug_conf_sheet!$A:$H,6,FALSE))</f>
        <v>0</v>
      </c>
      <c r="S73" s="31">
        <f>IFERROR(VLOOKUP($E73,bug_conf_sheet!$A:$H,7,FALSE),VLOOKUP("other",bug_conf_sheet!$A:$H,7,FALSE))</f>
        <v>0</v>
      </c>
      <c r="T73" s="31">
        <f>IFERROR(VLOOKUP($E73,bug_conf_sheet!$A:$H,8,FALSE),VLOOKUP("other",bug_conf_sheet!$A:$H,8,FALSE))</f>
        <v>1</v>
      </c>
    </row>
    <row r="74" spans="1:20" ht="21" customHeight="1">
      <c r="A74" s="2" t="str">
        <f ca="1">input_313100!A$2</f>
        <v>313100</v>
      </c>
      <c r="B74" s="7" t="str">
        <f t="shared" si="5"/>
        <v>Premium5</v>
      </c>
      <c r="C74" s="7" t="str">
        <f t="shared" si="6"/>
        <v>Premium</v>
      </c>
      <c r="D74" s="7" t="str">
        <f t="shared" si="7"/>
        <v>ry</v>
      </c>
      <c r="E74" s="6">
        <v>198</v>
      </c>
      <c r="F74" s="7" t="str">
        <f>VLOOKUP(E74,[1]characters!$A:$C,3,FALSE)</f>
        <v>砕骨の剛腕 アキレス</v>
      </c>
      <c r="G74" s="7" t="str">
        <f>VLOOKUP(E74,[1]characters!$A:$J,10,FALSE)</f>
        <v>PremiumN</v>
      </c>
      <c r="H74" s="7">
        <f>VLOOKUP(E74,[1]characters!$A:$I,9,FALSE)</f>
        <v>5</v>
      </c>
      <c r="I74" s="7" t="str">
        <f>VLOOKUP(E74,[1]characters!$A:$H,8,FALSE)</f>
        <v>yellow</v>
      </c>
      <c r="J74" s="7" t="str">
        <f>VLOOKUP(E74,[1]characters!$A:$K,11,FALSE)</f>
        <v>balance</v>
      </c>
      <c r="K74" s="7" t="str">
        <f>VLOOKUP(E74,[1]characters!$A:$M,13,FALSE)</f>
        <v>human</v>
      </c>
      <c r="L74" s="7" t="str">
        <f>VLOOKUP(E74,[1]characters!$A:$G,7,FALSE)</f>
        <v>女性</v>
      </c>
      <c r="M74" s="62">
        <f ca="1">IFERROR(VLOOKUP(E74,input_313100!L:R,7,FALSE),VLOOKUP(tables_313100!B74,input_313100!A:H,8,FALSE))</f>
        <v>12950</v>
      </c>
      <c r="N74" s="63">
        <f t="shared" ca="1" si="8"/>
        <v>4.6296296296296298E-4</v>
      </c>
      <c r="O74" s="31">
        <f>IFERROR(VLOOKUP($E74,bug_conf_sheet!$A:$H,3,FALSE),VLOOKUP("other",bug_conf_sheet!$A:$H,3,FALSE))</f>
        <v>1</v>
      </c>
      <c r="P74" s="31">
        <f>IFERROR(VLOOKUP($E74,bug_conf_sheet!$A:$H,4,FALSE),VLOOKUP("other",bug_conf_sheet!$A:$H,4,FALSE))</f>
        <v>0</v>
      </c>
      <c r="Q74" s="31">
        <f>IFERROR(VLOOKUP($E74,bug_conf_sheet!$A:$H,5,FALSE),VLOOKUP("other",bug_conf_sheet!$A:$H,5,FALSE))</f>
        <v>0</v>
      </c>
      <c r="R74" s="31">
        <f>IFERROR(VLOOKUP($E74,bug_conf_sheet!$A:$H,6,FALSE),VLOOKUP("other",bug_conf_sheet!$A:$H,6,FALSE))</f>
        <v>0</v>
      </c>
      <c r="S74" s="31">
        <f>IFERROR(VLOOKUP($E74,bug_conf_sheet!$A:$H,7,FALSE),VLOOKUP("other",bug_conf_sheet!$A:$H,7,FALSE))</f>
        <v>0</v>
      </c>
      <c r="T74" s="31">
        <f>IFERROR(VLOOKUP($E74,bug_conf_sheet!$A:$H,8,FALSE),VLOOKUP("other",bug_conf_sheet!$A:$H,8,FALSE))</f>
        <v>1</v>
      </c>
    </row>
    <row r="75" spans="1:20" ht="21" customHeight="1">
      <c r="A75" s="2" t="str">
        <f ca="1">input_313100!A$2</f>
        <v>313100</v>
      </c>
      <c r="B75" s="7" t="str">
        <f t="shared" si="5"/>
        <v>Premium3</v>
      </c>
      <c r="C75" s="7" t="str">
        <f t="shared" si="6"/>
        <v>Premium</v>
      </c>
      <c r="D75" s="7" t="str">
        <f t="shared" si="7"/>
        <v>bg</v>
      </c>
      <c r="E75" s="6">
        <v>199</v>
      </c>
      <c r="F75" s="7" t="str">
        <f>VLOOKUP(E75,[1]characters!$A:$C,3,FALSE)</f>
        <v>ジークフリート</v>
      </c>
      <c r="G75" s="7" t="str">
        <f>VLOOKUP(E75,[1]characters!$A:$J,10,FALSE)</f>
        <v>PremiumN</v>
      </c>
      <c r="H75" s="7">
        <f>VLOOKUP(E75,[1]characters!$A:$I,9,FALSE)</f>
        <v>3</v>
      </c>
      <c r="I75" s="7" t="str">
        <f>VLOOKUP(E75,[1]characters!$A:$H,8,FALSE)</f>
        <v>blue</v>
      </c>
      <c r="J75" s="7" t="str">
        <f>VLOOKUP(E75,[1]characters!$A:$K,11,FALSE)</f>
        <v>balance</v>
      </c>
      <c r="K75" s="7" t="str">
        <f>VLOOKUP(E75,[1]characters!$A:$M,13,FALSE)</f>
        <v>human</v>
      </c>
      <c r="L75" s="7" t="str">
        <f>VLOOKUP(E75,[1]characters!$A:$G,7,FALSE)</f>
        <v>男性</v>
      </c>
      <c r="M75" s="62">
        <f ca="1">IFERROR(VLOOKUP(E75,input_313100!L:R,7,FALSE),VLOOKUP(tables_313100!B75,input_313100!A:H,8,FALSE))</f>
        <v>0</v>
      </c>
      <c r="N75" s="63">
        <f t="shared" ca="1" si="8"/>
        <v>0</v>
      </c>
      <c r="O75" s="31">
        <f>IFERROR(VLOOKUP($E75,bug_conf_sheet!$A:$H,3,FALSE),VLOOKUP("other",bug_conf_sheet!$A:$H,3,FALSE))</f>
        <v>1</v>
      </c>
      <c r="P75" s="31">
        <f>IFERROR(VLOOKUP($E75,bug_conf_sheet!$A:$H,4,FALSE),VLOOKUP("other",bug_conf_sheet!$A:$H,4,FALSE))</f>
        <v>0</v>
      </c>
      <c r="Q75" s="31">
        <f>IFERROR(VLOOKUP($E75,bug_conf_sheet!$A:$H,5,FALSE),VLOOKUP("other",bug_conf_sheet!$A:$H,5,FALSE))</f>
        <v>0</v>
      </c>
      <c r="R75" s="31">
        <f>IFERROR(VLOOKUP($E75,bug_conf_sheet!$A:$H,6,FALSE),VLOOKUP("other",bug_conf_sheet!$A:$H,6,FALSE))</f>
        <v>0</v>
      </c>
      <c r="S75" s="31">
        <f>IFERROR(VLOOKUP($E75,bug_conf_sheet!$A:$H,7,FALSE),VLOOKUP("other",bug_conf_sheet!$A:$H,7,FALSE))</f>
        <v>0</v>
      </c>
      <c r="T75" s="31">
        <f>IFERROR(VLOOKUP($E75,bug_conf_sheet!$A:$H,8,FALSE),VLOOKUP("other",bug_conf_sheet!$A:$H,8,FALSE))</f>
        <v>1</v>
      </c>
    </row>
    <row r="76" spans="1:20" ht="21" customHeight="1">
      <c r="A76" s="2" t="str">
        <f ca="1">input_313100!A$2</f>
        <v>313100</v>
      </c>
      <c r="B76" s="7" t="str">
        <f t="shared" si="5"/>
        <v>Premium4</v>
      </c>
      <c r="C76" s="7" t="str">
        <f t="shared" si="6"/>
        <v>Premium</v>
      </c>
      <c r="D76" s="7" t="str">
        <f t="shared" si="7"/>
        <v>bg</v>
      </c>
      <c r="E76" s="6">
        <v>200</v>
      </c>
      <c r="F76" s="7" t="str">
        <f>VLOOKUP(E76,[1]characters!$A:$C,3,FALSE)</f>
        <v>大剣士 ジークフリート</v>
      </c>
      <c r="G76" s="7" t="str">
        <f>VLOOKUP(E76,[1]characters!$A:$J,10,FALSE)</f>
        <v>PremiumN</v>
      </c>
      <c r="H76" s="7">
        <f>VLOOKUP(E76,[1]characters!$A:$I,9,FALSE)</f>
        <v>4</v>
      </c>
      <c r="I76" s="7" t="str">
        <f>VLOOKUP(E76,[1]characters!$A:$H,8,FALSE)</f>
        <v>blue</v>
      </c>
      <c r="J76" s="7" t="str">
        <f>VLOOKUP(E76,[1]characters!$A:$K,11,FALSE)</f>
        <v>balance</v>
      </c>
      <c r="K76" s="7" t="str">
        <f>VLOOKUP(E76,[1]characters!$A:$M,13,FALSE)</f>
        <v>human</v>
      </c>
      <c r="L76" s="7" t="str">
        <f>VLOOKUP(E76,[1]characters!$A:$G,7,FALSE)</f>
        <v>男性</v>
      </c>
      <c r="M76" s="62">
        <f ca="1">IFERROR(VLOOKUP(E76,input_313100!L:R,7,FALSE),VLOOKUP(tables_313100!B76,input_313100!A:H,8,FALSE))</f>
        <v>342090</v>
      </c>
      <c r="N76" s="63">
        <f t="shared" ca="1" si="8"/>
        <v>1.222972972972973E-2</v>
      </c>
      <c r="O76" s="31">
        <f>IFERROR(VLOOKUP($E76,bug_conf_sheet!$A:$H,3,FALSE),VLOOKUP("other",bug_conf_sheet!$A:$H,3,FALSE))</f>
        <v>1</v>
      </c>
      <c r="P76" s="31">
        <f>IFERROR(VLOOKUP($E76,bug_conf_sheet!$A:$H,4,FALSE),VLOOKUP("other",bug_conf_sheet!$A:$H,4,FALSE))</f>
        <v>0</v>
      </c>
      <c r="Q76" s="31">
        <f>IFERROR(VLOOKUP($E76,bug_conf_sheet!$A:$H,5,FALSE),VLOOKUP("other",bug_conf_sheet!$A:$H,5,FALSE))</f>
        <v>0</v>
      </c>
      <c r="R76" s="31">
        <f>IFERROR(VLOOKUP($E76,bug_conf_sheet!$A:$H,6,FALSE),VLOOKUP("other",bug_conf_sheet!$A:$H,6,FALSE))</f>
        <v>0</v>
      </c>
      <c r="S76" s="31">
        <f>IFERROR(VLOOKUP($E76,bug_conf_sheet!$A:$H,7,FALSE),VLOOKUP("other",bug_conf_sheet!$A:$H,7,FALSE))</f>
        <v>0</v>
      </c>
      <c r="T76" s="31">
        <f>IFERROR(VLOOKUP($E76,bug_conf_sheet!$A:$H,8,FALSE),VLOOKUP("other",bug_conf_sheet!$A:$H,8,FALSE))</f>
        <v>1</v>
      </c>
    </row>
    <row r="77" spans="1:20" ht="21" customHeight="1">
      <c r="A77" s="2" t="str">
        <f ca="1">input_313100!A$2</f>
        <v>313100</v>
      </c>
      <c r="B77" s="7" t="str">
        <f t="shared" si="5"/>
        <v>Premium5</v>
      </c>
      <c r="C77" s="7" t="str">
        <f t="shared" si="6"/>
        <v>Premium</v>
      </c>
      <c r="D77" s="7" t="str">
        <f t="shared" si="7"/>
        <v>bg</v>
      </c>
      <c r="E77" s="5">
        <v>201</v>
      </c>
      <c r="F77" s="7" t="str">
        <f>VLOOKUP(E77,[1]characters!$A:$C,3,FALSE)</f>
        <v>斬空の大破剣 ジークフリート</v>
      </c>
      <c r="G77" s="7" t="str">
        <f>VLOOKUP(E77,[1]characters!$A:$J,10,FALSE)</f>
        <v>PremiumN</v>
      </c>
      <c r="H77" s="7">
        <f>VLOOKUP(E77,[1]characters!$A:$I,9,FALSE)</f>
        <v>5</v>
      </c>
      <c r="I77" s="7" t="str">
        <f>VLOOKUP(E77,[1]characters!$A:$H,8,FALSE)</f>
        <v>blue</v>
      </c>
      <c r="J77" s="7" t="str">
        <f>VLOOKUP(E77,[1]characters!$A:$K,11,FALSE)</f>
        <v>balance</v>
      </c>
      <c r="K77" s="7" t="str">
        <f>VLOOKUP(E77,[1]characters!$A:$M,13,FALSE)</f>
        <v>human</v>
      </c>
      <c r="L77" s="7" t="str">
        <f>VLOOKUP(E77,[1]characters!$A:$G,7,FALSE)</f>
        <v>男性</v>
      </c>
      <c r="M77" s="62">
        <f ca="1">IFERROR(VLOOKUP(E77,input_313100!L:R,7,FALSE),VLOOKUP(tables_313100!B77,input_313100!A:H,8,FALSE))</f>
        <v>12950</v>
      </c>
      <c r="N77" s="63">
        <f t="shared" ca="1" si="8"/>
        <v>4.6296296296296298E-4</v>
      </c>
      <c r="O77" s="31">
        <f>IFERROR(VLOOKUP($E77,bug_conf_sheet!$A:$H,3,FALSE),VLOOKUP("other",bug_conf_sheet!$A:$H,3,FALSE))</f>
        <v>1</v>
      </c>
      <c r="P77" s="31">
        <f>IFERROR(VLOOKUP($E77,bug_conf_sheet!$A:$H,4,FALSE),VLOOKUP("other",bug_conf_sheet!$A:$H,4,FALSE))</f>
        <v>0</v>
      </c>
      <c r="Q77" s="31">
        <f>IFERROR(VLOOKUP($E77,bug_conf_sheet!$A:$H,5,FALSE),VLOOKUP("other",bug_conf_sheet!$A:$H,5,FALSE))</f>
        <v>0</v>
      </c>
      <c r="R77" s="31">
        <f>IFERROR(VLOOKUP($E77,bug_conf_sheet!$A:$H,6,FALSE),VLOOKUP("other",bug_conf_sheet!$A:$H,6,FALSE))</f>
        <v>0</v>
      </c>
      <c r="S77" s="31">
        <f>IFERROR(VLOOKUP($E77,bug_conf_sheet!$A:$H,7,FALSE),VLOOKUP("other",bug_conf_sheet!$A:$H,7,FALSE))</f>
        <v>0</v>
      </c>
      <c r="T77" s="31">
        <f>IFERROR(VLOOKUP($E77,bug_conf_sheet!$A:$H,8,FALSE),VLOOKUP("other",bug_conf_sheet!$A:$H,8,FALSE))</f>
        <v>1</v>
      </c>
    </row>
    <row r="78" spans="1:20" ht="21" customHeight="1">
      <c r="A78" s="2" t="str">
        <f ca="1">input_313100!A$2</f>
        <v>313100</v>
      </c>
      <c r="B78" s="7" t="str">
        <f t="shared" si="5"/>
        <v>Premium3</v>
      </c>
      <c r="C78" s="7" t="str">
        <f t="shared" si="6"/>
        <v>Premium</v>
      </c>
      <c r="D78" s="7" t="str">
        <f t="shared" si="7"/>
        <v>ry</v>
      </c>
      <c r="E78" s="5">
        <v>202</v>
      </c>
      <c r="F78" s="7" t="str">
        <f>VLOOKUP(E78,[1]characters!$A:$C,3,FALSE)</f>
        <v>プロメテウス</v>
      </c>
      <c r="G78" s="7" t="str">
        <f>VLOOKUP(E78,[1]characters!$A:$J,10,FALSE)</f>
        <v>PremiumN</v>
      </c>
      <c r="H78" s="7">
        <f>VLOOKUP(E78,[1]characters!$A:$I,9,FALSE)</f>
        <v>3</v>
      </c>
      <c r="I78" s="7" t="str">
        <f>VLOOKUP(E78,[1]characters!$A:$H,8,FALSE)</f>
        <v>red</v>
      </c>
      <c r="J78" s="7" t="str">
        <f>VLOOKUP(E78,[1]characters!$A:$K,11,FALSE)</f>
        <v>hp</v>
      </c>
      <c r="K78" s="7" t="str">
        <f>VLOOKUP(E78,[1]characters!$A:$M,13,FALSE)</f>
        <v>god</v>
      </c>
      <c r="L78" s="7" t="str">
        <f>VLOOKUP(E78,[1]characters!$A:$G,7,FALSE)</f>
        <v>男性</v>
      </c>
      <c r="M78" s="62">
        <f ca="1">IFERROR(VLOOKUP(E78,input_313100!L:R,7,FALSE),VLOOKUP(tables_313100!B78,input_313100!A:H,8,FALSE))</f>
        <v>0</v>
      </c>
      <c r="N78" s="63">
        <f t="shared" ca="1" si="8"/>
        <v>0</v>
      </c>
      <c r="O78" s="31">
        <f>IFERROR(VLOOKUP($E78,bug_conf_sheet!$A:$H,3,FALSE),VLOOKUP("other",bug_conf_sheet!$A:$H,3,FALSE))</f>
        <v>1</v>
      </c>
      <c r="P78" s="31">
        <f>IFERROR(VLOOKUP($E78,bug_conf_sheet!$A:$H,4,FALSE),VLOOKUP("other",bug_conf_sheet!$A:$H,4,FALSE))</f>
        <v>0</v>
      </c>
      <c r="Q78" s="31">
        <f>IFERROR(VLOOKUP($E78,bug_conf_sheet!$A:$H,5,FALSE),VLOOKUP("other",bug_conf_sheet!$A:$H,5,FALSE))</f>
        <v>0</v>
      </c>
      <c r="R78" s="31">
        <f>IFERROR(VLOOKUP($E78,bug_conf_sheet!$A:$H,6,FALSE),VLOOKUP("other",bug_conf_sheet!$A:$H,6,FALSE))</f>
        <v>0</v>
      </c>
      <c r="S78" s="31">
        <f>IFERROR(VLOOKUP($E78,bug_conf_sheet!$A:$H,7,FALSE),VLOOKUP("other",bug_conf_sheet!$A:$H,7,FALSE))</f>
        <v>0</v>
      </c>
      <c r="T78" s="31">
        <f>IFERROR(VLOOKUP($E78,bug_conf_sheet!$A:$H,8,FALSE),VLOOKUP("other",bug_conf_sheet!$A:$H,8,FALSE))</f>
        <v>1</v>
      </c>
    </row>
    <row r="79" spans="1:20" ht="21" customHeight="1">
      <c r="A79" s="2" t="str">
        <f ca="1">input_313100!A$2</f>
        <v>313100</v>
      </c>
      <c r="B79" s="7" t="str">
        <f t="shared" si="5"/>
        <v>Premium4</v>
      </c>
      <c r="C79" s="7" t="str">
        <f t="shared" si="6"/>
        <v>Premium</v>
      </c>
      <c r="D79" s="7" t="str">
        <f t="shared" si="7"/>
        <v>ry</v>
      </c>
      <c r="E79" s="5">
        <v>203</v>
      </c>
      <c r="F79" s="7" t="str">
        <f>VLOOKUP(E79,[1]characters!$A:$C,3,FALSE)</f>
        <v>焔神 プロメテウス</v>
      </c>
      <c r="G79" s="7" t="str">
        <f>VLOOKUP(E79,[1]characters!$A:$J,10,FALSE)</f>
        <v>PremiumN</v>
      </c>
      <c r="H79" s="7">
        <f>VLOOKUP(E79,[1]characters!$A:$I,9,FALSE)</f>
        <v>4</v>
      </c>
      <c r="I79" s="7" t="str">
        <f>VLOOKUP(E79,[1]characters!$A:$H,8,FALSE)</f>
        <v>red</v>
      </c>
      <c r="J79" s="7" t="str">
        <f>VLOOKUP(E79,[1]characters!$A:$K,11,FALSE)</f>
        <v>hp</v>
      </c>
      <c r="K79" s="7" t="str">
        <f>VLOOKUP(E79,[1]characters!$A:$M,13,FALSE)</f>
        <v>god</v>
      </c>
      <c r="L79" s="7" t="str">
        <f>VLOOKUP(E79,[1]characters!$A:$G,7,FALSE)</f>
        <v>男性</v>
      </c>
      <c r="M79" s="62">
        <f ca="1">IFERROR(VLOOKUP(E79,input_313100!L:R,7,FALSE),VLOOKUP(tables_313100!B79,input_313100!A:H,8,FALSE))</f>
        <v>342090</v>
      </c>
      <c r="N79" s="63">
        <f t="shared" ca="1" si="8"/>
        <v>1.222972972972973E-2</v>
      </c>
      <c r="O79" s="31">
        <f>IFERROR(VLOOKUP($E79,bug_conf_sheet!$A:$H,3,FALSE),VLOOKUP("other",bug_conf_sheet!$A:$H,3,FALSE))</f>
        <v>1</v>
      </c>
      <c r="P79" s="31">
        <f>IFERROR(VLOOKUP($E79,bug_conf_sheet!$A:$H,4,FALSE),VLOOKUP("other",bug_conf_sheet!$A:$H,4,FALSE))</f>
        <v>0</v>
      </c>
      <c r="Q79" s="31">
        <f>IFERROR(VLOOKUP($E79,bug_conf_sheet!$A:$H,5,FALSE),VLOOKUP("other",bug_conf_sheet!$A:$H,5,FALSE))</f>
        <v>0</v>
      </c>
      <c r="R79" s="31">
        <f>IFERROR(VLOOKUP($E79,bug_conf_sheet!$A:$H,6,FALSE),VLOOKUP("other",bug_conf_sheet!$A:$H,6,FALSE))</f>
        <v>0</v>
      </c>
      <c r="S79" s="31">
        <f>IFERROR(VLOOKUP($E79,bug_conf_sheet!$A:$H,7,FALSE),VLOOKUP("other",bug_conf_sheet!$A:$H,7,FALSE))</f>
        <v>0</v>
      </c>
      <c r="T79" s="31">
        <f>IFERROR(VLOOKUP($E79,bug_conf_sheet!$A:$H,8,FALSE),VLOOKUP("other",bug_conf_sheet!$A:$H,8,FALSE))</f>
        <v>1</v>
      </c>
    </row>
    <row r="80" spans="1:20" ht="21" customHeight="1">
      <c r="A80" s="2" t="str">
        <f ca="1">input_313100!A$2</f>
        <v>313100</v>
      </c>
      <c r="B80" s="7" t="str">
        <f t="shared" si="5"/>
        <v>Premium5</v>
      </c>
      <c r="C80" s="7" t="str">
        <f t="shared" si="6"/>
        <v>Premium</v>
      </c>
      <c r="D80" s="7" t="str">
        <f t="shared" si="7"/>
        <v>ry</v>
      </c>
      <c r="E80" s="5">
        <v>204</v>
      </c>
      <c r="F80" s="7" t="str">
        <f>VLOOKUP(E80,[1]characters!$A:$C,3,FALSE)</f>
        <v>慟哭の巨焔 プロメテウス</v>
      </c>
      <c r="G80" s="7" t="str">
        <f>VLOOKUP(E80,[1]characters!$A:$J,10,FALSE)</f>
        <v>PremiumN</v>
      </c>
      <c r="H80" s="7">
        <f>VLOOKUP(E80,[1]characters!$A:$I,9,FALSE)</f>
        <v>5</v>
      </c>
      <c r="I80" s="7" t="str">
        <f>VLOOKUP(E80,[1]characters!$A:$H,8,FALSE)</f>
        <v>red</v>
      </c>
      <c r="J80" s="7" t="str">
        <f>VLOOKUP(E80,[1]characters!$A:$K,11,FALSE)</f>
        <v>hp</v>
      </c>
      <c r="K80" s="7" t="str">
        <f>VLOOKUP(E80,[1]characters!$A:$M,13,FALSE)</f>
        <v>god</v>
      </c>
      <c r="L80" s="7" t="str">
        <f>VLOOKUP(E80,[1]characters!$A:$G,7,FALSE)</f>
        <v>男性</v>
      </c>
      <c r="M80" s="62">
        <f ca="1">IFERROR(VLOOKUP(E80,input_313100!L:R,7,FALSE),VLOOKUP(tables_313100!B80,input_313100!A:H,8,FALSE))</f>
        <v>12950</v>
      </c>
      <c r="N80" s="63">
        <f t="shared" ca="1" si="8"/>
        <v>4.6296296296296298E-4</v>
      </c>
      <c r="O80" s="31">
        <f>IFERROR(VLOOKUP($E80,bug_conf_sheet!$A:$H,3,FALSE),VLOOKUP("other",bug_conf_sheet!$A:$H,3,FALSE))</f>
        <v>1</v>
      </c>
      <c r="P80" s="31">
        <f>IFERROR(VLOOKUP($E80,bug_conf_sheet!$A:$H,4,FALSE),VLOOKUP("other",bug_conf_sheet!$A:$H,4,FALSE))</f>
        <v>0</v>
      </c>
      <c r="Q80" s="31">
        <f>IFERROR(VLOOKUP($E80,bug_conf_sheet!$A:$H,5,FALSE),VLOOKUP("other",bug_conf_sheet!$A:$H,5,FALSE))</f>
        <v>0</v>
      </c>
      <c r="R80" s="31">
        <f>IFERROR(VLOOKUP($E80,bug_conf_sheet!$A:$H,6,FALSE),VLOOKUP("other",bug_conf_sheet!$A:$H,6,FALSE))</f>
        <v>0</v>
      </c>
      <c r="S80" s="31">
        <f>IFERROR(VLOOKUP($E80,bug_conf_sheet!$A:$H,7,FALSE),VLOOKUP("other",bug_conf_sheet!$A:$H,7,FALSE))</f>
        <v>0</v>
      </c>
      <c r="T80" s="31">
        <f>IFERROR(VLOOKUP($E80,bug_conf_sheet!$A:$H,8,FALSE),VLOOKUP("other",bug_conf_sheet!$A:$H,8,FALSE))</f>
        <v>1</v>
      </c>
    </row>
    <row r="81" spans="1:20" ht="21" customHeight="1">
      <c r="A81" s="2" t="str">
        <f ca="1">input_313100!A$2</f>
        <v>313100</v>
      </c>
      <c r="B81" s="7" t="str">
        <f t="shared" si="5"/>
        <v>Premium3</v>
      </c>
      <c r="C81" s="7" t="str">
        <f t="shared" si="6"/>
        <v>Premium</v>
      </c>
      <c r="D81" s="7" t="str">
        <f t="shared" si="7"/>
        <v>bg</v>
      </c>
      <c r="E81" s="5">
        <v>205</v>
      </c>
      <c r="F81" s="7" t="str">
        <f>VLOOKUP(E81,[1]characters!$A:$C,3,FALSE)</f>
        <v>アフロディーテ</v>
      </c>
      <c r="G81" s="7" t="str">
        <f>VLOOKUP(E81,[1]characters!$A:$J,10,FALSE)</f>
        <v>PremiumN</v>
      </c>
      <c r="H81" s="7">
        <f>VLOOKUP(E81,[1]characters!$A:$I,9,FALSE)</f>
        <v>3</v>
      </c>
      <c r="I81" s="7" t="str">
        <f>VLOOKUP(E81,[1]characters!$A:$H,8,FALSE)</f>
        <v>green</v>
      </c>
      <c r="J81" s="7" t="str">
        <f>VLOOKUP(E81,[1]characters!$A:$K,11,FALSE)</f>
        <v>hp</v>
      </c>
      <c r="K81" s="7" t="str">
        <f>VLOOKUP(E81,[1]characters!$A:$M,13,FALSE)</f>
        <v>god</v>
      </c>
      <c r="L81" s="7" t="str">
        <f>VLOOKUP(E81,[1]characters!$A:$G,7,FALSE)</f>
        <v>女性</v>
      </c>
      <c r="M81" s="62">
        <f ca="1">IFERROR(VLOOKUP(E81,input_313100!L:R,7,FALSE),VLOOKUP(tables_313100!B81,input_313100!A:H,8,FALSE))</f>
        <v>0</v>
      </c>
      <c r="N81" s="63">
        <f t="shared" ca="1" si="8"/>
        <v>0</v>
      </c>
      <c r="O81" s="31">
        <f>IFERROR(VLOOKUP($E81,bug_conf_sheet!$A:$H,3,FALSE),VLOOKUP("other",bug_conf_sheet!$A:$H,3,FALSE))</f>
        <v>1</v>
      </c>
      <c r="P81" s="31">
        <f>IFERROR(VLOOKUP($E81,bug_conf_sheet!$A:$H,4,FALSE),VLOOKUP("other",bug_conf_sheet!$A:$H,4,FALSE))</f>
        <v>0</v>
      </c>
      <c r="Q81" s="31">
        <f>IFERROR(VLOOKUP($E81,bug_conf_sheet!$A:$H,5,FALSE),VLOOKUP("other",bug_conf_sheet!$A:$H,5,FALSE))</f>
        <v>0</v>
      </c>
      <c r="R81" s="31">
        <f>IFERROR(VLOOKUP($E81,bug_conf_sheet!$A:$H,6,FALSE),VLOOKUP("other",bug_conf_sheet!$A:$H,6,FALSE))</f>
        <v>0</v>
      </c>
      <c r="S81" s="31">
        <f>IFERROR(VLOOKUP($E81,bug_conf_sheet!$A:$H,7,FALSE),VLOOKUP("other",bug_conf_sheet!$A:$H,7,FALSE))</f>
        <v>0</v>
      </c>
      <c r="T81" s="31">
        <f>IFERROR(VLOOKUP($E81,bug_conf_sheet!$A:$H,8,FALSE),VLOOKUP("other",bug_conf_sheet!$A:$H,8,FALSE))</f>
        <v>1</v>
      </c>
    </row>
    <row r="82" spans="1:20" ht="21" customHeight="1">
      <c r="A82" s="2" t="str">
        <f ca="1">input_313100!A$2</f>
        <v>313100</v>
      </c>
      <c r="B82" s="7" t="str">
        <f t="shared" si="5"/>
        <v>Premium4</v>
      </c>
      <c r="C82" s="7" t="str">
        <f t="shared" si="6"/>
        <v>Premium</v>
      </c>
      <c r="D82" s="7" t="str">
        <f t="shared" si="7"/>
        <v>bg</v>
      </c>
      <c r="E82" s="5">
        <v>206</v>
      </c>
      <c r="F82" s="7" t="str">
        <f>VLOOKUP(E82,[1]characters!$A:$C,3,FALSE)</f>
        <v>美神 アフロディーテ</v>
      </c>
      <c r="G82" s="7" t="str">
        <f>VLOOKUP(E82,[1]characters!$A:$J,10,FALSE)</f>
        <v>PremiumN</v>
      </c>
      <c r="H82" s="7">
        <f>VLOOKUP(E82,[1]characters!$A:$I,9,FALSE)</f>
        <v>4</v>
      </c>
      <c r="I82" s="7" t="str">
        <f>VLOOKUP(E82,[1]characters!$A:$H,8,FALSE)</f>
        <v>green</v>
      </c>
      <c r="J82" s="7" t="str">
        <f>VLOOKUP(E82,[1]characters!$A:$K,11,FALSE)</f>
        <v>hp</v>
      </c>
      <c r="K82" s="7" t="str">
        <f>VLOOKUP(E82,[1]characters!$A:$M,13,FALSE)</f>
        <v>god</v>
      </c>
      <c r="L82" s="7" t="str">
        <f>VLOOKUP(E82,[1]characters!$A:$G,7,FALSE)</f>
        <v>女性</v>
      </c>
      <c r="M82" s="62">
        <f ca="1">IFERROR(VLOOKUP(E82,input_313100!L:R,7,FALSE),VLOOKUP(tables_313100!B82,input_313100!A:H,8,FALSE))</f>
        <v>342090</v>
      </c>
      <c r="N82" s="63">
        <f t="shared" ca="1" si="8"/>
        <v>1.222972972972973E-2</v>
      </c>
      <c r="O82" s="31">
        <f>IFERROR(VLOOKUP($E82,bug_conf_sheet!$A:$H,3,FALSE),VLOOKUP("other",bug_conf_sheet!$A:$H,3,FALSE))</f>
        <v>1</v>
      </c>
      <c r="P82" s="31">
        <f>IFERROR(VLOOKUP($E82,bug_conf_sheet!$A:$H,4,FALSE),VLOOKUP("other",bug_conf_sheet!$A:$H,4,FALSE))</f>
        <v>0</v>
      </c>
      <c r="Q82" s="31">
        <f>IFERROR(VLOOKUP($E82,bug_conf_sheet!$A:$H,5,FALSE),VLOOKUP("other",bug_conf_sheet!$A:$H,5,FALSE))</f>
        <v>0</v>
      </c>
      <c r="R82" s="31">
        <f>IFERROR(VLOOKUP($E82,bug_conf_sheet!$A:$H,6,FALSE),VLOOKUP("other",bug_conf_sheet!$A:$H,6,FALSE))</f>
        <v>0</v>
      </c>
      <c r="S82" s="31">
        <f>IFERROR(VLOOKUP($E82,bug_conf_sheet!$A:$H,7,FALSE),VLOOKUP("other",bug_conf_sheet!$A:$H,7,FALSE))</f>
        <v>0</v>
      </c>
      <c r="T82" s="31">
        <f>IFERROR(VLOOKUP($E82,bug_conf_sheet!$A:$H,8,FALSE),VLOOKUP("other",bug_conf_sheet!$A:$H,8,FALSE))</f>
        <v>1</v>
      </c>
    </row>
    <row r="83" spans="1:20" ht="21" customHeight="1">
      <c r="A83" s="2" t="str">
        <f ca="1">input_313100!A$2</f>
        <v>313100</v>
      </c>
      <c r="B83" s="7" t="str">
        <f t="shared" si="5"/>
        <v>Premium5</v>
      </c>
      <c r="C83" s="7" t="str">
        <f t="shared" si="6"/>
        <v>Premium</v>
      </c>
      <c r="D83" s="7" t="str">
        <f t="shared" si="7"/>
        <v>bg</v>
      </c>
      <c r="E83" s="5">
        <v>207</v>
      </c>
      <c r="F83" s="7" t="str">
        <f>VLOOKUP(E83,[1]characters!$A:$C,3,FALSE)</f>
        <v>豊穣の麗神・アフロディーテ</v>
      </c>
      <c r="G83" s="7" t="str">
        <f>VLOOKUP(E83,[1]characters!$A:$J,10,FALSE)</f>
        <v>PremiumN</v>
      </c>
      <c r="H83" s="7">
        <f>VLOOKUP(E83,[1]characters!$A:$I,9,FALSE)</f>
        <v>5</v>
      </c>
      <c r="I83" s="7" t="str">
        <f>VLOOKUP(E83,[1]characters!$A:$H,8,FALSE)</f>
        <v>green</v>
      </c>
      <c r="J83" s="7" t="str">
        <f>VLOOKUP(E83,[1]characters!$A:$K,11,FALSE)</f>
        <v>hp</v>
      </c>
      <c r="K83" s="7" t="str">
        <f>VLOOKUP(E83,[1]characters!$A:$M,13,FALSE)</f>
        <v>god</v>
      </c>
      <c r="L83" s="7" t="str">
        <f>VLOOKUP(E83,[1]characters!$A:$G,7,FALSE)</f>
        <v>女性</v>
      </c>
      <c r="M83" s="62">
        <f ca="1">IFERROR(VLOOKUP(E83,input_313100!L:R,7,FALSE),VLOOKUP(tables_313100!B83,input_313100!A:H,8,FALSE))</f>
        <v>12950</v>
      </c>
      <c r="N83" s="63">
        <f t="shared" ca="1" si="8"/>
        <v>4.6296296296296298E-4</v>
      </c>
      <c r="O83" s="31">
        <f>IFERROR(VLOOKUP($E83,bug_conf_sheet!$A:$H,3,FALSE),VLOOKUP("other",bug_conf_sheet!$A:$H,3,FALSE))</f>
        <v>1</v>
      </c>
      <c r="P83" s="31">
        <f>IFERROR(VLOOKUP($E83,bug_conf_sheet!$A:$H,4,FALSE),VLOOKUP("other",bug_conf_sheet!$A:$H,4,FALSE))</f>
        <v>0</v>
      </c>
      <c r="Q83" s="31">
        <f>IFERROR(VLOOKUP($E83,bug_conf_sheet!$A:$H,5,FALSE),VLOOKUP("other",bug_conf_sheet!$A:$H,5,FALSE))</f>
        <v>0</v>
      </c>
      <c r="R83" s="31">
        <f>IFERROR(VLOOKUP($E83,bug_conf_sheet!$A:$H,6,FALSE),VLOOKUP("other",bug_conf_sheet!$A:$H,6,FALSE))</f>
        <v>0</v>
      </c>
      <c r="S83" s="31">
        <f>IFERROR(VLOOKUP($E83,bug_conf_sheet!$A:$H,7,FALSE),VLOOKUP("other",bug_conf_sheet!$A:$H,7,FALSE))</f>
        <v>0</v>
      </c>
      <c r="T83" s="31">
        <f>IFERROR(VLOOKUP($E83,bug_conf_sheet!$A:$H,8,FALSE),VLOOKUP("other",bug_conf_sheet!$A:$H,8,FALSE))</f>
        <v>1</v>
      </c>
    </row>
    <row r="84" spans="1:20" ht="21" customHeight="1">
      <c r="A84" s="2" t="str">
        <f ca="1">input_313100!A$2</f>
        <v>313100</v>
      </c>
      <c r="B84" s="7" t="str">
        <f t="shared" si="5"/>
        <v>Premium3</v>
      </c>
      <c r="C84" s="7" t="str">
        <f t="shared" si="6"/>
        <v>Premium</v>
      </c>
      <c r="D84" s="7" t="str">
        <f t="shared" si="7"/>
        <v>bg</v>
      </c>
      <c r="E84" s="5">
        <v>208</v>
      </c>
      <c r="F84" s="7" t="str">
        <f>VLOOKUP(E84,[1]characters!$A:$C,3,FALSE)</f>
        <v>テティス</v>
      </c>
      <c r="G84" s="7" t="str">
        <f>VLOOKUP(E84,[1]characters!$A:$J,10,FALSE)</f>
        <v>PremiumN</v>
      </c>
      <c r="H84" s="7">
        <f>VLOOKUP(E84,[1]characters!$A:$I,9,FALSE)</f>
        <v>3</v>
      </c>
      <c r="I84" s="7" t="str">
        <f>VLOOKUP(E84,[1]characters!$A:$H,8,FALSE)</f>
        <v>blue</v>
      </c>
      <c r="J84" s="7" t="str">
        <f>VLOOKUP(E84,[1]characters!$A:$K,11,FALSE)</f>
        <v>hp</v>
      </c>
      <c r="K84" s="7" t="str">
        <f>VLOOKUP(E84,[1]characters!$A:$M,13,FALSE)</f>
        <v>god</v>
      </c>
      <c r="L84" s="7" t="str">
        <f>VLOOKUP(E84,[1]characters!$A:$G,7,FALSE)</f>
        <v>女性</v>
      </c>
      <c r="M84" s="62">
        <f ca="1">IFERROR(VLOOKUP(E84,input_313100!L:R,7,FALSE),VLOOKUP(tables_313100!B84,input_313100!A:H,8,FALSE))</f>
        <v>0</v>
      </c>
      <c r="N84" s="63">
        <f t="shared" ca="1" si="8"/>
        <v>0</v>
      </c>
      <c r="O84" s="31">
        <f>IFERROR(VLOOKUP($E84,bug_conf_sheet!$A:$H,3,FALSE),VLOOKUP("other",bug_conf_sheet!$A:$H,3,FALSE))</f>
        <v>1</v>
      </c>
      <c r="P84" s="31">
        <f>IFERROR(VLOOKUP($E84,bug_conf_sheet!$A:$H,4,FALSE),VLOOKUP("other",bug_conf_sheet!$A:$H,4,FALSE))</f>
        <v>0</v>
      </c>
      <c r="Q84" s="31">
        <f>IFERROR(VLOOKUP($E84,bug_conf_sheet!$A:$H,5,FALSE),VLOOKUP("other",bug_conf_sheet!$A:$H,5,FALSE))</f>
        <v>0</v>
      </c>
      <c r="R84" s="31">
        <f>IFERROR(VLOOKUP($E84,bug_conf_sheet!$A:$H,6,FALSE),VLOOKUP("other",bug_conf_sheet!$A:$H,6,FALSE))</f>
        <v>0</v>
      </c>
      <c r="S84" s="31">
        <f>IFERROR(VLOOKUP($E84,bug_conf_sheet!$A:$H,7,FALSE),VLOOKUP("other",bug_conf_sheet!$A:$H,7,FALSE))</f>
        <v>0</v>
      </c>
      <c r="T84" s="31">
        <f>IFERROR(VLOOKUP($E84,bug_conf_sheet!$A:$H,8,FALSE),VLOOKUP("other",bug_conf_sheet!$A:$H,8,FALSE))</f>
        <v>1</v>
      </c>
    </row>
    <row r="85" spans="1:20" ht="21" customHeight="1">
      <c r="A85" s="2" t="str">
        <f ca="1">input_313100!A$2</f>
        <v>313100</v>
      </c>
      <c r="B85" s="7" t="str">
        <f t="shared" si="5"/>
        <v>Premium4</v>
      </c>
      <c r="C85" s="7" t="str">
        <f t="shared" si="6"/>
        <v>Premium</v>
      </c>
      <c r="D85" s="7" t="str">
        <f t="shared" si="7"/>
        <v>bg</v>
      </c>
      <c r="E85" s="5">
        <v>209</v>
      </c>
      <c r="F85" s="7" t="str">
        <f>VLOOKUP(E85,[1]characters!$A:$C,3,FALSE)</f>
        <v>孤神 テティス</v>
      </c>
      <c r="G85" s="7" t="str">
        <f>VLOOKUP(E85,[1]characters!$A:$J,10,FALSE)</f>
        <v>PremiumN</v>
      </c>
      <c r="H85" s="7">
        <f>VLOOKUP(E85,[1]characters!$A:$I,9,FALSE)</f>
        <v>4</v>
      </c>
      <c r="I85" s="7" t="str">
        <f>VLOOKUP(E85,[1]characters!$A:$H,8,FALSE)</f>
        <v>blue</v>
      </c>
      <c r="J85" s="7" t="str">
        <f>VLOOKUP(E85,[1]characters!$A:$K,11,FALSE)</f>
        <v>hp</v>
      </c>
      <c r="K85" s="7" t="str">
        <f>VLOOKUP(E85,[1]characters!$A:$M,13,FALSE)</f>
        <v>god</v>
      </c>
      <c r="L85" s="7" t="str">
        <f>VLOOKUP(E85,[1]characters!$A:$G,7,FALSE)</f>
        <v>女性</v>
      </c>
      <c r="M85" s="62">
        <f ca="1">IFERROR(VLOOKUP(E85,input_313100!L:R,7,FALSE),VLOOKUP(tables_313100!B85,input_313100!A:H,8,FALSE))</f>
        <v>342090</v>
      </c>
      <c r="N85" s="63">
        <f t="shared" ca="1" si="8"/>
        <v>1.222972972972973E-2</v>
      </c>
      <c r="O85" s="31">
        <f>IFERROR(VLOOKUP($E85,bug_conf_sheet!$A:$H,3,FALSE),VLOOKUP("other",bug_conf_sheet!$A:$H,3,FALSE))</f>
        <v>1</v>
      </c>
      <c r="P85" s="31">
        <f>IFERROR(VLOOKUP($E85,bug_conf_sheet!$A:$H,4,FALSE),VLOOKUP("other",bug_conf_sheet!$A:$H,4,FALSE))</f>
        <v>0</v>
      </c>
      <c r="Q85" s="31">
        <f>IFERROR(VLOOKUP($E85,bug_conf_sheet!$A:$H,5,FALSE),VLOOKUP("other",bug_conf_sheet!$A:$H,5,FALSE))</f>
        <v>0</v>
      </c>
      <c r="R85" s="31">
        <f>IFERROR(VLOOKUP($E85,bug_conf_sheet!$A:$H,6,FALSE),VLOOKUP("other",bug_conf_sheet!$A:$H,6,FALSE))</f>
        <v>0</v>
      </c>
      <c r="S85" s="31">
        <f>IFERROR(VLOOKUP($E85,bug_conf_sheet!$A:$H,7,FALSE),VLOOKUP("other",bug_conf_sheet!$A:$H,7,FALSE))</f>
        <v>0</v>
      </c>
      <c r="T85" s="31">
        <f>IFERROR(VLOOKUP($E85,bug_conf_sheet!$A:$H,8,FALSE),VLOOKUP("other",bug_conf_sheet!$A:$H,8,FALSE))</f>
        <v>1</v>
      </c>
    </row>
    <row r="86" spans="1:20" ht="21" customHeight="1">
      <c r="A86" s="2" t="str">
        <f ca="1">input_313100!A$2</f>
        <v>313100</v>
      </c>
      <c r="B86" s="7" t="str">
        <f t="shared" si="5"/>
        <v>Premium5</v>
      </c>
      <c r="C86" s="7" t="str">
        <f t="shared" si="6"/>
        <v>Premium</v>
      </c>
      <c r="D86" s="7" t="str">
        <f t="shared" si="7"/>
        <v>bg</v>
      </c>
      <c r="E86" s="5">
        <v>210</v>
      </c>
      <c r="F86" s="7" t="str">
        <f>VLOOKUP(E86,[1]characters!$A:$C,3,FALSE)</f>
        <v>海底の孤高神 テティス</v>
      </c>
      <c r="G86" s="7" t="str">
        <f>VLOOKUP(E86,[1]characters!$A:$J,10,FALSE)</f>
        <v>PremiumN</v>
      </c>
      <c r="H86" s="7">
        <f>VLOOKUP(E86,[1]characters!$A:$I,9,FALSE)</f>
        <v>5</v>
      </c>
      <c r="I86" s="7" t="str">
        <f>VLOOKUP(E86,[1]characters!$A:$H,8,FALSE)</f>
        <v>blue</v>
      </c>
      <c r="J86" s="7" t="str">
        <f>VLOOKUP(E86,[1]characters!$A:$K,11,FALSE)</f>
        <v>hp</v>
      </c>
      <c r="K86" s="7" t="str">
        <f>VLOOKUP(E86,[1]characters!$A:$M,13,FALSE)</f>
        <v>god</v>
      </c>
      <c r="L86" s="7" t="str">
        <f>VLOOKUP(E86,[1]characters!$A:$G,7,FALSE)</f>
        <v>女性</v>
      </c>
      <c r="M86" s="62">
        <f ca="1">IFERROR(VLOOKUP(E86,input_313100!L:R,7,FALSE),VLOOKUP(tables_313100!B86,input_313100!A:H,8,FALSE))</f>
        <v>12950</v>
      </c>
      <c r="N86" s="63">
        <f t="shared" ca="1" si="8"/>
        <v>4.6296296296296298E-4</v>
      </c>
      <c r="O86" s="31">
        <f>IFERROR(VLOOKUP($E86,bug_conf_sheet!$A:$H,3,FALSE),VLOOKUP("other",bug_conf_sheet!$A:$H,3,FALSE))</f>
        <v>1</v>
      </c>
      <c r="P86" s="31">
        <f>IFERROR(VLOOKUP($E86,bug_conf_sheet!$A:$H,4,FALSE),VLOOKUP("other",bug_conf_sheet!$A:$H,4,FALSE))</f>
        <v>0</v>
      </c>
      <c r="Q86" s="31">
        <f>IFERROR(VLOOKUP($E86,bug_conf_sheet!$A:$H,5,FALSE),VLOOKUP("other",bug_conf_sheet!$A:$H,5,FALSE))</f>
        <v>0</v>
      </c>
      <c r="R86" s="31">
        <f>IFERROR(VLOOKUP($E86,bug_conf_sheet!$A:$H,6,FALSE),VLOOKUP("other",bug_conf_sheet!$A:$H,6,FALSE))</f>
        <v>0</v>
      </c>
      <c r="S86" s="31">
        <f>IFERROR(VLOOKUP($E86,bug_conf_sheet!$A:$H,7,FALSE),VLOOKUP("other",bug_conf_sheet!$A:$H,7,FALSE))</f>
        <v>0</v>
      </c>
      <c r="T86" s="31">
        <f>IFERROR(VLOOKUP($E86,bug_conf_sheet!$A:$H,8,FALSE),VLOOKUP("other",bug_conf_sheet!$A:$H,8,FALSE))</f>
        <v>1</v>
      </c>
    </row>
    <row r="87" spans="1:20" ht="21" customHeight="1">
      <c r="A87" s="2" t="str">
        <f ca="1">input_313100!A$2</f>
        <v>313100</v>
      </c>
      <c r="B87" s="7" t="str">
        <f t="shared" si="5"/>
        <v>Premium3</v>
      </c>
      <c r="C87" s="7" t="str">
        <f t="shared" si="6"/>
        <v>Premium</v>
      </c>
      <c r="D87" s="7" t="str">
        <f t="shared" si="7"/>
        <v>ry</v>
      </c>
      <c r="E87" s="5">
        <v>211</v>
      </c>
      <c r="F87" s="7" t="str">
        <f>VLOOKUP(E87,[1]characters!$A:$C,3,FALSE)</f>
        <v>アストライアー</v>
      </c>
      <c r="G87" s="7" t="str">
        <f>VLOOKUP(E87,[1]characters!$A:$J,10,FALSE)</f>
        <v>PremiumN</v>
      </c>
      <c r="H87" s="7">
        <f>VLOOKUP(E87,[1]characters!$A:$I,9,FALSE)</f>
        <v>3</v>
      </c>
      <c r="I87" s="7" t="str">
        <f>VLOOKUP(E87,[1]characters!$A:$H,8,FALSE)</f>
        <v>yellow</v>
      </c>
      <c r="J87" s="7" t="str">
        <f>VLOOKUP(E87,[1]characters!$A:$K,11,FALSE)</f>
        <v>balance</v>
      </c>
      <c r="K87" s="7" t="str">
        <f>VLOOKUP(E87,[1]characters!$A:$M,13,FALSE)</f>
        <v>god</v>
      </c>
      <c r="L87" s="7" t="str">
        <f>VLOOKUP(E87,[1]characters!$A:$G,7,FALSE)</f>
        <v>女性</v>
      </c>
      <c r="M87" s="62">
        <f ca="1">IFERROR(VLOOKUP(E87,input_313100!L:R,7,FALSE),VLOOKUP(tables_313100!B87,input_313100!A:H,8,FALSE))</f>
        <v>0</v>
      </c>
      <c r="N87" s="63">
        <f t="shared" ca="1" si="8"/>
        <v>0</v>
      </c>
      <c r="O87" s="31">
        <f>IFERROR(VLOOKUP($E87,bug_conf_sheet!$A:$H,3,FALSE),VLOOKUP("other",bug_conf_sheet!$A:$H,3,FALSE))</f>
        <v>1</v>
      </c>
      <c r="P87" s="31">
        <f>IFERROR(VLOOKUP($E87,bug_conf_sheet!$A:$H,4,FALSE),VLOOKUP("other",bug_conf_sheet!$A:$H,4,FALSE))</f>
        <v>0</v>
      </c>
      <c r="Q87" s="31">
        <f>IFERROR(VLOOKUP($E87,bug_conf_sheet!$A:$H,5,FALSE),VLOOKUP("other",bug_conf_sheet!$A:$H,5,FALSE))</f>
        <v>0</v>
      </c>
      <c r="R87" s="31">
        <f>IFERROR(VLOOKUP($E87,bug_conf_sheet!$A:$H,6,FALSE),VLOOKUP("other",bug_conf_sheet!$A:$H,6,FALSE))</f>
        <v>0</v>
      </c>
      <c r="S87" s="31">
        <f>IFERROR(VLOOKUP($E87,bug_conf_sheet!$A:$H,7,FALSE),VLOOKUP("other",bug_conf_sheet!$A:$H,7,FALSE))</f>
        <v>0</v>
      </c>
      <c r="T87" s="31">
        <f>IFERROR(VLOOKUP($E87,bug_conf_sheet!$A:$H,8,FALSE),VLOOKUP("other",bug_conf_sheet!$A:$H,8,FALSE))</f>
        <v>1</v>
      </c>
    </row>
    <row r="88" spans="1:20" ht="21" customHeight="1">
      <c r="A88" s="2" t="str">
        <f ca="1">input_313100!A$2</f>
        <v>313100</v>
      </c>
      <c r="B88" s="7" t="str">
        <f t="shared" si="5"/>
        <v>Premium4</v>
      </c>
      <c r="C88" s="7" t="str">
        <f t="shared" si="6"/>
        <v>Premium</v>
      </c>
      <c r="D88" s="7" t="str">
        <f t="shared" si="7"/>
        <v>ry</v>
      </c>
      <c r="E88" s="5">
        <v>212</v>
      </c>
      <c r="F88" s="7" t="str">
        <f>VLOOKUP(E88,[1]characters!$A:$C,3,FALSE)</f>
        <v>星神 アストライアー</v>
      </c>
      <c r="G88" s="7" t="str">
        <f>VLOOKUP(E88,[1]characters!$A:$J,10,FALSE)</f>
        <v>PremiumN</v>
      </c>
      <c r="H88" s="7">
        <f>VLOOKUP(E88,[1]characters!$A:$I,9,FALSE)</f>
        <v>4</v>
      </c>
      <c r="I88" s="7" t="str">
        <f>VLOOKUP(E88,[1]characters!$A:$H,8,FALSE)</f>
        <v>yellow</v>
      </c>
      <c r="J88" s="7" t="str">
        <f>VLOOKUP(E88,[1]characters!$A:$K,11,FALSE)</f>
        <v>balance</v>
      </c>
      <c r="K88" s="7" t="str">
        <f>VLOOKUP(E88,[1]characters!$A:$M,13,FALSE)</f>
        <v>god</v>
      </c>
      <c r="L88" s="7" t="str">
        <f>VLOOKUP(E88,[1]characters!$A:$G,7,FALSE)</f>
        <v>女性</v>
      </c>
      <c r="M88" s="62">
        <f ca="1">IFERROR(VLOOKUP(E88,input_313100!L:R,7,FALSE),VLOOKUP(tables_313100!B88,input_313100!A:H,8,FALSE))</f>
        <v>342090</v>
      </c>
      <c r="N88" s="63">
        <f t="shared" ca="1" si="8"/>
        <v>1.222972972972973E-2</v>
      </c>
      <c r="O88" s="31">
        <f>IFERROR(VLOOKUP($E88,bug_conf_sheet!$A:$H,3,FALSE),VLOOKUP("other",bug_conf_sheet!$A:$H,3,FALSE))</f>
        <v>1</v>
      </c>
      <c r="P88" s="31">
        <f>IFERROR(VLOOKUP($E88,bug_conf_sheet!$A:$H,4,FALSE),VLOOKUP("other",bug_conf_sheet!$A:$H,4,FALSE))</f>
        <v>0</v>
      </c>
      <c r="Q88" s="31">
        <f>IFERROR(VLOOKUP($E88,bug_conf_sheet!$A:$H,5,FALSE),VLOOKUP("other",bug_conf_sheet!$A:$H,5,FALSE))</f>
        <v>0</v>
      </c>
      <c r="R88" s="31">
        <f>IFERROR(VLOOKUP($E88,bug_conf_sheet!$A:$H,6,FALSE),VLOOKUP("other",bug_conf_sheet!$A:$H,6,FALSE))</f>
        <v>0</v>
      </c>
      <c r="S88" s="31">
        <f>IFERROR(VLOOKUP($E88,bug_conf_sheet!$A:$H,7,FALSE),VLOOKUP("other",bug_conf_sheet!$A:$H,7,FALSE))</f>
        <v>0</v>
      </c>
      <c r="T88" s="31">
        <f>IFERROR(VLOOKUP($E88,bug_conf_sheet!$A:$H,8,FALSE),VLOOKUP("other",bug_conf_sheet!$A:$H,8,FALSE))</f>
        <v>1</v>
      </c>
    </row>
    <row r="89" spans="1:20" ht="21" customHeight="1">
      <c r="A89" s="2" t="str">
        <f ca="1">input_313100!A$2</f>
        <v>313100</v>
      </c>
      <c r="B89" s="7" t="str">
        <f t="shared" si="5"/>
        <v>Premium5</v>
      </c>
      <c r="C89" s="7" t="str">
        <f t="shared" si="6"/>
        <v>Premium</v>
      </c>
      <c r="D89" s="7" t="str">
        <f t="shared" si="7"/>
        <v>ry</v>
      </c>
      <c r="E89" s="5">
        <v>213</v>
      </c>
      <c r="F89" s="7" t="str">
        <f>VLOOKUP(E89,[1]characters!$A:$C,3,FALSE)</f>
        <v>満天の星降神 アストライアー</v>
      </c>
      <c r="G89" s="7" t="str">
        <f>VLOOKUP(E89,[1]characters!$A:$J,10,FALSE)</f>
        <v>PremiumN</v>
      </c>
      <c r="H89" s="7">
        <f>VLOOKUP(E89,[1]characters!$A:$I,9,FALSE)</f>
        <v>5</v>
      </c>
      <c r="I89" s="7" t="str">
        <f>VLOOKUP(E89,[1]characters!$A:$H,8,FALSE)</f>
        <v>yellow</v>
      </c>
      <c r="J89" s="7" t="str">
        <f>VLOOKUP(E89,[1]characters!$A:$K,11,FALSE)</f>
        <v>balance</v>
      </c>
      <c r="K89" s="7" t="str">
        <f>VLOOKUP(E89,[1]characters!$A:$M,13,FALSE)</f>
        <v>god</v>
      </c>
      <c r="L89" s="7" t="str">
        <f>VLOOKUP(E89,[1]characters!$A:$G,7,FALSE)</f>
        <v>女性</v>
      </c>
      <c r="M89" s="62">
        <f ca="1">IFERROR(VLOOKUP(E89,input_313100!L:R,7,FALSE),VLOOKUP(tables_313100!B89,input_313100!A:H,8,FALSE))</f>
        <v>12950</v>
      </c>
      <c r="N89" s="63">
        <f t="shared" ca="1" si="8"/>
        <v>4.6296296296296298E-4</v>
      </c>
      <c r="O89" s="31">
        <f>IFERROR(VLOOKUP($E89,bug_conf_sheet!$A:$H,3,FALSE),VLOOKUP("other",bug_conf_sheet!$A:$H,3,FALSE))</f>
        <v>1</v>
      </c>
      <c r="P89" s="31">
        <f>IFERROR(VLOOKUP($E89,bug_conf_sheet!$A:$H,4,FALSE),VLOOKUP("other",bug_conf_sheet!$A:$H,4,FALSE))</f>
        <v>0</v>
      </c>
      <c r="Q89" s="31">
        <f>IFERROR(VLOOKUP($E89,bug_conf_sheet!$A:$H,5,FALSE),VLOOKUP("other",bug_conf_sheet!$A:$H,5,FALSE))</f>
        <v>0</v>
      </c>
      <c r="R89" s="31">
        <f>IFERROR(VLOOKUP($E89,bug_conf_sheet!$A:$H,6,FALSE),VLOOKUP("other",bug_conf_sheet!$A:$H,6,FALSE))</f>
        <v>0</v>
      </c>
      <c r="S89" s="31">
        <f>IFERROR(VLOOKUP($E89,bug_conf_sheet!$A:$H,7,FALSE),VLOOKUP("other",bug_conf_sheet!$A:$H,7,FALSE))</f>
        <v>0</v>
      </c>
      <c r="T89" s="31">
        <f>IFERROR(VLOOKUP($E89,bug_conf_sheet!$A:$H,8,FALSE),VLOOKUP("other",bug_conf_sheet!$A:$H,8,FALSE))</f>
        <v>1</v>
      </c>
    </row>
    <row r="90" spans="1:20" ht="21" customHeight="1">
      <c r="A90" s="2" t="str">
        <f ca="1">input_313100!A$2</f>
        <v>313100</v>
      </c>
      <c r="B90" s="7" t="str">
        <f t="shared" si="5"/>
        <v>Premium3</v>
      </c>
      <c r="C90" s="7" t="str">
        <f t="shared" si="6"/>
        <v>Premium</v>
      </c>
      <c r="D90" s="7" t="str">
        <f t="shared" si="7"/>
        <v>ry</v>
      </c>
      <c r="E90" s="5">
        <v>214</v>
      </c>
      <c r="F90" s="7" t="str">
        <f>VLOOKUP(E90,[1]characters!$A:$C,3,FALSE)</f>
        <v>アズラエル</v>
      </c>
      <c r="G90" s="7" t="str">
        <f>VLOOKUP(E90,[1]characters!$A:$J,10,FALSE)</f>
        <v>PremiumN</v>
      </c>
      <c r="H90" s="7">
        <f>VLOOKUP(E90,[1]characters!$A:$I,9,FALSE)</f>
        <v>3</v>
      </c>
      <c r="I90" s="7" t="str">
        <f>VLOOKUP(E90,[1]characters!$A:$H,8,FALSE)</f>
        <v>red</v>
      </c>
      <c r="J90" s="7" t="str">
        <f>VLOOKUP(E90,[1]characters!$A:$K,11,FALSE)</f>
        <v>balance</v>
      </c>
      <c r="K90" s="7" t="str">
        <f>VLOOKUP(E90,[1]characters!$A:$M,13,FALSE)</f>
        <v>god</v>
      </c>
      <c r="L90" s="7" t="str">
        <f>VLOOKUP(E90,[1]characters!$A:$G,7,FALSE)</f>
        <v>女性</v>
      </c>
      <c r="M90" s="62">
        <f ca="1">IFERROR(VLOOKUP(E90,input_313100!L:R,7,FALSE),VLOOKUP(tables_313100!B90,input_313100!A:H,8,FALSE))</f>
        <v>0</v>
      </c>
      <c r="N90" s="63">
        <f t="shared" ca="1" si="8"/>
        <v>0</v>
      </c>
      <c r="O90" s="31">
        <f>IFERROR(VLOOKUP($E90,bug_conf_sheet!$A:$H,3,FALSE),VLOOKUP("other",bug_conf_sheet!$A:$H,3,FALSE))</f>
        <v>1</v>
      </c>
      <c r="P90" s="31">
        <f>IFERROR(VLOOKUP($E90,bug_conf_sheet!$A:$H,4,FALSE),VLOOKUP("other",bug_conf_sheet!$A:$H,4,FALSE))</f>
        <v>0</v>
      </c>
      <c r="Q90" s="31">
        <f>IFERROR(VLOOKUP($E90,bug_conf_sheet!$A:$H,5,FALSE),VLOOKUP("other",bug_conf_sheet!$A:$H,5,FALSE))</f>
        <v>0</v>
      </c>
      <c r="R90" s="31">
        <f>IFERROR(VLOOKUP($E90,bug_conf_sheet!$A:$H,6,FALSE),VLOOKUP("other",bug_conf_sheet!$A:$H,6,FALSE))</f>
        <v>0</v>
      </c>
      <c r="S90" s="31">
        <f>IFERROR(VLOOKUP($E90,bug_conf_sheet!$A:$H,7,FALSE),VLOOKUP("other",bug_conf_sheet!$A:$H,7,FALSE))</f>
        <v>0</v>
      </c>
      <c r="T90" s="31">
        <f>IFERROR(VLOOKUP($E90,bug_conf_sheet!$A:$H,8,FALSE),VLOOKUP("other",bug_conf_sheet!$A:$H,8,FALSE))</f>
        <v>1</v>
      </c>
    </row>
    <row r="91" spans="1:20" ht="21" customHeight="1">
      <c r="A91" s="2" t="str">
        <f ca="1">input_313100!A$2</f>
        <v>313100</v>
      </c>
      <c r="B91" s="7" t="str">
        <f t="shared" si="5"/>
        <v>Premium4</v>
      </c>
      <c r="C91" s="7" t="str">
        <f t="shared" si="6"/>
        <v>Premium</v>
      </c>
      <c r="D91" s="7" t="str">
        <f t="shared" si="7"/>
        <v>ry</v>
      </c>
      <c r="E91" s="5">
        <v>215</v>
      </c>
      <c r="F91" s="7" t="str">
        <f>VLOOKUP(E91,[1]characters!$A:$C,3,FALSE)</f>
        <v>死導者 アズラエル</v>
      </c>
      <c r="G91" s="7" t="str">
        <f>VLOOKUP(E91,[1]characters!$A:$J,10,FALSE)</f>
        <v>PremiumN</v>
      </c>
      <c r="H91" s="7">
        <f>VLOOKUP(E91,[1]characters!$A:$I,9,FALSE)</f>
        <v>4</v>
      </c>
      <c r="I91" s="7" t="str">
        <f>VLOOKUP(E91,[1]characters!$A:$H,8,FALSE)</f>
        <v>red</v>
      </c>
      <c r="J91" s="7" t="str">
        <f>VLOOKUP(E91,[1]characters!$A:$K,11,FALSE)</f>
        <v>balance</v>
      </c>
      <c r="K91" s="7" t="str">
        <f>VLOOKUP(E91,[1]characters!$A:$M,13,FALSE)</f>
        <v>god</v>
      </c>
      <c r="L91" s="7" t="str">
        <f>VLOOKUP(E91,[1]characters!$A:$G,7,FALSE)</f>
        <v>女性</v>
      </c>
      <c r="M91" s="62">
        <f ca="1">IFERROR(VLOOKUP(E91,input_313100!L:R,7,FALSE),VLOOKUP(tables_313100!B91,input_313100!A:H,8,FALSE))</f>
        <v>342090</v>
      </c>
      <c r="N91" s="63">
        <f t="shared" ca="1" si="8"/>
        <v>1.222972972972973E-2</v>
      </c>
      <c r="O91" s="31">
        <f>IFERROR(VLOOKUP($E91,bug_conf_sheet!$A:$H,3,FALSE),VLOOKUP("other",bug_conf_sheet!$A:$H,3,FALSE))</f>
        <v>1</v>
      </c>
      <c r="P91" s="31">
        <f>IFERROR(VLOOKUP($E91,bug_conf_sheet!$A:$H,4,FALSE),VLOOKUP("other",bug_conf_sheet!$A:$H,4,FALSE))</f>
        <v>0</v>
      </c>
      <c r="Q91" s="31">
        <f>IFERROR(VLOOKUP($E91,bug_conf_sheet!$A:$H,5,FALSE),VLOOKUP("other",bug_conf_sheet!$A:$H,5,FALSE))</f>
        <v>0</v>
      </c>
      <c r="R91" s="31">
        <f>IFERROR(VLOOKUP($E91,bug_conf_sheet!$A:$H,6,FALSE),VLOOKUP("other",bug_conf_sheet!$A:$H,6,FALSE))</f>
        <v>0</v>
      </c>
      <c r="S91" s="31">
        <f>IFERROR(VLOOKUP($E91,bug_conf_sheet!$A:$H,7,FALSE),VLOOKUP("other",bug_conf_sheet!$A:$H,7,FALSE))</f>
        <v>0</v>
      </c>
      <c r="T91" s="31">
        <f>IFERROR(VLOOKUP($E91,bug_conf_sheet!$A:$H,8,FALSE),VLOOKUP("other",bug_conf_sheet!$A:$H,8,FALSE))</f>
        <v>1</v>
      </c>
    </row>
    <row r="92" spans="1:20" ht="21" customHeight="1">
      <c r="A92" s="2" t="str">
        <f ca="1">input_313100!A$2</f>
        <v>313100</v>
      </c>
      <c r="B92" s="7" t="str">
        <f t="shared" si="5"/>
        <v>Premium5</v>
      </c>
      <c r="C92" s="7" t="str">
        <f t="shared" si="6"/>
        <v>Premium</v>
      </c>
      <c r="D92" s="7" t="str">
        <f t="shared" si="7"/>
        <v>ry</v>
      </c>
      <c r="E92" s="5">
        <v>216</v>
      </c>
      <c r="F92" s="7" t="str">
        <f>VLOOKUP(E92,[1]characters!$A:$C,3,FALSE)</f>
        <v>百読の死導司書 アズラエル</v>
      </c>
      <c r="G92" s="7" t="str">
        <f>VLOOKUP(E92,[1]characters!$A:$J,10,FALSE)</f>
        <v>PremiumN</v>
      </c>
      <c r="H92" s="7">
        <f>VLOOKUP(E92,[1]characters!$A:$I,9,FALSE)</f>
        <v>5</v>
      </c>
      <c r="I92" s="7" t="str">
        <f>VLOOKUP(E92,[1]characters!$A:$H,8,FALSE)</f>
        <v>red</v>
      </c>
      <c r="J92" s="7" t="str">
        <f>VLOOKUP(E92,[1]characters!$A:$K,11,FALSE)</f>
        <v>balance</v>
      </c>
      <c r="K92" s="7" t="str">
        <f>VLOOKUP(E92,[1]characters!$A:$M,13,FALSE)</f>
        <v>god</v>
      </c>
      <c r="L92" s="7" t="str">
        <f>VLOOKUP(E92,[1]characters!$A:$G,7,FALSE)</f>
        <v>女性</v>
      </c>
      <c r="M92" s="62">
        <f ca="1">IFERROR(VLOOKUP(E92,input_313100!L:R,7,FALSE),VLOOKUP(tables_313100!B92,input_313100!A:H,8,FALSE))</f>
        <v>12950</v>
      </c>
      <c r="N92" s="63">
        <f t="shared" ca="1" si="8"/>
        <v>4.6296296296296298E-4</v>
      </c>
      <c r="O92" s="31">
        <f>IFERROR(VLOOKUP($E92,bug_conf_sheet!$A:$H,3,FALSE),VLOOKUP("other",bug_conf_sheet!$A:$H,3,FALSE))</f>
        <v>1</v>
      </c>
      <c r="P92" s="31">
        <f>IFERROR(VLOOKUP($E92,bug_conf_sheet!$A:$H,4,FALSE),VLOOKUP("other",bug_conf_sheet!$A:$H,4,FALSE))</f>
        <v>0</v>
      </c>
      <c r="Q92" s="31">
        <f>IFERROR(VLOOKUP($E92,bug_conf_sheet!$A:$H,5,FALSE),VLOOKUP("other",bug_conf_sheet!$A:$H,5,FALSE))</f>
        <v>0</v>
      </c>
      <c r="R92" s="31">
        <f>IFERROR(VLOOKUP($E92,bug_conf_sheet!$A:$H,6,FALSE),VLOOKUP("other",bug_conf_sheet!$A:$H,6,FALSE))</f>
        <v>0</v>
      </c>
      <c r="S92" s="31">
        <f>IFERROR(VLOOKUP($E92,bug_conf_sheet!$A:$H,7,FALSE),VLOOKUP("other",bug_conf_sheet!$A:$H,7,FALSE))</f>
        <v>0</v>
      </c>
      <c r="T92" s="31">
        <f>IFERROR(VLOOKUP($E92,bug_conf_sheet!$A:$H,8,FALSE),VLOOKUP("other",bug_conf_sheet!$A:$H,8,FALSE))</f>
        <v>1</v>
      </c>
    </row>
    <row r="93" spans="1:20" ht="21" customHeight="1">
      <c r="A93" s="2" t="str">
        <f ca="1">input_313100!A$2</f>
        <v>313100</v>
      </c>
      <c r="B93" s="7" t="str">
        <f t="shared" si="5"/>
        <v>Premium3</v>
      </c>
      <c r="C93" s="7" t="str">
        <f t="shared" si="6"/>
        <v>Premium</v>
      </c>
      <c r="D93" s="7" t="str">
        <f t="shared" si="7"/>
        <v>bg</v>
      </c>
      <c r="E93" s="5">
        <v>217</v>
      </c>
      <c r="F93" s="7" t="str">
        <f>VLOOKUP(E93,[1]characters!$A:$C,3,FALSE)</f>
        <v>ケツァクアトル</v>
      </c>
      <c r="G93" s="7" t="str">
        <f>VLOOKUP(E93,[1]characters!$A:$J,10,FALSE)</f>
        <v>PremiumN</v>
      </c>
      <c r="H93" s="7">
        <f>VLOOKUP(E93,[1]characters!$A:$I,9,FALSE)</f>
        <v>3</v>
      </c>
      <c r="I93" s="7" t="str">
        <f>VLOOKUP(E93,[1]characters!$A:$H,8,FALSE)</f>
        <v>green</v>
      </c>
      <c r="J93" s="7" t="str">
        <f>VLOOKUP(E93,[1]characters!$A:$K,11,FALSE)</f>
        <v>hp</v>
      </c>
      <c r="K93" s="7" t="str">
        <f>VLOOKUP(E93,[1]characters!$A:$M,13,FALSE)</f>
        <v>dragon</v>
      </c>
      <c r="L93" s="7" t="str">
        <f>VLOOKUP(E93,[1]characters!$A:$G,7,FALSE)</f>
        <v>女性</v>
      </c>
      <c r="M93" s="62">
        <f ca="1">IFERROR(VLOOKUP(E93,input_313100!L:R,7,FALSE),VLOOKUP(tables_313100!B93,input_313100!A:H,8,FALSE))</f>
        <v>0</v>
      </c>
      <c r="N93" s="63">
        <f t="shared" ca="1" si="8"/>
        <v>0</v>
      </c>
      <c r="O93" s="31">
        <f>IFERROR(VLOOKUP($E93,bug_conf_sheet!$A:$H,3,FALSE),VLOOKUP("other",bug_conf_sheet!$A:$H,3,FALSE))</f>
        <v>1</v>
      </c>
      <c r="P93" s="31">
        <f>IFERROR(VLOOKUP($E93,bug_conf_sheet!$A:$H,4,FALSE),VLOOKUP("other",bug_conf_sheet!$A:$H,4,FALSE))</f>
        <v>0</v>
      </c>
      <c r="Q93" s="31">
        <f>IFERROR(VLOOKUP($E93,bug_conf_sheet!$A:$H,5,FALSE),VLOOKUP("other",bug_conf_sheet!$A:$H,5,FALSE))</f>
        <v>0</v>
      </c>
      <c r="R93" s="31">
        <f>IFERROR(VLOOKUP($E93,bug_conf_sheet!$A:$H,6,FALSE),VLOOKUP("other",bug_conf_sheet!$A:$H,6,FALSE))</f>
        <v>0</v>
      </c>
      <c r="S93" s="31">
        <f>IFERROR(VLOOKUP($E93,bug_conf_sheet!$A:$H,7,FALSE),VLOOKUP("other",bug_conf_sheet!$A:$H,7,FALSE))</f>
        <v>0</v>
      </c>
      <c r="T93" s="31">
        <f>IFERROR(VLOOKUP($E93,bug_conf_sheet!$A:$H,8,FALSE),VLOOKUP("other",bug_conf_sheet!$A:$H,8,FALSE))</f>
        <v>1</v>
      </c>
    </row>
    <row r="94" spans="1:20" ht="21" customHeight="1">
      <c r="A94" s="2" t="str">
        <f ca="1">input_313100!A$2</f>
        <v>313100</v>
      </c>
      <c r="B94" s="7" t="str">
        <f t="shared" si="5"/>
        <v>Premium4</v>
      </c>
      <c r="C94" s="7" t="str">
        <f t="shared" si="6"/>
        <v>Premium</v>
      </c>
      <c r="D94" s="7" t="str">
        <f t="shared" si="7"/>
        <v>bg</v>
      </c>
      <c r="E94" s="5">
        <v>218</v>
      </c>
      <c r="F94" s="7" t="str">
        <f>VLOOKUP(E94,[1]characters!$A:$C,3,FALSE)</f>
        <v>聖蛇 ケツァクアトル</v>
      </c>
      <c r="G94" s="7" t="str">
        <f>VLOOKUP(E94,[1]characters!$A:$J,10,FALSE)</f>
        <v>PremiumN</v>
      </c>
      <c r="H94" s="7">
        <f>VLOOKUP(E94,[1]characters!$A:$I,9,FALSE)</f>
        <v>4</v>
      </c>
      <c r="I94" s="7" t="str">
        <f>VLOOKUP(E94,[1]characters!$A:$H,8,FALSE)</f>
        <v>green</v>
      </c>
      <c r="J94" s="7" t="str">
        <f>VLOOKUP(E94,[1]characters!$A:$K,11,FALSE)</f>
        <v>hp</v>
      </c>
      <c r="K94" s="7" t="str">
        <f>VLOOKUP(E94,[1]characters!$A:$M,13,FALSE)</f>
        <v>dragon</v>
      </c>
      <c r="L94" s="7" t="str">
        <f>VLOOKUP(E94,[1]characters!$A:$G,7,FALSE)</f>
        <v>女性</v>
      </c>
      <c r="M94" s="62">
        <f ca="1">IFERROR(VLOOKUP(E94,input_313100!L:R,7,FALSE),VLOOKUP(tables_313100!B94,input_313100!A:H,8,FALSE))</f>
        <v>342090</v>
      </c>
      <c r="N94" s="63">
        <f t="shared" ca="1" si="8"/>
        <v>1.222972972972973E-2</v>
      </c>
      <c r="O94" s="31">
        <f>IFERROR(VLOOKUP($E94,bug_conf_sheet!$A:$H,3,FALSE),VLOOKUP("other",bug_conf_sheet!$A:$H,3,FALSE))</f>
        <v>1</v>
      </c>
      <c r="P94" s="31">
        <f>IFERROR(VLOOKUP($E94,bug_conf_sheet!$A:$H,4,FALSE),VLOOKUP("other",bug_conf_sheet!$A:$H,4,FALSE))</f>
        <v>0</v>
      </c>
      <c r="Q94" s="31">
        <f>IFERROR(VLOOKUP($E94,bug_conf_sheet!$A:$H,5,FALSE),VLOOKUP("other",bug_conf_sheet!$A:$H,5,FALSE))</f>
        <v>0</v>
      </c>
      <c r="R94" s="31">
        <f>IFERROR(VLOOKUP($E94,bug_conf_sheet!$A:$H,6,FALSE),VLOOKUP("other",bug_conf_sheet!$A:$H,6,FALSE))</f>
        <v>0</v>
      </c>
      <c r="S94" s="31">
        <f>IFERROR(VLOOKUP($E94,bug_conf_sheet!$A:$H,7,FALSE),VLOOKUP("other",bug_conf_sheet!$A:$H,7,FALSE))</f>
        <v>0</v>
      </c>
      <c r="T94" s="31">
        <f>IFERROR(VLOOKUP($E94,bug_conf_sheet!$A:$H,8,FALSE),VLOOKUP("other",bug_conf_sheet!$A:$H,8,FALSE))</f>
        <v>1</v>
      </c>
    </row>
    <row r="95" spans="1:20" ht="21" customHeight="1">
      <c r="A95" s="2" t="str">
        <f ca="1">input_313100!A$2</f>
        <v>313100</v>
      </c>
      <c r="B95" s="7" t="str">
        <f t="shared" si="5"/>
        <v>Premium5</v>
      </c>
      <c r="C95" s="7" t="str">
        <f t="shared" si="6"/>
        <v>Premium</v>
      </c>
      <c r="D95" s="7" t="str">
        <f t="shared" si="7"/>
        <v>bg</v>
      </c>
      <c r="E95" s="5">
        <v>219</v>
      </c>
      <c r="F95" s="7" t="str">
        <f>VLOOKUP(E95,[1]characters!$A:$C,3,FALSE)</f>
        <v>覇翼の聖蛇竜 ケツァクアトル</v>
      </c>
      <c r="G95" s="7" t="str">
        <f>VLOOKUP(E95,[1]characters!$A:$J,10,FALSE)</f>
        <v>PremiumN</v>
      </c>
      <c r="H95" s="7">
        <f>VLOOKUP(E95,[1]characters!$A:$I,9,FALSE)</f>
        <v>5</v>
      </c>
      <c r="I95" s="7" t="str">
        <f>VLOOKUP(E95,[1]characters!$A:$H,8,FALSE)</f>
        <v>green</v>
      </c>
      <c r="J95" s="7" t="str">
        <f>VLOOKUP(E95,[1]characters!$A:$K,11,FALSE)</f>
        <v>hp</v>
      </c>
      <c r="K95" s="7" t="str">
        <f>VLOOKUP(E95,[1]characters!$A:$M,13,FALSE)</f>
        <v>dragon</v>
      </c>
      <c r="L95" s="7" t="str">
        <f>VLOOKUP(E95,[1]characters!$A:$G,7,FALSE)</f>
        <v>女性</v>
      </c>
      <c r="M95" s="62">
        <f ca="1">IFERROR(VLOOKUP(E95,input_313100!L:R,7,FALSE),VLOOKUP(tables_313100!B95,input_313100!A:H,8,FALSE))</f>
        <v>12950</v>
      </c>
      <c r="N95" s="63">
        <f t="shared" ca="1" si="8"/>
        <v>4.6296296296296298E-4</v>
      </c>
      <c r="O95" s="31">
        <f>IFERROR(VLOOKUP($E95,bug_conf_sheet!$A:$H,3,FALSE),VLOOKUP("other",bug_conf_sheet!$A:$H,3,FALSE))</f>
        <v>1</v>
      </c>
      <c r="P95" s="31">
        <f>IFERROR(VLOOKUP($E95,bug_conf_sheet!$A:$H,4,FALSE),VLOOKUP("other",bug_conf_sheet!$A:$H,4,FALSE))</f>
        <v>0</v>
      </c>
      <c r="Q95" s="31">
        <f>IFERROR(VLOOKUP($E95,bug_conf_sheet!$A:$H,5,FALSE),VLOOKUP("other",bug_conf_sheet!$A:$H,5,FALSE))</f>
        <v>0</v>
      </c>
      <c r="R95" s="31">
        <f>IFERROR(VLOOKUP($E95,bug_conf_sheet!$A:$H,6,FALSE),VLOOKUP("other",bug_conf_sheet!$A:$H,6,FALSE))</f>
        <v>0</v>
      </c>
      <c r="S95" s="31">
        <f>IFERROR(VLOOKUP($E95,bug_conf_sheet!$A:$H,7,FALSE),VLOOKUP("other",bug_conf_sheet!$A:$H,7,FALSE))</f>
        <v>0</v>
      </c>
      <c r="T95" s="31">
        <f>IFERROR(VLOOKUP($E95,bug_conf_sheet!$A:$H,8,FALSE),VLOOKUP("other",bug_conf_sheet!$A:$H,8,FALSE))</f>
        <v>1</v>
      </c>
    </row>
    <row r="96" spans="1:20" ht="21" customHeight="1">
      <c r="A96" s="2" t="str">
        <f ca="1">input_313100!A$2</f>
        <v>313100</v>
      </c>
      <c r="B96" s="7" t="str">
        <f t="shared" si="5"/>
        <v>Premium3</v>
      </c>
      <c r="C96" s="7" t="str">
        <f t="shared" si="6"/>
        <v>Premium</v>
      </c>
      <c r="D96" s="7" t="str">
        <f t="shared" si="7"/>
        <v>bg</v>
      </c>
      <c r="E96" s="5">
        <v>220</v>
      </c>
      <c r="F96" s="7" t="str">
        <f>VLOOKUP(E96,[1]characters!$A:$C,3,FALSE)</f>
        <v>ルキフグス</v>
      </c>
      <c r="G96" s="7" t="str">
        <f>VLOOKUP(E96,[1]characters!$A:$J,10,FALSE)</f>
        <v>PremiumN</v>
      </c>
      <c r="H96" s="7">
        <f>VLOOKUP(E96,[1]characters!$A:$I,9,FALSE)</f>
        <v>3</v>
      </c>
      <c r="I96" s="7" t="str">
        <f>VLOOKUP(E96,[1]characters!$A:$H,8,FALSE)</f>
        <v>blue</v>
      </c>
      <c r="J96" s="7" t="str">
        <f>VLOOKUP(E96,[1]characters!$A:$K,11,FALSE)</f>
        <v>balance</v>
      </c>
      <c r="K96" s="7" t="str">
        <f>VLOOKUP(E96,[1]characters!$A:$M,13,FALSE)</f>
        <v>god</v>
      </c>
      <c r="L96" s="7" t="str">
        <f>VLOOKUP(E96,[1]characters!$A:$G,7,FALSE)</f>
        <v>女性</v>
      </c>
      <c r="M96" s="62">
        <f ca="1">IFERROR(VLOOKUP(E96,input_313100!L:R,7,FALSE),VLOOKUP(tables_313100!B96,input_313100!A:H,8,FALSE))</f>
        <v>0</v>
      </c>
      <c r="N96" s="63">
        <f t="shared" ca="1" si="8"/>
        <v>0</v>
      </c>
      <c r="O96" s="31">
        <f>IFERROR(VLOOKUP($E96,bug_conf_sheet!$A:$H,3,FALSE),VLOOKUP("other",bug_conf_sheet!$A:$H,3,FALSE))</f>
        <v>1</v>
      </c>
      <c r="P96" s="31">
        <f>IFERROR(VLOOKUP($E96,bug_conf_sheet!$A:$H,4,FALSE),VLOOKUP("other",bug_conf_sheet!$A:$H,4,FALSE))</f>
        <v>0</v>
      </c>
      <c r="Q96" s="31">
        <f>IFERROR(VLOOKUP($E96,bug_conf_sheet!$A:$H,5,FALSE),VLOOKUP("other",bug_conf_sheet!$A:$H,5,FALSE))</f>
        <v>0</v>
      </c>
      <c r="R96" s="31">
        <f>IFERROR(VLOOKUP($E96,bug_conf_sheet!$A:$H,6,FALSE),VLOOKUP("other",bug_conf_sheet!$A:$H,6,FALSE))</f>
        <v>0</v>
      </c>
      <c r="S96" s="31">
        <f>IFERROR(VLOOKUP($E96,bug_conf_sheet!$A:$H,7,FALSE),VLOOKUP("other",bug_conf_sheet!$A:$H,7,FALSE))</f>
        <v>0</v>
      </c>
      <c r="T96" s="31">
        <f>IFERROR(VLOOKUP($E96,bug_conf_sheet!$A:$H,8,FALSE),VLOOKUP("other",bug_conf_sheet!$A:$H,8,FALSE))</f>
        <v>1</v>
      </c>
    </row>
    <row r="97" spans="1:20" ht="21" customHeight="1">
      <c r="A97" s="2" t="str">
        <f ca="1">input_313100!A$2</f>
        <v>313100</v>
      </c>
      <c r="B97" s="7" t="str">
        <f t="shared" si="5"/>
        <v>Premium4</v>
      </c>
      <c r="C97" s="7" t="str">
        <f t="shared" si="6"/>
        <v>Premium</v>
      </c>
      <c r="D97" s="7" t="str">
        <f t="shared" si="7"/>
        <v>bg</v>
      </c>
      <c r="E97" s="5">
        <v>221</v>
      </c>
      <c r="F97" s="7" t="str">
        <f>VLOOKUP(E97,[1]characters!$A:$C,3,FALSE)</f>
        <v>宰相 ルキフグス</v>
      </c>
      <c r="G97" s="7" t="str">
        <f>VLOOKUP(E97,[1]characters!$A:$J,10,FALSE)</f>
        <v>PremiumN</v>
      </c>
      <c r="H97" s="7">
        <f>VLOOKUP(E97,[1]characters!$A:$I,9,FALSE)</f>
        <v>4</v>
      </c>
      <c r="I97" s="7" t="str">
        <f>VLOOKUP(E97,[1]characters!$A:$H,8,FALSE)</f>
        <v>blue</v>
      </c>
      <c r="J97" s="7" t="str">
        <f>VLOOKUP(E97,[1]characters!$A:$K,11,FALSE)</f>
        <v>balance</v>
      </c>
      <c r="K97" s="7" t="str">
        <f>VLOOKUP(E97,[1]characters!$A:$M,13,FALSE)</f>
        <v>god</v>
      </c>
      <c r="L97" s="7" t="str">
        <f>VLOOKUP(E97,[1]characters!$A:$G,7,FALSE)</f>
        <v>女性</v>
      </c>
      <c r="M97" s="62">
        <f ca="1">IFERROR(VLOOKUP(E97,input_313100!L:R,7,FALSE),VLOOKUP(tables_313100!B97,input_313100!A:H,8,FALSE))</f>
        <v>342090</v>
      </c>
      <c r="N97" s="63">
        <f t="shared" ca="1" si="8"/>
        <v>1.222972972972973E-2</v>
      </c>
      <c r="O97" s="31">
        <f>IFERROR(VLOOKUP($E97,bug_conf_sheet!$A:$H,3,FALSE),VLOOKUP("other",bug_conf_sheet!$A:$H,3,FALSE))</f>
        <v>1</v>
      </c>
      <c r="P97" s="31">
        <f>IFERROR(VLOOKUP($E97,bug_conf_sheet!$A:$H,4,FALSE),VLOOKUP("other",bug_conf_sheet!$A:$H,4,FALSE))</f>
        <v>0</v>
      </c>
      <c r="Q97" s="31">
        <f>IFERROR(VLOOKUP($E97,bug_conf_sheet!$A:$H,5,FALSE),VLOOKUP("other",bug_conf_sheet!$A:$H,5,FALSE))</f>
        <v>0</v>
      </c>
      <c r="R97" s="31">
        <f>IFERROR(VLOOKUP($E97,bug_conf_sheet!$A:$H,6,FALSE),VLOOKUP("other",bug_conf_sheet!$A:$H,6,FALSE))</f>
        <v>0</v>
      </c>
      <c r="S97" s="31">
        <f>IFERROR(VLOOKUP($E97,bug_conf_sheet!$A:$H,7,FALSE),VLOOKUP("other",bug_conf_sheet!$A:$H,7,FALSE))</f>
        <v>0</v>
      </c>
      <c r="T97" s="31">
        <f>IFERROR(VLOOKUP($E97,bug_conf_sheet!$A:$H,8,FALSE),VLOOKUP("other",bug_conf_sheet!$A:$H,8,FALSE))</f>
        <v>1</v>
      </c>
    </row>
    <row r="98" spans="1:20" ht="21" customHeight="1">
      <c r="A98" s="2" t="str">
        <f ca="1">input_313100!A$2</f>
        <v>313100</v>
      </c>
      <c r="B98" s="7" t="str">
        <f t="shared" si="5"/>
        <v>Premium5</v>
      </c>
      <c r="C98" s="7" t="str">
        <f t="shared" si="6"/>
        <v>Premium</v>
      </c>
      <c r="D98" s="7" t="str">
        <f t="shared" si="7"/>
        <v>bg</v>
      </c>
      <c r="E98" s="5">
        <v>222</v>
      </c>
      <c r="F98" s="7" t="str">
        <f>VLOOKUP(E98,[1]characters!$A:$C,3,FALSE)</f>
        <v>避光の鉄鎖宰相 ルキフグス</v>
      </c>
      <c r="G98" s="7" t="str">
        <f>VLOOKUP(E98,[1]characters!$A:$J,10,FALSE)</f>
        <v>PremiumN</v>
      </c>
      <c r="H98" s="7">
        <f>VLOOKUP(E98,[1]characters!$A:$I,9,FALSE)</f>
        <v>5</v>
      </c>
      <c r="I98" s="7" t="str">
        <f>VLOOKUP(E98,[1]characters!$A:$H,8,FALSE)</f>
        <v>blue</v>
      </c>
      <c r="J98" s="7" t="str">
        <f>VLOOKUP(E98,[1]characters!$A:$K,11,FALSE)</f>
        <v>balance</v>
      </c>
      <c r="K98" s="7" t="str">
        <f>VLOOKUP(E98,[1]characters!$A:$M,13,FALSE)</f>
        <v>god</v>
      </c>
      <c r="L98" s="7" t="str">
        <f>VLOOKUP(E98,[1]characters!$A:$G,7,FALSE)</f>
        <v>女性</v>
      </c>
      <c r="M98" s="62">
        <f ca="1">IFERROR(VLOOKUP(E98,input_313100!L:R,7,FALSE),VLOOKUP(tables_313100!B98,input_313100!A:H,8,FALSE))</f>
        <v>12950</v>
      </c>
      <c r="N98" s="63">
        <f t="shared" ca="1" si="8"/>
        <v>4.6296296296296298E-4</v>
      </c>
      <c r="O98" s="31">
        <f>IFERROR(VLOOKUP($E98,bug_conf_sheet!$A:$H,3,FALSE),VLOOKUP("other",bug_conf_sheet!$A:$H,3,FALSE))</f>
        <v>1</v>
      </c>
      <c r="P98" s="31">
        <f>IFERROR(VLOOKUP($E98,bug_conf_sheet!$A:$H,4,FALSE),VLOOKUP("other",bug_conf_sheet!$A:$H,4,FALSE))</f>
        <v>0</v>
      </c>
      <c r="Q98" s="31">
        <f>IFERROR(VLOOKUP($E98,bug_conf_sheet!$A:$H,5,FALSE),VLOOKUP("other",bug_conf_sheet!$A:$H,5,FALSE))</f>
        <v>0</v>
      </c>
      <c r="R98" s="31">
        <f>IFERROR(VLOOKUP($E98,bug_conf_sheet!$A:$H,6,FALSE),VLOOKUP("other",bug_conf_sheet!$A:$H,6,FALSE))</f>
        <v>0</v>
      </c>
      <c r="S98" s="31">
        <f>IFERROR(VLOOKUP($E98,bug_conf_sheet!$A:$H,7,FALSE),VLOOKUP("other",bug_conf_sheet!$A:$H,7,FALSE))</f>
        <v>0</v>
      </c>
      <c r="T98" s="31">
        <f>IFERROR(VLOOKUP($E98,bug_conf_sheet!$A:$H,8,FALSE),VLOOKUP("other",bug_conf_sheet!$A:$H,8,FALSE))</f>
        <v>1</v>
      </c>
    </row>
    <row r="99" spans="1:20" ht="21" customHeight="1">
      <c r="A99" s="2" t="str">
        <f ca="1">input_313100!A$2</f>
        <v>313100</v>
      </c>
      <c r="B99" s="7" t="str">
        <f t="shared" si="5"/>
        <v>Premium3</v>
      </c>
      <c r="C99" s="7" t="str">
        <f t="shared" si="6"/>
        <v>Premium</v>
      </c>
      <c r="D99" s="7" t="str">
        <f t="shared" si="7"/>
        <v>ry</v>
      </c>
      <c r="E99" s="5">
        <v>223</v>
      </c>
      <c r="F99" s="7" t="str">
        <f>VLOOKUP(E99,[1]characters!$A:$C,3,FALSE)</f>
        <v>ヘラクレス</v>
      </c>
      <c r="G99" s="7" t="str">
        <f>VLOOKUP(E99,[1]characters!$A:$J,10,FALSE)</f>
        <v>PremiumN</v>
      </c>
      <c r="H99" s="7">
        <f>VLOOKUP(E99,[1]characters!$A:$I,9,FALSE)</f>
        <v>3</v>
      </c>
      <c r="I99" s="7" t="str">
        <f>VLOOKUP(E99,[1]characters!$A:$H,8,FALSE)</f>
        <v>yellow</v>
      </c>
      <c r="J99" s="7" t="str">
        <f>VLOOKUP(E99,[1]characters!$A:$K,11,FALSE)</f>
        <v>balance</v>
      </c>
      <c r="K99" s="7" t="str">
        <f>VLOOKUP(E99,[1]characters!$A:$M,13,FALSE)</f>
        <v>human</v>
      </c>
      <c r="L99" s="7" t="str">
        <f>VLOOKUP(E99,[1]characters!$A:$G,7,FALSE)</f>
        <v>男性</v>
      </c>
      <c r="M99" s="62">
        <f ca="1">IFERROR(VLOOKUP(E99,input_313100!L:R,7,FALSE),VLOOKUP(tables_313100!B99,input_313100!A:H,8,FALSE))</f>
        <v>0</v>
      </c>
      <c r="N99" s="63">
        <f t="shared" ca="1" si="8"/>
        <v>0</v>
      </c>
      <c r="O99" s="31">
        <f>IFERROR(VLOOKUP($E99,bug_conf_sheet!$A:$H,3,FALSE),VLOOKUP("other",bug_conf_sheet!$A:$H,3,FALSE))</f>
        <v>1</v>
      </c>
      <c r="P99" s="31">
        <f>IFERROR(VLOOKUP($E99,bug_conf_sheet!$A:$H,4,FALSE),VLOOKUP("other",bug_conf_sheet!$A:$H,4,FALSE))</f>
        <v>0</v>
      </c>
      <c r="Q99" s="31">
        <f>IFERROR(VLOOKUP($E99,bug_conf_sheet!$A:$H,5,FALSE),VLOOKUP("other",bug_conf_sheet!$A:$H,5,FALSE))</f>
        <v>0</v>
      </c>
      <c r="R99" s="31">
        <f>IFERROR(VLOOKUP($E99,bug_conf_sheet!$A:$H,6,FALSE),VLOOKUP("other",bug_conf_sheet!$A:$H,6,FALSE))</f>
        <v>0</v>
      </c>
      <c r="S99" s="31">
        <f>IFERROR(VLOOKUP($E99,bug_conf_sheet!$A:$H,7,FALSE),VLOOKUP("other",bug_conf_sheet!$A:$H,7,FALSE))</f>
        <v>0</v>
      </c>
      <c r="T99" s="31">
        <f>IFERROR(VLOOKUP($E99,bug_conf_sheet!$A:$H,8,FALSE),VLOOKUP("other",bug_conf_sheet!$A:$H,8,FALSE))</f>
        <v>1</v>
      </c>
    </row>
    <row r="100" spans="1:20" ht="21" customHeight="1">
      <c r="A100" s="2" t="str">
        <f ca="1">input_313100!A$2</f>
        <v>313100</v>
      </c>
      <c r="B100" s="7" t="str">
        <f t="shared" si="5"/>
        <v>Premium4</v>
      </c>
      <c r="C100" s="7" t="str">
        <f t="shared" si="6"/>
        <v>Premium</v>
      </c>
      <c r="D100" s="7" t="str">
        <f t="shared" si="7"/>
        <v>ry</v>
      </c>
      <c r="E100" s="5">
        <v>224</v>
      </c>
      <c r="F100" s="7" t="str">
        <f>VLOOKUP(E100,[1]characters!$A:$C,3,FALSE)</f>
        <v>巨腕 ヘラクレス</v>
      </c>
      <c r="G100" s="7" t="str">
        <f>VLOOKUP(E100,[1]characters!$A:$J,10,FALSE)</f>
        <v>PremiumN</v>
      </c>
      <c r="H100" s="7">
        <f>VLOOKUP(E100,[1]characters!$A:$I,9,FALSE)</f>
        <v>4</v>
      </c>
      <c r="I100" s="7" t="str">
        <f>VLOOKUP(E100,[1]characters!$A:$H,8,FALSE)</f>
        <v>yellow</v>
      </c>
      <c r="J100" s="7" t="str">
        <f>VLOOKUP(E100,[1]characters!$A:$K,11,FALSE)</f>
        <v>balance</v>
      </c>
      <c r="K100" s="7" t="str">
        <f>VLOOKUP(E100,[1]characters!$A:$M,13,FALSE)</f>
        <v>human</v>
      </c>
      <c r="L100" s="7" t="str">
        <f>VLOOKUP(E100,[1]characters!$A:$G,7,FALSE)</f>
        <v>男性</v>
      </c>
      <c r="M100" s="62">
        <f ca="1">IFERROR(VLOOKUP(E100,input_313100!L:R,7,FALSE),VLOOKUP(tables_313100!B100,input_313100!A:H,8,FALSE))</f>
        <v>342090</v>
      </c>
      <c r="N100" s="63">
        <f t="shared" ca="1" si="8"/>
        <v>1.222972972972973E-2</v>
      </c>
      <c r="O100" s="31">
        <f>IFERROR(VLOOKUP($E100,bug_conf_sheet!$A:$H,3,FALSE),VLOOKUP("other",bug_conf_sheet!$A:$H,3,FALSE))</f>
        <v>1</v>
      </c>
      <c r="P100" s="31">
        <f>IFERROR(VLOOKUP($E100,bug_conf_sheet!$A:$H,4,FALSE),VLOOKUP("other",bug_conf_sheet!$A:$H,4,FALSE))</f>
        <v>0</v>
      </c>
      <c r="Q100" s="31">
        <f>IFERROR(VLOOKUP($E100,bug_conf_sheet!$A:$H,5,FALSE),VLOOKUP("other",bug_conf_sheet!$A:$H,5,FALSE))</f>
        <v>0</v>
      </c>
      <c r="R100" s="31">
        <f>IFERROR(VLOOKUP($E100,bug_conf_sheet!$A:$H,6,FALSE),VLOOKUP("other",bug_conf_sheet!$A:$H,6,FALSE))</f>
        <v>0</v>
      </c>
      <c r="S100" s="31">
        <f>IFERROR(VLOOKUP($E100,bug_conf_sheet!$A:$H,7,FALSE),VLOOKUP("other",bug_conf_sheet!$A:$H,7,FALSE))</f>
        <v>0</v>
      </c>
      <c r="T100" s="31">
        <f>IFERROR(VLOOKUP($E100,bug_conf_sheet!$A:$H,8,FALSE),VLOOKUP("other",bug_conf_sheet!$A:$H,8,FALSE))</f>
        <v>1</v>
      </c>
    </row>
    <row r="101" spans="1:20" ht="21" customHeight="1">
      <c r="A101" s="2" t="str">
        <f ca="1">input_313100!A$2</f>
        <v>313100</v>
      </c>
      <c r="B101" s="7" t="str">
        <f t="shared" si="5"/>
        <v>Premium5</v>
      </c>
      <c r="C101" s="7" t="str">
        <f t="shared" si="6"/>
        <v>Premium</v>
      </c>
      <c r="D101" s="7" t="str">
        <f t="shared" si="7"/>
        <v>ry</v>
      </c>
      <c r="E101" s="5">
        <v>225</v>
      </c>
      <c r="F101" s="7" t="str">
        <f>VLOOKUP(E101,[1]characters!$A:$C,3,FALSE)</f>
        <v>咆哮の巨獅腕 ヘラクレス</v>
      </c>
      <c r="G101" s="7" t="str">
        <f>VLOOKUP(E101,[1]characters!$A:$J,10,FALSE)</f>
        <v>PremiumN</v>
      </c>
      <c r="H101" s="7">
        <f>VLOOKUP(E101,[1]characters!$A:$I,9,FALSE)</f>
        <v>5</v>
      </c>
      <c r="I101" s="7" t="str">
        <f>VLOOKUP(E101,[1]characters!$A:$H,8,FALSE)</f>
        <v>yellow</v>
      </c>
      <c r="J101" s="7" t="str">
        <f>VLOOKUP(E101,[1]characters!$A:$K,11,FALSE)</f>
        <v>balance</v>
      </c>
      <c r="K101" s="7" t="str">
        <f>VLOOKUP(E101,[1]characters!$A:$M,13,FALSE)</f>
        <v>human</v>
      </c>
      <c r="L101" s="7" t="str">
        <f>VLOOKUP(E101,[1]characters!$A:$G,7,FALSE)</f>
        <v>男性</v>
      </c>
      <c r="M101" s="62">
        <f ca="1">IFERROR(VLOOKUP(E101,input_313100!L:R,7,FALSE),VLOOKUP(tables_313100!B101,input_313100!A:H,8,FALSE))</f>
        <v>12950</v>
      </c>
      <c r="N101" s="63">
        <f t="shared" ca="1" si="8"/>
        <v>4.6296296296296298E-4</v>
      </c>
      <c r="O101" s="31">
        <f>IFERROR(VLOOKUP($E101,bug_conf_sheet!$A:$H,3,FALSE),VLOOKUP("other",bug_conf_sheet!$A:$H,3,FALSE))</f>
        <v>1</v>
      </c>
      <c r="P101" s="31">
        <f>IFERROR(VLOOKUP($E101,bug_conf_sheet!$A:$H,4,FALSE),VLOOKUP("other",bug_conf_sheet!$A:$H,4,FALSE))</f>
        <v>0</v>
      </c>
      <c r="Q101" s="31">
        <f>IFERROR(VLOOKUP($E101,bug_conf_sheet!$A:$H,5,FALSE),VLOOKUP("other",bug_conf_sheet!$A:$H,5,FALSE))</f>
        <v>0</v>
      </c>
      <c r="R101" s="31">
        <f>IFERROR(VLOOKUP($E101,bug_conf_sheet!$A:$H,6,FALSE),VLOOKUP("other",bug_conf_sheet!$A:$H,6,FALSE))</f>
        <v>0</v>
      </c>
      <c r="S101" s="31">
        <f>IFERROR(VLOOKUP($E101,bug_conf_sheet!$A:$H,7,FALSE),VLOOKUP("other",bug_conf_sheet!$A:$H,7,FALSE))</f>
        <v>0</v>
      </c>
      <c r="T101" s="31">
        <f>IFERROR(VLOOKUP($E101,bug_conf_sheet!$A:$H,8,FALSE),VLOOKUP("other",bug_conf_sheet!$A:$H,8,FALSE))</f>
        <v>1</v>
      </c>
    </row>
    <row r="102" spans="1:20" ht="21" customHeight="1">
      <c r="A102" s="2" t="str">
        <f ca="1">input_313100!A$2</f>
        <v>313100</v>
      </c>
      <c r="B102" s="7" t="str">
        <f t="shared" si="5"/>
        <v>Premium3</v>
      </c>
      <c r="C102" s="7" t="str">
        <f t="shared" si="6"/>
        <v>Premium</v>
      </c>
      <c r="D102" s="7" t="str">
        <f t="shared" si="7"/>
        <v>ry</v>
      </c>
      <c r="E102" s="5">
        <v>226</v>
      </c>
      <c r="F102" s="7" t="str">
        <f>VLOOKUP(E102,[1]characters!$A:$C,3,FALSE)</f>
        <v>アレス</v>
      </c>
      <c r="G102" s="7" t="str">
        <f>VLOOKUP(E102,[1]characters!$A:$J,10,FALSE)</f>
        <v>PremiumS</v>
      </c>
      <c r="H102" s="7">
        <f>VLOOKUP(E102,[1]characters!$A:$I,9,FALSE)</f>
        <v>3</v>
      </c>
      <c r="I102" s="7" t="str">
        <f>VLOOKUP(E102,[1]characters!$A:$H,8,FALSE)</f>
        <v>red</v>
      </c>
      <c r="J102" s="7" t="str">
        <f>VLOOKUP(E102,[1]characters!$A:$K,11,FALSE)</f>
        <v>attack</v>
      </c>
      <c r="K102" s="7" t="str">
        <f>VLOOKUP(E102,[1]characters!$A:$M,13,FALSE)</f>
        <v>god</v>
      </c>
      <c r="L102" s="7" t="str">
        <f>VLOOKUP(E102,[1]characters!$A:$G,7,FALSE)</f>
        <v>男性</v>
      </c>
      <c r="M102" s="62">
        <f ca="1">IFERROR(VLOOKUP(E102,input_313100!L:R,7,FALSE),VLOOKUP(tables_313100!B102,input_313100!A:H,8,FALSE))</f>
        <v>0</v>
      </c>
      <c r="N102" s="63">
        <f t="shared" ca="1" si="8"/>
        <v>0</v>
      </c>
      <c r="O102" s="31">
        <f>IFERROR(VLOOKUP($E102,bug_conf_sheet!$A:$H,3,FALSE),VLOOKUP("other",bug_conf_sheet!$A:$H,3,FALSE))</f>
        <v>1</v>
      </c>
      <c r="P102" s="31">
        <f>IFERROR(VLOOKUP($E102,bug_conf_sheet!$A:$H,4,FALSE),VLOOKUP("other",bug_conf_sheet!$A:$H,4,FALSE))</f>
        <v>0</v>
      </c>
      <c r="Q102" s="31">
        <f>IFERROR(VLOOKUP($E102,bug_conf_sheet!$A:$H,5,FALSE),VLOOKUP("other",bug_conf_sheet!$A:$H,5,FALSE))</f>
        <v>0</v>
      </c>
      <c r="R102" s="31">
        <f>IFERROR(VLOOKUP($E102,bug_conf_sheet!$A:$H,6,FALSE),VLOOKUP("other",bug_conf_sheet!$A:$H,6,FALSE))</f>
        <v>0</v>
      </c>
      <c r="S102" s="31">
        <f>IFERROR(VLOOKUP($E102,bug_conf_sheet!$A:$H,7,FALSE),VLOOKUP("other",bug_conf_sheet!$A:$H,7,FALSE))</f>
        <v>0</v>
      </c>
      <c r="T102" s="31">
        <f>IFERROR(VLOOKUP($E102,bug_conf_sheet!$A:$H,8,FALSE),VLOOKUP("other",bug_conf_sheet!$A:$H,8,FALSE))</f>
        <v>1</v>
      </c>
    </row>
    <row r="103" spans="1:20" ht="21" customHeight="1">
      <c r="A103" s="2" t="str">
        <f ca="1">input_313100!A$2</f>
        <v>313100</v>
      </c>
      <c r="B103" s="7" t="str">
        <f t="shared" si="5"/>
        <v>Premium4</v>
      </c>
      <c r="C103" s="7" t="str">
        <f t="shared" si="6"/>
        <v>Premium</v>
      </c>
      <c r="D103" s="7" t="str">
        <f t="shared" si="7"/>
        <v>ry</v>
      </c>
      <c r="E103" s="5">
        <v>227</v>
      </c>
      <c r="F103" s="7" t="str">
        <f>VLOOKUP(E103,[1]characters!$A:$C,3,FALSE)</f>
        <v>滅弾 アレス</v>
      </c>
      <c r="G103" s="7" t="str">
        <f>VLOOKUP(E103,[1]characters!$A:$J,10,FALSE)</f>
        <v>PremiumS</v>
      </c>
      <c r="H103" s="7">
        <f>VLOOKUP(E103,[1]characters!$A:$I,9,FALSE)</f>
        <v>4</v>
      </c>
      <c r="I103" s="7" t="str">
        <f>VLOOKUP(E103,[1]characters!$A:$H,8,FALSE)</f>
        <v>red</v>
      </c>
      <c r="J103" s="7" t="str">
        <f>VLOOKUP(E103,[1]characters!$A:$K,11,FALSE)</f>
        <v>attack</v>
      </c>
      <c r="K103" s="7" t="str">
        <f>VLOOKUP(E103,[1]characters!$A:$M,13,FALSE)</f>
        <v>god</v>
      </c>
      <c r="L103" s="7" t="str">
        <f>VLOOKUP(E103,[1]characters!$A:$G,7,FALSE)</f>
        <v>男性</v>
      </c>
      <c r="M103" s="62">
        <f ca="1">IFERROR(VLOOKUP(E103,input_313100!L:R,7,FALSE),VLOOKUP(tables_313100!B103,input_313100!A:H,8,FALSE))</f>
        <v>342090</v>
      </c>
      <c r="N103" s="63">
        <f t="shared" ca="1" si="8"/>
        <v>1.222972972972973E-2</v>
      </c>
      <c r="O103" s="31">
        <f>IFERROR(VLOOKUP($E103,bug_conf_sheet!$A:$H,3,FALSE),VLOOKUP("other",bug_conf_sheet!$A:$H,3,FALSE))</f>
        <v>1</v>
      </c>
      <c r="P103" s="31">
        <f>IFERROR(VLOOKUP($E103,bug_conf_sheet!$A:$H,4,FALSE),VLOOKUP("other",bug_conf_sheet!$A:$H,4,FALSE))</f>
        <v>0</v>
      </c>
      <c r="Q103" s="31">
        <f>IFERROR(VLOOKUP($E103,bug_conf_sheet!$A:$H,5,FALSE),VLOOKUP("other",bug_conf_sheet!$A:$H,5,FALSE))</f>
        <v>0</v>
      </c>
      <c r="R103" s="31">
        <f>IFERROR(VLOOKUP($E103,bug_conf_sheet!$A:$H,6,FALSE),VLOOKUP("other",bug_conf_sheet!$A:$H,6,FALSE))</f>
        <v>0</v>
      </c>
      <c r="S103" s="31">
        <f>IFERROR(VLOOKUP($E103,bug_conf_sheet!$A:$H,7,FALSE),VLOOKUP("other",bug_conf_sheet!$A:$H,7,FALSE))</f>
        <v>0</v>
      </c>
      <c r="T103" s="31">
        <f>IFERROR(VLOOKUP($E103,bug_conf_sheet!$A:$H,8,FALSE),VLOOKUP("other",bug_conf_sheet!$A:$H,8,FALSE))</f>
        <v>1</v>
      </c>
    </row>
    <row r="104" spans="1:20" ht="21" customHeight="1">
      <c r="A104" s="2" t="str">
        <f ca="1">input_313100!A$2</f>
        <v>313100</v>
      </c>
      <c r="B104" s="7" t="str">
        <f t="shared" si="5"/>
        <v>Premium5</v>
      </c>
      <c r="C104" s="7" t="str">
        <f t="shared" si="6"/>
        <v>Premium</v>
      </c>
      <c r="D104" s="7" t="str">
        <f t="shared" si="7"/>
        <v>ry</v>
      </c>
      <c r="E104" s="5">
        <v>228</v>
      </c>
      <c r="F104" s="7" t="str">
        <f>VLOOKUP(E104,[1]characters!$A:$C,3,FALSE)</f>
        <v>殲滅の掃射砲 アレス</v>
      </c>
      <c r="G104" s="7" t="str">
        <f>VLOOKUP(E104,[1]characters!$A:$J,10,FALSE)</f>
        <v>PremiumS</v>
      </c>
      <c r="H104" s="7">
        <f>VLOOKUP(E104,[1]characters!$A:$I,9,FALSE)</f>
        <v>5</v>
      </c>
      <c r="I104" s="7" t="str">
        <f>VLOOKUP(E104,[1]characters!$A:$H,8,FALSE)</f>
        <v>red</v>
      </c>
      <c r="J104" s="7" t="str">
        <f>VLOOKUP(E104,[1]characters!$A:$K,11,FALSE)</f>
        <v>attack</v>
      </c>
      <c r="K104" s="7" t="str">
        <f>VLOOKUP(E104,[1]characters!$A:$M,13,FALSE)</f>
        <v>god</v>
      </c>
      <c r="L104" s="7" t="str">
        <f>VLOOKUP(E104,[1]characters!$A:$G,7,FALSE)</f>
        <v>男性</v>
      </c>
      <c r="M104" s="62">
        <f ca="1">IFERROR(VLOOKUP(E104,input_313100!L:R,7,FALSE),VLOOKUP(tables_313100!B104,input_313100!A:H,8,FALSE))</f>
        <v>12950</v>
      </c>
      <c r="N104" s="63">
        <f t="shared" ca="1" si="8"/>
        <v>4.6296296296296298E-4</v>
      </c>
      <c r="O104" s="31">
        <f>IFERROR(VLOOKUP($E104,bug_conf_sheet!$A:$H,3,FALSE),VLOOKUP("other",bug_conf_sheet!$A:$H,3,FALSE))</f>
        <v>1</v>
      </c>
      <c r="P104" s="31">
        <f>IFERROR(VLOOKUP($E104,bug_conf_sheet!$A:$H,4,FALSE),VLOOKUP("other",bug_conf_sheet!$A:$H,4,FALSE))</f>
        <v>0</v>
      </c>
      <c r="Q104" s="31">
        <f>IFERROR(VLOOKUP($E104,bug_conf_sheet!$A:$H,5,FALSE),VLOOKUP("other",bug_conf_sheet!$A:$H,5,FALSE))</f>
        <v>0</v>
      </c>
      <c r="R104" s="31">
        <f>IFERROR(VLOOKUP($E104,bug_conf_sheet!$A:$H,6,FALSE),VLOOKUP("other",bug_conf_sheet!$A:$H,6,FALSE))</f>
        <v>0</v>
      </c>
      <c r="S104" s="31">
        <f>IFERROR(VLOOKUP($E104,bug_conf_sheet!$A:$H,7,FALSE),VLOOKUP("other",bug_conf_sheet!$A:$H,7,FALSE))</f>
        <v>0</v>
      </c>
      <c r="T104" s="31">
        <f>IFERROR(VLOOKUP($E104,bug_conf_sheet!$A:$H,8,FALSE),VLOOKUP("other",bug_conf_sheet!$A:$H,8,FALSE))</f>
        <v>1</v>
      </c>
    </row>
    <row r="105" spans="1:20" ht="21" customHeight="1">
      <c r="A105" s="2" t="str">
        <f ca="1">input_313100!A$2</f>
        <v>313100</v>
      </c>
      <c r="B105" s="7" t="str">
        <f t="shared" si="5"/>
        <v>Premium3</v>
      </c>
      <c r="C105" s="7" t="str">
        <f t="shared" si="6"/>
        <v>Premium</v>
      </c>
      <c r="D105" s="7" t="str">
        <f t="shared" si="7"/>
        <v>bg</v>
      </c>
      <c r="E105" s="5">
        <v>229</v>
      </c>
      <c r="F105" s="7" t="str">
        <f>VLOOKUP(E105,[1]characters!$A:$C,3,FALSE)</f>
        <v>ヨルムンガンド</v>
      </c>
      <c r="G105" s="7" t="str">
        <f>VLOOKUP(E105,[1]characters!$A:$J,10,FALSE)</f>
        <v>PremiumS</v>
      </c>
      <c r="H105" s="7">
        <f>VLOOKUP(E105,[1]characters!$A:$I,9,FALSE)</f>
        <v>3</v>
      </c>
      <c r="I105" s="7" t="str">
        <f>VLOOKUP(E105,[1]characters!$A:$H,8,FALSE)</f>
        <v>green</v>
      </c>
      <c r="J105" s="7" t="str">
        <f>VLOOKUP(E105,[1]characters!$A:$K,11,FALSE)</f>
        <v>technical</v>
      </c>
      <c r="K105" s="7" t="str">
        <f>VLOOKUP(E105,[1]characters!$A:$M,13,FALSE)</f>
        <v>dragon</v>
      </c>
      <c r="L105" s="7" t="str">
        <f>VLOOKUP(E105,[1]characters!$A:$G,7,FALSE)</f>
        <v>女性</v>
      </c>
      <c r="M105" s="62">
        <f ca="1">IFERROR(VLOOKUP(E105,input_313100!L:R,7,FALSE),VLOOKUP(tables_313100!B105,input_313100!A:H,8,FALSE))</f>
        <v>0</v>
      </c>
      <c r="N105" s="63">
        <f t="shared" ca="1" si="8"/>
        <v>0</v>
      </c>
      <c r="O105" s="31">
        <f>IFERROR(VLOOKUP($E105,bug_conf_sheet!$A:$H,3,FALSE),VLOOKUP("other",bug_conf_sheet!$A:$H,3,FALSE))</f>
        <v>1</v>
      </c>
      <c r="P105" s="31">
        <f>IFERROR(VLOOKUP($E105,bug_conf_sheet!$A:$H,4,FALSE),VLOOKUP("other",bug_conf_sheet!$A:$H,4,FALSE))</f>
        <v>0</v>
      </c>
      <c r="Q105" s="31">
        <f>IFERROR(VLOOKUP($E105,bug_conf_sheet!$A:$H,5,FALSE),VLOOKUP("other",bug_conf_sheet!$A:$H,5,FALSE))</f>
        <v>0</v>
      </c>
      <c r="R105" s="31">
        <f>IFERROR(VLOOKUP($E105,bug_conf_sheet!$A:$H,6,FALSE),VLOOKUP("other",bug_conf_sheet!$A:$H,6,FALSE))</f>
        <v>0</v>
      </c>
      <c r="S105" s="31">
        <f>IFERROR(VLOOKUP($E105,bug_conf_sheet!$A:$H,7,FALSE),VLOOKUP("other",bug_conf_sheet!$A:$H,7,FALSE))</f>
        <v>0</v>
      </c>
      <c r="T105" s="31">
        <f>IFERROR(VLOOKUP($E105,bug_conf_sheet!$A:$H,8,FALSE),VLOOKUP("other",bug_conf_sheet!$A:$H,8,FALSE))</f>
        <v>1</v>
      </c>
    </row>
    <row r="106" spans="1:20" ht="21" customHeight="1">
      <c r="A106" s="2" t="str">
        <f ca="1">input_313100!A$2</f>
        <v>313100</v>
      </c>
      <c r="B106" s="7" t="str">
        <f t="shared" si="5"/>
        <v>Premium4</v>
      </c>
      <c r="C106" s="7" t="str">
        <f t="shared" si="6"/>
        <v>Premium</v>
      </c>
      <c r="D106" s="7" t="str">
        <f t="shared" si="7"/>
        <v>bg</v>
      </c>
      <c r="E106" s="5">
        <v>230</v>
      </c>
      <c r="F106" s="7" t="str">
        <f>VLOOKUP(E106,[1]characters!$A:$C,3,FALSE)</f>
        <v>毒銃 ヨルムンガンド</v>
      </c>
      <c r="G106" s="7" t="str">
        <f>VLOOKUP(E106,[1]characters!$A:$J,10,FALSE)</f>
        <v>PremiumS</v>
      </c>
      <c r="H106" s="7">
        <f>VLOOKUP(E106,[1]characters!$A:$I,9,FALSE)</f>
        <v>4</v>
      </c>
      <c r="I106" s="7" t="str">
        <f>VLOOKUP(E106,[1]characters!$A:$H,8,FALSE)</f>
        <v>green</v>
      </c>
      <c r="J106" s="7" t="str">
        <f>VLOOKUP(E106,[1]characters!$A:$K,11,FALSE)</f>
        <v>technical</v>
      </c>
      <c r="K106" s="7" t="str">
        <f>VLOOKUP(E106,[1]characters!$A:$M,13,FALSE)</f>
        <v>dragon</v>
      </c>
      <c r="L106" s="7" t="str">
        <f>VLOOKUP(E106,[1]characters!$A:$G,7,FALSE)</f>
        <v>女性</v>
      </c>
      <c r="M106" s="62">
        <f ca="1">IFERROR(VLOOKUP(E106,input_313100!L:R,7,FALSE),VLOOKUP(tables_313100!B106,input_313100!A:H,8,FALSE))</f>
        <v>342090</v>
      </c>
      <c r="N106" s="63">
        <f t="shared" ca="1" si="8"/>
        <v>1.222972972972973E-2</v>
      </c>
      <c r="O106" s="31">
        <f>IFERROR(VLOOKUP($E106,bug_conf_sheet!$A:$H,3,FALSE),VLOOKUP("other",bug_conf_sheet!$A:$H,3,FALSE))</f>
        <v>1</v>
      </c>
      <c r="P106" s="31">
        <f>IFERROR(VLOOKUP($E106,bug_conf_sheet!$A:$H,4,FALSE),VLOOKUP("other",bug_conf_sheet!$A:$H,4,FALSE))</f>
        <v>0</v>
      </c>
      <c r="Q106" s="31">
        <f>IFERROR(VLOOKUP($E106,bug_conf_sheet!$A:$H,5,FALSE),VLOOKUP("other",bug_conf_sheet!$A:$H,5,FALSE))</f>
        <v>0</v>
      </c>
      <c r="R106" s="31">
        <f>IFERROR(VLOOKUP($E106,bug_conf_sheet!$A:$H,6,FALSE),VLOOKUP("other",bug_conf_sheet!$A:$H,6,FALSE))</f>
        <v>0</v>
      </c>
      <c r="S106" s="31">
        <f>IFERROR(VLOOKUP($E106,bug_conf_sheet!$A:$H,7,FALSE),VLOOKUP("other",bug_conf_sheet!$A:$H,7,FALSE))</f>
        <v>0</v>
      </c>
      <c r="T106" s="31">
        <f>IFERROR(VLOOKUP($E106,bug_conf_sheet!$A:$H,8,FALSE),VLOOKUP("other",bug_conf_sheet!$A:$H,8,FALSE))</f>
        <v>1</v>
      </c>
    </row>
    <row r="107" spans="1:20" ht="21" customHeight="1">
      <c r="A107" s="2" t="str">
        <f ca="1">input_313100!A$2</f>
        <v>313100</v>
      </c>
      <c r="B107" s="7" t="str">
        <f t="shared" si="5"/>
        <v>Premium5</v>
      </c>
      <c r="C107" s="7" t="str">
        <f t="shared" si="6"/>
        <v>Premium</v>
      </c>
      <c r="D107" s="7" t="str">
        <f t="shared" si="7"/>
        <v>bg</v>
      </c>
      <c r="E107" s="5">
        <v>231</v>
      </c>
      <c r="F107" s="7" t="str">
        <f>VLOOKUP(E107,[1]characters!$A:$C,3,FALSE)</f>
        <v>必中の咬銃 ヨルムンガンド</v>
      </c>
      <c r="G107" s="7" t="str">
        <f>VLOOKUP(E107,[1]characters!$A:$J,10,FALSE)</f>
        <v>PremiumS</v>
      </c>
      <c r="H107" s="7">
        <f>VLOOKUP(E107,[1]characters!$A:$I,9,FALSE)</f>
        <v>5</v>
      </c>
      <c r="I107" s="7" t="str">
        <f>VLOOKUP(E107,[1]characters!$A:$H,8,FALSE)</f>
        <v>green</v>
      </c>
      <c r="J107" s="7" t="str">
        <f>VLOOKUP(E107,[1]characters!$A:$K,11,FALSE)</f>
        <v>technical</v>
      </c>
      <c r="K107" s="7" t="str">
        <f>VLOOKUP(E107,[1]characters!$A:$M,13,FALSE)</f>
        <v>dragon</v>
      </c>
      <c r="L107" s="7" t="str">
        <f>VLOOKUP(E107,[1]characters!$A:$G,7,FALSE)</f>
        <v>女性</v>
      </c>
      <c r="M107" s="62">
        <f ca="1">IFERROR(VLOOKUP(E107,input_313100!L:R,7,FALSE),VLOOKUP(tables_313100!B107,input_313100!A:H,8,FALSE))</f>
        <v>12950</v>
      </c>
      <c r="N107" s="63">
        <f t="shared" ca="1" si="8"/>
        <v>4.6296296296296298E-4</v>
      </c>
      <c r="O107" s="31">
        <f>IFERROR(VLOOKUP($E107,bug_conf_sheet!$A:$H,3,FALSE),VLOOKUP("other",bug_conf_sheet!$A:$H,3,FALSE))</f>
        <v>1</v>
      </c>
      <c r="P107" s="31">
        <f>IFERROR(VLOOKUP($E107,bug_conf_sheet!$A:$H,4,FALSE),VLOOKUP("other",bug_conf_sheet!$A:$H,4,FALSE))</f>
        <v>0</v>
      </c>
      <c r="Q107" s="31">
        <f>IFERROR(VLOOKUP($E107,bug_conf_sheet!$A:$H,5,FALSE),VLOOKUP("other",bug_conf_sheet!$A:$H,5,FALSE))</f>
        <v>0</v>
      </c>
      <c r="R107" s="31">
        <f>IFERROR(VLOOKUP($E107,bug_conf_sheet!$A:$H,6,FALSE),VLOOKUP("other",bug_conf_sheet!$A:$H,6,FALSE))</f>
        <v>0</v>
      </c>
      <c r="S107" s="31">
        <f>IFERROR(VLOOKUP($E107,bug_conf_sheet!$A:$H,7,FALSE),VLOOKUP("other",bug_conf_sheet!$A:$H,7,FALSE))</f>
        <v>0</v>
      </c>
      <c r="T107" s="31">
        <f>IFERROR(VLOOKUP($E107,bug_conf_sheet!$A:$H,8,FALSE),VLOOKUP("other",bug_conf_sheet!$A:$H,8,FALSE))</f>
        <v>1</v>
      </c>
    </row>
    <row r="108" spans="1:20" ht="21" customHeight="1">
      <c r="A108" s="2" t="str">
        <f ca="1">input_313100!A$2</f>
        <v>313100</v>
      </c>
      <c r="B108" s="7" t="str">
        <f t="shared" si="5"/>
        <v>Premium3</v>
      </c>
      <c r="C108" s="7" t="str">
        <f t="shared" si="6"/>
        <v>Premium</v>
      </c>
      <c r="D108" s="7" t="str">
        <f t="shared" si="7"/>
        <v>bg</v>
      </c>
      <c r="E108" s="5">
        <v>232</v>
      </c>
      <c r="F108" s="7" t="str">
        <f>VLOOKUP(E108,[1]characters!$A:$C,3,FALSE)</f>
        <v>パーシヴァル</v>
      </c>
      <c r="G108" s="7" t="str">
        <f>VLOOKUP(E108,[1]characters!$A:$J,10,FALSE)</f>
        <v>PremiumS</v>
      </c>
      <c r="H108" s="7">
        <f>VLOOKUP(E108,[1]characters!$A:$I,9,FALSE)</f>
        <v>3</v>
      </c>
      <c r="I108" s="7" t="str">
        <f>VLOOKUP(E108,[1]characters!$A:$H,8,FALSE)</f>
        <v>blue</v>
      </c>
      <c r="J108" s="7" t="str">
        <f>VLOOKUP(E108,[1]characters!$A:$K,11,FALSE)</f>
        <v>technical</v>
      </c>
      <c r="K108" s="7" t="str">
        <f>VLOOKUP(E108,[1]characters!$A:$M,13,FALSE)</f>
        <v>human</v>
      </c>
      <c r="L108" s="7" t="str">
        <f>VLOOKUP(E108,[1]characters!$A:$G,7,FALSE)</f>
        <v>女性</v>
      </c>
      <c r="M108" s="62">
        <f ca="1">IFERROR(VLOOKUP(E108,input_313100!L:R,7,FALSE),VLOOKUP(tables_313100!B108,input_313100!A:H,8,FALSE))</f>
        <v>0</v>
      </c>
      <c r="N108" s="63">
        <f t="shared" ca="1" si="8"/>
        <v>0</v>
      </c>
      <c r="O108" s="31">
        <f>IFERROR(VLOOKUP($E108,bug_conf_sheet!$A:$H,3,FALSE),VLOOKUP("other",bug_conf_sheet!$A:$H,3,FALSE))</f>
        <v>1</v>
      </c>
      <c r="P108" s="31">
        <f>IFERROR(VLOOKUP($E108,bug_conf_sheet!$A:$H,4,FALSE),VLOOKUP("other",bug_conf_sheet!$A:$H,4,FALSE))</f>
        <v>0</v>
      </c>
      <c r="Q108" s="31">
        <f>IFERROR(VLOOKUP($E108,bug_conf_sheet!$A:$H,5,FALSE),VLOOKUP("other",bug_conf_sheet!$A:$H,5,FALSE))</f>
        <v>0</v>
      </c>
      <c r="R108" s="31">
        <f>IFERROR(VLOOKUP($E108,bug_conf_sheet!$A:$H,6,FALSE),VLOOKUP("other",bug_conf_sheet!$A:$H,6,FALSE))</f>
        <v>0</v>
      </c>
      <c r="S108" s="31">
        <f>IFERROR(VLOOKUP($E108,bug_conf_sheet!$A:$H,7,FALSE),VLOOKUP("other",bug_conf_sheet!$A:$H,7,FALSE))</f>
        <v>0</v>
      </c>
      <c r="T108" s="31">
        <f>IFERROR(VLOOKUP($E108,bug_conf_sheet!$A:$H,8,FALSE),VLOOKUP("other",bug_conf_sheet!$A:$H,8,FALSE))</f>
        <v>1</v>
      </c>
    </row>
    <row r="109" spans="1:20" ht="21" customHeight="1">
      <c r="A109" s="2" t="str">
        <f ca="1">input_313100!A$2</f>
        <v>313100</v>
      </c>
      <c r="B109" s="7" t="str">
        <f t="shared" si="5"/>
        <v>Premium4</v>
      </c>
      <c r="C109" s="7" t="str">
        <f t="shared" si="6"/>
        <v>Premium</v>
      </c>
      <c r="D109" s="7" t="str">
        <f t="shared" si="7"/>
        <v>bg</v>
      </c>
      <c r="E109" s="5">
        <v>233</v>
      </c>
      <c r="F109" s="7" t="str">
        <f>VLOOKUP(E109,[1]characters!$A:$C,3,FALSE)</f>
        <v>遂行 パーシヴァル</v>
      </c>
      <c r="G109" s="7" t="str">
        <f>VLOOKUP(E109,[1]characters!$A:$J,10,FALSE)</f>
        <v>PremiumS</v>
      </c>
      <c r="H109" s="7">
        <f>VLOOKUP(E109,[1]characters!$A:$I,9,FALSE)</f>
        <v>4</v>
      </c>
      <c r="I109" s="7" t="str">
        <f>VLOOKUP(E109,[1]characters!$A:$H,8,FALSE)</f>
        <v>blue</v>
      </c>
      <c r="J109" s="7" t="str">
        <f>VLOOKUP(E109,[1]characters!$A:$K,11,FALSE)</f>
        <v>technical</v>
      </c>
      <c r="K109" s="7" t="str">
        <f>VLOOKUP(E109,[1]characters!$A:$M,13,FALSE)</f>
        <v>human</v>
      </c>
      <c r="L109" s="7" t="str">
        <f>VLOOKUP(E109,[1]characters!$A:$G,7,FALSE)</f>
        <v>女性</v>
      </c>
      <c r="M109" s="62">
        <f ca="1">IFERROR(VLOOKUP(E109,input_313100!L:R,7,FALSE),VLOOKUP(tables_313100!B109,input_313100!A:H,8,FALSE))</f>
        <v>342090</v>
      </c>
      <c r="N109" s="63">
        <f t="shared" ca="1" si="8"/>
        <v>1.222972972972973E-2</v>
      </c>
      <c r="O109" s="31">
        <f>IFERROR(VLOOKUP($E109,bug_conf_sheet!$A:$H,3,FALSE),VLOOKUP("other",bug_conf_sheet!$A:$H,3,FALSE))</f>
        <v>1</v>
      </c>
      <c r="P109" s="31">
        <f>IFERROR(VLOOKUP($E109,bug_conf_sheet!$A:$H,4,FALSE),VLOOKUP("other",bug_conf_sheet!$A:$H,4,FALSE))</f>
        <v>0</v>
      </c>
      <c r="Q109" s="31">
        <f>IFERROR(VLOOKUP($E109,bug_conf_sheet!$A:$H,5,FALSE),VLOOKUP("other",bug_conf_sheet!$A:$H,5,FALSE))</f>
        <v>0</v>
      </c>
      <c r="R109" s="31">
        <f>IFERROR(VLOOKUP($E109,bug_conf_sheet!$A:$H,6,FALSE),VLOOKUP("other",bug_conf_sheet!$A:$H,6,FALSE))</f>
        <v>0</v>
      </c>
      <c r="S109" s="31">
        <f>IFERROR(VLOOKUP($E109,bug_conf_sheet!$A:$H,7,FALSE),VLOOKUP("other",bug_conf_sheet!$A:$H,7,FALSE))</f>
        <v>0</v>
      </c>
      <c r="T109" s="31">
        <f>IFERROR(VLOOKUP($E109,bug_conf_sheet!$A:$H,8,FALSE),VLOOKUP("other",bug_conf_sheet!$A:$H,8,FALSE))</f>
        <v>1</v>
      </c>
    </row>
    <row r="110" spans="1:20" ht="21" customHeight="1">
      <c r="A110" s="2" t="str">
        <f ca="1">input_313100!A$2</f>
        <v>313100</v>
      </c>
      <c r="B110" s="7" t="str">
        <f t="shared" si="5"/>
        <v>Premium5</v>
      </c>
      <c r="C110" s="7" t="str">
        <f t="shared" si="6"/>
        <v>Premium</v>
      </c>
      <c r="D110" s="7" t="str">
        <f t="shared" si="7"/>
        <v>bg</v>
      </c>
      <c r="E110" s="5">
        <v>234</v>
      </c>
      <c r="F110" s="7" t="str">
        <f>VLOOKUP(E110,[1]characters!$A:$C,3,FALSE)</f>
        <v>精密なる照準 パーシヴァル</v>
      </c>
      <c r="G110" s="7" t="str">
        <f>VLOOKUP(E110,[1]characters!$A:$J,10,FALSE)</f>
        <v>PremiumS</v>
      </c>
      <c r="H110" s="7">
        <f>VLOOKUP(E110,[1]characters!$A:$I,9,FALSE)</f>
        <v>5</v>
      </c>
      <c r="I110" s="7" t="str">
        <f>VLOOKUP(E110,[1]characters!$A:$H,8,FALSE)</f>
        <v>blue</v>
      </c>
      <c r="J110" s="7" t="str">
        <f>VLOOKUP(E110,[1]characters!$A:$K,11,FALSE)</f>
        <v>technical</v>
      </c>
      <c r="K110" s="7" t="str">
        <f>VLOOKUP(E110,[1]characters!$A:$M,13,FALSE)</f>
        <v>human</v>
      </c>
      <c r="L110" s="7" t="str">
        <f>VLOOKUP(E110,[1]characters!$A:$G,7,FALSE)</f>
        <v>女性</v>
      </c>
      <c r="M110" s="62">
        <f ca="1">IFERROR(VLOOKUP(E110,input_313100!L:R,7,FALSE),VLOOKUP(tables_313100!B110,input_313100!A:H,8,FALSE))</f>
        <v>12950</v>
      </c>
      <c r="N110" s="63">
        <f t="shared" ca="1" si="8"/>
        <v>4.6296296296296298E-4</v>
      </c>
      <c r="O110" s="31">
        <f>IFERROR(VLOOKUP($E110,bug_conf_sheet!$A:$H,3,FALSE),VLOOKUP("other",bug_conf_sheet!$A:$H,3,FALSE))</f>
        <v>1</v>
      </c>
      <c r="P110" s="31">
        <f>IFERROR(VLOOKUP($E110,bug_conf_sheet!$A:$H,4,FALSE),VLOOKUP("other",bug_conf_sheet!$A:$H,4,FALSE))</f>
        <v>0</v>
      </c>
      <c r="Q110" s="31">
        <f>IFERROR(VLOOKUP($E110,bug_conf_sheet!$A:$H,5,FALSE),VLOOKUP("other",bug_conf_sheet!$A:$H,5,FALSE))</f>
        <v>0</v>
      </c>
      <c r="R110" s="31">
        <f>IFERROR(VLOOKUP($E110,bug_conf_sheet!$A:$H,6,FALSE),VLOOKUP("other",bug_conf_sheet!$A:$H,6,FALSE))</f>
        <v>0</v>
      </c>
      <c r="S110" s="31">
        <f>IFERROR(VLOOKUP($E110,bug_conf_sheet!$A:$H,7,FALSE),VLOOKUP("other",bug_conf_sheet!$A:$H,7,FALSE))</f>
        <v>0</v>
      </c>
      <c r="T110" s="31">
        <f>IFERROR(VLOOKUP($E110,bug_conf_sheet!$A:$H,8,FALSE),VLOOKUP("other",bug_conf_sheet!$A:$H,8,FALSE))</f>
        <v>1</v>
      </c>
    </row>
    <row r="111" spans="1:20" ht="21" customHeight="1">
      <c r="A111" s="2" t="str">
        <f ca="1">input_313100!A$2</f>
        <v>313100</v>
      </c>
      <c r="B111" s="7" t="str">
        <f t="shared" si="5"/>
        <v>Premium3</v>
      </c>
      <c r="C111" s="7" t="str">
        <f t="shared" si="6"/>
        <v>Premium</v>
      </c>
      <c r="D111" s="7" t="str">
        <f t="shared" si="7"/>
        <v>ry</v>
      </c>
      <c r="E111" s="5">
        <v>235</v>
      </c>
      <c r="F111" s="7" t="str">
        <f>VLOOKUP(E111,[1]characters!$A:$C,3,FALSE)</f>
        <v>イザナミ</v>
      </c>
      <c r="G111" s="7" t="str">
        <f>VLOOKUP(E111,[1]characters!$A:$J,10,FALSE)</f>
        <v>PremiumS</v>
      </c>
      <c r="H111" s="7">
        <f>VLOOKUP(E111,[1]characters!$A:$I,9,FALSE)</f>
        <v>3</v>
      </c>
      <c r="I111" s="7" t="str">
        <f>VLOOKUP(E111,[1]characters!$A:$H,8,FALSE)</f>
        <v>yellow</v>
      </c>
      <c r="J111" s="7" t="str">
        <f>VLOOKUP(E111,[1]characters!$A:$K,11,FALSE)</f>
        <v>attack</v>
      </c>
      <c r="K111" s="7" t="str">
        <f>VLOOKUP(E111,[1]characters!$A:$M,13,FALSE)</f>
        <v>god</v>
      </c>
      <c r="L111" s="7" t="str">
        <f>VLOOKUP(E111,[1]characters!$A:$G,7,FALSE)</f>
        <v>女性</v>
      </c>
      <c r="M111" s="62">
        <f ca="1">IFERROR(VLOOKUP(E111,input_313100!L:R,7,FALSE),VLOOKUP(tables_313100!B111,input_313100!A:H,8,FALSE))</f>
        <v>0</v>
      </c>
      <c r="N111" s="63">
        <f t="shared" ca="1" si="8"/>
        <v>0</v>
      </c>
      <c r="O111" s="31">
        <f>IFERROR(VLOOKUP($E111,bug_conf_sheet!$A:$H,3,FALSE),VLOOKUP("other",bug_conf_sheet!$A:$H,3,FALSE))</f>
        <v>1</v>
      </c>
      <c r="P111" s="31">
        <f>IFERROR(VLOOKUP($E111,bug_conf_sheet!$A:$H,4,FALSE),VLOOKUP("other",bug_conf_sheet!$A:$H,4,FALSE))</f>
        <v>0</v>
      </c>
      <c r="Q111" s="31">
        <f>IFERROR(VLOOKUP($E111,bug_conf_sheet!$A:$H,5,FALSE),VLOOKUP("other",bug_conf_sheet!$A:$H,5,FALSE))</f>
        <v>0</v>
      </c>
      <c r="R111" s="31">
        <f>IFERROR(VLOOKUP($E111,bug_conf_sheet!$A:$H,6,FALSE),VLOOKUP("other",bug_conf_sheet!$A:$H,6,FALSE))</f>
        <v>0</v>
      </c>
      <c r="S111" s="31">
        <f>IFERROR(VLOOKUP($E111,bug_conf_sheet!$A:$H,7,FALSE),VLOOKUP("other",bug_conf_sheet!$A:$H,7,FALSE))</f>
        <v>0</v>
      </c>
      <c r="T111" s="31">
        <f>IFERROR(VLOOKUP($E111,bug_conf_sheet!$A:$H,8,FALSE),VLOOKUP("other",bug_conf_sheet!$A:$H,8,FALSE))</f>
        <v>1</v>
      </c>
    </row>
    <row r="112" spans="1:20" ht="21" customHeight="1">
      <c r="A112" s="2" t="str">
        <f ca="1">input_313100!A$2</f>
        <v>313100</v>
      </c>
      <c r="B112" s="7" t="str">
        <f t="shared" si="5"/>
        <v>Premium4</v>
      </c>
      <c r="C112" s="7" t="str">
        <f t="shared" si="6"/>
        <v>Premium</v>
      </c>
      <c r="D112" s="7" t="str">
        <f t="shared" si="7"/>
        <v>ry</v>
      </c>
      <c r="E112" s="5">
        <v>236</v>
      </c>
      <c r="F112" s="7" t="str">
        <f>VLOOKUP(E112,[1]characters!$A:$C,3,FALSE)</f>
        <v>神産 イザナミ</v>
      </c>
      <c r="G112" s="7" t="str">
        <f>VLOOKUP(E112,[1]characters!$A:$J,10,FALSE)</f>
        <v>PremiumS</v>
      </c>
      <c r="H112" s="7">
        <f>VLOOKUP(E112,[1]characters!$A:$I,9,FALSE)</f>
        <v>4</v>
      </c>
      <c r="I112" s="7" t="str">
        <f>VLOOKUP(E112,[1]characters!$A:$H,8,FALSE)</f>
        <v>yellow</v>
      </c>
      <c r="J112" s="7" t="str">
        <f>VLOOKUP(E112,[1]characters!$A:$K,11,FALSE)</f>
        <v>attack</v>
      </c>
      <c r="K112" s="7" t="str">
        <f>VLOOKUP(E112,[1]characters!$A:$M,13,FALSE)</f>
        <v>god</v>
      </c>
      <c r="L112" s="7" t="str">
        <f>VLOOKUP(E112,[1]characters!$A:$G,7,FALSE)</f>
        <v>女性</v>
      </c>
      <c r="M112" s="62">
        <f ca="1">IFERROR(VLOOKUP(E112,input_313100!L:R,7,FALSE),VLOOKUP(tables_313100!B112,input_313100!A:H,8,FALSE))</f>
        <v>342090</v>
      </c>
      <c r="N112" s="63">
        <f t="shared" ca="1" si="8"/>
        <v>1.222972972972973E-2</v>
      </c>
      <c r="O112" s="31">
        <f>IFERROR(VLOOKUP($E112,bug_conf_sheet!$A:$H,3,FALSE),VLOOKUP("other",bug_conf_sheet!$A:$H,3,FALSE))</f>
        <v>1</v>
      </c>
      <c r="P112" s="31">
        <f>IFERROR(VLOOKUP($E112,bug_conf_sheet!$A:$H,4,FALSE),VLOOKUP("other",bug_conf_sheet!$A:$H,4,FALSE))</f>
        <v>0</v>
      </c>
      <c r="Q112" s="31">
        <f>IFERROR(VLOOKUP($E112,bug_conf_sheet!$A:$H,5,FALSE),VLOOKUP("other",bug_conf_sheet!$A:$H,5,FALSE))</f>
        <v>0</v>
      </c>
      <c r="R112" s="31">
        <f>IFERROR(VLOOKUP($E112,bug_conf_sheet!$A:$H,6,FALSE),VLOOKUP("other",bug_conf_sheet!$A:$H,6,FALSE))</f>
        <v>0</v>
      </c>
      <c r="S112" s="31">
        <f>IFERROR(VLOOKUP($E112,bug_conf_sheet!$A:$H,7,FALSE),VLOOKUP("other",bug_conf_sheet!$A:$H,7,FALSE))</f>
        <v>0</v>
      </c>
      <c r="T112" s="31">
        <f>IFERROR(VLOOKUP($E112,bug_conf_sheet!$A:$H,8,FALSE),VLOOKUP("other",bug_conf_sheet!$A:$H,8,FALSE))</f>
        <v>1</v>
      </c>
    </row>
    <row r="113" spans="1:20" ht="21" customHeight="1">
      <c r="A113" s="2" t="str">
        <f ca="1">input_313100!A$2</f>
        <v>313100</v>
      </c>
      <c r="B113" s="7" t="str">
        <f t="shared" si="5"/>
        <v>Premium5</v>
      </c>
      <c r="C113" s="7" t="str">
        <f t="shared" si="6"/>
        <v>Premium</v>
      </c>
      <c r="D113" s="7" t="str">
        <f t="shared" si="7"/>
        <v>ry</v>
      </c>
      <c r="E113" s="5">
        <v>237</v>
      </c>
      <c r="F113" s="7" t="str">
        <f>VLOOKUP(E113,[1]characters!$A:$C,3,FALSE)</f>
        <v>森羅万象の神母 イザナミ</v>
      </c>
      <c r="G113" s="7" t="str">
        <f>VLOOKUP(E113,[1]characters!$A:$J,10,FALSE)</f>
        <v>PremiumS</v>
      </c>
      <c r="H113" s="7">
        <f>VLOOKUP(E113,[1]characters!$A:$I,9,FALSE)</f>
        <v>5</v>
      </c>
      <c r="I113" s="7" t="str">
        <f>VLOOKUP(E113,[1]characters!$A:$H,8,FALSE)</f>
        <v>yellow</v>
      </c>
      <c r="J113" s="7" t="str">
        <f>VLOOKUP(E113,[1]characters!$A:$K,11,FALSE)</f>
        <v>attack</v>
      </c>
      <c r="K113" s="7" t="str">
        <f>VLOOKUP(E113,[1]characters!$A:$M,13,FALSE)</f>
        <v>god</v>
      </c>
      <c r="L113" s="7" t="str">
        <f>VLOOKUP(E113,[1]characters!$A:$G,7,FALSE)</f>
        <v>女性</v>
      </c>
      <c r="M113" s="62">
        <f ca="1">IFERROR(VLOOKUP(E113,input_313100!L:R,7,FALSE),VLOOKUP(tables_313100!B113,input_313100!A:H,8,FALSE))</f>
        <v>12950</v>
      </c>
      <c r="N113" s="63">
        <f t="shared" ca="1" si="8"/>
        <v>4.6296296296296298E-4</v>
      </c>
      <c r="O113" s="31">
        <f>IFERROR(VLOOKUP($E113,bug_conf_sheet!$A:$H,3,FALSE),VLOOKUP("other",bug_conf_sheet!$A:$H,3,FALSE))</f>
        <v>1</v>
      </c>
      <c r="P113" s="31">
        <f>IFERROR(VLOOKUP($E113,bug_conf_sheet!$A:$H,4,FALSE),VLOOKUP("other",bug_conf_sheet!$A:$H,4,FALSE))</f>
        <v>0</v>
      </c>
      <c r="Q113" s="31">
        <f>IFERROR(VLOOKUP($E113,bug_conf_sheet!$A:$H,5,FALSE),VLOOKUP("other",bug_conf_sheet!$A:$H,5,FALSE))</f>
        <v>0</v>
      </c>
      <c r="R113" s="31">
        <f>IFERROR(VLOOKUP($E113,bug_conf_sheet!$A:$H,6,FALSE),VLOOKUP("other",bug_conf_sheet!$A:$H,6,FALSE))</f>
        <v>0</v>
      </c>
      <c r="S113" s="31">
        <f>IFERROR(VLOOKUP($E113,bug_conf_sheet!$A:$H,7,FALSE),VLOOKUP("other",bug_conf_sheet!$A:$H,7,FALSE))</f>
        <v>0</v>
      </c>
      <c r="T113" s="31">
        <f>IFERROR(VLOOKUP($E113,bug_conf_sheet!$A:$H,8,FALSE),VLOOKUP("other",bug_conf_sheet!$A:$H,8,FALSE))</f>
        <v>1</v>
      </c>
    </row>
    <row r="114" spans="1:20" ht="21" customHeight="1">
      <c r="A114" s="2" t="str">
        <f ca="1">input_313100!A$2</f>
        <v>313100</v>
      </c>
      <c r="B114" s="7" t="str">
        <f t="shared" si="5"/>
        <v>Premium3</v>
      </c>
      <c r="C114" s="7" t="str">
        <f t="shared" si="6"/>
        <v>Premium</v>
      </c>
      <c r="D114" s="7" t="str">
        <f t="shared" si="7"/>
        <v>ry</v>
      </c>
      <c r="E114" s="5">
        <v>238</v>
      </c>
      <c r="F114" s="7" t="str">
        <f>VLOOKUP(E114,[1]characters!$A:$C,3,FALSE)</f>
        <v>ウリエル</v>
      </c>
      <c r="G114" s="7" t="str">
        <f>VLOOKUP(E114,[1]characters!$A:$J,10,FALSE)</f>
        <v>PremiumS</v>
      </c>
      <c r="H114" s="7">
        <f>VLOOKUP(E114,[1]characters!$A:$I,9,FALSE)</f>
        <v>3</v>
      </c>
      <c r="I114" s="7" t="str">
        <f>VLOOKUP(E114,[1]characters!$A:$H,8,FALSE)</f>
        <v>red</v>
      </c>
      <c r="J114" s="7" t="str">
        <f>VLOOKUP(E114,[1]characters!$A:$K,11,FALSE)</f>
        <v>hp</v>
      </c>
      <c r="K114" s="7" t="str">
        <f>VLOOKUP(E114,[1]characters!$A:$M,13,FALSE)</f>
        <v>machine</v>
      </c>
      <c r="L114" s="7" t="str">
        <f>VLOOKUP(E114,[1]characters!$A:$G,7,FALSE)</f>
        <v>女性</v>
      </c>
      <c r="M114" s="62">
        <f ca="1">IFERROR(VLOOKUP(E114,input_313100!L:R,7,FALSE),VLOOKUP(tables_313100!B114,input_313100!A:H,8,FALSE))</f>
        <v>0</v>
      </c>
      <c r="N114" s="63">
        <f t="shared" ca="1" si="8"/>
        <v>0</v>
      </c>
      <c r="O114" s="31">
        <f>IFERROR(VLOOKUP($E114,bug_conf_sheet!$A:$H,3,FALSE),VLOOKUP("other",bug_conf_sheet!$A:$H,3,FALSE))</f>
        <v>1</v>
      </c>
      <c r="P114" s="31">
        <f>IFERROR(VLOOKUP($E114,bug_conf_sheet!$A:$H,4,FALSE),VLOOKUP("other",bug_conf_sheet!$A:$H,4,FALSE))</f>
        <v>0</v>
      </c>
      <c r="Q114" s="31">
        <f>IFERROR(VLOOKUP($E114,bug_conf_sheet!$A:$H,5,FALSE),VLOOKUP("other",bug_conf_sheet!$A:$H,5,FALSE))</f>
        <v>0</v>
      </c>
      <c r="R114" s="31">
        <f>IFERROR(VLOOKUP($E114,bug_conf_sheet!$A:$H,6,FALSE),VLOOKUP("other",bug_conf_sheet!$A:$H,6,FALSE))</f>
        <v>0</v>
      </c>
      <c r="S114" s="31">
        <f>IFERROR(VLOOKUP($E114,bug_conf_sheet!$A:$H,7,FALSE),VLOOKUP("other",bug_conf_sheet!$A:$H,7,FALSE))</f>
        <v>0</v>
      </c>
      <c r="T114" s="31">
        <f>IFERROR(VLOOKUP($E114,bug_conf_sheet!$A:$H,8,FALSE),VLOOKUP("other",bug_conf_sheet!$A:$H,8,FALSE))</f>
        <v>1</v>
      </c>
    </row>
    <row r="115" spans="1:20" ht="21" customHeight="1">
      <c r="A115" s="2" t="str">
        <f ca="1">input_313100!A$2</f>
        <v>313100</v>
      </c>
      <c r="B115" s="7" t="str">
        <f t="shared" si="5"/>
        <v>Premium4</v>
      </c>
      <c r="C115" s="7" t="str">
        <f t="shared" si="6"/>
        <v>Premium</v>
      </c>
      <c r="D115" s="7" t="str">
        <f t="shared" si="7"/>
        <v>ry</v>
      </c>
      <c r="E115" s="5">
        <v>239</v>
      </c>
      <c r="F115" s="7" t="str">
        <f>VLOOKUP(E115,[1]characters!$A:$C,3,FALSE)</f>
        <v>豪炎の天使 ウリエル</v>
      </c>
      <c r="G115" s="7" t="str">
        <f>VLOOKUP(E115,[1]characters!$A:$J,10,FALSE)</f>
        <v>PremiumS</v>
      </c>
      <c r="H115" s="7">
        <f>VLOOKUP(E115,[1]characters!$A:$I,9,FALSE)</f>
        <v>4</v>
      </c>
      <c r="I115" s="7" t="str">
        <f>VLOOKUP(E115,[1]characters!$A:$H,8,FALSE)</f>
        <v>red</v>
      </c>
      <c r="J115" s="7" t="str">
        <f>VLOOKUP(E115,[1]characters!$A:$K,11,FALSE)</f>
        <v>hp</v>
      </c>
      <c r="K115" s="7" t="str">
        <f>VLOOKUP(E115,[1]characters!$A:$M,13,FALSE)</f>
        <v>machine</v>
      </c>
      <c r="L115" s="7" t="str">
        <f>VLOOKUP(E115,[1]characters!$A:$G,7,FALSE)</f>
        <v>女性</v>
      </c>
      <c r="M115" s="62">
        <f ca="1">IFERROR(VLOOKUP(E115,input_313100!L:R,7,FALSE),VLOOKUP(tables_313100!B115,input_313100!A:H,8,FALSE))</f>
        <v>342090</v>
      </c>
      <c r="N115" s="63">
        <f t="shared" ca="1" si="8"/>
        <v>1.222972972972973E-2</v>
      </c>
      <c r="O115" s="31">
        <f>IFERROR(VLOOKUP($E115,bug_conf_sheet!$A:$H,3,FALSE),VLOOKUP("other",bug_conf_sheet!$A:$H,3,FALSE))</f>
        <v>1</v>
      </c>
      <c r="P115" s="31">
        <f>IFERROR(VLOOKUP($E115,bug_conf_sheet!$A:$H,4,FALSE),VLOOKUP("other",bug_conf_sheet!$A:$H,4,FALSE))</f>
        <v>0</v>
      </c>
      <c r="Q115" s="31">
        <f>IFERROR(VLOOKUP($E115,bug_conf_sheet!$A:$H,5,FALSE),VLOOKUP("other",bug_conf_sheet!$A:$H,5,FALSE))</f>
        <v>0</v>
      </c>
      <c r="R115" s="31">
        <f>IFERROR(VLOOKUP($E115,bug_conf_sheet!$A:$H,6,FALSE),VLOOKUP("other",bug_conf_sheet!$A:$H,6,FALSE))</f>
        <v>0</v>
      </c>
      <c r="S115" s="31">
        <f>IFERROR(VLOOKUP($E115,bug_conf_sheet!$A:$H,7,FALSE),VLOOKUP("other",bug_conf_sheet!$A:$H,7,FALSE))</f>
        <v>0</v>
      </c>
      <c r="T115" s="31">
        <f>IFERROR(VLOOKUP($E115,bug_conf_sheet!$A:$H,8,FALSE),VLOOKUP("other",bug_conf_sheet!$A:$H,8,FALSE))</f>
        <v>1</v>
      </c>
    </row>
    <row r="116" spans="1:20" ht="21" customHeight="1">
      <c r="A116" s="2" t="str">
        <f ca="1">input_313100!A$2</f>
        <v>313100</v>
      </c>
      <c r="B116" s="7" t="str">
        <f t="shared" si="5"/>
        <v>Premium5</v>
      </c>
      <c r="C116" s="7" t="str">
        <f t="shared" si="6"/>
        <v>Premium</v>
      </c>
      <c r="D116" s="7" t="str">
        <f t="shared" si="7"/>
        <v>ry</v>
      </c>
      <c r="E116" s="5">
        <v>240</v>
      </c>
      <c r="F116" s="7" t="str">
        <f>VLOOKUP(E116,[1]characters!$A:$C,3,FALSE)</f>
        <v>轟炎の天使 ウリエル・スレイヤー</v>
      </c>
      <c r="G116" s="7" t="str">
        <f>VLOOKUP(E116,[1]characters!$A:$J,10,FALSE)</f>
        <v>PremiumS</v>
      </c>
      <c r="H116" s="7">
        <f>VLOOKUP(E116,[1]characters!$A:$I,9,FALSE)</f>
        <v>5</v>
      </c>
      <c r="I116" s="7" t="str">
        <f>VLOOKUP(E116,[1]characters!$A:$H,8,FALSE)</f>
        <v>red</v>
      </c>
      <c r="J116" s="7" t="str">
        <f>VLOOKUP(E116,[1]characters!$A:$K,11,FALSE)</f>
        <v>hp</v>
      </c>
      <c r="K116" s="7" t="str">
        <f>VLOOKUP(E116,[1]characters!$A:$M,13,FALSE)</f>
        <v>machine</v>
      </c>
      <c r="L116" s="7" t="str">
        <f>VLOOKUP(E116,[1]characters!$A:$G,7,FALSE)</f>
        <v>女性</v>
      </c>
      <c r="M116" s="62">
        <f ca="1">IFERROR(VLOOKUP(E116,input_313100!L:R,7,FALSE),VLOOKUP(tables_313100!B116,input_313100!A:H,8,FALSE))</f>
        <v>12950</v>
      </c>
      <c r="N116" s="63">
        <f t="shared" ca="1" si="8"/>
        <v>4.6296296296296298E-4</v>
      </c>
      <c r="O116" s="31">
        <f>IFERROR(VLOOKUP($E116,bug_conf_sheet!$A:$H,3,FALSE),VLOOKUP("other",bug_conf_sheet!$A:$H,3,FALSE))</f>
        <v>1</v>
      </c>
      <c r="P116" s="31">
        <f>IFERROR(VLOOKUP($E116,bug_conf_sheet!$A:$H,4,FALSE),VLOOKUP("other",bug_conf_sheet!$A:$H,4,FALSE))</f>
        <v>0</v>
      </c>
      <c r="Q116" s="31">
        <f>IFERROR(VLOOKUP($E116,bug_conf_sheet!$A:$H,5,FALSE),VLOOKUP("other",bug_conf_sheet!$A:$H,5,FALSE))</f>
        <v>0</v>
      </c>
      <c r="R116" s="31">
        <f>IFERROR(VLOOKUP($E116,bug_conf_sheet!$A:$H,6,FALSE),VLOOKUP("other",bug_conf_sheet!$A:$H,6,FALSE))</f>
        <v>0</v>
      </c>
      <c r="S116" s="31">
        <f>IFERROR(VLOOKUP($E116,bug_conf_sheet!$A:$H,7,FALSE),VLOOKUP("other",bug_conf_sheet!$A:$H,7,FALSE))</f>
        <v>0</v>
      </c>
      <c r="T116" s="31">
        <f>IFERROR(VLOOKUP($E116,bug_conf_sheet!$A:$H,8,FALSE),VLOOKUP("other",bug_conf_sheet!$A:$H,8,FALSE))</f>
        <v>1</v>
      </c>
    </row>
    <row r="117" spans="1:20" ht="21" customHeight="1">
      <c r="A117" s="2" t="str">
        <f ca="1">input_313100!A$2</f>
        <v>313100</v>
      </c>
      <c r="B117" s="7" t="str">
        <f t="shared" si="5"/>
        <v>Premium3</v>
      </c>
      <c r="C117" s="7" t="str">
        <f t="shared" si="6"/>
        <v>Premium</v>
      </c>
      <c r="D117" s="7" t="str">
        <f t="shared" si="7"/>
        <v>bg</v>
      </c>
      <c r="E117" s="5">
        <v>241</v>
      </c>
      <c r="F117" s="7" t="str">
        <f>VLOOKUP(E117,[1]characters!$A:$C,3,FALSE)</f>
        <v>ガブリエル</v>
      </c>
      <c r="G117" s="7" t="str">
        <f>VLOOKUP(E117,[1]characters!$A:$J,10,FALSE)</f>
        <v>PremiumS</v>
      </c>
      <c r="H117" s="7">
        <f>VLOOKUP(E117,[1]characters!$A:$I,9,FALSE)</f>
        <v>3</v>
      </c>
      <c r="I117" s="7" t="str">
        <f>VLOOKUP(E117,[1]characters!$A:$H,8,FALSE)</f>
        <v>green</v>
      </c>
      <c r="J117" s="7" t="str">
        <f>VLOOKUP(E117,[1]characters!$A:$K,11,FALSE)</f>
        <v>balance</v>
      </c>
      <c r="K117" s="7" t="str">
        <f>VLOOKUP(E117,[1]characters!$A:$M,13,FALSE)</f>
        <v>machine</v>
      </c>
      <c r="L117" s="7" t="str">
        <f>VLOOKUP(E117,[1]characters!$A:$G,7,FALSE)</f>
        <v>女性</v>
      </c>
      <c r="M117" s="62">
        <f ca="1">IFERROR(VLOOKUP(E117,input_313100!L:R,7,FALSE),VLOOKUP(tables_313100!B117,input_313100!A:H,8,FALSE))</f>
        <v>0</v>
      </c>
      <c r="N117" s="63">
        <f t="shared" ca="1" si="8"/>
        <v>0</v>
      </c>
      <c r="O117" s="31">
        <f>IFERROR(VLOOKUP($E117,bug_conf_sheet!$A:$H,3,FALSE),VLOOKUP("other",bug_conf_sheet!$A:$H,3,FALSE))</f>
        <v>1</v>
      </c>
      <c r="P117" s="31">
        <f>IFERROR(VLOOKUP($E117,bug_conf_sheet!$A:$H,4,FALSE),VLOOKUP("other",bug_conf_sheet!$A:$H,4,FALSE))</f>
        <v>0</v>
      </c>
      <c r="Q117" s="31">
        <f>IFERROR(VLOOKUP($E117,bug_conf_sheet!$A:$H,5,FALSE),VLOOKUP("other",bug_conf_sheet!$A:$H,5,FALSE))</f>
        <v>0</v>
      </c>
      <c r="R117" s="31">
        <f>IFERROR(VLOOKUP($E117,bug_conf_sheet!$A:$H,6,FALSE),VLOOKUP("other",bug_conf_sheet!$A:$H,6,FALSE))</f>
        <v>0</v>
      </c>
      <c r="S117" s="31">
        <f>IFERROR(VLOOKUP($E117,bug_conf_sheet!$A:$H,7,FALSE),VLOOKUP("other",bug_conf_sheet!$A:$H,7,FALSE))</f>
        <v>0</v>
      </c>
      <c r="T117" s="31">
        <f>IFERROR(VLOOKUP($E117,bug_conf_sheet!$A:$H,8,FALSE),VLOOKUP("other",bug_conf_sheet!$A:$H,8,FALSE))</f>
        <v>1</v>
      </c>
    </row>
    <row r="118" spans="1:20" ht="21" customHeight="1">
      <c r="A118" s="2" t="str">
        <f ca="1">input_313100!A$2</f>
        <v>313100</v>
      </c>
      <c r="B118" s="7" t="str">
        <f t="shared" si="5"/>
        <v>Premium4</v>
      </c>
      <c r="C118" s="7" t="str">
        <f t="shared" si="6"/>
        <v>Premium</v>
      </c>
      <c r="D118" s="7" t="str">
        <f t="shared" si="7"/>
        <v>bg</v>
      </c>
      <c r="E118" s="5">
        <v>242</v>
      </c>
      <c r="F118" s="7" t="str">
        <f>VLOOKUP(E118,[1]characters!$A:$C,3,FALSE)</f>
        <v>百花の天使 ガブリエル</v>
      </c>
      <c r="G118" s="7" t="str">
        <f>VLOOKUP(E118,[1]characters!$A:$J,10,FALSE)</f>
        <v>PremiumS</v>
      </c>
      <c r="H118" s="7">
        <f>VLOOKUP(E118,[1]characters!$A:$I,9,FALSE)</f>
        <v>4</v>
      </c>
      <c r="I118" s="7" t="str">
        <f>VLOOKUP(E118,[1]characters!$A:$H,8,FALSE)</f>
        <v>green</v>
      </c>
      <c r="J118" s="7" t="str">
        <f>VLOOKUP(E118,[1]characters!$A:$K,11,FALSE)</f>
        <v>balance</v>
      </c>
      <c r="K118" s="7" t="str">
        <f>VLOOKUP(E118,[1]characters!$A:$M,13,FALSE)</f>
        <v>machine</v>
      </c>
      <c r="L118" s="7" t="str">
        <f>VLOOKUP(E118,[1]characters!$A:$G,7,FALSE)</f>
        <v>女性</v>
      </c>
      <c r="M118" s="62">
        <f ca="1">IFERROR(VLOOKUP(E118,input_313100!L:R,7,FALSE),VLOOKUP(tables_313100!B118,input_313100!A:H,8,FALSE))</f>
        <v>342090</v>
      </c>
      <c r="N118" s="63">
        <f t="shared" ca="1" si="8"/>
        <v>1.222972972972973E-2</v>
      </c>
      <c r="O118" s="31">
        <f>IFERROR(VLOOKUP($E118,bug_conf_sheet!$A:$H,3,FALSE),VLOOKUP("other",bug_conf_sheet!$A:$H,3,FALSE))</f>
        <v>1</v>
      </c>
      <c r="P118" s="31">
        <f>IFERROR(VLOOKUP($E118,bug_conf_sheet!$A:$H,4,FALSE),VLOOKUP("other",bug_conf_sheet!$A:$H,4,FALSE))</f>
        <v>0</v>
      </c>
      <c r="Q118" s="31">
        <f>IFERROR(VLOOKUP($E118,bug_conf_sheet!$A:$H,5,FALSE),VLOOKUP("other",bug_conf_sheet!$A:$H,5,FALSE))</f>
        <v>0</v>
      </c>
      <c r="R118" s="31">
        <f>IFERROR(VLOOKUP($E118,bug_conf_sheet!$A:$H,6,FALSE),VLOOKUP("other",bug_conf_sheet!$A:$H,6,FALSE))</f>
        <v>0</v>
      </c>
      <c r="S118" s="31">
        <f>IFERROR(VLOOKUP($E118,bug_conf_sheet!$A:$H,7,FALSE),VLOOKUP("other",bug_conf_sheet!$A:$H,7,FALSE))</f>
        <v>0</v>
      </c>
      <c r="T118" s="31">
        <f>IFERROR(VLOOKUP($E118,bug_conf_sheet!$A:$H,8,FALSE),VLOOKUP("other",bug_conf_sheet!$A:$H,8,FALSE))</f>
        <v>1</v>
      </c>
    </row>
    <row r="119" spans="1:20" ht="21" customHeight="1">
      <c r="A119" s="2" t="str">
        <f ca="1">input_313100!A$2</f>
        <v>313100</v>
      </c>
      <c r="B119" s="7" t="str">
        <f t="shared" si="5"/>
        <v>Premium5</v>
      </c>
      <c r="C119" s="7" t="str">
        <f t="shared" si="6"/>
        <v>Premium</v>
      </c>
      <c r="D119" s="7" t="str">
        <f t="shared" si="7"/>
        <v>bg</v>
      </c>
      <c r="E119" s="5">
        <v>243</v>
      </c>
      <c r="F119" s="7" t="str">
        <f>VLOOKUP(E119,[1]characters!$A:$C,3,FALSE)</f>
        <v>万花の天使 ガブリエル・ブルーム</v>
      </c>
      <c r="G119" s="7" t="str">
        <f>VLOOKUP(E119,[1]characters!$A:$J,10,FALSE)</f>
        <v>PremiumS</v>
      </c>
      <c r="H119" s="7">
        <f>VLOOKUP(E119,[1]characters!$A:$I,9,FALSE)</f>
        <v>5</v>
      </c>
      <c r="I119" s="7" t="str">
        <f>VLOOKUP(E119,[1]characters!$A:$H,8,FALSE)</f>
        <v>green</v>
      </c>
      <c r="J119" s="7" t="str">
        <f>VLOOKUP(E119,[1]characters!$A:$K,11,FALSE)</f>
        <v>balance</v>
      </c>
      <c r="K119" s="7" t="str">
        <f>VLOOKUP(E119,[1]characters!$A:$M,13,FALSE)</f>
        <v>machine</v>
      </c>
      <c r="L119" s="7" t="str">
        <f>VLOOKUP(E119,[1]characters!$A:$G,7,FALSE)</f>
        <v>女性</v>
      </c>
      <c r="M119" s="62">
        <f ca="1">IFERROR(VLOOKUP(E119,input_313100!L:R,7,FALSE),VLOOKUP(tables_313100!B119,input_313100!A:H,8,FALSE))</f>
        <v>12950</v>
      </c>
      <c r="N119" s="63">
        <f t="shared" ca="1" si="8"/>
        <v>4.6296296296296298E-4</v>
      </c>
      <c r="O119" s="31">
        <f>IFERROR(VLOOKUP($E119,bug_conf_sheet!$A:$H,3,FALSE),VLOOKUP("other",bug_conf_sheet!$A:$H,3,FALSE))</f>
        <v>1</v>
      </c>
      <c r="P119" s="31">
        <f>IFERROR(VLOOKUP($E119,bug_conf_sheet!$A:$H,4,FALSE),VLOOKUP("other",bug_conf_sheet!$A:$H,4,FALSE))</f>
        <v>0</v>
      </c>
      <c r="Q119" s="31">
        <f>IFERROR(VLOOKUP($E119,bug_conf_sheet!$A:$H,5,FALSE),VLOOKUP("other",bug_conf_sheet!$A:$H,5,FALSE))</f>
        <v>0</v>
      </c>
      <c r="R119" s="31">
        <f>IFERROR(VLOOKUP($E119,bug_conf_sheet!$A:$H,6,FALSE),VLOOKUP("other",bug_conf_sheet!$A:$H,6,FALSE))</f>
        <v>0</v>
      </c>
      <c r="S119" s="31">
        <f>IFERROR(VLOOKUP($E119,bug_conf_sheet!$A:$H,7,FALSE),VLOOKUP("other",bug_conf_sheet!$A:$H,7,FALSE))</f>
        <v>0</v>
      </c>
      <c r="T119" s="31">
        <f>IFERROR(VLOOKUP($E119,bug_conf_sheet!$A:$H,8,FALSE),VLOOKUP("other",bug_conf_sheet!$A:$H,8,FALSE))</f>
        <v>1</v>
      </c>
    </row>
    <row r="120" spans="1:20" ht="21" customHeight="1">
      <c r="A120" s="2" t="str">
        <f ca="1">input_313100!A$2</f>
        <v>313100</v>
      </c>
      <c r="B120" s="7" t="str">
        <f t="shared" si="5"/>
        <v>Premium3</v>
      </c>
      <c r="C120" s="7" t="str">
        <f t="shared" si="6"/>
        <v>Premium</v>
      </c>
      <c r="D120" s="7" t="str">
        <f t="shared" si="7"/>
        <v>bg</v>
      </c>
      <c r="E120" s="5">
        <v>244</v>
      </c>
      <c r="F120" s="7" t="str">
        <f>VLOOKUP(E120,[1]characters!$A:$C,3,FALSE)</f>
        <v>ラファエル</v>
      </c>
      <c r="G120" s="7" t="str">
        <f>VLOOKUP(E120,[1]characters!$A:$J,10,FALSE)</f>
        <v>PremiumS</v>
      </c>
      <c r="H120" s="7">
        <f>VLOOKUP(E120,[1]characters!$A:$I,9,FALSE)</f>
        <v>3</v>
      </c>
      <c r="I120" s="7" t="str">
        <f>VLOOKUP(E120,[1]characters!$A:$H,8,FALSE)</f>
        <v>blue</v>
      </c>
      <c r="J120" s="7" t="str">
        <f>VLOOKUP(E120,[1]characters!$A:$K,11,FALSE)</f>
        <v>balance</v>
      </c>
      <c r="K120" s="7" t="str">
        <f>VLOOKUP(E120,[1]characters!$A:$M,13,FALSE)</f>
        <v>machine</v>
      </c>
      <c r="L120" s="7" t="str">
        <f>VLOOKUP(E120,[1]characters!$A:$G,7,FALSE)</f>
        <v>女性</v>
      </c>
      <c r="M120" s="62">
        <f ca="1">IFERROR(VLOOKUP(E120,input_313100!L:R,7,FALSE),VLOOKUP(tables_313100!B120,input_313100!A:H,8,FALSE))</f>
        <v>0</v>
      </c>
      <c r="N120" s="63">
        <f t="shared" ca="1" si="8"/>
        <v>0</v>
      </c>
      <c r="O120" s="31">
        <f>IFERROR(VLOOKUP($E120,bug_conf_sheet!$A:$H,3,FALSE),VLOOKUP("other",bug_conf_sheet!$A:$H,3,FALSE))</f>
        <v>1</v>
      </c>
      <c r="P120" s="31">
        <f>IFERROR(VLOOKUP($E120,bug_conf_sheet!$A:$H,4,FALSE),VLOOKUP("other",bug_conf_sheet!$A:$H,4,FALSE))</f>
        <v>0</v>
      </c>
      <c r="Q120" s="31">
        <f>IFERROR(VLOOKUP($E120,bug_conf_sheet!$A:$H,5,FALSE),VLOOKUP("other",bug_conf_sheet!$A:$H,5,FALSE))</f>
        <v>0</v>
      </c>
      <c r="R120" s="31">
        <f>IFERROR(VLOOKUP($E120,bug_conf_sheet!$A:$H,6,FALSE),VLOOKUP("other",bug_conf_sheet!$A:$H,6,FALSE))</f>
        <v>0</v>
      </c>
      <c r="S120" s="31">
        <f>IFERROR(VLOOKUP($E120,bug_conf_sheet!$A:$H,7,FALSE),VLOOKUP("other",bug_conf_sheet!$A:$H,7,FALSE))</f>
        <v>0</v>
      </c>
      <c r="T120" s="31">
        <f>IFERROR(VLOOKUP($E120,bug_conf_sheet!$A:$H,8,FALSE),VLOOKUP("other",bug_conf_sheet!$A:$H,8,FALSE))</f>
        <v>1</v>
      </c>
    </row>
    <row r="121" spans="1:20" ht="21" customHeight="1">
      <c r="A121" s="2" t="str">
        <f ca="1">input_313100!A$2</f>
        <v>313100</v>
      </c>
      <c r="B121" s="7" t="str">
        <f t="shared" si="5"/>
        <v>Premium4</v>
      </c>
      <c r="C121" s="7" t="str">
        <f t="shared" si="6"/>
        <v>Premium</v>
      </c>
      <c r="D121" s="7" t="str">
        <f t="shared" si="7"/>
        <v>bg</v>
      </c>
      <c r="E121" s="5">
        <v>245</v>
      </c>
      <c r="F121" s="7" t="str">
        <f>VLOOKUP(E121,[1]characters!$A:$C,3,FALSE)</f>
        <v>鎮癒の天使 ラファエル</v>
      </c>
      <c r="G121" s="7" t="str">
        <f>VLOOKUP(E121,[1]characters!$A:$J,10,FALSE)</f>
        <v>PremiumS</v>
      </c>
      <c r="H121" s="7">
        <f>VLOOKUP(E121,[1]characters!$A:$I,9,FALSE)</f>
        <v>4</v>
      </c>
      <c r="I121" s="7" t="str">
        <f>VLOOKUP(E121,[1]characters!$A:$H,8,FALSE)</f>
        <v>blue</v>
      </c>
      <c r="J121" s="7" t="str">
        <f>VLOOKUP(E121,[1]characters!$A:$K,11,FALSE)</f>
        <v>balance</v>
      </c>
      <c r="K121" s="7" t="str">
        <f>VLOOKUP(E121,[1]characters!$A:$M,13,FALSE)</f>
        <v>machine</v>
      </c>
      <c r="L121" s="7" t="str">
        <f>VLOOKUP(E121,[1]characters!$A:$G,7,FALSE)</f>
        <v>女性</v>
      </c>
      <c r="M121" s="62">
        <f ca="1">IFERROR(VLOOKUP(E121,input_313100!L:R,7,FALSE),VLOOKUP(tables_313100!B121,input_313100!A:H,8,FALSE))</f>
        <v>342090</v>
      </c>
      <c r="N121" s="63">
        <f t="shared" ca="1" si="8"/>
        <v>1.222972972972973E-2</v>
      </c>
      <c r="O121" s="31">
        <f>IFERROR(VLOOKUP($E121,bug_conf_sheet!$A:$H,3,FALSE),VLOOKUP("other",bug_conf_sheet!$A:$H,3,FALSE))</f>
        <v>1</v>
      </c>
      <c r="P121" s="31">
        <f>IFERROR(VLOOKUP($E121,bug_conf_sheet!$A:$H,4,FALSE),VLOOKUP("other",bug_conf_sheet!$A:$H,4,FALSE))</f>
        <v>0</v>
      </c>
      <c r="Q121" s="31">
        <f>IFERROR(VLOOKUP($E121,bug_conf_sheet!$A:$H,5,FALSE),VLOOKUP("other",bug_conf_sheet!$A:$H,5,FALSE))</f>
        <v>0</v>
      </c>
      <c r="R121" s="31">
        <f>IFERROR(VLOOKUP($E121,bug_conf_sheet!$A:$H,6,FALSE),VLOOKUP("other",bug_conf_sheet!$A:$H,6,FALSE))</f>
        <v>0</v>
      </c>
      <c r="S121" s="31">
        <f>IFERROR(VLOOKUP($E121,bug_conf_sheet!$A:$H,7,FALSE),VLOOKUP("other",bug_conf_sheet!$A:$H,7,FALSE))</f>
        <v>0</v>
      </c>
      <c r="T121" s="31">
        <f>IFERROR(VLOOKUP($E121,bug_conf_sheet!$A:$H,8,FALSE),VLOOKUP("other",bug_conf_sheet!$A:$H,8,FALSE))</f>
        <v>1</v>
      </c>
    </row>
    <row r="122" spans="1:20" ht="21" customHeight="1">
      <c r="A122" s="2" t="str">
        <f ca="1">input_313100!A$2</f>
        <v>313100</v>
      </c>
      <c r="B122" s="7" t="str">
        <f t="shared" si="5"/>
        <v>Premium5</v>
      </c>
      <c r="C122" s="7" t="str">
        <f t="shared" si="6"/>
        <v>Premium</v>
      </c>
      <c r="D122" s="7" t="str">
        <f t="shared" si="7"/>
        <v>bg</v>
      </c>
      <c r="E122" s="5">
        <v>246</v>
      </c>
      <c r="F122" s="7" t="str">
        <f>VLOOKUP(E122,[1]characters!$A:$C,3,FALSE)</f>
        <v>真癒の天使 ラファエル・メディカ</v>
      </c>
      <c r="G122" s="7" t="str">
        <f>VLOOKUP(E122,[1]characters!$A:$J,10,FALSE)</f>
        <v>PremiumS</v>
      </c>
      <c r="H122" s="7">
        <f>VLOOKUP(E122,[1]characters!$A:$I,9,FALSE)</f>
        <v>5</v>
      </c>
      <c r="I122" s="7" t="str">
        <f>VLOOKUP(E122,[1]characters!$A:$H,8,FALSE)</f>
        <v>blue</v>
      </c>
      <c r="J122" s="7" t="str">
        <f>VLOOKUP(E122,[1]characters!$A:$K,11,FALSE)</f>
        <v>balance</v>
      </c>
      <c r="K122" s="7" t="str">
        <f>VLOOKUP(E122,[1]characters!$A:$M,13,FALSE)</f>
        <v>machine</v>
      </c>
      <c r="L122" s="7" t="str">
        <f>VLOOKUP(E122,[1]characters!$A:$G,7,FALSE)</f>
        <v>女性</v>
      </c>
      <c r="M122" s="62">
        <f ca="1">IFERROR(VLOOKUP(E122,input_313100!L:R,7,FALSE),VLOOKUP(tables_313100!B122,input_313100!A:H,8,FALSE))</f>
        <v>12950</v>
      </c>
      <c r="N122" s="63">
        <f t="shared" ca="1" si="8"/>
        <v>4.6296296296296298E-4</v>
      </c>
      <c r="O122" s="31">
        <f>IFERROR(VLOOKUP($E122,bug_conf_sheet!$A:$H,3,FALSE),VLOOKUP("other",bug_conf_sheet!$A:$H,3,FALSE))</f>
        <v>1</v>
      </c>
      <c r="P122" s="31">
        <f>IFERROR(VLOOKUP($E122,bug_conf_sheet!$A:$H,4,FALSE),VLOOKUP("other",bug_conf_sheet!$A:$H,4,FALSE))</f>
        <v>0</v>
      </c>
      <c r="Q122" s="31">
        <f>IFERROR(VLOOKUP($E122,bug_conf_sheet!$A:$H,5,FALSE),VLOOKUP("other",bug_conf_sheet!$A:$H,5,FALSE))</f>
        <v>0</v>
      </c>
      <c r="R122" s="31">
        <f>IFERROR(VLOOKUP($E122,bug_conf_sheet!$A:$H,6,FALSE),VLOOKUP("other",bug_conf_sheet!$A:$H,6,FALSE))</f>
        <v>0</v>
      </c>
      <c r="S122" s="31">
        <f>IFERROR(VLOOKUP($E122,bug_conf_sheet!$A:$H,7,FALSE),VLOOKUP("other",bug_conf_sheet!$A:$H,7,FALSE))</f>
        <v>0</v>
      </c>
      <c r="T122" s="31">
        <f>IFERROR(VLOOKUP($E122,bug_conf_sheet!$A:$H,8,FALSE),VLOOKUP("other",bug_conf_sheet!$A:$H,8,FALSE))</f>
        <v>1</v>
      </c>
    </row>
    <row r="123" spans="1:20" ht="21" customHeight="1">
      <c r="A123" s="2" t="str">
        <f ca="1">input_313100!A$2</f>
        <v>313100</v>
      </c>
      <c r="B123" s="7" t="str">
        <f t="shared" si="5"/>
        <v>Premium3</v>
      </c>
      <c r="C123" s="7" t="str">
        <f t="shared" si="6"/>
        <v>Premium</v>
      </c>
      <c r="D123" s="7" t="str">
        <f t="shared" si="7"/>
        <v>ry</v>
      </c>
      <c r="E123" s="5">
        <v>247</v>
      </c>
      <c r="F123" s="7" t="str">
        <f>VLOOKUP(E123,[1]characters!$A:$C,3,FALSE)</f>
        <v>ミカエル</v>
      </c>
      <c r="G123" s="7" t="str">
        <f>VLOOKUP(E123,[1]characters!$A:$J,10,FALSE)</f>
        <v>PremiumS</v>
      </c>
      <c r="H123" s="7">
        <f>VLOOKUP(E123,[1]characters!$A:$I,9,FALSE)</f>
        <v>3</v>
      </c>
      <c r="I123" s="7" t="str">
        <f>VLOOKUP(E123,[1]characters!$A:$H,8,FALSE)</f>
        <v>yellow</v>
      </c>
      <c r="J123" s="7" t="str">
        <f>VLOOKUP(E123,[1]characters!$A:$K,11,FALSE)</f>
        <v>attack</v>
      </c>
      <c r="K123" s="7" t="str">
        <f>VLOOKUP(E123,[1]characters!$A:$M,13,FALSE)</f>
        <v>machine</v>
      </c>
      <c r="L123" s="7" t="str">
        <f>VLOOKUP(E123,[1]characters!$A:$G,7,FALSE)</f>
        <v>女性</v>
      </c>
      <c r="M123" s="62">
        <f ca="1">IFERROR(VLOOKUP(E123,input_313100!L:R,7,FALSE),VLOOKUP(tables_313100!B123,input_313100!A:H,8,FALSE))</f>
        <v>0</v>
      </c>
      <c r="N123" s="63">
        <f t="shared" ca="1" si="8"/>
        <v>0</v>
      </c>
      <c r="O123" s="31">
        <f>IFERROR(VLOOKUP($E123,bug_conf_sheet!$A:$H,3,FALSE),VLOOKUP("other",bug_conf_sheet!$A:$H,3,FALSE))</f>
        <v>1</v>
      </c>
      <c r="P123" s="31">
        <f>IFERROR(VLOOKUP($E123,bug_conf_sheet!$A:$H,4,FALSE),VLOOKUP("other",bug_conf_sheet!$A:$H,4,FALSE))</f>
        <v>0</v>
      </c>
      <c r="Q123" s="31">
        <f>IFERROR(VLOOKUP($E123,bug_conf_sheet!$A:$H,5,FALSE),VLOOKUP("other",bug_conf_sheet!$A:$H,5,FALSE))</f>
        <v>0</v>
      </c>
      <c r="R123" s="31">
        <f>IFERROR(VLOOKUP($E123,bug_conf_sheet!$A:$H,6,FALSE),VLOOKUP("other",bug_conf_sheet!$A:$H,6,FALSE))</f>
        <v>0</v>
      </c>
      <c r="S123" s="31">
        <f>IFERROR(VLOOKUP($E123,bug_conf_sheet!$A:$H,7,FALSE),VLOOKUP("other",bug_conf_sheet!$A:$H,7,FALSE))</f>
        <v>0</v>
      </c>
      <c r="T123" s="31">
        <f>IFERROR(VLOOKUP($E123,bug_conf_sheet!$A:$H,8,FALSE),VLOOKUP("other",bug_conf_sheet!$A:$H,8,FALSE))</f>
        <v>1</v>
      </c>
    </row>
    <row r="124" spans="1:20" ht="21" customHeight="1">
      <c r="A124" s="2" t="str">
        <f ca="1">input_313100!A$2</f>
        <v>313100</v>
      </c>
      <c r="B124" s="7" t="str">
        <f t="shared" si="5"/>
        <v>Premium4</v>
      </c>
      <c r="C124" s="7" t="str">
        <f t="shared" si="6"/>
        <v>Premium</v>
      </c>
      <c r="D124" s="7" t="str">
        <f t="shared" si="7"/>
        <v>ry</v>
      </c>
      <c r="E124" s="5">
        <v>248</v>
      </c>
      <c r="F124" s="7" t="str">
        <f>VLOOKUP(E124,[1]characters!$A:$C,3,FALSE)</f>
        <v>彩電の天使 ミカエル</v>
      </c>
      <c r="G124" s="7" t="str">
        <f>VLOOKUP(E124,[1]characters!$A:$J,10,FALSE)</f>
        <v>PremiumS</v>
      </c>
      <c r="H124" s="7">
        <f>VLOOKUP(E124,[1]characters!$A:$I,9,FALSE)</f>
        <v>4</v>
      </c>
      <c r="I124" s="7" t="str">
        <f>VLOOKUP(E124,[1]characters!$A:$H,8,FALSE)</f>
        <v>yellow</v>
      </c>
      <c r="J124" s="7" t="str">
        <f>VLOOKUP(E124,[1]characters!$A:$K,11,FALSE)</f>
        <v>attack</v>
      </c>
      <c r="K124" s="7" t="str">
        <f>VLOOKUP(E124,[1]characters!$A:$M,13,FALSE)</f>
        <v>machine</v>
      </c>
      <c r="L124" s="7" t="str">
        <f>VLOOKUP(E124,[1]characters!$A:$G,7,FALSE)</f>
        <v>女性</v>
      </c>
      <c r="M124" s="62">
        <f ca="1">IFERROR(VLOOKUP(E124,input_313100!L:R,7,FALSE),VLOOKUP(tables_313100!B124,input_313100!A:H,8,FALSE))</f>
        <v>342090</v>
      </c>
      <c r="N124" s="63">
        <f t="shared" ca="1" si="8"/>
        <v>1.222972972972973E-2</v>
      </c>
      <c r="O124" s="31">
        <f>IFERROR(VLOOKUP($E124,bug_conf_sheet!$A:$H,3,FALSE),VLOOKUP("other",bug_conf_sheet!$A:$H,3,FALSE))</f>
        <v>1</v>
      </c>
      <c r="P124" s="31">
        <f>IFERROR(VLOOKUP($E124,bug_conf_sheet!$A:$H,4,FALSE),VLOOKUP("other",bug_conf_sheet!$A:$H,4,FALSE))</f>
        <v>0</v>
      </c>
      <c r="Q124" s="31">
        <f>IFERROR(VLOOKUP($E124,bug_conf_sheet!$A:$H,5,FALSE),VLOOKUP("other",bug_conf_sheet!$A:$H,5,FALSE))</f>
        <v>0</v>
      </c>
      <c r="R124" s="31">
        <f>IFERROR(VLOOKUP($E124,bug_conf_sheet!$A:$H,6,FALSE),VLOOKUP("other",bug_conf_sheet!$A:$H,6,FALSE))</f>
        <v>0</v>
      </c>
      <c r="S124" s="31">
        <f>IFERROR(VLOOKUP($E124,bug_conf_sheet!$A:$H,7,FALSE),VLOOKUP("other",bug_conf_sheet!$A:$H,7,FALSE))</f>
        <v>0</v>
      </c>
      <c r="T124" s="31">
        <f>IFERROR(VLOOKUP($E124,bug_conf_sheet!$A:$H,8,FALSE),VLOOKUP("other",bug_conf_sheet!$A:$H,8,FALSE))</f>
        <v>1</v>
      </c>
    </row>
    <row r="125" spans="1:20" ht="21" customHeight="1">
      <c r="A125" s="2" t="str">
        <f ca="1">input_313100!A$2</f>
        <v>313100</v>
      </c>
      <c r="B125" s="7" t="str">
        <f t="shared" si="5"/>
        <v>Premium5</v>
      </c>
      <c r="C125" s="7" t="str">
        <f t="shared" si="6"/>
        <v>Premium</v>
      </c>
      <c r="D125" s="7" t="str">
        <f t="shared" si="7"/>
        <v>ry</v>
      </c>
      <c r="E125" s="6">
        <v>249</v>
      </c>
      <c r="F125" s="7" t="str">
        <f>VLOOKUP(E125,[1]characters!$A:$C,3,FALSE)</f>
        <v>雷電の天使 ミカエル・ゲイナー</v>
      </c>
      <c r="G125" s="7" t="str">
        <f>VLOOKUP(E125,[1]characters!$A:$J,10,FALSE)</f>
        <v>PremiumS</v>
      </c>
      <c r="H125" s="7">
        <f>VLOOKUP(E125,[1]characters!$A:$I,9,FALSE)</f>
        <v>5</v>
      </c>
      <c r="I125" s="7" t="str">
        <f>VLOOKUP(E125,[1]characters!$A:$H,8,FALSE)</f>
        <v>yellow</v>
      </c>
      <c r="J125" s="7" t="str">
        <f>VLOOKUP(E125,[1]characters!$A:$K,11,FALSE)</f>
        <v>attack</v>
      </c>
      <c r="K125" s="7" t="str">
        <f>VLOOKUP(E125,[1]characters!$A:$M,13,FALSE)</f>
        <v>machine</v>
      </c>
      <c r="L125" s="7" t="str">
        <f>VLOOKUP(E125,[1]characters!$A:$G,7,FALSE)</f>
        <v>女性</v>
      </c>
      <c r="M125" s="62">
        <f ca="1">IFERROR(VLOOKUP(E125,input_313100!L:R,7,FALSE),VLOOKUP(tables_313100!B125,input_313100!A:H,8,FALSE))</f>
        <v>12950</v>
      </c>
      <c r="N125" s="63">
        <f t="shared" ca="1" si="8"/>
        <v>4.6296296296296298E-4</v>
      </c>
      <c r="O125" s="31">
        <f>IFERROR(VLOOKUP($E125,bug_conf_sheet!$A:$H,3,FALSE),VLOOKUP("other",bug_conf_sheet!$A:$H,3,FALSE))</f>
        <v>1</v>
      </c>
      <c r="P125" s="31">
        <f>IFERROR(VLOOKUP($E125,bug_conf_sheet!$A:$H,4,FALSE),VLOOKUP("other",bug_conf_sheet!$A:$H,4,FALSE))</f>
        <v>0</v>
      </c>
      <c r="Q125" s="31">
        <f>IFERROR(VLOOKUP($E125,bug_conf_sheet!$A:$H,5,FALSE),VLOOKUP("other",bug_conf_sheet!$A:$H,5,FALSE))</f>
        <v>0</v>
      </c>
      <c r="R125" s="31">
        <f>IFERROR(VLOOKUP($E125,bug_conf_sheet!$A:$H,6,FALSE),VLOOKUP("other",bug_conf_sheet!$A:$H,6,FALSE))</f>
        <v>0</v>
      </c>
      <c r="S125" s="31">
        <f>IFERROR(VLOOKUP($E125,bug_conf_sheet!$A:$H,7,FALSE),VLOOKUP("other",bug_conf_sheet!$A:$H,7,FALSE))</f>
        <v>0</v>
      </c>
      <c r="T125" s="31">
        <f>IFERROR(VLOOKUP($E125,bug_conf_sheet!$A:$H,8,FALSE),VLOOKUP("other",bug_conf_sheet!$A:$H,8,FALSE))</f>
        <v>1</v>
      </c>
    </row>
    <row r="126" spans="1:20" ht="21" customHeight="1">
      <c r="A126" s="2" t="str">
        <f ca="1">input_313100!A$2</f>
        <v>313100</v>
      </c>
      <c r="B126" s="7" t="str">
        <f t="shared" si="5"/>
        <v>Premium3</v>
      </c>
      <c r="C126" s="7" t="str">
        <f t="shared" si="6"/>
        <v>Premium</v>
      </c>
      <c r="D126" s="7" t="str">
        <f t="shared" si="7"/>
        <v>ry</v>
      </c>
      <c r="E126" s="6">
        <v>250</v>
      </c>
      <c r="F126" s="7" t="str">
        <f>VLOOKUP(E126,[1]characters!$A:$C,3,FALSE)</f>
        <v>マンモン</v>
      </c>
      <c r="G126" s="7" t="str">
        <f>VLOOKUP(E126,[1]characters!$A:$J,10,FALSE)</f>
        <v>PremiumS</v>
      </c>
      <c r="H126" s="7">
        <f>VLOOKUP(E126,[1]characters!$A:$I,9,FALSE)</f>
        <v>3</v>
      </c>
      <c r="I126" s="7" t="str">
        <f>VLOOKUP(E126,[1]characters!$A:$H,8,FALSE)</f>
        <v>red</v>
      </c>
      <c r="J126" s="7" t="str">
        <f>VLOOKUP(E126,[1]characters!$A:$K,11,FALSE)</f>
        <v>balance</v>
      </c>
      <c r="K126" s="7" t="str">
        <f>VLOOKUP(E126,[1]characters!$A:$M,13,FALSE)</f>
        <v>god</v>
      </c>
      <c r="L126" s="7" t="str">
        <f>VLOOKUP(E126,[1]characters!$A:$G,7,FALSE)</f>
        <v>女性</v>
      </c>
      <c r="M126" s="62">
        <f ca="1">IFERROR(VLOOKUP(E126,input_313100!L:R,7,FALSE),VLOOKUP(tables_313100!B126,input_313100!A:H,8,FALSE))</f>
        <v>0</v>
      </c>
      <c r="N126" s="63">
        <f t="shared" ca="1" si="8"/>
        <v>0</v>
      </c>
      <c r="O126" s="31">
        <f>IFERROR(VLOOKUP($E126,bug_conf_sheet!$A:$H,3,FALSE),VLOOKUP("other",bug_conf_sheet!$A:$H,3,FALSE))</f>
        <v>1</v>
      </c>
      <c r="P126" s="31">
        <f>IFERROR(VLOOKUP($E126,bug_conf_sheet!$A:$H,4,FALSE),VLOOKUP("other",bug_conf_sheet!$A:$H,4,FALSE))</f>
        <v>0</v>
      </c>
      <c r="Q126" s="31">
        <f>IFERROR(VLOOKUP($E126,bug_conf_sheet!$A:$H,5,FALSE),VLOOKUP("other",bug_conf_sheet!$A:$H,5,FALSE))</f>
        <v>0</v>
      </c>
      <c r="R126" s="31">
        <f>IFERROR(VLOOKUP($E126,bug_conf_sheet!$A:$H,6,FALSE),VLOOKUP("other",bug_conf_sheet!$A:$H,6,FALSE))</f>
        <v>0</v>
      </c>
      <c r="S126" s="31">
        <f>IFERROR(VLOOKUP($E126,bug_conf_sheet!$A:$H,7,FALSE),VLOOKUP("other",bug_conf_sheet!$A:$H,7,FALSE))</f>
        <v>0</v>
      </c>
      <c r="T126" s="31">
        <f>IFERROR(VLOOKUP($E126,bug_conf_sheet!$A:$H,8,FALSE),VLOOKUP("other",bug_conf_sheet!$A:$H,8,FALSE))</f>
        <v>1</v>
      </c>
    </row>
    <row r="127" spans="1:20" ht="21" customHeight="1">
      <c r="A127" s="2" t="str">
        <f ca="1">input_313100!A$2</f>
        <v>313100</v>
      </c>
      <c r="B127" s="7" t="str">
        <f t="shared" si="5"/>
        <v>Premium4</v>
      </c>
      <c r="C127" s="7" t="str">
        <f t="shared" si="6"/>
        <v>Premium</v>
      </c>
      <c r="D127" s="7" t="str">
        <f t="shared" si="7"/>
        <v>ry</v>
      </c>
      <c r="E127" s="6">
        <v>251</v>
      </c>
      <c r="F127" s="7" t="str">
        <f>VLOOKUP(E127,[1]characters!$A:$C,3,FALSE)</f>
        <v>強欲 マンモン</v>
      </c>
      <c r="G127" s="7" t="str">
        <f>VLOOKUP(E127,[1]characters!$A:$J,10,FALSE)</f>
        <v>PremiumS</v>
      </c>
      <c r="H127" s="7">
        <f>VLOOKUP(E127,[1]characters!$A:$I,9,FALSE)</f>
        <v>4</v>
      </c>
      <c r="I127" s="7" t="str">
        <f>VLOOKUP(E127,[1]characters!$A:$H,8,FALSE)</f>
        <v>red</v>
      </c>
      <c r="J127" s="7" t="str">
        <f>VLOOKUP(E127,[1]characters!$A:$K,11,FALSE)</f>
        <v>balance</v>
      </c>
      <c r="K127" s="7" t="str">
        <f>VLOOKUP(E127,[1]characters!$A:$M,13,FALSE)</f>
        <v>god</v>
      </c>
      <c r="L127" s="7" t="str">
        <f>VLOOKUP(E127,[1]characters!$A:$G,7,FALSE)</f>
        <v>女性</v>
      </c>
      <c r="M127" s="62">
        <f ca="1">IFERROR(VLOOKUP(E127,input_313100!L:R,7,FALSE),VLOOKUP(tables_313100!B127,input_313100!A:H,8,FALSE))</f>
        <v>342090</v>
      </c>
      <c r="N127" s="63">
        <f t="shared" ca="1" si="8"/>
        <v>1.222972972972973E-2</v>
      </c>
      <c r="O127" s="31">
        <f>IFERROR(VLOOKUP($E127,bug_conf_sheet!$A:$H,3,FALSE),VLOOKUP("other",bug_conf_sheet!$A:$H,3,FALSE))</f>
        <v>1</v>
      </c>
      <c r="P127" s="31">
        <f>IFERROR(VLOOKUP($E127,bug_conf_sheet!$A:$H,4,FALSE),VLOOKUP("other",bug_conf_sheet!$A:$H,4,FALSE))</f>
        <v>0</v>
      </c>
      <c r="Q127" s="31">
        <f>IFERROR(VLOOKUP($E127,bug_conf_sheet!$A:$H,5,FALSE),VLOOKUP("other",bug_conf_sheet!$A:$H,5,FALSE))</f>
        <v>0</v>
      </c>
      <c r="R127" s="31">
        <f>IFERROR(VLOOKUP($E127,bug_conf_sheet!$A:$H,6,FALSE),VLOOKUP("other",bug_conf_sheet!$A:$H,6,FALSE))</f>
        <v>0</v>
      </c>
      <c r="S127" s="31">
        <f>IFERROR(VLOOKUP($E127,bug_conf_sheet!$A:$H,7,FALSE),VLOOKUP("other",bug_conf_sheet!$A:$H,7,FALSE))</f>
        <v>0</v>
      </c>
      <c r="T127" s="31">
        <f>IFERROR(VLOOKUP($E127,bug_conf_sheet!$A:$H,8,FALSE),VLOOKUP("other",bug_conf_sheet!$A:$H,8,FALSE))</f>
        <v>1</v>
      </c>
    </row>
    <row r="128" spans="1:20" ht="21" customHeight="1">
      <c r="A128" s="2" t="str">
        <f ca="1">input_313100!A$2</f>
        <v>313100</v>
      </c>
      <c r="B128" s="7" t="str">
        <f t="shared" si="5"/>
        <v>Premium5</v>
      </c>
      <c r="C128" s="7" t="str">
        <f t="shared" si="6"/>
        <v>Premium</v>
      </c>
      <c r="D128" s="7" t="str">
        <f t="shared" si="7"/>
        <v>ry</v>
      </c>
      <c r="E128" s="6">
        <v>252</v>
      </c>
      <c r="F128" s="7" t="str">
        <f>VLOOKUP(E128,[1]characters!$A:$C,3,FALSE)</f>
        <v>強欲の沸騰 マンモン</v>
      </c>
      <c r="G128" s="7" t="str">
        <f>VLOOKUP(E128,[1]characters!$A:$J,10,FALSE)</f>
        <v>PremiumS</v>
      </c>
      <c r="H128" s="7">
        <f>VLOOKUP(E128,[1]characters!$A:$I,9,FALSE)</f>
        <v>5</v>
      </c>
      <c r="I128" s="7" t="str">
        <f>VLOOKUP(E128,[1]characters!$A:$H,8,FALSE)</f>
        <v>red</v>
      </c>
      <c r="J128" s="7" t="str">
        <f>VLOOKUP(E128,[1]characters!$A:$K,11,FALSE)</f>
        <v>balance</v>
      </c>
      <c r="K128" s="7" t="str">
        <f>VLOOKUP(E128,[1]characters!$A:$M,13,FALSE)</f>
        <v>god</v>
      </c>
      <c r="L128" s="7" t="str">
        <f>VLOOKUP(E128,[1]characters!$A:$G,7,FALSE)</f>
        <v>女性</v>
      </c>
      <c r="M128" s="62">
        <f ca="1">IFERROR(VLOOKUP(E128,input_313100!L:R,7,FALSE),VLOOKUP(tables_313100!B128,input_313100!A:H,8,FALSE))</f>
        <v>12950</v>
      </c>
      <c r="N128" s="63">
        <f t="shared" ca="1" si="8"/>
        <v>4.6296296296296298E-4</v>
      </c>
      <c r="O128" s="31">
        <f>IFERROR(VLOOKUP($E128,bug_conf_sheet!$A:$H,3,FALSE),VLOOKUP("other",bug_conf_sheet!$A:$H,3,FALSE))</f>
        <v>1</v>
      </c>
      <c r="P128" s="31">
        <f>IFERROR(VLOOKUP($E128,bug_conf_sheet!$A:$H,4,FALSE),VLOOKUP("other",bug_conf_sheet!$A:$H,4,FALSE))</f>
        <v>0</v>
      </c>
      <c r="Q128" s="31">
        <f>IFERROR(VLOOKUP($E128,bug_conf_sheet!$A:$H,5,FALSE),VLOOKUP("other",bug_conf_sheet!$A:$H,5,FALSE))</f>
        <v>0</v>
      </c>
      <c r="R128" s="31">
        <f>IFERROR(VLOOKUP($E128,bug_conf_sheet!$A:$H,6,FALSE),VLOOKUP("other",bug_conf_sheet!$A:$H,6,FALSE))</f>
        <v>0</v>
      </c>
      <c r="S128" s="31">
        <f>IFERROR(VLOOKUP($E128,bug_conf_sheet!$A:$H,7,FALSE),VLOOKUP("other",bug_conf_sheet!$A:$H,7,FALSE))</f>
        <v>0</v>
      </c>
      <c r="T128" s="31">
        <f>IFERROR(VLOOKUP($E128,bug_conf_sheet!$A:$H,8,FALSE),VLOOKUP("other",bug_conf_sheet!$A:$H,8,FALSE))</f>
        <v>1</v>
      </c>
    </row>
    <row r="129" spans="1:20" ht="21" customHeight="1">
      <c r="A129" s="2" t="str">
        <f ca="1">input_313100!A$2</f>
        <v>313100</v>
      </c>
      <c r="B129" s="7" t="str">
        <f t="shared" si="5"/>
        <v>Premium3</v>
      </c>
      <c r="C129" s="7" t="str">
        <f t="shared" si="6"/>
        <v>Premium</v>
      </c>
      <c r="D129" s="7" t="str">
        <f t="shared" si="7"/>
        <v>bg</v>
      </c>
      <c r="E129" s="6">
        <v>253</v>
      </c>
      <c r="F129" s="7" t="str">
        <f>VLOOKUP(E129,[1]characters!$A:$C,3,FALSE)</f>
        <v>ベルフェゴール</v>
      </c>
      <c r="G129" s="7" t="str">
        <f>VLOOKUP(E129,[1]characters!$A:$J,10,FALSE)</f>
        <v>PremiumS</v>
      </c>
      <c r="H129" s="7">
        <f>VLOOKUP(E129,[1]characters!$A:$I,9,FALSE)</f>
        <v>3</v>
      </c>
      <c r="I129" s="7" t="str">
        <f>VLOOKUP(E129,[1]characters!$A:$H,8,FALSE)</f>
        <v>green</v>
      </c>
      <c r="J129" s="7" t="str">
        <f>VLOOKUP(E129,[1]characters!$A:$K,11,FALSE)</f>
        <v>technical</v>
      </c>
      <c r="K129" s="7" t="str">
        <f>VLOOKUP(E129,[1]characters!$A:$M,13,FALSE)</f>
        <v>god</v>
      </c>
      <c r="L129" s="7" t="str">
        <f>VLOOKUP(E129,[1]characters!$A:$G,7,FALSE)</f>
        <v>女性</v>
      </c>
      <c r="M129" s="62">
        <f ca="1">IFERROR(VLOOKUP(E129,input_313100!L:R,7,FALSE),VLOOKUP(tables_313100!B129,input_313100!A:H,8,FALSE))</f>
        <v>0</v>
      </c>
      <c r="N129" s="63">
        <f t="shared" ca="1" si="8"/>
        <v>0</v>
      </c>
      <c r="O129" s="31">
        <f>IFERROR(VLOOKUP($E129,bug_conf_sheet!$A:$H,3,FALSE),VLOOKUP("other",bug_conf_sheet!$A:$H,3,FALSE))</f>
        <v>1</v>
      </c>
      <c r="P129" s="31">
        <f>IFERROR(VLOOKUP($E129,bug_conf_sheet!$A:$H,4,FALSE),VLOOKUP("other",bug_conf_sheet!$A:$H,4,FALSE))</f>
        <v>0</v>
      </c>
      <c r="Q129" s="31">
        <f>IFERROR(VLOOKUP($E129,bug_conf_sheet!$A:$H,5,FALSE),VLOOKUP("other",bug_conf_sheet!$A:$H,5,FALSE))</f>
        <v>0</v>
      </c>
      <c r="R129" s="31">
        <f>IFERROR(VLOOKUP($E129,bug_conf_sheet!$A:$H,6,FALSE),VLOOKUP("other",bug_conf_sheet!$A:$H,6,FALSE))</f>
        <v>0</v>
      </c>
      <c r="S129" s="31">
        <f>IFERROR(VLOOKUP($E129,bug_conf_sheet!$A:$H,7,FALSE),VLOOKUP("other",bug_conf_sheet!$A:$H,7,FALSE))</f>
        <v>0</v>
      </c>
      <c r="T129" s="31">
        <f>IFERROR(VLOOKUP($E129,bug_conf_sheet!$A:$H,8,FALSE),VLOOKUP("other",bug_conf_sheet!$A:$H,8,FALSE))</f>
        <v>1</v>
      </c>
    </row>
    <row r="130" spans="1:20" ht="21" customHeight="1">
      <c r="A130" s="2" t="str">
        <f ca="1">input_313100!A$2</f>
        <v>313100</v>
      </c>
      <c r="B130" s="7" t="str">
        <f t="shared" si="5"/>
        <v>Premium4</v>
      </c>
      <c r="C130" s="7" t="str">
        <f t="shared" si="6"/>
        <v>Premium</v>
      </c>
      <c r="D130" s="7" t="str">
        <f t="shared" si="7"/>
        <v>bg</v>
      </c>
      <c r="E130" s="6">
        <v>254</v>
      </c>
      <c r="F130" s="7" t="str">
        <f>VLOOKUP(E130,[1]characters!$A:$C,3,FALSE)</f>
        <v>怠惰 ベルフェゴール</v>
      </c>
      <c r="G130" s="7" t="str">
        <f>VLOOKUP(E130,[1]characters!$A:$J,10,FALSE)</f>
        <v>PremiumS</v>
      </c>
      <c r="H130" s="7">
        <f>VLOOKUP(E130,[1]characters!$A:$I,9,FALSE)</f>
        <v>4</v>
      </c>
      <c r="I130" s="7" t="str">
        <f>VLOOKUP(E130,[1]characters!$A:$H,8,FALSE)</f>
        <v>green</v>
      </c>
      <c r="J130" s="7" t="str">
        <f>VLOOKUP(E130,[1]characters!$A:$K,11,FALSE)</f>
        <v>technical</v>
      </c>
      <c r="K130" s="7" t="str">
        <f>VLOOKUP(E130,[1]characters!$A:$M,13,FALSE)</f>
        <v>god</v>
      </c>
      <c r="L130" s="7" t="str">
        <f>VLOOKUP(E130,[1]characters!$A:$G,7,FALSE)</f>
        <v>女性</v>
      </c>
      <c r="M130" s="62">
        <f ca="1">IFERROR(VLOOKUP(E130,input_313100!L:R,7,FALSE),VLOOKUP(tables_313100!B130,input_313100!A:H,8,FALSE))</f>
        <v>342090</v>
      </c>
      <c r="N130" s="63">
        <f t="shared" ca="1" si="8"/>
        <v>1.222972972972973E-2</v>
      </c>
      <c r="O130" s="31">
        <f>IFERROR(VLOOKUP($E130,bug_conf_sheet!$A:$H,3,FALSE),VLOOKUP("other",bug_conf_sheet!$A:$H,3,FALSE))</f>
        <v>1</v>
      </c>
      <c r="P130" s="31">
        <f>IFERROR(VLOOKUP($E130,bug_conf_sheet!$A:$H,4,FALSE),VLOOKUP("other",bug_conf_sheet!$A:$H,4,FALSE))</f>
        <v>0</v>
      </c>
      <c r="Q130" s="31">
        <f>IFERROR(VLOOKUP($E130,bug_conf_sheet!$A:$H,5,FALSE),VLOOKUP("other",bug_conf_sheet!$A:$H,5,FALSE))</f>
        <v>0</v>
      </c>
      <c r="R130" s="31">
        <f>IFERROR(VLOOKUP($E130,bug_conf_sheet!$A:$H,6,FALSE),VLOOKUP("other",bug_conf_sheet!$A:$H,6,FALSE))</f>
        <v>0</v>
      </c>
      <c r="S130" s="31">
        <f>IFERROR(VLOOKUP($E130,bug_conf_sheet!$A:$H,7,FALSE),VLOOKUP("other",bug_conf_sheet!$A:$H,7,FALSE))</f>
        <v>0</v>
      </c>
      <c r="T130" s="31">
        <f>IFERROR(VLOOKUP($E130,bug_conf_sheet!$A:$H,8,FALSE),VLOOKUP("other",bug_conf_sheet!$A:$H,8,FALSE))</f>
        <v>1</v>
      </c>
    </row>
    <row r="131" spans="1:20" ht="21" customHeight="1">
      <c r="A131" s="2" t="str">
        <f ca="1">input_313100!A$2</f>
        <v>313100</v>
      </c>
      <c r="B131" s="7" t="str">
        <f t="shared" ref="B131:B194" si="9">C131&amp;IF(C131="premium",,D131)&amp;H131</f>
        <v>Premium5</v>
      </c>
      <c r="C131" s="7" t="str">
        <f t="shared" ref="C131:C194" si="10">IF(G131="PremiumSS",G131,IF(G131="PremiumSSS",G131,"Premium"))</f>
        <v>Premium</v>
      </c>
      <c r="D131" s="7" t="str">
        <f t="shared" ref="D131:D194" si="11">IF(I131="red","ry",IF(I131="yellow","ry","bg"))</f>
        <v>bg</v>
      </c>
      <c r="E131" s="6">
        <v>255</v>
      </c>
      <c r="F131" s="7" t="str">
        <f>VLOOKUP(E131,[1]characters!$A:$C,3,FALSE)</f>
        <v>怠惰の頂点 ベルフェゴール</v>
      </c>
      <c r="G131" s="7" t="str">
        <f>VLOOKUP(E131,[1]characters!$A:$J,10,FALSE)</f>
        <v>PremiumS</v>
      </c>
      <c r="H131" s="7">
        <f>VLOOKUP(E131,[1]characters!$A:$I,9,FALSE)</f>
        <v>5</v>
      </c>
      <c r="I131" s="7" t="str">
        <f>VLOOKUP(E131,[1]characters!$A:$H,8,FALSE)</f>
        <v>green</v>
      </c>
      <c r="J131" s="7" t="str">
        <f>VLOOKUP(E131,[1]characters!$A:$K,11,FALSE)</f>
        <v>technical</v>
      </c>
      <c r="K131" s="7" t="str">
        <f>VLOOKUP(E131,[1]characters!$A:$M,13,FALSE)</f>
        <v>god</v>
      </c>
      <c r="L131" s="7" t="str">
        <f>VLOOKUP(E131,[1]characters!$A:$G,7,FALSE)</f>
        <v>女性</v>
      </c>
      <c r="M131" s="62">
        <f ca="1">IFERROR(VLOOKUP(E131,input_313100!L:R,7,FALSE),VLOOKUP(tables_313100!B131,input_313100!A:H,8,FALSE))</f>
        <v>12950</v>
      </c>
      <c r="N131" s="63">
        <f t="shared" ref="N131:N194" ca="1" si="12">M131/SUM(M:M)</f>
        <v>4.6296296296296298E-4</v>
      </c>
      <c r="O131" s="31">
        <f>IFERROR(VLOOKUP($E131,bug_conf_sheet!$A:$H,3,FALSE),VLOOKUP("other",bug_conf_sheet!$A:$H,3,FALSE))</f>
        <v>1</v>
      </c>
      <c r="P131" s="31">
        <f>IFERROR(VLOOKUP($E131,bug_conf_sheet!$A:$H,4,FALSE),VLOOKUP("other",bug_conf_sheet!$A:$H,4,FALSE))</f>
        <v>0</v>
      </c>
      <c r="Q131" s="31">
        <f>IFERROR(VLOOKUP($E131,bug_conf_sheet!$A:$H,5,FALSE),VLOOKUP("other",bug_conf_sheet!$A:$H,5,FALSE))</f>
        <v>0</v>
      </c>
      <c r="R131" s="31">
        <f>IFERROR(VLOOKUP($E131,bug_conf_sheet!$A:$H,6,FALSE),VLOOKUP("other",bug_conf_sheet!$A:$H,6,FALSE))</f>
        <v>0</v>
      </c>
      <c r="S131" s="31">
        <f>IFERROR(VLOOKUP($E131,bug_conf_sheet!$A:$H,7,FALSE),VLOOKUP("other",bug_conf_sheet!$A:$H,7,FALSE))</f>
        <v>0</v>
      </c>
      <c r="T131" s="31">
        <f>IFERROR(VLOOKUP($E131,bug_conf_sheet!$A:$H,8,FALSE),VLOOKUP("other",bug_conf_sheet!$A:$H,8,FALSE))</f>
        <v>1</v>
      </c>
    </row>
    <row r="132" spans="1:20" ht="21" customHeight="1">
      <c r="A132" s="2" t="str">
        <f ca="1">input_313100!A$2</f>
        <v>313100</v>
      </c>
      <c r="B132" s="7" t="str">
        <f t="shared" si="9"/>
        <v>Premium3</v>
      </c>
      <c r="C132" s="7" t="str">
        <f t="shared" si="10"/>
        <v>Premium</v>
      </c>
      <c r="D132" s="7" t="str">
        <f t="shared" si="11"/>
        <v>bg</v>
      </c>
      <c r="E132" s="6">
        <v>256</v>
      </c>
      <c r="F132" s="7" t="str">
        <f>VLOOKUP(E132,[1]characters!$A:$C,3,FALSE)</f>
        <v>アスモデウス</v>
      </c>
      <c r="G132" s="7" t="str">
        <f>VLOOKUP(E132,[1]characters!$A:$J,10,FALSE)</f>
        <v>PremiumS</v>
      </c>
      <c r="H132" s="7">
        <f>VLOOKUP(E132,[1]characters!$A:$I,9,FALSE)</f>
        <v>3</v>
      </c>
      <c r="I132" s="7" t="str">
        <f>VLOOKUP(E132,[1]characters!$A:$H,8,FALSE)</f>
        <v>blue</v>
      </c>
      <c r="J132" s="7" t="str">
        <f>VLOOKUP(E132,[1]characters!$A:$K,11,FALSE)</f>
        <v>attack</v>
      </c>
      <c r="K132" s="7" t="str">
        <f>VLOOKUP(E132,[1]characters!$A:$M,13,FALSE)</f>
        <v>god</v>
      </c>
      <c r="L132" s="7" t="str">
        <f>VLOOKUP(E132,[1]characters!$A:$G,7,FALSE)</f>
        <v>女性</v>
      </c>
      <c r="M132" s="62">
        <f ca="1">IFERROR(VLOOKUP(E132,input_313100!L:R,7,FALSE),VLOOKUP(tables_313100!B132,input_313100!A:H,8,FALSE))</f>
        <v>0</v>
      </c>
      <c r="N132" s="63">
        <f t="shared" ca="1" si="12"/>
        <v>0</v>
      </c>
      <c r="O132" s="31">
        <f>IFERROR(VLOOKUP($E132,bug_conf_sheet!$A:$H,3,FALSE),VLOOKUP("other",bug_conf_sheet!$A:$H,3,FALSE))</f>
        <v>1</v>
      </c>
      <c r="P132" s="31">
        <f>IFERROR(VLOOKUP($E132,bug_conf_sheet!$A:$H,4,FALSE),VLOOKUP("other",bug_conf_sheet!$A:$H,4,FALSE))</f>
        <v>0</v>
      </c>
      <c r="Q132" s="31">
        <f>IFERROR(VLOOKUP($E132,bug_conf_sheet!$A:$H,5,FALSE),VLOOKUP("other",bug_conf_sheet!$A:$H,5,FALSE))</f>
        <v>0</v>
      </c>
      <c r="R132" s="31">
        <f>IFERROR(VLOOKUP($E132,bug_conf_sheet!$A:$H,6,FALSE),VLOOKUP("other",bug_conf_sheet!$A:$H,6,FALSE))</f>
        <v>0</v>
      </c>
      <c r="S132" s="31">
        <f>IFERROR(VLOOKUP($E132,bug_conf_sheet!$A:$H,7,FALSE),VLOOKUP("other",bug_conf_sheet!$A:$H,7,FALSE))</f>
        <v>0</v>
      </c>
      <c r="T132" s="31">
        <f>IFERROR(VLOOKUP($E132,bug_conf_sheet!$A:$H,8,FALSE),VLOOKUP("other",bug_conf_sheet!$A:$H,8,FALSE))</f>
        <v>1</v>
      </c>
    </row>
    <row r="133" spans="1:20" ht="21" customHeight="1">
      <c r="A133" s="2" t="str">
        <f ca="1">input_313100!A$2</f>
        <v>313100</v>
      </c>
      <c r="B133" s="7" t="str">
        <f t="shared" si="9"/>
        <v>Premium4</v>
      </c>
      <c r="C133" s="7" t="str">
        <f t="shared" si="10"/>
        <v>Premium</v>
      </c>
      <c r="D133" s="7" t="str">
        <f t="shared" si="11"/>
        <v>bg</v>
      </c>
      <c r="E133" s="6">
        <v>257</v>
      </c>
      <c r="F133" s="7" t="str">
        <f>VLOOKUP(E133,[1]characters!$A:$C,3,FALSE)</f>
        <v>色欲 アスモデウス</v>
      </c>
      <c r="G133" s="7" t="str">
        <f>VLOOKUP(E133,[1]characters!$A:$J,10,FALSE)</f>
        <v>PremiumS</v>
      </c>
      <c r="H133" s="7">
        <f>VLOOKUP(E133,[1]characters!$A:$I,9,FALSE)</f>
        <v>4</v>
      </c>
      <c r="I133" s="7" t="str">
        <f>VLOOKUP(E133,[1]characters!$A:$H,8,FALSE)</f>
        <v>blue</v>
      </c>
      <c r="J133" s="7" t="str">
        <f>VLOOKUP(E133,[1]characters!$A:$K,11,FALSE)</f>
        <v>attack</v>
      </c>
      <c r="K133" s="7" t="str">
        <f>VLOOKUP(E133,[1]characters!$A:$M,13,FALSE)</f>
        <v>god</v>
      </c>
      <c r="L133" s="7" t="str">
        <f>VLOOKUP(E133,[1]characters!$A:$G,7,FALSE)</f>
        <v>女性</v>
      </c>
      <c r="M133" s="62">
        <f ca="1">IFERROR(VLOOKUP(E133,input_313100!L:R,7,FALSE),VLOOKUP(tables_313100!B133,input_313100!A:H,8,FALSE))</f>
        <v>342090</v>
      </c>
      <c r="N133" s="63">
        <f t="shared" ca="1" si="12"/>
        <v>1.222972972972973E-2</v>
      </c>
      <c r="O133" s="31">
        <f>IFERROR(VLOOKUP($E133,bug_conf_sheet!$A:$H,3,FALSE),VLOOKUP("other",bug_conf_sheet!$A:$H,3,FALSE))</f>
        <v>1</v>
      </c>
      <c r="P133" s="31">
        <f>IFERROR(VLOOKUP($E133,bug_conf_sheet!$A:$H,4,FALSE),VLOOKUP("other",bug_conf_sheet!$A:$H,4,FALSE))</f>
        <v>0</v>
      </c>
      <c r="Q133" s="31">
        <f>IFERROR(VLOOKUP($E133,bug_conf_sheet!$A:$H,5,FALSE),VLOOKUP("other",bug_conf_sheet!$A:$H,5,FALSE))</f>
        <v>0</v>
      </c>
      <c r="R133" s="31">
        <f>IFERROR(VLOOKUP($E133,bug_conf_sheet!$A:$H,6,FALSE),VLOOKUP("other",bug_conf_sheet!$A:$H,6,FALSE))</f>
        <v>0</v>
      </c>
      <c r="S133" s="31">
        <f>IFERROR(VLOOKUP($E133,bug_conf_sheet!$A:$H,7,FALSE),VLOOKUP("other",bug_conf_sheet!$A:$H,7,FALSE))</f>
        <v>0</v>
      </c>
      <c r="T133" s="31">
        <f>IFERROR(VLOOKUP($E133,bug_conf_sheet!$A:$H,8,FALSE),VLOOKUP("other",bug_conf_sheet!$A:$H,8,FALSE))</f>
        <v>1</v>
      </c>
    </row>
    <row r="134" spans="1:20" ht="21" customHeight="1">
      <c r="A134" s="2" t="str">
        <f ca="1">input_313100!A$2</f>
        <v>313100</v>
      </c>
      <c r="B134" s="7" t="str">
        <f t="shared" si="9"/>
        <v>Premium5</v>
      </c>
      <c r="C134" s="7" t="str">
        <f t="shared" si="10"/>
        <v>Premium</v>
      </c>
      <c r="D134" s="7" t="str">
        <f t="shared" si="11"/>
        <v>bg</v>
      </c>
      <c r="E134" s="6">
        <v>258</v>
      </c>
      <c r="F134" s="7" t="str">
        <f>VLOOKUP(E134,[1]characters!$A:$C,3,FALSE)</f>
        <v>色欲の源流 アスモデウス</v>
      </c>
      <c r="G134" s="7" t="str">
        <f>VLOOKUP(E134,[1]characters!$A:$J,10,FALSE)</f>
        <v>PremiumS</v>
      </c>
      <c r="H134" s="7">
        <f>VLOOKUP(E134,[1]characters!$A:$I,9,FALSE)</f>
        <v>5</v>
      </c>
      <c r="I134" s="7" t="str">
        <f>VLOOKUP(E134,[1]characters!$A:$H,8,FALSE)</f>
        <v>blue</v>
      </c>
      <c r="J134" s="7" t="str">
        <f>VLOOKUP(E134,[1]characters!$A:$K,11,FALSE)</f>
        <v>attack</v>
      </c>
      <c r="K134" s="7" t="str">
        <f>VLOOKUP(E134,[1]characters!$A:$M,13,FALSE)</f>
        <v>god</v>
      </c>
      <c r="L134" s="7" t="str">
        <f>VLOOKUP(E134,[1]characters!$A:$G,7,FALSE)</f>
        <v>女性</v>
      </c>
      <c r="M134" s="62">
        <f ca="1">IFERROR(VLOOKUP(E134,input_313100!L:R,7,FALSE),VLOOKUP(tables_313100!B134,input_313100!A:H,8,FALSE))</f>
        <v>12950</v>
      </c>
      <c r="N134" s="63">
        <f t="shared" ca="1" si="12"/>
        <v>4.6296296296296298E-4</v>
      </c>
      <c r="O134" s="31">
        <f>IFERROR(VLOOKUP($E134,bug_conf_sheet!$A:$H,3,FALSE),VLOOKUP("other",bug_conf_sheet!$A:$H,3,FALSE))</f>
        <v>1</v>
      </c>
      <c r="P134" s="31">
        <f>IFERROR(VLOOKUP($E134,bug_conf_sheet!$A:$H,4,FALSE),VLOOKUP("other",bug_conf_sheet!$A:$H,4,FALSE))</f>
        <v>0</v>
      </c>
      <c r="Q134" s="31">
        <f>IFERROR(VLOOKUP($E134,bug_conf_sheet!$A:$H,5,FALSE),VLOOKUP("other",bug_conf_sheet!$A:$H,5,FALSE))</f>
        <v>0</v>
      </c>
      <c r="R134" s="31">
        <f>IFERROR(VLOOKUP($E134,bug_conf_sheet!$A:$H,6,FALSE),VLOOKUP("other",bug_conf_sheet!$A:$H,6,FALSE))</f>
        <v>0</v>
      </c>
      <c r="S134" s="31">
        <f>IFERROR(VLOOKUP($E134,bug_conf_sheet!$A:$H,7,FALSE),VLOOKUP("other",bug_conf_sheet!$A:$H,7,FALSE))</f>
        <v>0</v>
      </c>
      <c r="T134" s="31">
        <f>IFERROR(VLOOKUP($E134,bug_conf_sheet!$A:$H,8,FALSE),VLOOKUP("other",bug_conf_sheet!$A:$H,8,FALSE))</f>
        <v>1</v>
      </c>
    </row>
    <row r="135" spans="1:20" ht="21" customHeight="1">
      <c r="A135" s="2" t="str">
        <f ca="1">input_313100!A$2</f>
        <v>313100</v>
      </c>
      <c r="B135" s="7" t="str">
        <f t="shared" si="9"/>
        <v>Premium3</v>
      </c>
      <c r="C135" s="7" t="str">
        <f t="shared" si="10"/>
        <v>Premium</v>
      </c>
      <c r="D135" s="7" t="str">
        <f t="shared" si="11"/>
        <v>ry</v>
      </c>
      <c r="E135" s="6">
        <v>259</v>
      </c>
      <c r="F135" s="7" t="str">
        <f>VLOOKUP(E135,[1]characters!$A:$C,3,FALSE)</f>
        <v>ウロボロス</v>
      </c>
      <c r="G135" s="7" t="str">
        <f>VLOOKUP(E135,[1]characters!$A:$J,10,FALSE)</f>
        <v>PremiumS</v>
      </c>
      <c r="H135" s="7">
        <f>VLOOKUP(E135,[1]characters!$A:$I,9,FALSE)</f>
        <v>3</v>
      </c>
      <c r="I135" s="7" t="str">
        <f>VLOOKUP(E135,[1]characters!$A:$H,8,FALSE)</f>
        <v>yellow</v>
      </c>
      <c r="J135" s="7" t="str">
        <f>VLOOKUP(E135,[1]characters!$A:$K,11,FALSE)</f>
        <v>balance</v>
      </c>
      <c r="K135" s="7" t="str">
        <f>VLOOKUP(E135,[1]characters!$A:$M,13,FALSE)</f>
        <v>dragon</v>
      </c>
      <c r="L135" s="7" t="str">
        <f>VLOOKUP(E135,[1]characters!$A:$G,7,FALSE)</f>
        <v>女性</v>
      </c>
      <c r="M135" s="62">
        <f ca="1">IFERROR(VLOOKUP(E135,input_313100!L:R,7,FALSE),VLOOKUP(tables_313100!B135,input_313100!A:H,8,FALSE))</f>
        <v>0</v>
      </c>
      <c r="N135" s="63">
        <f t="shared" ca="1" si="12"/>
        <v>0</v>
      </c>
      <c r="O135" s="31">
        <f>IFERROR(VLOOKUP($E135,bug_conf_sheet!$A:$H,3,FALSE),VLOOKUP("other",bug_conf_sheet!$A:$H,3,FALSE))</f>
        <v>1</v>
      </c>
      <c r="P135" s="31">
        <f>IFERROR(VLOOKUP($E135,bug_conf_sheet!$A:$H,4,FALSE),VLOOKUP("other",bug_conf_sheet!$A:$H,4,FALSE))</f>
        <v>0</v>
      </c>
      <c r="Q135" s="31">
        <f>IFERROR(VLOOKUP($E135,bug_conf_sheet!$A:$H,5,FALSE),VLOOKUP("other",bug_conf_sheet!$A:$H,5,FALSE))</f>
        <v>0</v>
      </c>
      <c r="R135" s="31">
        <f>IFERROR(VLOOKUP($E135,bug_conf_sheet!$A:$H,6,FALSE),VLOOKUP("other",bug_conf_sheet!$A:$H,6,FALSE))</f>
        <v>0</v>
      </c>
      <c r="S135" s="31">
        <f>IFERROR(VLOOKUP($E135,bug_conf_sheet!$A:$H,7,FALSE),VLOOKUP("other",bug_conf_sheet!$A:$H,7,FALSE))</f>
        <v>0</v>
      </c>
      <c r="T135" s="31">
        <f>IFERROR(VLOOKUP($E135,bug_conf_sheet!$A:$H,8,FALSE),VLOOKUP("other",bug_conf_sheet!$A:$H,8,FALSE))</f>
        <v>1</v>
      </c>
    </row>
    <row r="136" spans="1:20" ht="21" customHeight="1">
      <c r="A136" s="2" t="str">
        <f ca="1">input_313100!A$2</f>
        <v>313100</v>
      </c>
      <c r="B136" s="7" t="str">
        <f t="shared" si="9"/>
        <v>Premium4</v>
      </c>
      <c r="C136" s="7" t="str">
        <f t="shared" si="10"/>
        <v>Premium</v>
      </c>
      <c r="D136" s="7" t="str">
        <f t="shared" si="11"/>
        <v>ry</v>
      </c>
      <c r="E136" s="8">
        <v>260</v>
      </c>
      <c r="F136" s="7" t="str">
        <f>VLOOKUP(E136,[1]characters!$A:$C,3,FALSE)</f>
        <v>輪廻 ウロボロス</v>
      </c>
      <c r="G136" s="7" t="str">
        <f>VLOOKUP(E136,[1]characters!$A:$J,10,FALSE)</f>
        <v>PremiumS</v>
      </c>
      <c r="H136" s="7">
        <f>VLOOKUP(E136,[1]characters!$A:$I,9,FALSE)</f>
        <v>4</v>
      </c>
      <c r="I136" s="7" t="str">
        <f>VLOOKUP(E136,[1]characters!$A:$H,8,FALSE)</f>
        <v>yellow</v>
      </c>
      <c r="J136" s="7" t="str">
        <f>VLOOKUP(E136,[1]characters!$A:$K,11,FALSE)</f>
        <v>balance</v>
      </c>
      <c r="K136" s="7" t="str">
        <f>VLOOKUP(E136,[1]characters!$A:$M,13,FALSE)</f>
        <v>dragon</v>
      </c>
      <c r="L136" s="7" t="str">
        <f>VLOOKUP(E136,[1]characters!$A:$G,7,FALSE)</f>
        <v>女性</v>
      </c>
      <c r="M136" s="62">
        <f ca="1">IFERROR(VLOOKUP(E136,input_313100!L:R,7,FALSE),VLOOKUP(tables_313100!B136,input_313100!A:H,8,FALSE))</f>
        <v>342090</v>
      </c>
      <c r="N136" s="63">
        <f t="shared" ca="1" si="12"/>
        <v>1.222972972972973E-2</v>
      </c>
      <c r="O136" s="31">
        <f>IFERROR(VLOOKUP($E136,bug_conf_sheet!$A:$H,3,FALSE),VLOOKUP("other",bug_conf_sheet!$A:$H,3,FALSE))</f>
        <v>1</v>
      </c>
      <c r="P136" s="31">
        <f>IFERROR(VLOOKUP($E136,bug_conf_sheet!$A:$H,4,FALSE),VLOOKUP("other",bug_conf_sheet!$A:$H,4,FALSE))</f>
        <v>0</v>
      </c>
      <c r="Q136" s="31">
        <f>IFERROR(VLOOKUP($E136,bug_conf_sheet!$A:$H,5,FALSE),VLOOKUP("other",bug_conf_sheet!$A:$H,5,FALSE))</f>
        <v>0</v>
      </c>
      <c r="R136" s="31">
        <f>IFERROR(VLOOKUP($E136,bug_conf_sheet!$A:$H,6,FALSE),VLOOKUP("other",bug_conf_sheet!$A:$H,6,FALSE))</f>
        <v>0</v>
      </c>
      <c r="S136" s="31">
        <f>IFERROR(VLOOKUP($E136,bug_conf_sheet!$A:$H,7,FALSE),VLOOKUP("other",bug_conf_sheet!$A:$H,7,FALSE))</f>
        <v>0</v>
      </c>
      <c r="T136" s="31">
        <f>IFERROR(VLOOKUP($E136,bug_conf_sheet!$A:$H,8,FALSE),VLOOKUP("other",bug_conf_sheet!$A:$H,8,FALSE))</f>
        <v>1</v>
      </c>
    </row>
    <row r="137" spans="1:20" ht="21" customHeight="1">
      <c r="A137" s="2" t="str">
        <f ca="1">input_313100!A$2</f>
        <v>313100</v>
      </c>
      <c r="B137" s="7" t="str">
        <f t="shared" si="9"/>
        <v>Premium5</v>
      </c>
      <c r="C137" s="7" t="str">
        <f t="shared" si="10"/>
        <v>Premium</v>
      </c>
      <c r="D137" s="7" t="str">
        <f t="shared" si="11"/>
        <v>ry</v>
      </c>
      <c r="E137" s="8">
        <v>261</v>
      </c>
      <c r="F137" s="7" t="str">
        <f>VLOOKUP(E137,[1]characters!$A:$C,3,FALSE)</f>
        <v>輪廻の蛇龍 ウロボロス</v>
      </c>
      <c r="G137" s="7" t="str">
        <f>VLOOKUP(E137,[1]characters!$A:$J,10,FALSE)</f>
        <v>PremiumS</v>
      </c>
      <c r="H137" s="7">
        <f>VLOOKUP(E137,[1]characters!$A:$I,9,FALSE)</f>
        <v>5</v>
      </c>
      <c r="I137" s="7" t="str">
        <f>VLOOKUP(E137,[1]characters!$A:$H,8,FALSE)</f>
        <v>yellow</v>
      </c>
      <c r="J137" s="7" t="str">
        <f>VLOOKUP(E137,[1]characters!$A:$K,11,FALSE)</f>
        <v>balance</v>
      </c>
      <c r="K137" s="7" t="str">
        <f>VLOOKUP(E137,[1]characters!$A:$M,13,FALSE)</f>
        <v>dragon</v>
      </c>
      <c r="L137" s="7" t="str">
        <f>VLOOKUP(E137,[1]characters!$A:$G,7,FALSE)</f>
        <v>女性</v>
      </c>
      <c r="M137" s="62">
        <f ca="1">IFERROR(VLOOKUP(E137,input_313100!L:R,7,FALSE),VLOOKUP(tables_313100!B137,input_313100!A:H,8,FALSE))</f>
        <v>12950</v>
      </c>
      <c r="N137" s="63">
        <f t="shared" ca="1" si="12"/>
        <v>4.6296296296296298E-4</v>
      </c>
      <c r="O137" s="31">
        <f>IFERROR(VLOOKUP($E137,bug_conf_sheet!$A:$H,3,FALSE),VLOOKUP("other",bug_conf_sheet!$A:$H,3,FALSE))</f>
        <v>1</v>
      </c>
      <c r="P137" s="31">
        <f>IFERROR(VLOOKUP($E137,bug_conf_sheet!$A:$H,4,FALSE),VLOOKUP("other",bug_conf_sheet!$A:$H,4,FALSE))</f>
        <v>0</v>
      </c>
      <c r="Q137" s="31">
        <f>IFERROR(VLOOKUP($E137,bug_conf_sheet!$A:$H,5,FALSE),VLOOKUP("other",bug_conf_sheet!$A:$H,5,FALSE))</f>
        <v>0</v>
      </c>
      <c r="R137" s="31">
        <f>IFERROR(VLOOKUP($E137,bug_conf_sheet!$A:$H,6,FALSE),VLOOKUP("other",bug_conf_sheet!$A:$H,6,FALSE))</f>
        <v>0</v>
      </c>
      <c r="S137" s="31">
        <f>IFERROR(VLOOKUP($E137,bug_conf_sheet!$A:$H,7,FALSE),VLOOKUP("other",bug_conf_sheet!$A:$H,7,FALSE))</f>
        <v>0</v>
      </c>
      <c r="T137" s="31">
        <f>IFERROR(VLOOKUP($E137,bug_conf_sheet!$A:$H,8,FALSE),VLOOKUP("other",bug_conf_sheet!$A:$H,8,FALSE))</f>
        <v>1</v>
      </c>
    </row>
    <row r="138" spans="1:20" ht="21" customHeight="1">
      <c r="A138" s="2" t="str">
        <f ca="1">input_313100!A$2</f>
        <v>313100</v>
      </c>
      <c r="B138" s="7" t="str">
        <f t="shared" si="9"/>
        <v>PremiumSSry4</v>
      </c>
      <c r="C138" s="7" t="str">
        <f t="shared" si="10"/>
        <v>PremiumSS</v>
      </c>
      <c r="D138" s="7" t="str">
        <f t="shared" si="11"/>
        <v>ry</v>
      </c>
      <c r="E138" s="6">
        <v>320</v>
      </c>
      <c r="F138" s="7" t="str">
        <f>VLOOKUP(E138,[1]characters!$A:$C,3,FALSE)</f>
        <v>烈志士 近藤勇</v>
      </c>
      <c r="G138" s="7" t="str">
        <f>VLOOKUP(E138,[1]characters!$A:$J,10,FALSE)</f>
        <v>PremiumSS</v>
      </c>
      <c r="H138" s="7">
        <f>VLOOKUP(E138,[1]characters!$A:$I,9,FALSE)</f>
        <v>4</v>
      </c>
      <c r="I138" s="7" t="str">
        <f>VLOOKUP(E138,[1]characters!$A:$H,8,FALSE)</f>
        <v>red</v>
      </c>
      <c r="J138" s="7" t="str">
        <f>VLOOKUP(E138,[1]characters!$A:$K,11,FALSE)</f>
        <v>hp</v>
      </c>
      <c r="K138" s="7" t="str">
        <f>VLOOKUP(E138,[1]characters!$A:$M,13,FALSE)</f>
        <v>human</v>
      </c>
      <c r="L138" s="7" t="str">
        <f>VLOOKUP(E138,[1]characters!$A:$G,7,FALSE)</f>
        <v>男性</v>
      </c>
      <c r="M138" s="62">
        <f ca="1">IFERROR(VLOOKUP(E138,input_313100!L:R,7,FALSE),VLOOKUP(tables_313100!B138,input_313100!A:H,8,FALSE))</f>
        <v>53946</v>
      </c>
      <c r="N138" s="63">
        <f t="shared" ca="1" si="12"/>
        <v>1.9285714285714286E-3</v>
      </c>
      <c r="O138" s="31">
        <f>IFERROR(VLOOKUP($E138,bug_conf_sheet!$A:$H,3,FALSE),VLOOKUP("other",bug_conf_sheet!$A:$H,3,FALSE))</f>
        <v>1</v>
      </c>
      <c r="P138" s="31">
        <f>IFERROR(VLOOKUP($E138,bug_conf_sheet!$A:$H,4,FALSE),VLOOKUP("other",bug_conf_sheet!$A:$H,4,FALSE))</f>
        <v>0</v>
      </c>
      <c r="Q138" s="31">
        <f>IFERROR(VLOOKUP($E138,bug_conf_sheet!$A:$H,5,FALSE),VLOOKUP("other",bug_conf_sheet!$A:$H,5,FALSE))</f>
        <v>0</v>
      </c>
      <c r="R138" s="31">
        <f>IFERROR(VLOOKUP($E138,bug_conf_sheet!$A:$H,6,FALSE),VLOOKUP("other",bug_conf_sheet!$A:$H,6,FALSE))</f>
        <v>0</v>
      </c>
      <c r="S138" s="31">
        <f>IFERROR(VLOOKUP($E138,bug_conf_sheet!$A:$H,7,FALSE),VLOOKUP("other",bug_conf_sheet!$A:$H,7,FALSE))</f>
        <v>0</v>
      </c>
      <c r="T138" s="31">
        <f>IFERROR(VLOOKUP($E138,bug_conf_sheet!$A:$H,8,FALSE),VLOOKUP("other",bug_conf_sheet!$A:$H,8,FALSE))</f>
        <v>1</v>
      </c>
    </row>
    <row r="139" spans="1:20" ht="21" customHeight="1">
      <c r="A139" s="2" t="str">
        <f ca="1">input_313100!A$2</f>
        <v>313100</v>
      </c>
      <c r="B139" s="7" t="str">
        <f t="shared" si="9"/>
        <v>PremiumSSry5</v>
      </c>
      <c r="C139" s="7" t="str">
        <f t="shared" si="10"/>
        <v>PremiumSS</v>
      </c>
      <c r="D139" s="7" t="str">
        <f t="shared" si="11"/>
        <v>ry</v>
      </c>
      <c r="E139" s="6">
        <v>321</v>
      </c>
      <c r="F139" s="7" t="str">
        <f>VLOOKUP(E139,[1]characters!$A:$C,3,FALSE)</f>
        <v>巌鉄の烈志士 近藤勇</v>
      </c>
      <c r="G139" s="7" t="str">
        <f>VLOOKUP(E139,[1]characters!$A:$J,10,FALSE)</f>
        <v>PremiumSS</v>
      </c>
      <c r="H139" s="7">
        <f>VLOOKUP(E139,[1]characters!$A:$I,9,FALSE)</f>
        <v>5</v>
      </c>
      <c r="I139" s="7" t="str">
        <f>VLOOKUP(E139,[1]characters!$A:$H,8,FALSE)</f>
        <v>red</v>
      </c>
      <c r="J139" s="7" t="str">
        <f>VLOOKUP(E139,[1]characters!$A:$K,11,FALSE)</f>
        <v>hp</v>
      </c>
      <c r="K139" s="7" t="str">
        <f>VLOOKUP(E139,[1]characters!$A:$M,13,FALSE)</f>
        <v>human</v>
      </c>
      <c r="L139" s="7" t="str">
        <f>VLOOKUP(E139,[1]characters!$A:$G,7,FALSE)</f>
        <v>男性</v>
      </c>
      <c r="M139" s="62">
        <f ca="1">IFERROR(VLOOKUP(E139,input_313100!L:R,7,FALSE),VLOOKUP(tables_313100!B139,input_313100!A:H,8,FALSE))</f>
        <v>5994</v>
      </c>
      <c r="N139" s="63">
        <f t="shared" ca="1" si="12"/>
        <v>2.1428571428571427E-4</v>
      </c>
      <c r="O139" s="31">
        <f>IFERROR(VLOOKUP($E139,bug_conf_sheet!$A:$H,3,FALSE),VLOOKUP("other",bug_conf_sheet!$A:$H,3,FALSE))</f>
        <v>1</v>
      </c>
      <c r="P139" s="31">
        <f>IFERROR(VLOOKUP($E139,bug_conf_sheet!$A:$H,4,FALSE),VLOOKUP("other",bug_conf_sheet!$A:$H,4,FALSE))</f>
        <v>0</v>
      </c>
      <c r="Q139" s="31">
        <f>IFERROR(VLOOKUP($E139,bug_conf_sheet!$A:$H,5,FALSE),VLOOKUP("other",bug_conf_sheet!$A:$H,5,FALSE))</f>
        <v>0</v>
      </c>
      <c r="R139" s="31">
        <f>IFERROR(VLOOKUP($E139,bug_conf_sheet!$A:$H,6,FALSE),VLOOKUP("other",bug_conf_sheet!$A:$H,6,FALSE))</f>
        <v>0</v>
      </c>
      <c r="S139" s="31">
        <f>IFERROR(VLOOKUP($E139,bug_conf_sheet!$A:$H,7,FALSE),VLOOKUP("other",bug_conf_sheet!$A:$H,7,FALSE))</f>
        <v>0</v>
      </c>
      <c r="T139" s="31">
        <f>IFERROR(VLOOKUP($E139,bug_conf_sheet!$A:$H,8,FALSE),VLOOKUP("other",bug_conf_sheet!$A:$H,8,FALSE))</f>
        <v>1</v>
      </c>
    </row>
    <row r="140" spans="1:20" ht="21" customHeight="1">
      <c r="A140" s="2" t="str">
        <f ca="1">input_313100!A$2</f>
        <v>313100</v>
      </c>
      <c r="B140" s="7" t="str">
        <f t="shared" si="9"/>
        <v>PremiumSSbg4</v>
      </c>
      <c r="C140" s="7" t="str">
        <f t="shared" si="10"/>
        <v>PremiumSS</v>
      </c>
      <c r="D140" s="7" t="str">
        <f t="shared" si="11"/>
        <v>bg</v>
      </c>
      <c r="E140" s="6">
        <v>322</v>
      </c>
      <c r="F140" s="7" t="str">
        <f>VLOOKUP(E140,[1]characters!$A:$C,3,FALSE)</f>
        <v>愛志士 土方歳三</v>
      </c>
      <c r="G140" s="7" t="str">
        <f>VLOOKUP(E140,[1]characters!$A:$J,10,FALSE)</f>
        <v>PremiumSS</v>
      </c>
      <c r="H140" s="7">
        <f>VLOOKUP(E140,[1]characters!$A:$I,9,FALSE)</f>
        <v>4</v>
      </c>
      <c r="I140" s="7" t="str">
        <f>VLOOKUP(E140,[1]characters!$A:$H,8,FALSE)</f>
        <v>green</v>
      </c>
      <c r="J140" s="7" t="str">
        <f>VLOOKUP(E140,[1]characters!$A:$K,11,FALSE)</f>
        <v>attack</v>
      </c>
      <c r="K140" s="7" t="str">
        <f>VLOOKUP(E140,[1]characters!$A:$M,13,FALSE)</f>
        <v>human</v>
      </c>
      <c r="L140" s="7" t="str">
        <f>VLOOKUP(E140,[1]characters!$A:$G,7,FALSE)</f>
        <v>女性</v>
      </c>
      <c r="M140" s="62">
        <f ca="1">IFERROR(VLOOKUP(E140,input_313100!L:R,7,FALSE),VLOOKUP(tables_313100!B140,input_313100!A:H,8,FALSE))</f>
        <v>41958</v>
      </c>
      <c r="N140" s="63">
        <f t="shared" ca="1" si="12"/>
        <v>1.5E-3</v>
      </c>
      <c r="O140" s="31">
        <f>IFERROR(VLOOKUP($E140,bug_conf_sheet!$A:$H,3,FALSE),VLOOKUP("other",bug_conf_sheet!$A:$H,3,FALSE))</f>
        <v>1</v>
      </c>
      <c r="P140" s="31">
        <f>IFERROR(VLOOKUP($E140,bug_conf_sheet!$A:$H,4,FALSE),VLOOKUP("other",bug_conf_sheet!$A:$H,4,FALSE))</f>
        <v>0</v>
      </c>
      <c r="Q140" s="31">
        <f>IFERROR(VLOOKUP($E140,bug_conf_sheet!$A:$H,5,FALSE),VLOOKUP("other",bug_conf_sheet!$A:$H,5,FALSE))</f>
        <v>0</v>
      </c>
      <c r="R140" s="31">
        <f>IFERROR(VLOOKUP($E140,bug_conf_sheet!$A:$H,6,FALSE),VLOOKUP("other",bug_conf_sheet!$A:$H,6,FALSE))</f>
        <v>0</v>
      </c>
      <c r="S140" s="31">
        <f>IFERROR(VLOOKUP($E140,bug_conf_sheet!$A:$H,7,FALSE),VLOOKUP("other",bug_conf_sheet!$A:$H,7,FALSE))</f>
        <v>0</v>
      </c>
      <c r="T140" s="31">
        <f>IFERROR(VLOOKUP($E140,bug_conf_sheet!$A:$H,8,FALSE),VLOOKUP("other",bug_conf_sheet!$A:$H,8,FALSE))</f>
        <v>1</v>
      </c>
    </row>
    <row r="141" spans="1:20" ht="21" customHeight="1">
      <c r="A141" s="2" t="str">
        <f ca="1">input_313100!A$2</f>
        <v>313100</v>
      </c>
      <c r="B141" s="7" t="str">
        <f t="shared" si="9"/>
        <v>PremiumSSbg5</v>
      </c>
      <c r="C141" s="7" t="str">
        <f t="shared" si="10"/>
        <v>PremiumSS</v>
      </c>
      <c r="D141" s="7" t="str">
        <f t="shared" si="11"/>
        <v>bg</v>
      </c>
      <c r="E141" s="6">
        <v>323</v>
      </c>
      <c r="F141" s="7" t="str">
        <f>VLOOKUP(E141,[1]characters!$A:$C,3,FALSE)</f>
        <v>流麗の愛志士 土方歳三</v>
      </c>
      <c r="G141" s="7" t="str">
        <f>VLOOKUP(E141,[1]characters!$A:$J,10,FALSE)</f>
        <v>PremiumSS</v>
      </c>
      <c r="H141" s="7">
        <f>VLOOKUP(E141,[1]characters!$A:$I,9,FALSE)</f>
        <v>5</v>
      </c>
      <c r="I141" s="7" t="str">
        <f>VLOOKUP(E141,[1]characters!$A:$H,8,FALSE)</f>
        <v>green</v>
      </c>
      <c r="J141" s="7" t="str">
        <f>VLOOKUP(E141,[1]characters!$A:$K,11,FALSE)</f>
        <v>attack</v>
      </c>
      <c r="K141" s="7" t="str">
        <f>VLOOKUP(E141,[1]characters!$A:$M,13,FALSE)</f>
        <v>human</v>
      </c>
      <c r="L141" s="7" t="str">
        <f>VLOOKUP(E141,[1]characters!$A:$G,7,FALSE)</f>
        <v>女性</v>
      </c>
      <c r="M141" s="62">
        <f ca="1">IFERROR(VLOOKUP(E141,input_313100!L:R,7,FALSE),VLOOKUP(tables_313100!B141,input_313100!A:H,8,FALSE))</f>
        <v>4662</v>
      </c>
      <c r="N141" s="63">
        <f t="shared" ca="1" si="12"/>
        <v>1.6666666666666666E-4</v>
      </c>
      <c r="O141" s="31">
        <f>IFERROR(VLOOKUP($E141,bug_conf_sheet!$A:$H,3,FALSE),VLOOKUP("other",bug_conf_sheet!$A:$H,3,FALSE))</f>
        <v>1</v>
      </c>
      <c r="P141" s="31">
        <f>IFERROR(VLOOKUP($E141,bug_conf_sheet!$A:$H,4,FALSE),VLOOKUP("other",bug_conf_sheet!$A:$H,4,FALSE))</f>
        <v>0</v>
      </c>
      <c r="Q141" s="31">
        <f>IFERROR(VLOOKUP($E141,bug_conf_sheet!$A:$H,5,FALSE),VLOOKUP("other",bug_conf_sheet!$A:$H,5,FALSE))</f>
        <v>0</v>
      </c>
      <c r="R141" s="31">
        <f>IFERROR(VLOOKUP($E141,bug_conf_sheet!$A:$H,6,FALSE),VLOOKUP("other",bug_conf_sheet!$A:$H,6,FALSE))</f>
        <v>0</v>
      </c>
      <c r="S141" s="31">
        <f>IFERROR(VLOOKUP($E141,bug_conf_sheet!$A:$H,7,FALSE),VLOOKUP("other",bug_conf_sheet!$A:$H,7,FALSE))</f>
        <v>0</v>
      </c>
      <c r="T141" s="31">
        <f>IFERROR(VLOOKUP($E141,bug_conf_sheet!$A:$H,8,FALSE),VLOOKUP("other",bug_conf_sheet!$A:$H,8,FALSE))</f>
        <v>1</v>
      </c>
    </row>
    <row r="142" spans="1:20" ht="21" customHeight="1">
      <c r="A142" s="2" t="str">
        <f ca="1">input_313100!A$2</f>
        <v>313100</v>
      </c>
      <c r="B142" s="7" t="str">
        <f t="shared" si="9"/>
        <v>PremiumSSbg4</v>
      </c>
      <c r="C142" s="7" t="str">
        <f t="shared" si="10"/>
        <v>PremiumSS</v>
      </c>
      <c r="D142" s="7" t="str">
        <f t="shared" si="11"/>
        <v>bg</v>
      </c>
      <c r="E142" s="6">
        <v>324</v>
      </c>
      <c r="F142" s="7" t="str">
        <f>VLOOKUP(E142,[1]characters!$A:$C,3,FALSE)</f>
        <v>凛志士 沖田総司</v>
      </c>
      <c r="G142" s="7" t="str">
        <f>VLOOKUP(E142,[1]characters!$A:$J,10,FALSE)</f>
        <v>PremiumSS</v>
      </c>
      <c r="H142" s="7">
        <f>VLOOKUP(E142,[1]characters!$A:$I,9,FALSE)</f>
        <v>4</v>
      </c>
      <c r="I142" s="7" t="str">
        <f>VLOOKUP(E142,[1]characters!$A:$H,8,FALSE)</f>
        <v>blue</v>
      </c>
      <c r="J142" s="7" t="str">
        <f>VLOOKUP(E142,[1]characters!$A:$K,11,FALSE)</f>
        <v>balance</v>
      </c>
      <c r="K142" s="7" t="str">
        <f>VLOOKUP(E142,[1]characters!$A:$M,13,FALSE)</f>
        <v>human</v>
      </c>
      <c r="L142" s="7" t="str">
        <f>VLOOKUP(E142,[1]characters!$A:$G,7,FALSE)</f>
        <v>女性</v>
      </c>
      <c r="M142" s="62">
        <f ca="1">IFERROR(VLOOKUP(E142,input_313100!L:R,7,FALSE),VLOOKUP(tables_313100!B142,input_313100!A:H,8,FALSE))</f>
        <v>41958</v>
      </c>
      <c r="N142" s="63">
        <f t="shared" ca="1" si="12"/>
        <v>1.5E-3</v>
      </c>
      <c r="O142" s="31">
        <f>IFERROR(VLOOKUP($E142,bug_conf_sheet!$A:$H,3,FALSE),VLOOKUP("other",bug_conf_sheet!$A:$H,3,FALSE))</f>
        <v>1</v>
      </c>
      <c r="P142" s="31">
        <f>IFERROR(VLOOKUP($E142,bug_conf_sheet!$A:$H,4,FALSE),VLOOKUP("other",bug_conf_sheet!$A:$H,4,FALSE))</f>
        <v>0</v>
      </c>
      <c r="Q142" s="31">
        <f>IFERROR(VLOOKUP($E142,bug_conf_sheet!$A:$H,5,FALSE),VLOOKUP("other",bug_conf_sheet!$A:$H,5,FALSE))</f>
        <v>0</v>
      </c>
      <c r="R142" s="31">
        <f>IFERROR(VLOOKUP($E142,bug_conf_sheet!$A:$H,6,FALSE),VLOOKUP("other",bug_conf_sheet!$A:$H,6,FALSE))</f>
        <v>0</v>
      </c>
      <c r="S142" s="31">
        <f>IFERROR(VLOOKUP($E142,bug_conf_sheet!$A:$H,7,FALSE),VLOOKUP("other",bug_conf_sheet!$A:$H,7,FALSE))</f>
        <v>0</v>
      </c>
      <c r="T142" s="31">
        <f>IFERROR(VLOOKUP($E142,bug_conf_sheet!$A:$H,8,FALSE),VLOOKUP("other",bug_conf_sheet!$A:$H,8,FALSE))</f>
        <v>1</v>
      </c>
    </row>
    <row r="143" spans="1:20" s="12" customFormat="1" ht="21" customHeight="1" thickBot="1">
      <c r="A143" s="2" t="str">
        <f ca="1">input_313100!A$2</f>
        <v>313100</v>
      </c>
      <c r="B143" s="7" t="str">
        <f t="shared" si="9"/>
        <v>PremiumSSbg5</v>
      </c>
      <c r="C143" s="7" t="str">
        <f t="shared" si="10"/>
        <v>PremiumSS</v>
      </c>
      <c r="D143" s="7" t="str">
        <f t="shared" si="11"/>
        <v>bg</v>
      </c>
      <c r="E143" s="6">
        <v>325</v>
      </c>
      <c r="F143" s="7" t="str">
        <f>VLOOKUP(E143,[1]characters!$A:$C,3,FALSE)</f>
        <v>天賦の凛志士 沖田総司</v>
      </c>
      <c r="G143" s="7" t="str">
        <f>VLOOKUP(E143,[1]characters!$A:$J,10,FALSE)</f>
        <v>PremiumSS</v>
      </c>
      <c r="H143" s="7">
        <f>VLOOKUP(E143,[1]characters!$A:$I,9,FALSE)</f>
        <v>5</v>
      </c>
      <c r="I143" s="7" t="str">
        <f>VLOOKUP(E143,[1]characters!$A:$H,8,FALSE)</f>
        <v>blue</v>
      </c>
      <c r="J143" s="7" t="str">
        <f>VLOOKUP(E143,[1]characters!$A:$K,11,FALSE)</f>
        <v>balance</v>
      </c>
      <c r="K143" s="7" t="str">
        <f>VLOOKUP(E143,[1]characters!$A:$M,13,FALSE)</f>
        <v>human</v>
      </c>
      <c r="L143" s="7" t="str">
        <f>VLOOKUP(E143,[1]characters!$A:$G,7,FALSE)</f>
        <v>女性</v>
      </c>
      <c r="M143" s="62">
        <f ca="1">IFERROR(VLOOKUP(E143,input_313100!L:R,7,FALSE),VLOOKUP(tables_313100!B143,input_313100!A:H,8,FALSE))</f>
        <v>4662</v>
      </c>
      <c r="N143" s="63">
        <f t="shared" ca="1" si="12"/>
        <v>1.6666666666666666E-4</v>
      </c>
      <c r="O143" s="31">
        <f>IFERROR(VLOOKUP($E143,bug_conf_sheet!$A:$H,3,FALSE),VLOOKUP("other",bug_conf_sheet!$A:$H,3,FALSE))</f>
        <v>1</v>
      </c>
      <c r="P143" s="31">
        <f>IFERROR(VLOOKUP($E143,bug_conf_sheet!$A:$H,4,FALSE),VLOOKUP("other",bug_conf_sheet!$A:$H,4,FALSE))</f>
        <v>0</v>
      </c>
      <c r="Q143" s="31">
        <f>IFERROR(VLOOKUP($E143,bug_conf_sheet!$A:$H,5,FALSE),VLOOKUP("other",bug_conf_sheet!$A:$H,5,FALSE))</f>
        <v>0</v>
      </c>
      <c r="R143" s="31">
        <f>IFERROR(VLOOKUP($E143,bug_conf_sheet!$A:$H,6,FALSE),VLOOKUP("other",bug_conf_sheet!$A:$H,6,FALSE))</f>
        <v>0</v>
      </c>
      <c r="S143" s="31">
        <f>IFERROR(VLOOKUP($E143,bug_conf_sheet!$A:$H,7,FALSE),VLOOKUP("other",bug_conf_sheet!$A:$H,7,FALSE))</f>
        <v>0</v>
      </c>
      <c r="T143" s="31">
        <f>IFERROR(VLOOKUP($E143,bug_conf_sheet!$A:$H,8,FALSE),VLOOKUP("other",bug_conf_sheet!$A:$H,8,FALSE))</f>
        <v>1</v>
      </c>
    </row>
    <row r="144" spans="1:20" ht="21" customHeight="1">
      <c r="A144" s="2" t="str">
        <f ca="1">input_313100!A$2</f>
        <v>313100</v>
      </c>
      <c r="B144" s="7" t="str">
        <f t="shared" si="9"/>
        <v>PremiumSSry4</v>
      </c>
      <c r="C144" s="7" t="str">
        <f t="shared" si="10"/>
        <v>PremiumSS</v>
      </c>
      <c r="D144" s="7" t="str">
        <f t="shared" si="11"/>
        <v>ry</v>
      </c>
      <c r="E144" s="6">
        <v>326</v>
      </c>
      <c r="F144" s="7" t="str">
        <f>VLOOKUP(E144,[1]characters!$A:$C,3,FALSE)</f>
        <v>妖志士 斎藤一</v>
      </c>
      <c r="G144" s="7" t="str">
        <f>VLOOKUP(E144,[1]characters!$A:$J,10,FALSE)</f>
        <v>PremiumSS</v>
      </c>
      <c r="H144" s="7">
        <f>VLOOKUP(E144,[1]characters!$A:$I,9,FALSE)</f>
        <v>4</v>
      </c>
      <c r="I144" s="7" t="str">
        <f>VLOOKUP(E144,[1]characters!$A:$H,8,FALSE)</f>
        <v>yellow</v>
      </c>
      <c r="J144" s="7" t="str">
        <f>VLOOKUP(E144,[1]characters!$A:$K,11,FALSE)</f>
        <v>technical</v>
      </c>
      <c r="K144" s="7" t="str">
        <f>VLOOKUP(E144,[1]characters!$A:$M,13,FALSE)</f>
        <v>human</v>
      </c>
      <c r="L144" s="7" t="str">
        <f>VLOOKUP(E144,[1]characters!$A:$G,7,FALSE)</f>
        <v>女性</v>
      </c>
      <c r="M144" s="62">
        <f ca="1">IFERROR(VLOOKUP(E144,input_313100!L:R,7,FALSE),VLOOKUP(tables_313100!B144,input_313100!A:H,8,FALSE))</f>
        <v>53946</v>
      </c>
      <c r="N144" s="63">
        <f t="shared" ca="1" si="12"/>
        <v>1.9285714285714286E-3</v>
      </c>
      <c r="O144" s="31">
        <f>IFERROR(VLOOKUP($E144,bug_conf_sheet!$A:$H,3,FALSE),VLOOKUP("other",bug_conf_sheet!$A:$H,3,FALSE))</f>
        <v>1</v>
      </c>
      <c r="P144" s="31">
        <f>IFERROR(VLOOKUP($E144,bug_conf_sheet!$A:$H,4,FALSE),VLOOKUP("other",bug_conf_sheet!$A:$H,4,FALSE))</f>
        <v>0</v>
      </c>
      <c r="Q144" s="31">
        <f>IFERROR(VLOOKUP($E144,bug_conf_sheet!$A:$H,5,FALSE),VLOOKUP("other",bug_conf_sheet!$A:$H,5,FALSE))</f>
        <v>0</v>
      </c>
      <c r="R144" s="31">
        <f>IFERROR(VLOOKUP($E144,bug_conf_sheet!$A:$H,6,FALSE),VLOOKUP("other",bug_conf_sheet!$A:$H,6,FALSE))</f>
        <v>0</v>
      </c>
      <c r="S144" s="31">
        <f>IFERROR(VLOOKUP($E144,bug_conf_sheet!$A:$H,7,FALSE),VLOOKUP("other",bug_conf_sheet!$A:$H,7,FALSE))</f>
        <v>0</v>
      </c>
      <c r="T144" s="31">
        <f>IFERROR(VLOOKUP($E144,bug_conf_sheet!$A:$H,8,FALSE),VLOOKUP("other",bug_conf_sheet!$A:$H,8,FALSE))</f>
        <v>1</v>
      </c>
    </row>
    <row r="145" spans="1:20" ht="21" customHeight="1">
      <c r="A145" s="2" t="str">
        <f ca="1">input_313100!A$2</f>
        <v>313100</v>
      </c>
      <c r="B145" s="7" t="str">
        <f t="shared" si="9"/>
        <v>PremiumSSry5</v>
      </c>
      <c r="C145" s="7" t="str">
        <f t="shared" si="10"/>
        <v>PremiumSS</v>
      </c>
      <c r="D145" s="7" t="str">
        <f t="shared" si="11"/>
        <v>ry</v>
      </c>
      <c r="E145" s="6">
        <v>327</v>
      </c>
      <c r="F145" s="7" t="str">
        <f>VLOOKUP(E145,[1]characters!$A:$C,3,FALSE)</f>
        <v>千殺の妖志士 斎藤一</v>
      </c>
      <c r="G145" s="7" t="str">
        <f>VLOOKUP(E145,[1]characters!$A:$J,10,FALSE)</f>
        <v>PremiumSS</v>
      </c>
      <c r="H145" s="7">
        <f>VLOOKUP(E145,[1]characters!$A:$I,9,FALSE)</f>
        <v>5</v>
      </c>
      <c r="I145" s="7" t="str">
        <f>VLOOKUP(E145,[1]characters!$A:$H,8,FALSE)</f>
        <v>yellow</v>
      </c>
      <c r="J145" s="7" t="str">
        <f>VLOOKUP(E145,[1]characters!$A:$K,11,FALSE)</f>
        <v>technical</v>
      </c>
      <c r="K145" s="7" t="str">
        <f>VLOOKUP(E145,[1]characters!$A:$M,13,FALSE)</f>
        <v>human</v>
      </c>
      <c r="L145" s="7" t="str">
        <f>VLOOKUP(E145,[1]characters!$A:$G,7,FALSE)</f>
        <v>女性</v>
      </c>
      <c r="M145" s="62">
        <f ca="1">IFERROR(VLOOKUP(E145,input_313100!L:R,7,FALSE),VLOOKUP(tables_313100!B145,input_313100!A:H,8,FALSE))</f>
        <v>5994</v>
      </c>
      <c r="N145" s="63">
        <f t="shared" ca="1" si="12"/>
        <v>2.1428571428571427E-4</v>
      </c>
      <c r="O145" s="31">
        <f>IFERROR(VLOOKUP($E145,bug_conf_sheet!$A:$H,3,FALSE),VLOOKUP("other",bug_conf_sheet!$A:$H,3,FALSE))</f>
        <v>1</v>
      </c>
      <c r="P145" s="31">
        <f>IFERROR(VLOOKUP($E145,bug_conf_sheet!$A:$H,4,FALSE),VLOOKUP("other",bug_conf_sheet!$A:$H,4,FALSE))</f>
        <v>0</v>
      </c>
      <c r="Q145" s="31">
        <f>IFERROR(VLOOKUP($E145,bug_conf_sheet!$A:$H,5,FALSE),VLOOKUP("other",bug_conf_sheet!$A:$H,5,FALSE))</f>
        <v>0</v>
      </c>
      <c r="R145" s="31">
        <f>IFERROR(VLOOKUP($E145,bug_conf_sheet!$A:$H,6,FALSE),VLOOKUP("other",bug_conf_sheet!$A:$H,6,FALSE))</f>
        <v>0</v>
      </c>
      <c r="S145" s="31">
        <f>IFERROR(VLOOKUP($E145,bug_conf_sheet!$A:$H,7,FALSE),VLOOKUP("other",bug_conf_sheet!$A:$H,7,FALSE))</f>
        <v>0</v>
      </c>
      <c r="T145" s="31">
        <f>IFERROR(VLOOKUP($E145,bug_conf_sheet!$A:$H,8,FALSE),VLOOKUP("other",bug_conf_sheet!$A:$H,8,FALSE))</f>
        <v>1</v>
      </c>
    </row>
    <row r="146" spans="1:20" ht="21" customHeight="1">
      <c r="A146" s="2" t="str">
        <f ca="1">input_313100!A$2</f>
        <v>313100</v>
      </c>
      <c r="B146" s="7" t="str">
        <f t="shared" si="9"/>
        <v>Premium3</v>
      </c>
      <c r="C146" s="7" t="str">
        <f t="shared" si="10"/>
        <v>Premium</v>
      </c>
      <c r="D146" s="7" t="str">
        <f t="shared" si="11"/>
        <v>ry</v>
      </c>
      <c r="E146" s="6">
        <v>380</v>
      </c>
      <c r="F146" s="7" t="str">
        <f>VLOOKUP(E146,[1]characters!$A:$C,3,FALSE)</f>
        <v>バハムート</v>
      </c>
      <c r="G146" s="7" t="str">
        <f>VLOOKUP(E146,[1]characters!$A:$J,10,FALSE)</f>
        <v>PremiumS</v>
      </c>
      <c r="H146" s="7">
        <f>VLOOKUP(E146,[1]characters!$A:$I,9,FALSE)</f>
        <v>3</v>
      </c>
      <c r="I146" s="7" t="str">
        <f>VLOOKUP(E146,[1]characters!$A:$H,8,FALSE)</f>
        <v>red</v>
      </c>
      <c r="J146" s="7" t="str">
        <f>VLOOKUP(E146,[1]characters!$A:$K,11,FALSE)</f>
        <v>technical</v>
      </c>
      <c r="K146" s="7" t="str">
        <f>VLOOKUP(E146,[1]characters!$A:$M,13,FALSE)</f>
        <v>dragon</v>
      </c>
      <c r="L146" s="7" t="str">
        <f>VLOOKUP(E146,[1]characters!$A:$G,7,FALSE)</f>
        <v>女性</v>
      </c>
      <c r="M146" s="62">
        <f ca="1">IFERROR(VLOOKUP(E146,input_313100!L:R,7,FALSE),VLOOKUP(tables_313100!B146,input_313100!A:H,8,FALSE))</f>
        <v>0</v>
      </c>
      <c r="N146" s="63">
        <f t="shared" ca="1" si="12"/>
        <v>0</v>
      </c>
      <c r="O146" s="31">
        <f>IFERROR(VLOOKUP($E146,bug_conf_sheet!$A:$H,3,FALSE),VLOOKUP("other",bug_conf_sheet!$A:$H,3,FALSE))</f>
        <v>1</v>
      </c>
      <c r="P146" s="31">
        <f>IFERROR(VLOOKUP($E146,bug_conf_sheet!$A:$H,4,FALSE),VLOOKUP("other",bug_conf_sheet!$A:$H,4,FALSE))</f>
        <v>0</v>
      </c>
      <c r="Q146" s="31">
        <f>IFERROR(VLOOKUP($E146,bug_conf_sheet!$A:$H,5,FALSE),VLOOKUP("other",bug_conf_sheet!$A:$H,5,FALSE))</f>
        <v>0</v>
      </c>
      <c r="R146" s="31">
        <f>IFERROR(VLOOKUP($E146,bug_conf_sheet!$A:$H,6,FALSE),VLOOKUP("other",bug_conf_sheet!$A:$H,6,FALSE))</f>
        <v>0</v>
      </c>
      <c r="S146" s="31">
        <f>IFERROR(VLOOKUP($E146,bug_conf_sheet!$A:$H,7,FALSE),VLOOKUP("other",bug_conf_sheet!$A:$H,7,FALSE))</f>
        <v>0</v>
      </c>
      <c r="T146" s="31">
        <f>IFERROR(VLOOKUP($E146,bug_conf_sheet!$A:$H,8,FALSE),VLOOKUP("other",bug_conf_sheet!$A:$H,8,FALSE))</f>
        <v>1</v>
      </c>
    </row>
    <row r="147" spans="1:20" ht="21" customHeight="1">
      <c r="A147" s="2" t="str">
        <f ca="1">input_313100!A$2</f>
        <v>313100</v>
      </c>
      <c r="B147" s="7" t="str">
        <f t="shared" si="9"/>
        <v>Premium4</v>
      </c>
      <c r="C147" s="7" t="str">
        <f t="shared" si="10"/>
        <v>Premium</v>
      </c>
      <c r="D147" s="7" t="str">
        <f t="shared" si="11"/>
        <v>ry</v>
      </c>
      <c r="E147" s="6">
        <v>381</v>
      </c>
      <c r="F147" s="7" t="str">
        <f>VLOOKUP(E147,[1]characters!$A:$C,3,FALSE)</f>
        <v>肉食の恋火 バハムート</v>
      </c>
      <c r="G147" s="7" t="str">
        <f>VLOOKUP(E147,[1]characters!$A:$J,10,FALSE)</f>
        <v>PremiumS</v>
      </c>
      <c r="H147" s="7">
        <f>VLOOKUP(E147,[1]characters!$A:$I,9,FALSE)</f>
        <v>4</v>
      </c>
      <c r="I147" s="7" t="str">
        <f>VLOOKUP(E147,[1]characters!$A:$H,8,FALSE)</f>
        <v>red</v>
      </c>
      <c r="J147" s="7" t="str">
        <f>VLOOKUP(E147,[1]characters!$A:$K,11,FALSE)</f>
        <v>technical</v>
      </c>
      <c r="K147" s="7" t="str">
        <f>VLOOKUP(E147,[1]characters!$A:$M,13,FALSE)</f>
        <v>dragon</v>
      </c>
      <c r="L147" s="7" t="str">
        <f>VLOOKUP(E147,[1]characters!$A:$G,7,FALSE)</f>
        <v>女性</v>
      </c>
      <c r="M147" s="62">
        <f ca="1">IFERROR(VLOOKUP(E147,input_313100!L:R,7,FALSE),VLOOKUP(tables_313100!B147,input_313100!A:H,8,FALSE))</f>
        <v>342090</v>
      </c>
      <c r="N147" s="63">
        <f t="shared" ca="1" si="12"/>
        <v>1.222972972972973E-2</v>
      </c>
      <c r="O147" s="31">
        <f>IFERROR(VLOOKUP($E147,bug_conf_sheet!$A:$H,3,FALSE),VLOOKUP("other",bug_conf_sheet!$A:$H,3,FALSE))</f>
        <v>1</v>
      </c>
      <c r="P147" s="31">
        <f>IFERROR(VLOOKUP($E147,bug_conf_sheet!$A:$H,4,FALSE),VLOOKUP("other",bug_conf_sheet!$A:$H,4,FALSE))</f>
        <v>0</v>
      </c>
      <c r="Q147" s="31">
        <f>IFERROR(VLOOKUP($E147,bug_conf_sheet!$A:$H,5,FALSE),VLOOKUP("other",bug_conf_sheet!$A:$H,5,FALSE))</f>
        <v>0</v>
      </c>
      <c r="R147" s="31">
        <f>IFERROR(VLOOKUP($E147,bug_conf_sheet!$A:$H,6,FALSE),VLOOKUP("other",bug_conf_sheet!$A:$H,6,FALSE))</f>
        <v>0</v>
      </c>
      <c r="S147" s="31">
        <f>IFERROR(VLOOKUP($E147,bug_conf_sheet!$A:$H,7,FALSE),VLOOKUP("other",bug_conf_sheet!$A:$H,7,FALSE))</f>
        <v>0</v>
      </c>
      <c r="T147" s="31">
        <f>IFERROR(VLOOKUP($E147,bug_conf_sheet!$A:$H,8,FALSE),VLOOKUP("other",bug_conf_sheet!$A:$H,8,FALSE))</f>
        <v>1</v>
      </c>
    </row>
    <row r="148" spans="1:20" ht="21" customHeight="1">
      <c r="A148" s="2" t="str">
        <f ca="1">input_313100!A$2</f>
        <v>313100</v>
      </c>
      <c r="B148" s="7" t="str">
        <f t="shared" si="9"/>
        <v>Premium5</v>
      </c>
      <c r="C148" s="7" t="str">
        <f t="shared" si="10"/>
        <v>Premium</v>
      </c>
      <c r="D148" s="7" t="str">
        <f t="shared" si="11"/>
        <v>ry</v>
      </c>
      <c r="E148" s="6">
        <v>382</v>
      </c>
      <c r="F148" s="7" t="str">
        <f>VLOOKUP(E148,[1]characters!$A:$C,3,FALSE)</f>
        <v>激情の愛炎 バハムート</v>
      </c>
      <c r="G148" s="7" t="str">
        <f>VLOOKUP(E148,[1]characters!$A:$J,10,FALSE)</f>
        <v>PremiumS</v>
      </c>
      <c r="H148" s="7">
        <f>VLOOKUP(E148,[1]characters!$A:$I,9,FALSE)</f>
        <v>5</v>
      </c>
      <c r="I148" s="7" t="str">
        <f>VLOOKUP(E148,[1]characters!$A:$H,8,FALSE)</f>
        <v>red</v>
      </c>
      <c r="J148" s="7" t="str">
        <f>VLOOKUP(E148,[1]characters!$A:$K,11,FALSE)</f>
        <v>technical</v>
      </c>
      <c r="K148" s="7" t="str">
        <f>VLOOKUP(E148,[1]characters!$A:$M,13,FALSE)</f>
        <v>dragon</v>
      </c>
      <c r="L148" s="7" t="str">
        <f>VLOOKUP(E148,[1]characters!$A:$G,7,FALSE)</f>
        <v>女性</v>
      </c>
      <c r="M148" s="62">
        <f ca="1">IFERROR(VLOOKUP(E148,input_313100!L:R,7,FALSE),VLOOKUP(tables_313100!B148,input_313100!A:H,8,FALSE))</f>
        <v>12950</v>
      </c>
      <c r="N148" s="63">
        <f t="shared" ca="1" si="12"/>
        <v>4.6296296296296298E-4</v>
      </c>
      <c r="O148" s="31">
        <f>IFERROR(VLOOKUP($E148,bug_conf_sheet!$A:$H,3,FALSE),VLOOKUP("other",bug_conf_sheet!$A:$H,3,FALSE))</f>
        <v>1</v>
      </c>
      <c r="P148" s="31">
        <f>IFERROR(VLOOKUP($E148,bug_conf_sheet!$A:$H,4,FALSE),VLOOKUP("other",bug_conf_sheet!$A:$H,4,FALSE))</f>
        <v>0</v>
      </c>
      <c r="Q148" s="31">
        <f>IFERROR(VLOOKUP($E148,bug_conf_sheet!$A:$H,5,FALSE),VLOOKUP("other",bug_conf_sheet!$A:$H,5,FALSE))</f>
        <v>0</v>
      </c>
      <c r="R148" s="31">
        <f>IFERROR(VLOOKUP($E148,bug_conf_sheet!$A:$H,6,FALSE),VLOOKUP("other",bug_conf_sheet!$A:$H,6,FALSE))</f>
        <v>0</v>
      </c>
      <c r="S148" s="31">
        <f>IFERROR(VLOOKUP($E148,bug_conf_sheet!$A:$H,7,FALSE),VLOOKUP("other",bug_conf_sheet!$A:$H,7,FALSE))</f>
        <v>0</v>
      </c>
      <c r="T148" s="31">
        <f>IFERROR(VLOOKUP($E148,bug_conf_sheet!$A:$H,8,FALSE),VLOOKUP("other",bug_conf_sheet!$A:$H,8,FALSE))</f>
        <v>1</v>
      </c>
    </row>
    <row r="149" spans="1:20" ht="21" customHeight="1">
      <c r="A149" s="2" t="str">
        <f ca="1">input_313100!A$2</f>
        <v>313100</v>
      </c>
      <c r="B149" s="7" t="str">
        <f t="shared" si="9"/>
        <v>PremiumSSbg4</v>
      </c>
      <c r="C149" s="7" t="str">
        <f t="shared" si="10"/>
        <v>PremiumSS</v>
      </c>
      <c r="D149" s="7" t="str">
        <f t="shared" si="11"/>
        <v>bg</v>
      </c>
      <c r="E149" s="6">
        <v>383</v>
      </c>
      <c r="F149" s="7" t="str">
        <f>VLOOKUP(E149,[1]characters!$A:$C,3,FALSE)</f>
        <v>酒宴の蟒蛇 ヤマタノオロチ</v>
      </c>
      <c r="G149" s="7" t="str">
        <f>VLOOKUP(E149,[1]characters!$A:$J,10,FALSE)</f>
        <v>PremiumSS</v>
      </c>
      <c r="H149" s="7">
        <f>VLOOKUP(E149,[1]characters!$A:$I,9,FALSE)</f>
        <v>4</v>
      </c>
      <c r="I149" s="7" t="str">
        <f>VLOOKUP(E149,[1]characters!$A:$H,8,FALSE)</f>
        <v>green</v>
      </c>
      <c r="J149" s="7" t="str">
        <f>VLOOKUP(E149,[1]characters!$A:$K,11,FALSE)</f>
        <v>hp</v>
      </c>
      <c r="K149" s="7" t="str">
        <f>VLOOKUP(E149,[1]characters!$A:$M,13,FALSE)</f>
        <v>dragon</v>
      </c>
      <c r="L149" s="7" t="str">
        <f>VLOOKUP(E149,[1]characters!$A:$G,7,FALSE)</f>
        <v>女性</v>
      </c>
      <c r="M149" s="62">
        <f ca="1">IFERROR(VLOOKUP(E149,input_313100!L:R,7,FALSE),VLOOKUP(tables_313100!B149,input_313100!A:H,8,FALSE))</f>
        <v>41958</v>
      </c>
      <c r="N149" s="63">
        <f t="shared" ca="1" si="12"/>
        <v>1.5E-3</v>
      </c>
      <c r="O149" s="31">
        <f>IFERROR(VLOOKUP($E149,bug_conf_sheet!$A:$H,3,FALSE),VLOOKUP("other",bug_conf_sheet!$A:$H,3,FALSE))</f>
        <v>1</v>
      </c>
      <c r="P149" s="31">
        <f>IFERROR(VLOOKUP($E149,bug_conf_sheet!$A:$H,4,FALSE),VLOOKUP("other",bug_conf_sheet!$A:$H,4,FALSE))</f>
        <v>0</v>
      </c>
      <c r="Q149" s="31">
        <f>IFERROR(VLOOKUP($E149,bug_conf_sheet!$A:$H,5,FALSE),VLOOKUP("other",bug_conf_sheet!$A:$H,5,FALSE))</f>
        <v>0</v>
      </c>
      <c r="R149" s="31">
        <f>IFERROR(VLOOKUP($E149,bug_conf_sheet!$A:$H,6,FALSE),VLOOKUP("other",bug_conf_sheet!$A:$H,6,FALSE))</f>
        <v>0</v>
      </c>
      <c r="S149" s="31">
        <f>IFERROR(VLOOKUP($E149,bug_conf_sheet!$A:$H,7,FALSE),VLOOKUP("other",bug_conf_sheet!$A:$H,7,FALSE))</f>
        <v>0</v>
      </c>
      <c r="T149" s="31">
        <f>IFERROR(VLOOKUP($E149,bug_conf_sheet!$A:$H,8,FALSE),VLOOKUP("other",bug_conf_sheet!$A:$H,8,FALSE))</f>
        <v>1</v>
      </c>
    </row>
    <row r="150" spans="1:20" ht="21" customHeight="1">
      <c r="A150" s="2" t="str">
        <f ca="1">input_313100!A$2</f>
        <v>313100</v>
      </c>
      <c r="B150" s="7" t="str">
        <f t="shared" si="9"/>
        <v>PremiumSSbg5</v>
      </c>
      <c r="C150" s="7" t="str">
        <f t="shared" si="10"/>
        <v>PremiumSS</v>
      </c>
      <c r="D150" s="7" t="str">
        <f t="shared" si="11"/>
        <v>bg</v>
      </c>
      <c r="E150" s="6">
        <v>384</v>
      </c>
      <c r="F150" s="7" t="str">
        <f>VLOOKUP(E150,[1]characters!$A:$C,3,FALSE)</f>
        <v>破国の呑龍 ヤマタノオロチ</v>
      </c>
      <c r="G150" s="7" t="str">
        <f>VLOOKUP(E150,[1]characters!$A:$J,10,FALSE)</f>
        <v>PremiumSS</v>
      </c>
      <c r="H150" s="7">
        <f>VLOOKUP(E150,[1]characters!$A:$I,9,FALSE)</f>
        <v>5</v>
      </c>
      <c r="I150" s="7" t="str">
        <f>VLOOKUP(E150,[1]characters!$A:$H,8,FALSE)</f>
        <v>green</v>
      </c>
      <c r="J150" s="7" t="str">
        <f>VLOOKUP(E150,[1]characters!$A:$K,11,FALSE)</f>
        <v>hp</v>
      </c>
      <c r="K150" s="7" t="str">
        <f>VLOOKUP(E150,[1]characters!$A:$M,13,FALSE)</f>
        <v>dragon</v>
      </c>
      <c r="L150" s="7" t="str">
        <f>VLOOKUP(E150,[1]characters!$A:$G,7,FALSE)</f>
        <v>女性</v>
      </c>
      <c r="M150" s="62">
        <f ca="1">IFERROR(VLOOKUP(E150,input_313100!L:R,7,FALSE),VLOOKUP(tables_313100!B150,input_313100!A:H,8,FALSE))</f>
        <v>4662</v>
      </c>
      <c r="N150" s="63">
        <f t="shared" ca="1" si="12"/>
        <v>1.6666666666666666E-4</v>
      </c>
      <c r="O150" s="31">
        <f>IFERROR(VLOOKUP($E150,bug_conf_sheet!$A:$H,3,FALSE),VLOOKUP("other",bug_conf_sheet!$A:$H,3,FALSE))</f>
        <v>1</v>
      </c>
      <c r="P150" s="31">
        <f>IFERROR(VLOOKUP($E150,bug_conf_sheet!$A:$H,4,FALSE),VLOOKUP("other",bug_conf_sheet!$A:$H,4,FALSE))</f>
        <v>0</v>
      </c>
      <c r="Q150" s="31">
        <f>IFERROR(VLOOKUP($E150,bug_conf_sheet!$A:$H,5,FALSE),VLOOKUP("other",bug_conf_sheet!$A:$H,5,FALSE))</f>
        <v>0</v>
      </c>
      <c r="R150" s="31">
        <f>IFERROR(VLOOKUP($E150,bug_conf_sheet!$A:$H,6,FALSE),VLOOKUP("other",bug_conf_sheet!$A:$H,6,FALSE))</f>
        <v>0</v>
      </c>
      <c r="S150" s="31">
        <f>IFERROR(VLOOKUP($E150,bug_conf_sheet!$A:$H,7,FALSE),VLOOKUP("other",bug_conf_sheet!$A:$H,7,FALSE))</f>
        <v>0</v>
      </c>
      <c r="T150" s="31">
        <f>IFERROR(VLOOKUP($E150,bug_conf_sheet!$A:$H,8,FALSE),VLOOKUP("other",bug_conf_sheet!$A:$H,8,FALSE))</f>
        <v>1</v>
      </c>
    </row>
    <row r="151" spans="1:20" ht="21" customHeight="1">
      <c r="A151" s="2" t="str">
        <f ca="1">input_313100!A$2</f>
        <v>313100</v>
      </c>
      <c r="B151" s="7" t="str">
        <f t="shared" si="9"/>
        <v>PremiumSSbg4</v>
      </c>
      <c r="C151" s="7" t="str">
        <f t="shared" si="10"/>
        <v>PremiumSS</v>
      </c>
      <c r="D151" s="7" t="str">
        <f t="shared" si="11"/>
        <v>bg</v>
      </c>
      <c r="E151" s="6">
        <v>385</v>
      </c>
      <c r="F151" s="7" t="str">
        <f>VLOOKUP(E151,[1]characters!$A:$C,3,FALSE)</f>
        <v>波烈の出奔 リヴァイアサン</v>
      </c>
      <c r="G151" s="7" t="str">
        <f>VLOOKUP(E151,[1]characters!$A:$J,10,FALSE)</f>
        <v>PremiumSS</v>
      </c>
      <c r="H151" s="7">
        <f>VLOOKUP(E151,[1]characters!$A:$I,9,FALSE)</f>
        <v>4</v>
      </c>
      <c r="I151" s="7" t="str">
        <f>VLOOKUP(E151,[1]characters!$A:$H,8,FALSE)</f>
        <v>blue</v>
      </c>
      <c r="J151" s="7" t="str">
        <f>VLOOKUP(E151,[1]characters!$A:$K,11,FALSE)</f>
        <v>balance</v>
      </c>
      <c r="K151" s="7" t="str">
        <f>VLOOKUP(E151,[1]characters!$A:$M,13,FALSE)</f>
        <v>dragon</v>
      </c>
      <c r="L151" s="7" t="str">
        <f>VLOOKUP(E151,[1]characters!$A:$G,7,FALSE)</f>
        <v>女性</v>
      </c>
      <c r="M151" s="62">
        <f ca="1">IFERROR(VLOOKUP(E151,input_313100!L:R,7,FALSE),VLOOKUP(tables_313100!B151,input_313100!A:H,8,FALSE))</f>
        <v>41958</v>
      </c>
      <c r="N151" s="63">
        <f t="shared" ca="1" si="12"/>
        <v>1.5E-3</v>
      </c>
      <c r="O151" s="31">
        <f>IFERROR(VLOOKUP($E151,bug_conf_sheet!$A:$H,3,FALSE),VLOOKUP("other",bug_conf_sheet!$A:$H,3,FALSE))</f>
        <v>1</v>
      </c>
      <c r="P151" s="31">
        <f>IFERROR(VLOOKUP($E151,bug_conf_sheet!$A:$H,4,FALSE),VLOOKUP("other",bug_conf_sheet!$A:$H,4,FALSE))</f>
        <v>0</v>
      </c>
      <c r="Q151" s="31">
        <f>IFERROR(VLOOKUP($E151,bug_conf_sheet!$A:$H,5,FALSE),VLOOKUP("other",bug_conf_sheet!$A:$H,5,FALSE))</f>
        <v>0</v>
      </c>
      <c r="R151" s="31">
        <f>IFERROR(VLOOKUP($E151,bug_conf_sheet!$A:$H,6,FALSE),VLOOKUP("other",bug_conf_sheet!$A:$H,6,FALSE))</f>
        <v>0</v>
      </c>
      <c r="S151" s="31">
        <f>IFERROR(VLOOKUP($E151,bug_conf_sheet!$A:$H,7,FALSE),VLOOKUP("other",bug_conf_sheet!$A:$H,7,FALSE))</f>
        <v>0</v>
      </c>
      <c r="T151" s="31">
        <f>IFERROR(VLOOKUP($E151,bug_conf_sheet!$A:$H,8,FALSE),VLOOKUP("other",bug_conf_sheet!$A:$H,8,FALSE))</f>
        <v>1</v>
      </c>
    </row>
    <row r="152" spans="1:20" ht="21" customHeight="1">
      <c r="A152" s="2" t="str">
        <f ca="1">input_313100!A$2</f>
        <v>313100</v>
      </c>
      <c r="B152" s="7" t="str">
        <f t="shared" si="9"/>
        <v>PremiumSSbg5</v>
      </c>
      <c r="C152" s="7" t="str">
        <f t="shared" si="10"/>
        <v>PremiumSS</v>
      </c>
      <c r="D152" s="7" t="str">
        <f t="shared" si="11"/>
        <v>bg</v>
      </c>
      <c r="E152" s="6">
        <v>386</v>
      </c>
      <c r="F152" s="7" t="str">
        <f>VLOOKUP(E152,[1]characters!$A:$C,3,FALSE)</f>
        <v>氾乱の海龍 リヴァイアサン</v>
      </c>
      <c r="G152" s="7" t="str">
        <f>VLOOKUP(E152,[1]characters!$A:$J,10,FALSE)</f>
        <v>PremiumSS</v>
      </c>
      <c r="H152" s="7">
        <f>VLOOKUP(E152,[1]characters!$A:$I,9,FALSE)</f>
        <v>5</v>
      </c>
      <c r="I152" s="7" t="str">
        <f>VLOOKUP(E152,[1]characters!$A:$H,8,FALSE)</f>
        <v>blue</v>
      </c>
      <c r="J152" s="7" t="str">
        <f>VLOOKUP(E152,[1]characters!$A:$K,11,FALSE)</f>
        <v>balance</v>
      </c>
      <c r="K152" s="7" t="str">
        <f>VLOOKUP(E152,[1]characters!$A:$M,13,FALSE)</f>
        <v>dragon</v>
      </c>
      <c r="L152" s="7" t="str">
        <f>VLOOKUP(E152,[1]characters!$A:$G,7,FALSE)</f>
        <v>女性</v>
      </c>
      <c r="M152" s="62">
        <f ca="1">IFERROR(VLOOKUP(E152,input_313100!L:R,7,FALSE),VLOOKUP(tables_313100!B152,input_313100!A:H,8,FALSE))</f>
        <v>4662</v>
      </c>
      <c r="N152" s="63">
        <f t="shared" ca="1" si="12"/>
        <v>1.6666666666666666E-4</v>
      </c>
      <c r="O152" s="31">
        <f>IFERROR(VLOOKUP($E152,bug_conf_sheet!$A:$H,3,FALSE),VLOOKUP("other",bug_conf_sheet!$A:$H,3,FALSE))</f>
        <v>1</v>
      </c>
      <c r="P152" s="31">
        <f>IFERROR(VLOOKUP($E152,bug_conf_sheet!$A:$H,4,FALSE),VLOOKUP("other",bug_conf_sheet!$A:$H,4,FALSE))</f>
        <v>0</v>
      </c>
      <c r="Q152" s="31">
        <f>IFERROR(VLOOKUP($E152,bug_conf_sheet!$A:$H,5,FALSE),VLOOKUP("other",bug_conf_sheet!$A:$H,5,FALSE))</f>
        <v>0</v>
      </c>
      <c r="R152" s="31">
        <f>IFERROR(VLOOKUP($E152,bug_conf_sheet!$A:$H,6,FALSE),VLOOKUP("other",bug_conf_sheet!$A:$H,6,FALSE))</f>
        <v>0</v>
      </c>
      <c r="S152" s="31">
        <f>IFERROR(VLOOKUP($E152,bug_conf_sheet!$A:$H,7,FALSE),VLOOKUP("other",bug_conf_sheet!$A:$H,7,FALSE))</f>
        <v>0</v>
      </c>
      <c r="T152" s="31">
        <f>IFERROR(VLOOKUP($E152,bug_conf_sheet!$A:$H,8,FALSE),VLOOKUP("other",bug_conf_sheet!$A:$H,8,FALSE))</f>
        <v>1</v>
      </c>
    </row>
    <row r="153" spans="1:20" ht="21" customHeight="1">
      <c r="A153" s="2" t="str">
        <f ca="1">input_313100!A$2</f>
        <v>313100</v>
      </c>
      <c r="B153" s="7" t="str">
        <f t="shared" si="9"/>
        <v>Premium3</v>
      </c>
      <c r="C153" s="7" t="str">
        <f t="shared" si="10"/>
        <v>Premium</v>
      </c>
      <c r="D153" s="7" t="str">
        <f t="shared" si="11"/>
        <v>ry</v>
      </c>
      <c r="E153" s="6">
        <v>387</v>
      </c>
      <c r="F153" s="7" t="str">
        <f>VLOOKUP(E153,[1]characters!$A:$C,3,FALSE)</f>
        <v>スフィンクス</v>
      </c>
      <c r="G153" s="7" t="str">
        <f>VLOOKUP(E153,[1]characters!$A:$J,10,FALSE)</f>
        <v>PremiumS</v>
      </c>
      <c r="H153" s="7">
        <f>VLOOKUP(E153,[1]characters!$A:$I,9,FALSE)</f>
        <v>3</v>
      </c>
      <c r="I153" s="7" t="str">
        <f>VLOOKUP(E153,[1]characters!$A:$H,8,FALSE)</f>
        <v>yellow</v>
      </c>
      <c r="J153" s="7" t="str">
        <f>VLOOKUP(E153,[1]characters!$A:$K,11,FALSE)</f>
        <v>heal</v>
      </c>
      <c r="K153" s="7" t="str">
        <f>VLOOKUP(E153,[1]characters!$A:$M,13,FALSE)</f>
        <v>animal</v>
      </c>
      <c r="L153" s="7" t="str">
        <f>VLOOKUP(E153,[1]characters!$A:$G,7,FALSE)</f>
        <v>女性</v>
      </c>
      <c r="M153" s="62">
        <f ca="1">IFERROR(VLOOKUP(E153,input_313100!L:R,7,FALSE),VLOOKUP(tables_313100!B153,input_313100!A:H,8,FALSE))</f>
        <v>0</v>
      </c>
      <c r="N153" s="63">
        <f t="shared" ca="1" si="12"/>
        <v>0</v>
      </c>
      <c r="O153" s="31">
        <f>IFERROR(VLOOKUP($E153,bug_conf_sheet!$A:$H,3,FALSE),VLOOKUP("other",bug_conf_sheet!$A:$H,3,FALSE))</f>
        <v>1</v>
      </c>
      <c r="P153" s="31">
        <f>IFERROR(VLOOKUP($E153,bug_conf_sheet!$A:$H,4,FALSE),VLOOKUP("other",bug_conf_sheet!$A:$H,4,FALSE))</f>
        <v>0</v>
      </c>
      <c r="Q153" s="31">
        <f>IFERROR(VLOOKUP($E153,bug_conf_sheet!$A:$H,5,FALSE),VLOOKUP("other",bug_conf_sheet!$A:$H,5,FALSE))</f>
        <v>0</v>
      </c>
      <c r="R153" s="31">
        <f>IFERROR(VLOOKUP($E153,bug_conf_sheet!$A:$H,6,FALSE),VLOOKUP("other",bug_conf_sheet!$A:$H,6,FALSE))</f>
        <v>0</v>
      </c>
      <c r="S153" s="31">
        <f>IFERROR(VLOOKUP($E153,bug_conf_sheet!$A:$H,7,FALSE),VLOOKUP("other",bug_conf_sheet!$A:$H,7,FALSE))</f>
        <v>0</v>
      </c>
      <c r="T153" s="31">
        <f>IFERROR(VLOOKUP($E153,bug_conf_sheet!$A:$H,8,FALSE),VLOOKUP("other",bug_conf_sheet!$A:$H,8,FALSE))</f>
        <v>1</v>
      </c>
    </row>
    <row r="154" spans="1:20" ht="21" customHeight="1">
      <c r="A154" s="2" t="str">
        <f ca="1">input_313100!A$2</f>
        <v>313100</v>
      </c>
      <c r="B154" s="7" t="str">
        <f t="shared" si="9"/>
        <v>Premium4</v>
      </c>
      <c r="C154" s="7" t="str">
        <f t="shared" si="10"/>
        <v>Premium</v>
      </c>
      <c r="D154" s="7" t="str">
        <f t="shared" si="11"/>
        <v>ry</v>
      </c>
      <c r="E154" s="6">
        <v>388</v>
      </c>
      <c r="F154" s="7" t="str">
        <f>VLOOKUP(E154,[1]characters!$A:$C,3,FALSE)</f>
        <v>神円の恋姫 スフィンクス</v>
      </c>
      <c r="G154" s="7" t="str">
        <f>VLOOKUP(E154,[1]characters!$A:$J,10,FALSE)</f>
        <v>PremiumS</v>
      </c>
      <c r="H154" s="7">
        <f>VLOOKUP(E154,[1]characters!$A:$I,9,FALSE)</f>
        <v>4</v>
      </c>
      <c r="I154" s="7" t="str">
        <f>VLOOKUP(E154,[1]characters!$A:$H,8,FALSE)</f>
        <v>yellow</v>
      </c>
      <c r="J154" s="7" t="str">
        <f>VLOOKUP(E154,[1]characters!$A:$K,11,FALSE)</f>
        <v>heal</v>
      </c>
      <c r="K154" s="7" t="str">
        <f>VLOOKUP(E154,[1]characters!$A:$M,13,FALSE)</f>
        <v>animal</v>
      </c>
      <c r="L154" s="7" t="str">
        <f>VLOOKUP(E154,[1]characters!$A:$G,7,FALSE)</f>
        <v>女性</v>
      </c>
      <c r="M154" s="62">
        <f ca="1">IFERROR(VLOOKUP(E154,input_313100!L:R,7,FALSE),VLOOKUP(tables_313100!B154,input_313100!A:H,8,FALSE))</f>
        <v>342090</v>
      </c>
      <c r="N154" s="63">
        <f t="shared" ca="1" si="12"/>
        <v>1.222972972972973E-2</v>
      </c>
      <c r="O154" s="31">
        <f>IFERROR(VLOOKUP($E154,bug_conf_sheet!$A:$H,3,FALSE),VLOOKUP("other",bug_conf_sheet!$A:$H,3,FALSE))</f>
        <v>1</v>
      </c>
      <c r="P154" s="31">
        <f>IFERROR(VLOOKUP($E154,bug_conf_sheet!$A:$H,4,FALSE),VLOOKUP("other",bug_conf_sheet!$A:$H,4,FALSE))</f>
        <v>0</v>
      </c>
      <c r="Q154" s="31">
        <f>IFERROR(VLOOKUP($E154,bug_conf_sheet!$A:$H,5,FALSE),VLOOKUP("other",bug_conf_sheet!$A:$H,5,FALSE))</f>
        <v>0</v>
      </c>
      <c r="R154" s="31">
        <f>IFERROR(VLOOKUP($E154,bug_conf_sheet!$A:$H,6,FALSE),VLOOKUP("other",bug_conf_sheet!$A:$H,6,FALSE))</f>
        <v>0</v>
      </c>
      <c r="S154" s="31">
        <f>IFERROR(VLOOKUP($E154,bug_conf_sheet!$A:$H,7,FALSE),VLOOKUP("other",bug_conf_sheet!$A:$H,7,FALSE))</f>
        <v>0</v>
      </c>
      <c r="T154" s="31">
        <f>IFERROR(VLOOKUP($E154,bug_conf_sheet!$A:$H,8,FALSE),VLOOKUP("other",bug_conf_sheet!$A:$H,8,FALSE))</f>
        <v>1</v>
      </c>
    </row>
    <row r="155" spans="1:20" ht="21" customHeight="1">
      <c r="A155" s="2" t="str">
        <f ca="1">input_313100!A$2</f>
        <v>313100</v>
      </c>
      <c r="B155" s="7" t="str">
        <f t="shared" si="9"/>
        <v>Premium5</v>
      </c>
      <c r="C155" s="7" t="str">
        <f t="shared" si="10"/>
        <v>Premium</v>
      </c>
      <c r="D155" s="7" t="str">
        <f t="shared" si="11"/>
        <v>ry</v>
      </c>
      <c r="E155" s="6">
        <v>389</v>
      </c>
      <c r="F155" s="7" t="str">
        <f>VLOOKUP(E155,[1]characters!$A:$C,3,FALSE)</f>
        <v>操神の愛姫 スフィンクス</v>
      </c>
      <c r="G155" s="7" t="str">
        <f>VLOOKUP(E155,[1]characters!$A:$J,10,FALSE)</f>
        <v>PremiumS</v>
      </c>
      <c r="H155" s="7">
        <f>VLOOKUP(E155,[1]characters!$A:$I,9,FALSE)</f>
        <v>5</v>
      </c>
      <c r="I155" s="7" t="str">
        <f>VLOOKUP(E155,[1]characters!$A:$H,8,FALSE)</f>
        <v>yellow</v>
      </c>
      <c r="J155" s="7" t="str">
        <f>VLOOKUP(E155,[1]characters!$A:$K,11,FALSE)</f>
        <v>heal</v>
      </c>
      <c r="K155" s="7" t="str">
        <f>VLOOKUP(E155,[1]characters!$A:$M,13,FALSE)</f>
        <v>animal</v>
      </c>
      <c r="L155" s="7" t="str">
        <f>VLOOKUP(E155,[1]characters!$A:$G,7,FALSE)</f>
        <v>女性</v>
      </c>
      <c r="M155" s="62">
        <f ca="1">IFERROR(VLOOKUP(E155,input_313100!L:R,7,FALSE),VLOOKUP(tables_313100!B155,input_313100!A:H,8,FALSE))</f>
        <v>12950</v>
      </c>
      <c r="N155" s="63">
        <f t="shared" ca="1" si="12"/>
        <v>4.6296296296296298E-4</v>
      </c>
      <c r="O155" s="31">
        <f>IFERROR(VLOOKUP($E155,bug_conf_sheet!$A:$H,3,FALSE),VLOOKUP("other",bug_conf_sheet!$A:$H,3,FALSE))</f>
        <v>1</v>
      </c>
      <c r="P155" s="31">
        <f>IFERROR(VLOOKUP($E155,bug_conf_sheet!$A:$H,4,FALSE),VLOOKUP("other",bug_conf_sheet!$A:$H,4,FALSE))</f>
        <v>0</v>
      </c>
      <c r="Q155" s="31">
        <f>IFERROR(VLOOKUP($E155,bug_conf_sheet!$A:$H,5,FALSE),VLOOKUP("other",bug_conf_sheet!$A:$H,5,FALSE))</f>
        <v>0</v>
      </c>
      <c r="R155" s="31">
        <f>IFERROR(VLOOKUP($E155,bug_conf_sheet!$A:$H,6,FALSE),VLOOKUP("other",bug_conf_sheet!$A:$H,6,FALSE))</f>
        <v>0</v>
      </c>
      <c r="S155" s="31">
        <f>IFERROR(VLOOKUP($E155,bug_conf_sheet!$A:$H,7,FALSE),VLOOKUP("other",bug_conf_sheet!$A:$H,7,FALSE))</f>
        <v>0</v>
      </c>
      <c r="T155" s="31">
        <f>IFERROR(VLOOKUP($E155,bug_conf_sheet!$A:$H,8,FALSE),VLOOKUP("other",bug_conf_sheet!$A:$H,8,FALSE))</f>
        <v>1</v>
      </c>
    </row>
    <row r="156" spans="1:20" ht="21" customHeight="1">
      <c r="A156" s="2" t="str">
        <f ca="1">input_313100!A$2</f>
        <v>313100</v>
      </c>
      <c r="B156" s="7" t="str">
        <f t="shared" si="9"/>
        <v>PremiumSSry4</v>
      </c>
      <c r="C156" s="7" t="str">
        <f t="shared" si="10"/>
        <v>PremiumSS</v>
      </c>
      <c r="D156" s="7" t="str">
        <f t="shared" si="11"/>
        <v>ry</v>
      </c>
      <c r="E156" s="6">
        <v>390</v>
      </c>
      <c r="F156" s="7" t="str">
        <f>VLOOKUP(E156,[1]characters!$A:$C,3,FALSE)</f>
        <v>華環の旅客 親指姫</v>
      </c>
      <c r="G156" s="7" t="str">
        <f>VLOOKUP(E156,[1]characters!$A:$J,10,FALSE)</f>
        <v>PremiumSS</v>
      </c>
      <c r="H156" s="7">
        <f>VLOOKUP(E156,[1]characters!$A:$I,9,FALSE)</f>
        <v>4</v>
      </c>
      <c r="I156" s="7" t="str">
        <f>VLOOKUP(E156,[1]characters!$A:$H,8,FALSE)</f>
        <v>red</v>
      </c>
      <c r="J156" s="7" t="str">
        <f>VLOOKUP(E156,[1]characters!$A:$K,11,FALSE)</f>
        <v>heal</v>
      </c>
      <c r="K156" s="7" t="str">
        <f>VLOOKUP(E156,[1]characters!$A:$M,13,FALSE)</f>
        <v>human</v>
      </c>
      <c r="L156" s="7" t="str">
        <f>VLOOKUP(E156,[1]characters!$A:$G,7,FALSE)</f>
        <v>女性</v>
      </c>
      <c r="M156" s="62">
        <f ca="1">IFERROR(VLOOKUP(E156,input_313100!L:R,7,FALSE),VLOOKUP(tables_313100!B156,input_313100!A:H,8,FALSE))</f>
        <v>53946</v>
      </c>
      <c r="N156" s="63">
        <f t="shared" ca="1" si="12"/>
        <v>1.9285714285714286E-3</v>
      </c>
      <c r="O156" s="31">
        <f>IFERROR(VLOOKUP($E156,bug_conf_sheet!$A:$H,3,FALSE),VLOOKUP("other",bug_conf_sheet!$A:$H,3,FALSE))</f>
        <v>1</v>
      </c>
      <c r="P156" s="31">
        <f>IFERROR(VLOOKUP($E156,bug_conf_sheet!$A:$H,4,FALSE),VLOOKUP("other",bug_conf_sheet!$A:$H,4,FALSE))</f>
        <v>0</v>
      </c>
      <c r="Q156" s="31">
        <f>IFERROR(VLOOKUP($E156,bug_conf_sheet!$A:$H,5,FALSE),VLOOKUP("other",bug_conf_sheet!$A:$H,5,FALSE))</f>
        <v>0</v>
      </c>
      <c r="R156" s="31">
        <f>IFERROR(VLOOKUP($E156,bug_conf_sheet!$A:$H,6,FALSE),VLOOKUP("other",bug_conf_sheet!$A:$H,6,FALSE))</f>
        <v>0</v>
      </c>
      <c r="S156" s="31">
        <f>IFERROR(VLOOKUP($E156,bug_conf_sheet!$A:$H,7,FALSE),VLOOKUP("other",bug_conf_sheet!$A:$H,7,FALSE))</f>
        <v>0</v>
      </c>
      <c r="T156" s="31">
        <f>IFERROR(VLOOKUP($E156,bug_conf_sheet!$A:$H,8,FALSE),VLOOKUP("other",bug_conf_sheet!$A:$H,8,FALSE))</f>
        <v>1</v>
      </c>
    </row>
    <row r="157" spans="1:20" ht="21" customHeight="1">
      <c r="A157" s="2" t="str">
        <f ca="1">input_313100!A$2</f>
        <v>313100</v>
      </c>
      <c r="B157" s="7" t="str">
        <f t="shared" si="9"/>
        <v>PremiumSSry5</v>
      </c>
      <c r="C157" s="7" t="str">
        <f t="shared" si="10"/>
        <v>PremiumSS</v>
      </c>
      <c r="D157" s="7" t="str">
        <f t="shared" si="11"/>
        <v>ry</v>
      </c>
      <c r="E157" s="6">
        <v>391</v>
      </c>
      <c r="F157" s="7" t="str">
        <f>VLOOKUP(E157,[1]characters!$A:$C,3,FALSE)</f>
        <v>燕翼の旅人 親指姫</v>
      </c>
      <c r="G157" s="7" t="str">
        <f>VLOOKUP(E157,[1]characters!$A:$J,10,FALSE)</f>
        <v>PremiumSS</v>
      </c>
      <c r="H157" s="7">
        <f>VLOOKUP(E157,[1]characters!$A:$I,9,FALSE)</f>
        <v>5</v>
      </c>
      <c r="I157" s="7" t="str">
        <f>VLOOKUP(E157,[1]characters!$A:$H,8,FALSE)</f>
        <v>red</v>
      </c>
      <c r="J157" s="7" t="str">
        <f>VLOOKUP(E157,[1]characters!$A:$K,11,FALSE)</f>
        <v>heal</v>
      </c>
      <c r="K157" s="7" t="str">
        <f>VLOOKUP(E157,[1]characters!$A:$M,13,FALSE)</f>
        <v>human</v>
      </c>
      <c r="L157" s="7" t="str">
        <f>VLOOKUP(E157,[1]characters!$A:$G,7,FALSE)</f>
        <v>女性</v>
      </c>
      <c r="M157" s="62">
        <f ca="1">IFERROR(VLOOKUP(E157,input_313100!L:R,7,FALSE),VLOOKUP(tables_313100!B157,input_313100!A:H,8,FALSE))</f>
        <v>5994</v>
      </c>
      <c r="N157" s="63">
        <f t="shared" ca="1" si="12"/>
        <v>2.1428571428571427E-4</v>
      </c>
      <c r="O157" s="31">
        <f>IFERROR(VLOOKUP($E157,bug_conf_sheet!$A:$H,3,FALSE),VLOOKUP("other",bug_conf_sheet!$A:$H,3,FALSE))</f>
        <v>1</v>
      </c>
      <c r="P157" s="31">
        <f>IFERROR(VLOOKUP($E157,bug_conf_sheet!$A:$H,4,FALSE),VLOOKUP("other",bug_conf_sheet!$A:$H,4,FALSE))</f>
        <v>0</v>
      </c>
      <c r="Q157" s="31">
        <f>IFERROR(VLOOKUP($E157,bug_conf_sheet!$A:$H,5,FALSE),VLOOKUP("other",bug_conf_sheet!$A:$H,5,FALSE))</f>
        <v>0</v>
      </c>
      <c r="R157" s="31">
        <f>IFERROR(VLOOKUP($E157,bug_conf_sheet!$A:$H,6,FALSE),VLOOKUP("other",bug_conf_sheet!$A:$H,6,FALSE))</f>
        <v>0</v>
      </c>
      <c r="S157" s="31">
        <f>IFERROR(VLOOKUP($E157,bug_conf_sheet!$A:$H,7,FALSE),VLOOKUP("other",bug_conf_sheet!$A:$H,7,FALSE))</f>
        <v>0</v>
      </c>
      <c r="T157" s="31">
        <f>IFERROR(VLOOKUP($E157,bug_conf_sheet!$A:$H,8,FALSE),VLOOKUP("other",bug_conf_sheet!$A:$H,8,FALSE))</f>
        <v>1</v>
      </c>
    </row>
    <row r="158" spans="1:20" ht="21" customHeight="1">
      <c r="A158" s="2" t="str">
        <f ca="1">input_313100!A$2</f>
        <v>313100</v>
      </c>
      <c r="B158" s="7" t="str">
        <f t="shared" si="9"/>
        <v>Premium3</v>
      </c>
      <c r="C158" s="7" t="str">
        <f t="shared" si="10"/>
        <v>Premium</v>
      </c>
      <c r="D158" s="7" t="str">
        <f t="shared" si="11"/>
        <v>bg</v>
      </c>
      <c r="E158" s="6">
        <v>392</v>
      </c>
      <c r="F158" s="7" t="str">
        <f>VLOOKUP(E158,[1]characters!$A:$C,3,FALSE)</f>
        <v>ピーターパン</v>
      </c>
      <c r="G158" s="7" t="str">
        <f>VLOOKUP(E158,[1]characters!$A:$J,10,FALSE)</f>
        <v>PremiumS</v>
      </c>
      <c r="H158" s="7">
        <f>VLOOKUP(E158,[1]characters!$A:$I,9,FALSE)</f>
        <v>3</v>
      </c>
      <c r="I158" s="7" t="str">
        <f>VLOOKUP(E158,[1]characters!$A:$H,8,FALSE)</f>
        <v>green</v>
      </c>
      <c r="J158" s="7" t="str">
        <f>VLOOKUP(E158,[1]characters!$A:$K,11,FALSE)</f>
        <v>attack</v>
      </c>
      <c r="K158" s="7" t="str">
        <f>VLOOKUP(E158,[1]characters!$A:$M,13,FALSE)</f>
        <v>human</v>
      </c>
      <c r="L158" s="7" t="str">
        <f>VLOOKUP(E158,[1]characters!$A:$G,7,FALSE)</f>
        <v>男性</v>
      </c>
      <c r="M158" s="62">
        <f ca="1">IFERROR(VLOOKUP(E158,input_313100!L:R,7,FALSE),VLOOKUP(tables_313100!B158,input_313100!A:H,8,FALSE))</f>
        <v>0</v>
      </c>
      <c r="N158" s="63">
        <f t="shared" ca="1" si="12"/>
        <v>0</v>
      </c>
      <c r="O158" s="31">
        <f>IFERROR(VLOOKUP($E158,bug_conf_sheet!$A:$H,3,FALSE),VLOOKUP("other",bug_conf_sheet!$A:$H,3,FALSE))</f>
        <v>1</v>
      </c>
      <c r="P158" s="31">
        <f>IFERROR(VLOOKUP($E158,bug_conf_sheet!$A:$H,4,FALSE),VLOOKUP("other",bug_conf_sheet!$A:$H,4,FALSE))</f>
        <v>0</v>
      </c>
      <c r="Q158" s="31">
        <f>IFERROR(VLOOKUP($E158,bug_conf_sheet!$A:$H,5,FALSE),VLOOKUP("other",bug_conf_sheet!$A:$H,5,FALSE))</f>
        <v>0</v>
      </c>
      <c r="R158" s="31">
        <f>IFERROR(VLOOKUP($E158,bug_conf_sheet!$A:$H,6,FALSE),VLOOKUP("other",bug_conf_sheet!$A:$H,6,FALSE))</f>
        <v>0</v>
      </c>
      <c r="S158" s="31">
        <f>IFERROR(VLOOKUP($E158,bug_conf_sheet!$A:$H,7,FALSE),VLOOKUP("other",bug_conf_sheet!$A:$H,7,FALSE))</f>
        <v>0</v>
      </c>
      <c r="T158" s="31">
        <f>IFERROR(VLOOKUP($E158,bug_conf_sheet!$A:$H,8,FALSE),VLOOKUP("other",bug_conf_sheet!$A:$H,8,FALSE))</f>
        <v>1</v>
      </c>
    </row>
    <row r="159" spans="1:20" ht="21" customHeight="1">
      <c r="A159" s="2" t="str">
        <f ca="1">input_313100!A$2</f>
        <v>313100</v>
      </c>
      <c r="B159" s="7" t="str">
        <f t="shared" si="9"/>
        <v>Premium4</v>
      </c>
      <c r="C159" s="7" t="str">
        <f t="shared" si="10"/>
        <v>Premium</v>
      </c>
      <c r="D159" s="7" t="str">
        <f t="shared" si="11"/>
        <v>bg</v>
      </c>
      <c r="E159" s="6">
        <v>393</v>
      </c>
      <c r="F159" s="7" t="str">
        <f>VLOOKUP(E159,[1]characters!$A:$C,3,FALSE)</f>
        <v>影縫い ピーターパン</v>
      </c>
      <c r="G159" s="7" t="str">
        <f>VLOOKUP(E159,[1]characters!$A:$J,10,FALSE)</f>
        <v>PremiumS</v>
      </c>
      <c r="H159" s="7">
        <f>VLOOKUP(E159,[1]characters!$A:$I,9,FALSE)</f>
        <v>4</v>
      </c>
      <c r="I159" s="7" t="str">
        <f>VLOOKUP(E159,[1]characters!$A:$H,8,FALSE)</f>
        <v>green</v>
      </c>
      <c r="J159" s="7" t="str">
        <f>VLOOKUP(E159,[1]characters!$A:$K,11,FALSE)</f>
        <v>attack</v>
      </c>
      <c r="K159" s="7" t="str">
        <f>VLOOKUP(E159,[1]characters!$A:$M,13,FALSE)</f>
        <v>human</v>
      </c>
      <c r="L159" s="7" t="str">
        <f>VLOOKUP(E159,[1]characters!$A:$G,7,FALSE)</f>
        <v>男性</v>
      </c>
      <c r="M159" s="62">
        <f ca="1">IFERROR(VLOOKUP(E159,input_313100!L:R,7,FALSE),VLOOKUP(tables_313100!B159,input_313100!A:H,8,FALSE))</f>
        <v>342090</v>
      </c>
      <c r="N159" s="63">
        <f t="shared" ca="1" si="12"/>
        <v>1.222972972972973E-2</v>
      </c>
      <c r="O159" s="31">
        <f>IFERROR(VLOOKUP($E159,bug_conf_sheet!$A:$H,3,FALSE),VLOOKUP("other",bug_conf_sheet!$A:$H,3,FALSE))</f>
        <v>1</v>
      </c>
      <c r="P159" s="31">
        <f>IFERROR(VLOOKUP($E159,bug_conf_sheet!$A:$H,4,FALSE),VLOOKUP("other",bug_conf_sheet!$A:$H,4,FALSE))</f>
        <v>0</v>
      </c>
      <c r="Q159" s="31">
        <f>IFERROR(VLOOKUP($E159,bug_conf_sheet!$A:$H,5,FALSE),VLOOKUP("other",bug_conf_sheet!$A:$H,5,FALSE))</f>
        <v>0</v>
      </c>
      <c r="R159" s="31">
        <f>IFERROR(VLOOKUP($E159,bug_conf_sheet!$A:$H,6,FALSE),VLOOKUP("other",bug_conf_sheet!$A:$H,6,FALSE))</f>
        <v>0</v>
      </c>
      <c r="S159" s="31">
        <f>IFERROR(VLOOKUP($E159,bug_conf_sheet!$A:$H,7,FALSE),VLOOKUP("other",bug_conf_sheet!$A:$H,7,FALSE))</f>
        <v>0</v>
      </c>
      <c r="T159" s="31">
        <f>IFERROR(VLOOKUP($E159,bug_conf_sheet!$A:$H,8,FALSE),VLOOKUP("other",bug_conf_sheet!$A:$H,8,FALSE))</f>
        <v>1</v>
      </c>
    </row>
    <row r="160" spans="1:20" ht="21" customHeight="1">
      <c r="A160" s="2" t="str">
        <f ca="1">input_313100!A$2</f>
        <v>313100</v>
      </c>
      <c r="B160" s="7" t="str">
        <f t="shared" si="9"/>
        <v>Premium5</v>
      </c>
      <c r="C160" s="7" t="str">
        <f t="shared" si="10"/>
        <v>Premium</v>
      </c>
      <c r="D160" s="7" t="str">
        <f t="shared" si="11"/>
        <v>bg</v>
      </c>
      <c r="E160" s="6">
        <v>394</v>
      </c>
      <c r="F160" s="7" t="str">
        <f>VLOOKUP(E160,[1]characters!$A:$C,3,FALSE)</f>
        <v>影求の悪童 ピーターパン</v>
      </c>
      <c r="G160" s="7" t="str">
        <f>VLOOKUP(E160,[1]characters!$A:$J,10,FALSE)</f>
        <v>PremiumS</v>
      </c>
      <c r="H160" s="7">
        <f>VLOOKUP(E160,[1]characters!$A:$I,9,FALSE)</f>
        <v>5</v>
      </c>
      <c r="I160" s="7" t="str">
        <f>VLOOKUP(E160,[1]characters!$A:$H,8,FALSE)</f>
        <v>green</v>
      </c>
      <c r="J160" s="7" t="str">
        <f>VLOOKUP(E160,[1]characters!$A:$K,11,FALSE)</f>
        <v>attack</v>
      </c>
      <c r="K160" s="7" t="str">
        <f>VLOOKUP(E160,[1]characters!$A:$M,13,FALSE)</f>
        <v>human</v>
      </c>
      <c r="L160" s="7" t="str">
        <f>VLOOKUP(E160,[1]characters!$A:$G,7,FALSE)</f>
        <v>男性</v>
      </c>
      <c r="M160" s="62">
        <f ca="1">IFERROR(VLOOKUP(E160,input_313100!L:R,7,FALSE),VLOOKUP(tables_313100!B160,input_313100!A:H,8,FALSE))</f>
        <v>12950</v>
      </c>
      <c r="N160" s="63">
        <f t="shared" ca="1" si="12"/>
        <v>4.6296296296296298E-4</v>
      </c>
      <c r="O160" s="31">
        <f>IFERROR(VLOOKUP($E160,bug_conf_sheet!$A:$H,3,FALSE),VLOOKUP("other",bug_conf_sheet!$A:$H,3,FALSE))</f>
        <v>1</v>
      </c>
      <c r="P160" s="31">
        <f>IFERROR(VLOOKUP($E160,bug_conf_sheet!$A:$H,4,FALSE),VLOOKUP("other",bug_conf_sheet!$A:$H,4,FALSE))</f>
        <v>0</v>
      </c>
      <c r="Q160" s="31">
        <f>IFERROR(VLOOKUP($E160,bug_conf_sheet!$A:$H,5,FALSE),VLOOKUP("other",bug_conf_sheet!$A:$H,5,FALSE))</f>
        <v>0</v>
      </c>
      <c r="R160" s="31">
        <f>IFERROR(VLOOKUP($E160,bug_conf_sheet!$A:$H,6,FALSE),VLOOKUP("other",bug_conf_sheet!$A:$H,6,FALSE))</f>
        <v>0</v>
      </c>
      <c r="S160" s="31">
        <f>IFERROR(VLOOKUP($E160,bug_conf_sheet!$A:$H,7,FALSE),VLOOKUP("other",bug_conf_sheet!$A:$H,7,FALSE))</f>
        <v>0</v>
      </c>
      <c r="T160" s="31">
        <f>IFERROR(VLOOKUP($E160,bug_conf_sheet!$A:$H,8,FALSE),VLOOKUP("other",bug_conf_sheet!$A:$H,8,FALSE))</f>
        <v>1</v>
      </c>
    </row>
    <row r="161" spans="1:20" ht="21" customHeight="1">
      <c r="A161" s="2" t="str">
        <f ca="1">input_313100!A$2</f>
        <v>313100</v>
      </c>
      <c r="B161" s="7" t="str">
        <f t="shared" si="9"/>
        <v>Premium3</v>
      </c>
      <c r="C161" s="7" t="str">
        <f t="shared" si="10"/>
        <v>Premium</v>
      </c>
      <c r="D161" s="7" t="str">
        <f t="shared" si="11"/>
        <v>bg</v>
      </c>
      <c r="E161" s="6">
        <v>395</v>
      </c>
      <c r="F161" s="7" t="str">
        <f>VLOOKUP(E161,[1]characters!$A:$C,3,FALSE)</f>
        <v>乙姫</v>
      </c>
      <c r="G161" s="7" t="str">
        <f>VLOOKUP(E161,[1]characters!$A:$J,10,FALSE)</f>
        <v>PremiumS</v>
      </c>
      <c r="H161" s="7">
        <f>VLOOKUP(E161,[1]characters!$A:$I,9,FALSE)</f>
        <v>3</v>
      </c>
      <c r="I161" s="7" t="str">
        <f>VLOOKUP(E161,[1]characters!$A:$H,8,FALSE)</f>
        <v>blue</v>
      </c>
      <c r="J161" s="7" t="str">
        <f>VLOOKUP(E161,[1]characters!$A:$K,11,FALSE)</f>
        <v>hp</v>
      </c>
      <c r="K161" s="7" t="str">
        <f>VLOOKUP(E161,[1]characters!$A:$M,13,FALSE)</f>
        <v>human</v>
      </c>
      <c r="L161" s="7" t="str">
        <f>VLOOKUP(E161,[1]characters!$A:$G,7,FALSE)</f>
        <v>女性</v>
      </c>
      <c r="M161" s="62">
        <f ca="1">IFERROR(VLOOKUP(E161,input_313100!L:R,7,FALSE),VLOOKUP(tables_313100!B161,input_313100!A:H,8,FALSE))</f>
        <v>0</v>
      </c>
      <c r="N161" s="63">
        <f t="shared" ca="1" si="12"/>
        <v>0</v>
      </c>
      <c r="O161" s="31">
        <f>IFERROR(VLOOKUP($E161,bug_conf_sheet!$A:$H,3,FALSE),VLOOKUP("other",bug_conf_sheet!$A:$H,3,FALSE))</f>
        <v>1</v>
      </c>
      <c r="P161" s="31">
        <f>IFERROR(VLOOKUP($E161,bug_conf_sheet!$A:$H,4,FALSE),VLOOKUP("other",bug_conf_sheet!$A:$H,4,FALSE))</f>
        <v>0</v>
      </c>
      <c r="Q161" s="31">
        <f>IFERROR(VLOOKUP($E161,bug_conf_sheet!$A:$H,5,FALSE),VLOOKUP("other",bug_conf_sheet!$A:$H,5,FALSE))</f>
        <v>0</v>
      </c>
      <c r="R161" s="31">
        <f>IFERROR(VLOOKUP($E161,bug_conf_sheet!$A:$H,6,FALSE),VLOOKUP("other",bug_conf_sheet!$A:$H,6,FALSE))</f>
        <v>0</v>
      </c>
      <c r="S161" s="31">
        <f>IFERROR(VLOOKUP($E161,bug_conf_sheet!$A:$H,7,FALSE),VLOOKUP("other",bug_conf_sheet!$A:$H,7,FALSE))</f>
        <v>0</v>
      </c>
      <c r="T161" s="31">
        <f>IFERROR(VLOOKUP($E161,bug_conf_sheet!$A:$H,8,FALSE),VLOOKUP("other",bug_conf_sheet!$A:$H,8,FALSE))</f>
        <v>1</v>
      </c>
    </row>
    <row r="162" spans="1:20" ht="21" customHeight="1">
      <c r="A162" s="2" t="str">
        <f ca="1">input_313100!A$2</f>
        <v>313100</v>
      </c>
      <c r="B162" s="7" t="str">
        <f t="shared" si="9"/>
        <v>Premium4</v>
      </c>
      <c r="C162" s="7" t="str">
        <f t="shared" si="10"/>
        <v>Premium</v>
      </c>
      <c r="D162" s="7" t="str">
        <f t="shared" si="11"/>
        <v>bg</v>
      </c>
      <c r="E162" s="6">
        <v>396</v>
      </c>
      <c r="F162" s="7" t="str">
        <f>VLOOKUP(E162,[1]characters!$A:$C,3,FALSE)</f>
        <v>竜宮の水雷 乙姫</v>
      </c>
      <c r="G162" s="7" t="str">
        <f>VLOOKUP(E162,[1]characters!$A:$J,10,FALSE)</f>
        <v>PremiumS</v>
      </c>
      <c r="H162" s="7">
        <f>VLOOKUP(E162,[1]characters!$A:$I,9,FALSE)</f>
        <v>4</v>
      </c>
      <c r="I162" s="7" t="str">
        <f>VLOOKUP(E162,[1]characters!$A:$H,8,FALSE)</f>
        <v>blue</v>
      </c>
      <c r="J162" s="7" t="str">
        <f>VLOOKUP(E162,[1]characters!$A:$K,11,FALSE)</f>
        <v>hp</v>
      </c>
      <c r="K162" s="7" t="str">
        <f>VLOOKUP(E162,[1]characters!$A:$M,13,FALSE)</f>
        <v>human</v>
      </c>
      <c r="L162" s="7" t="str">
        <f>VLOOKUP(E162,[1]characters!$A:$G,7,FALSE)</f>
        <v>女性</v>
      </c>
      <c r="M162" s="62">
        <f ca="1">IFERROR(VLOOKUP(E162,input_313100!L:R,7,FALSE),VLOOKUP(tables_313100!B162,input_313100!A:H,8,FALSE))</f>
        <v>342090</v>
      </c>
      <c r="N162" s="63">
        <f t="shared" ca="1" si="12"/>
        <v>1.222972972972973E-2</v>
      </c>
      <c r="O162" s="31">
        <f>IFERROR(VLOOKUP($E162,bug_conf_sheet!$A:$H,3,FALSE),VLOOKUP("other",bug_conf_sheet!$A:$H,3,FALSE))</f>
        <v>1</v>
      </c>
      <c r="P162" s="31">
        <f>IFERROR(VLOOKUP($E162,bug_conf_sheet!$A:$H,4,FALSE),VLOOKUP("other",bug_conf_sheet!$A:$H,4,FALSE))</f>
        <v>0</v>
      </c>
      <c r="Q162" s="31">
        <f>IFERROR(VLOOKUP($E162,bug_conf_sheet!$A:$H,5,FALSE),VLOOKUP("other",bug_conf_sheet!$A:$H,5,FALSE))</f>
        <v>0</v>
      </c>
      <c r="R162" s="31">
        <f>IFERROR(VLOOKUP($E162,bug_conf_sheet!$A:$H,6,FALSE),VLOOKUP("other",bug_conf_sheet!$A:$H,6,FALSE))</f>
        <v>0</v>
      </c>
      <c r="S162" s="31">
        <f>IFERROR(VLOOKUP($E162,bug_conf_sheet!$A:$H,7,FALSE),VLOOKUP("other",bug_conf_sheet!$A:$H,7,FALSE))</f>
        <v>0</v>
      </c>
      <c r="T162" s="31">
        <f>IFERROR(VLOOKUP($E162,bug_conf_sheet!$A:$H,8,FALSE),VLOOKUP("other",bug_conf_sheet!$A:$H,8,FALSE))</f>
        <v>1</v>
      </c>
    </row>
    <row r="163" spans="1:20" ht="21" customHeight="1">
      <c r="A163" s="2" t="str">
        <f ca="1">input_313100!A$2</f>
        <v>313100</v>
      </c>
      <c r="B163" s="7" t="str">
        <f t="shared" si="9"/>
        <v>Premium5</v>
      </c>
      <c r="C163" s="7" t="str">
        <f t="shared" si="10"/>
        <v>Premium</v>
      </c>
      <c r="D163" s="7" t="str">
        <f t="shared" si="11"/>
        <v>bg</v>
      </c>
      <c r="E163" s="6">
        <v>397</v>
      </c>
      <c r="F163" s="7" t="str">
        <f>VLOOKUP(E163,[1]characters!$A:$C,3,FALSE)</f>
        <v>禁断の追箱 乙姫</v>
      </c>
      <c r="G163" s="7" t="str">
        <f>VLOOKUP(E163,[1]characters!$A:$J,10,FALSE)</f>
        <v>PremiumS</v>
      </c>
      <c r="H163" s="7">
        <f>VLOOKUP(E163,[1]characters!$A:$I,9,FALSE)</f>
        <v>5</v>
      </c>
      <c r="I163" s="7" t="str">
        <f>VLOOKUP(E163,[1]characters!$A:$H,8,FALSE)</f>
        <v>blue</v>
      </c>
      <c r="J163" s="7" t="str">
        <f>VLOOKUP(E163,[1]characters!$A:$K,11,FALSE)</f>
        <v>hp</v>
      </c>
      <c r="K163" s="7" t="str">
        <f>VLOOKUP(E163,[1]characters!$A:$M,13,FALSE)</f>
        <v>human</v>
      </c>
      <c r="L163" s="7" t="str">
        <f>VLOOKUP(E163,[1]characters!$A:$G,7,FALSE)</f>
        <v>女性</v>
      </c>
      <c r="M163" s="62">
        <f ca="1">IFERROR(VLOOKUP(E163,input_313100!L:R,7,FALSE),VLOOKUP(tables_313100!B163,input_313100!A:H,8,FALSE))</f>
        <v>12950</v>
      </c>
      <c r="N163" s="63">
        <f t="shared" ca="1" si="12"/>
        <v>4.6296296296296298E-4</v>
      </c>
      <c r="O163" s="31">
        <f>IFERROR(VLOOKUP($E163,bug_conf_sheet!$A:$H,3,FALSE),VLOOKUP("other",bug_conf_sheet!$A:$H,3,FALSE))</f>
        <v>1</v>
      </c>
      <c r="P163" s="31">
        <f>IFERROR(VLOOKUP($E163,bug_conf_sheet!$A:$H,4,FALSE),VLOOKUP("other",bug_conf_sheet!$A:$H,4,FALSE))</f>
        <v>0</v>
      </c>
      <c r="Q163" s="31">
        <f>IFERROR(VLOOKUP($E163,bug_conf_sheet!$A:$H,5,FALSE),VLOOKUP("other",bug_conf_sheet!$A:$H,5,FALSE))</f>
        <v>0</v>
      </c>
      <c r="R163" s="31">
        <f>IFERROR(VLOOKUP($E163,bug_conf_sheet!$A:$H,6,FALSE),VLOOKUP("other",bug_conf_sheet!$A:$H,6,FALSE))</f>
        <v>0</v>
      </c>
      <c r="S163" s="31">
        <f>IFERROR(VLOOKUP($E163,bug_conf_sheet!$A:$H,7,FALSE),VLOOKUP("other",bug_conf_sheet!$A:$H,7,FALSE))</f>
        <v>0</v>
      </c>
      <c r="T163" s="31">
        <f>IFERROR(VLOOKUP($E163,bug_conf_sheet!$A:$H,8,FALSE),VLOOKUP("other",bug_conf_sheet!$A:$H,8,FALSE))</f>
        <v>1</v>
      </c>
    </row>
    <row r="164" spans="1:20" ht="21" customHeight="1">
      <c r="A164" s="2" t="str">
        <f ca="1">input_313100!A$2</f>
        <v>313100</v>
      </c>
      <c r="B164" s="7" t="str">
        <f t="shared" si="9"/>
        <v>PremiumSSry4</v>
      </c>
      <c r="C164" s="7" t="str">
        <f t="shared" si="10"/>
        <v>PremiumSS</v>
      </c>
      <c r="D164" s="7" t="str">
        <f t="shared" si="11"/>
        <v>ry</v>
      </c>
      <c r="E164" s="6">
        <v>398</v>
      </c>
      <c r="F164" s="7" t="str">
        <f>VLOOKUP(E164,[1]characters!$A:$C,3,FALSE)</f>
        <v>ヘンゼル＆グレーテル</v>
      </c>
      <c r="G164" s="7" t="str">
        <f>VLOOKUP(E164,[1]characters!$A:$J,10,FALSE)</f>
        <v>PremiumSS</v>
      </c>
      <c r="H164" s="7">
        <f>VLOOKUP(E164,[1]characters!$A:$I,9,FALSE)</f>
        <v>4</v>
      </c>
      <c r="I164" s="7" t="str">
        <f>VLOOKUP(E164,[1]characters!$A:$H,8,FALSE)</f>
        <v>yellow</v>
      </c>
      <c r="J164" s="7" t="str">
        <f>VLOOKUP(E164,[1]characters!$A:$K,11,FALSE)</f>
        <v>balance</v>
      </c>
      <c r="K164" s="7" t="str">
        <f>VLOOKUP(E164,[1]characters!$A:$M,13,FALSE)</f>
        <v>human</v>
      </c>
      <c r="L164" s="7" t="str">
        <f>VLOOKUP(E164,[1]characters!$A:$G,7,FALSE)</f>
        <v>女性</v>
      </c>
      <c r="M164" s="62">
        <f ca="1">IFERROR(VLOOKUP(E164,input_313100!L:R,7,FALSE),VLOOKUP(tables_313100!B164,input_313100!A:H,8,FALSE))</f>
        <v>53946</v>
      </c>
      <c r="N164" s="63">
        <f t="shared" ca="1" si="12"/>
        <v>1.9285714285714286E-3</v>
      </c>
      <c r="O164" s="31">
        <f>IFERROR(VLOOKUP($E164,bug_conf_sheet!$A:$H,3,FALSE),VLOOKUP("other",bug_conf_sheet!$A:$H,3,FALSE))</f>
        <v>1</v>
      </c>
      <c r="P164" s="31">
        <f>IFERROR(VLOOKUP($E164,bug_conf_sheet!$A:$H,4,FALSE),VLOOKUP("other",bug_conf_sheet!$A:$H,4,FALSE))</f>
        <v>0</v>
      </c>
      <c r="Q164" s="31">
        <f>IFERROR(VLOOKUP($E164,bug_conf_sheet!$A:$H,5,FALSE),VLOOKUP("other",bug_conf_sheet!$A:$H,5,FALSE))</f>
        <v>0</v>
      </c>
      <c r="R164" s="31">
        <f>IFERROR(VLOOKUP($E164,bug_conf_sheet!$A:$H,6,FALSE),VLOOKUP("other",bug_conf_sheet!$A:$H,6,FALSE))</f>
        <v>0</v>
      </c>
      <c r="S164" s="31">
        <f>IFERROR(VLOOKUP($E164,bug_conf_sheet!$A:$H,7,FALSE),VLOOKUP("other",bug_conf_sheet!$A:$H,7,FALSE))</f>
        <v>0</v>
      </c>
      <c r="T164" s="31">
        <f>IFERROR(VLOOKUP($E164,bug_conf_sheet!$A:$H,8,FALSE),VLOOKUP("other",bug_conf_sheet!$A:$H,8,FALSE))</f>
        <v>1</v>
      </c>
    </row>
    <row r="165" spans="1:20" ht="21" customHeight="1">
      <c r="A165" s="2" t="str">
        <f ca="1">input_313100!A$2</f>
        <v>313100</v>
      </c>
      <c r="B165" s="7" t="str">
        <f t="shared" si="9"/>
        <v>PremiumSSry5</v>
      </c>
      <c r="C165" s="7" t="str">
        <f t="shared" si="10"/>
        <v>PremiumSS</v>
      </c>
      <c r="D165" s="7" t="str">
        <f t="shared" si="11"/>
        <v>ry</v>
      </c>
      <c r="E165" s="6">
        <v>399</v>
      </c>
      <c r="F165" s="7" t="str">
        <f>VLOOKUP(E165,[1]characters!$A:$C,3,FALSE)</f>
        <v>信愛の兄妹 ヘンゼル＆グレーテル</v>
      </c>
      <c r="G165" s="7" t="str">
        <f>VLOOKUP(E165,[1]characters!$A:$J,10,FALSE)</f>
        <v>PremiumSS</v>
      </c>
      <c r="H165" s="7">
        <f>VLOOKUP(E165,[1]characters!$A:$I,9,FALSE)</f>
        <v>5</v>
      </c>
      <c r="I165" s="7" t="str">
        <f>VLOOKUP(E165,[1]characters!$A:$H,8,FALSE)</f>
        <v>yellow</v>
      </c>
      <c r="J165" s="7" t="str">
        <f>VLOOKUP(E165,[1]characters!$A:$K,11,FALSE)</f>
        <v>balance</v>
      </c>
      <c r="K165" s="7" t="str">
        <f>VLOOKUP(E165,[1]characters!$A:$M,13,FALSE)</f>
        <v>human</v>
      </c>
      <c r="L165" s="7" t="str">
        <f>VLOOKUP(E165,[1]characters!$A:$G,7,FALSE)</f>
        <v>女性</v>
      </c>
      <c r="M165" s="62">
        <f ca="1">IFERROR(VLOOKUP(E165,input_313100!L:R,7,FALSE),VLOOKUP(tables_313100!B165,input_313100!A:H,8,FALSE))</f>
        <v>5994</v>
      </c>
      <c r="N165" s="63">
        <f t="shared" ca="1" si="12"/>
        <v>2.1428571428571427E-4</v>
      </c>
      <c r="O165" s="31">
        <f>IFERROR(VLOOKUP($E165,bug_conf_sheet!$A:$H,3,FALSE),VLOOKUP("other",bug_conf_sheet!$A:$H,3,FALSE))</f>
        <v>1</v>
      </c>
      <c r="P165" s="31">
        <f>IFERROR(VLOOKUP($E165,bug_conf_sheet!$A:$H,4,FALSE),VLOOKUP("other",bug_conf_sheet!$A:$H,4,FALSE))</f>
        <v>0</v>
      </c>
      <c r="Q165" s="31">
        <f>IFERROR(VLOOKUP($E165,bug_conf_sheet!$A:$H,5,FALSE),VLOOKUP("other",bug_conf_sheet!$A:$H,5,FALSE))</f>
        <v>0</v>
      </c>
      <c r="R165" s="31">
        <f>IFERROR(VLOOKUP($E165,bug_conf_sheet!$A:$H,6,FALSE),VLOOKUP("other",bug_conf_sheet!$A:$H,6,FALSE))</f>
        <v>0</v>
      </c>
      <c r="S165" s="31">
        <f>IFERROR(VLOOKUP($E165,bug_conf_sheet!$A:$H,7,FALSE),VLOOKUP("other",bug_conf_sheet!$A:$H,7,FALSE))</f>
        <v>0</v>
      </c>
      <c r="T165" s="31">
        <f>IFERROR(VLOOKUP($E165,bug_conf_sheet!$A:$H,8,FALSE),VLOOKUP("other",bug_conf_sheet!$A:$H,8,FALSE))</f>
        <v>1</v>
      </c>
    </row>
    <row r="166" spans="1:20" ht="21" customHeight="1">
      <c r="A166" s="2" t="str">
        <f ca="1">input_313100!A$2</f>
        <v>313100</v>
      </c>
      <c r="B166" s="7" t="str">
        <f t="shared" si="9"/>
        <v>Premium3</v>
      </c>
      <c r="C166" s="7" t="str">
        <f t="shared" si="10"/>
        <v>Premium</v>
      </c>
      <c r="D166" s="7" t="str">
        <f t="shared" si="11"/>
        <v>ry</v>
      </c>
      <c r="E166" s="6">
        <v>400</v>
      </c>
      <c r="F166" s="7" t="str">
        <f>VLOOKUP(E166,[1]characters!$A:$C,3,FALSE)</f>
        <v>フェンリル</v>
      </c>
      <c r="G166" s="7" t="str">
        <f>VLOOKUP(E166,[1]characters!$A:$J,10,FALSE)</f>
        <v>PremiumS</v>
      </c>
      <c r="H166" s="7">
        <f>VLOOKUP(E166,[1]characters!$A:$I,9,FALSE)</f>
        <v>3</v>
      </c>
      <c r="I166" s="7" t="str">
        <f>VLOOKUP(E166,[1]characters!$A:$H,8,FALSE)</f>
        <v>red</v>
      </c>
      <c r="J166" s="7" t="str">
        <f>VLOOKUP(E166,[1]characters!$A:$K,11,FALSE)</f>
        <v>attack</v>
      </c>
      <c r="K166" s="7" t="str">
        <f>VLOOKUP(E166,[1]characters!$A:$M,13,FALSE)</f>
        <v>animal</v>
      </c>
      <c r="L166" s="7" t="str">
        <f>VLOOKUP(E166,[1]characters!$A:$G,7,FALSE)</f>
        <v>女性</v>
      </c>
      <c r="M166" s="62">
        <f ca="1">IFERROR(VLOOKUP(E166,input_313100!L:R,7,FALSE),VLOOKUP(tables_313100!B166,input_313100!A:H,8,FALSE))</f>
        <v>0</v>
      </c>
      <c r="N166" s="63">
        <f t="shared" ca="1" si="12"/>
        <v>0</v>
      </c>
      <c r="O166" s="31">
        <f>IFERROR(VLOOKUP($E166,bug_conf_sheet!$A:$H,3,FALSE),VLOOKUP("other",bug_conf_sheet!$A:$H,3,FALSE))</f>
        <v>1</v>
      </c>
      <c r="P166" s="31">
        <f>IFERROR(VLOOKUP($E166,bug_conf_sheet!$A:$H,4,FALSE),VLOOKUP("other",bug_conf_sheet!$A:$H,4,FALSE))</f>
        <v>0</v>
      </c>
      <c r="Q166" s="31">
        <f>IFERROR(VLOOKUP($E166,bug_conf_sheet!$A:$H,5,FALSE),VLOOKUP("other",bug_conf_sheet!$A:$H,5,FALSE))</f>
        <v>0</v>
      </c>
      <c r="R166" s="31">
        <f>IFERROR(VLOOKUP($E166,bug_conf_sheet!$A:$H,6,FALSE),VLOOKUP("other",bug_conf_sheet!$A:$H,6,FALSE))</f>
        <v>0</v>
      </c>
      <c r="S166" s="31">
        <f>IFERROR(VLOOKUP($E166,bug_conf_sheet!$A:$H,7,FALSE),VLOOKUP("other",bug_conf_sheet!$A:$H,7,FALSE))</f>
        <v>0</v>
      </c>
      <c r="T166" s="31">
        <f>IFERROR(VLOOKUP($E166,bug_conf_sheet!$A:$H,8,FALSE),VLOOKUP("other",bug_conf_sheet!$A:$H,8,FALSE))</f>
        <v>1</v>
      </c>
    </row>
    <row r="167" spans="1:20" ht="21" customHeight="1">
      <c r="A167" s="2" t="str">
        <f ca="1">input_313100!A$2</f>
        <v>313100</v>
      </c>
      <c r="B167" s="7" t="str">
        <f t="shared" si="9"/>
        <v>Premium4</v>
      </c>
      <c r="C167" s="7" t="str">
        <f t="shared" si="10"/>
        <v>Premium</v>
      </c>
      <c r="D167" s="7" t="str">
        <f t="shared" si="11"/>
        <v>ry</v>
      </c>
      <c r="E167" s="6">
        <v>401</v>
      </c>
      <c r="F167" s="7" t="str">
        <f>VLOOKUP(E167,[1]characters!$A:$C,3,FALSE)</f>
        <v>紅銀の孤狼 フェンリル</v>
      </c>
      <c r="G167" s="7" t="str">
        <f>VLOOKUP(E167,[1]characters!$A:$J,10,FALSE)</f>
        <v>PremiumS</v>
      </c>
      <c r="H167" s="7">
        <f>VLOOKUP(E167,[1]characters!$A:$I,9,FALSE)</f>
        <v>4</v>
      </c>
      <c r="I167" s="7" t="str">
        <f>VLOOKUP(E167,[1]characters!$A:$H,8,FALSE)</f>
        <v>red</v>
      </c>
      <c r="J167" s="7" t="str">
        <f>VLOOKUP(E167,[1]characters!$A:$K,11,FALSE)</f>
        <v>attack</v>
      </c>
      <c r="K167" s="7" t="str">
        <f>VLOOKUP(E167,[1]characters!$A:$M,13,FALSE)</f>
        <v>animal</v>
      </c>
      <c r="L167" s="7" t="str">
        <f>VLOOKUP(E167,[1]characters!$A:$G,7,FALSE)</f>
        <v>女性</v>
      </c>
      <c r="M167" s="62">
        <f ca="1">IFERROR(VLOOKUP(E167,input_313100!L:R,7,FALSE),VLOOKUP(tables_313100!B167,input_313100!A:H,8,FALSE))</f>
        <v>342090</v>
      </c>
      <c r="N167" s="63">
        <f t="shared" ca="1" si="12"/>
        <v>1.222972972972973E-2</v>
      </c>
      <c r="O167" s="31">
        <f>IFERROR(VLOOKUP($E167,bug_conf_sheet!$A:$H,3,FALSE),VLOOKUP("other",bug_conf_sheet!$A:$H,3,FALSE))</f>
        <v>1</v>
      </c>
      <c r="P167" s="31">
        <f>IFERROR(VLOOKUP($E167,bug_conf_sheet!$A:$H,4,FALSE),VLOOKUP("other",bug_conf_sheet!$A:$H,4,FALSE))</f>
        <v>0</v>
      </c>
      <c r="Q167" s="31">
        <f>IFERROR(VLOOKUP($E167,bug_conf_sheet!$A:$H,5,FALSE),VLOOKUP("other",bug_conf_sheet!$A:$H,5,FALSE))</f>
        <v>0</v>
      </c>
      <c r="R167" s="31">
        <f>IFERROR(VLOOKUP($E167,bug_conf_sheet!$A:$H,6,FALSE),VLOOKUP("other",bug_conf_sheet!$A:$H,6,FALSE))</f>
        <v>0</v>
      </c>
      <c r="S167" s="31">
        <f>IFERROR(VLOOKUP($E167,bug_conf_sheet!$A:$H,7,FALSE),VLOOKUP("other",bug_conf_sheet!$A:$H,7,FALSE))</f>
        <v>0</v>
      </c>
      <c r="T167" s="31">
        <f>IFERROR(VLOOKUP($E167,bug_conf_sheet!$A:$H,8,FALSE),VLOOKUP("other",bug_conf_sheet!$A:$H,8,FALSE))</f>
        <v>1</v>
      </c>
    </row>
    <row r="168" spans="1:20" ht="21" customHeight="1">
      <c r="A168" s="2" t="str">
        <f ca="1">input_313100!A$2</f>
        <v>313100</v>
      </c>
      <c r="B168" s="7" t="str">
        <f t="shared" si="9"/>
        <v>Premium5</v>
      </c>
      <c r="C168" s="7" t="str">
        <f t="shared" si="10"/>
        <v>Premium</v>
      </c>
      <c r="D168" s="7" t="str">
        <f t="shared" si="11"/>
        <v>ry</v>
      </c>
      <c r="E168" s="6">
        <v>402</v>
      </c>
      <c r="F168" s="7" t="str">
        <f>VLOOKUP(E168,[1]characters!$A:$C,3,FALSE)</f>
        <v>天災の神狼 フェンリル</v>
      </c>
      <c r="G168" s="7" t="str">
        <f>VLOOKUP(E168,[1]characters!$A:$J,10,FALSE)</f>
        <v>PremiumS</v>
      </c>
      <c r="H168" s="7">
        <f>VLOOKUP(E168,[1]characters!$A:$I,9,FALSE)</f>
        <v>5</v>
      </c>
      <c r="I168" s="7" t="str">
        <f>VLOOKUP(E168,[1]characters!$A:$H,8,FALSE)</f>
        <v>red</v>
      </c>
      <c r="J168" s="7" t="str">
        <f>VLOOKUP(E168,[1]characters!$A:$K,11,FALSE)</f>
        <v>attack</v>
      </c>
      <c r="K168" s="7" t="str">
        <f>VLOOKUP(E168,[1]characters!$A:$M,13,FALSE)</f>
        <v>animal</v>
      </c>
      <c r="L168" s="7" t="str">
        <f>VLOOKUP(E168,[1]characters!$A:$G,7,FALSE)</f>
        <v>女性</v>
      </c>
      <c r="M168" s="62">
        <f ca="1">IFERROR(VLOOKUP(E168,input_313100!L:R,7,FALSE),VLOOKUP(tables_313100!B168,input_313100!A:H,8,FALSE))</f>
        <v>12950</v>
      </c>
      <c r="N168" s="63">
        <f t="shared" ca="1" si="12"/>
        <v>4.6296296296296298E-4</v>
      </c>
      <c r="O168" s="31">
        <f>IFERROR(VLOOKUP($E168,bug_conf_sheet!$A:$H,3,FALSE),VLOOKUP("other",bug_conf_sheet!$A:$H,3,FALSE))</f>
        <v>1</v>
      </c>
      <c r="P168" s="31">
        <f>IFERROR(VLOOKUP($E168,bug_conf_sheet!$A:$H,4,FALSE),VLOOKUP("other",bug_conf_sheet!$A:$H,4,FALSE))</f>
        <v>0</v>
      </c>
      <c r="Q168" s="31">
        <f>IFERROR(VLOOKUP($E168,bug_conf_sheet!$A:$H,5,FALSE),VLOOKUP("other",bug_conf_sheet!$A:$H,5,FALSE))</f>
        <v>0</v>
      </c>
      <c r="R168" s="31">
        <f>IFERROR(VLOOKUP($E168,bug_conf_sheet!$A:$H,6,FALSE),VLOOKUP("other",bug_conf_sheet!$A:$H,6,FALSE))</f>
        <v>0</v>
      </c>
      <c r="S168" s="31">
        <f>IFERROR(VLOOKUP($E168,bug_conf_sheet!$A:$H,7,FALSE),VLOOKUP("other",bug_conf_sheet!$A:$H,7,FALSE))</f>
        <v>0</v>
      </c>
      <c r="T168" s="31">
        <f>IFERROR(VLOOKUP($E168,bug_conf_sheet!$A:$H,8,FALSE),VLOOKUP("other",bug_conf_sheet!$A:$H,8,FALSE))</f>
        <v>1</v>
      </c>
    </row>
    <row r="169" spans="1:20" ht="21" customHeight="1">
      <c r="A169" s="2" t="str">
        <f ca="1">input_313100!A$2</f>
        <v>313100</v>
      </c>
      <c r="B169" s="7" t="str">
        <f t="shared" si="9"/>
        <v>PremiumSSbg4</v>
      </c>
      <c r="C169" s="7" t="str">
        <f t="shared" si="10"/>
        <v>PremiumSS</v>
      </c>
      <c r="D169" s="7" t="str">
        <f t="shared" si="11"/>
        <v>bg</v>
      </c>
      <c r="E169" s="6">
        <v>403</v>
      </c>
      <c r="F169" s="7" t="str">
        <f>VLOOKUP(E169,[1]characters!$A:$C,3,FALSE)</f>
        <v>静撃の翠眼 八咫烏</v>
      </c>
      <c r="G169" s="7" t="str">
        <f>VLOOKUP(E169,[1]characters!$A:$J,10,FALSE)</f>
        <v>PremiumSS</v>
      </c>
      <c r="H169" s="7">
        <f>VLOOKUP(E169,[1]characters!$A:$I,9,FALSE)</f>
        <v>4</v>
      </c>
      <c r="I169" s="7" t="str">
        <f>VLOOKUP(E169,[1]characters!$A:$H,8,FALSE)</f>
        <v>green</v>
      </c>
      <c r="J169" s="7" t="str">
        <f>VLOOKUP(E169,[1]characters!$A:$K,11,FALSE)</f>
        <v>balance</v>
      </c>
      <c r="K169" s="7" t="str">
        <f>VLOOKUP(E169,[1]characters!$A:$M,13,FALSE)</f>
        <v>animal</v>
      </c>
      <c r="L169" s="7" t="str">
        <f>VLOOKUP(E169,[1]characters!$A:$G,7,FALSE)</f>
        <v>女性</v>
      </c>
      <c r="M169" s="62">
        <f ca="1">IFERROR(VLOOKUP(E169,input_313100!L:R,7,FALSE),VLOOKUP(tables_313100!B169,input_313100!A:H,8,FALSE))</f>
        <v>41958</v>
      </c>
      <c r="N169" s="63">
        <f t="shared" ca="1" si="12"/>
        <v>1.5E-3</v>
      </c>
      <c r="O169" s="31">
        <f>IFERROR(VLOOKUP($E169,bug_conf_sheet!$A:$H,3,FALSE),VLOOKUP("other",bug_conf_sheet!$A:$H,3,FALSE))</f>
        <v>1</v>
      </c>
      <c r="P169" s="31">
        <f>IFERROR(VLOOKUP($E169,bug_conf_sheet!$A:$H,4,FALSE),VLOOKUP("other",bug_conf_sheet!$A:$H,4,FALSE))</f>
        <v>0</v>
      </c>
      <c r="Q169" s="31">
        <f>IFERROR(VLOOKUP($E169,bug_conf_sheet!$A:$H,5,FALSE),VLOOKUP("other",bug_conf_sheet!$A:$H,5,FALSE))</f>
        <v>0</v>
      </c>
      <c r="R169" s="31">
        <f>IFERROR(VLOOKUP($E169,bug_conf_sheet!$A:$H,6,FALSE),VLOOKUP("other",bug_conf_sheet!$A:$H,6,FALSE))</f>
        <v>0</v>
      </c>
      <c r="S169" s="31">
        <f>IFERROR(VLOOKUP($E169,bug_conf_sheet!$A:$H,7,FALSE),VLOOKUP("other",bug_conf_sheet!$A:$H,7,FALSE))</f>
        <v>0</v>
      </c>
      <c r="T169" s="31">
        <f>IFERROR(VLOOKUP($E169,bug_conf_sheet!$A:$H,8,FALSE),VLOOKUP("other",bug_conf_sheet!$A:$H,8,FALSE))</f>
        <v>1</v>
      </c>
    </row>
    <row r="170" spans="1:20" ht="21" customHeight="1">
      <c r="A170" s="2" t="str">
        <f ca="1">input_313100!A$2</f>
        <v>313100</v>
      </c>
      <c r="B170" s="7" t="str">
        <f t="shared" si="9"/>
        <v>PremiumSSbg5</v>
      </c>
      <c r="C170" s="7" t="str">
        <f t="shared" si="10"/>
        <v>PremiumSS</v>
      </c>
      <c r="D170" s="7" t="str">
        <f t="shared" si="11"/>
        <v>bg</v>
      </c>
      <c r="E170" s="6">
        <v>404</v>
      </c>
      <c r="F170" s="7" t="str">
        <f>VLOOKUP(E170,[1]characters!$A:$C,3,FALSE)</f>
        <v>空襲の神眼 八咫烏</v>
      </c>
      <c r="G170" s="7" t="str">
        <f>VLOOKUP(E170,[1]characters!$A:$J,10,FALSE)</f>
        <v>PremiumSS</v>
      </c>
      <c r="H170" s="7">
        <f>VLOOKUP(E170,[1]characters!$A:$I,9,FALSE)</f>
        <v>5</v>
      </c>
      <c r="I170" s="7" t="str">
        <f>VLOOKUP(E170,[1]characters!$A:$H,8,FALSE)</f>
        <v>green</v>
      </c>
      <c r="J170" s="7" t="str">
        <f>VLOOKUP(E170,[1]characters!$A:$K,11,FALSE)</f>
        <v>balance</v>
      </c>
      <c r="K170" s="7" t="str">
        <f>VLOOKUP(E170,[1]characters!$A:$M,13,FALSE)</f>
        <v>animal</v>
      </c>
      <c r="L170" s="7" t="str">
        <f>VLOOKUP(E170,[1]characters!$A:$G,7,FALSE)</f>
        <v>女性</v>
      </c>
      <c r="M170" s="62">
        <f ca="1">IFERROR(VLOOKUP(E170,input_313100!L:R,7,FALSE),VLOOKUP(tables_313100!B170,input_313100!A:H,8,FALSE))</f>
        <v>4662</v>
      </c>
      <c r="N170" s="63">
        <f t="shared" ca="1" si="12"/>
        <v>1.6666666666666666E-4</v>
      </c>
      <c r="O170" s="31">
        <f>IFERROR(VLOOKUP($E170,bug_conf_sheet!$A:$H,3,FALSE),VLOOKUP("other",bug_conf_sheet!$A:$H,3,FALSE))</f>
        <v>1</v>
      </c>
      <c r="P170" s="31">
        <f>IFERROR(VLOOKUP($E170,bug_conf_sheet!$A:$H,4,FALSE),VLOOKUP("other",bug_conf_sheet!$A:$H,4,FALSE))</f>
        <v>0</v>
      </c>
      <c r="Q170" s="31">
        <f>IFERROR(VLOOKUP($E170,bug_conf_sheet!$A:$H,5,FALSE),VLOOKUP("other",bug_conf_sheet!$A:$H,5,FALSE))</f>
        <v>0</v>
      </c>
      <c r="R170" s="31">
        <f>IFERROR(VLOOKUP($E170,bug_conf_sheet!$A:$H,6,FALSE),VLOOKUP("other",bug_conf_sheet!$A:$H,6,FALSE))</f>
        <v>0</v>
      </c>
      <c r="S170" s="31">
        <f>IFERROR(VLOOKUP($E170,bug_conf_sheet!$A:$H,7,FALSE),VLOOKUP("other",bug_conf_sheet!$A:$H,7,FALSE))</f>
        <v>0</v>
      </c>
      <c r="T170" s="31">
        <f>IFERROR(VLOOKUP($E170,bug_conf_sheet!$A:$H,8,FALSE),VLOOKUP("other",bug_conf_sheet!$A:$H,8,FALSE))</f>
        <v>1</v>
      </c>
    </row>
    <row r="171" spans="1:20" ht="21" customHeight="1">
      <c r="A171" s="2" t="str">
        <f ca="1">input_313100!A$2</f>
        <v>313100</v>
      </c>
      <c r="B171" s="7" t="str">
        <f t="shared" si="9"/>
        <v>Premium3</v>
      </c>
      <c r="C171" s="7" t="str">
        <f t="shared" si="10"/>
        <v>Premium</v>
      </c>
      <c r="D171" s="7" t="str">
        <f t="shared" si="11"/>
        <v>bg</v>
      </c>
      <c r="E171" s="6">
        <v>405</v>
      </c>
      <c r="F171" s="7" t="str">
        <f>VLOOKUP(E171,[1]characters!$A:$C,3,FALSE)</f>
        <v>エキドナ</v>
      </c>
      <c r="G171" s="7" t="str">
        <f>VLOOKUP(E171,[1]characters!$A:$J,10,FALSE)</f>
        <v>PremiumS</v>
      </c>
      <c r="H171" s="7">
        <f>VLOOKUP(E171,[1]characters!$A:$I,9,FALSE)</f>
        <v>3</v>
      </c>
      <c r="I171" s="7" t="str">
        <f>VLOOKUP(E171,[1]characters!$A:$H,8,FALSE)</f>
        <v>blue</v>
      </c>
      <c r="J171" s="7" t="str">
        <f>VLOOKUP(E171,[1]characters!$A:$K,11,FALSE)</f>
        <v>technical</v>
      </c>
      <c r="K171" s="7" t="str">
        <f>VLOOKUP(E171,[1]characters!$A:$M,13,FALSE)</f>
        <v>animal</v>
      </c>
      <c r="L171" s="7" t="str">
        <f>VLOOKUP(E171,[1]characters!$A:$G,7,FALSE)</f>
        <v>女性</v>
      </c>
      <c r="M171" s="62">
        <f ca="1">IFERROR(VLOOKUP(E171,input_313100!L:R,7,FALSE),VLOOKUP(tables_313100!B171,input_313100!A:H,8,FALSE))</f>
        <v>0</v>
      </c>
      <c r="N171" s="63">
        <f t="shared" ca="1" si="12"/>
        <v>0</v>
      </c>
      <c r="O171" s="31">
        <f>IFERROR(VLOOKUP($E171,bug_conf_sheet!$A:$H,3,FALSE),VLOOKUP("other",bug_conf_sheet!$A:$H,3,FALSE))</f>
        <v>1</v>
      </c>
      <c r="P171" s="31">
        <f>IFERROR(VLOOKUP($E171,bug_conf_sheet!$A:$H,4,FALSE),VLOOKUP("other",bug_conf_sheet!$A:$H,4,FALSE))</f>
        <v>0</v>
      </c>
      <c r="Q171" s="31">
        <f>IFERROR(VLOOKUP($E171,bug_conf_sheet!$A:$H,5,FALSE),VLOOKUP("other",bug_conf_sheet!$A:$H,5,FALSE))</f>
        <v>0</v>
      </c>
      <c r="R171" s="31">
        <f>IFERROR(VLOOKUP($E171,bug_conf_sheet!$A:$H,6,FALSE),VLOOKUP("other",bug_conf_sheet!$A:$H,6,FALSE))</f>
        <v>0</v>
      </c>
      <c r="S171" s="31">
        <f>IFERROR(VLOOKUP($E171,bug_conf_sheet!$A:$H,7,FALSE),VLOOKUP("other",bug_conf_sheet!$A:$H,7,FALSE))</f>
        <v>0</v>
      </c>
      <c r="T171" s="31">
        <f>IFERROR(VLOOKUP($E171,bug_conf_sheet!$A:$H,8,FALSE),VLOOKUP("other",bug_conf_sheet!$A:$H,8,FALSE))</f>
        <v>1</v>
      </c>
    </row>
    <row r="172" spans="1:20" ht="21" customHeight="1">
      <c r="A172" s="2" t="str">
        <f ca="1">input_313100!A$2</f>
        <v>313100</v>
      </c>
      <c r="B172" s="7" t="str">
        <f t="shared" si="9"/>
        <v>Premium4</v>
      </c>
      <c r="C172" s="7" t="str">
        <f t="shared" si="10"/>
        <v>Premium</v>
      </c>
      <c r="D172" s="7" t="str">
        <f t="shared" si="11"/>
        <v>bg</v>
      </c>
      <c r="E172" s="6">
        <v>406</v>
      </c>
      <c r="F172" s="7" t="str">
        <f>VLOOKUP(E172,[1]characters!$A:$C,3,FALSE)</f>
        <v>美笑の蒼蛇 エキドナ</v>
      </c>
      <c r="G172" s="7" t="str">
        <f>VLOOKUP(E172,[1]characters!$A:$J,10,FALSE)</f>
        <v>PremiumS</v>
      </c>
      <c r="H172" s="7">
        <f>VLOOKUP(E172,[1]characters!$A:$I,9,FALSE)</f>
        <v>4</v>
      </c>
      <c r="I172" s="7" t="str">
        <f>VLOOKUP(E172,[1]characters!$A:$H,8,FALSE)</f>
        <v>blue</v>
      </c>
      <c r="J172" s="7" t="str">
        <f>VLOOKUP(E172,[1]characters!$A:$K,11,FALSE)</f>
        <v>technical</v>
      </c>
      <c r="K172" s="7" t="str">
        <f>VLOOKUP(E172,[1]characters!$A:$M,13,FALSE)</f>
        <v>animal</v>
      </c>
      <c r="L172" s="7" t="str">
        <f>VLOOKUP(E172,[1]characters!$A:$G,7,FALSE)</f>
        <v>女性</v>
      </c>
      <c r="M172" s="62">
        <f ca="1">IFERROR(VLOOKUP(E172,input_313100!L:R,7,FALSE),VLOOKUP(tables_313100!B172,input_313100!A:H,8,FALSE))</f>
        <v>342090</v>
      </c>
      <c r="N172" s="63">
        <f t="shared" ca="1" si="12"/>
        <v>1.222972972972973E-2</v>
      </c>
      <c r="O172" s="31">
        <f>IFERROR(VLOOKUP($E172,bug_conf_sheet!$A:$H,3,FALSE),VLOOKUP("other",bug_conf_sheet!$A:$H,3,FALSE))</f>
        <v>1</v>
      </c>
      <c r="P172" s="31">
        <f>IFERROR(VLOOKUP($E172,bug_conf_sheet!$A:$H,4,FALSE),VLOOKUP("other",bug_conf_sheet!$A:$H,4,FALSE))</f>
        <v>0</v>
      </c>
      <c r="Q172" s="31">
        <f>IFERROR(VLOOKUP($E172,bug_conf_sheet!$A:$H,5,FALSE),VLOOKUP("other",bug_conf_sheet!$A:$H,5,FALSE))</f>
        <v>0</v>
      </c>
      <c r="R172" s="31">
        <f>IFERROR(VLOOKUP($E172,bug_conf_sheet!$A:$H,6,FALSE),VLOOKUP("other",bug_conf_sheet!$A:$H,6,FALSE))</f>
        <v>0</v>
      </c>
      <c r="S172" s="31">
        <f>IFERROR(VLOOKUP($E172,bug_conf_sheet!$A:$H,7,FALSE),VLOOKUP("other",bug_conf_sheet!$A:$H,7,FALSE))</f>
        <v>0</v>
      </c>
      <c r="T172" s="31">
        <f>IFERROR(VLOOKUP($E172,bug_conf_sheet!$A:$H,8,FALSE),VLOOKUP("other",bug_conf_sheet!$A:$H,8,FALSE))</f>
        <v>1</v>
      </c>
    </row>
    <row r="173" spans="1:20" ht="21" customHeight="1">
      <c r="A173" s="2" t="str">
        <f ca="1">input_313100!A$2</f>
        <v>313100</v>
      </c>
      <c r="B173" s="7" t="str">
        <f t="shared" si="9"/>
        <v>Premium5</v>
      </c>
      <c r="C173" s="7" t="str">
        <f t="shared" si="10"/>
        <v>Premium</v>
      </c>
      <c r="D173" s="7" t="str">
        <f t="shared" si="11"/>
        <v>bg</v>
      </c>
      <c r="E173" s="6">
        <v>407</v>
      </c>
      <c r="F173" s="7" t="str">
        <f>VLOOKUP(E173,[1]characters!$A:$C,3,FALSE)</f>
        <v>蠱惑の飛刀 エキドナ</v>
      </c>
      <c r="G173" s="7" t="str">
        <f>VLOOKUP(E173,[1]characters!$A:$J,10,FALSE)</f>
        <v>PremiumS</v>
      </c>
      <c r="H173" s="7">
        <f>VLOOKUP(E173,[1]characters!$A:$I,9,FALSE)</f>
        <v>5</v>
      </c>
      <c r="I173" s="7" t="str">
        <f>VLOOKUP(E173,[1]characters!$A:$H,8,FALSE)</f>
        <v>blue</v>
      </c>
      <c r="J173" s="7" t="str">
        <f>VLOOKUP(E173,[1]characters!$A:$K,11,FALSE)</f>
        <v>technical</v>
      </c>
      <c r="K173" s="7" t="str">
        <f>VLOOKUP(E173,[1]characters!$A:$M,13,FALSE)</f>
        <v>animal</v>
      </c>
      <c r="L173" s="7" t="str">
        <f>VLOOKUP(E173,[1]characters!$A:$G,7,FALSE)</f>
        <v>女性</v>
      </c>
      <c r="M173" s="62">
        <f ca="1">IFERROR(VLOOKUP(E173,input_313100!L:R,7,FALSE),VLOOKUP(tables_313100!B173,input_313100!A:H,8,FALSE))</f>
        <v>12950</v>
      </c>
      <c r="N173" s="63">
        <f t="shared" ca="1" si="12"/>
        <v>4.6296296296296298E-4</v>
      </c>
      <c r="O173" s="31">
        <f>IFERROR(VLOOKUP($E173,bug_conf_sheet!$A:$H,3,FALSE),VLOOKUP("other",bug_conf_sheet!$A:$H,3,FALSE))</f>
        <v>1</v>
      </c>
      <c r="P173" s="31">
        <f>IFERROR(VLOOKUP($E173,bug_conf_sheet!$A:$H,4,FALSE),VLOOKUP("other",bug_conf_sheet!$A:$H,4,FALSE))</f>
        <v>0</v>
      </c>
      <c r="Q173" s="31">
        <f>IFERROR(VLOOKUP($E173,bug_conf_sheet!$A:$H,5,FALSE),VLOOKUP("other",bug_conf_sheet!$A:$H,5,FALSE))</f>
        <v>0</v>
      </c>
      <c r="R173" s="31">
        <f>IFERROR(VLOOKUP($E173,bug_conf_sheet!$A:$H,6,FALSE),VLOOKUP("other",bug_conf_sheet!$A:$H,6,FALSE))</f>
        <v>0</v>
      </c>
      <c r="S173" s="31">
        <f>IFERROR(VLOOKUP($E173,bug_conf_sheet!$A:$H,7,FALSE),VLOOKUP("other",bug_conf_sheet!$A:$H,7,FALSE))</f>
        <v>0</v>
      </c>
      <c r="T173" s="31">
        <f>IFERROR(VLOOKUP($E173,bug_conf_sheet!$A:$H,8,FALSE),VLOOKUP("other",bug_conf_sheet!$A:$H,8,FALSE))</f>
        <v>1</v>
      </c>
    </row>
    <row r="174" spans="1:20" ht="21" customHeight="1">
      <c r="A174" s="2" t="str">
        <f ca="1">input_313100!A$2</f>
        <v>313100</v>
      </c>
      <c r="B174" s="7" t="str">
        <f t="shared" si="9"/>
        <v>PremiumSSry4</v>
      </c>
      <c r="C174" s="7" t="str">
        <f t="shared" si="10"/>
        <v>PremiumSS</v>
      </c>
      <c r="D174" s="7" t="str">
        <f t="shared" si="11"/>
        <v>ry</v>
      </c>
      <c r="E174" s="6">
        <v>408</v>
      </c>
      <c r="F174" s="7" t="str">
        <f>VLOOKUP(E174,[1]characters!$A:$C,3,FALSE)</f>
        <v>皇魔 アスタロト</v>
      </c>
      <c r="G174" s="7" t="str">
        <f>VLOOKUP(E174,[1]characters!$A:$J,10,FALSE)</f>
        <v>PremiumSS</v>
      </c>
      <c r="H174" s="7">
        <f>VLOOKUP(E174,[1]characters!$A:$I,9,FALSE)</f>
        <v>4</v>
      </c>
      <c r="I174" s="7" t="str">
        <f>VLOOKUP(E174,[1]characters!$A:$H,8,FALSE)</f>
        <v>yellow</v>
      </c>
      <c r="J174" s="7" t="str">
        <f>VLOOKUP(E174,[1]characters!$A:$K,11,FALSE)</f>
        <v>attack</v>
      </c>
      <c r="K174" s="7" t="str">
        <f>VLOOKUP(E174,[1]characters!$A:$M,13,FALSE)</f>
        <v>god</v>
      </c>
      <c r="L174" s="7" t="str">
        <f>VLOOKUP(E174,[1]characters!$A:$G,7,FALSE)</f>
        <v>男性</v>
      </c>
      <c r="M174" s="62">
        <f ca="1">IFERROR(VLOOKUP(E174,input_313100!L:R,7,FALSE),VLOOKUP(tables_313100!B174,input_313100!A:H,8,FALSE))</f>
        <v>53946</v>
      </c>
      <c r="N174" s="63">
        <f t="shared" ca="1" si="12"/>
        <v>1.9285714285714286E-3</v>
      </c>
      <c r="O174" s="31">
        <f>IFERROR(VLOOKUP($E174,bug_conf_sheet!$A:$H,3,FALSE),VLOOKUP("other",bug_conf_sheet!$A:$H,3,FALSE))</f>
        <v>1</v>
      </c>
      <c r="P174" s="31">
        <f>IFERROR(VLOOKUP($E174,bug_conf_sheet!$A:$H,4,FALSE),VLOOKUP("other",bug_conf_sheet!$A:$H,4,FALSE))</f>
        <v>0</v>
      </c>
      <c r="Q174" s="31">
        <f>IFERROR(VLOOKUP($E174,bug_conf_sheet!$A:$H,5,FALSE),VLOOKUP("other",bug_conf_sheet!$A:$H,5,FALSE))</f>
        <v>0</v>
      </c>
      <c r="R174" s="31">
        <f>IFERROR(VLOOKUP($E174,bug_conf_sheet!$A:$H,6,FALSE),VLOOKUP("other",bug_conf_sheet!$A:$H,6,FALSE))</f>
        <v>0</v>
      </c>
      <c r="S174" s="31">
        <f>IFERROR(VLOOKUP($E174,bug_conf_sheet!$A:$H,7,FALSE),VLOOKUP("other",bug_conf_sheet!$A:$H,7,FALSE))</f>
        <v>0</v>
      </c>
      <c r="T174" s="31">
        <f>IFERROR(VLOOKUP($E174,bug_conf_sheet!$A:$H,8,FALSE),VLOOKUP("other",bug_conf_sheet!$A:$H,8,FALSE))</f>
        <v>1</v>
      </c>
    </row>
    <row r="175" spans="1:20" ht="21" customHeight="1">
      <c r="A175" s="2" t="str">
        <f ca="1">input_313100!A$2</f>
        <v>313100</v>
      </c>
      <c r="B175" s="7" t="str">
        <f t="shared" si="9"/>
        <v>PremiumSSry5</v>
      </c>
      <c r="C175" s="7" t="str">
        <f t="shared" si="10"/>
        <v>PremiumSS</v>
      </c>
      <c r="D175" s="7" t="str">
        <f t="shared" si="11"/>
        <v>ry</v>
      </c>
      <c r="E175" s="6">
        <v>409</v>
      </c>
      <c r="F175" s="7" t="str">
        <f>VLOOKUP(E175,[1]characters!$A:$C,3,FALSE)</f>
        <v>天眼の皇貴魔 アスタロト</v>
      </c>
      <c r="G175" s="7" t="str">
        <f>VLOOKUP(E175,[1]characters!$A:$J,10,FALSE)</f>
        <v>PremiumSS</v>
      </c>
      <c r="H175" s="7">
        <f>VLOOKUP(E175,[1]characters!$A:$I,9,FALSE)</f>
        <v>5</v>
      </c>
      <c r="I175" s="7" t="str">
        <f>VLOOKUP(E175,[1]characters!$A:$H,8,FALSE)</f>
        <v>yellow</v>
      </c>
      <c r="J175" s="7" t="str">
        <f>VLOOKUP(E175,[1]characters!$A:$K,11,FALSE)</f>
        <v>attack</v>
      </c>
      <c r="K175" s="7" t="str">
        <f>VLOOKUP(E175,[1]characters!$A:$M,13,FALSE)</f>
        <v>god</v>
      </c>
      <c r="L175" s="7" t="str">
        <f>VLOOKUP(E175,[1]characters!$A:$G,7,FALSE)</f>
        <v>男性</v>
      </c>
      <c r="M175" s="62">
        <f ca="1">IFERROR(VLOOKUP(E175,input_313100!L:R,7,FALSE),VLOOKUP(tables_313100!B175,input_313100!A:H,8,FALSE))</f>
        <v>5994</v>
      </c>
      <c r="N175" s="63">
        <f t="shared" ca="1" si="12"/>
        <v>2.1428571428571427E-4</v>
      </c>
      <c r="O175" s="31">
        <f>IFERROR(VLOOKUP($E175,bug_conf_sheet!$A:$H,3,FALSE),VLOOKUP("other",bug_conf_sheet!$A:$H,3,FALSE))</f>
        <v>1</v>
      </c>
      <c r="P175" s="31">
        <f>IFERROR(VLOOKUP($E175,bug_conf_sheet!$A:$H,4,FALSE),VLOOKUP("other",bug_conf_sheet!$A:$H,4,FALSE))</f>
        <v>0</v>
      </c>
      <c r="Q175" s="31">
        <f>IFERROR(VLOOKUP($E175,bug_conf_sheet!$A:$H,5,FALSE),VLOOKUP("other",bug_conf_sheet!$A:$H,5,FALSE))</f>
        <v>0</v>
      </c>
      <c r="R175" s="31">
        <f>IFERROR(VLOOKUP($E175,bug_conf_sheet!$A:$H,6,FALSE),VLOOKUP("other",bug_conf_sheet!$A:$H,6,FALSE))</f>
        <v>0</v>
      </c>
      <c r="S175" s="31">
        <f>IFERROR(VLOOKUP($E175,bug_conf_sheet!$A:$H,7,FALSE),VLOOKUP("other",bug_conf_sheet!$A:$H,7,FALSE))</f>
        <v>0</v>
      </c>
      <c r="T175" s="31">
        <f>IFERROR(VLOOKUP($E175,bug_conf_sheet!$A:$H,8,FALSE),VLOOKUP("other",bug_conf_sheet!$A:$H,8,FALSE))</f>
        <v>1</v>
      </c>
    </row>
    <row r="176" spans="1:20" ht="21" customHeight="1">
      <c r="A176" s="2" t="str">
        <f ca="1">input_313100!A$2</f>
        <v>313100</v>
      </c>
      <c r="B176" s="7" t="str">
        <f t="shared" si="9"/>
        <v>PremiumSSry4</v>
      </c>
      <c r="C176" s="7" t="str">
        <f t="shared" si="10"/>
        <v>PremiumSS</v>
      </c>
      <c r="D176" s="7" t="str">
        <f t="shared" si="11"/>
        <v>ry</v>
      </c>
      <c r="E176" s="6">
        <v>434</v>
      </c>
      <c r="F176" s="7" t="str">
        <f>VLOOKUP(E176,[1]characters!$A:$C,3,FALSE)</f>
        <v>D.R.T.H.</v>
      </c>
      <c r="G176" s="7" t="str">
        <f>VLOOKUP(E176,[1]characters!$A:$J,10,FALSE)</f>
        <v>PremiumSS</v>
      </c>
      <c r="H176" s="7">
        <f>VLOOKUP(E176,[1]characters!$A:$I,9,FALSE)</f>
        <v>4</v>
      </c>
      <c r="I176" s="7" t="str">
        <f>VLOOKUP(E176,[1]characters!$A:$H,8,FALSE)</f>
        <v>red</v>
      </c>
      <c r="J176" s="7" t="str">
        <f>VLOOKUP(E176,[1]characters!$A:$K,11,FALSE)</f>
        <v>balance</v>
      </c>
      <c r="K176" s="7" t="str">
        <f>VLOOKUP(E176,[1]characters!$A:$M,13,FALSE)</f>
        <v>human</v>
      </c>
      <c r="L176" s="7" t="str">
        <f>VLOOKUP(E176,[1]characters!$A:$G,7,FALSE)</f>
        <v>女性</v>
      </c>
      <c r="M176" s="62">
        <f ca="1">IFERROR(VLOOKUP(E176,input_313100!L:R,7,FALSE),VLOOKUP(tables_313100!B176,input_313100!A:H,8,FALSE))</f>
        <v>53946</v>
      </c>
      <c r="N176" s="63">
        <f t="shared" ca="1" si="12"/>
        <v>1.9285714285714286E-3</v>
      </c>
      <c r="O176" s="31">
        <f>IFERROR(VLOOKUP($E176,bug_conf_sheet!$A:$H,3,FALSE),VLOOKUP("other",bug_conf_sheet!$A:$H,3,FALSE))</f>
        <v>1</v>
      </c>
      <c r="P176" s="31">
        <f>IFERROR(VLOOKUP($E176,bug_conf_sheet!$A:$H,4,FALSE),VLOOKUP("other",bug_conf_sheet!$A:$H,4,FALSE))</f>
        <v>0</v>
      </c>
      <c r="Q176" s="31">
        <f>IFERROR(VLOOKUP($E176,bug_conf_sheet!$A:$H,5,FALSE),VLOOKUP("other",bug_conf_sheet!$A:$H,5,FALSE))</f>
        <v>0</v>
      </c>
      <c r="R176" s="31">
        <f>IFERROR(VLOOKUP($E176,bug_conf_sheet!$A:$H,6,FALSE),VLOOKUP("other",bug_conf_sheet!$A:$H,6,FALSE))</f>
        <v>0</v>
      </c>
      <c r="S176" s="31">
        <f>IFERROR(VLOOKUP($E176,bug_conf_sheet!$A:$H,7,FALSE),VLOOKUP("other",bug_conf_sheet!$A:$H,7,FALSE))</f>
        <v>0</v>
      </c>
      <c r="T176" s="31">
        <f>IFERROR(VLOOKUP($E176,bug_conf_sheet!$A:$H,8,FALSE),VLOOKUP("other",bug_conf_sheet!$A:$H,8,FALSE))</f>
        <v>1</v>
      </c>
    </row>
    <row r="177" spans="1:20" ht="21" customHeight="1">
      <c r="A177" s="2" t="str">
        <f ca="1">input_313100!A$2</f>
        <v>313100</v>
      </c>
      <c r="B177" s="7" t="str">
        <f t="shared" si="9"/>
        <v>PremiumSSry5</v>
      </c>
      <c r="C177" s="7" t="str">
        <f t="shared" si="10"/>
        <v>PremiumSS</v>
      </c>
      <c r="D177" s="7" t="str">
        <f t="shared" si="11"/>
        <v>ry</v>
      </c>
      <c r="E177" s="6">
        <v>435</v>
      </c>
      <c r="F177" s="7" t="str">
        <f>VLOOKUP(E177,[1]characters!$A:$C,3,FALSE)</f>
        <v>曝弾の密偵 D.R.T.H.</v>
      </c>
      <c r="G177" s="7" t="str">
        <f>VLOOKUP(E177,[1]characters!$A:$J,10,FALSE)</f>
        <v>PremiumSS</v>
      </c>
      <c r="H177" s="7">
        <f>VLOOKUP(E177,[1]characters!$A:$I,9,FALSE)</f>
        <v>5</v>
      </c>
      <c r="I177" s="7" t="str">
        <f>VLOOKUP(E177,[1]characters!$A:$H,8,FALSE)</f>
        <v>red</v>
      </c>
      <c r="J177" s="7" t="str">
        <f>VLOOKUP(E177,[1]characters!$A:$K,11,FALSE)</f>
        <v>balance</v>
      </c>
      <c r="K177" s="7" t="str">
        <f>VLOOKUP(E177,[1]characters!$A:$M,13,FALSE)</f>
        <v>human</v>
      </c>
      <c r="L177" s="7" t="str">
        <f>VLOOKUP(E177,[1]characters!$A:$G,7,FALSE)</f>
        <v>女性</v>
      </c>
      <c r="M177" s="62">
        <f ca="1">IFERROR(VLOOKUP(E177,input_313100!L:R,7,FALSE),VLOOKUP(tables_313100!B177,input_313100!A:H,8,FALSE))</f>
        <v>5994</v>
      </c>
      <c r="N177" s="63">
        <f t="shared" ca="1" si="12"/>
        <v>2.1428571428571427E-4</v>
      </c>
      <c r="O177" s="31">
        <f>IFERROR(VLOOKUP($E177,bug_conf_sheet!$A:$H,3,FALSE),VLOOKUP("other",bug_conf_sheet!$A:$H,3,FALSE))</f>
        <v>1</v>
      </c>
      <c r="P177" s="31">
        <f>IFERROR(VLOOKUP($E177,bug_conf_sheet!$A:$H,4,FALSE),VLOOKUP("other",bug_conf_sheet!$A:$H,4,FALSE))</f>
        <v>0</v>
      </c>
      <c r="Q177" s="31">
        <f>IFERROR(VLOOKUP($E177,bug_conf_sheet!$A:$H,5,FALSE),VLOOKUP("other",bug_conf_sheet!$A:$H,5,FALSE))</f>
        <v>0</v>
      </c>
      <c r="R177" s="31">
        <f>IFERROR(VLOOKUP($E177,bug_conf_sheet!$A:$H,6,FALSE),VLOOKUP("other",bug_conf_sheet!$A:$H,6,FALSE))</f>
        <v>0</v>
      </c>
      <c r="S177" s="31">
        <f>IFERROR(VLOOKUP($E177,bug_conf_sheet!$A:$H,7,FALSE),VLOOKUP("other",bug_conf_sheet!$A:$H,7,FALSE))</f>
        <v>0</v>
      </c>
      <c r="T177" s="31">
        <f>IFERROR(VLOOKUP($E177,bug_conf_sheet!$A:$H,8,FALSE),VLOOKUP("other",bug_conf_sheet!$A:$H,8,FALSE))</f>
        <v>1</v>
      </c>
    </row>
    <row r="178" spans="1:20" ht="21" customHeight="1">
      <c r="A178" s="2" t="str">
        <f ca="1">input_313100!A$2</f>
        <v>313100</v>
      </c>
      <c r="B178" s="7" t="str">
        <f t="shared" si="9"/>
        <v>Premium3</v>
      </c>
      <c r="C178" s="7" t="str">
        <f t="shared" si="10"/>
        <v>Premium</v>
      </c>
      <c r="D178" s="7" t="str">
        <f t="shared" si="11"/>
        <v>bg</v>
      </c>
      <c r="E178" s="6">
        <v>436</v>
      </c>
      <c r="F178" s="7" t="str">
        <f>VLOOKUP(E178,[1]characters!$A:$C,3,FALSE)</f>
        <v>カカシ</v>
      </c>
      <c r="G178" s="7" t="str">
        <f>VLOOKUP(E178,[1]characters!$A:$J,10,FALSE)</f>
        <v>PremiumS</v>
      </c>
      <c r="H178" s="7">
        <f>VLOOKUP(E178,[1]characters!$A:$I,9,FALSE)</f>
        <v>3</v>
      </c>
      <c r="I178" s="7" t="str">
        <f>VLOOKUP(E178,[1]characters!$A:$H,8,FALSE)</f>
        <v>green</v>
      </c>
      <c r="J178" s="7" t="str">
        <f>VLOOKUP(E178,[1]characters!$A:$K,11,FALSE)</f>
        <v>technical</v>
      </c>
      <c r="K178" s="7" t="str">
        <f>VLOOKUP(E178,[1]characters!$A:$M,13,FALSE)</f>
        <v>human</v>
      </c>
      <c r="L178" s="7" t="str">
        <f>VLOOKUP(E178,[1]characters!$A:$G,7,FALSE)</f>
        <v>男性</v>
      </c>
      <c r="M178" s="62">
        <f ca="1">IFERROR(VLOOKUP(E178,input_313100!L:R,7,FALSE),VLOOKUP(tables_313100!B178,input_313100!A:H,8,FALSE))</f>
        <v>0</v>
      </c>
      <c r="N178" s="63">
        <f t="shared" ca="1" si="12"/>
        <v>0</v>
      </c>
      <c r="O178" s="31">
        <f>IFERROR(VLOOKUP($E178,bug_conf_sheet!$A:$H,3,FALSE),VLOOKUP("other",bug_conf_sheet!$A:$H,3,FALSE))</f>
        <v>1</v>
      </c>
      <c r="P178" s="31">
        <f>IFERROR(VLOOKUP($E178,bug_conf_sheet!$A:$H,4,FALSE),VLOOKUP("other",bug_conf_sheet!$A:$H,4,FALSE))</f>
        <v>0</v>
      </c>
      <c r="Q178" s="31">
        <f>IFERROR(VLOOKUP($E178,bug_conf_sheet!$A:$H,5,FALSE),VLOOKUP("other",bug_conf_sheet!$A:$H,5,FALSE))</f>
        <v>0</v>
      </c>
      <c r="R178" s="31">
        <f>IFERROR(VLOOKUP($E178,bug_conf_sheet!$A:$H,6,FALSE),VLOOKUP("other",bug_conf_sheet!$A:$H,6,FALSE))</f>
        <v>0</v>
      </c>
      <c r="S178" s="31">
        <f>IFERROR(VLOOKUP($E178,bug_conf_sheet!$A:$H,7,FALSE),VLOOKUP("other",bug_conf_sheet!$A:$H,7,FALSE))</f>
        <v>0</v>
      </c>
      <c r="T178" s="31">
        <f>IFERROR(VLOOKUP($E178,bug_conf_sheet!$A:$H,8,FALSE),VLOOKUP("other",bug_conf_sheet!$A:$H,8,FALSE))</f>
        <v>1</v>
      </c>
    </row>
    <row r="179" spans="1:20" ht="21" customHeight="1">
      <c r="A179" s="2" t="str">
        <f ca="1">input_313100!A$2</f>
        <v>313100</v>
      </c>
      <c r="B179" s="7" t="str">
        <f t="shared" si="9"/>
        <v>Premium4</v>
      </c>
      <c r="C179" s="7" t="str">
        <f t="shared" si="10"/>
        <v>Premium</v>
      </c>
      <c r="D179" s="7" t="str">
        <f t="shared" si="11"/>
        <v>bg</v>
      </c>
      <c r="E179" s="6">
        <v>437</v>
      </c>
      <c r="F179" s="7" t="str">
        <f>VLOOKUP(E179,[1]characters!$A:$C,3,FALSE)</f>
        <v>忘却者 カカシ</v>
      </c>
      <c r="G179" s="7" t="str">
        <f>VLOOKUP(E179,[1]characters!$A:$J,10,FALSE)</f>
        <v>PremiumS</v>
      </c>
      <c r="H179" s="7">
        <f>VLOOKUP(E179,[1]characters!$A:$I,9,FALSE)</f>
        <v>4</v>
      </c>
      <c r="I179" s="7" t="str">
        <f>VLOOKUP(E179,[1]characters!$A:$H,8,FALSE)</f>
        <v>green</v>
      </c>
      <c r="J179" s="7" t="str">
        <f>VLOOKUP(E179,[1]characters!$A:$K,11,FALSE)</f>
        <v>technical</v>
      </c>
      <c r="K179" s="7" t="str">
        <f>VLOOKUP(E179,[1]characters!$A:$M,13,FALSE)</f>
        <v>human</v>
      </c>
      <c r="L179" s="7" t="str">
        <f>VLOOKUP(E179,[1]characters!$A:$G,7,FALSE)</f>
        <v>男性</v>
      </c>
      <c r="M179" s="62">
        <f ca="1">IFERROR(VLOOKUP(E179,input_313100!L:R,7,FALSE),VLOOKUP(tables_313100!B179,input_313100!A:H,8,FALSE))</f>
        <v>342090</v>
      </c>
      <c r="N179" s="63">
        <f t="shared" ca="1" si="12"/>
        <v>1.222972972972973E-2</v>
      </c>
      <c r="O179" s="31">
        <f>IFERROR(VLOOKUP($E179,bug_conf_sheet!$A:$H,3,FALSE),VLOOKUP("other",bug_conf_sheet!$A:$H,3,FALSE))</f>
        <v>1</v>
      </c>
      <c r="P179" s="31">
        <f>IFERROR(VLOOKUP($E179,bug_conf_sheet!$A:$H,4,FALSE),VLOOKUP("other",bug_conf_sheet!$A:$H,4,FALSE))</f>
        <v>0</v>
      </c>
      <c r="Q179" s="31">
        <f>IFERROR(VLOOKUP($E179,bug_conf_sheet!$A:$H,5,FALSE),VLOOKUP("other",bug_conf_sheet!$A:$H,5,FALSE))</f>
        <v>0</v>
      </c>
      <c r="R179" s="31">
        <f>IFERROR(VLOOKUP($E179,bug_conf_sheet!$A:$H,6,FALSE),VLOOKUP("other",bug_conf_sheet!$A:$H,6,FALSE))</f>
        <v>0</v>
      </c>
      <c r="S179" s="31">
        <f>IFERROR(VLOOKUP($E179,bug_conf_sheet!$A:$H,7,FALSE),VLOOKUP("other",bug_conf_sheet!$A:$H,7,FALSE))</f>
        <v>0</v>
      </c>
      <c r="T179" s="31">
        <f>IFERROR(VLOOKUP($E179,bug_conf_sheet!$A:$H,8,FALSE),VLOOKUP("other",bug_conf_sheet!$A:$H,8,FALSE))</f>
        <v>1</v>
      </c>
    </row>
    <row r="180" spans="1:20" ht="21" customHeight="1">
      <c r="A180" s="2" t="str">
        <f ca="1">input_313100!A$2</f>
        <v>313100</v>
      </c>
      <c r="B180" s="7" t="str">
        <f t="shared" si="9"/>
        <v>Premium5</v>
      </c>
      <c r="C180" s="7" t="str">
        <f t="shared" si="10"/>
        <v>Premium</v>
      </c>
      <c r="D180" s="7" t="str">
        <f t="shared" si="11"/>
        <v>bg</v>
      </c>
      <c r="E180" s="6">
        <v>438</v>
      </c>
      <c r="F180" s="7" t="str">
        <f>VLOOKUP(E180,[1]characters!$A:$C,3,FALSE)</f>
        <v>記憶の奪還 カカシ</v>
      </c>
      <c r="G180" s="7" t="str">
        <f>VLOOKUP(E180,[1]characters!$A:$J,10,FALSE)</f>
        <v>PremiumS</v>
      </c>
      <c r="H180" s="7">
        <f>VLOOKUP(E180,[1]characters!$A:$I,9,FALSE)</f>
        <v>5</v>
      </c>
      <c r="I180" s="7" t="str">
        <f>VLOOKUP(E180,[1]characters!$A:$H,8,FALSE)</f>
        <v>green</v>
      </c>
      <c r="J180" s="7" t="str">
        <f>VLOOKUP(E180,[1]characters!$A:$K,11,FALSE)</f>
        <v>technical</v>
      </c>
      <c r="K180" s="7" t="str">
        <f>VLOOKUP(E180,[1]characters!$A:$M,13,FALSE)</f>
        <v>human</v>
      </c>
      <c r="L180" s="7" t="str">
        <f>VLOOKUP(E180,[1]characters!$A:$G,7,FALSE)</f>
        <v>男性</v>
      </c>
      <c r="M180" s="62">
        <f ca="1">IFERROR(VLOOKUP(E180,input_313100!L:R,7,FALSE),VLOOKUP(tables_313100!B180,input_313100!A:H,8,FALSE))</f>
        <v>12950</v>
      </c>
      <c r="N180" s="63">
        <f t="shared" ca="1" si="12"/>
        <v>4.6296296296296298E-4</v>
      </c>
      <c r="O180" s="31">
        <f>IFERROR(VLOOKUP($E180,bug_conf_sheet!$A:$H,3,FALSE),VLOOKUP("other",bug_conf_sheet!$A:$H,3,FALSE))</f>
        <v>1</v>
      </c>
      <c r="P180" s="31">
        <f>IFERROR(VLOOKUP($E180,bug_conf_sheet!$A:$H,4,FALSE),VLOOKUP("other",bug_conf_sheet!$A:$H,4,FALSE))</f>
        <v>0</v>
      </c>
      <c r="Q180" s="31">
        <f>IFERROR(VLOOKUP($E180,bug_conf_sheet!$A:$H,5,FALSE),VLOOKUP("other",bug_conf_sheet!$A:$H,5,FALSE))</f>
        <v>0</v>
      </c>
      <c r="R180" s="31">
        <f>IFERROR(VLOOKUP($E180,bug_conf_sheet!$A:$H,6,FALSE),VLOOKUP("other",bug_conf_sheet!$A:$H,6,FALSE))</f>
        <v>0</v>
      </c>
      <c r="S180" s="31">
        <f>IFERROR(VLOOKUP($E180,bug_conf_sheet!$A:$H,7,FALSE),VLOOKUP("other",bug_conf_sheet!$A:$H,7,FALSE))</f>
        <v>0</v>
      </c>
      <c r="T180" s="31">
        <f>IFERROR(VLOOKUP($E180,bug_conf_sheet!$A:$H,8,FALSE),VLOOKUP("other",bug_conf_sheet!$A:$H,8,FALSE))</f>
        <v>1</v>
      </c>
    </row>
    <row r="181" spans="1:20" ht="21" customHeight="1">
      <c r="A181" s="2" t="str">
        <f ca="1">input_313100!A$2</f>
        <v>313100</v>
      </c>
      <c r="B181" s="7" t="str">
        <f t="shared" si="9"/>
        <v>Premium3</v>
      </c>
      <c r="C181" s="7" t="str">
        <f t="shared" si="10"/>
        <v>Premium</v>
      </c>
      <c r="D181" s="7" t="str">
        <f t="shared" si="11"/>
        <v>bg</v>
      </c>
      <c r="E181" s="6">
        <v>439</v>
      </c>
      <c r="F181" s="7" t="str">
        <f>VLOOKUP(E181,[1]characters!$A:$C,3,FALSE)</f>
        <v>ブリキロガー</v>
      </c>
      <c r="G181" s="7" t="str">
        <f>VLOOKUP(E181,[1]characters!$A:$J,10,FALSE)</f>
        <v>PremiumS</v>
      </c>
      <c r="H181" s="7">
        <f>VLOOKUP(E181,[1]characters!$A:$I,9,FALSE)</f>
        <v>3</v>
      </c>
      <c r="I181" s="7" t="str">
        <f>VLOOKUP(E181,[1]characters!$A:$H,8,FALSE)</f>
        <v>blue</v>
      </c>
      <c r="J181" s="7" t="str">
        <f>VLOOKUP(E181,[1]characters!$A:$K,11,FALSE)</f>
        <v>attack</v>
      </c>
      <c r="K181" s="7" t="str">
        <f>VLOOKUP(E181,[1]characters!$A:$M,13,FALSE)</f>
        <v>machine</v>
      </c>
      <c r="L181" s="7" t="str">
        <f>VLOOKUP(E181,[1]characters!$A:$G,7,FALSE)</f>
        <v>不明</v>
      </c>
      <c r="M181" s="62">
        <f ca="1">IFERROR(VLOOKUP(E181,input_313100!L:R,7,FALSE),VLOOKUP(tables_313100!B181,input_313100!A:H,8,FALSE))</f>
        <v>0</v>
      </c>
      <c r="N181" s="63">
        <f t="shared" ca="1" si="12"/>
        <v>0</v>
      </c>
      <c r="O181" s="31">
        <f>IFERROR(VLOOKUP($E181,bug_conf_sheet!$A:$H,3,FALSE),VLOOKUP("other",bug_conf_sheet!$A:$H,3,FALSE))</f>
        <v>1</v>
      </c>
      <c r="P181" s="31">
        <f>IFERROR(VLOOKUP($E181,bug_conf_sheet!$A:$H,4,FALSE),VLOOKUP("other",bug_conf_sheet!$A:$H,4,FALSE))</f>
        <v>0</v>
      </c>
      <c r="Q181" s="31">
        <f>IFERROR(VLOOKUP($E181,bug_conf_sheet!$A:$H,5,FALSE),VLOOKUP("other",bug_conf_sheet!$A:$H,5,FALSE))</f>
        <v>0</v>
      </c>
      <c r="R181" s="31">
        <f>IFERROR(VLOOKUP($E181,bug_conf_sheet!$A:$H,6,FALSE),VLOOKUP("other",bug_conf_sheet!$A:$H,6,FALSE))</f>
        <v>0</v>
      </c>
      <c r="S181" s="31">
        <f>IFERROR(VLOOKUP($E181,bug_conf_sheet!$A:$H,7,FALSE),VLOOKUP("other",bug_conf_sheet!$A:$H,7,FALSE))</f>
        <v>0</v>
      </c>
      <c r="T181" s="31">
        <f>IFERROR(VLOOKUP($E181,bug_conf_sheet!$A:$H,8,FALSE),VLOOKUP("other",bug_conf_sheet!$A:$H,8,FALSE))</f>
        <v>1</v>
      </c>
    </row>
    <row r="182" spans="1:20" ht="21" customHeight="1">
      <c r="A182" s="2" t="str">
        <f ca="1">input_313100!A$2</f>
        <v>313100</v>
      </c>
      <c r="B182" s="7" t="str">
        <f t="shared" si="9"/>
        <v>Premium4</v>
      </c>
      <c r="C182" s="7" t="str">
        <f t="shared" si="10"/>
        <v>Premium</v>
      </c>
      <c r="D182" s="7" t="str">
        <f t="shared" si="11"/>
        <v>bg</v>
      </c>
      <c r="E182" s="6">
        <v>440</v>
      </c>
      <c r="F182" s="7" t="str">
        <f>VLOOKUP(E182,[1]characters!$A:$C,3,FALSE)</f>
        <v>改良型 ブリキロガー</v>
      </c>
      <c r="G182" s="7" t="str">
        <f>VLOOKUP(E182,[1]characters!$A:$J,10,FALSE)</f>
        <v>PremiumS</v>
      </c>
      <c r="H182" s="7">
        <f>VLOOKUP(E182,[1]characters!$A:$I,9,FALSE)</f>
        <v>4</v>
      </c>
      <c r="I182" s="7" t="str">
        <f>VLOOKUP(E182,[1]characters!$A:$H,8,FALSE)</f>
        <v>blue</v>
      </c>
      <c r="J182" s="7" t="str">
        <f>VLOOKUP(E182,[1]characters!$A:$K,11,FALSE)</f>
        <v>attack</v>
      </c>
      <c r="K182" s="7" t="str">
        <f>VLOOKUP(E182,[1]characters!$A:$M,13,FALSE)</f>
        <v>machine</v>
      </c>
      <c r="L182" s="7" t="str">
        <f>VLOOKUP(E182,[1]characters!$A:$G,7,FALSE)</f>
        <v>不明</v>
      </c>
      <c r="M182" s="62">
        <f ca="1">IFERROR(VLOOKUP(E182,input_313100!L:R,7,FALSE),VLOOKUP(tables_313100!B182,input_313100!A:H,8,FALSE))</f>
        <v>342090</v>
      </c>
      <c r="N182" s="63">
        <f t="shared" ca="1" si="12"/>
        <v>1.222972972972973E-2</v>
      </c>
      <c r="O182" s="31">
        <f>IFERROR(VLOOKUP($E182,bug_conf_sheet!$A:$H,3,FALSE),VLOOKUP("other",bug_conf_sheet!$A:$H,3,FALSE))</f>
        <v>1</v>
      </c>
      <c r="P182" s="31">
        <f>IFERROR(VLOOKUP($E182,bug_conf_sheet!$A:$H,4,FALSE),VLOOKUP("other",bug_conf_sheet!$A:$H,4,FALSE))</f>
        <v>0</v>
      </c>
      <c r="Q182" s="31">
        <f>IFERROR(VLOOKUP($E182,bug_conf_sheet!$A:$H,5,FALSE),VLOOKUP("other",bug_conf_sheet!$A:$H,5,FALSE))</f>
        <v>0</v>
      </c>
      <c r="R182" s="31">
        <f>IFERROR(VLOOKUP($E182,bug_conf_sheet!$A:$H,6,FALSE),VLOOKUP("other",bug_conf_sheet!$A:$H,6,FALSE))</f>
        <v>0</v>
      </c>
      <c r="S182" s="31">
        <f>IFERROR(VLOOKUP($E182,bug_conf_sheet!$A:$H,7,FALSE),VLOOKUP("other",bug_conf_sheet!$A:$H,7,FALSE))</f>
        <v>0</v>
      </c>
      <c r="T182" s="31">
        <f>IFERROR(VLOOKUP($E182,bug_conf_sheet!$A:$H,8,FALSE),VLOOKUP("other",bug_conf_sheet!$A:$H,8,FALSE))</f>
        <v>1</v>
      </c>
    </row>
    <row r="183" spans="1:20" ht="21" customHeight="1">
      <c r="A183" s="2" t="str">
        <f ca="1">input_313100!A$2</f>
        <v>313100</v>
      </c>
      <c r="B183" s="7" t="str">
        <f t="shared" si="9"/>
        <v>Premium5</v>
      </c>
      <c r="C183" s="7" t="str">
        <f t="shared" si="10"/>
        <v>Premium</v>
      </c>
      <c r="D183" s="7" t="str">
        <f t="shared" si="11"/>
        <v>bg</v>
      </c>
      <c r="E183" s="6">
        <v>441</v>
      </c>
      <c r="F183" s="7" t="str">
        <f>VLOOKUP(E183,[1]characters!$A:$C,3,FALSE)</f>
        <v>求心の錻装 ブリキロガー</v>
      </c>
      <c r="G183" s="7" t="str">
        <f>VLOOKUP(E183,[1]characters!$A:$J,10,FALSE)</f>
        <v>PremiumS</v>
      </c>
      <c r="H183" s="7">
        <f>VLOOKUP(E183,[1]characters!$A:$I,9,FALSE)</f>
        <v>5</v>
      </c>
      <c r="I183" s="7" t="str">
        <f>VLOOKUP(E183,[1]characters!$A:$H,8,FALSE)</f>
        <v>blue</v>
      </c>
      <c r="J183" s="7" t="str">
        <f>VLOOKUP(E183,[1]characters!$A:$K,11,FALSE)</f>
        <v>attack</v>
      </c>
      <c r="K183" s="7" t="str">
        <f>VLOOKUP(E183,[1]characters!$A:$M,13,FALSE)</f>
        <v>machine</v>
      </c>
      <c r="L183" s="7" t="str">
        <f>VLOOKUP(E183,[1]characters!$A:$G,7,FALSE)</f>
        <v>不明</v>
      </c>
      <c r="M183" s="62">
        <f ca="1">IFERROR(VLOOKUP(E183,input_313100!L:R,7,FALSE),VLOOKUP(tables_313100!B183,input_313100!A:H,8,FALSE))</f>
        <v>12950</v>
      </c>
      <c r="N183" s="63">
        <f t="shared" ca="1" si="12"/>
        <v>4.6296296296296298E-4</v>
      </c>
      <c r="O183" s="31">
        <f>IFERROR(VLOOKUP($E183,bug_conf_sheet!$A:$H,3,FALSE),VLOOKUP("other",bug_conf_sheet!$A:$H,3,FALSE))</f>
        <v>1</v>
      </c>
      <c r="P183" s="31">
        <f>IFERROR(VLOOKUP($E183,bug_conf_sheet!$A:$H,4,FALSE),VLOOKUP("other",bug_conf_sheet!$A:$H,4,FALSE))</f>
        <v>0</v>
      </c>
      <c r="Q183" s="31">
        <f>IFERROR(VLOOKUP($E183,bug_conf_sheet!$A:$H,5,FALSE),VLOOKUP("other",bug_conf_sheet!$A:$H,5,FALSE))</f>
        <v>0</v>
      </c>
      <c r="R183" s="31">
        <f>IFERROR(VLOOKUP($E183,bug_conf_sheet!$A:$H,6,FALSE),VLOOKUP("other",bug_conf_sheet!$A:$H,6,FALSE))</f>
        <v>0</v>
      </c>
      <c r="S183" s="31">
        <f>IFERROR(VLOOKUP($E183,bug_conf_sheet!$A:$H,7,FALSE),VLOOKUP("other",bug_conf_sheet!$A:$H,7,FALSE))</f>
        <v>0</v>
      </c>
      <c r="T183" s="31">
        <f>IFERROR(VLOOKUP($E183,bug_conf_sheet!$A:$H,8,FALSE),VLOOKUP("other",bug_conf_sheet!$A:$H,8,FALSE))</f>
        <v>1</v>
      </c>
    </row>
    <row r="184" spans="1:20" ht="21" customHeight="1">
      <c r="A184" s="2" t="str">
        <f ca="1">input_313100!A$2</f>
        <v>313100</v>
      </c>
      <c r="B184" s="7" t="str">
        <f t="shared" si="9"/>
        <v>PremiumSSry4</v>
      </c>
      <c r="C184" s="7" t="str">
        <f t="shared" si="10"/>
        <v>PremiumSS</v>
      </c>
      <c r="D184" s="7" t="str">
        <f t="shared" si="11"/>
        <v>ry</v>
      </c>
      <c r="E184" s="6">
        <v>442</v>
      </c>
      <c r="F184" s="7" t="str">
        <f>VLOOKUP(E184,[1]characters!$A:$C,3,FALSE)</f>
        <v>ブレイブリー・ライオン</v>
      </c>
      <c r="G184" s="7" t="str">
        <f>VLOOKUP(E184,[1]characters!$A:$J,10,FALSE)</f>
        <v>PremiumSS</v>
      </c>
      <c r="H184" s="7">
        <f>VLOOKUP(E184,[1]characters!$A:$I,9,FALSE)</f>
        <v>4</v>
      </c>
      <c r="I184" s="7" t="str">
        <f>VLOOKUP(E184,[1]characters!$A:$H,8,FALSE)</f>
        <v>yellow</v>
      </c>
      <c r="J184" s="7" t="str">
        <f>VLOOKUP(E184,[1]characters!$A:$K,11,FALSE)</f>
        <v>hp</v>
      </c>
      <c r="K184" s="7" t="str">
        <f>VLOOKUP(E184,[1]characters!$A:$M,13,FALSE)</f>
        <v>animal</v>
      </c>
      <c r="L184" s="7" t="str">
        <f>VLOOKUP(E184,[1]characters!$A:$G,7,FALSE)</f>
        <v>不明</v>
      </c>
      <c r="M184" s="62">
        <f ca="1">IFERROR(VLOOKUP(E184,input_313100!L:R,7,FALSE),VLOOKUP(tables_313100!B184,input_313100!A:H,8,FALSE))</f>
        <v>53946</v>
      </c>
      <c r="N184" s="63">
        <f t="shared" ca="1" si="12"/>
        <v>1.9285714285714286E-3</v>
      </c>
      <c r="O184" s="31">
        <f>IFERROR(VLOOKUP($E184,bug_conf_sheet!$A:$H,3,FALSE),VLOOKUP("other",bug_conf_sheet!$A:$H,3,FALSE))</f>
        <v>1</v>
      </c>
      <c r="P184" s="31">
        <f>IFERROR(VLOOKUP($E184,bug_conf_sheet!$A:$H,4,FALSE),VLOOKUP("other",bug_conf_sheet!$A:$H,4,FALSE))</f>
        <v>0</v>
      </c>
      <c r="Q184" s="31">
        <f>IFERROR(VLOOKUP($E184,bug_conf_sheet!$A:$H,5,FALSE),VLOOKUP("other",bug_conf_sheet!$A:$H,5,FALSE))</f>
        <v>0</v>
      </c>
      <c r="R184" s="31">
        <f>IFERROR(VLOOKUP($E184,bug_conf_sheet!$A:$H,6,FALSE),VLOOKUP("other",bug_conf_sheet!$A:$H,6,FALSE))</f>
        <v>0</v>
      </c>
      <c r="S184" s="31">
        <f>IFERROR(VLOOKUP($E184,bug_conf_sheet!$A:$H,7,FALSE),VLOOKUP("other",bug_conf_sheet!$A:$H,7,FALSE))</f>
        <v>0</v>
      </c>
      <c r="T184" s="31">
        <f>IFERROR(VLOOKUP($E184,bug_conf_sheet!$A:$H,8,FALSE),VLOOKUP("other",bug_conf_sheet!$A:$H,8,FALSE))</f>
        <v>1</v>
      </c>
    </row>
    <row r="185" spans="1:20" ht="21" customHeight="1">
      <c r="A185" s="2" t="str">
        <f ca="1">input_313100!A$2</f>
        <v>313100</v>
      </c>
      <c r="B185" s="7" t="str">
        <f t="shared" si="9"/>
        <v>PremiumSSry5</v>
      </c>
      <c r="C185" s="7" t="str">
        <f t="shared" si="10"/>
        <v>PremiumSS</v>
      </c>
      <c r="D185" s="7" t="str">
        <f t="shared" si="11"/>
        <v>ry</v>
      </c>
      <c r="E185" s="6">
        <v>443</v>
      </c>
      <c r="F185" s="7" t="str">
        <f>VLOOKUP(E185,[1]characters!$A:$C,3,FALSE)</f>
        <v>勇機結集 ブレイブリー・ライオン</v>
      </c>
      <c r="G185" s="7" t="str">
        <f>VLOOKUP(E185,[1]characters!$A:$J,10,FALSE)</f>
        <v>PremiumSS</v>
      </c>
      <c r="H185" s="7">
        <f>VLOOKUP(E185,[1]characters!$A:$I,9,FALSE)</f>
        <v>5</v>
      </c>
      <c r="I185" s="7" t="str">
        <f>VLOOKUP(E185,[1]characters!$A:$H,8,FALSE)</f>
        <v>yellow</v>
      </c>
      <c r="J185" s="7" t="str">
        <f>VLOOKUP(E185,[1]characters!$A:$K,11,FALSE)</f>
        <v>hp</v>
      </c>
      <c r="K185" s="7" t="str">
        <f>VLOOKUP(E185,[1]characters!$A:$M,13,FALSE)</f>
        <v>animal</v>
      </c>
      <c r="L185" s="7" t="str">
        <f>VLOOKUP(E185,[1]characters!$A:$G,7,FALSE)</f>
        <v>不明</v>
      </c>
      <c r="M185" s="62">
        <f ca="1">IFERROR(VLOOKUP(E185,input_313100!L:R,7,FALSE),VLOOKUP(tables_313100!B185,input_313100!A:H,8,FALSE))</f>
        <v>5994</v>
      </c>
      <c r="N185" s="63">
        <f t="shared" ca="1" si="12"/>
        <v>2.1428571428571427E-4</v>
      </c>
      <c r="O185" s="31">
        <f>IFERROR(VLOOKUP($E185,bug_conf_sheet!$A:$H,3,FALSE),VLOOKUP("other",bug_conf_sheet!$A:$H,3,FALSE))</f>
        <v>1</v>
      </c>
      <c r="P185" s="31">
        <f>IFERROR(VLOOKUP($E185,bug_conf_sheet!$A:$H,4,FALSE),VLOOKUP("other",bug_conf_sheet!$A:$H,4,FALSE))</f>
        <v>0</v>
      </c>
      <c r="Q185" s="31">
        <f>IFERROR(VLOOKUP($E185,bug_conf_sheet!$A:$H,5,FALSE),VLOOKUP("other",bug_conf_sheet!$A:$H,5,FALSE))</f>
        <v>0</v>
      </c>
      <c r="R185" s="31">
        <f>IFERROR(VLOOKUP($E185,bug_conf_sheet!$A:$H,6,FALSE),VLOOKUP("other",bug_conf_sheet!$A:$H,6,FALSE))</f>
        <v>0</v>
      </c>
      <c r="S185" s="31">
        <f>IFERROR(VLOOKUP($E185,bug_conf_sheet!$A:$H,7,FALSE),VLOOKUP("other",bug_conf_sheet!$A:$H,7,FALSE))</f>
        <v>0</v>
      </c>
      <c r="T185" s="31">
        <f>IFERROR(VLOOKUP($E185,bug_conf_sheet!$A:$H,8,FALSE),VLOOKUP("other",bug_conf_sheet!$A:$H,8,FALSE))</f>
        <v>1</v>
      </c>
    </row>
    <row r="186" spans="1:20" ht="21" customHeight="1">
      <c r="A186" s="2" t="str">
        <f ca="1">input_313100!A$2</f>
        <v>313100</v>
      </c>
      <c r="B186" s="7" t="str">
        <f t="shared" si="9"/>
        <v>Premium3</v>
      </c>
      <c r="C186" s="7" t="str">
        <f t="shared" si="10"/>
        <v>Premium</v>
      </c>
      <c r="D186" s="7" t="str">
        <f t="shared" si="11"/>
        <v>ry</v>
      </c>
      <c r="E186" s="8">
        <v>462</v>
      </c>
      <c r="F186" s="7" t="str">
        <f>VLOOKUP(E186,[1]characters!$A:$C,3,FALSE)</f>
        <v>ガウェイン</v>
      </c>
      <c r="G186" s="7" t="str">
        <f>VLOOKUP(E186,[1]characters!$A:$J,10,FALSE)</f>
        <v>PremiumS</v>
      </c>
      <c r="H186" s="7">
        <f>VLOOKUP(E186,[1]characters!$A:$I,9,FALSE)</f>
        <v>3</v>
      </c>
      <c r="I186" s="7" t="str">
        <f>VLOOKUP(E186,[1]characters!$A:$H,8,FALSE)</f>
        <v>red</v>
      </c>
      <c r="J186" s="7" t="str">
        <f>VLOOKUP(E186,[1]characters!$A:$K,11,FALSE)</f>
        <v>hp</v>
      </c>
      <c r="K186" s="7" t="str">
        <f>VLOOKUP(E186,[1]characters!$A:$M,13,FALSE)</f>
        <v>human</v>
      </c>
      <c r="L186" s="7" t="str">
        <f>VLOOKUP(E186,[1]characters!$A:$G,7,FALSE)</f>
        <v>男性</v>
      </c>
      <c r="M186" s="62">
        <f ca="1">IFERROR(VLOOKUP(E186,input_313100!L:R,7,FALSE),VLOOKUP(tables_313100!B186,input_313100!A:H,8,FALSE))</f>
        <v>0</v>
      </c>
      <c r="N186" s="63">
        <f t="shared" ca="1" si="12"/>
        <v>0</v>
      </c>
      <c r="O186" s="31">
        <f>IFERROR(VLOOKUP($E186,bug_conf_sheet!$A:$H,3,FALSE),VLOOKUP("other",bug_conf_sheet!$A:$H,3,FALSE))</f>
        <v>1</v>
      </c>
      <c r="P186" s="31">
        <f>IFERROR(VLOOKUP($E186,bug_conf_sheet!$A:$H,4,FALSE),VLOOKUP("other",bug_conf_sheet!$A:$H,4,FALSE))</f>
        <v>0</v>
      </c>
      <c r="Q186" s="31">
        <f>IFERROR(VLOOKUP($E186,bug_conf_sheet!$A:$H,5,FALSE),VLOOKUP("other",bug_conf_sheet!$A:$H,5,FALSE))</f>
        <v>0</v>
      </c>
      <c r="R186" s="31">
        <f>IFERROR(VLOOKUP($E186,bug_conf_sheet!$A:$H,6,FALSE),VLOOKUP("other",bug_conf_sheet!$A:$H,6,FALSE))</f>
        <v>0</v>
      </c>
      <c r="S186" s="31">
        <f>IFERROR(VLOOKUP($E186,bug_conf_sheet!$A:$H,7,FALSE),VLOOKUP("other",bug_conf_sheet!$A:$H,7,FALSE))</f>
        <v>0</v>
      </c>
      <c r="T186" s="31">
        <f>IFERROR(VLOOKUP($E186,bug_conf_sheet!$A:$H,8,FALSE),VLOOKUP("other",bug_conf_sheet!$A:$H,8,FALSE))</f>
        <v>1</v>
      </c>
    </row>
    <row r="187" spans="1:20" ht="21" customHeight="1">
      <c r="A187" s="2" t="str">
        <f ca="1">input_313100!A$2</f>
        <v>313100</v>
      </c>
      <c r="B187" s="7" t="str">
        <f t="shared" si="9"/>
        <v>Premium4</v>
      </c>
      <c r="C187" s="7" t="str">
        <f t="shared" si="10"/>
        <v>Premium</v>
      </c>
      <c r="D187" s="7" t="str">
        <f t="shared" si="11"/>
        <v>ry</v>
      </c>
      <c r="E187" s="8">
        <v>463</v>
      </c>
      <c r="F187" s="7" t="str">
        <f>VLOOKUP(E187,[1]characters!$A:$C,3,FALSE)</f>
        <v>燻銀 ガウェイン</v>
      </c>
      <c r="G187" s="7" t="str">
        <f>VLOOKUP(E187,[1]characters!$A:$J,10,FALSE)</f>
        <v>PremiumS</v>
      </c>
      <c r="H187" s="7">
        <f>VLOOKUP(E187,[1]characters!$A:$I,9,FALSE)</f>
        <v>4</v>
      </c>
      <c r="I187" s="7" t="str">
        <f>VLOOKUP(E187,[1]characters!$A:$H,8,FALSE)</f>
        <v>red</v>
      </c>
      <c r="J187" s="7" t="str">
        <f>VLOOKUP(E187,[1]characters!$A:$K,11,FALSE)</f>
        <v>hp</v>
      </c>
      <c r="K187" s="7" t="str">
        <f>VLOOKUP(E187,[1]characters!$A:$M,13,FALSE)</f>
        <v>human</v>
      </c>
      <c r="L187" s="7" t="str">
        <f>VLOOKUP(E187,[1]characters!$A:$G,7,FALSE)</f>
        <v>男性</v>
      </c>
      <c r="M187" s="62">
        <f ca="1">IFERROR(VLOOKUP(E187,input_313100!L:R,7,FALSE),VLOOKUP(tables_313100!B187,input_313100!A:H,8,FALSE))</f>
        <v>342090</v>
      </c>
      <c r="N187" s="63">
        <f t="shared" ca="1" si="12"/>
        <v>1.222972972972973E-2</v>
      </c>
      <c r="O187" s="31">
        <f>IFERROR(VLOOKUP($E187,bug_conf_sheet!$A:$H,3,FALSE),VLOOKUP("other",bug_conf_sheet!$A:$H,3,FALSE))</f>
        <v>1</v>
      </c>
      <c r="P187" s="31">
        <f>IFERROR(VLOOKUP($E187,bug_conf_sheet!$A:$H,4,FALSE),VLOOKUP("other",bug_conf_sheet!$A:$H,4,FALSE))</f>
        <v>0</v>
      </c>
      <c r="Q187" s="31">
        <f>IFERROR(VLOOKUP($E187,bug_conf_sheet!$A:$H,5,FALSE),VLOOKUP("other",bug_conf_sheet!$A:$H,5,FALSE))</f>
        <v>0</v>
      </c>
      <c r="R187" s="31">
        <f>IFERROR(VLOOKUP($E187,bug_conf_sheet!$A:$H,6,FALSE),VLOOKUP("other",bug_conf_sheet!$A:$H,6,FALSE))</f>
        <v>0</v>
      </c>
      <c r="S187" s="31">
        <f>IFERROR(VLOOKUP($E187,bug_conf_sheet!$A:$H,7,FALSE),VLOOKUP("other",bug_conf_sheet!$A:$H,7,FALSE))</f>
        <v>0</v>
      </c>
      <c r="T187" s="31">
        <f>IFERROR(VLOOKUP($E187,bug_conf_sheet!$A:$H,8,FALSE),VLOOKUP("other",bug_conf_sheet!$A:$H,8,FALSE))</f>
        <v>1</v>
      </c>
    </row>
    <row r="188" spans="1:20" ht="21" customHeight="1">
      <c r="A188" s="2" t="str">
        <f ca="1">input_313100!A$2</f>
        <v>313100</v>
      </c>
      <c r="B188" s="7" t="str">
        <f t="shared" si="9"/>
        <v>Premium5</v>
      </c>
      <c r="C188" s="7" t="str">
        <f t="shared" si="10"/>
        <v>Premium</v>
      </c>
      <c r="D188" s="7" t="str">
        <f t="shared" si="11"/>
        <v>ry</v>
      </c>
      <c r="E188" s="8">
        <v>464</v>
      </c>
      <c r="F188" s="7" t="str">
        <f>VLOOKUP(E188,[1]characters!$A:$C,3,FALSE)</f>
        <v>円熟の弾導 ガウェイン</v>
      </c>
      <c r="G188" s="7" t="str">
        <f>VLOOKUP(E188,[1]characters!$A:$J,10,FALSE)</f>
        <v>PremiumS</v>
      </c>
      <c r="H188" s="7">
        <f>VLOOKUP(E188,[1]characters!$A:$I,9,FALSE)</f>
        <v>5</v>
      </c>
      <c r="I188" s="7" t="str">
        <f>VLOOKUP(E188,[1]characters!$A:$H,8,FALSE)</f>
        <v>red</v>
      </c>
      <c r="J188" s="7" t="str">
        <f>VLOOKUP(E188,[1]characters!$A:$K,11,FALSE)</f>
        <v>hp</v>
      </c>
      <c r="K188" s="7" t="str">
        <f>VLOOKUP(E188,[1]characters!$A:$M,13,FALSE)</f>
        <v>human</v>
      </c>
      <c r="L188" s="7" t="str">
        <f>VLOOKUP(E188,[1]characters!$A:$G,7,FALSE)</f>
        <v>男性</v>
      </c>
      <c r="M188" s="62">
        <f ca="1">IFERROR(VLOOKUP(E188,input_313100!L:R,7,FALSE),VLOOKUP(tables_313100!B188,input_313100!A:H,8,FALSE))</f>
        <v>12950</v>
      </c>
      <c r="N188" s="63">
        <f t="shared" ca="1" si="12"/>
        <v>4.6296296296296298E-4</v>
      </c>
      <c r="O188" s="31">
        <f>IFERROR(VLOOKUP($E188,bug_conf_sheet!$A:$H,3,FALSE),VLOOKUP("other",bug_conf_sheet!$A:$H,3,FALSE))</f>
        <v>1</v>
      </c>
      <c r="P188" s="31">
        <f>IFERROR(VLOOKUP($E188,bug_conf_sheet!$A:$H,4,FALSE),VLOOKUP("other",bug_conf_sheet!$A:$H,4,FALSE))</f>
        <v>0</v>
      </c>
      <c r="Q188" s="31">
        <f>IFERROR(VLOOKUP($E188,bug_conf_sheet!$A:$H,5,FALSE),VLOOKUP("other",bug_conf_sheet!$A:$H,5,FALSE))</f>
        <v>0</v>
      </c>
      <c r="R188" s="31">
        <f>IFERROR(VLOOKUP($E188,bug_conf_sheet!$A:$H,6,FALSE),VLOOKUP("other",bug_conf_sheet!$A:$H,6,FALSE))</f>
        <v>0</v>
      </c>
      <c r="S188" s="31">
        <f>IFERROR(VLOOKUP($E188,bug_conf_sheet!$A:$H,7,FALSE),VLOOKUP("other",bug_conf_sheet!$A:$H,7,FALSE))</f>
        <v>0</v>
      </c>
      <c r="T188" s="31">
        <f>IFERROR(VLOOKUP($E188,bug_conf_sheet!$A:$H,8,FALSE),VLOOKUP("other",bug_conf_sheet!$A:$H,8,FALSE))</f>
        <v>1</v>
      </c>
    </row>
    <row r="189" spans="1:20" ht="21" customHeight="1">
      <c r="A189" s="2" t="str">
        <f ca="1">input_313100!A$2</f>
        <v>313100</v>
      </c>
      <c r="B189" s="7" t="str">
        <f t="shared" si="9"/>
        <v>PremiumSSbg4</v>
      </c>
      <c r="C189" s="7" t="str">
        <f t="shared" si="10"/>
        <v>PremiumSS</v>
      </c>
      <c r="D189" s="7" t="str">
        <f t="shared" si="11"/>
        <v>bg</v>
      </c>
      <c r="E189" s="8">
        <v>465</v>
      </c>
      <c r="F189" s="7" t="str">
        <f>VLOOKUP(E189,[1]characters!$A:$C,3,FALSE)</f>
        <v>真撃 ランスロット</v>
      </c>
      <c r="G189" s="7" t="str">
        <f>VLOOKUP(E189,[1]characters!$A:$J,10,FALSE)</f>
        <v>PremiumSS</v>
      </c>
      <c r="H189" s="7">
        <f>VLOOKUP(E189,[1]characters!$A:$I,9,FALSE)</f>
        <v>4</v>
      </c>
      <c r="I189" s="7" t="str">
        <f>VLOOKUP(E189,[1]characters!$A:$H,8,FALSE)</f>
        <v>green</v>
      </c>
      <c r="J189" s="7" t="str">
        <f>VLOOKUP(E189,[1]characters!$A:$K,11,FALSE)</f>
        <v>balance</v>
      </c>
      <c r="K189" s="7" t="str">
        <f>VLOOKUP(E189,[1]characters!$A:$M,13,FALSE)</f>
        <v>human</v>
      </c>
      <c r="L189" s="7" t="str">
        <f>VLOOKUP(E189,[1]characters!$A:$G,7,FALSE)</f>
        <v>男性</v>
      </c>
      <c r="M189" s="62">
        <f ca="1">IFERROR(VLOOKUP(E189,input_313100!L:R,7,FALSE),VLOOKUP(tables_313100!B189,input_313100!A:H,8,FALSE))</f>
        <v>41958</v>
      </c>
      <c r="N189" s="63">
        <f t="shared" ca="1" si="12"/>
        <v>1.5E-3</v>
      </c>
      <c r="O189" s="31">
        <f>IFERROR(VLOOKUP($E189,bug_conf_sheet!$A:$H,3,FALSE),VLOOKUP("other",bug_conf_sheet!$A:$H,3,FALSE))</f>
        <v>1</v>
      </c>
      <c r="P189" s="31">
        <f>IFERROR(VLOOKUP($E189,bug_conf_sheet!$A:$H,4,FALSE),VLOOKUP("other",bug_conf_sheet!$A:$H,4,FALSE))</f>
        <v>0</v>
      </c>
      <c r="Q189" s="31">
        <f>IFERROR(VLOOKUP($E189,bug_conf_sheet!$A:$H,5,FALSE),VLOOKUP("other",bug_conf_sheet!$A:$H,5,FALSE))</f>
        <v>0</v>
      </c>
      <c r="R189" s="31">
        <f>IFERROR(VLOOKUP($E189,bug_conf_sheet!$A:$H,6,FALSE),VLOOKUP("other",bug_conf_sheet!$A:$H,6,FALSE))</f>
        <v>0</v>
      </c>
      <c r="S189" s="31">
        <f>IFERROR(VLOOKUP($E189,bug_conf_sheet!$A:$H,7,FALSE),VLOOKUP("other",bug_conf_sheet!$A:$H,7,FALSE))</f>
        <v>0</v>
      </c>
      <c r="T189" s="31">
        <f>IFERROR(VLOOKUP($E189,bug_conf_sheet!$A:$H,8,FALSE),VLOOKUP("other",bug_conf_sheet!$A:$H,8,FALSE))</f>
        <v>1</v>
      </c>
    </row>
    <row r="190" spans="1:20" s="9" customFormat="1" ht="21" customHeight="1" thickBot="1">
      <c r="A190" s="2" t="str">
        <f ca="1">input_313100!A$2</f>
        <v>313100</v>
      </c>
      <c r="B190" s="7" t="str">
        <f t="shared" si="9"/>
        <v>PremiumSSbg5</v>
      </c>
      <c r="C190" s="7" t="str">
        <f t="shared" si="10"/>
        <v>PremiumSS</v>
      </c>
      <c r="D190" s="7" t="str">
        <f t="shared" si="11"/>
        <v>bg</v>
      </c>
      <c r="E190" s="6">
        <v>466</v>
      </c>
      <c r="F190" s="7" t="str">
        <f>VLOOKUP(E190,[1]characters!$A:$C,3,FALSE)</f>
        <v>真断の勇覇 ランスロット</v>
      </c>
      <c r="G190" s="7" t="str">
        <f>VLOOKUP(E190,[1]characters!$A:$J,10,FALSE)</f>
        <v>PremiumSS</v>
      </c>
      <c r="H190" s="7">
        <f>VLOOKUP(E190,[1]characters!$A:$I,9,FALSE)</f>
        <v>5</v>
      </c>
      <c r="I190" s="7" t="str">
        <f>VLOOKUP(E190,[1]characters!$A:$H,8,FALSE)</f>
        <v>green</v>
      </c>
      <c r="J190" s="7" t="str">
        <f>VLOOKUP(E190,[1]characters!$A:$K,11,FALSE)</f>
        <v>balance</v>
      </c>
      <c r="K190" s="7" t="str">
        <f>VLOOKUP(E190,[1]characters!$A:$M,13,FALSE)</f>
        <v>human</v>
      </c>
      <c r="L190" s="7" t="str">
        <f>VLOOKUP(E190,[1]characters!$A:$G,7,FALSE)</f>
        <v>男性</v>
      </c>
      <c r="M190" s="62">
        <f ca="1">IFERROR(VLOOKUP(E190,input_313100!L:R,7,FALSE),VLOOKUP(tables_313100!B190,input_313100!A:H,8,FALSE))</f>
        <v>4662</v>
      </c>
      <c r="N190" s="63">
        <f t="shared" ca="1" si="12"/>
        <v>1.6666666666666666E-4</v>
      </c>
      <c r="O190" s="31">
        <f>IFERROR(VLOOKUP($E190,bug_conf_sheet!$A:$H,3,FALSE),VLOOKUP("other",bug_conf_sheet!$A:$H,3,FALSE))</f>
        <v>1</v>
      </c>
      <c r="P190" s="31">
        <f>IFERROR(VLOOKUP($E190,bug_conf_sheet!$A:$H,4,FALSE),VLOOKUP("other",bug_conf_sheet!$A:$H,4,FALSE))</f>
        <v>0</v>
      </c>
      <c r="Q190" s="31">
        <f>IFERROR(VLOOKUP($E190,bug_conf_sheet!$A:$H,5,FALSE),VLOOKUP("other",bug_conf_sheet!$A:$H,5,FALSE))</f>
        <v>0</v>
      </c>
      <c r="R190" s="31">
        <f>IFERROR(VLOOKUP($E190,bug_conf_sheet!$A:$H,6,FALSE),VLOOKUP("other",bug_conf_sheet!$A:$H,6,FALSE))</f>
        <v>0</v>
      </c>
      <c r="S190" s="31">
        <f>IFERROR(VLOOKUP($E190,bug_conf_sheet!$A:$H,7,FALSE),VLOOKUP("other",bug_conf_sheet!$A:$H,7,FALSE))</f>
        <v>0</v>
      </c>
      <c r="T190" s="31">
        <f>IFERROR(VLOOKUP($E190,bug_conf_sheet!$A:$H,8,FALSE),VLOOKUP("other",bug_conf_sheet!$A:$H,8,FALSE))</f>
        <v>1</v>
      </c>
    </row>
    <row r="191" spans="1:20" ht="21" customHeight="1">
      <c r="A191" s="2" t="str">
        <f ca="1">input_313100!A$2</f>
        <v>313100</v>
      </c>
      <c r="B191" s="7" t="str">
        <f t="shared" si="9"/>
        <v>PremiumSSbg4</v>
      </c>
      <c r="C191" s="7" t="str">
        <f t="shared" si="10"/>
        <v>PremiumSS</v>
      </c>
      <c r="D191" s="7" t="str">
        <f t="shared" si="11"/>
        <v>bg</v>
      </c>
      <c r="E191" s="6">
        <v>467</v>
      </c>
      <c r="F191" s="7" t="str">
        <f>VLOOKUP(E191,[1]characters!$A:$C,3,FALSE)</f>
        <v>報復 モルドレッド</v>
      </c>
      <c r="G191" s="7" t="str">
        <f>VLOOKUP(E191,[1]characters!$A:$J,10,FALSE)</f>
        <v>PremiumSS</v>
      </c>
      <c r="H191" s="7">
        <f>VLOOKUP(E191,[1]characters!$A:$I,9,FALSE)</f>
        <v>4</v>
      </c>
      <c r="I191" s="7" t="str">
        <f>VLOOKUP(E191,[1]characters!$A:$H,8,FALSE)</f>
        <v>blue</v>
      </c>
      <c r="J191" s="7" t="str">
        <f>VLOOKUP(E191,[1]characters!$A:$K,11,FALSE)</f>
        <v>technical</v>
      </c>
      <c r="K191" s="7" t="str">
        <f>VLOOKUP(E191,[1]characters!$A:$M,13,FALSE)</f>
        <v>human</v>
      </c>
      <c r="L191" s="7" t="str">
        <f>VLOOKUP(E191,[1]characters!$A:$G,7,FALSE)</f>
        <v>女性</v>
      </c>
      <c r="M191" s="62">
        <f ca="1">IFERROR(VLOOKUP(E191,input_313100!L:R,7,FALSE),VLOOKUP(tables_313100!B191,input_313100!A:H,8,FALSE))</f>
        <v>41958</v>
      </c>
      <c r="N191" s="63">
        <f t="shared" ca="1" si="12"/>
        <v>1.5E-3</v>
      </c>
      <c r="O191" s="31">
        <f>IFERROR(VLOOKUP($E191,bug_conf_sheet!$A:$H,3,FALSE),VLOOKUP("other",bug_conf_sheet!$A:$H,3,FALSE))</f>
        <v>1</v>
      </c>
      <c r="P191" s="31">
        <f>IFERROR(VLOOKUP($E191,bug_conf_sheet!$A:$H,4,FALSE),VLOOKUP("other",bug_conf_sheet!$A:$H,4,FALSE))</f>
        <v>0</v>
      </c>
      <c r="Q191" s="31">
        <f>IFERROR(VLOOKUP($E191,bug_conf_sheet!$A:$H,5,FALSE),VLOOKUP("other",bug_conf_sheet!$A:$H,5,FALSE))</f>
        <v>0</v>
      </c>
      <c r="R191" s="31">
        <f>IFERROR(VLOOKUP($E191,bug_conf_sheet!$A:$H,6,FALSE),VLOOKUP("other",bug_conf_sheet!$A:$H,6,FALSE))</f>
        <v>0</v>
      </c>
      <c r="S191" s="31">
        <f>IFERROR(VLOOKUP($E191,bug_conf_sheet!$A:$H,7,FALSE),VLOOKUP("other",bug_conf_sheet!$A:$H,7,FALSE))</f>
        <v>0</v>
      </c>
      <c r="T191" s="31">
        <f>IFERROR(VLOOKUP($E191,bug_conf_sheet!$A:$H,8,FALSE),VLOOKUP("other",bug_conf_sheet!$A:$H,8,FALSE))</f>
        <v>1</v>
      </c>
    </row>
    <row r="192" spans="1:20" ht="21" customHeight="1">
      <c r="A192" s="2" t="str">
        <f ca="1">input_313100!A$2</f>
        <v>313100</v>
      </c>
      <c r="B192" s="7" t="str">
        <f t="shared" si="9"/>
        <v>PremiumSSbg5</v>
      </c>
      <c r="C192" s="7" t="str">
        <f t="shared" si="10"/>
        <v>PremiumSS</v>
      </c>
      <c r="D192" s="7" t="str">
        <f t="shared" si="11"/>
        <v>bg</v>
      </c>
      <c r="E192" s="6">
        <v>468</v>
      </c>
      <c r="F192" s="7" t="str">
        <f>VLOOKUP(E192,[1]characters!$A:$C,3,FALSE)</f>
        <v>憎愛の尖鋒 モルドレッド</v>
      </c>
      <c r="G192" s="7" t="str">
        <f>VLOOKUP(E192,[1]characters!$A:$J,10,FALSE)</f>
        <v>PremiumSS</v>
      </c>
      <c r="H192" s="7">
        <f>VLOOKUP(E192,[1]characters!$A:$I,9,FALSE)</f>
        <v>5</v>
      </c>
      <c r="I192" s="7" t="str">
        <f>VLOOKUP(E192,[1]characters!$A:$H,8,FALSE)</f>
        <v>blue</v>
      </c>
      <c r="J192" s="7" t="str">
        <f>VLOOKUP(E192,[1]characters!$A:$K,11,FALSE)</f>
        <v>technical</v>
      </c>
      <c r="K192" s="7" t="str">
        <f>VLOOKUP(E192,[1]characters!$A:$M,13,FALSE)</f>
        <v>human</v>
      </c>
      <c r="L192" s="7" t="str">
        <f>VLOOKUP(E192,[1]characters!$A:$G,7,FALSE)</f>
        <v>女性</v>
      </c>
      <c r="M192" s="62">
        <f ca="1">IFERROR(VLOOKUP(E192,input_313100!L:R,7,FALSE),VLOOKUP(tables_313100!B192,input_313100!A:H,8,FALSE))</f>
        <v>4662</v>
      </c>
      <c r="N192" s="63">
        <f t="shared" ca="1" si="12"/>
        <v>1.6666666666666666E-4</v>
      </c>
      <c r="O192" s="31">
        <f>IFERROR(VLOOKUP($E192,bug_conf_sheet!$A:$H,3,FALSE),VLOOKUP("other",bug_conf_sheet!$A:$H,3,FALSE))</f>
        <v>1</v>
      </c>
      <c r="P192" s="31">
        <f>IFERROR(VLOOKUP($E192,bug_conf_sheet!$A:$H,4,FALSE),VLOOKUP("other",bug_conf_sheet!$A:$H,4,FALSE))</f>
        <v>0</v>
      </c>
      <c r="Q192" s="31">
        <f>IFERROR(VLOOKUP($E192,bug_conf_sheet!$A:$H,5,FALSE),VLOOKUP("other",bug_conf_sheet!$A:$H,5,FALSE))</f>
        <v>0</v>
      </c>
      <c r="R192" s="31">
        <f>IFERROR(VLOOKUP($E192,bug_conf_sheet!$A:$H,6,FALSE),VLOOKUP("other",bug_conf_sheet!$A:$H,6,FALSE))</f>
        <v>0</v>
      </c>
      <c r="S192" s="31">
        <f>IFERROR(VLOOKUP($E192,bug_conf_sheet!$A:$H,7,FALSE),VLOOKUP("other",bug_conf_sheet!$A:$H,7,FALSE))</f>
        <v>0</v>
      </c>
      <c r="T192" s="31">
        <f>IFERROR(VLOOKUP($E192,bug_conf_sheet!$A:$H,8,FALSE),VLOOKUP("other",bug_conf_sheet!$A:$H,8,FALSE))</f>
        <v>1</v>
      </c>
    </row>
    <row r="193" spans="1:20" ht="21" customHeight="1">
      <c r="A193" s="2" t="str">
        <f ca="1">input_313100!A$2</f>
        <v>313100</v>
      </c>
      <c r="B193" s="7" t="str">
        <f t="shared" si="9"/>
        <v>Premium3</v>
      </c>
      <c r="C193" s="7" t="str">
        <f t="shared" si="10"/>
        <v>Premium</v>
      </c>
      <c r="D193" s="7" t="str">
        <f t="shared" si="11"/>
        <v>ry</v>
      </c>
      <c r="E193" s="6">
        <v>469</v>
      </c>
      <c r="F193" s="7" t="str">
        <f>VLOOKUP(E193,[1]characters!$A:$C,3,FALSE)</f>
        <v>トリスタン</v>
      </c>
      <c r="G193" s="7" t="str">
        <f>VLOOKUP(E193,[1]characters!$A:$J,10,FALSE)</f>
        <v>PremiumS</v>
      </c>
      <c r="H193" s="7">
        <f>VLOOKUP(E193,[1]characters!$A:$I,9,FALSE)</f>
        <v>3</v>
      </c>
      <c r="I193" s="7" t="str">
        <f>VLOOKUP(E193,[1]characters!$A:$H,8,FALSE)</f>
        <v>yellow</v>
      </c>
      <c r="J193" s="7" t="str">
        <f>VLOOKUP(E193,[1]characters!$A:$K,11,FALSE)</f>
        <v>attack</v>
      </c>
      <c r="K193" s="7" t="str">
        <f>VLOOKUP(E193,[1]characters!$A:$M,13,FALSE)</f>
        <v>human</v>
      </c>
      <c r="L193" s="7" t="str">
        <f>VLOOKUP(E193,[1]characters!$A:$G,7,FALSE)</f>
        <v>男性</v>
      </c>
      <c r="M193" s="62">
        <f ca="1">IFERROR(VLOOKUP(E193,input_313100!L:R,7,FALSE),VLOOKUP(tables_313100!B193,input_313100!A:H,8,FALSE))</f>
        <v>0</v>
      </c>
      <c r="N193" s="63">
        <f t="shared" ca="1" si="12"/>
        <v>0</v>
      </c>
      <c r="O193" s="31">
        <f>IFERROR(VLOOKUP($E193,bug_conf_sheet!$A:$H,3,FALSE),VLOOKUP("other",bug_conf_sheet!$A:$H,3,FALSE))</f>
        <v>1</v>
      </c>
      <c r="P193" s="31">
        <f>IFERROR(VLOOKUP($E193,bug_conf_sheet!$A:$H,4,FALSE),VLOOKUP("other",bug_conf_sheet!$A:$H,4,FALSE))</f>
        <v>0</v>
      </c>
      <c r="Q193" s="31">
        <f>IFERROR(VLOOKUP($E193,bug_conf_sheet!$A:$H,5,FALSE),VLOOKUP("other",bug_conf_sheet!$A:$H,5,FALSE))</f>
        <v>0</v>
      </c>
      <c r="R193" s="31">
        <f>IFERROR(VLOOKUP($E193,bug_conf_sheet!$A:$H,6,FALSE),VLOOKUP("other",bug_conf_sheet!$A:$H,6,FALSE))</f>
        <v>0</v>
      </c>
      <c r="S193" s="31">
        <f>IFERROR(VLOOKUP($E193,bug_conf_sheet!$A:$H,7,FALSE),VLOOKUP("other",bug_conf_sheet!$A:$H,7,FALSE))</f>
        <v>0</v>
      </c>
      <c r="T193" s="31">
        <f>IFERROR(VLOOKUP($E193,bug_conf_sheet!$A:$H,8,FALSE),VLOOKUP("other",bug_conf_sheet!$A:$H,8,FALSE))</f>
        <v>1</v>
      </c>
    </row>
    <row r="194" spans="1:20" ht="21" customHeight="1">
      <c r="A194" s="2" t="str">
        <f ca="1">input_313100!A$2</f>
        <v>313100</v>
      </c>
      <c r="B194" s="7" t="str">
        <f t="shared" si="9"/>
        <v>Premium4</v>
      </c>
      <c r="C194" s="7" t="str">
        <f t="shared" si="10"/>
        <v>Premium</v>
      </c>
      <c r="D194" s="7" t="str">
        <f t="shared" si="11"/>
        <v>ry</v>
      </c>
      <c r="E194" s="6">
        <v>470</v>
      </c>
      <c r="F194" s="7" t="str">
        <f>VLOOKUP(E194,[1]characters!$A:$C,3,FALSE)</f>
        <v>純心 トリスタン</v>
      </c>
      <c r="G194" s="7" t="str">
        <f>VLOOKUP(E194,[1]characters!$A:$J,10,FALSE)</f>
        <v>PremiumS</v>
      </c>
      <c r="H194" s="7">
        <f>VLOOKUP(E194,[1]characters!$A:$I,9,FALSE)</f>
        <v>4</v>
      </c>
      <c r="I194" s="7" t="str">
        <f>VLOOKUP(E194,[1]characters!$A:$H,8,FALSE)</f>
        <v>yellow</v>
      </c>
      <c r="J194" s="7" t="str">
        <f>VLOOKUP(E194,[1]characters!$A:$K,11,FALSE)</f>
        <v>attack</v>
      </c>
      <c r="K194" s="7" t="str">
        <f>VLOOKUP(E194,[1]characters!$A:$M,13,FALSE)</f>
        <v>human</v>
      </c>
      <c r="L194" s="7" t="str">
        <f>VLOOKUP(E194,[1]characters!$A:$G,7,FALSE)</f>
        <v>男性</v>
      </c>
      <c r="M194" s="62">
        <f ca="1">IFERROR(VLOOKUP(E194,input_313100!L:R,7,FALSE),VLOOKUP(tables_313100!B194,input_313100!A:H,8,FALSE))</f>
        <v>342090</v>
      </c>
      <c r="N194" s="63">
        <f t="shared" ca="1" si="12"/>
        <v>1.222972972972973E-2</v>
      </c>
      <c r="O194" s="31">
        <f>IFERROR(VLOOKUP($E194,bug_conf_sheet!$A:$H,3,FALSE),VLOOKUP("other",bug_conf_sheet!$A:$H,3,FALSE))</f>
        <v>1</v>
      </c>
      <c r="P194" s="31">
        <f>IFERROR(VLOOKUP($E194,bug_conf_sheet!$A:$H,4,FALSE),VLOOKUP("other",bug_conf_sheet!$A:$H,4,FALSE))</f>
        <v>0</v>
      </c>
      <c r="Q194" s="31">
        <f>IFERROR(VLOOKUP($E194,bug_conf_sheet!$A:$H,5,FALSE),VLOOKUP("other",bug_conf_sheet!$A:$H,5,FALSE))</f>
        <v>0</v>
      </c>
      <c r="R194" s="31">
        <f>IFERROR(VLOOKUP($E194,bug_conf_sheet!$A:$H,6,FALSE),VLOOKUP("other",bug_conf_sheet!$A:$H,6,FALSE))</f>
        <v>0</v>
      </c>
      <c r="S194" s="31">
        <f>IFERROR(VLOOKUP($E194,bug_conf_sheet!$A:$H,7,FALSE),VLOOKUP("other",bug_conf_sheet!$A:$H,7,FALSE))</f>
        <v>0</v>
      </c>
      <c r="T194" s="31">
        <f>IFERROR(VLOOKUP($E194,bug_conf_sheet!$A:$H,8,FALSE),VLOOKUP("other",bug_conf_sheet!$A:$H,8,FALSE))</f>
        <v>1</v>
      </c>
    </row>
    <row r="195" spans="1:20" ht="21" customHeight="1">
      <c r="A195" s="2" t="str">
        <f ca="1">input_313100!A$2</f>
        <v>313100</v>
      </c>
      <c r="B195" s="7" t="str">
        <f t="shared" ref="B195:B258" si="13">C195&amp;IF(C195="premium",,D195)&amp;H195</f>
        <v>Premium5</v>
      </c>
      <c r="C195" s="7" t="str">
        <f t="shared" ref="C195:C249" si="14">IF(G195="PremiumSS",G195,IF(G195="PremiumSSS",G195,"Premium"))</f>
        <v>Premium</v>
      </c>
      <c r="D195" s="7" t="str">
        <f t="shared" ref="D195:D249" si="15">IF(I195="red","ry",IF(I195="yellow","ry","bg"))</f>
        <v>ry</v>
      </c>
      <c r="E195" s="6">
        <v>471</v>
      </c>
      <c r="F195" s="7" t="str">
        <f>VLOOKUP(E195,[1]characters!$A:$C,3,FALSE)</f>
        <v>不可避の爆激 トリスタン</v>
      </c>
      <c r="G195" s="7" t="str">
        <f>VLOOKUP(E195,[1]characters!$A:$J,10,FALSE)</f>
        <v>PremiumS</v>
      </c>
      <c r="H195" s="7">
        <f>VLOOKUP(E195,[1]characters!$A:$I,9,FALSE)</f>
        <v>5</v>
      </c>
      <c r="I195" s="7" t="str">
        <f>VLOOKUP(E195,[1]characters!$A:$H,8,FALSE)</f>
        <v>yellow</v>
      </c>
      <c r="J195" s="7" t="str">
        <f>VLOOKUP(E195,[1]characters!$A:$K,11,FALSE)</f>
        <v>attack</v>
      </c>
      <c r="K195" s="7" t="str">
        <f>VLOOKUP(E195,[1]characters!$A:$M,13,FALSE)</f>
        <v>human</v>
      </c>
      <c r="L195" s="7" t="str">
        <f>VLOOKUP(E195,[1]characters!$A:$G,7,FALSE)</f>
        <v>男性</v>
      </c>
      <c r="M195" s="62">
        <f ca="1">IFERROR(VLOOKUP(E195,input_313100!L:R,7,FALSE),VLOOKUP(tables_313100!B195,input_313100!A:H,8,FALSE))</f>
        <v>12950</v>
      </c>
      <c r="N195" s="63">
        <f t="shared" ref="N195:N249" ca="1" si="16">M195/SUM(M:M)</f>
        <v>4.6296296296296298E-4</v>
      </c>
      <c r="O195" s="31">
        <f>IFERROR(VLOOKUP($E195,bug_conf_sheet!$A:$H,3,FALSE),VLOOKUP("other",bug_conf_sheet!$A:$H,3,FALSE))</f>
        <v>1</v>
      </c>
      <c r="P195" s="31">
        <f>IFERROR(VLOOKUP($E195,bug_conf_sheet!$A:$H,4,FALSE),VLOOKUP("other",bug_conf_sheet!$A:$H,4,FALSE))</f>
        <v>0</v>
      </c>
      <c r="Q195" s="31">
        <f>IFERROR(VLOOKUP($E195,bug_conf_sheet!$A:$H,5,FALSE),VLOOKUP("other",bug_conf_sheet!$A:$H,5,FALSE))</f>
        <v>0</v>
      </c>
      <c r="R195" s="31">
        <f>IFERROR(VLOOKUP($E195,bug_conf_sheet!$A:$H,6,FALSE),VLOOKUP("other",bug_conf_sheet!$A:$H,6,FALSE))</f>
        <v>0</v>
      </c>
      <c r="S195" s="31">
        <f>IFERROR(VLOOKUP($E195,bug_conf_sheet!$A:$H,7,FALSE),VLOOKUP("other",bug_conf_sheet!$A:$H,7,FALSE))</f>
        <v>0</v>
      </c>
      <c r="T195" s="31">
        <f>IFERROR(VLOOKUP($E195,bug_conf_sheet!$A:$H,8,FALSE),VLOOKUP("other",bug_conf_sheet!$A:$H,8,FALSE))</f>
        <v>1</v>
      </c>
    </row>
    <row r="196" spans="1:20" ht="21" customHeight="1">
      <c r="A196" s="2" t="str">
        <f ca="1">input_313100!A$2</f>
        <v>313100</v>
      </c>
      <c r="B196" s="7" t="str">
        <f t="shared" si="13"/>
        <v>PremiumSSry4</v>
      </c>
      <c r="C196" s="7" t="str">
        <f t="shared" si="14"/>
        <v>PremiumSS</v>
      </c>
      <c r="D196" s="7" t="str">
        <f t="shared" si="15"/>
        <v>ry</v>
      </c>
      <c r="E196" s="6">
        <v>474</v>
      </c>
      <c r="F196" s="7" t="str">
        <f>VLOOKUP(E196,[1]characters!$A:$C,3,FALSE)</f>
        <v>キング・ドライグ</v>
      </c>
      <c r="G196" s="7" t="str">
        <f>VLOOKUP(E196,[1]characters!$A:$J,10,FALSE)</f>
        <v>PremiumSS</v>
      </c>
      <c r="H196" s="7">
        <f>VLOOKUP(E196,[1]characters!$A:$I,9,FALSE)</f>
        <v>4</v>
      </c>
      <c r="I196" s="7" t="str">
        <f>VLOOKUP(E196,[1]characters!$A:$H,8,FALSE)</f>
        <v>red</v>
      </c>
      <c r="J196" s="7" t="str">
        <f>VLOOKUP(E196,[1]characters!$A:$K,11,FALSE)</f>
        <v>attack</v>
      </c>
      <c r="K196" s="7" t="str">
        <f>VLOOKUP(E196,[1]characters!$A:$M,13,FALSE)</f>
        <v>dragon</v>
      </c>
      <c r="L196" s="7" t="str">
        <f>VLOOKUP(E196,[1]characters!$A:$G,7,FALSE)</f>
        <v>不明</v>
      </c>
      <c r="M196" s="62">
        <f ca="1">IFERROR(VLOOKUP(E196,input_313100!L:R,7,FALSE),VLOOKUP(tables_313100!B196,input_313100!A:H,8,FALSE))</f>
        <v>53946</v>
      </c>
      <c r="N196" s="63">
        <f t="shared" ca="1" si="16"/>
        <v>1.9285714285714286E-3</v>
      </c>
      <c r="O196" s="31">
        <f>IFERROR(VLOOKUP($E196,bug_conf_sheet!$A:$H,3,FALSE),VLOOKUP("other",bug_conf_sheet!$A:$H,3,FALSE))</f>
        <v>1</v>
      </c>
      <c r="P196" s="31">
        <f>IFERROR(VLOOKUP($E196,bug_conf_sheet!$A:$H,4,FALSE),VLOOKUP("other",bug_conf_sheet!$A:$H,4,FALSE))</f>
        <v>0</v>
      </c>
      <c r="Q196" s="31">
        <f>IFERROR(VLOOKUP($E196,bug_conf_sheet!$A:$H,5,FALSE),VLOOKUP("other",bug_conf_sheet!$A:$H,5,FALSE))</f>
        <v>0</v>
      </c>
      <c r="R196" s="31">
        <f>IFERROR(VLOOKUP($E196,bug_conf_sheet!$A:$H,6,FALSE),VLOOKUP("other",bug_conf_sheet!$A:$H,6,FALSE))</f>
        <v>0</v>
      </c>
      <c r="S196" s="31">
        <f>IFERROR(VLOOKUP($E196,bug_conf_sheet!$A:$H,7,FALSE),VLOOKUP("other",bug_conf_sheet!$A:$H,7,FALSE))</f>
        <v>0</v>
      </c>
      <c r="T196" s="31">
        <f>IFERROR(VLOOKUP($E196,bug_conf_sheet!$A:$H,8,FALSE),VLOOKUP("other",bug_conf_sheet!$A:$H,8,FALSE))</f>
        <v>1</v>
      </c>
    </row>
    <row r="197" spans="1:20" ht="21" customHeight="1">
      <c r="A197" s="2" t="str">
        <f ca="1">input_313100!A$2</f>
        <v>313100</v>
      </c>
      <c r="B197" s="7" t="str">
        <f t="shared" si="13"/>
        <v>PremiumSSry5</v>
      </c>
      <c r="C197" s="7" t="str">
        <f t="shared" si="14"/>
        <v>PremiumSS</v>
      </c>
      <c r="D197" s="7" t="str">
        <f t="shared" si="15"/>
        <v>ry</v>
      </c>
      <c r="E197" s="6">
        <v>475</v>
      </c>
      <c r="F197" s="7" t="str">
        <f>VLOOKUP(E197,[1]characters!$A:$C,3,FALSE)</f>
        <v>緋王 キング・ドライグ</v>
      </c>
      <c r="G197" s="7" t="str">
        <f>VLOOKUP(E197,[1]characters!$A:$J,10,FALSE)</f>
        <v>PremiumSS</v>
      </c>
      <c r="H197" s="7">
        <f>VLOOKUP(E197,[1]characters!$A:$I,9,FALSE)</f>
        <v>5</v>
      </c>
      <c r="I197" s="7" t="str">
        <f>VLOOKUP(E197,[1]characters!$A:$H,8,FALSE)</f>
        <v>red</v>
      </c>
      <c r="J197" s="7" t="str">
        <f>VLOOKUP(E197,[1]characters!$A:$K,11,FALSE)</f>
        <v>attack</v>
      </c>
      <c r="K197" s="7" t="str">
        <f>VLOOKUP(E197,[1]characters!$A:$M,13,FALSE)</f>
        <v>dragon</v>
      </c>
      <c r="L197" s="7" t="str">
        <f>VLOOKUP(E197,[1]characters!$A:$G,7,FALSE)</f>
        <v>不明</v>
      </c>
      <c r="M197" s="62">
        <f ca="1">IFERROR(VLOOKUP(E197,input_313100!L:R,7,FALSE),VLOOKUP(tables_313100!B197,input_313100!A:H,8,FALSE))</f>
        <v>5994</v>
      </c>
      <c r="N197" s="63">
        <f t="shared" ca="1" si="16"/>
        <v>2.1428571428571427E-4</v>
      </c>
      <c r="O197" s="31">
        <f>IFERROR(VLOOKUP($E197,bug_conf_sheet!$A:$H,3,FALSE),VLOOKUP("other",bug_conf_sheet!$A:$H,3,FALSE))</f>
        <v>1</v>
      </c>
      <c r="P197" s="31">
        <f>IFERROR(VLOOKUP($E197,bug_conf_sheet!$A:$H,4,FALSE),VLOOKUP("other",bug_conf_sheet!$A:$H,4,FALSE))</f>
        <v>0</v>
      </c>
      <c r="Q197" s="31">
        <f>IFERROR(VLOOKUP($E197,bug_conf_sheet!$A:$H,5,FALSE),VLOOKUP("other",bug_conf_sheet!$A:$H,5,FALSE))</f>
        <v>0</v>
      </c>
      <c r="R197" s="31">
        <f>IFERROR(VLOOKUP($E197,bug_conf_sheet!$A:$H,6,FALSE),VLOOKUP("other",bug_conf_sheet!$A:$H,6,FALSE))</f>
        <v>0</v>
      </c>
      <c r="S197" s="31">
        <f>IFERROR(VLOOKUP($E197,bug_conf_sheet!$A:$H,7,FALSE),VLOOKUP("other",bug_conf_sheet!$A:$H,7,FALSE))</f>
        <v>0</v>
      </c>
      <c r="T197" s="31">
        <f>IFERROR(VLOOKUP($E197,bug_conf_sheet!$A:$H,8,FALSE),VLOOKUP("other",bug_conf_sheet!$A:$H,8,FALSE))</f>
        <v>1</v>
      </c>
    </row>
    <row r="198" spans="1:20" ht="21" customHeight="1">
      <c r="A198" s="2" t="str">
        <f ca="1">input_313100!A$2</f>
        <v>313100</v>
      </c>
      <c r="B198" s="7" t="str">
        <f t="shared" si="13"/>
        <v>Premium3</v>
      </c>
      <c r="C198" s="7" t="str">
        <f t="shared" si="14"/>
        <v>Premium</v>
      </c>
      <c r="D198" s="7" t="str">
        <f t="shared" si="15"/>
        <v>bg</v>
      </c>
      <c r="E198" s="6">
        <v>476</v>
      </c>
      <c r="F198" s="7" t="str">
        <f>VLOOKUP(E198,[1]characters!$A:$C,3,FALSE)</f>
        <v>ファータ</v>
      </c>
      <c r="G198" s="7" t="str">
        <f>VLOOKUP(E198,[1]characters!$A:$J,10,FALSE)</f>
        <v>PremiumS</v>
      </c>
      <c r="H198" s="7">
        <f>VLOOKUP(E198,[1]characters!$A:$I,9,FALSE)</f>
        <v>3</v>
      </c>
      <c r="I198" s="7" t="str">
        <f>VLOOKUP(E198,[1]characters!$A:$H,8,FALSE)</f>
        <v>green</v>
      </c>
      <c r="J198" s="7" t="str">
        <f>VLOOKUP(E198,[1]characters!$A:$K,11,FALSE)</f>
        <v>heal</v>
      </c>
      <c r="K198" s="7" t="str">
        <f>VLOOKUP(E198,[1]characters!$A:$M,13,FALSE)</f>
        <v>unknown</v>
      </c>
      <c r="L198" s="7" t="str">
        <f>VLOOKUP(E198,[1]characters!$A:$G,7,FALSE)</f>
        <v>女性</v>
      </c>
      <c r="M198" s="62">
        <f ca="1">IFERROR(VLOOKUP(E198,input_313100!L:R,7,FALSE),VLOOKUP(tables_313100!B198,input_313100!A:H,8,FALSE))</f>
        <v>0</v>
      </c>
      <c r="N198" s="63">
        <f t="shared" ca="1" si="16"/>
        <v>0</v>
      </c>
      <c r="O198" s="31">
        <f>IFERROR(VLOOKUP($E198,bug_conf_sheet!$A:$H,3,FALSE),VLOOKUP("other",bug_conf_sheet!$A:$H,3,FALSE))</f>
        <v>1</v>
      </c>
      <c r="P198" s="31">
        <f>IFERROR(VLOOKUP($E198,bug_conf_sheet!$A:$H,4,FALSE),VLOOKUP("other",bug_conf_sheet!$A:$H,4,FALSE))</f>
        <v>0</v>
      </c>
      <c r="Q198" s="31">
        <f>IFERROR(VLOOKUP($E198,bug_conf_sheet!$A:$H,5,FALSE),VLOOKUP("other",bug_conf_sheet!$A:$H,5,FALSE))</f>
        <v>0</v>
      </c>
      <c r="R198" s="31">
        <f>IFERROR(VLOOKUP($E198,bug_conf_sheet!$A:$H,6,FALSE),VLOOKUP("other",bug_conf_sheet!$A:$H,6,FALSE))</f>
        <v>0</v>
      </c>
      <c r="S198" s="31">
        <f>IFERROR(VLOOKUP($E198,bug_conf_sheet!$A:$H,7,FALSE),VLOOKUP("other",bug_conf_sheet!$A:$H,7,FALSE))</f>
        <v>0</v>
      </c>
      <c r="T198" s="31">
        <f>IFERROR(VLOOKUP($E198,bug_conf_sheet!$A:$H,8,FALSE),VLOOKUP("other",bug_conf_sheet!$A:$H,8,FALSE))</f>
        <v>1</v>
      </c>
    </row>
    <row r="199" spans="1:20" ht="21" customHeight="1">
      <c r="A199" s="2" t="str">
        <f ca="1">input_313100!A$2</f>
        <v>313100</v>
      </c>
      <c r="B199" s="7" t="str">
        <f t="shared" si="13"/>
        <v>Premium4</v>
      </c>
      <c r="C199" s="7" t="str">
        <f t="shared" si="14"/>
        <v>Premium</v>
      </c>
      <c r="D199" s="7" t="str">
        <f t="shared" si="15"/>
        <v>bg</v>
      </c>
      <c r="E199" s="6">
        <v>477</v>
      </c>
      <c r="F199" s="7" t="str">
        <f>VLOOKUP(E199,[1]characters!$A:$C,3,FALSE)</f>
        <v>愛羽妖精 ファータ</v>
      </c>
      <c r="G199" s="7" t="str">
        <f>VLOOKUP(E199,[1]characters!$A:$J,10,FALSE)</f>
        <v>PremiumS</v>
      </c>
      <c r="H199" s="7">
        <f>VLOOKUP(E199,[1]characters!$A:$I,9,FALSE)</f>
        <v>4</v>
      </c>
      <c r="I199" s="7" t="str">
        <f>VLOOKUP(E199,[1]characters!$A:$H,8,FALSE)</f>
        <v>green</v>
      </c>
      <c r="J199" s="7" t="str">
        <f>VLOOKUP(E199,[1]characters!$A:$K,11,FALSE)</f>
        <v>heal</v>
      </c>
      <c r="K199" s="7" t="str">
        <f>VLOOKUP(E199,[1]characters!$A:$M,13,FALSE)</f>
        <v>unknown</v>
      </c>
      <c r="L199" s="7" t="str">
        <f>VLOOKUP(E199,[1]characters!$A:$G,7,FALSE)</f>
        <v>女性</v>
      </c>
      <c r="M199" s="62">
        <f ca="1">IFERROR(VLOOKUP(E199,input_313100!L:R,7,FALSE),VLOOKUP(tables_313100!B199,input_313100!A:H,8,FALSE))</f>
        <v>342090</v>
      </c>
      <c r="N199" s="63">
        <f t="shared" ca="1" si="16"/>
        <v>1.222972972972973E-2</v>
      </c>
      <c r="O199" s="31">
        <f>IFERROR(VLOOKUP($E199,bug_conf_sheet!$A:$H,3,FALSE),VLOOKUP("other",bug_conf_sheet!$A:$H,3,FALSE))</f>
        <v>1</v>
      </c>
      <c r="P199" s="31">
        <f>IFERROR(VLOOKUP($E199,bug_conf_sheet!$A:$H,4,FALSE),VLOOKUP("other",bug_conf_sheet!$A:$H,4,FALSE))</f>
        <v>0</v>
      </c>
      <c r="Q199" s="31">
        <f>IFERROR(VLOOKUP($E199,bug_conf_sheet!$A:$H,5,FALSE),VLOOKUP("other",bug_conf_sheet!$A:$H,5,FALSE))</f>
        <v>0</v>
      </c>
      <c r="R199" s="31">
        <f>IFERROR(VLOOKUP($E199,bug_conf_sheet!$A:$H,6,FALSE),VLOOKUP("other",bug_conf_sheet!$A:$H,6,FALSE))</f>
        <v>0</v>
      </c>
      <c r="S199" s="31">
        <f>IFERROR(VLOOKUP($E199,bug_conf_sheet!$A:$H,7,FALSE),VLOOKUP("other",bug_conf_sheet!$A:$H,7,FALSE))</f>
        <v>0</v>
      </c>
      <c r="T199" s="31">
        <f>IFERROR(VLOOKUP($E199,bug_conf_sheet!$A:$H,8,FALSE),VLOOKUP("other",bug_conf_sheet!$A:$H,8,FALSE))</f>
        <v>1</v>
      </c>
    </row>
    <row r="200" spans="1:20" ht="21" customHeight="1">
      <c r="A200" s="2" t="str">
        <f ca="1">input_313100!A$2</f>
        <v>313100</v>
      </c>
      <c r="B200" s="7" t="str">
        <f t="shared" si="13"/>
        <v>Premium5</v>
      </c>
      <c r="C200" s="7" t="str">
        <f t="shared" si="14"/>
        <v>Premium</v>
      </c>
      <c r="D200" s="7" t="str">
        <f t="shared" si="15"/>
        <v>bg</v>
      </c>
      <c r="E200" s="6">
        <v>478</v>
      </c>
      <c r="F200" s="7" t="str">
        <f>VLOOKUP(E200,[1]characters!$A:$C,3,FALSE)</f>
        <v>時計仕掛けの愛羽妖精 ファータ</v>
      </c>
      <c r="G200" s="7" t="str">
        <f>VLOOKUP(E200,[1]characters!$A:$J,10,FALSE)</f>
        <v>PremiumS</v>
      </c>
      <c r="H200" s="7">
        <f>VLOOKUP(E200,[1]characters!$A:$I,9,FALSE)</f>
        <v>5</v>
      </c>
      <c r="I200" s="7" t="str">
        <f>VLOOKUP(E200,[1]characters!$A:$H,8,FALSE)</f>
        <v>green</v>
      </c>
      <c r="J200" s="7" t="str">
        <f>VLOOKUP(E200,[1]characters!$A:$K,11,FALSE)</f>
        <v>heal</v>
      </c>
      <c r="K200" s="7" t="str">
        <f>VLOOKUP(E200,[1]characters!$A:$M,13,FALSE)</f>
        <v>unknown</v>
      </c>
      <c r="L200" s="7" t="str">
        <f>VLOOKUP(E200,[1]characters!$A:$G,7,FALSE)</f>
        <v>女性</v>
      </c>
      <c r="M200" s="62">
        <f ca="1">IFERROR(VLOOKUP(E200,input_313100!L:R,7,FALSE),VLOOKUP(tables_313100!B200,input_313100!A:H,8,FALSE))</f>
        <v>12950</v>
      </c>
      <c r="N200" s="63">
        <f t="shared" ca="1" si="16"/>
        <v>4.6296296296296298E-4</v>
      </c>
      <c r="O200" s="31">
        <f>IFERROR(VLOOKUP($E200,bug_conf_sheet!$A:$H,3,FALSE),VLOOKUP("other",bug_conf_sheet!$A:$H,3,FALSE))</f>
        <v>1</v>
      </c>
      <c r="P200" s="31">
        <f>IFERROR(VLOOKUP($E200,bug_conf_sheet!$A:$H,4,FALSE),VLOOKUP("other",bug_conf_sheet!$A:$H,4,FALSE))</f>
        <v>0</v>
      </c>
      <c r="Q200" s="31">
        <f>IFERROR(VLOOKUP($E200,bug_conf_sheet!$A:$H,5,FALSE),VLOOKUP("other",bug_conf_sheet!$A:$H,5,FALSE))</f>
        <v>0</v>
      </c>
      <c r="R200" s="31">
        <f>IFERROR(VLOOKUP($E200,bug_conf_sheet!$A:$H,6,FALSE),VLOOKUP("other",bug_conf_sheet!$A:$H,6,FALSE))</f>
        <v>0</v>
      </c>
      <c r="S200" s="31">
        <f>IFERROR(VLOOKUP($E200,bug_conf_sheet!$A:$H,7,FALSE),VLOOKUP("other",bug_conf_sheet!$A:$H,7,FALSE))</f>
        <v>0</v>
      </c>
      <c r="T200" s="31">
        <f>IFERROR(VLOOKUP($E200,bug_conf_sheet!$A:$H,8,FALSE),VLOOKUP("other",bug_conf_sheet!$A:$H,8,FALSE))</f>
        <v>1</v>
      </c>
    </row>
    <row r="201" spans="1:20" ht="21" customHeight="1">
      <c r="A201" s="2" t="str">
        <f ca="1">input_313100!A$2</f>
        <v>313100</v>
      </c>
      <c r="B201" s="7" t="str">
        <f t="shared" si="13"/>
        <v>PremiumSSbg4</v>
      </c>
      <c r="C201" s="7" t="str">
        <f t="shared" si="14"/>
        <v>PremiumSS</v>
      </c>
      <c r="D201" s="7" t="str">
        <f t="shared" si="15"/>
        <v>bg</v>
      </c>
      <c r="E201" s="6">
        <v>479</v>
      </c>
      <c r="F201" s="7" t="str">
        <f>VLOOKUP(E201,[1]characters!$A:$C,3,FALSE)</f>
        <v>フール</v>
      </c>
      <c r="G201" s="7" t="str">
        <f>VLOOKUP(E201,[1]characters!$A:$J,10,FALSE)</f>
        <v>PremiumSS</v>
      </c>
      <c r="H201" s="7">
        <f>VLOOKUP(E201,[1]characters!$A:$I,9,FALSE)</f>
        <v>4</v>
      </c>
      <c r="I201" s="7" t="str">
        <f>VLOOKUP(E201,[1]characters!$A:$H,8,FALSE)</f>
        <v>blue</v>
      </c>
      <c r="J201" s="7" t="str">
        <f>VLOOKUP(E201,[1]characters!$A:$K,11,FALSE)</f>
        <v>technical</v>
      </c>
      <c r="K201" s="7" t="str">
        <f>VLOOKUP(E201,[1]characters!$A:$M,13,FALSE)</f>
        <v>god</v>
      </c>
      <c r="L201" s="7" t="str">
        <f>VLOOKUP(E201,[1]characters!$A:$G,7,FALSE)</f>
        <v>男性</v>
      </c>
      <c r="M201" s="62">
        <f ca="1">IFERROR(VLOOKUP(E201,input_313100!L:R,7,FALSE),VLOOKUP(tables_313100!B201,input_313100!A:H,8,FALSE))</f>
        <v>41958</v>
      </c>
      <c r="N201" s="63">
        <f t="shared" ca="1" si="16"/>
        <v>1.5E-3</v>
      </c>
      <c r="O201" s="31">
        <f>IFERROR(VLOOKUP($E201,bug_conf_sheet!$A:$H,3,FALSE),VLOOKUP("other",bug_conf_sheet!$A:$H,3,FALSE))</f>
        <v>1</v>
      </c>
      <c r="P201" s="31">
        <f>IFERROR(VLOOKUP($E201,bug_conf_sheet!$A:$H,4,FALSE),VLOOKUP("other",bug_conf_sheet!$A:$H,4,FALSE))</f>
        <v>0</v>
      </c>
      <c r="Q201" s="31">
        <f>IFERROR(VLOOKUP($E201,bug_conf_sheet!$A:$H,5,FALSE),VLOOKUP("other",bug_conf_sheet!$A:$H,5,FALSE))</f>
        <v>0</v>
      </c>
      <c r="R201" s="31">
        <f>IFERROR(VLOOKUP($E201,bug_conf_sheet!$A:$H,6,FALSE),VLOOKUP("other",bug_conf_sheet!$A:$H,6,FALSE))</f>
        <v>0</v>
      </c>
      <c r="S201" s="31">
        <f>IFERROR(VLOOKUP($E201,bug_conf_sheet!$A:$H,7,FALSE),VLOOKUP("other",bug_conf_sheet!$A:$H,7,FALSE))</f>
        <v>0</v>
      </c>
      <c r="T201" s="31">
        <f>IFERROR(VLOOKUP($E201,bug_conf_sheet!$A:$H,8,FALSE),VLOOKUP("other",bug_conf_sheet!$A:$H,8,FALSE))</f>
        <v>1</v>
      </c>
    </row>
    <row r="202" spans="1:20" ht="21" customHeight="1">
      <c r="A202" s="2" t="str">
        <f ca="1">input_313100!A$2</f>
        <v>313100</v>
      </c>
      <c r="B202" s="7" t="str">
        <f t="shared" si="13"/>
        <v>PremiumSSbg5</v>
      </c>
      <c r="C202" s="7" t="str">
        <f t="shared" si="14"/>
        <v>PremiumSS</v>
      </c>
      <c r="D202" s="7" t="str">
        <f t="shared" si="15"/>
        <v>bg</v>
      </c>
      <c r="E202" s="6">
        <v>480</v>
      </c>
      <c r="F202" s="7" t="str">
        <f>VLOOKUP(E202,[1]characters!$A:$C,3,FALSE)</f>
        <v>夢幻の愚者フール</v>
      </c>
      <c r="G202" s="7" t="str">
        <f>VLOOKUP(E202,[1]characters!$A:$J,10,FALSE)</f>
        <v>PremiumSS</v>
      </c>
      <c r="H202" s="7">
        <f>VLOOKUP(E202,[1]characters!$A:$I,9,FALSE)</f>
        <v>5</v>
      </c>
      <c r="I202" s="7" t="str">
        <f>VLOOKUP(E202,[1]characters!$A:$H,8,FALSE)</f>
        <v>blue</v>
      </c>
      <c r="J202" s="7" t="str">
        <f>VLOOKUP(E202,[1]characters!$A:$K,11,FALSE)</f>
        <v>technical</v>
      </c>
      <c r="K202" s="7" t="str">
        <f>VLOOKUP(E202,[1]characters!$A:$M,13,FALSE)</f>
        <v>god</v>
      </c>
      <c r="L202" s="7" t="str">
        <f>VLOOKUP(E202,[1]characters!$A:$G,7,FALSE)</f>
        <v>男性</v>
      </c>
      <c r="M202" s="62">
        <f ca="1">IFERROR(VLOOKUP(E202,input_313100!L:R,7,FALSE),VLOOKUP(tables_313100!B202,input_313100!A:H,8,FALSE))</f>
        <v>4662</v>
      </c>
      <c r="N202" s="63">
        <f t="shared" ca="1" si="16"/>
        <v>1.6666666666666666E-4</v>
      </c>
      <c r="O202" s="31">
        <f>IFERROR(VLOOKUP($E202,bug_conf_sheet!$A:$H,3,FALSE),VLOOKUP("other",bug_conf_sheet!$A:$H,3,FALSE))</f>
        <v>1</v>
      </c>
      <c r="P202" s="31">
        <f>IFERROR(VLOOKUP($E202,bug_conf_sheet!$A:$H,4,FALSE),VLOOKUP("other",bug_conf_sheet!$A:$H,4,FALSE))</f>
        <v>0</v>
      </c>
      <c r="Q202" s="31">
        <f>IFERROR(VLOOKUP($E202,bug_conf_sheet!$A:$H,5,FALSE),VLOOKUP("other",bug_conf_sheet!$A:$H,5,FALSE))</f>
        <v>0</v>
      </c>
      <c r="R202" s="31">
        <f>IFERROR(VLOOKUP($E202,bug_conf_sheet!$A:$H,6,FALSE),VLOOKUP("other",bug_conf_sheet!$A:$H,6,FALSE))</f>
        <v>0</v>
      </c>
      <c r="S202" s="31">
        <f>IFERROR(VLOOKUP($E202,bug_conf_sheet!$A:$H,7,FALSE),VLOOKUP("other",bug_conf_sheet!$A:$H,7,FALSE))</f>
        <v>0</v>
      </c>
      <c r="T202" s="31">
        <f>IFERROR(VLOOKUP($E202,bug_conf_sheet!$A:$H,8,FALSE),VLOOKUP("other",bug_conf_sheet!$A:$H,8,FALSE))</f>
        <v>1</v>
      </c>
    </row>
    <row r="203" spans="1:20" ht="21" customHeight="1">
      <c r="A203" s="2" t="str">
        <f ca="1">input_313100!A$2</f>
        <v>313100</v>
      </c>
      <c r="B203" s="7" t="str">
        <f t="shared" si="13"/>
        <v>Premium3</v>
      </c>
      <c r="C203" s="7" t="str">
        <f t="shared" si="14"/>
        <v>Premium</v>
      </c>
      <c r="D203" s="7" t="str">
        <f t="shared" si="15"/>
        <v>ry</v>
      </c>
      <c r="E203" s="6">
        <v>481</v>
      </c>
      <c r="F203" s="7" t="str">
        <f>VLOOKUP(E203,[1]characters!$A:$C,3,FALSE)</f>
        <v>沢庵宗彭</v>
      </c>
      <c r="G203" s="7" t="str">
        <f>VLOOKUP(E203,[1]characters!$A:$J,10,FALSE)</f>
        <v>PremiumS</v>
      </c>
      <c r="H203" s="7">
        <f>VLOOKUP(E203,[1]characters!$A:$I,9,FALSE)</f>
        <v>3</v>
      </c>
      <c r="I203" s="7" t="str">
        <f>VLOOKUP(E203,[1]characters!$A:$H,8,FALSE)</f>
        <v>yellow</v>
      </c>
      <c r="J203" s="7" t="str">
        <f>VLOOKUP(E203,[1]characters!$A:$K,11,FALSE)</f>
        <v>hp</v>
      </c>
      <c r="K203" s="7" t="str">
        <f>VLOOKUP(E203,[1]characters!$A:$M,13,FALSE)</f>
        <v>human</v>
      </c>
      <c r="L203" s="7" t="str">
        <f>VLOOKUP(E203,[1]characters!$A:$G,7,FALSE)</f>
        <v>男性</v>
      </c>
      <c r="M203" s="62">
        <f ca="1">IFERROR(VLOOKUP(E203,input_313100!L:R,7,FALSE),VLOOKUP(tables_313100!B203,input_313100!A:H,8,FALSE))</f>
        <v>0</v>
      </c>
      <c r="N203" s="63">
        <f t="shared" ca="1" si="16"/>
        <v>0</v>
      </c>
      <c r="O203" s="31">
        <f>IFERROR(VLOOKUP($E203,bug_conf_sheet!$A:$H,3,FALSE),VLOOKUP("other",bug_conf_sheet!$A:$H,3,FALSE))</f>
        <v>1</v>
      </c>
      <c r="P203" s="31">
        <f>IFERROR(VLOOKUP($E203,bug_conf_sheet!$A:$H,4,FALSE),VLOOKUP("other",bug_conf_sheet!$A:$H,4,FALSE))</f>
        <v>0</v>
      </c>
      <c r="Q203" s="31">
        <f>IFERROR(VLOOKUP($E203,bug_conf_sheet!$A:$H,5,FALSE),VLOOKUP("other",bug_conf_sheet!$A:$H,5,FALSE))</f>
        <v>0</v>
      </c>
      <c r="R203" s="31">
        <f>IFERROR(VLOOKUP($E203,bug_conf_sheet!$A:$H,6,FALSE),VLOOKUP("other",bug_conf_sheet!$A:$H,6,FALSE))</f>
        <v>0</v>
      </c>
      <c r="S203" s="31">
        <f>IFERROR(VLOOKUP($E203,bug_conf_sheet!$A:$H,7,FALSE),VLOOKUP("other",bug_conf_sheet!$A:$H,7,FALSE))</f>
        <v>0</v>
      </c>
      <c r="T203" s="31">
        <f>IFERROR(VLOOKUP($E203,bug_conf_sheet!$A:$H,8,FALSE),VLOOKUP("other",bug_conf_sheet!$A:$H,8,FALSE))</f>
        <v>1</v>
      </c>
    </row>
    <row r="204" spans="1:20" ht="21" customHeight="1">
      <c r="A204" s="2" t="str">
        <f ca="1">input_313100!A$2</f>
        <v>313100</v>
      </c>
      <c r="B204" s="7" t="str">
        <f t="shared" si="13"/>
        <v>Premium4</v>
      </c>
      <c r="C204" s="7" t="str">
        <f t="shared" si="14"/>
        <v>Premium</v>
      </c>
      <c r="D204" s="7" t="str">
        <f t="shared" si="15"/>
        <v>ry</v>
      </c>
      <c r="E204" s="6">
        <v>482</v>
      </c>
      <c r="F204" s="7" t="str">
        <f>VLOOKUP(E204,[1]characters!$A:$C,3,FALSE)</f>
        <v>魁僧 沢庵宗彭</v>
      </c>
      <c r="G204" s="7" t="str">
        <f>VLOOKUP(E204,[1]characters!$A:$J,10,FALSE)</f>
        <v>PremiumS</v>
      </c>
      <c r="H204" s="7">
        <f>VLOOKUP(E204,[1]characters!$A:$I,9,FALSE)</f>
        <v>4</v>
      </c>
      <c r="I204" s="7" t="str">
        <f>VLOOKUP(E204,[1]characters!$A:$H,8,FALSE)</f>
        <v>yellow</v>
      </c>
      <c r="J204" s="7" t="str">
        <f>VLOOKUP(E204,[1]characters!$A:$K,11,FALSE)</f>
        <v>hp</v>
      </c>
      <c r="K204" s="7" t="str">
        <f>VLOOKUP(E204,[1]characters!$A:$M,13,FALSE)</f>
        <v>human</v>
      </c>
      <c r="L204" s="7" t="str">
        <f>VLOOKUP(E204,[1]characters!$A:$G,7,FALSE)</f>
        <v>男性</v>
      </c>
      <c r="M204" s="62">
        <f ca="1">IFERROR(VLOOKUP(E204,input_313100!L:R,7,FALSE),VLOOKUP(tables_313100!B204,input_313100!A:H,8,FALSE))</f>
        <v>342090</v>
      </c>
      <c r="N204" s="63">
        <f t="shared" ca="1" si="16"/>
        <v>1.222972972972973E-2</v>
      </c>
      <c r="O204" s="31">
        <f>IFERROR(VLOOKUP($E204,bug_conf_sheet!$A:$H,3,FALSE),VLOOKUP("other",bug_conf_sheet!$A:$H,3,FALSE))</f>
        <v>1</v>
      </c>
      <c r="P204" s="31">
        <f>IFERROR(VLOOKUP($E204,bug_conf_sheet!$A:$H,4,FALSE),VLOOKUP("other",bug_conf_sheet!$A:$H,4,FALSE))</f>
        <v>0</v>
      </c>
      <c r="Q204" s="31">
        <f>IFERROR(VLOOKUP($E204,bug_conf_sheet!$A:$H,5,FALSE),VLOOKUP("other",bug_conf_sheet!$A:$H,5,FALSE))</f>
        <v>0</v>
      </c>
      <c r="R204" s="31">
        <f>IFERROR(VLOOKUP($E204,bug_conf_sheet!$A:$H,6,FALSE),VLOOKUP("other",bug_conf_sheet!$A:$H,6,FALSE))</f>
        <v>0</v>
      </c>
      <c r="S204" s="31">
        <f>IFERROR(VLOOKUP($E204,bug_conf_sheet!$A:$H,7,FALSE),VLOOKUP("other",bug_conf_sheet!$A:$H,7,FALSE))</f>
        <v>0</v>
      </c>
      <c r="T204" s="31">
        <f>IFERROR(VLOOKUP($E204,bug_conf_sheet!$A:$H,8,FALSE),VLOOKUP("other",bug_conf_sheet!$A:$H,8,FALSE))</f>
        <v>1</v>
      </c>
    </row>
    <row r="205" spans="1:20" ht="21" customHeight="1">
      <c r="A205" s="2" t="str">
        <f ca="1">input_313100!A$2</f>
        <v>313100</v>
      </c>
      <c r="B205" s="7" t="str">
        <f t="shared" si="13"/>
        <v>Premium5</v>
      </c>
      <c r="C205" s="7" t="str">
        <f t="shared" si="14"/>
        <v>Premium</v>
      </c>
      <c r="D205" s="7" t="str">
        <f t="shared" si="15"/>
        <v>ry</v>
      </c>
      <c r="E205" s="6">
        <v>483</v>
      </c>
      <c r="F205" s="7" t="str">
        <f>VLOOKUP(E205,[1]characters!$A:$C,3,FALSE)</f>
        <v xml:space="preserve">命経死遂 沢庵宗彭 </v>
      </c>
      <c r="G205" s="7" t="str">
        <f>VLOOKUP(E205,[1]characters!$A:$J,10,FALSE)</f>
        <v>PremiumS</v>
      </c>
      <c r="H205" s="7">
        <f>VLOOKUP(E205,[1]characters!$A:$I,9,FALSE)</f>
        <v>5</v>
      </c>
      <c r="I205" s="7" t="str">
        <f>VLOOKUP(E205,[1]characters!$A:$H,8,FALSE)</f>
        <v>yellow</v>
      </c>
      <c r="J205" s="7" t="str">
        <f>VLOOKUP(E205,[1]characters!$A:$K,11,FALSE)</f>
        <v>hp</v>
      </c>
      <c r="K205" s="7" t="str">
        <f>VLOOKUP(E205,[1]characters!$A:$M,13,FALSE)</f>
        <v>human</v>
      </c>
      <c r="L205" s="7" t="str">
        <f>VLOOKUP(E205,[1]characters!$A:$G,7,FALSE)</f>
        <v>男性</v>
      </c>
      <c r="M205" s="62">
        <f ca="1">IFERROR(VLOOKUP(E205,input_313100!L:R,7,FALSE),VLOOKUP(tables_313100!B205,input_313100!A:H,8,FALSE))</f>
        <v>12950</v>
      </c>
      <c r="N205" s="63">
        <f t="shared" ca="1" si="16"/>
        <v>4.6296296296296298E-4</v>
      </c>
      <c r="O205" s="31">
        <f>IFERROR(VLOOKUP($E205,bug_conf_sheet!$A:$H,3,FALSE),VLOOKUP("other",bug_conf_sheet!$A:$H,3,FALSE))</f>
        <v>1</v>
      </c>
      <c r="P205" s="31">
        <f>IFERROR(VLOOKUP($E205,bug_conf_sheet!$A:$H,4,FALSE),VLOOKUP("other",bug_conf_sheet!$A:$H,4,FALSE))</f>
        <v>0</v>
      </c>
      <c r="Q205" s="31">
        <f>IFERROR(VLOOKUP($E205,bug_conf_sheet!$A:$H,5,FALSE),VLOOKUP("other",bug_conf_sheet!$A:$H,5,FALSE))</f>
        <v>0</v>
      </c>
      <c r="R205" s="31">
        <f>IFERROR(VLOOKUP($E205,bug_conf_sheet!$A:$H,6,FALSE),VLOOKUP("other",bug_conf_sheet!$A:$H,6,FALSE))</f>
        <v>0</v>
      </c>
      <c r="S205" s="31">
        <f>IFERROR(VLOOKUP($E205,bug_conf_sheet!$A:$H,7,FALSE),VLOOKUP("other",bug_conf_sheet!$A:$H,7,FALSE))</f>
        <v>0</v>
      </c>
      <c r="T205" s="31">
        <f>IFERROR(VLOOKUP($E205,bug_conf_sheet!$A:$H,8,FALSE),VLOOKUP("other",bug_conf_sheet!$A:$H,8,FALSE))</f>
        <v>1</v>
      </c>
    </row>
    <row r="206" spans="1:20" ht="21" customHeight="1">
      <c r="A206" s="2" t="str">
        <f ca="1">input_313100!A$2</f>
        <v>313100</v>
      </c>
      <c r="B206" s="7" t="str">
        <f t="shared" si="13"/>
        <v>PremiumSSry4</v>
      </c>
      <c r="C206" s="7" t="str">
        <f t="shared" si="14"/>
        <v>PremiumSS</v>
      </c>
      <c r="D206" s="7" t="str">
        <f t="shared" si="15"/>
        <v>ry</v>
      </c>
      <c r="E206" s="6">
        <v>492</v>
      </c>
      <c r="F206" s="7" t="str">
        <f>VLOOKUP(E206,[1]characters!$A:$C,3,FALSE)</f>
        <v>ブートレグ・ペロー</v>
      </c>
      <c r="G206" s="7" t="str">
        <f>VLOOKUP(E206,[1]characters!$A:$J,10,FALSE)</f>
        <v>PremiumSS</v>
      </c>
      <c r="H206" s="7">
        <f>VLOOKUP(E206,[1]characters!$A:$I,9,FALSE)</f>
        <v>4</v>
      </c>
      <c r="I206" s="7" t="str">
        <f>VLOOKUP(E206,[1]characters!$A:$H,8,FALSE)</f>
        <v>red</v>
      </c>
      <c r="J206" s="7" t="str">
        <f>VLOOKUP(E206,[1]characters!$A:$K,11,FALSE)</f>
        <v>hp</v>
      </c>
      <c r="K206" s="7" t="str">
        <f>VLOOKUP(E206,[1]characters!$A:$M,13,FALSE)</f>
        <v>animal</v>
      </c>
      <c r="L206" s="7" t="str">
        <f>VLOOKUP(E206,[1]characters!$A:$G,7,FALSE)</f>
        <v>不明</v>
      </c>
      <c r="M206" s="62">
        <f ca="1">IFERROR(VLOOKUP(E206,input_313100!L:R,7,FALSE),VLOOKUP(tables_313100!B206,input_313100!A:H,8,FALSE))</f>
        <v>53946</v>
      </c>
      <c r="N206" s="63">
        <f t="shared" ca="1" si="16"/>
        <v>1.9285714285714286E-3</v>
      </c>
      <c r="O206" s="31">
        <f>IFERROR(VLOOKUP($E206,bug_conf_sheet!$A:$H,3,FALSE),VLOOKUP("other",bug_conf_sheet!$A:$H,3,FALSE))</f>
        <v>1</v>
      </c>
      <c r="P206" s="31">
        <f>IFERROR(VLOOKUP($E206,bug_conf_sheet!$A:$H,4,FALSE),VLOOKUP("other",bug_conf_sheet!$A:$H,4,FALSE))</f>
        <v>0</v>
      </c>
      <c r="Q206" s="31">
        <f>IFERROR(VLOOKUP($E206,bug_conf_sheet!$A:$H,5,FALSE),VLOOKUP("other",bug_conf_sheet!$A:$H,5,FALSE))</f>
        <v>0</v>
      </c>
      <c r="R206" s="31">
        <f>IFERROR(VLOOKUP($E206,bug_conf_sheet!$A:$H,6,FALSE),VLOOKUP("other",bug_conf_sheet!$A:$H,6,FALSE))</f>
        <v>0</v>
      </c>
      <c r="S206" s="31">
        <f>IFERROR(VLOOKUP($E206,bug_conf_sheet!$A:$H,7,FALSE),VLOOKUP("other",bug_conf_sheet!$A:$H,7,FALSE))</f>
        <v>0</v>
      </c>
      <c r="T206" s="31">
        <f>IFERROR(VLOOKUP($E206,bug_conf_sheet!$A:$H,8,FALSE),VLOOKUP("other",bug_conf_sheet!$A:$H,8,FALSE))</f>
        <v>1</v>
      </c>
    </row>
    <row r="207" spans="1:20" ht="21" customHeight="1">
      <c r="A207" s="2" t="str">
        <f ca="1">input_313100!A$2</f>
        <v>313100</v>
      </c>
      <c r="B207" s="7" t="str">
        <f t="shared" si="13"/>
        <v>PremiumSSry5</v>
      </c>
      <c r="C207" s="7" t="str">
        <f t="shared" si="14"/>
        <v>PremiumSS</v>
      </c>
      <c r="D207" s="7" t="str">
        <f t="shared" si="15"/>
        <v>ry</v>
      </c>
      <c r="E207" s="6">
        <v>493</v>
      </c>
      <c r="F207" s="7" t="str">
        <f>VLOOKUP(E207,[1]characters!$A:$C,3,FALSE)</f>
        <v>跋扈の機脚 ブートレグ・ペロー</v>
      </c>
      <c r="G207" s="7" t="str">
        <f>VLOOKUP(E207,[1]characters!$A:$J,10,FALSE)</f>
        <v>PremiumSS</v>
      </c>
      <c r="H207" s="7">
        <f>VLOOKUP(E207,[1]characters!$A:$I,9,FALSE)</f>
        <v>5</v>
      </c>
      <c r="I207" s="7" t="str">
        <f>VLOOKUP(E207,[1]characters!$A:$H,8,FALSE)</f>
        <v>red</v>
      </c>
      <c r="J207" s="7" t="str">
        <f>VLOOKUP(E207,[1]characters!$A:$K,11,FALSE)</f>
        <v>hp</v>
      </c>
      <c r="K207" s="7" t="str">
        <f>VLOOKUP(E207,[1]characters!$A:$M,13,FALSE)</f>
        <v>animal</v>
      </c>
      <c r="L207" s="7" t="str">
        <f>VLOOKUP(E207,[1]characters!$A:$G,7,FALSE)</f>
        <v>不明</v>
      </c>
      <c r="M207" s="62">
        <f ca="1">IFERROR(VLOOKUP(E207,input_313100!L:R,7,FALSE),VLOOKUP(tables_313100!B207,input_313100!A:H,8,FALSE))</f>
        <v>5994</v>
      </c>
      <c r="N207" s="63">
        <f t="shared" ca="1" si="16"/>
        <v>2.1428571428571427E-4</v>
      </c>
      <c r="O207" s="31">
        <f>IFERROR(VLOOKUP($E207,bug_conf_sheet!$A:$H,3,FALSE),VLOOKUP("other",bug_conf_sheet!$A:$H,3,FALSE))</f>
        <v>1</v>
      </c>
      <c r="P207" s="31">
        <f>IFERROR(VLOOKUP($E207,bug_conf_sheet!$A:$H,4,FALSE),VLOOKUP("other",bug_conf_sheet!$A:$H,4,FALSE))</f>
        <v>0</v>
      </c>
      <c r="Q207" s="31">
        <f>IFERROR(VLOOKUP($E207,bug_conf_sheet!$A:$H,5,FALSE),VLOOKUP("other",bug_conf_sheet!$A:$H,5,FALSE))</f>
        <v>0</v>
      </c>
      <c r="R207" s="31">
        <f>IFERROR(VLOOKUP($E207,bug_conf_sheet!$A:$H,6,FALSE),VLOOKUP("other",bug_conf_sheet!$A:$H,6,FALSE))</f>
        <v>0</v>
      </c>
      <c r="S207" s="31">
        <f>IFERROR(VLOOKUP($E207,bug_conf_sheet!$A:$H,7,FALSE),VLOOKUP("other",bug_conf_sheet!$A:$H,7,FALSE))</f>
        <v>0</v>
      </c>
      <c r="T207" s="31">
        <f>IFERROR(VLOOKUP($E207,bug_conf_sheet!$A:$H,8,FALSE),VLOOKUP("other",bug_conf_sheet!$A:$H,8,FALSE))</f>
        <v>1</v>
      </c>
    </row>
    <row r="208" spans="1:20" ht="21" customHeight="1">
      <c r="A208" s="2" t="str">
        <f ca="1">input_313100!A$2</f>
        <v>313100</v>
      </c>
      <c r="B208" s="7" t="str">
        <f t="shared" si="13"/>
        <v>PremiumSSbg4</v>
      </c>
      <c r="C208" s="7" t="str">
        <f t="shared" si="14"/>
        <v>PremiumSS</v>
      </c>
      <c r="D208" s="7" t="str">
        <f t="shared" si="15"/>
        <v>bg</v>
      </c>
      <c r="E208" s="6">
        <v>494</v>
      </c>
      <c r="F208" s="7" t="str">
        <f>VLOOKUP(E208,[1]characters!$A:$C,3,FALSE)</f>
        <v>ハーメルン</v>
      </c>
      <c r="G208" s="7" t="str">
        <f>VLOOKUP(E208,[1]characters!$A:$J,10,FALSE)</f>
        <v>PremiumSS</v>
      </c>
      <c r="H208" s="7">
        <f>VLOOKUP(E208,[1]characters!$A:$I,9,FALSE)</f>
        <v>4</v>
      </c>
      <c r="I208" s="7" t="str">
        <f>VLOOKUP(E208,[1]characters!$A:$H,8,FALSE)</f>
        <v>green</v>
      </c>
      <c r="J208" s="7" t="str">
        <f>VLOOKUP(E208,[1]characters!$A:$K,11,FALSE)</f>
        <v>technical</v>
      </c>
      <c r="K208" s="7" t="str">
        <f>VLOOKUP(E208,[1]characters!$A:$M,13,FALSE)</f>
        <v>human</v>
      </c>
      <c r="L208" s="7" t="str">
        <f>VLOOKUP(E208,[1]characters!$A:$G,7,FALSE)</f>
        <v>男性</v>
      </c>
      <c r="M208" s="62">
        <f ca="1">IFERROR(VLOOKUP(E208,input_313100!L:R,7,FALSE),VLOOKUP(tables_313100!B208,input_313100!A:H,8,FALSE))</f>
        <v>41958</v>
      </c>
      <c r="N208" s="63">
        <f t="shared" ca="1" si="16"/>
        <v>1.5E-3</v>
      </c>
      <c r="O208" s="31">
        <f>IFERROR(VLOOKUP($E208,bug_conf_sheet!$A:$H,3,FALSE),VLOOKUP("other",bug_conf_sheet!$A:$H,3,FALSE))</f>
        <v>1</v>
      </c>
      <c r="P208" s="31">
        <f>IFERROR(VLOOKUP($E208,bug_conf_sheet!$A:$H,4,FALSE),VLOOKUP("other",bug_conf_sheet!$A:$H,4,FALSE))</f>
        <v>0</v>
      </c>
      <c r="Q208" s="31">
        <f>IFERROR(VLOOKUP($E208,bug_conf_sheet!$A:$H,5,FALSE),VLOOKUP("other",bug_conf_sheet!$A:$H,5,FALSE))</f>
        <v>0</v>
      </c>
      <c r="R208" s="31">
        <f>IFERROR(VLOOKUP($E208,bug_conf_sheet!$A:$H,6,FALSE),VLOOKUP("other",bug_conf_sheet!$A:$H,6,FALSE))</f>
        <v>0</v>
      </c>
      <c r="S208" s="31">
        <f>IFERROR(VLOOKUP($E208,bug_conf_sheet!$A:$H,7,FALSE),VLOOKUP("other",bug_conf_sheet!$A:$H,7,FALSE))</f>
        <v>0</v>
      </c>
      <c r="T208" s="31">
        <f>IFERROR(VLOOKUP($E208,bug_conf_sheet!$A:$H,8,FALSE),VLOOKUP("other",bug_conf_sheet!$A:$H,8,FALSE))</f>
        <v>1</v>
      </c>
    </row>
    <row r="209" spans="1:20" ht="21" customHeight="1">
      <c r="A209" s="2" t="str">
        <f ca="1">input_313100!A$2</f>
        <v>313100</v>
      </c>
      <c r="B209" s="7" t="str">
        <f t="shared" si="13"/>
        <v>PremiumSSbg5</v>
      </c>
      <c r="C209" s="7" t="str">
        <f t="shared" si="14"/>
        <v>PremiumSS</v>
      </c>
      <c r="D209" s="7" t="str">
        <f t="shared" si="15"/>
        <v>bg</v>
      </c>
      <c r="E209" s="6">
        <v>495</v>
      </c>
      <c r="F209" s="7" t="str">
        <f>VLOOKUP(E209,[1]characters!$A:$C,3,FALSE)</f>
        <v>鼠災呼ぶ笛音 ハーメルン</v>
      </c>
      <c r="G209" s="7" t="str">
        <f>VLOOKUP(E209,[1]characters!$A:$J,10,FALSE)</f>
        <v>PremiumSS</v>
      </c>
      <c r="H209" s="7">
        <f>VLOOKUP(E209,[1]characters!$A:$I,9,FALSE)</f>
        <v>5</v>
      </c>
      <c r="I209" s="7" t="str">
        <f>VLOOKUP(E209,[1]characters!$A:$H,8,FALSE)</f>
        <v>green</v>
      </c>
      <c r="J209" s="7" t="str">
        <f>VLOOKUP(E209,[1]characters!$A:$K,11,FALSE)</f>
        <v>technical</v>
      </c>
      <c r="K209" s="7" t="str">
        <f>VLOOKUP(E209,[1]characters!$A:$M,13,FALSE)</f>
        <v>human</v>
      </c>
      <c r="L209" s="7" t="str">
        <f>VLOOKUP(E209,[1]characters!$A:$G,7,FALSE)</f>
        <v>男性</v>
      </c>
      <c r="M209" s="62">
        <f ca="1">IFERROR(VLOOKUP(E209,input_313100!L:R,7,FALSE),VLOOKUP(tables_313100!B209,input_313100!A:H,8,FALSE))</f>
        <v>4662</v>
      </c>
      <c r="N209" s="63">
        <f t="shared" ca="1" si="16"/>
        <v>1.6666666666666666E-4</v>
      </c>
      <c r="O209" s="31">
        <f>IFERROR(VLOOKUP($E209,bug_conf_sheet!$A:$H,3,FALSE),VLOOKUP("other",bug_conf_sheet!$A:$H,3,FALSE))</f>
        <v>1</v>
      </c>
      <c r="P209" s="31">
        <f>IFERROR(VLOOKUP($E209,bug_conf_sheet!$A:$H,4,FALSE),VLOOKUP("other",bug_conf_sheet!$A:$H,4,FALSE))</f>
        <v>0</v>
      </c>
      <c r="Q209" s="31">
        <f>IFERROR(VLOOKUP($E209,bug_conf_sheet!$A:$H,5,FALSE),VLOOKUP("other",bug_conf_sheet!$A:$H,5,FALSE))</f>
        <v>0</v>
      </c>
      <c r="R209" s="31">
        <f>IFERROR(VLOOKUP($E209,bug_conf_sheet!$A:$H,6,FALSE),VLOOKUP("other",bug_conf_sheet!$A:$H,6,FALSE))</f>
        <v>0</v>
      </c>
      <c r="S209" s="31">
        <f>IFERROR(VLOOKUP($E209,bug_conf_sheet!$A:$H,7,FALSE),VLOOKUP("other",bug_conf_sheet!$A:$H,7,FALSE))</f>
        <v>0</v>
      </c>
      <c r="T209" s="31">
        <f>IFERROR(VLOOKUP($E209,bug_conf_sheet!$A:$H,8,FALSE),VLOOKUP("other",bug_conf_sheet!$A:$H,8,FALSE))</f>
        <v>1</v>
      </c>
    </row>
    <row r="210" spans="1:20" ht="21" customHeight="1">
      <c r="A210" s="2" t="str">
        <f ca="1">input_313100!A$2</f>
        <v>313100</v>
      </c>
      <c r="B210" s="7" t="str">
        <f t="shared" si="13"/>
        <v>Premium3</v>
      </c>
      <c r="C210" s="7" t="str">
        <f t="shared" si="14"/>
        <v>Premium</v>
      </c>
      <c r="D210" s="7" t="str">
        <f t="shared" si="15"/>
        <v>bg</v>
      </c>
      <c r="E210" s="6">
        <v>496</v>
      </c>
      <c r="F210" s="7" t="str">
        <f>VLOOKUP(E210,[1]characters!$A:$C,3,FALSE)</f>
        <v>エスタブ</v>
      </c>
      <c r="G210" s="7" t="str">
        <f>VLOOKUP(E210,[1]characters!$A:$J,10,FALSE)</f>
        <v>PremiumS</v>
      </c>
      <c r="H210" s="7">
        <f>VLOOKUP(E210,[1]characters!$A:$I,9,FALSE)</f>
        <v>3</v>
      </c>
      <c r="I210" s="7" t="str">
        <f>VLOOKUP(E210,[1]characters!$A:$H,8,FALSE)</f>
        <v>blue</v>
      </c>
      <c r="J210" s="7" t="str">
        <f>VLOOKUP(E210,[1]characters!$A:$K,11,FALSE)</f>
        <v>attack</v>
      </c>
      <c r="K210" s="7" t="str">
        <f>VLOOKUP(E210,[1]characters!$A:$M,13,FALSE)</f>
        <v>human</v>
      </c>
      <c r="L210" s="7" t="str">
        <f>VLOOKUP(E210,[1]characters!$A:$G,7,FALSE)</f>
        <v>男性</v>
      </c>
      <c r="M210" s="62">
        <f ca="1">IFERROR(VLOOKUP(E210,input_313100!L:R,7,FALSE),VLOOKUP(tables_313100!B210,input_313100!A:H,8,FALSE))</f>
        <v>0</v>
      </c>
      <c r="N210" s="63">
        <f t="shared" ca="1" si="16"/>
        <v>0</v>
      </c>
      <c r="O210" s="31">
        <f>IFERROR(VLOOKUP($E210,bug_conf_sheet!$A:$H,3,FALSE),VLOOKUP("other",bug_conf_sheet!$A:$H,3,FALSE))</f>
        <v>1</v>
      </c>
      <c r="P210" s="31">
        <f>IFERROR(VLOOKUP($E210,bug_conf_sheet!$A:$H,4,FALSE),VLOOKUP("other",bug_conf_sheet!$A:$H,4,FALSE))</f>
        <v>0</v>
      </c>
      <c r="Q210" s="31">
        <f>IFERROR(VLOOKUP($E210,bug_conf_sheet!$A:$H,5,FALSE),VLOOKUP("other",bug_conf_sheet!$A:$H,5,FALSE))</f>
        <v>0</v>
      </c>
      <c r="R210" s="31">
        <f>IFERROR(VLOOKUP($E210,bug_conf_sheet!$A:$H,6,FALSE),VLOOKUP("other",bug_conf_sheet!$A:$H,6,FALSE))</f>
        <v>0</v>
      </c>
      <c r="S210" s="31">
        <f>IFERROR(VLOOKUP($E210,bug_conf_sheet!$A:$H,7,FALSE),VLOOKUP("other",bug_conf_sheet!$A:$H,7,FALSE))</f>
        <v>0</v>
      </c>
      <c r="T210" s="31">
        <f>IFERROR(VLOOKUP($E210,bug_conf_sheet!$A:$H,8,FALSE),VLOOKUP("other",bug_conf_sheet!$A:$H,8,FALSE))</f>
        <v>1</v>
      </c>
    </row>
    <row r="211" spans="1:20" ht="21" customHeight="1">
      <c r="A211" s="2" t="str">
        <f ca="1">input_313100!A$2</f>
        <v>313100</v>
      </c>
      <c r="B211" s="7" t="str">
        <f t="shared" si="13"/>
        <v>Premium4</v>
      </c>
      <c r="C211" s="7" t="str">
        <f t="shared" si="14"/>
        <v>Premium</v>
      </c>
      <c r="D211" s="7" t="str">
        <f t="shared" si="15"/>
        <v>bg</v>
      </c>
      <c r="E211" s="6">
        <v>497</v>
      </c>
      <c r="F211" s="7" t="str">
        <f>VLOOKUP(E211,[1]characters!$A:$C,3,FALSE)</f>
        <v>偏愛の野獣 エスタブ</v>
      </c>
      <c r="G211" s="7" t="str">
        <f>VLOOKUP(E211,[1]characters!$A:$J,10,FALSE)</f>
        <v>PremiumS</v>
      </c>
      <c r="H211" s="7">
        <f>VLOOKUP(E211,[1]characters!$A:$I,9,FALSE)</f>
        <v>4</v>
      </c>
      <c r="I211" s="7" t="str">
        <f>VLOOKUP(E211,[1]characters!$A:$H,8,FALSE)</f>
        <v>blue</v>
      </c>
      <c r="J211" s="7" t="str">
        <f>VLOOKUP(E211,[1]characters!$A:$K,11,FALSE)</f>
        <v>attack</v>
      </c>
      <c r="K211" s="7" t="str">
        <f>VLOOKUP(E211,[1]characters!$A:$M,13,FALSE)</f>
        <v>human</v>
      </c>
      <c r="L211" s="7" t="str">
        <f>VLOOKUP(E211,[1]characters!$A:$G,7,FALSE)</f>
        <v>男性</v>
      </c>
      <c r="M211" s="62">
        <f ca="1">IFERROR(VLOOKUP(E211,input_313100!L:R,7,FALSE),VLOOKUP(tables_313100!B211,input_313100!A:H,8,FALSE))</f>
        <v>342090</v>
      </c>
      <c r="N211" s="63">
        <f t="shared" ca="1" si="16"/>
        <v>1.222972972972973E-2</v>
      </c>
      <c r="O211" s="31">
        <f>IFERROR(VLOOKUP($E211,bug_conf_sheet!$A:$H,3,FALSE),VLOOKUP("other",bug_conf_sheet!$A:$H,3,FALSE))</f>
        <v>1</v>
      </c>
      <c r="P211" s="31">
        <f>IFERROR(VLOOKUP($E211,bug_conf_sheet!$A:$H,4,FALSE),VLOOKUP("other",bug_conf_sheet!$A:$H,4,FALSE))</f>
        <v>0</v>
      </c>
      <c r="Q211" s="31">
        <f>IFERROR(VLOOKUP($E211,bug_conf_sheet!$A:$H,5,FALSE),VLOOKUP("other",bug_conf_sheet!$A:$H,5,FALSE))</f>
        <v>0</v>
      </c>
      <c r="R211" s="31">
        <f>IFERROR(VLOOKUP($E211,bug_conf_sheet!$A:$H,6,FALSE),VLOOKUP("other",bug_conf_sheet!$A:$H,6,FALSE))</f>
        <v>0</v>
      </c>
      <c r="S211" s="31">
        <f>IFERROR(VLOOKUP($E211,bug_conf_sheet!$A:$H,7,FALSE),VLOOKUP("other",bug_conf_sheet!$A:$H,7,FALSE))</f>
        <v>0</v>
      </c>
      <c r="T211" s="31">
        <f>IFERROR(VLOOKUP($E211,bug_conf_sheet!$A:$H,8,FALSE),VLOOKUP("other",bug_conf_sheet!$A:$H,8,FALSE))</f>
        <v>1</v>
      </c>
    </row>
    <row r="212" spans="1:20" ht="21" customHeight="1">
      <c r="A212" s="2" t="str">
        <f ca="1">input_313100!A$2</f>
        <v>313100</v>
      </c>
      <c r="B212" s="7" t="str">
        <f t="shared" si="13"/>
        <v>Premium5</v>
      </c>
      <c r="C212" s="7" t="str">
        <f t="shared" si="14"/>
        <v>Premium</v>
      </c>
      <c r="D212" s="7" t="str">
        <f t="shared" si="15"/>
        <v>bg</v>
      </c>
      <c r="E212" s="6">
        <v>498</v>
      </c>
      <c r="F212" s="7" t="str">
        <f>VLOOKUP(E212,[1]characters!$A:$C,3,FALSE)</f>
        <v>自愛の高魔 エスタブ</v>
      </c>
      <c r="G212" s="7" t="str">
        <f>VLOOKUP(E212,[1]characters!$A:$J,10,FALSE)</f>
        <v>PremiumS</v>
      </c>
      <c r="H212" s="7">
        <f>VLOOKUP(E212,[1]characters!$A:$I,9,FALSE)</f>
        <v>5</v>
      </c>
      <c r="I212" s="7" t="str">
        <f>VLOOKUP(E212,[1]characters!$A:$H,8,FALSE)</f>
        <v>blue</v>
      </c>
      <c r="J212" s="7" t="str">
        <f>VLOOKUP(E212,[1]characters!$A:$K,11,FALSE)</f>
        <v>attack</v>
      </c>
      <c r="K212" s="7" t="str">
        <f>VLOOKUP(E212,[1]characters!$A:$M,13,FALSE)</f>
        <v>human</v>
      </c>
      <c r="L212" s="7" t="str">
        <f>VLOOKUP(E212,[1]characters!$A:$G,7,FALSE)</f>
        <v>男性</v>
      </c>
      <c r="M212" s="62">
        <f ca="1">IFERROR(VLOOKUP(E212,input_313100!L:R,7,FALSE),VLOOKUP(tables_313100!B212,input_313100!A:H,8,FALSE))</f>
        <v>12950</v>
      </c>
      <c r="N212" s="63">
        <f t="shared" ca="1" si="16"/>
        <v>4.6296296296296298E-4</v>
      </c>
      <c r="O212" s="31">
        <f>IFERROR(VLOOKUP($E212,bug_conf_sheet!$A:$H,3,FALSE),VLOOKUP("other",bug_conf_sheet!$A:$H,3,FALSE))</f>
        <v>1</v>
      </c>
      <c r="P212" s="31">
        <f>IFERROR(VLOOKUP($E212,bug_conf_sheet!$A:$H,4,FALSE),VLOOKUP("other",bug_conf_sheet!$A:$H,4,FALSE))</f>
        <v>0</v>
      </c>
      <c r="Q212" s="31">
        <f>IFERROR(VLOOKUP($E212,bug_conf_sheet!$A:$H,5,FALSE),VLOOKUP("other",bug_conf_sheet!$A:$H,5,FALSE))</f>
        <v>0</v>
      </c>
      <c r="R212" s="31">
        <f>IFERROR(VLOOKUP($E212,bug_conf_sheet!$A:$H,6,FALSE),VLOOKUP("other",bug_conf_sheet!$A:$H,6,FALSE))</f>
        <v>0</v>
      </c>
      <c r="S212" s="31">
        <f>IFERROR(VLOOKUP($E212,bug_conf_sheet!$A:$H,7,FALSE),VLOOKUP("other",bug_conf_sheet!$A:$H,7,FALSE))</f>
        <v>0</v>
      </c>
      <c r="T212" s="31">
        <f>IFERROR(VLOOKUP($E212,bug_conf_sheet!$A:$H,8,FALSE),VLOOKUP("other",bug_conf_sheet!$A:$H,8,FALSE))</f>
        <v>1</v>
      </c>
    </row>
    <row r="213" spans="1:20" ht="21" customHeight="1">
      <c r="A213" s="2" t="str">
        <f ca="1">input_313100!A$2</f>
        <v>313100</v>
      </c>
      <c r="B213" s="7" t="str">
        <f t="shared" si="13"/>
        <v>PremiumSSry4</v>
      </c>
      <c r="C213" s="7" t="str">
        <f t="shared" si="14"/>
        <v>PremiumSS</v>
      </c>
      <c r="D213" s="7" t="str">
        <f t="shared" si="15"/>
        <v>ry</v>
      </c>
      <c r="E213" s="6">
        <v>499</v>
      </c>
      <c r="F213" s="7" t="str">
        <f>VLOOKUP(E213,[1]characters!$A:$C,3,FALSE)</f>
        <v>ラプンツェル</v>
      </c>
      <c r="G213" s="7" t="str">
        <f>VLOOKUP(E213,[1]characters!$A:$J,10,FALSE)</f>
        <v>PremiumSS</v>
      </c>
      <c r="H213" s="7">
        <f>VLOOKUP(E213,[1]characters!$A:$I,9,FALSE)</f>
        <v>4</v>
      </c>
      <c r="I213" s="7" t="str">
        <f>VLOOKUP(E213,[1]characters!$A:$H,8,FALSE)</f>
        <v>yellow</v>
      </c>
      <c r="J213" s="7" t="str">
        <f>VLOOKUP(E213,[1]characters!$A:$K,11,FALSE)</f>
        <v>balance</v>
      </c>
      <c r="K213" s="7" t="str">
        <f>VLOOKUP(E213,[1]characters!$A:$M,13,FALSE)</f>
        <v>human</v>
      </c>
      <c r="L213" s="7" t="str">
        <f>VLOOKUP(E213,[1]characters!$A:$G,7,FALSE)</f>
        <v>女性</v>
      </c>
      <c r="M213" s="62">
        <f ca="1">IFERROR(VLOOKUP(E213,input_313100!L:R,7,FALSE),VLOOKUP(tables_313100!B213,input_313100!A:H,8,FALSE))</f>
        <v>53946</v>
      </c>
      <c r="N213" s="63">
        <f t="shared" ca="1" si="16"/>
        <v>1.9285714285714286E-3</v>
      </c>
      <c r="O213" s="31">
        <f>IFERROR(VLOOKUP($E213,bug_conf_sheet!$A:$H,3,FALSE),VLOOKUP("other",bug_conf_sheet!$A:$H,3,FALSE))</f>
        <v>1</v>
      </c>
      <c r="P213" s="31">
        <f>IFERROR(VLOOKUP($E213,bug_conf_sheet!$A:$H,4,FALSE),VLOOKUP("other",bug_conf_sheet!$A:$H,4,FALSE))</f>
        <v>0</v>
      </c>
      <c r="Q213" s="31">
        <f>IFERROR(VLOOKUP($E213,bug_conf_sheet!$A:$H,5,FALSE),VLOOKUP("other",bug_conf_sheet!$A:$H,5,FALSE))</f>
        <v>0</v>
      </c>
      <c r="R213" s="31">
        <f>IFERROR(VLOOKUP($E213,bug_conf_sheet!$A:$H,6,FALSE),VLOOKUP("other",bug_conf_sheet!$A:$H,6,FALSE))</f>
        <v>0</v>
      </c>
      <c r="S213" s="31">
        <f>IFERROR(VLOOKUP($E213,bug_conf_sheet!$A:$H,7,FALSE),VLOOKUP("other",bug_conf_sheet!$A:$H,7,FALSE))</f>
        <v>0</v>
      </c>
      <c r="T213" s="31">
        <f>IFERROR(VLOOKUP($E213,bug_conf_sheet!$A:$H,8,FALSE),VLOOKUP("other",bug_conf_sheet!$A:$H,8,FALSE))</f>
        <v>1</v>
      </c>
    </row>
    <row r="214" spans="1:20" ht="21" customHeight="1">
      <c r="A214" s="2" t="str">
        <f ca="1">input_313100!A$2</f>
        <v>313100</v>
      </c>
      <c r="B214" s="7" t="str">
        <f t="shared" si="13"/>
        <v>PremiumSSry5</v>
      </c>
      <c r="C214" s="7" t="str">
        <f t="shared" si="14"/>
        <v>PremiumSS</v>
      </c>
      <c r="D214" s="7" t="str">
        <f t="shared" si="15"/>
        <v>ry</v>
      </c>
      <c r="E214" s="6">
        <v>500</v>
      </c>
      <c r="F214" s="7" t="str">
        <f>VLOOKUP(E214,[1]characters!$A:$C,3,FALSE)</f>
        <v>脈動の禁髪 ラプンツェル</v>
      </c>
      <c r="G214" s="7" t="str">
        <f>VLOOKUP(E214,[1]characters!$A:$J,10,FALSE)</f>
        <v>PremiumSS</v>
      </c>
      <c r="H214" s="7">
        <f>VLOOKUP(E214,[1]characters!$A:$I,9,FALSE)</f>
        <v>5</v>
      </c>
      <c r="I214" s="7" t="str">
        <f>VLOOKUP(E214,[1]characters!$A:$H,8,FALSE)</f>
        <v>yellow</v>
      </c>
      <c r="J214" s="7" t="str">
        <f>VLOOKUP(E214,[1]characters!$A:$K,11,FALSE)</f>
        <v>balance</v>
      </c>
      <c r="K214" s="7" t="str">
        <f>VLOOKUP(E214,[1]characters!$A:$M,13,FALSE)</f>
        <v>human</v>
      </c>
      <c r="L214" s="7" t="str">
        <f>VLOOKUP(E214,[1]characters!$A:$G,7,FALSE)</f>
        <v>女性</v>
      </c>
      <c r="M214" s="62">
        <f ca="1">IFERROR(VLOOKUP(E214,input_313100!L:R,7,FALSE),VLOOKUP(tables_313100!B214,input_313100!A:H,8,FALSE))</f>
        <v>5994</v>
      </c>
      <c r="N214" s="63">
        <f t="shared" ca="1" si="16"/>
        <v>2.1428571428571427E-4</v>
      </c>
      <c r="O214" s="31">
        <f>IFERROR(VLOOKUP($E214,bug_conf_sheet!$A:$H,3,FALSE),VLOOKUP("other",bug_conf_sheet!$A:$H,3,FALSE))</f>
        <v>1</v>
      </c>
      <c r="P214" s="31">
        <f>IFERROR(VLOOKUP($E214,bug_conf_sheet!$A:$H,4,FALSE),VLOOKUP("other",bug_conf_sheet!$A:$H,4,FALSE))</f>
        <v>0</v>
      </c>
      <c r="Q214" s="31">
        <f>IFERROR(VLOOKUP($E214,bug_conf_sheet!$A:$H,5,FALSE),VLOOKUP("other",bug_conf_sheet!$A:$H,5,FALSE))</f>
        <v>0</v>
      </c>
      <c r="R214" s="31">
        <f>IFERROR(VLOOKUP($E214,bug_conf_sheet!$A:$H,6,FALSE),VLOOKUP("other",bug_conf_sheet!$A:$H,6,FALSE))</f>
        <v>0</v>
      </c>
      <c r="S214" s="31">
        <f>IFERROR(VLOOKUP($E214,bug_conf_sheet!$A:$H,7,FALSE),VLOOKUP("other",bug_conf_sheet!$A:$H,7,FALSE))</f>
        <v>0</v>
      </c>
      <c r="T214" s="31">
        <f>IFERROR(VLOOKUP($E214,bug_conf_sheet!$A:$H,8,FALSE),VLOOKUP("other",bug_conf_sheet!$A:$H,8,FALSE))</f>
        <v>1</v>
      </c>
    </row>
    <row r="215" spans="1:20" ht="21" customHeight="1">
      <c r="A215" s="2" t="str">
        <f ca="1">input_313100!A$2</f>
        <v>313100</v>
      </c>
      <c r="B215" s="7" t="str">
        <f t="shared" si="13"/>
        <v>PremiumSSry4</v>
      </c>
      <c r="C215" s="7" t="str">
        <f t="shared" si="14"/>
        <v>PremiumSS</v>
      </c>
      <c r="D215" s="7" t="str">
        <f t="shared" si="15"/>
        <v>ry</v>
      </c>
      <c r="E215" s="6">
        <v>586</v>
      </c>
      <c r="F215" s="7" t="str">
        <f>VLOOKUP(E215,[1]characters!$A:$C,3,FALSE)</f>
        <v>ユミル</v>
      </c>
      <c r="G215" s="7" t="str">
        <f>VLOOKUP(E215,[1]characters!$A:$J,10,FALSE)</f>
        <v>PremiumSS</v>
      </c>
      <c r="H215" s="7">
        <f>VLOOKUP(E215,[1]characters!$A:$I,9,FALSE)</f>
        <v>4</v>
      </c>
      <c r="I215" s="7" t="str">
        <f>VLOOKUP(E215,[1]characters!$A:$H,8,FALSE)</f>
        <v>red</v>
      </c>
      <c r="J215" s="7" t="str">
        <f>VLOOKUP(E215,[1]characters!$A:$K,11,FALSE)</f>
        <v>hp</v>
      </c>
      <c r="K215" s="7" t="str">
        <f>VLOOKUP(E215,[1]characters!$A:$M,13,FALSE)</f>
        <v>machine</v>
      </c>
      <c r="L215" s="7" t="str">
        <f>VLOOKUP(E215,[1]characters!$A:$G,7,FALSE)</f>
        <v>不明</v>
      </c>
      <c r="M215" s="62">
        <f ca="1">IFERROR(VLOOKUP(E215,input_313100!L:R,7,FALSE),VLOOKUP(tables_313100!B215,input_313100!A:H,8,FALSE))</f>
        <v>53946</v>
      </c>
      <c r="N215" s="63">
        <f t="shared" ca="1" si="16"/>
        <v>1.9285714285714286E-3</v>
      </c>
      <c r="O215" s="31">
        <f>IFERROR(VLOOKUP($E215,bug_conf_sheet!$A:$H,3,FALSE),VLOOKUP("other",bug_conf_sheet!$A:$H,3,FALSE))</f>
        <v>1</v>
      </c>
      <c r="P215" s="31">
        <f>IFERROR(VLOOKUP($E215,bug_conf_sheet!$A:$H,4,FALSE),VLOOKUP("other",bug_conf_sheet!$A:$H,4,FALSE))</f>
        <v>0</v>
      </c>
      <c r="Q215" s="31">
        <f>IFERROR(VLOOKUP($E215,bug_conf_sheet!$A:$H,5,FALSE),VLOOKUP("other",bug_conf_sheet!$A:$H,5,FALSE))</f>
        <v>0</v>
      </c>
      <c r="R215" s="31">
        <f>IFERROR(VLOOKUP($E215,bug_conf_sheet!$A:$H,6,FALSE),VLOOKUP("other",bug_conf_sheet!$A:$H,6,FALSE))</f>
        <v>0</v>
      </c>
      <c r="S215" s="31">
        <f>IFERROR(VLOOKUP($E215,bug_conf_sheet!$A:$H,7,FALSE),VLOOKUP("other",bug_conf_sheet!$A:$H,7,FALSE))</f>
        <v>0</v>
      </c>
      <c r="T215" s="31">
        <f>IFERROR(VLOOKUP($E215,bug_conf_sheet!$A:$H,8,FALSE),VLOOKUP("other",bug_conf_sheet!$A:$H,8,FALSE))</f>
        <v>1</v>
      </c>
    </row>
    <row r="216" spans="1:20" ht="21" customHeight="1">
      <c r="A216" s="2" t="str">
        <f ca="1">input_313100!A$2</f>
        <v>313100</v>
      </c>
      <c r="B216" s="7" t="str">
        <f t="shared" si="13"/>
        <v>PremiumSSry5</v>
      </c>
      <c r="C216" s="7" t="str">
        <f t="shared" si="14"/>
        <v>PremiumSS</v>
      </c>
      <c r="D216" s="7" t="str">
        <f t="shared" si="15"/>
        <v>ry</v>
      </c>
      <c r="E216" s="6">
        <v>587</v>
      </c>
      <c r="F216" s="7" t="str">
        <f>VLOOKUP(E216,[1]characters!$A:$C,3,FALSE)</f>
        <v>原初の煉鋼巨刃 ユミル</v>
      </c>
      <c r="G216" s="7" t="str">
        <f>VLOOKUP(E216,[1]characters!$A:$J,10,FALSE)</f>
        <v>PremiumSS</v>
      </c>
      <c r="H216" s="7">
        <f>VLOOKUP(E216,[1]characters!$A:$I,9,FALSE)</f>
        <v>5</v>
      </c>
      <c r="I216" s="7" t="str">
        <f>VLOOKUP(E216,[1]characters!$A:$H,8,FALSE)</f>
        <v>red</v>
      </c>
      <c r="J216" s="7" t="str">
        <f>VLOOKUP(E216,[1]characters!$A:$K,11,FALSE)</f>
        <v>hp</v>
      </c>
      <c r="K216" s="7" t="str">
        <f>VLOOKUP(E216,[1]characters!$A:$M,13,FALSE)</f>
        <v>machine</v>
      </c>
      <c r="L216" s="7" t="str">
        <f>VLOOKUP(E216,[1]characters!$A:$G,7,FALSE)</f>
        <v>不明</v>
      </c>
      <c r="M216" s="62">
        <f ca="1">IFERROR(VLOOKUP(E216,input_313100!L:R,7,FALSE),VLOOKUP(tables_313100!B216,input_313100!A:H,8,FALSE))</f>
        <v>5994</v>
      </c>
      <c r="N216" s="63">
        <f t="shared" ca="1" si="16"/>
        <v>2.1428571428571427E-4</v>
      </c>
      <c r="O216" s="31">
        <f>IFERROR(VLOOKUP($E216,bug_conf_sheet!$A:$H,3,FALSE),VLOOKUP("other",bug_conf_sheet!$A:$H,3,FALSE))</f>
        <v>1</v>
      </c>
      <c r="P216" s="31">
        <f>IFERROR(VLOOKUP($E216,bug_conf_sheet!$A:$H,4,FALSE),VLOOKUP("other",bug_conf_sheet!$A:$H,4,FALSE))</f>
        <v>0</v>
      </c>
      <c r="Q216" s="31">
        <f>IFERROR(VLOOKUP($E216,bug_conf_sheet!$A:$H,5,FALSE),VLOOKUP("other",bug_conf_sheet!$A:$H,5,FALSE))</f>
        <v>0</v>
      </c>
      <c r="R216" s="31">
        <f>IFERROR(VLOOKUP($E216,bug_conf_sheet!$A:$H,6,FALSE),VLOOKUP("other",bug_conf_sheet!$A:$H,6,FALSE))</f>
        <v>0</v>
      </c>
      <c r="S216" s="31">
        <f>IFERROR(VLOOKUP($E216,bug_conf_sheet!$A:$H,7,FALSE),VLOOKUP("other",bug_conf_sheet!$A:$H,7,FALSE))</f>
        <v>0</v>
      </c>
      <c r="T216" s="31">
        <f>IFERROR(VLOOKUP($E216,bug_conf_sheet!$A:$H,8,FALSE),VLOOKUP("other",bug_conf_sheet!$A:$H,8,FALSE))</f>
        <v>1</v>
      </c>
    </row>
    <row r="217" spans="1:20" ht="21" customHeight="1">
      <c r="A217" s="2" t="str">
        <f ca="1">input_313100!A$2</f>
        <v>313100</v>
      </c>
      <c r="B217" s="7" t="str">
        <f t="shared" si="13"/>
        <v>Premium3</v>
      </c>
      <c r="C217" s="7" t="str">
        <f t="shared" si="14"/>
        <v>Premium</v>
      </c>
      <c r="D217" s="7" t="str">
        <f t="shared" si="15"/>
        <v>bg</v>
      </c>
      <c r="E217" s="6">
        <v>588</v>
      </c>
      <c r="F217" s="7" t="str">
        <f>VLOOKUP(E217,[1]characters!$A:$C,3,FALSE)</f>
        <v>ニーベルゲン</v>
      </c>
      <c r="G217" s="7" t="str">
        <f>VLOOKUP(E217,[1]characters!$A:$J,10,FALSE)</f>
        <v>PremiumS</v>
      </c>
      <c r="H217" s="7">
        <f>VLOOKUP(E217,[1]characters!$A:$I,9,FALSE)</f>
        <v>3</v>
      </c>
      <c r="I217" s="7" t="str">
        <f>VLOOKUP(E217,[1]characters!$A:$H,8,FALSE)</f>
        <v>green</v>
      </c>
      <c r="J217" s="7" t="str">
        <f>VLOOKUP(E217,[1]characters!$A:$K,11,FALSE)</f>
        <v>balance</v>
      </c>
      <c r="K217" s="7" t="str">
        <f>VLOOKUP(E217,[1]characters!$A:$M,13,FALSE)</f>
        <v>unknown</v>
      </c>
      <c r="L217" s="7" t="str">
        <f>VLOOKUP(E217,[1]characters!$A:$G,7,FALSE)</f>
        <v>女性</v>
      </c>
      <c r="M217" s="62">
        <f ca="1">IFERROR(VLOOKUP(E217,input_313100!L:R,7,FALSE),VLOOKUP(tables_313100!B217,input_313100!A:H,8,FALSE))</f>
        <v>0</v>
      </c>
      <c r="N217" s="63">
        <f t="shared" ca="1" si="16"/>
        <v>0</v>
      </c>
      <c r="O217" s="31">
        <f>IFERROR(VLOOKUP($E217,bug_conf_sheet!$A:$H,3,FALSE),VLOOKUP("other",bug_conf_sheet!$A:$H,3,FALSE))</f>
        <v>1</v>
      </c>
      <c r="P217" s="31">
        <f>IFERROR(VLOOKUP($E217,bug_conf_sheet!$A:$H,4,FALSE),VLOOKUP("other",bug_conf_sheet!$A:$H,4,FALSE))</f>
        <v>0</v>
      </c>
      <c r="Q217" s="31">
        <f>IFERROR(VLOOKUP($E217,bug_conf_sheet!$A:$H,5,FALSE),VLOOKUP("other",bug_conf_sheet!$A:$H,5,FALSE))</f>
        <v>0</v>
      </c>
      <c r="R217" s="31">
        <f>IFERROR(VLOOKUP($E217,bug_conf_sheet!$A:$H,6,FALSE),VLOOKUP("other",bug_conf_sheet!$A:$H,6,FALSE))</f>
        <v>0</v>
      </c>
      <c r="S217" s="31">
        <f>IFERROR(VLOOKUP($E217,bug_conf_sheet!$A:$H,7,FALSE),VLOOKUP("other",bug_conf_sheet!$A:$H,7,FALSE))</f>
        <v>0</v>
      </c>
      <c r="T217" s="31">
        <f>IFERROR(VLOOKUP($E217,bug_conf_sheet!$A:$H,8,FALSE),VLOOKUP("other",bug_conf_sheet!$A:$H,8,FALSE))</f>
        <v>1</v>
      </c>
    </row>
    <row r="218" spans="1:20" ht="21" customHeight="1">
      <c r="A218" s="2" t="str">
        <f ca="1">input_313100!A$2</f>
        <v>313100</v>
      </c>
      <c r="B218" s="7" t="str">
        <f t="shared" si="13"/>
        <v>Premium4</v>
      </c>
      <c r="C218" s="7" t="str">
        <f t="shared" si="14"/>
        <v>Premium</v>
      </c>
      <c r="D218" s="7" t="str">
        <f t="shared" si="15"/>
        <v>bg</v>
      </c>
      <c r="E218" s="6">
        <v>589</v>
      </c>
      <c r="F218" s="7" t="str">
        <f>VLOOKUP(E218,[1]characters!$A:$C,3,FALSE)</f>
        <v>不幸の円環 ニーベルゲン</v>
      </c>
      <c r="G218" s="7" t="str">
        <f>VLOOKUP(E218,[1]characters!$A:$J,10,FALSE)</f>
        <v>PremiumS</v>
      </c>
      <c r="H218" s="7">
        <f>VLOOKUP(E218,[1]characters!$A:$I,9,FALSE)</f>
        <v>4</v>
      </c>
      <c r="I218" s="7" t="str">
        <f>VLOOKUP(E218,[1]characters!$A:$H,8,FALSE)</f>
        <v>green</v>
      </c>
      <c r="J218" s="7" t="str">
        <f>VLOOKUP(E218,[1]characters!$A:$K,11,FALSE)</f>
        <v>balance</v>
      </c>
      <c r="K218" s="7" t="str">
        <f>VLOOKUP(E218,[1]characters!$A:$M,13,FALSE)</f>
        <v>unknown</v>
      </c>
      <c r="L218" s="7" t="str">
        <f>VLOOKUP(E218,[1]characters!$A:$G,7,FALSE)</f>
        <v>女性</v>
      </c>
      <c r="M218" s="62">
        <f ca="1">IFERROR(VLOOKUP(E218,input_313100!L:R,7,FALSE),VLOOKUP(tables_313100!B218,input_313100!A:H,8,FALSE))</f>
        <v>342090</v>
      </c>
      <c r="N218" s="63">
        <f t="shared" ca="1" si="16"/>
        <v>1.222972972972973E-2</v>
      </c>
      <c r="O218" s="31">
        <f>IFERROR(VLOOKUP($E218,bug_conf_sheet!$A:$H,3,FALSE),VLOOKUP("other",bug_conf_sheet!$A:$H,3,FALSE))</f>
        <v>1</v>
      </c>
      <c r="P218" s="31">
        <f>IFERROR(VLOOKUP($E218,bug_conf_sheet!$A:$H,4,FALSE),VLOOKUP("other",bug_conf_sheet!$A:$H,4,FALSE))</f>
        <v>0</v>
      </c>
      <c r="Q218" s="31">
        <f>IFERROR(VLOOKUP($E218,bug_conf_sheet!$A:$H,5,FALSE),VLOOKUP("other",bug_conf_sheet!$A:$H,5,FALSE))</f>
        <v>0</v>
      </c>
      <c r="R218" s="31">
        <f>IFERROR(VLOOKUP($E218,bug_conf_sheet!$A:$H,6,FALSE),VLOOKUP("other",bug_conf_sheet!$A:$H,6,FALSE))</f>
        <v>0</v>
      </c>
      <c r="S218" s="31">
        <f>IFERROR(VLOOKUP($E218,bug_conf_sheet!$A:$H,7,FALSE),VLOOKUP("other",bug_conf_sheet!$A:$H,7,FALSE))</f>
        <v>0</v>
      </c>
      <c r="T218" s="31">
        <f>IFERROR(VLOOKUP($E218,bug_conf_sheet!$A:$H,8,FALSE),VLOOKUP("other",bug_conf_sheet!$A:$H,8,FALSE))</f>
        <v>1</v>
      </c>
    </row>
    <row r="219" spans="1:20" ht="21" customHeight="1">
      <c r="A219" s="2" t="str">
        <f ca="1">input_313100!A$2</f>
        <v>313100</v>
      </c>
      <c r="B219" s="7" t="str">
        <f t="shared" si="13"/>
        <v>Premium5</v>
      </c>
      <c r="C219" s="7" t="str">
        <f t="shared" si="14"/>
        <v>Premium</v>
      </c>
      <c r="D219" s="7" t="str">
        <f t="shared" si="15"/>
        <v>bg</v>
      </c>
      <c r="E219" s="6">
        <v>590</v>
      </c>
      <c r="F219" s="7" t="str">
        <f>VLOOKUP(E219,[1]characters!$A:$C,3,FALSE)</f>
        <v>永遠を廻る呪い ニーベルゲン</v>
      </c>
      <c r="G219" s="7" t="str">
        <f>VLOOKUP(E219,[1]characters!$A:$J,10,FALSE)</f>
        <v>PremiumS</v>
      </c>
      <c r="H219" s="7">
        <f>VLOOKUP(E219,[1]characters!$A:$I,9,FALSE)</f>
        <v>5</v>
      </c>
      <c r="I219" s="7" t="str">
        <f>VLOOKUP(E219,[1]characters!$A:$H,8,FALSE)</f>
        <v>green</v>
      </c>
      <c r="J219" s="7" t="str">
        <f>VLOOKUP(E219,[1]characters!$A:$K,11,FALSE)</f>
        <v>balance</v>
      </c>
      <c r="K219" s="7" t="str">
        <f>VLOOKUP(E219,[1]characters!$A:$M,13,FALSE)</f>
        <v>unknown</v>
      </c>
      <c r="L219" s="7" t="str">
        <f>VLOOKUP(E219,[1]characters!$A:$G,7,FALSE)</f>
        <v>女性</v>
      </c>
      <c r="M219" s="62">
        <f ca="1">IFERROR(VLOOKUP(E219,input_313100!L:R,7,FALSE),VLOOKUP(tables_313100!B219,input_313100!A:H,8,FALSE))</f>
        <v>12950</v>
      </c>
      <c r="N219" s="63">
        <f t="shared" ca="1" si="16"/>
        <v>4.6296296296296298E-4</v>
      </c>
      <c r="O219" s="31">
        <f>IFERROR(VLOOKUP($E219,bug_conf_sheet!$A:$H,3,FALSE),VLOOKUP("other",bug_conf_sheet!$A:$H,3,FALSE))</f>
        <v>1</v>
      </c>
      <c r="P219" s="31">
        <f>IFERROR(VLOOKUP($E219,bug_conf_sheet!$A:$H,4,FALSE),VLOOKUP("other",bug_conf_sheet!$A:$H,4,FALSE))</f>
        <v>0</v>
      </c>
      <c r="Q219" s="31">
        <f>IFERROR(VLOOKUP($E219,bug_conf_sheet!$A:$H,5,FALSE),VLOOKUP("other",bug_conf_sheet!$A:$H,5,FALSE))</f>
        <v>0</v>
      </c>
      <c r="R219" s="31">
        <f>IFERROR(VLOOKUP($E219,bug_conf_sheet!$A:$H,6,FALSE),VLOOKUP("other",bug_conf_sheet!$A:$H,6,FALSE))</f>
        <v>0</v>
      </c>
      <c r="S219" s="31">
        <f>IFERROR(VLOOKUP($E219,bug_conf_sheet!$A:$H,7,FALSE),VLOOKUP("other",bug_conf_sheet!$A:$H,7,FALSE))</f>
        <v>0</v>
      </c>
      <c r="T219" s="31">
        <f>IFERROR(VLOOKUP($E219,bug_conf_sheet!$A:$H,8,FALSE),VLOOKUP("other",bug_conf_sheet!$A:$H,8,FALSE))</f>
        <v>1</v>
      </c>
    </row>
    <row r="220" spans="1:20" ht="21" customHeight="1">
      <c r="A220" s="2" t="str">
        <f ca="1">input_313100!A$2</f>
        <v>313100</v>
      </c>
      <c r="B220" s="7" t="str">
        <f t="shared" si="13"/>
        <v>Premium3</v>
      </c>
      <c r="C220" s="7" t="str">
        <f t="shared" si="14"/>
        <v>Premium</v>
      </c>
      <c r="D220" s="7" t="str">
        <f t="shared" si="15"/>
        <v>bg</v>
      </c>
      <c r="E220" s="6">
        <v>591</v>
      </c>
      <c r="F220" s="7" t="str">
        <f>VLOOKUP(E220,[1]characters!$A:$C,3,FALSE)</f>
        <v>ファフニール</v>
      </c>
      <c r="G220" s="7" t="str">
        <f>VLOOKUP(E220,[1]characters!$A:$J,10,FALSE)</f>
        <v>PremiumS</v>
      </c>
      <c r="H220" s="7">
        <f>VLOOKUP(E220,[1]characters!$A:$I,9,FALSE)</f>
        <v>3</v>
      </c>
      <c r="I220" s="7" t="str">
        <f>VLOOKUP(E220,[1]characters!$A:$H,8,FALSE)</f>
        <v>blue</v>
      </c>
      <c r="J220" s="7" t="str">
        <f>VLOOKUP(E220,[1]characters!$A:$K,11,FALSE)</f>
        <v>technical</v>
      </c>
      <c r="K220" s="7" t="str">
        <f>VLOOKUP(E220,[1]characters!$A:$M,13,FALSE)</f>
        <v>dragon</v>
      </c>
      <c r="L220" s="7" t="str">
        <f>VLOOKUP(E220,[1]characters!$A:$G,7,FALSE)</f>
        <v>不明</v>
      </c>
      <c r="M220" s="62">
        <f ca="1">IFERROR(VLOOKUP(E220,input_313100!L:R,7,FALSE),VLOOKUP(tables_313100!B220,input_313100!A:H,8,FALSE))</f>
        <v>0</v>
      </c>
      <c r="N220" s="63">
        <f t="shared" ca="1" si="16"/>
        <v>0</v>
      </c>
      <c r="O220" s="31">
        <f>IFERROR(VLOOKUP($E220,bug_conf_sheet!$A:$H,3,FALSE),VLOOKUP("other",bug_conf_sheet!$A:$H,3,FALSE))</f>
        <v>1</v>
      </c>
      <c r="P220" s="31">
        <f>IFERROR(VLOOKUP($E220,bug_conf_sheet!$A:$H,4,FALSE),VLOOKUP("other",bug_conf_sheet!$A:$H,4,FALSE))</f>
        <v>0</v>
      </c>
      <c r="Q220" s="31">
        <f>IFERROR(VLOOKUP($E220,bug_conf_sheet!$A:$H,5,FALSE),VLOOKUP("other",bug_conf_sheet!$A:$H,5,FALSE))</f>
        <v>0</v>
      </c>
      <c r="R220" s="31">
        <f>IFERROR(VLOOKUP($E220,bug_conf_sheet!$A:$H,6,FALSE),VLOOKUP("other",bug_conf_sheet!$A:$H,6,FALSE))</f>
        <v>0</v>
      </c>
      <c r="S220" s="31">
        <f>IFERROR(VLOOKUP($E220,bug_conf_sheet!$A:$H,7,FALSE),VLOOKUP("other",bug_conf_sheet!$A:$H,7,FALSE))</f>
        <v>0</v>
      </c>
      <c r="T220" s="31">
        <f>IFERROR(VLOOKUP($E220,bug_conf_sheet!$A:$H,8,FALSE),VLOOKUP("other",bug_conf_sheet!$A:$H,8,FALSE))</f>
        <v>1</v>
      </c>
    </row>
    <row r="221" spans="1:20" ht="21" customHeight="1">
      <c r="A221" s="2" t="str">
        <f ca="1">input_313100!A$2</f>
        <v>313100</v>
      </c>
      <c r="B221" s="7" t="str">
        <f t="shared" si="13"/>
        <v>Premium4</v>
      </c>
      <c r="C221" s="7" t="str">
        <f t="shared" si="14"/>
        <v>Premium</v>
      </c>
      <c r="D221" s="7" t="str">
        <f t="shared" si="15"/>
        <v>bg</v>
      </c>
      <c r="E221" s="6">
        <v>592</v>
      </c>
      <c r="F221" s="7" t="str">
        <f>VLOOKUP(E221,[1]characters!$A:$C,3,FALSE)</f>
        <v>財宝への執着 ファフニール</v>
      </c>
      <c r="G221" s="7" t="str">
        <f>VLOOKUP(E221,[1]characters!$A:$J,10,FALSE)</f>
        <v>PremiumS</v>
      </c>
      <c r="H221" s="7">
        <f>VLOOKUP(E221,[1]characters!$A:$I,9,FALSE)</f>
        <v>4</v>
      </c>
      <c r="I221" s="7" t="str">
        <f>VLOOKUP(E221,[1]characters!$A:$H,8,FALSE)</f>
        <v>blue</v>
      </c>
      <c r="J221" s="7" t="str">
        <f>VLOOKUP(E221,[1]characters!$A:$K,11,FALSE)</f>
        <v>technical</v>
      </c>
      <c r="K221" s="7" t="str">
        <f>VLOOKUP(E221,[1]characters!$A:$M,13,FALSE)</f>
        <v>dragon</v>
      </c>
      <c r="L221" s="7" t="str">
        <f>VLOOKUP(E221,[1]characters!$A:$G,7,FALSE)</f>
        <v>不明</v>
      </c>
      <c r="M221" s="62">
        <f ca="1">IFERROR(VLOOKUP(E221,input_313100!L:R,7,FALSE),VLOOKUP(tables_313100!B221,input_313100!A:H,8,FALSE))</f>
        <v>342090</v>
      </c>
      <c r="N221" s="63">
        <f t="shared" ca="1" si="16"/>
        <v>1.222972972972973E-2</v>
      </c>
      <c r="O221" s="31">
        <f>IFERROR(VLOOKUP($E221,bug_conf_sheet!$A:$H,3,FALSE),VLOOKUP("other",bug_conf_sheet!$A:$H,3,FALSE))</f>
        <v>1</v>
      </c>
      <c r="P221" s="31">
        <f>IFERROR(VLOOKUP($E221,bug_conf_sheet!$A:$H,4,FALSE),VLOOKUP("other",bug_conf_sheet!$A:$H,4,FALSE))</f>
        <v>0</v>
      </c>
      <c r="Q221" s="31">
        <f>IFERROR(VLOOKUP($E221,bug_conf_sheet!$A:$H,5,FALSE),VLOOKUP("other",bug_conf_sheet!$A:$H,5,FALSE))</f>
        <v>0</v>
      </c>
      <c r="R221" s="31">
        <f>IFERROR(VLOOKUP($E221,bug_conf_sheet!$A:$H,6,FALSE),VLOOKUP("other",bug_conf_sheet!$A:$H,6,FALSE))</f>
        <v>0</v>
      </c>
      <c r="S221" s="31">
        <f>IFERROR(VLOOKUP($E221,bug_conf_sheet!$A:$H,7,FALSE),VLOOKUP("other",bug_conf_sheet!$A:$H,7,FALSE))</f>
        <v>0</v>
      </c>
      <c r="T221" s="31">
        <f>IFERROR(VLOOKUP($E221,bug_conf_sheet!$A:$H,8,FALSE),VLOOKUP("other",bug_conf_sheet!$A:$H,8,FALSE))</f>
        <v>1</v>
      </c>
    </row>
    <row r="222" spans="1:20" ht="21" customHeight="1">
      <c r="A222" s="2" t="str">
        <f ca="1">input_313100!A$2</f>
        <v>313100</v>
      </c>
      <c r="B222" s="7" t="str">
        <f t="shared" si="13"/>
        <v>Premium5</v>
      </c>
      <c r="C222" s="7" t="str">
        <f t="shared" si="14"/>
        <v>Premium</v>
      </c>
      <c r="D222" s="7" t="str">
        <f t="shared" si="15"/>
        <v>bg</v>
      </c>
      <c r="E222" s="6">
        <v>593</v>
      </c>
      <c r="F222" s="7" t="str">
        <f>VLOOKUP(E222,[1]characters!$A:$C,3,FALSE)</f>
        <v>妄執する邪毒龍 ファフニール</v>
      </c>
      <c r="G222" s="7" t="str">
        <f>VLOOKUP(E222,[1]characters!$A:$J,10,FALSE)</f>
        <v>PremiumS</v>
      </c>
      <c r="H222" s="7">
        <f>VLOOKUP(E222,[1]characters!$A:$I,9,FALSE)</f>
        <v>5</v>
      </c>
      <c r="I222" s="7" t="str">
        <f>VLOOKUP(E222,[1]characters!$A:$H,8,FALSE)</f>
        <v>blue</v>
      </c>
      <c r="J222" s="7" t="str">
        <f>VLOOKUP(E222,[1]characters!$A:$K,11,FALSE)</f>
        <v>technical</v>
      </c>
      <c r="K222" s="7" t="str">
        <f>VLOOKUP(E222,[1]characters!$A:$M,13,FALSE)</f>
        <v>dragon</v>
      </c>
      <c r="L222" s="7" t="str">
        <f>VLOOKUP(E222,[1]characters!$A:$G,7,FALSE)</f>
        <v>不明</v>
      </c>
      <c r="M222" s="62">
        <f ca="1">IFERROR(VLOOKUP(E222,input_313100!L:R,7,FALSE),VLOOKUP(tables_313100!B222,input_313100!A:H,8,FALSE))</f>
        <v>12950</v>
      </c>
      <c r="N222" s="63">
        <f t="shared" ca="1" si="16"/>
        <v>4.6296296296296298E-4</v>
      </c>
      <c r="O222" s="31">
        <f>IFERROR(VLOOKUP($E222,bug_conf_sheet!$A:$H,3,FALSE),VLOOKUP("other",bug_conf_sheet!$A:$H,3,FALSE))</f>
        <v>1</v>
      </c>
      <c r="P222" s="31">
        <f>IFERROR(VLOOKUP($E222,bug_conf_sheet!$A:$H,4,FALSE),VLOOKUP("other",bug_conf_sheet!$A:$H,4,FALSE))</f>
        <v>0</v>
      </c>
      <c r="Q222" s="31">
        <f>IFERROR(VLOOKUP($E222,bug_conf_sheet!$A:$H,5,FALSE),VLOOKUP("other",bug_conf_sheet!$A:$H,5,FALSE))</f>
        <v>0</v>
      </c>
      <c r="R222" s="31">
        <f>IFERROR(VLOOKUP($E222,bug_conf_sheet!$A:$H,6,FALSE),VLOOKUP("other",bug_conf_sheet!$A:$H,6,FALSE))</f>
        <v>0</v>
      </c>
      <c r="S222" s="31">
        <f>IFERROR(VLOOKUP($E222,bug_conf_sheet!$A:$H,7,FALSE),VLOOKUP("other",bug_conf_sheet!$A:$H,7,FALSE))</f>
        <v>0</v>
      </c>
      <c r="T222" s="31">
        <f>IFERROR(VLOOKUP($E222,bug_conf_sheet!$A:$H,8,FALSE),VLOOKUP("other",bug_conf_sheet!$A:$H,8,FALSE))</f>
        <v>1</v>
      </c>
    </row>
    <row r="223" spans="1:20" ht="21" customHeight="1">
      <c r="A223" s="2" t="str">
        <f ca="1">input_313100!A$2</f>
        <v>313100</v>
      </c>
      <c r="B223" s="7" t="str">
        <f t="shared" si="13"/>
        <v>PremiumSSry4</v>
      </c>
      <c r="C223" s="7" t="str">
        <f t="shared" si="14"/>
        <v>PremiumSS</v>
      </c>
      <c r="D223" s="7" t="str">
        <f t="shared" si="15"/>
        <v>ry</v>
      </c>
      <c r="E223" s="6">
        <v>594</v>
      </c>
      <c r="F223" s="7" t="str">
        <f>VLOOKUP(E223,[1]characters!$A:$C,3,FALSE)</f>
        <v>アルフヘイム</v>
      </c>
      <c r="G223" s="7" t="str">
        <f>VLOOKUP(E223,[1]characters!$A:$J,10,FALSE)</f>
        <v>PremiumSS</v>
      </c>
      <c r="H223" s="7">
        <f>VLOOKUP(E223,[1]characters!$A:$I,9,FALSE)</f>
        <v>4</v>
      </c>
      <c r="I223" s="7" t="str">
        <f>VLOOKUP(E223,[1]characters!$A:$H,8,FALSE)</f>
        <v>yellow</v>
      </c>
      <c r="J223" s="7" t="str">
        <f>VLOOKUP(E223,[1]characters!$A:$K,11,FALSE)</f>
        <v>attack</v>
      </c>
      <c r="K223" s="7" t="str">
        <f>VLOOKUP(E223,[1]characters!$A:$M,13,FALSE)</f>
        <v>dragon</v>
      </c>
      <c r="L223" s="7" t="str">
        <f>VLOOKUP(E223,[1]characters!$A:$G,7,FALSE)</f>
        <v>不明</v>
      </c>
      <c r="M223" s="62">
        <f ca="1">IFERROR(VLOOKUP(E223,input_313100!L:R,7,FALSE),VLOOKUP(tables_313100!B223,input_313100!A:H,8,FALSE))</f>
        <v>53946</v>
      </c>
      <c r="N223" s="63">
        <f t="shared" ca="1" si="16"/>
        <v>1.9285714285714286E-3</v>
      </c>
      <c r="O223" s="31">
        <f>IFERROR(VLOOKUP($E223,bug_conf_sheet!$A:$H,3,FALSE),VLOOKUP("other",bug_conf_sheet!$A:$H,3,FALSE))</f>
        <v>1</v>
      </c>
      <c r="P223" s="31">
        <f>IFERROR(VLOOKUP($E223,bug_conf_sheet!$A:$H,4,FALSE),VLOOKUP("other",bug_conf_sheet!$A:$H,4,FALSE))</f>
        <v>0</v>
      </c>
      <c r="Q223" s="31">
        <f>IFERROR(VLOOKUP($E223,bug_conf_sheet!$A:$H,5,FALSE),VLOOKUP("other",bug_conf_sheet!$A:$H,5,FALSE))</f>
        <v>0</v>
      </c>
      <c r="R223" s="31">
        <f>IFERROR(VLOOKUP($E223,bug_conf_sheet!$A:$H,6,FALSE),VLOOKUP("other",bug_conf_sheet!$A:$H,6,FALSE))</f>
        <v>0</v>
      </c>
      <c r="S223" s="31">
        <f>IFERROR(VLOOKUP($E223,bug_conf_sheet!$A:$H,7,FALSE),VLOOKUP("other",bug_conf_sheet!$A:$H,7,FALSE))</f>
        <v>0</v>
      </c>
      <c r="T223" s="31">
        <f>IFERROR(VLOOKUP($E223,bug_conf_sheet!$A:$H,8,FALSE),VLOOKUP("other",bug_conf_sheet!$A:$H,8,FALSE))</f>
        <v>1</v>
      </c>
    </row>
    <row r="224" spans="1:20" ht="21" customHeight="1">
      <c r="A224" s="2" t="str">
        <f ca="1">input_313100!A$2</f>
        <v>313100</v>
      </c>
      <c r="B224" s="7" t="str">
        <f t="shared" si="13"/>
        <v>PremiumSSry5</v>
      </c>
      <c r="C224" s="7" t="str">
        <f t="shared" si="14"/>
        <v>PremiumSS</v>
      </c>
      <c r="D224" s="7" t="str">
        <f t="shared" si="15"/>
        <v>ry</v>
      </c>
      <c r="E224" s="6">
        <v>595</v>
      </c>
      <c r="F224" s="7" t="str">
        <f>VLOOKUP(E224,[1]characters!$A:$C,3,FALSE)</f>
        <v>光華なる神域 アルフヘイム</v>
      </c>
      <c r="G224" s="7" t="str">
        <f>VLOOKUP(E224,[1]characters!$A:$J,10,FALSE)</f>
        <v>PremiumSS</v>
      </c>
      <c r="H224" s="7">
        <f>VLOOKUP(E224,[1]characters!$A:$I,9,FALSE)</f>
        <v>5</v>
      </c>
      <c r="I224" s="7" t="str">
        <f>VLOOKUP(E224,[1]characters!$A:$H,8,FALSE)</f>
        <v>yellow</v>
      </c>
      <c r="J224" s="7" t="str">
        <f>VLOOKUP(E224,[1]characters!$A:$K,11,FALSE)</f>
        <v>attack</v>
      </c>
      <c r="K224" s="7" t="str">
        <f>VLOOKUP(E224,[1]characters!$A:$M,13,FALSE)</f>
        <v>dragon</v>
      </c>
      <c r="L224" s="7" t="str">
        <f>VLOOKUP(E224,[1]characters!$A:$G,7,FALSE)</f>
        <v>不明</v>
      </c>
      <c r="M224" s="62">
        <f ca="1">IFERROR(VLOOKUP(E224,input_313100!L:R,7,FALSE),VLOOKUP(tables_313100!B224,input_313100!A:H,8,FALSE))</f>
        <v>5994</v>
      </c>
      <c r="N224" s="63">
        <f t="shared" ca="1" si="16"/>
        <v>2.1428571428571427E-4</v>
      </c>
      <c r="O224" s="31">
        <f>IFERROR(VLOOKUP($E224,bug_conf_sheet!$A:$H,3,FALSE),VLOOKUP("other",bug_conf_sheet!$A:$H,3,FALSE))</f>
        <v>1</v>
      </c>
      <c r="P224" s="31">
        <f>IFERROR(VLOOKUP($E224,bug_conf_sheet!$A:$H,4,FALSE),VLOOKUP("other",bug_conf_sheet!$A:$H,4,FALSE))</f>
        <v>0</v>
      </c>
      <c r="Q224" s="31">
        <f>IFERROR(VLOOKUP($E224,bug_conf_sheet!$A:$H,5,FALSE),VLOOKUP("other",bug_conf_sheet!$A:$H,5,FALSE))</f>
        <v>0</v>
      </c>
      <c r="R224" s="31">
        <f>IFERROR(VLOOKUP($E224,bug_conf_sheet!$A:$H,6,FALSE),VLOOKUP("other",bug_conf_sheet!$A:$H,6,FALSE))</f>
        <v>0</v>
      </c>
      <c r="S224" s="31">
        <f>IFERROR(VLOOKUP($E224,bug_conf_sheet!$A:$H,7,FALSE),VLOOKUP("other",bug_conf_sheet!$A:$H,7,FALSE))</f>
        <v>0</v>
      </c>
      <c r="T224" s="31">
        <f>IFERROR(VLOOKUP($E224,bug_conf_sheet!$A:$H,8,FALSE),VLOOKUP("other",bug_conf_sheet!$A:$H,8,FALSE))</f>
        <v>1</v>
      </c>
    </row>
    <row r="225" spans="1:20" ht="21" customHeight="1">
      <c r="A225" s="2" t="str">
        <f ca="1">input_313100!A$2</f>
        <v>313100</v>
      </c>
      <c r="B225" s="7" t="str">
        <f t="shared" si="13"/>
        <v>Premium3</v>
      </c>
      <c r="C225" s="7" t="str">
        <f t="shared" si="14"/>
        <v>Premium</v>
      </c>
      <c r="D225" s="7" t="str">
        <f t="shared" si="15"/>
        <v>ry</v>
      </c>
      <c r="E225" s="6">
        <v>596</v>
      </c>
      <c r="F225" s="7" t="str">
        <f>VLOOKUP(E225,[1]characters!$A:$C,3,FALSE)</f>
        <v>ムスペルヘイム</v>
      </c>
      <c r="G225" s="7" t="str">
        <f>VLOOKUP(E225,[1]characters!$A:$J,10,FALSE)</f>
        <v>PremiumS</v>
      </c>
      <c r="H225" s="7">
        <f>VLOOKUP(E225,[1]characters!$A:$I,9,FALSE)</f>
        <v>3</v>
      </c>
      <c r="I225" s="7" t="str">
        <f>VLOOKUP(E225,[1]characters!$A:$H,8,FALSE)</f>
        <v>red</v>
      </c>
      <c r="J225" s="7" t="str">
        <f>VLOOKUP(E225,[1]characters!$A:$K,11,FALSE)</f>
        <v>balance</v>
      </c>
      <c r="K225" s="7" t="str">
        <f>VLOOKUP(E225,[1]characters!$A:$M,13,FALSE)</f>
        <v>human</v>
      </c>
      <c r="L225" s="7" t="str">
        <f>VLOOKUP(E225,[1]characters!$A:$G,7,FALSE)</f>
        <v>男性</v>
      </c>
      <c r="M225" s="62">
        <f ca="1">IFERROR(VLOOKUP(E225,input_313100!L:R,7,FALSE),VLOOKUP(tables_313100!B225,input_313100!A:H,8,FALSE))</f>
        <v>0</v>
      </c>
      <c r="N225" s="63">
        <f t="shared" ca="1" si="16"/>
        <v>0</v>
      </c>
      <c r="O225" s="31">
        <f>IFERROR(VLOOKUP($E225,bug_conf_sheet!$A:$H,3,FALSE),VLOOKUP("other",bug_conf_sheet!$A:$H,3,FALSE))</f>
        <v>1</v>
      </c>
      <c r="P225" s="31">
        <f>IFERROR(VLOOKUP($E225,bug_conf_sheet!$A:$H,4,FALSE),VLOOKUP("other",bug_conf_sheet!$A:$H,4,FALSE))</f>
        <v>0</v>
      </c>
      <c r="Q225" s="31">
        <f>IFERROR(VLOOKUP($E225,bug_conf_sheet!$A:$H,5,FALSE),VLOOKUP("other",bug_conf_sheet!$A:$H,5,FALSE))</f>
        <v>0</v>
      </c>
      <c r="R225" s="31">
        <f>IFERROR(VLOOKUP($E225,bug_conf_sheet!$A:$H,6,FALSE),VLOOKUP("other",bug_conf_sheet!$A:$H,6,FALSE))</f>
        <v>0</v>
      </c>
      <c r="S225" s="31">
        <f>IFERROR(VLOOKUP($E225,bug_conf_sheet!$A:$H,7,FALSE),VLOOKUP("other",bug_conf_sheet!$A:$H,7,FALSE))</f>
        <v>0</v>
      </c>
      <c r="T225" s="31">
        <f>IFERROR(VLOOKUP($E225,bug_conf_sheet!$A:$H,8,FALSE),VLOOKUP("other",bug_conf_sheet!$A:$H,8,FALSE))</f>
        <v>1</v>
      </c>
    </row>
    <row r="226" spans="1:20" ht="21" customHeight="1">
      <c r="A226" s="2" t="str">
        <f ca="1">input_313100!A$2</f>
        <v>313100</v>
      </c>
      <c r="B226" s="7" t="str">
        <f t="shared" si="13"/>
        <v>Premium4</v>
      </c>
      <c r="C226" s="7" t="str">
        <f t="shared" si="14"/>
        <v>Premium</v>
      </c>
      <c r="D226" s="7" t="str">
        <f t="shared" si="15"/>
        <v>ry</v>
      </c>
      <c r="E226" s="6">
        <v>597</v>
      </c>
      <c r="F226" s="7" t="str">
        <f>VLOOKUP(E226,[1]characters!$A:$C,3,FALSE)</f>
        <v>灼熱の魂 ムスペルヘイム</v>
      </c>
      <c r="G226" s="7" t="str">
        <f>VLOOKUP(E226,[1]characters!$A:$J,10,FALSE)</f>
        <v>PremiumS</v>
      </c>
      <c r="H226" s="7">
        <f>VLOOKUP(E226,[1]characters!$A:$I,9,FALSE)</f>
        <v>4</v>
      </c>
      <c r="I226" s="7" t="str">
        <f>VLOOKUP(E226,[1]characters!$A:$H,8,FALSE)</f>
        <v>red</v>
      </c>
      <c r="J226" s="7" t="str">
        <f>VLOOKUP(E226,[1]characters!$A:$K,11,FALSE)</f>
        <v>balance</v>
      </c>
      <c r="K226" s="7" t="str">
        <f>VLOOKUP(E226,[1]characters!$A:$M,13,FALSE)</f>
        <v>human</v>
      </c>
      <c r="L226" s="7" t="str">
        <f>VLOOKUP(E226,[1]characters!$A:$G,7,FALSE)</f>
        <v>男性</v>
      </c>
      <c r="M226" s="62">
        <f ca="1">IFERROR(VLOOKUP(E226,input_313100!L:R,7,FALSE),VLOOKUP(tables_313100!B226,input_313100!A:H,8,FALSE))</f>
        <v>342090</v>
      </c>
      <c r="N226" s="63">
        <f t="shared" ca="1" si="16"/>
        <v>1.222972972972973E-2</v>
      </c>
      <c r="O226" s="31">
        <f>IFERROR(VLOOKUP($E226,bug_conf_sheet!$A:$H,3,FALSE),VLOOKUP("other",bug_conf_sheet!$A:$H,3,FALSE))</f>
        <v>1</v>
      </c>
      <c r="P226" s="31">
        <f>IFERROR(VLOOKUP($E226,bug_conf_sheet!$A:$H,4,FALSE),VLOOKUP("other",bug_conf_sheet!$A:$H,4,FALSE))</f>
        <v>0</v>
      </c>
      <c r="Q226" s="31">
        <f>IFERROR(VLOOKUP($E226,bug_conf_sheet!$A:$H,5,FALSE),VLOOKUP("other",bug_conf_sheet!$A:$H,5,FALSE))</f>
        <v>0</v>
      </c>
      <c r="R226" s="31">
        <f>IFERROR(VLOOKUP($E226,bug_conf_sheet!$A:$H,6,FALSE),VLOOKUP("other",bug_conf_sheet!$A:$H,6,FALSE))</f>
        <v>0</v>
      </c>
      <c r="S226" s="31">
        <f>IFERROR(VLOOKUP($E226,bug_conf_sheet!$A:$H,7,FALSE),VLOOKUP("other",bug_conf_sheet!$A:$H,7,FALSE))</f>
        <v>0</v>
      </c>
      <c r="T226" s="31">
        <f>IFERROR(VLOOKUP($E226,bug_conf_sheet!$A:$H,8,FALSE),VLOOKUP("other",bug_conf_sheet!$A:$H,8,FALSE))</f>
        <v>1</v>
      </c>
    </row>
    <row r="227" spans="1:20" ht="21" customHeight="1">
      <c r="A227" s="2" t="str">
        <f ca="1">input_313100!A$2</f>
        <v>313100</v>
      </c>
      <c r="B227" s="7" t="str">
        <f t="shared" si="13"/>
        <v>Premium5</v>
      </c>
      <c r="C227" s="7" t="str">
        <f t="shared" si="14"/>
        <v>Premium</v>
      </c>
      <c r="D227" s="7" t="str">
        <f t="shared" si="15"/>
        <v>ry</v>
      </c>
      <c r="E227" s="6">
        <v>598</v>
      </c>
      <c r="F227" s="7" t="str">
        <f>VLOOKUP(E227,[1]characters!$A:$C,3,FALSE)</f>
        <v>焼燃の情熱 ムスペルヘイム</v>
      </c>
      <c r="G227" s="7" t="str">
        <f>VLOOKUP(E227,[1]characters!$A:$J,10,FALSE)</f>
        <v>PremiumS</v>
      </c>
      <c r="H227" s="7">
        <f>VLOOKUP(E227,[1]characters!$A:$I,9,FALSE)</f>
        <v>5</v>
      </c>
      <c r="I227" s="7" t="str">
        <f>VLOOKUP(E227,[1]characters!$A:$H,8,FALSE)</f>
        <v>red</v>
      </c>
      <c r="J227" s="7" t="str">
        <f>VLOOKUP(E227,[1]characters!$A:$K,11,FALSE)</f>
        <v>balance</v>
      </c>
      <c r="K227" s="7" t="str">
        <f>VLOOKUP(E227,[1]characters!$A:$M,13,FALSE)</f>
        <v>human</v>
      </c>
      <c r="L227" s="7" t="str">
        <f>VLOOKUP(E227,[1]characters!$A:$G,7,FALSE)</f>
        <v>男性</v>
      </c>
      <c r="M227" s="62">
        <f ca="1">IFERROR(VLOOKUP(E227,input_313100!L:R,7,FALSE),VLOOKUP(tables_313100!B227,input_313100!A:H,8,FALSE))</f>
        <v>12950</v>
      </c>
      <c r="N227" s="63">
        <f t="shared" ca="1" si="16"/>
        <v>4.6296296296296298E-4</v>
      </c>
      <c r="O227" s="31">
        <f>IFERROR(VLOOKUP($E227,bug_conf_sheet!$A:$H,3,FALSE),VLOOKUP("other",bug_conf_sheet!$A:$H,3,FALSE))</f>
        <v>1</v>
      </c>
      <c r="P227" s="31">
        <f>IFERROR(VLOOKUP($E227,bug_conf_sheet!$A:$H,4,FALSE),VLOOKUP("other",bug_conf_sheet!$A:$H,4,FALSE))</f>
        <v>0</v>
      </c>
      <c r="Q227" s="31">
        <f>IFERROR(VLOOKUP($E227,bug_conf_sheet!$A:$H,5,FALSE),VLOOKUP("other",bug_conf_sheet!$A:$H,5,FALSE))</f>
        <v>0</v>
      </c>
      <c r="R227" s="31">
        <f>IFERROR(VLOOKUP($E227,bug_conf_sheet!$A:$H,6,FALSE),VLOOKUP("other",bug_conf_sheet!$A:$H,6,FALSE))</f>
        <v>0</v>
      </c>
      <c r="S227" s="31">
        <f>IFERROR(VLOOKUP($E227,bug_conf_sheet!$A:$H,7,FALSE),VLOOKUP("other",bug_conf_sheet!$A:$H,7,FALSE))</f>
        <v>0</v>
      </c>
      <c r="T227" s="31">
        <f>IFERROR(VLOOKUP($E227,bug_conf_sheet!$A:$H,8,FALSE),VLOOKUP("other",bug_conf_sheet!$A:$H,8,FALSE))</f>
        <v>1</v>
      </c>
    </row>
    <row r="228" spans="1:20" ht="21" customHeight="1">
      <c r="A228" s="2" t="str">
        <f ca="1">input_313100!A$2</f>
        <v>313100</v>
      </c>
      <c r="B228" s="7" t="str">
        <f t="shared" si="13"/>
        <v>Premium3</v>
      </c>
      <c r="C228" s="7" t="str">
        <f t="shared" si="14"/>
        <v>Premium</v>
      </c>
      <c r="D228" s="7" t="str">
        <f t="shared" si="15"/>
        <v>bg</v>
      </c>
      <c r="E228" s="6">
        <v>599</v>
      </c>
      <c r="F228" s="7" t="str">
        <f>VLOOKUP(E228,[1]characters!$A:$C,3,FALSE)</f>
        <v>ニーズヘッグ</v>
      </c>
      <c r="G228" s="7" t="str">
        <f>VLOOKUP(E228,[1]characters!$A:$J,10,FALSE)</f>
        <v>PremiumS</v>
      </c>
      <c r="H228" s="7">
        <f>VLOOKUP(E228,[1]characters!$A:$I,9,FALSE)</f>
        <v>3</v>
      </c>
      <c r="I228" s="7" t="str">
        <f>VLOOKUP(E228,[1]characters!$A:$H,8,FALSE)</f>
        <v>green</v>
      </c>
      <c r="J228" s="7" t="str">
        <f>VLOOKUP(E228,[1]characters!$A:$K,11,FALSE)</f>
        <v>attack</v>
      </c>
      <c r="K228" s="7" t="str">
        <f>VLOOKUP(E228,[1]characters!$A:$M,13,FALSE)</f>
        <v>dragon</v>
      </c>
      <c r="L228" s="7" t="str">
        <f>VLOOKUP(E228,[1]characters!$A:$G,7,FALSE)</f>
        <v>不明</v>
      </c>
      <c r="M228" s="62">
        <f ca="1">IFERROR(VLOOKUP(E228,input_313100!L:R,7,FALSE),VLOOKUP(tables_313100!B228,input_313100!A:H,8,FALSE))</f>
        <v>0</v>
      </c>
      <c r="N228" s="63">
        <f t="shared" ca="1" si="16"/>
        <v>0</v>
      </c>
      <c r="O228" s="31">
        <f>IFERROR(VLOOKUP($E228,bug_conf_sheet!$A:$H,3,FALSE),VLOOKUP("other",bug_conf_sheet!$A:$H,3,FALSE))</f>
        <v>1</v>
      </c>
      <c r="P228" s="31">
        <f>IFERROR(VLOOKUP($E228,bug_conf_sheet!$A:$H,4,FALSE),VLOOKUP("other",bug_conf_sheet!$A:$H,4,FALSE))</f>
        <v>0</v>
      </c>
      <c r="Q228" s="31">
        <f>IFERROR(VLOOKUP($E228,bug_conf_sheet!$A:$H,5,FALSE),VLOOKUP("other",bug_conf_sheet!$A:$H,5,FALSE))</f>
        <v>0</v>
      </c>
      <c r="R228" s="31">
        <f>IFERROR(VLOOKUP($E228,bug_conf_sheet!$A:$H,6,FALSE),VLOOKUP("other",bug_conf_sheet!$A:$H,6,FALSE))</f>
        <v>0</v>
      </c>
      <c r="S228" s="31">
        <f>IFERROR(VLOOKUP($E228,bug_conf_sheet!$A:$H,7,FALSE),VLOOKUP("other",bug_conf_sheet!$A:$H,7,FALSE))</f>
        <v>0</v>
      </c>
      <c r="T228" s="31">
        <f>IFERROR(VLOOKUP($E228,bug_conf_sheet!$A:$H,8,FALSE),VLOOKUP("other",bug_conf_sheet!$A:$H,8,FALSE))</f>
        <v>1</v>
      </c>
    </row>
    <row r="229" spans="1:20" ht="21" customHeight="1">
      <c r="A229" s="2" t="str">
        <f ca="1">input_313100!A$2</f>
        <v>313100</v>
      </c>
      <c r="B229" s="7" t="str">
        <f t="shared" si="13"/>
        <v>Premium4</v>
      </c>
      <c r="C229" s="7" t="str">
        <f t="shared" si="14"/>
        <v>Premium</v>
      </c>
      <c r="D229" s="7" t="str">
        <f t="shared" si="15"/>
        <v>bg</v>
      </c>
      <c r="E229" s="6">
        <v>600</v>
      </c>
      <c r="F229" s="7" t="str">
        <f>VLOOKUP(E229,[1]characters!$A:$C,3,FALSE)</f>
        <v>界下に潜む蛇 ニーズヘッグ</v>
      </c>
      <c r="G229" s="7" t="str">
        <f>VLOOKUP(E229,[1]characters!$A:$J,10,FALSE)</f>
        <v>PremiumS</v>
      </c>
      <c r="H229" s="7">
        <f>VLOOKUP(E229,[1]characters!$A:$I,9,FALSE)</f>
        <v>4</v>
      </c>
      <c r="I229" s="7" t="str">
        <f>VLOOKUP(E229,[1]characters!$A:$H,8,FALSE)</f>
        <v>green</v>
      </c>
      <c r="J229" s="7" t="str">
        <f>VLOOKUP(E229,[1]characters!$A:$K,11,FALSE)</f>
        <v>attack</v>
      </c>
      <c r="K229" s="7" t="str">
        <f>VLOOKUP(E229,[1]characters!$A:$M,13,FALSE)</f>
        <v>dragon</v>
      </c>
      <c r="L229" s="7" t="str">
        <f>VLOOKUP(E229,[1]characters!$A:$G,7,FALSE)</f>
        <v>不明</v>
      </c>
      <c r="M229" s="62">
        <f ca="1">IFERROR(VLOOKUP(E229,input_313100!L:R,7,FALSE),VLOOKUP(tables_313100!B229,input_313100!A:H,8,FALSE))</f>
        <v>342090</v>
      </c>
      <c r="N229" s="63">
        <f t="shared" ca="1" si="16"/>
        <v>1.222972972972973E-2</v>
      </c>
      <c r="O229" s="31">
        <f>IFERROR(VLOOKUP($E229,bug_conf_sheet!$A:$H,3,FALSE),VLOOKUP("other",bug_conf_sheet!$A:$H,3,FALSE))</f>
        <v>1</v>
      </c>
      <c r="P229" s="31">
        <f>IFERROR(VLOOKUP($E229,bug_conf_sheet!$A:$H,4,FALSE),VLOOKUP("other",bug_conf_sheet!$A:$H,4,FALSE))</f>
        <v>0</v>
      </c>
      <c r="Q229" s="31">
        <f>IFERROR(VLOOKUP($E229,bug_conf_sheet!$A:$H,5,FALSE),VLOOKUP("other",bug_conf_sheet!$A:$H,5,FALSE))</f>
        <v>0</v>
      </c>
      <c r="R229" s="31">
        <f>IFERROR(VLOOKUP($E229,bug_conf_sheet!$A:$H,6,FALSE),VLOOKUP("other",bug_conf_sheet!$A:$H,6,FALSE))</f>
        <v>0</v>
      </c>
      <c r="S229" s="31">
        <f>IFERROR(VLOOKUP($E229,bug_conf_sheet!$A:$H,7,FALSE),VLOOKUP("other",bug_conf_sheet!$A:$H,7,FALSE))</f>
        <v>0</v>
      </c>
      <c r="T229" s="31">
        <f>IFERROR(VLOOKUP($E229,bug_conf_sheet!$A:$H,8,FALSE),VLOOKUP("other",bug_conf_sheet!$A:$H,8,FALSE))</f>
        <v>1</v>
      </c>
    </row>
    <row r="230" spans="1:20" ht="21" customHeight="1">
      <c r="A230" s="2" t="str">
        <f ca="1">input_313100!A$2</f>
        <v>313100</v>
      </c>
      <c r="B230" s="7" t="str">
        <f t="shared" si="13"/>
        <v>Premium5</v>
      </c>
      <c r="C230" s="7" t="str">
        <f t="shared" si="14"/>
        <v>Premium</v>
      </c>
      <c r="D230" s="7" t="str">
        <f t="shared" si="15"/>
        <v>bg</v>
      </c>
      <c r="E230" s="6">
        <v>601</v>
      </c>
      <c r="F230" s="7" t="str">
        <f>VLOOKUP(E230,[1]characters!$A:$C,3,FALSE)</f>
        <v>界根蝕む悪食 ニーズヘッグ</v>
      </c>
      <c r="G230" s="7" t="str">
        <f>VLOOKUP(E230,[1]characters!$A:$J,10,FALSE)</f>
        <v>PremiumS</v>
      </c>
      <c r="H230" s="7">
        <f>VLOOKUP(E230,[1]characters!$A:$I,9,FALSE)</f>
        <v>5</v>
      </c>
      <c r="I230" s="7" t="str">
        <f>VLOOKUP(E230,[1]characters!$A:$H,8,FALSE)</f>
        <v>green</v>
      </c>
      <c r="J230" s="7" t="str">
        <f>VLOOKUP(E230,[1]characters!$A:$K,11,FALSE)</f>
        <v>attack</v>
      </c>
      <c r="K230" s="7" t="str">
        <f>VLOOKUP(E230,[1]characters!$A:$M,13,FALSE)</f>
        <v>dragon</v>
      </c>
      <c r="L230" s="7" t="str">
        <f>VLOOKUP(E230,[1]characters!$A:$G,7,FALSE)</f>
        <v>不明</v>
      </c>
      <c r="M230" s="62">
        <f ca="1">IFERROR(VLOOKUP(E230,input_313100!L:R,7,FALSE),VLOOKUP(tables_313100!B230,input_313100!A:H,8,FALSE))</f>
        <v>12950</v>
      </c>
      <c r="N230" s="63">
        <f t="shared" ca="1" si="16"/>
        <v>4.6296296296296298E-4</v>
      </c>
      <c r="O230" s="31">
        <f>IFERROR(VLOOKUP($E230,bug_conf_sheet!$A:$H,3,FALSE),VLOOKUP("other",bug_conf_sheet!$A:$H,3,FALSE))</f>
        <v>1</v>
      </c>
      <c r="P230" s="31">
        <f>IFERROR(VLOOKUP($E230,bug_conf_sheet!$A:$H,4,FALSE),VLOOKUP("other",bug_conf_sheet!$A:$H,4,FALSE))</f>
        <v>0</v>
      </c>
      <c r="Q230" s="31">
        <f>IFERROR(VLOOKUP($E230,bug_conf_sheet!$A:$H,5,FALSE),VLOOKUP("other",bug_conf_sheet!$A:$H,5,FALSE))</f>
        <v>0</v>
      </c>
      <c r="R230" s="31">
        <f>IFERROR(VLOOKUP($E230,bug_conf_sheet!$A:$H,6,FALSE),VLOOKUP("other",bug_conf_sheet!$A:$H,6,FALSE))</f>
        <v>0</v>
      </c>
      <c r="S230" s="31">
        <f>IFERROR(VLOOKUP($E230,bug_conf_sheet!$A:$H,7,FALSE),VLOOKUP("other",bug_conf_sheet!$A:$H,7,FALSE))</f>
        <v>0</v>
      </c>
      <c r="T230" s="31">
        <f>IFERROR(VLOOKUP($E230,bug_conf_sheet!$A:$H,8,FALSE),VLOOKUP("other",bug_conf_sheet!$A:$H,8,FALSE))</f>
        <v>1</v>
      </c>
    </row>
    <row r="231" spans="1:20" ht="21" customHeight="1">
      <c r="A231" s="2" t="str">
        <f ca="1">input_313100!A$2</f>
        <v>313100</v>
      </c>
      <c r="B231" s="7" t="str">
        <f t="shared" si="13"/>
        <v>PremiumSSbg4</v>
      </c>
      <c r="C231" s="7" t="str">
        <f t="shared" ref="C231" si="17">IF(G231="PremiumSS",G231,IF(G231="PremiumSSS",G231,"Premium"))</f>
        <v>PremiumSS</v>
      </c>
      <c r="D231" s="7" t="str">
        <f t="shared" ref="D231" si="18">IF(I231="red","ry",IF(I231="yellow","ry","bg"))</f>
        <v>bg</v>
      </c>
      <c r="E231" s="6">
        <v>602</v>
      </c>
      <c r="F231" s="7" t="str">
        <f>VLOOKUP(E231,[1]characters!$A:$C,3,FALSE)</f>
        <v>フレイヤ</v>
      </c>
      <c r="G231" s="7" t="str">
        <f>VLOOKUP(E231,[1]characters!$A:$J,10,FALSE)</f>
        <v>PremiumSS</v>
      </c>
      <c r="H231" s="7">
        <f>VLOOKUP(E231,[1]characters!$A:$I,9,FALSE)</f>
        <v>4</v>
      </c>
      <c r="I231" s="7" t="str">
        <f>VLOOKUP(E231,[1]characters!$A:$H,8,FALSE)</f>
        <v>blue</v>
      </c>
      <c r="J231" s="7" t="str">
        <f>VLOOKUP(E231,[1]characters!$A:$K,11,FALSE)</f>
        <v>heal</v>
      </c>
      <c r="K231" s="7" t="str">
        <f>VLOOKUP(E231,[1]characters!$A:$M,13,FALSE)</f>
        <v>animal</v>
      </c>
      <c r="L231" s="7" t="str">
        <f>VLOOKUP(E231,[1]characters!$A:$G,7,FALSE)</f>
        <v>女性</v>
      </c>
      <c r="M231" s="62">
        <f ca="1">IFERROR(VLOOKUP(E231,input_313100!L:R,7,FALSE),VLOOKUP(tables_313100!B231,input_313100!A:H,8,FALSE))</f>
        <v>41958</v>
      </c>
      <c r="N231" s="63">
        <f t="shared" ca="1" si="16"/>
        <v>1.5E-3</v>
      </c>
      <c r="O231" s="31">
        <f>IFERROR(VLOOKUP($E231,bug_conf_sheet!$A:$H,3,FALSE),VLOOKUP("other",bug_conf_sheet!$A:$H,3,FALSE))</f>
        <v>1</v>
      </c>
      <c r="P231" s="31">
        <f>IFERROR(VLOOKUP($E231,bug_conf_sheet!$A:$H,4,FALSE),VLOOKUP("other",bug_conf_sheet!$A:$H,4,FALSE))</f>
        <v>0</v>
      </c>
      <c r="Q231" s="31">
        <f>IFERROR(VLOOKUP($E231,bug_conf_sheet!$A:$H,5,FALSE),VLOOKUP("other",bug_conf_sheet!$A:$H,5,FALSE))</f>
        <v>0</v>
      </c>
      <c r="R231" s="31">
        <f>IFERROR(VLOOKUP($E231,bug_conf_sheet!$A:$H,6,FALSE),VLOOKUP("other",bug_conf_sheet!$A:$H,6,FALSE))</f>
        <v>0</v>
      </c>
      <c r="S231" s="31">
        <f>IFERROR(VLOOKUP($E231,bug_conf_sheet!$A:$H,7,FALSE),VLOOKUP("other",bug_conf_sheet!$A:$H,7,FALSE))</f>
        <v>0</v>
      </c>
      <c r="T231" s="31">
        <f>IFERROR(VLOOKUP($E231,bug_conf_sheet!$A:$H,8,FALSE),VLOOKUP("other",bug_conf_sheet!$A:$H,8,FALSE))</f>
        <v>1</v>
      </c>
    </row>
    <row r="232" spans="1:20" ht="21" customHeight="1">
      <c r="A232" s="2" t="str">
        <f ca="1">input_313100!A$2</f>
        <v>313100</v>
      </c>
      <c r="B232" s="7" t="str">
        <f t="shared" si="13"/>
        <v>PremiumSSbg5</v>
      </c>
      <c r="C232" s="7" t="str">
        <f t="shared" si="14"/>
        <v>PremiumSS</v>
      </c>
      <c r="D232" s="7" t="str">
        <f t="shared" si="15"/>
        <v>bg</v>
      </c>
      <c r="E232" s="6">
        <v>603</v>
      </c>
      <c r="F232" s="7" t="str">
        <f>VLOOKUP(E232,[1]characters!$A:$C,3,FALSE)</f>
        <v>掌愛の豊穣女神 フレイヤ</v>
      </c>
      <c r="G232" s="7" t="str">
        <f>VLOOKUP(E232,[1]characters!$A:$J,10,FALSE)</f>
        <v>PremiumSS</v>
      </c>
      <c r="H232" s="7">
        <f>VLOOKUP(E232,[1]characters!$A:$I,9,FALSE)</f>
        <v>5</v>
      </c>
      <c r="I232" s="7" t="str">
        <f>VLOOKUP(E232,[1]characters!$A:$H,8,FALSE)</f>
        <v>blue</v>
      </c>
      <c r="J232" s="7" t="str">
        <f>VLOOKUP(E232,[1]characters!$A:$K,11,FALSE)</f>
        <v>heal</v>
      </c>
      <c r="K232" s="7" t="str">
        <f>VLOOKUP(E232,[1]characters!$A:$M,13,FALSE)</f>
        <v>animal</v>
      </c>
      <c r="L232" s="7" t="str">
        <f>VLOOKUP(E232,[1]characters!$A:$G,7,FALSE)</f>
        <v>女性</v>
      </c>
      <c r="M232" s="62">
        <f ca="1">IFERROR(VLOOKUP(E232,input_313100!L:R,7,FALSE),VLOOKUP(tables_313100!B232,input_313100!A:H,8,FALSE))</f>
        <v>4662</v>
      </c>
      <c r="N232" s="63">
        <f t="shared" ca="1" si="16"/>
        <v>1.6666666666666666E-4</v>
      </c>
      <c r="O232" s="31">
        <f>IFERROR(VLOOKUP($E232,bug_conf_sheet!$A:$H,3,FALSE),VLOOKUP("other",bug_conf_sheet!$A:$H,3,FALSE))</f>
        <v>1</v>
      </c>
      <c r="P232" s="31">
        <f>IFERROR(VLOOKUP($E232,bug_conf_sheet!$A:$H,4,FALSE),VLOOKUP("other",bug_conf_sheet!$A:$H,4,FALSE))</f>
        <v>0</v>
      </c>
      <c r="Q232" s="31">
        <f>IFERROR(VLOOKUP($E232,bug_conf_sheet!$A:$H,5,FALSE),VLOOKUP("other",bug_conf_sheet!$A:$H,5,FALSE))</f>
        <v>0</v>
      </c>
      <c r="R232" s="31">
        <f>IFERROR(VLOOKUP($E232,bug_conf_sheet!$A:$H,6,FALSE),VLOOKUP("other",bug_conf_sheet!$A:$H,6,FALSE))</f>
        <v>0</v>
      </c>
      <c r="S232" s="31">
        <f>IFERROR(VLOOKUP($E232,bug_conf_sheet!$A:$H,7,FALSE),VLOOKUP("other",bug_conf_sheet!$A:$H,7,FALSE))</f>
        <v>0</v>
      </c>
      <c r="T232" s="31">
        <f>IFERROR(VLOOKUP($E232,bug_conf_sheet!$A:$H,8,FALSE),VLOOKUP("other",bug_conf_sheet!$A:$H,8,FALSE))</f>
        <v>1</v>
      </c>
    </row>
    <row r="233" spans="1:20" ht="21" customHeight="1">
      <c r="A233" s="2" t="str">
        <f ca="1">input_313100!A$2</f>
        <v>313100</v>
      </c>
      <c r="B233" s="7" t="str">
        <f t="shared" si="13"/>
        <v>Premium3</v>
      </c>
      <c r="C233" s="7" t="str">
        <f t="shared" si="14"/>
        <v>Premium</v>
      </c>
      <c r="D233" s="7" t="str">
        <f t="shared" si="15"/>
        <v>ry</v>
      </c>
      <c r="E233" s="6">
        <v>604</v>
      </c>
      <c r="F233" s="7" t="str">
        <f>VLOOKUP(E233,[1]characters!$A:$C,3,FALSE)</f>
        <v>バルドル</v>
      </c>
      <c r="G233" s="7" t="str">
        <f>VLOOKUP(E233,[1]characters!$A:$J,10,FALSE)</f>
        <v>PremiumS</v>
      </c>
      <c r="H233" s="7">
        <f>VLOOKUP(E233,[1]characters!$A:$I,9,FALSE)</f>
        <v>3</v>
      </c>
      <c r="I233" s="7" t="str">
        <f>VLOOKUP(E233,[1]characters!$A:$H,8,FALSE)</f>
        <v>yellow</v>
      </c>
      <c r="J233" s="7" t="str">
        <f>VLOOKUP(E233,[1]characters!$A:$K,11,FALSE)</f>
        <v>heal</v>
      </c>
      <c r="K233" s="7" t="str">
        <f>VLOOKUP(E233,[1]characters!$A:$M,13,FALSE)</f>
        <v>god</v>
      </c>
      <c r="L233" s="7" t="str">
        <f>VLOOKUP(E233,[1]characters!$A:$G,7,FALSE)</f>
        <v>男性</v>
      </c>
      <c r="M233" s="62">
        <f ca="1">IFERROR(VLOOKUP(E233,input_313100!L:R,7,FALSE),VLOOKUP(tables_313100!B233,input_313100!A:H,8,FALSE))</f>
        <v>0</v>
      </c>
      <c r="N233" s="63">
        <f t="shared" ca="1" si="16"/>
        <v>0</v>
      </c>
      <c r="O233" s="31">
        <f>IFERROR(VLOOKUP($E233,bug_conf_sheet!$A:$H,3,FALSE),VLOOKUP("other",bug_conf_sheet!$A:$H,3,FALSE))</f>
        <v>1</v>
      </c>
      <c r="P233" s="31">
        <f>IFERROR(VLOOKUP($E233,bug_conf_sheet!$A:$H,4,FALSE),VLOOKUP("other",bug_conf_sheet!$A:$H,4,FALSE))</f>
        <v>0</v>
      </c>
      <c r="Q233" s="31">
        <f>IFERROR(VLOOKUP($E233,bug_conf_sheet!$A:$H,5,FALSE),VLOOKUP("other",bug_conf_sheet!$A:$H,5,FALSE))</f>
        <v>0</v>
      </c>
      <c r="R233" s="31">
        <f>IFERROR(VLOOKUP($E233,bug_conf_sheet!$A:$H,6,FALSE),VLOOKUP("other",bug_conf_sheet!$A:$H,6,FALSE))</f>
        <v>0</v>
      </c>
      <c r="S233" s="31">
        <f>IFERROR(VLOOKUP($E233,bug_conf_sheet!$A:$H,7,FALSE),VLOOKUP("other",bug_conf_sheet!$A:$H,7,FALSE))</f>
        <v>0</v>
      </c>
      <c r="T233" s="31">
        <f>IFERROR(VLOOKUP($E233,bug_conf_sheet!$A:$H,8,FALSE),VLOOKUP("other",bug_conf_sheet!$A:$H,8,FALSE))</f>
        <v>1</v>
      </c>
    </row>
    <row r="234" spans="1:20" ht="21" customHeight="1">
      <c r="A234" s="2" t="str">
        <f ca="1">input_313100!A$2</f>
        <v>313100</v>
      </c>
      <c r="B234" s="7" t="str">
        <f t="shared" si="13"/>
        <v>Premium4</v>
      </c>
      <c r="C234" s="7" t="str">
        <f t="shared" si="14"/>
        <v>Premium</v>
      </c>
      <c r="D234" s="7" t="str">
        <f t="shared" si="15"/>
        <v>ry</v>
      </c>
      <c r="E234" s="6">
        <v>605</v>
      </c>
      <c r="F234" s="7" t="str">
        <f>VLOOKUP(E234,[1]characters!$A:$C,3,FALSE)</f>
        <v>祝福される光耀 バルドル</v>
      </c>
      <c r="G234" s="7" t="str">
        <f>VLOOKUP(E234,[1]characters!$A:$J,10,FALSE)</f>
        <v>PremiumS</v>
      </c>
      <c r="H234" s="7">
        <f>VLOOKUP(E234,[1]characters!$A:$I,9,FALSE)</f>
        <v>4</v>
      </c>
      <c r="I234" s="7" t="str">
        <f>VLOOKUP(E234,[1]characters!$A:$H,8,FALSE)</f>
        <v>yellow</v>
      </c>
      <c r="J234" s="7" t="str">
        <f>VLOOKUP(E234,[1]characters!$A:$K,11,FALSE)</f>
        <v>heal</v>
      </c>
      <c r="K234" s="7" t="str">
        <f>VLOOKUP(E234,[1]characters!$A:$M,13,FALSE)</f>
        <v>god</v>
      </c>
      <c r="L234" s="7" t="str">
        <f>VLOOKUP(E234,[1]characters!$A:$G,7,FALSE)</f>
        <v>男性</v>
      </c>
      <c r="M234" s="62">
        <f ca="1">IFERROR(VLOOKUP(E234,input_313100!L:R,7,FALSE),VLOOKUP(tables_313100!B234,input_313100!A:H,8,FALSE))</f>
        <v>342090</v>
      </c>
      <c r="N234" s="63">
        <f t="shared" ca="1" si="16"/>
        <v>1.222972972972973E-2</v>
      </c>
      <c r="O234" s="31">
        <f>IFERROR(VLOOKUP($E234,bug_conf_sheet!$A:$H,3,FALSE),VLOOKUP("other",bug_conf_sheet!$A:$H,3,FALSE))</f>
        <v>1</v>
      </c>
      <c r="P234" s="31">
        <f>IFERROR(VLOOKUP($E234,bug_conf_sheet!$A:$H,4,FALSE),VLOOKUP("other",bug_conf_sheet!$A:$H,4,FALSE))</f>
        <v>0</v>
      </c>
      <c r="Q234" s="31">
        <f>IFERROR(VLOOKUP($E234,bug_conf_sheet!$A:$H,5,FALSE),VLOOKUP("other",bug_conf_sheet!$A:$H,5,FALSE))</f>
        <v>0</v>
      </c>
      <c r="R234" s="31">
        <f>IFERROR(VLOOKUP($E234,bug_conf_sheet!$A:$H,6,FALSE),VLOOKUP("other",bug_conf_sheet!$A:$H,6,FALSE))</f>
        <v>0</v>
      </c>
      <c r="S234" s="31">
        <f>IFERROR(VLOOKUP($E234,bug_conf_sheet!$A:$H,7,FALSE),VLOOKUP("other",bug_conf_sheet!$A:$H,7,FALSE))</f>
        <v>0</v>
      </c>
      <c r="T234" s="31">
        <f>IFERROR(VLOOKUP($E234,bug_conf_sheet!$A:$H,8,FALSE),VLOOKUP("other",bug_conf_sheet!$A:$H,8,FALSE))</f>
        <v>1</v>
      </c>
    </row>
    <row r="235" spans="1:20" ht="21" customHeight="1">
      <c r="A235" s="2" t="str">
        <f ca="1">input_313100!A$2</f>
        <v>313100</v>
      </c>
      <c r="B235" s="7" t="str">
        <f t="shared" si="13"/>
        <v>Premium5</v>
      </c>
      <c r="C235" s="7" t="str">
        <f t="shared" si="14"/>
        <v>Premium</v>
      </c>
      <c r="D235" s="7" t="str">
        <f t="shared" si="15"/>
        <v>ry</v>
      </c>
      <c r="E235" s="6">
        <v>606</v>
      </c>
      <c r="F235" s="7" t="str">
        <f>VLOOKUP(E235,[1]characters!$A:$C,3,FALSE)</f>
        <v>冀望の光芒 バルドル</v>
      </c>
      <c r="G235" s="7" t="str">
        <f>VLOOKUP(E235,[1]characters!$A:$J,10,FALSE)</f>
        <v>PremiumS</v>
      </c>
      <c r="H235" s="7">
        <f>VLOOKUP(E235,[1]characters!$A:$I,9,FALSE)</f>
        <v>5</v>
      </c>
      <c r="I235" s="7" t="str">
        <f>VLOOKUP(E235,[1]characters!$A:$H,8,FALSE)</f>
        <v>yellow</v>
      </c>
      <c r="J235" s="7" t="str">
        <f>VLOOKUP(E235,[1]characters!$A:$K,11,FALSE)</f>
        <v>heal</v>
      </c>
      <c r="K235" s="7" t="str">
        <f>VLOOKUP(E235,[1]characters!$A:$M,13,FALSE)</f>
        <v>god</v>
      </c>
      <c r="L235" s="7" t="str">
        <f>VLOOKUP(E235,[1]characters!$A:$G,7,FALSE)</f>
        <v>男性</v>
      </c>
      <c r="M235" s="62">
        <f ca="1">IFERROR(VLOOKUP(E235,input_313100!L:R,7,FALSE),VLOOKUP(tables_313100!B235,input_313100!A:H,8,FALSE))</f>
        <v>12950</v>
      </c>
      <c r="N235" s="63">
        <f t="shared" ca="1" si="16"/>
        <v>4.6296296296296298E-4</v>
      </c>
      <c r="O235" s="31">
        <f>IFERROR(VLOOKUP($E235,bug_conf_sheet!$A:$H,3,FALSE),VLOOKUP("other",bug_conf_sheet!$A:$H,3,FALSE))</f>
        <v>1</v>
      </c>
      <c r="P235" s="31">
        <f>IFERROR(VLOOKUP($E235,bug_conf_sheet!$A:$H,4,FALSE),VLOOKUP("other",bug_conf_sheet!$A:$H,4,FALSE))</f>
        <v>0</v>
      </c>
      <c r="Q235" s="31">
        <f>IFERROR(VLOOKUP($E235,bug_conf_sheet!$A:$H,5,FALSE),VLOOKUP("other",bug_conf_sheet!$A:$H,5,FALSE))</f>
        <v>0</v>
      </c>
      <c r="R235" s="31">
        <f>IFERROR(VLOOKUP($E235,bug_conf_sheet!$A:$H,6,FALSE),VLOOKUP("other",bug_conf_sheet!$A:$H,6,FALSE))</f>
        <v>0</v>
      </c>
      <c r="S235" s="31">
        <f>IFERROR(VLOOKUP($E235,bug_conf_sheet!$A:$H,7,FALSE),VLOOKUP("other",bug_conf_sheet!$A:$H,7,FALSE))</f>
        <v>0</v>
      </c>
      <c r="T235" s="31">
        <f>IFERROR(VLOOKUP($E235,bug_conf_sheet!$A:$H,8,FALSE),VLOOKUP("other",bug_conf_sheet!$A:$H,8,FALSE))</f>
        <v>1</v>
      </c>
    </row>
    <row r="236" spans="1:20" ht="21" customHeight="1">
      <c r="A236" s="2" t="str">
        <f ca="1">input_313100!A$2</f>
        <v>313100</v>
      </c>
      <c r="B236" s="7" t="str">
        <f t="shared" si="13"/>
        <v>PremiumSSry4</v>
      </c>
      <c r="C236" s="7" t="str">
        <f t="shared" si="14"/>
        <v>PremiumSS</v>
      </c>
      <c r="D236" s="7" t="str">
        <f t="shared" si="15"/>
        <v>ry</v>
      </c>
      <c r="E236" s="6">
        <v>658</v>
      </c>
      <c r="F236" s="7" t="str">
        <f>VLOOKUP(E236,[1]characters!$A:$C,3,FALSE)</f>
        <v>猫又 クルミ</v>
      </c>
      <c r="G236" s="7" t="str">
        <f>VLOOKUP(E236,[1]characters!$A:$J,10,FALSE)</f>
        <v>PremiumSS</v>
      </c>
      <c r="H236" s="7">
        <f>VLOOKUP(E236,[1]characters!$A:$I,9,FALSE)</f>
        <v>4</v>
      </c>
      <c r="I236" s="7" t="str">
        <f>VLOOKUP(E236,[1]characters!$A:$H,8,FALSE)</f>
        <v>red</v>
      </c>
      <c r="J236" s="7" t="str">
        <f>VLOOKUP(E236,[1]characters!$A:$K,11,FALSE)</f>
        <v>attack</v>
      </c>
      <c r="K236" s="7" t="str">
        <f>VLOOKUP(E236,[1]characters!$A:$M,13,FALSE)</f>
        <v>animal</v>
      </c>
      <c r="L236" s="7" t="str">
        <f>VLOOKUP(E236,[1]characters!$A:$G,7,FALSE)</f>
        <v>女性</v>
      </c>
      <c r="M236" s="62">
        <f ca="1">IFERROR(VLOOKUP(E236,input_313100!L:R,7,FALSE),VLOOKUP(tables_313100!B236,input_313100!A:H,8,FALSE))</f>
        <v>53946</v>
      </c>
      <c r="N236" s="63">
        <f t="shared" ca="1" si="16"/>
        <v>1.9285714285714286E-3</v>
      </c>
      <c r="O236" s="31">
        <f>IFERROR(VLOOKUP($E236,bug_conf_sheet!$A:$H,3,FALSE),VLOOKUP("other",bug_conf_sheet!$A:$H,3,FALSE))</f>
        <v>1</v>
      </c>
      <c r="P236" s="31">
        <f>IFERROR(VLOOKUP($E236,bug_conf_sheet!$A:$H,4,FALSE),VLOOKUP("other",bug_conf_sheet!$A:$H,4,FALSE))</f>
        <v>0</v>
      </c>
      <c r="Q236" s="31">
        <f>IFERROR(VLOOKUP($E236,bug_conf_sheet!$A:$H,5,FALSE),VLOOKUP("other",bug_conf_sheet!$A:$H,5,FALSE))</f>
        <v>0</v>
      </c>
      <c r="R236" s="31">
        <f>IFERROR(VLOOKUP($E236,bug_conf_sheet!$A:$H,6,FALSE),VLOOKUP("other",bug_conf_sheet!$A:$H,6,FALSE))</f>
        <v>0</v>
      </c>
      <c r="S236" s="31">
        <f>IFERROR(VLOOKUP($E236,bug_conf_sheet!$A:$H,7,FALSE),VLOOKUP("other",bug_conf_sheet!$A:$H,7,FALSE))</f>
        <v>0</v>
      </c>
      <c r="T236" s="31">
        <f>IFERROR(VLOOKUP($E236,bug_conf_sheet!$A:$H,8,FALSE),VLOOKUP("other",bug_conf_sheet!$A:$H,8,FALSE))</f>
        <v>1</v>
      </c>
    </row>
    <row r="237" spans="1:20" ht="21" customHeight="1">
      <c r="A237" s="2" t="str">
        <f ca="1">input_313100!A$2</f>
        <v>313100</v>
      </c>
      <c r="B237" s="7" t="str">
        <f t="shared" si="13"/>
        <v>PremiumSSry5</v>
      </c>
      <c r="C237" s="7" t="str">
        <f t="shared" si="14"/>
        <v>PremiumSS</v>
      </c>
      <c r="D237" s="7" t="str">
        <f t="shared" si="15"/>
        <v>ry</v>
      </c>
      <c r="E237" s="6">
        <v>659</v>
      </c>
      <c r="F237" s="7" t="str">
        <f>VLOOKUP(E237,[1]characters!$A:$C,3,FALSE)</f>
        <v>跳梁する化猫 クルミ</v>
      </c>
      <c r="G237" s="7" t="str">
        <f>VLOOKUP(E237,[1]characters!$A:$J,10,FALSE)</f>
        <v>PremiumSS</v>
      </c>
      <c r="H237" s="7">
        <f>VLOOKUP(E237,[1]characters!$A:$I,9,FALSE)</f>
        <v>5</v>
      </c>
      <c r="I237" s="7" t="str">
        <f>VLOOKUP(E237,[1]characters!$A:$H,8,FALSE)</f>
        <v>red</v>
      </c>
      <c r="J237" s="7" t="str">
        <f>VLOOKUP(E237,[1]characters!$A:$K,11,FALSE)</f>
        <v>attack</v>
      </c>
      <c r="K237" s="7" t="str">
        <f>VLOOKUP(E237,[1]characters!$A:$M,13,FALSE)</f>
        <v>animal</v>
      </c>
      <c r="L237" s="7" t="str">
        <f>VLOOKUP(E237,[1]characters!$A:$G,7,FALSE)</f>
        <v>女性</v>
      </c>
      <c r="M237" s="62">
        <f ca="1">IFERROR(VLOOKUP(E237,input_313100!L:R,7,FALSE),VLOOKUP(tables_313100!B237,input_313100!A:H,8,FALSE))</f>
        <v>5994</v>
      </c>
      <c r="N237" s="63">
        <f t="shared" ca="1" si="16"/>
        <v>2.1428571428571427E-4</v>
      </c>
      <c r="O237" s="31">
        <f>IFERROR(VLOOKUP($E237,bug_conf_sheet!$A:$H,3,FALSE),VLOOKUP("other",bug_conf_sheet!$A:$H,3,FALSE))</f>
        <v>1</v>
      </c>
      <c r="P237" s="31">
        <f>IFERROR(VLOOKUP($E237,bug_conf_sheet!$A:$H,4,FALSE),VLOOKUP("other",bug_conf_sheet!$A:$H,4,FALSE))</f>
        <v>0</v>
      </c>
      <c r="Q237" s="31">
        <f>IFERROR(VLOOKUP($E237,bug_conf_sheet!$A:$H,5,FALSE),VLOOKUP("other",bug_conf_sheet!$A:$H,5,FALSE))</f>
        <v>0</v>
      </c>
      <c r="R237" s="31">
        <f>IFERROR(VLOOKUP($E237,bug_conf_sheet!$A:$H,6,FALSE),VLOOKUP("other",bug_conf_sheet!$A:$H,6,FALSE))</f>
        <v>0</v>
      </c>
      <c r="S237" s="31">
        <f>IFERROR(VLOOKUP($E237,bug_conf_sheet!$A:$H,7,FALSE),VLOOKUP("other",bug_conf_sheet!$A:$H,7,FALSE))</f>
        <v>0</v>
      </c>
      <c r="T237" s="31">
        <f>IFERROR(VLOOKUP($E237,bug_conf_sheet!$A:$H,8,FALSE),VLOOKUP("other",bug_conf_sheet!$A:$H,8,FALSE))</f>
        <v>1</v>
      </c>
    </row>
    <row r="238" spans="1:20" ht="21" customHeight="1">
      <c r="A238" s="2" t="str">
        <f ca="1">input_313100!A$2</f>
        <v>313100</v>
      </c>
      <c r="B238" s="7" t="str">
        <f t="shared" si="13"/>
        <v>PremiumSSbg4</v>
      </c>
      <c r="C238" s="7" t="str">
        <f t="shared" si="14"/>
        <v>PremiumSS</v>
      </c>
      <c r="D238" s="7" t="str">
        <f t="shared" si="15"/>
        <v>bg</v>
      </c>
      <c r="E238" s="6">
        <v>660</v>
      </c>
      <c r="F238" s="7" t="str">
        <f>VLOOKUP(E238,[1]characters!$A:$C,3,FALSE)</f>
        <v>烏天狗 フウガ</v>
      </c>
      <c r="G238" s="7" t="str">
        <f>VLOOKUP(E238,[1]characters!$A:$J,10,FALSE)</f>
        <v>PremiumSS</v>
      </c>
      <c r="H238" s="7">
        <f>VLOOKUP(E238,[1]characters!$A:$I,9,FALSE)</f>
        <v>4</v>
      </c>
      <c r="I238" s="7" t="str">
        <f>VLOOKUP(E238,[1]characters!$A:$H,8,FALSE)</f>
        <v>green</v>
      </c>
      <c r="J238" s="7" t="str">
        <f>VLOOKUP(E238,[1]characters!$A:$K,11,FALSE)</f>
        <v>balance</v>
      </c>
      <c r="K238" s="7" t="str">
        <f>VLOOKUP(E238,[1]characters!$A:$M,13,FALSE)</f>
        <v>animal</v>
      </c>
      <c r="L238" s="7" t="str">
        <f>VLOOKUP(E238,[1]characters!$A:$G,7,FALSE)</f>
        <v>男性</v>
      </c>
      <c r="M238" s="62">
        <f ca="1">IFERROR(VLOOKUP(E238,input_313100!L:R,7,FALSE),VLOOKUP(tables_313100!B238,input_313100!A:H,8,FALSE))</f>
        <v>41958</v>
      </c>
      <c r="N238" s="63">
        <f t="shared" ca="1" si="16"/>
        <v>1.5E-3</v>
      </c>
      <c r="O238" s="31">
        <f>IFERROR(VLOOKUP($E238,bug_conf_sheet!$A:$H,3,FALSE),VLOOKUP("other",bug_conf_sheet!$A:$H,3,FALSE))</f>
        <v>1</v>
      </c>
      <c r="P238" s="31">
        <f>IFERROR(VLOOKUP($E238,bug_conf_sheet!$A:$H,4,FALSE),VLOOKUP("other",bug_conf_sheet!$A:$H,4,FALSE))</f>
        <v>0</v>
      </c>
      <c r="Q238" s="31">
        <f>IFERROR(VLOOKUP($E238,bug_conf_sheet!$A:$H,5,FALSE),VLOOKUP("other",bug_conf_sheet!$A:$H,5,FALSE))</f>
        <v>0</v>
      </c>
      <c r="R238" s="31">
        <f>IFERROR(VLOOKUP($E238,bug_conf_sheet!$A:$H,6,FALSE),VLOOKUP("other",bug_conf_sheet!$A:$H,6,FALSE))</f>
        <v>0</v>
      </c>
      <c r="S238" s="31">
        <f>IFERROR(VLOOKUP($E238,bug_conf_sheet!$A:$H,7,FALSE),VLOOKUP("other",bug_conf_sheet!$A:$H,7,FALSE))</f>
        <v>0</v>
      </c>
      <c r="T238" s="31">
        <f>IFERROR(VLOOKUP($E238,bug_conf_sheet!$A:$H,8,FALSE),VLOOKUP("other",bug_conf_sheet!$A:$H,8,FALSE))</f>
        <v>1</v>
      </c>
    </row>
    <row r="239" spans="1:20" ht="21" customHeight="1">
      <c r="A239" s="2" t="str">
        <f ca="1">input_313100!A$2</f>
        <v>313100</v>
      </c>
      <c r="B239" s="7" t="str">
        <f t="shared" si="13"/>
        <v>PremiumSSbg5</v>
      </c>
      <c r="C239" s="7" t="str">
        <f t="shared" si="14"/>
        <v>PremiumSS</v>
      </c>
      <c r="D239" s="7" t="str">
        <f t="shared" si="15"/>
        <v>bg</v>
      </c>
      <c r="E239" s="6">
        <v>661</v>
      </c>
      <c r="F239" s="7" t="str">
        <f>VLOOKUP(E239,[1]characters!$A:$C,3,FALSE)</f>
        <v>疾風の天狗礫 フウガ</v>
      </c>
      <c r="G239" s="7" t="str">
        <f>VLOOKUP(E239,[1]characters!$A:$J,10,FALSE)</f>
        <v>PremiumSS</v>
      </c>
      <c r="H239" s="7">
        <f>VLOOKUP(E239,[1]characters!$A:$I,9,FALSE)</f>
        <v>5</v>
      </c>
      <c r="I239" s="7" t="str">
        <f>VLOOKUP(E239,[1]characters!$A:$H,8,FALSE)</f>
        <v>green</v>
      </c>
      <c r="J239" s="7" t="str">
        <f>VLOOKUP(E239,[1]characters!$A:$K,11,FALSE)</f>
        <v>balance</v>
      </c>
      <c r="K239" s="7" t="str">
        <f>VLOOKUP(E239,[1]characters!$A:$M,13,FALSE)</f>
        <v>animal</v>
      </c>
      <c r="L239" s="7" t="str">
        <f>VLOOKUP(E239,[1]characters!$A:$G,7,FALSE)</f>
        <v>男性</v>
      </c>
      <c r="M239" s="62">
        <f ca="1">IFERROR(VLOOKUP(E239,input_313100!L:R,7,FALSE),VLOOKUP(tables_313100!B239,input_313100!A:H,8,FALSE))</f>
        <v>4662</v>
      </c>
      <c r="N239" s="63">
        <f t="shared" ca="1" si="16"/>
        <v>1.6666666666666666E-4</v>
      </c>
      <c r="O239" s="31">
        <f>IFERROR(VLOOKUP($E239,bug_conf_sheet!$A:$H,3,FALSE),VLOOKUP("other",bug_conf_sheet!$A:$H,3,FALSE))</f>
        <v>1</v>
      </c>
      <c r="P239" s="31">
        <f>IFERROR(VLOOKUP($E239,bug_conf_sheet!$A:$H,4,FALSE),VLOOKUP("other",bug_conf_sheet!$A:$H,4,FALSE))</f>
        <v>0</v>
      </c>
      <c r="Q239" s="31">
        <f>IFERROR(VLOOKUP($E239,bug_conf_sheet!$A:$H,5,FALSE),VLOOKUP("other",bug_conf_sheet!$A:$H,5,FALSE))</f>
        <v>0</v>
      </c>
      <c r="R239" s="31">
        <f>IFERROR(VLOOKUP($E239,bug_conf_sheet!$A:$H,6,FALSE),VLOOKUP("other",bug_conf_sheet!$A:$H,6,FALSE))</f>
        <v>0</v>
      </c>
      <c r="S239" s="31">
        <f>IFERROR(VLOOKUP($E239,bug_conf_sheet!$A:$H,7,FALSE),VLOOKUP("other",bug_conf_sheet!$A:$H,7,FALSE))</f>
        <v>0</v>
      </c>
      <c r="T239" s="31">
        <f>IFERROR(VLOOKUP($E239,bug_conf_sheet!$A:$H,8,FALSE),VLOOKUP("other",bug_conf_sheet!$A:$H,8,FALSE))</f>
        <v>1</v>
      </c>
    </row>
    <row r="240" spans="1:20" ht="21" customHeight="1">
      <c r="A240" s="2" t="str">
        <f ca="1">input_313100!A$2</f>
        <v>313100</v>
      </c>
      <c r="B240" s="7" t="str">
        <f t="shared" si="13"/>
        <v>Premium3</v>
      </c>
      <c r="C240" s="7" t="str">
        <f t="shared" si="14"/>
        <v>Premium</v>
      </c>
      <c r="D240" s="7" t="str">
        <f t="shared" si="15"/>
        <v>bg</v>
      </c>
      <c r="E240" s="6">
        <v>662</v>
      </c>
      <c r="F240" s="7" t="str">
        <f>VLOOKUP(E240,[1]characters!$A:$C,3,FALSE)</f>
        <v>ダイダラ</v>
      </c>
      <c r="G240" s="7" t="str">
        <f>VLOOKUP(E240,[1]characters!$A:$J,10,FALSE)</f>
        <v>PremiumS</v>
      </c>
      <c r="H240" s="7">
        <f>VLOOKUP(E240,[1]characters!$A:$I,9,FALSE)</f>
        <v>3</v>
      </c>
      <c r="I240" s="7" t="str">
        <f>VLOOKUP(E240,[1]characters!$A:$H,8,FALSE)</f>
        <v>blue</v>
      </c>
      <c r="J240" s="7" t="str">
        <f>VLOOKUP(E240,[1]characters!$A:$K,11,FALSE)</f>
        <v>hp</v>
      </c>
      <c r="K240" s="7" t="str">
        <f>VLOOKUP(E240,[1]characters!$A:$M,13,FALSE)</f>
        <v>unknown</v>
      </c>
      <c r="L240" s="7" t="str">
        <f>VLOOKUP(E240,[1]characters!$A:$G,7,FALSE)</f>
        <v>不明</v>
      </c>
      <c r="M240" s="62">
        <f ca="1">IFERROR(VLOOKUP(E240,input_313100!L:R,7,FALSE),VLOOKUP(tables_313100!B240,input_313100!A:H,8,FALSE))</f>
        <v>0</v>
      </c>
      <c r="N240" s="63">
        <f t="shared" ca="1" si="16"/>
        <v>0</v>
      </c>
      <c r="O240" s="31">
        <f>IFERROR(VLOOKUP($E240,bug_conf_sheet!$A:$H,3,FALSE),VLOOKUP("other",bug_conf_sheet!$A:$H,3,FALSE))</f>
        <v>1</v>
      </c>
      <c r="P240" s="31">
        <f>IFERROR(VLOOKUP($E240,bug_conf_sheet!$A:$H,4,FALSE),VLOOKUP("other",bug_conf_sheet!$A:$H,4,FALSE))</f>
        <v>0</v>
      </c>
      <c r="Q240" s="31">
        <f>IFERROR(VLOOKUP($E240,bug_conf_sheet!$A:$H,5,FALSE),VLOOKUP("other",bug_conf_sheet!$A:$H,5,FALSE))</f>
        <v>0</v>
      </c>
      <c r="R240" s="31">
        <f>IFERROR(VLOOKUP($E240,bug_conf_sheet!$A:$H,6,FALSE),VLOOKUP("other",bug_conf_sheet!$A:$H,6,FALSE))</f>
        <v>0</v>
      </c>
      <c r="S240" s="31">
        <f>IFERROR(VLOOKUP($E240,bug_conf_sheet!$A:$H,7,FALSE),VLOOKUP("other",bug_conf_sheet!$A:$H,7,FALSE))</f>
        <v>0</v>
      </c>
      <c r="T240" s="31">
        <f>IFERROR(VLOOKUP($E240,bug_conf_sheet!$A:$H,8,FALSE),VLOOKUP("other",bug_conf_sheet!$A:$H,8,FALSE))</f>
        <v>1</v>
      </c>
    </row>
    <row r="241" spans="1:20" ht="21" customHeight="1">
      <c r="A241" s="2" t="str">
        <f ca="1">input_313100!A$2</f>
        <v>313100</v>
      </c>
      <c r="B241" s="7" t="str">
        <f t="shared" si="13"/>
        <v>Premium4</v>
      </c>
      <c r="C241" s="7" t="str">
        <f t="shared" si="14"/>
        <v>Premium</v>
      </c>
      <c r="D241" s="7" t="str">
        <f t="shared" si="15"/>
        <v>bg</v>
      </c>
      <c r="E241" s="6">
        <v>663</v>
      </c>
      <c r="F241" s="7" t="str">
        <f>VLOOKUP(E241,[1]characters!$A:$C,3,FALSE)</f>
        <v>都揺らす地響き ダイダラ</v>
      </c>
      <c r="G241" s="7" t="str">
        <f>VLOOKUP(E241,[1]characters!$A:$J,10,FALSE)</f>
        <v>PremiumS</v>
      </c>
      <c r="H241" s="7">
        <f>VLOOKUP(E241,[1]characters!$A:$I,9,FALSE)</f>
        <v>4</v>
      </c>
      <c r="I241" s="7" t="str">
        <f>VLOOKUP(E241,[1]characters!$A:$H,8,FALSE)</f>
        <v>blue</v>
      </c>
      <c r="J241" s="7" t="str">
        <f>VLOOKUP(E241,[1]characters!$A:$K,11,FALSE)</f>
        <v>hp</v>
      </c>
      <c r="K241" s="7" t="str">
        <f>VLOOKUP(E241,[1]characters!$A:$M,13,FALSE)</f>
        <v>unknown</v>
      </c>
      <c r="L241" s="7" t="str">
        <f>VLOOKUP(E241,[1]characters!$A:$G,7,FALSE)</f>
        <v>不明</v>
      </c>
      <c r="M241" s="62">
        <f ca="1">IFERROR(VLOOKUP(E241,input_313100!L:R,7,FALSE),VLOOKUP(tables_313100!B241,input_313100!A:H,8,FALSE))</f>
        <v>342090</v>
      </c>
      <c r="N241" s="63">
        <f t="shared" ca="1" si="16"/>
        <v>1.222972972972973E-2</v>
      </c>
      <c r="O241" s="31">
        <f>IFERROR(VLOOKUP($E241,bug_conf_sheet!$A:$H,3,FALSE),VLOOKUP("other",bug_conf_sheet!$A:$H,3,FALSE))</f>
        <v>1</v>
      </c>
      <c r="P241" s="31">
        <f>IFERROR(VLOOKUP($E241,bug_conf_sheet!$A:$H,4,FALSE),VLOOKUP("other",bug_conf_sheet!$A:$H,4,FALSE))</f>
        <v>0</v>
      </c>
      <c r="Q241" s="31">
        <f>IFERROR(VLOOKUP($E241,bug_conf_sheet!$A:$H,5,FALSE),VLOOKUP("other",bug_conf_sheet!$A:$H,5,FALSE))</f>
        <v>0</v>
      </c>
      <c r="R241" s="31">
        <f>IFERROR(VLOOKUP($E241,bug_conf_sheet!$A:$H,6,FALSE),VLOOKUP("other",bug_conf_sheet!$A:$H,6,FALSE))</f>
        <v>0</v>
      </c>
      <c r="S241" s="31">
        <f>IFERROR(VLOOKUP($E241,bug_conf_sheet!$A:$H,7,FALSE),VLOOKUP("other",bug_conf_sheet!$A:$H,7,FALSE))</f>
        <v>0</v>
      </c>
      <c r="T241" s="31">
        <f>IFERROR(VLOOKUP($E241,bug_conf_sheet!$A:$H,8,FALSE),VLOOKUP("other",bug_conf_sheet!$A:$H,8,FALSE))</f>
        <v>1</v>
      </c>
    </row>
    <row r="242" spans="1:20" ht="21" customHeight="1">
      <c r="A242" s="2" t="str">
        <f ca="1">input_313100!A$2</f>
        <v>313100</v>
      </c>
      <c r="B242" s="7" t="str">
        <f t="shared" si="13"/>
        <v>Premium5</v>
      </c>
      <c r="C242" s="7" t="str">
        <f t="shared" si="14"/>
        <v>Premium</v>
      </c>
      <c r="D242" s="7" t="str">
        <f t="shared" si="15"/>
        <v>bg</v>
      </c>
      <c r="E242" s="6">
        <v>664</v>
      </c>
      <c r="F242" s="7" t="str">
        <f>VLOOKUP(E242,[1]characters!$A:$C,3,FALSE)</f>
        <v>山掴み国造り ダイダラ</v>
      </c>
      <c r="G242" s="7" t="str">
        <f>VLOOKUP(E242,[1]characters!$A:$J,10,FALSE)</f>
        <v>PremiumS</v>
      </c>
      <c r="H242" s="7">
        <f>VLOOKUP(E242,[1]characters!$A:$I,9,FALSE)</f>
        <v>5</v>
      </c>
      <c r="I242" s="7" t="str">
        <f>VLOOKUP(E242,[1]characters!$A:$H,8,FALSE)</f>
        <v>blue</v>
      </c>
      <c r="J242" s="7" t="str">
        <f>VLOOKUP(E242,[1]characters!$A:$K,11,FALSE)</f>
        <v>hp</v>
      </c>
      <c r="K242" s="7" t="str">
        <f>VLOOKUP(E242,[1]characters!$A:$M,13,FALSE)</f>
        <v>unknown</v>
      </c>
      <c r="L242" s="7" t="str">
        <f>VLOOKUP(E242,[1]characters!$A:$G,7,FALSE)</f>
        <v>不明</v>
      </c>
      <c r="M242" s="62">
        <f ca="1">IFERROR(VLOOKUP(E242,input_313100!L:R,7,FALSE),VLOOKUP(tables_313100!B242,input_313100!A:H,8,FALSE))</f>
        <v>12950</v>
      </c>
      <c r="N242" s="63">
        <f t="shared" ca="1" si="16"/>
        <v>4.6296296296296298E-4</v>
      </c>
      <c r="O242" s="31">
        <f>IFERROR(VLOOKUP($E242,bug_conf_sheet!$A:$H,3,FALSE),VLOOKUP("other",bug_conf_sheet!$A:$H,3,FALSE))</f>
        <v>1</v>
      </c>
      <c r="P242" s="31">
        <f>IFERROR(VLOOKUP($E242,bug_conf_sheet!$A:$H,4,FALSE),VLOOKUP("other",bug_conf_sheet!$A:$H,4,FALSE))</f>
        <v>0</v>
      </c>
      <c r="Q242" s="31">
        <f>IFERROR(VLOOKUP($E242,bug_conf_sheet!$A:$H,5,FALSE),VLOOKUP("other",bug_conf_sheet!$A:$H,5,FALSE))</f>
        <v>0</v>
      </c>
      <c r="R242" s="31">
        <f>IFERROR(VLOOKUP($E242,bug_conf_sheet!$A:$H,6,FALSE),VLOOKUP("other",bug_conf_sheet!$A:$H,6,FALSE))</f>
        <v>0</v>
      </c>
      <c r="S242" s="31">
        <f>IFERROR(VLOOKUP($E242,bug_conf_sheet!$A:$H,7,FALSE),VLOOKUP("other",bug_conf_sheet!$A:$H,7,FALSE))</f>
        <v>0</v>
      </c>
      <c r="T242" s="31">
        <f>IFERROR(VLOOKUP($E242,bug_conf_sheet!$A:$H,8,FALSE),VLOOKUP("other",bug_conf_sheet!$A:$H,8,FALSE))</f>
        <v>1</v>
      </c>
    </row>
    <row r="243" spans="1:20" ht="21" customHeight="1">
      <c r="A243" s="2" t="str">
        <f ca="1">input_313100!A$2</f>
        <v>313100</v>
      </c>
      <c r="B243" s="7" t="str">
        <f t="shared" si="13"/>
        <v>Premium3</v>
      </c>
      <c r="C243" s="7" t="str">
        <f t="shared" si="14"/>
        <v>Premium</v>
      </c>
      <c r="D243" s="7" t="str">
        <f t="shared" si="15"/>
        <v>ry</v>
      </c>
      <c r="E243" s="6">
        <v>665</v>
      </c>
      <c r="F243" s="7" t="str">
        <f>VLOOKUP(E243,[1]characters!$A:$C,3,FALSE)</f>
        <v>座敷童子 テマリ</v>
      </c>
      <c r="G243" s="7" t="str">
        <f>VLOOKUP(E243,[1]characters!$A:$J,10,FALSE)</f>
        <v>PremiumS</v>
      </c>
      <c r="H243" s="7">
        <f>VLOOKUP(E243,[1]characters!$A:$I,9,FALSE)</f>
        <v>3</v>
      </c>
      <c r="I243" s="7" t="str">
        <f>VLOOKUP(E243,[1]characters!$A:$H,8,FALSE)</f>
        <v>yellow</v>
      </c>
      <c r="J243" s="7" t="str">
        <f>VLOOKUP(E243,[1]characters!$A:$K,11,FALSE)</f>
        <v>balance</v>
      </c>
      <c r="K243" s="7" t="str">
        <f>VLOOKUP(E243,[1]characters!$A:$M,13,FALSE)</f>
        <v>unknown</v>
      </c>
      <c r="L243" s="7" t="str">
        <f>VLOOKUP(E243,[1]characters!$A:$G,7,FALSE)</f>
        <v>女性</v>
      </c>
      <c r="M243" s="62">
        <f ca="1">IFERROR(VLOOKUP(E243,input_313100!L:R,7,FALSE),VLOOKUP(tables_313100!B243,input_313100!A:H,8,FALSE))</f>
        <v>0</v>
      </c>
      <c r="N243" s="63">
        <f t="shared" ca="1" si="16"/>
        <v>0</v>
      </c>
      <c r="O243" s="31">
        <f>IFERROR(VLOOKUP($E243,bug_conf_sheet!$A:$H,3,FALSE),VLOOKUP("other",bug_conf_sheet!$A:$H,3,FALSE))</f>
        <v>1</v>
      </c>
      <c r="P243" s="31">
        <f>IFERROR(VLOOKUP($E243,bug_conf_sheet!$A:$H,4,FALSE),VLOOKUP("other",bug_conf_sheet!$A:$H,4,FALSE))</f>
        <v>0</v>
      </c>
      <c r="Q243" s="31">
        <f>IFERROR(VLOOKUP($E243,bug_conf_sheet!$A:$H,5,FALSE),VLOOKUP("other",bug_conf_sheet!$A:$H,5,FALSE))</f>
        <v>0</v>
      </c>
      <c r="R243" s="31">
        <f>IFERROR(VLOOKUP($E243,bug_conf_sheet!$A:$H,6,FALSE),VLOOKUP("other",bug_conf_sheet!$A:$H,6,FALSE))</f>
        <v>0</v>
      </c>
      <c r="S243" s="31">
        <f>IFERROR(VLOOKUP($E243,bug_conf_sheet!$A:$H,7,FALSE),VLOOKUP("other",bug_conf_sheet!$A:$H,7,FALSE))</f>
        <v>0</v>
      </c>
      <c r="T243" s="31">
        <f>IFERROR(VLOOKUP($E243,bug_conf_sheet!$A:$H,8,FALSE),VLOOKUP("other",bug_conf_sheet!$A:$H,8,FALSE))</f>
        <v>1</v>
      </c>
    </row>
    <row r="244" spans="1:20" ht="21" customHeight="1">
      <c r="A244" s="2" t="str">
        <f ca="1">input_313100!A$2</f>
        <v>313100</v>
      </c>
      <c r="B244" s="7" t="str">
        <f t="shared" si="13"/>
        <v>Premium4</v>
      </c>
      <c r="C244" s="7" t="str">
        <f t="shared" si="14"/>
        <v>Premium</v>
      </c>
      <c r="D244" s="7" t="str">
        <f t="shared" si="15"/>
        <v>ry</v>
      </c>
      <c r="E244" s="6">
        <v>666</v>
      </c>
      <c r="F244" s="7" t="str">
        <f>VLOOKUP(E244,[1]characters!$A:$C,3,FALSE)</f>
        <v>拡散する幸福 テマリ</v>
      </c>
      <c r="G244" s="7" t="str">
        <f>VLOOKUP(E244,[1]characters!$A:$J,10,FALSE)</f>
        <v>PremiumS</v>
      </c>
      <c r="H244" s="7">
        <f>VLOOKUP(E244,[1]characters!$A:$I,9,FALSE)</f>
        <v>4</v>
      </c>
      <c r="I244" s="7" t="str">
        <f>VLOOKUP(E244,[1]characters!$A:$H,8,FALSE)</f>
        <v>yellow</v>
      </c>
      <c r="J244" s="7" t="str">
        <f>VLOOKUP(E244,[1]characters!$A:$K,11,FALSE)</f>
        <v>balance</v>
      </c>
      <c r="K244" s="7" t="str">
        <f>VLOOKUP(E244,[1]characters!$A:$M,13,FALSE)</f>
        <v>unknown</v>
      </c>
      <c r="L244" s="7" t="str">
        <f>VLOOKUP(E244,[1]characters!$A:$G,7,FALSE)</f>
        <v>女性</v>
      </c>
      <c r="M244" s="62">
        <f ca="1">IFERROR(VLOOKUP(E244,input_313100!L:R,7,FALSE),VLOOKUP(tables_313100!B244,input_313100!A:H,8,FALSE))</f>
        <v>342090</v>
      </c>
      <c r="N244" s="63">
        <f t="shared" ca="1" si="16"/>
        <v>1.222972972972973E-2</v>
      </c>
      <c r="O244" s="31">
        <f>IFERROR(VLOOKUP($E244,bug_conf_sheet!$A:$H,3,FALSE),VLOOKUP("other",bug_conf_sheet!$A:$H,3,FALSE))</f>
        <v>1</v>
      </c>
      <c r="P244" s="31">
        <f>IFERROR(VLOOKUP($E244,bug_conf_sheet!$A:$H,4,FALSE),VLOOKUP("other",bug_conf_sheet!$A:$H,4,FALSE))</f>
        <v>0</v>
      </c>
      <c r="Q244" s="31">
        <f>IFERROR(VLOOKUP($E244,bug_conf_sheet!$A:$H,5,FALSE),VLOOKUP("other",bug_conf_sheet!$A:$H,5,FALSE))</f>
        <v>0</v>
      </c>
      <c r="R244" s="31">
        <f>IFERROR(VLOOKUP($E244,bug_conf_sheet!$A:$H,6,FALSE),VLOOKUP("other",bug_conf_sheet!$A:$H,6,FALSE))</f>
        <v>0</v>
      </c>
      <c r="S244" s="31">
        <f>IFERROR(VLOOKUP($E244,bug_conf_sheet!$A:$H,7,FALSE),VLOOKUP("other",bug_conf_sheet!$A:$H,7,FALSE))</f>
        <v>0</v>
      </c>
      <c r="T244" s="31">
        <f>IFERROR(VLOOKUP($E244,bug_conf_sheet!$A:$H,8,FALSE),VLOOKUP("other",bug_conf_sheet!$A:$H,8,FALSE))</f>
        <v>1</v>
      </c>
    </row>
    <row r="245" spans="1:20" ht="21" customHeight="1">
      <c r="A245" s="2" t="str">
        <f ca="1">input_313100!A$2</f>
        <v>313100</v>
      </c>
      <c r="B245" s="7" t="str">
        <f t="shared" si="13"/>
        <v>Premium5</v>
      </c>
      <c r="C245" s="7" t="str">
        <f t="shared" si="14"/>
        <v>Premium</v>
      </c>
      <c r="D245" s="7" t="str">
        <f t="shared" si="15"/>
        <v>ry</v>
      </c>
      <c r="E245" s="6">
        <v>667</v>
      </c>
      <c r="F245" s="7" t="str">
        <f>VLOOKUP(E245,[1]characters!$A:$C,3,FALSE)</f>
        <v>最幸運の妖童 テマリ</v>
      </c>
      <c r="G245" s="7" t="str">
        <f>VLOOKUP(E245,[1]characters!$A:$J,10,FALSE)</f>
        <v>PremiumS</v>
      </c>
      <c r="H245" s="7">
        <f>VLOOKUP(E245,[1]characters!$A:$I,9,FALSE)</f>
        <v>5</v>
      </c>
      <c r="I245" s="7" t="str">
        <f>VLOOKUP(E245,[1]characters!$A:$H,8,FALSE)</f>
        <v>yellow</v>
      </c>
      <c r="J245" s="7" t="str">
        <f>VLOOKUP(E245,[1]characters!$A:$K,11,FALSE)</f>
        <v>balance</v>
      </c>
      <c r="K245" s="7" t="str">
        <f>VLOOKUP(E245,[1]characters!$A:$M,13,FALSE)</f>
        <v>unknown</v>
      </c>
      <c r="L245" s="7" t="str">
        <f>VLOOKUP(E245,[1]characters!$A:$G,7,FALSE)</f>
        <v>女性</v>
      </c>
      <c r="M245" s="62">
        <f ca="1">IFERROR(VLOOKUP(E245,input_313100!L:R,7,FALSE),VLOOKUP(tables_313100!B245,input_313100!A:H,8,FALSE))</f>
        <v>12950</v>
      </c>
      <c r="N245" s="63">
        <f t="shared" ca="1" si="16"/>
        <v>4.6296296296296298E-4</v>
      </c>
      <c r="O245" s="31">
        <f>IFERROR(VLOOKUP($E245,bug_conf_sheet!$A:$H,3,FALSE),VLOOKUP("other",bug_conf_sheet!$A:$H,3,FALSE))</f>
        <v>1</v>
      </c>
      <c r="P245" s="31">
        <f>IFERROR(VLOOKUP($E245,bug_conf_sheet!$A:$H,4,FALSE),VLOOKUP("other",bug_conf_sheet!$A:$H,4,FALSE))</f>
        <v>0</v>
      </c>
      <c r="Q245" s="31">
        <f>IFERROR(VLOOKUP($E245,bug_conf_sheet!$A:$H,5,FALSE),VLOOKUP("other",bug_conf_sheet!$A:$H,5,FALSE))</f>
        <v>0</v>
      </c>
      <c r="R245" s="31">
        <f>IFERROR(VLOOKUP($E245,bug_conf_sheet!$A:$H,6,FALSE),VLOOKUP("other",bug_conf_sheet!$A:$H,6,FALSE))</f>
        <v>0</v>
      </c>
      <c r="S245" s="31">
        <f>IFERROR(VLOOKUP($E245,bug_conf_sheet!$A:$H,7,FALSE),VLOOKUP("other",bug_conf_sheet!$A:$H,7,FALSE))</f>
        <v>0</v>
      </c>
      <c r="T245" s="31">
        <f>IFERROR(VLOOKUP($E245,bug_conf_sheet!$A:$H,8,FALSE),VLOOKUP("other",bug_conf_sheet!$A:$H,8,FALSE))</f>
        <v>1</v>
      </c>
    </row>
    <row r="246" spans="1:20" ht="21" customHeight="1">
      <c r="A246" s="2" t="str">
        <f ca="1">input_313100!A$2</f>
        <v>313100</v>
      </c>
      <c r="B246" s="7" t="str">
        <f t="shared" si="13"/>
        <v>PremiumSSSry5</v>
      </c>
      <c r="C246" s="7" t="str">
        <f t="shared" si="14"/>
        <v>PremiumSSS</v>
      </c>
      <c r="D246" s="7" t="str">
        <f t="shared" si="15"/>
        <v>ry</v>
      </c>
      <c r="E246" s="6">
        <v>486</v>
      </c>
      <c r="F246" s="7" t="str">
        <f>VLOOKUP(E246,[1]characters!$A:$C,3,FALSE)</f>
        <v>重なる世解 シュレディンガー</v>
      </c>
      <c r="G246" s="7" t="str">
        <f>VLOOKUP(E246,[1]characters!$A:$J,10,FALSE)</f>
        <v>PremiumSSS</v>
      </c>
      <c r="H246" s="7">
        <f>VLOOKUP(E246,[1]characters!$A:$I,9,FALSE)</f>
        <v>5</v>
      </c>
      <c r="I246" s="7" t="str">
        <f>VLOOKUP(E246,[1]characters!$A:$H,8,FALSE)</f>
        <v>red</v>
      </c>
      <c r="J246" s="7" t="str">
        <f>VLOOKUP(E246,[1]characters!$A:$K,11,FALSE)</f>
        <v>balance</v>
      </c>
      <c r="K246" s="7" t="str">
        <f>VLOOKUP(E246,[1]characters!$A:$M,13,FALSE)</f>
        <v>animal</v>
      </c>
      <c r="L246" s="7" t="str">
        <f>VLOOKUP(E246,[1]characters!$A:$G,7,FALSE)</f>
        <v>男性</v>
      </c>
      <c r="M246" s="62">
        <f ca="1">IFERROR(VLOOKUP(E246,input_313100!L:R,7,FALSE),VLOOKUP(tables_313100!B246,input_313100!A:H,8,FALSE))</f>
        <v>209790</v>
      </c>
      <c r="N246" s="63">
        <f t="shared" ca="1" si="16"/>
        <v>7.4999999999999997E-3</v>
      </c>
      <c r="O246" s="31">
        <f>IFERROR(VLOOKUP($E246,bug_conf_sheet!$A:$H,3,FALSE),VLOOKUP("other",bug_conf_sheet!$A:$H,3,FALSE))</f>
        <v>1</v>
      </c>
      <c r="P246" s="31">
        <f>IFERROR(VLOOKUP($E246,bug_conf_sheet!$A:$H,4,FALSE),VLOOKUP("other",bug_conf_sheet!$A:$H,4,FALSE))</f>
        <v>0</v>
      </c>
      <c r="Q246" s="31">
        <f>IFERROR(VLOOKUP($E246,bug_conf_sheet!$A:$H,5,FALSE),VLOOKUP("other",bug_conf_sheet!$A:$H,5,FALSE))</f>
        <v>0</v>
      </c>
      <c r="R246" s="31">
        <f>IFERROR(VLOOKUP($E246,bug_conf_sheet!$A:$H,6,FALSE),VLOOKUP("other",bug_conf_sheet!$A:$H,6,FALSE))</f>
        <v>0</v>
      </c>
      <c r="S246" s="31">
        <f>IFERROR(VLOOKUP($E246,bug_conf_sheet!$A:$H,7,FALSE),VLOOKUP("other",bug_conf_sheet!$A:$H,7,FALSE))</f>
        <v>0</v>
      </c>
      <c r="T246" s="31">
        <f>IFERROR(VLOOKUP($E246,bug_conf_sheet!$A:$H,8,FALSE),VLOOKUP("other",bug_conf_sheet!$A:$H,8,FALSE))</f>
        <v>1</v>
      </c>
    </row>
    <row r="247" spans="1:20" ht="21" customHeight="1">
      <c r="A247" s="2" t="str">
        <f ca="1">input_313100!A$2</f>
        <v>313100</v>
      </c>
      <c r="B247" s="7" t="str">
        <f t="shared" si="13"/>
        <v>PremiumSSSbg5</v>
      </c>
      <c r="C247" s="7" t="str">
        <f t="shared" si="14"/>
        <v>PremiumSSS</v>
      </c>
      <c r="D247" s="7" t="str">
        <f t="shared" si="15"/>
        <v>bg</v>
      </c>
      <c r="E247" s="6">
        <v>487</v>
      </c>
      <c r="F247" s="7" t="str">
        <f>VLOOKUP(E247,[1]characters!$A:$C,3,FALSE)</f>
        <v>暴創の造物 チューリング</v>
      </c>
      <c r="G247" s="7" t="str">
        <f>VLOOKUP(E247,[1]characters!$A:$J,10,FALSE)</f>
        <v>PremiumSSS</v>
      </c>
      <c r="H247" s="7">
        <f>VLOOKUP(E247,[1]characters!$A:$I,9,FALSE)</f>
        <v>5</v>
      </c>
      <c r="I247" s="7" t="str">
        <f>VLOOKUP(E247,[1]characters!$A:$H,8,FALSE)</f>
        <v>green</v>
      </c>
      <c r="J247" s="7" t="str">
        <f>VLOOKUP(E247,[1]characters!$A:$K,11,FALSE)</f>
        <v>hp</v>
      </c>
      <c r="K247" s="7" t="str">
        <f>VLOOKUP(E247,[1]characters!$A:$M,13,FALSE)</f>
        <v>human</v>
      </c>
      <c r="L247" s="7" t="str">
        <f>VLOOKUP(E247,[1]characters!$A:$G,7,FALSE)</f>
        <v>女性</v>
      </c>
      <c r="M247" s="62">
        <f ca="1">IFERROR(VLOOKUP(E247,input_313100!L:R,7,FALSE),VLOOKUP(tables_313100!B247,input_313100!A:H,8,FALSE))</f>
        <v>69930</v>
      </c>
      <c r="N247" s="63">
        <f t="shared" ca="1" si="16"/>
        <v>2.5000000000000001E-3</v>
      </c>
      <c r="O247" s="31">
        <f>IFERROR(VLOOKUP($E247,bug_conf_sheet!$A:$H,3,FALSE),VLOOKUP("other",bug_conf_sheet!$A:$H,3,FALSE))</f>
        <v>1</v>
      </c>
      <c r="P247" s="31">
        <f>IFERROR(VLOOKUP($E247,bug_conf_sheet!$A:$H,4,FALSE),VLOOKUP("other",bug_conf_sheet!$A:$H,4,FALSE))</f>
        <v>0</v>
      </c>
      <c r="Q247" s="31">
        <f>IFERROR(VLOOKUP($E247,bug_conf_sheet!$A:$H,5,FALSE),VLOOKUP("other",bug_conf_sheet!$A:$H,5,FALSE))</f>
        <v>0</v>
      </c>
      <c r="R247" s="31">
        <f>IFERROR(VLOOKUP($E247,bug_conf_sheet!$A:$H,6,FALSE),VLOOKUP("other",bug_conf_sheet!$A:$H,6,FALSE))</f>
        <v>0</v>
      </c>
      <c r="S247" s="31">
        <f>IFERROR(VLOOKUP($E247,bug_conf_sheet!$A:$H,7,FALSE),VLOOKUP("other",bug_conf_sheet!$A:$H,7,FALSE))</f>
        <v>0</v>
      </c>
      <c r="T247" s="31">
        <f>IFERROR(VLOOKUP($E247,bug_conf_sheet!$A:$H,8,FALSE),VLOOKUP("other",bug_conf_sheet!$A:$H,8,FALSE))</f>
        <v>1</v>
      </c>
    </row>
    <row r="248" spans="1:20" ht="21" customHeight="1">
      <c r="A248" s="2" t="str">
        <f ca="1">input_313100!A$2</f>
        <v>313100</v>
      </c>
      <c r="B248" s="7" t="str">
        <f t="shared" si="13"/>
        <v>PremiumSSSbg5</v>
      </c>
      <c r="C248" s="7" t="str">
        <f t="shared" si="14"/>
        <v>PremiumSSS</v>
      </c>
      <c r="D248" s="7" t="str">
        <f t="shared" si="15"/>
        <v>bg</v>
      </c>
      <c r="E248" s="6">
        <v>488</v>
      </c>
      <c r="F248" s="7" t="str">
        <f>VLOOKUP(E248,[1]characters!$A:$C,3,FALSE)</f>
        <v>直観の異論 ヘンペル</v>
      </c>
      <c r="G248" s="7" t="str">
        <f>VLOOKUP(E248,[1]characters!$A:$J,10,FALSE)</f>
        <v>PremiumSSS</v>
      </c>
      <c r="H248" s="7">
        <f>VLOOKUP(E248,[1]characters!$A:$I,9,FALSE)</f>
        <v>5</v>
      </c>
      <c r="I248" s="7" t="str">
        <f>VLOOKUP(E248,[1]characters!$A:$H,8,FALSE)</f>
        <v>blue</v>
      </c>
      <c r="J248" s="7" t="str">
        <f>VLOOKUP(E248,[1]characters!$A:$K,11,FALSE)</f>
        <v>technical</v>
      </c>
      <c r="K248" s="7" t="str">
        <f>VLOOKUP(E248,[1]characters!$A:$M,13,FALSE)</f>
        <v>human</v>
      </c>
      <c r="L248" s="7" t="str">
        <f>VLOOKUP(E248,[1]characters!$A:$G,7,FALSE)</f>
        <v>男性</v>
      </c>
      <c r="M248" s="62">
        <f ca="1">IFERROR(VLOOKUP(E248,input_313100!L:R,7,FALSE),VLOOKUP(tables_313100!B248,input_313100!A:H,8,FALSE))</f>
        <v>69930</v>
      </c>
      <c r="N248" s="63">
        <f t="shared" ca="1" si="16"/>
        <v>2.5000000000000001E-3</v>
      </c>
      <c r="O248" s="31">
        <f>IFERROR(VLOOKUP($E248,bug_conf_sheet!$A:$H,3,FALSE),VLOOKUP("other",bug_conf_sheet!$A:$H,3,FALSE))</f>
        <v>1</v>
      </c>
      <c r="P248" s="31">
        <f>IFERROR(VLOOKUP($E248,bug_conf_sheet!$A:$H,4,FALSE),VLOOKUP("other",bug_conf_sheet!$A:$H,4,FALSE))</f>
        <v>0</v>
      </c>
      <c r="Q248" s="31">
        <f>IFERROR(VLOOKUP($E248,bug_conf_sheet!$A:$H,5,FALSE),VLOOKUP("other",bug_conf_sheet!$A:$H,5,FALSE))</f>
        <v>0</v>
      </c>
      <c r="R248" s="31">
        <f>IFERROR(VLOOKUP($E248,bug_conf_sheet!$A:$H,6,FALSE),VLOOKUP("other",bug_conf_sheet!$A:$H,6,FALSE))</f>
        <v>0</v>
      </c>
      <c r="S248" s="31">
        <f>IFERROR(VLOOKUP($E248,bug_conf_sheet!$A:$H,7,FALSE),VLOOKUP("other",bug_conf_sheet!$A:$H,7,FALSE))</f>
        <v>0</v>
      </c>
      <c r="T248" s="31">
        <f>IFERROR(VLOOKUP($E248,bug_conf_sheet!$A:$H,8,FALSE),VLOOKUP("other",bug_conf_sheet!$A:$H,8,FALSE))</f>
        <v>1</v>
      </c>
    </row>
    <row r="249" spans="1:20" ht="21" customHeight="1">
      <c r="A249" s="2" t="str">
        <f ca="1">input_313100!A$2</f>
        <v>313100</v>
      </c>
      <c r="B249" s="7" t="str">
        <f t="shared" si="13"/>
        <v>PremiumSSSry5</v>
      </c>
      <c r="C249" s="7" t="str">
        <f t="shared" si="14"/>
        <v>PremiumSSS</v>
      </c>
      <c r="D249" s="7" t="str">
        <f t="shared" si="15"/>
        <v>ry</v>
      </c>
      <c r="E249" s="6">
        <v>489</v>
      </c>
      <c r="F249" s="7" t="str">
        <f>VLOOKUP(E249,[1]characters!$A:$C,3,FALSE)</f>
        <v>宇宙の拡超 ハップル</v>
      </c>
      <c r="G249" s="7" t="str">
        <f>VLOOKUP(E249,[1]characters!$A:$J,10,FALSE)</f>
        <v>PremiumSSS</v>
      </c>
      <c r="H249" s="7">
        <f>VLOOKUP(E249,[1]characters!$A:$I,9,FALSE)</f>
        <v>5</v>
      </c>
      <c r="I249" s="7" t="str">
        <f>VLOOKUP(E249,[1]characters!$A:$H,8,FALSE)</f>
        <v>yellow</v>
      </c>
      <c r="J249" s="7" t="str">
        <f>VLOOKUP(E249,[1]characters!$A:$K,11,FALSE)</f>
        <v>technical</v>
      </c>
      <c r="K249" s="7" t="str">
        <f>VLOOKUP(E249,[1]characters!$A:$M,13,FALSE)</f>
        <v>human</v>
      </c>
      <c r="L249" s="7" t="str">
        <f>VLOOKUP(E249,[1]characters!$A:$G,7,FALSE)</f>
        <v>女性</v>
      </c>
      <c r="M249" s="62">
        <f ca="1">IFERROR(VLOOKUP(E249,input_313100!L:R,7,FALSE),VLOOKUP(tables_313100!B249,input_313100!A:H,8,FALSE))</f>
        <v>209790</v>
      </c>
      <c r="N249" s="63">
        <f t="shared" ca="1" si="16"/>
        <v>7.4999999999999997E-3</v>
      </c>
      <c r="O249" s="31">
        <f>IFERROR(VLOOKUP($E249,bug_conf_sheet!$A:$H,3,FALSE),VLOOKUP("other",bug_conf_sheet!$A:$H,3,FALSE))</f>
        <v>1</v>
      </c>
      <c r="P249" s="31">
        <f>IFERROR(VLOOKUP($E249,bug_conf_sheet!$A:$H,4,FALSE),VLOOKUP("other",bug_conf_sheet!$A:$H,4,FALSE))</f>
        <v>0</v>
      </c>
      <c r="Q249" s="31">
        <f>IFERROR(VLOOKUP($E249,bug_conf_sheet!$A:$H,5,FALSE),VLOOKUP("other",bug_conf_sheet!$A:$H,5,FALSE))</f>
        <v>0</v>
      </c>
      <c r="R249" s="31">
        <f>IFERROR(VLOOKUP($E249,bug_conf_sheet!$A:$H,6,FALSE),VLOOKUP("other",bug_conf_sheet!$A:$H,6,FALSE))</f>
        <v>0</v>
      </c>
      <c r="S249" s="31">
        <f>IFERROR(VLOOKUP($E249,bug_conf_sheet!$A:$H,7,FALSE),VLOOKUP("other",bug_conf_sheet!$A:$H,7,FALSE))</f>
        <v>0</v>
      </c>
      <c r="T249" s="31">
        <f>IFERROR(VLOOKUP($E249,bug_conf_sheet!$A:$H,8,FALSE),VLOOKUP("other",bug_conf_sheet!$A:$H,8,FALSE))</f>
        <v>1</v>
      </c>
    </row>
    <row r="250" spans="1:20" ht="21" customHeight="1">
      <c r="A250" s="2" t="str">
        <f ca="1">input_313100!A$2</f>
        <v>313100</v>
      </c>
      <c r="B250" s="7" t="str">
        <f t="shared" si="13"/>
        <v>Premium3</v>
      </c>
      <c r="C250" s="81" t="s">
        <v>150</v>
      </c>
      <c r="D250" s="81" t="s">
        <v>151</v>
      </c>
      <c r="E250" s="82">
        <v>668</v>
      </c>
      <c r="F250" s="81" t="s">
        <v>152</v>
      </c>
      <c r="G250" s="81" t="s">
        <v>153</v>
      </c>
      <c r="H250" s="81">
        <v>3</v>
      </c>
      <c r="I250" s="81" t="s">
        <v>154</v>
      </c>
      <c r="J250" s="81" t="s">
        <v>155</v>
      </c>
      <c r="K250" s="81" t="s">
        <v>156</v>
      </c>
      <c r="L250" s="81" t="s">
        <v>157</v>
      </c>
      <c r="M250" s="62">
        <f ca="1">IFERROR(VLOOKUP(E250,input_313100!L:R,7,FALSE),VLOOKUP(tables_313100!B250,input_313100!A:H,8,FALSE))</f>
        <v>0</v>
      </c>
      <c r="N250" s="63">
        <f t="shared" ref="N250:N259" ca="1" si="19">M250/SUM(M:M)</f>
        <v>0</v>
      </c>
      <c r="O250" s="81">
        <v>1</v>
      </c>
      <c r="P250" s="81">
        <v>0</v>
      </c>
      <c r="Q250" s="81">
        <v>0</v>
      </c>
      <c r="R250" s="81">
        <v>0</v>
      </c>
      <c r="S250" s="81">
        <v>0</v>
      </c>
      <c r="T250" s="81">
        <v>1</v>
      </c>
    </row>
    <row r="251" spans="1:20" ht="21" customHeight="1">
      <c r="A251" s="2" t="str">
        <f ca="1">input_313100!A$2</f>
        <v>313100</v>
      </c>
      <c r="B251" s="7" t="str">
        <f t="shared" si="13"/>
        <v>Premium4</v>
      </c>
      <c r="C251" s="83" t="s">
        <v>150</v>
      </c>
      <c r="D251" s="83" t="s">
        <v>151</v>
      </c>
      <c r="E251" s="84">
        <v>669</v>
      </c>
      <c r="F251" s="83" t="s">
        <v>158</v>
      </c>
      <c r="G251" s="83" t="s">
        <v>153</v>
      </c>
      <c r="H251" s="83">
        <v>4</v>
      </c>
      <c r="I251" s="83" t="s">
        <v>154</v>
      </c>
      <c r="J251" s="83" t="s">
        <v>155</v>
      </c>
      <c r="K251" s="83" t="s">
        <v>156</v>
      </c>
      <c r="L251" s="83" t="s">
        <v>157</v>
      </c>
      <c r="M251" s="62">
        <f ca="1">IFERROR(VLOOKUP(E251,input_313100!L:R,7,FALSE),VLOOKUP(tables_313100!B251,input_313100!A:H,8,FALSE))</f>
        <v>342090</v>
      </c>
      <c r="N251" s="63">
        <f t="shared" ca="1" si="19"/>
        <v>1.222972972972973E-2</v>
      </c>
      <c r="O251" s="83">
        <v>1</v>
      </c>
      <c r="P251" s="83">
        <v>0</v>
      </c>
      <c r="Q251" s="83">
        <v>0</v>
      </c>
      <c r="R251" s="83">
        <v>0</v>
      </c>
      <c r="S251" s="83">
        <v>0</v>
      </c>
      <c r="T251" s="83">
        <v>1</v>
      </c>
    </row>
    <row r="252" spans="1:20" ht="21" customHeight="1">
      <c r="A252" s="2" t="str">
        <f ca="1">input_313100!A$2</f>
        <v>313100</v>
      </c>
      <c r="B252" s="7" t="str">
        <f t="shared" si="13"/>
        <v>Premium5</v>
      </c>
      <c r="C252" s="83" t="s">
        <v>150</v>
      </c>
      <c r="D252" s="83" t="s">
        <v>151</v>
      </c>
      <c r="E252" s="84">
        <v>670</v>
      </c>
      <c r="F252" s="83" t="s">
        <v>159</v>
      </c>
      <c r="G252" s="83" t="s">
        <v>153</v>
      </c>
      <c r="H252" s="83">
        <v>5</v>
      </c>
      <c r="I252" s="83" t="s">
        <v>154</v>
      </c>
      <c r="J252" s="83" t="s">
        <v>155</v>
      </c>
      <c r="K252" s="83" t="s">
        <v>156</v>
      </c>
      <c r="L252" s="83" t="s">
        <v>157</v>
      </c>
      <c r="M252" s="62">
        <f ca="1">IFERROR(VLOOKUP(E252,input_313100!L:R,7,FALSE),VLOOKUP(tables_313100!B252,input_313100!A:H,8,FALSE))</f>
        <v>12950</v>
      </c>
      <c r="N252" s="63">
        <f t="shared" ca="1" si="19"/>
        <v>4.6296296296296298E-4</v>
      </c>
      <c r="O252" s="83">
        <v>1</v>
      </c>
      <c r="P252" s="83">
        <v>0</v>
      </c>
      <c r="Q252" s="83">
        <v>0</v>
      </c>
      <c r="R252" s="83">
        <v>0</v>
      </c>
      <c r="S252" s="83">
        <v>0</v>
      </c>
      <c r="T252" s="83">
        <v>1</v>
      </c>
    </row>
    <row r="253" spans="1:20" ht="21" customHeight="1">
      <c r="A253" s="2" t="str">
        <f ca="1">input_313100!A$2</f>
        <v>313100</v>
      </c>
      <c r="B253" s="7" t="str">
        <f t="shared" si="13"/>
        <v>Premium3</v>
      </c>
      <c r="C253" s="83" t="s">
        <v>150</v>
      </c>
      <c r="D253" s="83" t="s">
        <v>160</v>
      </c>
      <c r="E253" s="84">
        <v>671</v>
      </c>
      <c r="F253" s="83" t="s">
        <v>161</v>
      </c>
      <c r="G253" s="83" t="s">
        <v>153</v>
      </c>
      <c r="H253" s="83">
        <v>3</v>
      </c>
      <c r="I253" s="83" t="s">
        <v>162</v>
      </c>
      <c r="J253" s="83" t="s">
        <v>163</v>
      </c>
      <c r="K253" s="83" t="s">
        <v>164</v>
      </c>
      <c r="L253" s="83" t="s">
        <v>157</v>
      </c>
      <c r="M253" s="62">
        <f ca="1">IFERROR(VLOOKUP(E253,input_313100!L:R,7,FALSE),VLOOKUP(tables_313100!B253,input_313100!A:H,8,FALSE))</f>
        <v>0</v>
      </c>
      <c r="N253" s="63">
        <f t="shared" ca="1" si="19"/>
        <v>0</v>
      </c>
      <c r="O253" s="83">
        <v>1</v>
      </c>
      <c r="P253" s="83">
        <v>0</v>
      </c>
      <c r="Q253" s="83">
        <v>0</v>
      </c>
      <c r="R253" s="83">
        <v>0</v>
      </c>
      <c r="S253" s="83">
        <v>0</v>
      </c>
      <c r="T253" s="83">
        <v>1</v>
      </c>
    </row>
    <row r="254" spans="1:20" ht="21" customHeight="1">
      <c r="A254" s="2" t="str">
        <f ca="1">input_313100!A$2</f>
        <v>313100</v>
      </c>
      <c r="B254" s="7" t="str">
        <f t="shared" si="13"/>
        <v>Premium4</v>
      </c>
      <c r="C254" s="83" t="s">
        <v>150</v>
      </c>
      <c r="D254" s="83" t="s">
        <v>160</v>
      </c>
      <c r="E254" s="84">
        <v>672</v>
      </c>
      <c r="F254" s="83" t="s">
        <v>165</v>
      </c>
      <c r="G254" s="83" t="s">
        <v>153</v>
      </c>
      <c r="H254" s="83">
        <v>4</v>
      </c>
      <c r="I254" s="83" t="s">
        <v>162</v>
      </c>
      <c r="J254" s="83" t="s">
        <v>163</v>
      </c>
      <c r="K254" s="83" t="s">
        <v>164</v>
      </c>
      <c r="L254" s="83" t="s">
        <v>157</v>
      </c>
      <c r="M254" s="62">
        <f ca="1">IFERROR(VLOOKUP(E254,input_313100!L:R,7,FALSE),VLOOKUP(tables_313100!B254,input_313100!A:H,8,FALSE))</f>
        <v>342090</v>
      </c>
      <c r="N254" s="63">
        <f t="shared" ca="1" si="19"/>
        <v>1.222972972972973E-2</v>
      </c>
      <c r="O254" s="83">
        <v>1</v>
      </c>
      <c r="P254" s="83">
        <v>0</v>
      </c>
      <c r="Q254" s="83">
        <v>0</v>
      </c>
      <c r="R254" s="83">
        <v>0</v>
      </c>
      <c r="S254" s="83">
        <v>0</v>
      </c>
      <c r="T254" s="83">
        <v>1</v>
      </c>
    </row>
    <row r="255" spans="1:20" ht="21" customHeight="1">
      <c r="A255" s="2" t="str">
        <f ca="1">input_313100!A$2</f>
        <v>313100</v>
      </c>
      <c r="B255" s="7" t="str">
        <f t="shared" si="13"/>
        <v>Premium5</v>
      </c>
      <c r="C255" s="83" t="s">
        <v>150</v>
      </c>
      <c r="D255" s="83" t="s">
        <v>160</v>
      </c>
      <c r="E255" s="84">
        <v>673</v>
      </c>
      <c r="F255" s="83" t="s">
        <v>166</v>
      </c>
      <c r="G255" s="83" t="s">
        <v>153</v>
      </c>
      <c r="H255" s="83">
        <v>5</v>
      </c>
      <c r="I255" s="83" t="s">
        <v>162</v>
      </c>
      <c r="J255" s="83" t="s">
        <v>163</v>
      </c>
      <c r="K255" s="83" t="s">
        <v>164</v>
      </c>
      <c r="L255" s="83" t="s">
        <v>157</v>
      </c>
      <c r="M255" s="62">
        <f ca="1">IFERROR(VLOOKUP(E255,input_313100!L:R,7,FALSE),VLOOKUP(tables_313100!B255,input_313100!A:H,8,FALSE))</f>
        <v>12950</v>
      </c>
      <c r="N255" s="63">
        <f t="shared" ca="1" si="19"/>
        <v>4.6296296296296298E-4</v>
      </c>
      <c r="O255" s="83">
        <v>1</v>
      </c>
      <c r="P255" s="83">
        <v>0</v>
      </c>
      <c r="Q255" s="83">
        <v>0</v>
      </c>
      <c r="R255" s="83">
        <v>0</v>
      </c>
      <c r="S255" s="83">
        <v>0</v>
      </c>
      <c r="T255" s="83">
        <v>1</v>
      </c>
    </row>
    <row r="256" spans="1:20" ht="21" customHeight="1">
      <c r="A256" s="2" t="str">
        <f ca="1">input_313100!A$2</f>
        <v>313100</v>
      </c>
      <c r="B256" s="7" t="str">
        <f t="shared" si="13"/>
        <v>PremiumSSbg4</v>
      </c>
      <c r="C256" s="83" t="s">
        <v>167</v>
      </c>
      <c r="D256" s="83" t="s">
        <v>160</v>
      </c>
      <c r="E256" s="84">
        <v>674</v>
      </c>
      <c r="F256" s="83" t="s">
        <v>168</v>
      </c>
      <c r="G256" s="83" t="s">
        <v>167</v>
      </c>
      <c r="H256" s="83">
        <v>4</v>
      </c>
      <c r="I256" s="83" t="s">
        <v>169</v>
      </c>
      <c r="J256" s="83" t="s">
        <v>170</v>
      </c>
      <c r="K256" s="83" t="s">
        <v>156</v>
      </c>
      <c r="L256" s="83" t="s">
        <v>171</v>
      </c>
      <c r="M256" s="62">
        <f ca="1">IFERROR(VLOOKUP(E256,input_313100!L:R,7,FALSE),VLOOKUP(tables_313100!B256,input_313100!A:H,8,FALSE))</f>
        <v>41958</v>
      </c>
      <c r="N256" s="63">
        <f t="shared" ca="1" si="19"/>
        <v>1.5E-3</v>
      </c>
      <c r="O256" s="83">
        <v>1</v>
      </c>
      <c r="P256" s="83">
        <v>0</v>
      </c>
      <c r="Q256" s="83">
        <v>0</v>
      </c>
      <c r="R256" s="83">
        <v>0</v>
      </c>
      <c r="S256" s="83">
        <v>0</v>
      </c>
      <c r="T256" s="83">
        <v>1</v>
      </c>
    </row>
    <row r="257" spans="1:20" ht="21" customHeight="1">
      <c r="A257" s="2" t="str">
        <f ca="1">input_313100!A$2</f>
        <v>313100</v>
      </c>
      <c r="B257" s="7" t="str">
        <f t="shared" si="13"/>
        <v>PremiumSSbg5</v>
      </c>
      <c r="C257" s="83" t="s">
        <v>167</v>
      </c>
      <c r="D257" s="83" t="s">
        <v>160</v>
      </c>
      <c r="E257" s="84">
        <v>675</v>
      </c>
      <c r="F257" s="83" t="s">
        <v>172</v>
      </c>
      <c r="G257" s="83" t="s">
        <v>167</v>
      </c>
      <c r="H257" s="83">
        <v>5</v>
      </c>
      <c r="I257" s="83" t="s">
        <v>169</v>
      </c>
      <c r="J257" s="83" t="s">
        <v>170</v>
      </c>
      <c r="K257" s="83" t="s">
        <v>156</v>
      </c>
      <c r="L257" s="83" t="s">
        <v>171</v>
      </c>
      <c r="M257" s="62">
        <f ca="1">IFERROR(VLOOKUP(E257,input_313100!L:R,7,FALSE),VLOOKUP(tables_313100!B257,input_313100!A:H,8,FALSE))</f>
        <v>4662</v>
      </c>
      <c r="N257" s="63">
        <f t="shared" ca="1" si="19"/>
        <v>1.6666666666666666E-4</v>
      </c>
      <c r="O257" s="83">
        <v>1</v>
      </c>
      <c r="P257" s="83">
        <v>0</v>
      </c>
      <c r="Q257" s="83">
        <v>0</v>
      </c>
      <c r="R257" s="83">
        <v>0</v>
      </c>
      <c r="S257" s="83">
        <v>0</v>
      </c>
      <c r="T257" s="83">
        <v>1</v>
      </c>
    </row>
    <row r="258" spans="1:20" ht="21" customHeight="1">
      <c r="A258" s="2" t="str">
        <f ca="1">input_313100!A$2</f>
        <v>313100</v>
      </c>
      <c r="B258" s="7" t="str">
        <f t="shared" si="13"/>
        <v>PremiumSSry4</v>
      </c>
      <c r="C258" s="83" t="s">
        <v>167</v>
      </c>
      <c r="D258" s="83" t="s">
        <v>151</v>
      </c>
      <c r="E258" s="84">
        <v>676</v>
      </c>
      <c r="F258" s="83" t="s">
        <v>173</v>
      </c>
      <c r="G258" s="83" t="s">
        <v>167</v>
      </c>
      <c r="H258" s="83">
        <v>4</v>
      </c>
      <c r="I258" s="83" t="s">
        <v>174</v>
      </c>
      <c r="J258" s="83" t="s">
        <v>163</v>
      </c>
      <c r="K258" s="83" t="s">
        <v>156</v>
      </c>
      <c r="L258" s="83" t="s">
        <v>171</v>
      </c>
      <c r="M258" s="62">
        <f ca="1">IFERROR(VLOOKUP(E258,input_313100!L:R,7,FALSE),VLOOKUP(tables_313100!B258,input_313100!A:H,8,FALSE))</f>
        <v>53946</v>
      </c>
      <c r="N258" s="63">
        <f t="shared" ca="1" si="19"/>
        <v>1.9285714285714286E-3</v>
      </c>
      <c r="O258" s="83">
        <v>1</v>
      </c>
      <c r="P258" s="83">
        <v>0</v>
      </c>
      <c r="Q258" s="83">
        <v>0</v>
      </c>
      <c r="R258" s="83">
        <v>0</v>
      </c>
      <c r="S258" s="83">
        <v>0</v>
      </c>
      <c r="T258" s="83">
        <v>1</v>
      </c>
    </row>
    <row r="259" spans="1:20" ht="21" customHeight="1">
      <c r="A259" s="2" t="str">
        <f ca="1">input_313100!A$2</f>
        <v>313100</v>
      </c>
      <c r="B259" s="7" t="str">
        <f t="shared" ref="B259" si="20">C259&amp;IF(C259="premium",,D259)&amp;H259</f>
        <v>PremiumSSry5</v>
      </c>
      <c r="C259" s="83" t="s">
        <v>167</v>
      </c>
      <c r="D259" s="83" t="s">
        <v>151</v>
      </c>
      <c r="E259" s="84">
        <v>677</v>
      </c>
      <c r="F259" s="83" t="s">
        <v>175</v>
      </c>
      <c r="G259" s="83" t="s">
        <v>167</v>
      </c>
      <c r="H259" s="83">
        <v>5</v>
      </c>
      <c r="I259" s="83" t="s">
        <v>174</v>
      </c>
      <c r="J259" s="83" t="s">
        <v>163</v>
      </c>
      <c r="K259" s="83" t="s">
        <v>156</v>
      </c>
      <c r="L259" s="83" t="s">
        <v>171</v>
      </c>
      <c r="M259" s="62">
        <f ca="1">IFERROR(VLOOKUP(E259,input_313100!L:R,7,FALSE),VLOOKUP(tables_313100!B259,input_313100!A:H,8,FALSE))</f>
        <v>5994</v>
      </c>
      <c r="N259" s="63">
        <f t="shared" ca="1" si="19"/>
        <v>2.1428571428571427E-4</v>
      </c>
      <c r="O259" s="83">
        <v>1</v>
      </c>
      <c r="P259" s="83">
        <v>0</v>
      </c>
      <c r="Q259" s="83">
        <v>0</v>
      </c>
      <c r="R259" s="83">
        <v>0</v>
      </c>
      <c r="S259" s="83">
        <v>0</v>
      </c>
      <c r="T259" s="83">
        <v>1</v>
      </c>
    </row>
  </sheetData>
  <autoFilter ref="A1:U259"/>
  <phoneticPr fontId="15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2"/>
  <sheetViews>
    <sheetView showGridLines="0" workbookViewId="0">
      <pane ySplit="1" topLeftCell="A2" activePane="bottomLeft" state="frozen"/>
      <selection activeCell="M24" sqref="M24"/>
      <selection pane="bottomLeft" activeCell="B2" sqref="B2"/>
    </sheetView>
  </sheetViews>
  <sheetFormatPr baseColWidth="12" defaultRowHeight="21" customHeight="1" x14ac:dyDescent="0"/>
  <cols>
    <col min="1" max="1" width="14.6640625" style="1" bestFit="1" customWidth="1"/>
    <col min="2" max="2" width="14.1640625" style="1" bestFit="1" customWidth="1"/>
    <col min="3" max="4" width="14.1640625" style="1" customWidth="1"/>
    <col min="5" max="5" width="16.5" style="1" customWidth="1"/>
    <col min="6" max="6" width="8.6640625" style="1" bestFit="1" customWidth="1"/>
    <col min="14" max="14" width="8.6640625" style="1" bestFit="1" customWidth="1"/>
    <col min="15" max="16" width="12.83203125" style="1"/>
    <col min="17" max="17" width="18.83203125" style="1" bestFit="1" customWidth="1"/>
    <col min="18" max="16384" width="12.83203125" style="1"/>
  </cols>
  <sheetData>
    <row r="1" spans="1:17" ht="21" customHeight="1">
      <c r="A1" s="14" t="s">
        <v>11</v>
      </c>
      <c r="B1" s="24" t="s">
        <v>14</v>
      </c>
      <c r="C1" s="15" t="s">
        <v>16</v>
      </c>
      <c r="D1" s="15" t="s">
        <v>17</v>
      </c>
      <c r="E1" s="15" t="s">
        <v>18</v>
      </c>
      <c r="F1" s="14" t="s">
        <v>2</v>
      </c>
      <c r="G1" s="70" t="s">
        <v>107</v>
      </c>
      <c r="H1" s="70" t="s">
        <v>108</v>
      </c>
      <c r="I1" s="71" t="s">
        <v>109</v>
      </c>
      <c r="J1" s="71" t="s">
        <v>110</v>
      </c>
      <c r="K1" s="71" t="s">
        <v>111</v>
      </c>
      <c r="L1" s="71" t="s">
        <v>112</v>
      </c>
      <c r="M1" s="71" t="s">
        <v>113</v>
      </c>
      <c r="N1" s="14" t="s">
        <v>19</v>
      </c>
      <c r="O1" s="14" t="s">
        <v>20</v>
      </c>
      <c r="P1" s="14" t="s">
        <v>21</v>
      </c>
      <c r="Q1" s="14" t="s">
        <v>22</v>
      </c>
    </row>
    <row r="2" spans="1:17" ht="21" customHeight="1"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1" t="s">
        <v>114</v>
      </c>
    </row>
  </sheetData>
  <autoFilter ref="A1:F1"/>
  <phoneticPr fontId="15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FF0000"/>
  </sheetPr>
  <dimension ref="A1:H13"/>
  <sheetViews>
    <sheetView workbookViewId="0">
      <pane ySplit="1" topLeftCell="A2" activePane="bottomLeft" state="frozen"/>
      <selection pane="bottomLeft" activeCell="F10" sqref="F10"/>
    </sheetView>
  </sheetViews>
  <sheetFormatPr baseColWidth="12" defaultRowHeight="14" x14ac:dyDescent="0"/>
  <cols>
    <col min="2" max="2" width="36.6640625" customWidth="1"/>
    <col min="3" max="8" width="12.5" customWidth="1"/>
  </cols>
  <sheetData>
    <row r="1" spans="1:8">
      <c r="A1" s="13" t="s">
        <v>1</v>
      </c>
      <c r="B1" s="42" t="s">
        <v>56</v>
      </c>
      <c r="C1" s="32" t="s">
        <v>59</v>
      </c>
      <c r="D1" s="33" t="s">
        <v>6</v>
      </c>
      <c r="E1" s="33" t="s">
        <v>7</v>
      </c>
      <c r="F1" s="33" t="s">
        <v>8</v>
      </c>
      <c r="G1" s="33" t="s">
        <v>9</v>
      </c>
      <c r="H1" s="33" t="s">
        <v>10</v>
      </c>
    </row>
    <row r="2" spans="1:8">
      <c r="A2" s="6"/>
      <c r="B2" s="45" t="str">
        <f>IFERROR(VLOOKUP(A2,[1]characters!$A:$C,3,FALSE),"")</f>
        <v/>
      </c>
      <c r="C2" s="5"/>
      <c r="D2" s="5"/>
      <c r="E2" s="5"/>
      <c r="F2" s="5"/>
      <c r="G2" s="5"/>
      <c r="H2" s="13"/>
    </row>
    <row r="3" spans="1:8">
      <c r="A3" s="6"/>
      <c r="B3" s="45" t="str">
        <f>IFERROR(VLOOKUP(A3,[1]characters!$A:$C,3,FALSE),"")</f>
        <v/>
      </c>
      <c r="C3" s="5"/>
      <c r="D3" s="5"/>
      <c r="E3" s="5"/>
      <c r="F3" s="5"/>
      <c r="G3" s="5"/>
      <c r="H3" s="13"/>
    </row>
    <row r="4" spans="1:8">
      <c r="A4" s="6"/>
      <c r="B4" s="45" t="str">
        <f>IFERROR(VLOOKUP(A4,[1]characters!$A:$C,3,FALSE),"")</f>
        <v/>
      </c>
      <c r="C4" s="5"/>
      <c r="D4" s="5"/>
      <c r="E4" s="5"/>
      <c r="F4" s="5"/>
      <c r="G4" s="5"/>
      <c r="H4" s="13"/>
    </row>
    <row r="5" spans="1:8">
      <c r="A5" s="6"/>
      <c r="B5" s="45" t="str">
        <f>IFERROR(VLOOKUP(A5,[1]characters!$A:$C,3,FALSE),"")</f>
        <v/>
      </c>
      <c r="C5" s="5"/>
      <c r="D5" s="5"/>
      <c r="E5" s="5"/>
      <c r="F5" s="5"/>
      <c r="G5" s="5"/>
      <c r="H5" s="13"/>
    </row>
    <row r="6" spans="1:8">
      <c r="A6" s="6"/>
      <c r="B6" s="45" t="str">
        <f>IFERROR(VLOOKUP(A6,[1]characters!$A:$C,3,FALSE),"")</f>
        <v/>
      </c>
      <c r="C6" s="5"/>
      <c r="D6" s="5"/>
      <c r="E6" s="5"/>
      <c r="F6" s="5"/>
      <c r="G6" s="5"/>
      <c r="H6" s="13"/>
    </row>
    <row r="7" spans="1:8">
      <c r="A7" s="6"/>
      <c r="B7" s="45" t="str">
        <f>IFERROR(VLOOKUP(A7,[1]characters!$A:$C,3,FALSE),"")</f>
        <v/>
      </c>
      <c r="C7" s="5"/>
      <c r="D7" s="5"/>
      <c r="E7" s="5"/>
      <c r="F7" s="5"/>
      <c r="G7" s="5"/>
      <c r="H7" s="13"/>
    </row>
    <row r="8" spans="1:8">
      <c r="A8" s="6"/>
      <c r="B8" s="45" t="str">
        <f>IFERROR(VLOOKUP(A8,[1]characters!$A:$C,3,FALSE),"")</f>
        <v/>
      </c>
      <c r="C8" s="5"/>
      <c r="D8" s="5"/>
      <c r="E8" s="5"/>
      <c r="F8" s="5"/>
      <c r="G8" s="5"/>
      <c r="H8" s="13"/>
    </row>
    <row r="9" spans="1:8">
      <c r="A9" s="6"/>
      <c r="B9" s="45" t="str">
        <f>IFERROR(VLOOKUP(A9,[1]characters!$A:$C,3,FALSE),"")</f>
        <v/>
      </c>
      <c r="C9" s="5"/>
      <c r="D9" s="5"/>
      <c r="E9" s="5"/>
      <c r="F9" s="5"/>
      <c r="G9" s="5"/>
      <c r="H9" s="13"/>
    </row>
    <row r="10" spans="1:8">
      <c r="A10" s="6"/>
      <c r="B10" s="45" t="str">
        <f>IFERROR(VLOOKUP(A10,[1]characters!$A:$C,3,FALSE),"")</f>
        <v/>
      </c>
      <c r="C10" s="5"/>
      <c r="D10" s="5"/>
      <c r="E10" s="5"/>
      <c r="F10" s="5"/>
      <c r="G10" s="5"/>
      <c r="H10" s="13"/>
    </row>
    <row r="11" spans="1:8">
      <c r="A11" s="6"/>
      <c r="B11" s="45" t="str">
        <f>IFERROR(VLOOKUP(A11,[1]characters!$A:$C,3,FALSE),"")</f>
        <v/>
      </c>
      <c r="C11" s="5"/>
      <c r="D11" s="5"/>
      <c r="E11" s="5"/>
      <c r="F11" s="5"/>
      <c r="G11" s="5"/>
      <c r="H11" s="13"/>
    </row>
    <row r="12" spans="1:8">
      <c r="A12" s="6"/>
      <c r="B12" s="7"/>
      <c r="C12" s="5"/>
      <c r="D12" s="5"/>
      <c r="E12" s="5"/>
      <c r="F12" s="5"/>
      <c r="G12" s="5"/>
      <c r="H12" s="13"/>
    </row>
    <row r="13" spans="1:8">
      <c r="A13" s="13" t="s">
        <v>64</v>
      </c>
      <c r="B13" s="7" t="str">
        <f>IFERROR(VLOOKUP(A13,[1]characters!$A:$C,3,FALSE),"")</f>
        <v/>
      </c>
      <c r="C13" s="5">
        <v>1</v>
      </c>
      <c r="D13" s="5">
        <v>0</v>
      </c>
      <c r="E13" s="5">
        <v>0</v>
      </c>
      <c r="F13" s="5">
        <v>0</v>
      </c>
      <c r="G13" s="5">
        <v>0</v>
      </c>
      <c r="H13" s="13">
        <v>1</v>
      </c>
    </row>
  </sheetData>
  <phoneticPr fontId="15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rgb="FFFF0000"/>
  </sheetPr>
  <dimension ref="A2:H16"/>
  <sheetViews>
    <sheetView workbookViewId="0">
      <selection activeCell="C7" sqref="C7"/>
    </sheetView>
  </sheetViews>
  <sheetFormatPr baseColWidth="12" defaultRowHeight="14" x14ac:dyDescent="0"/>
  <cols>
    <col min="1" max="3" width="12.83203125" customWidth="1"/>
  </cols>
  <sheetData>
    <row r="2" spans="1:8">
      <c r="A2" t="s">
        <v>63</v>
      </c>
    </row>
    <row r="3" spans="1:8">
      <c r="A3" s="34">
        <v>300</v>
      </c>
    </row>
    <row r="5" spans="1:8">
      <c r="A5" s="35" t="s">
        <v>58</v>
      </c>
      <c r="B5" s="36" t="str">
        <f>$A$3 &amp; "1"</f>
        <v>3001</v>
      </c>
      <c r="C5" s="43"/>
      <c r="D5" s="35" t="s">
        <v>61</v>
      </c>
      <c r="E5" s="36" t="str">
        <f>$A$3 &amp; "0"</f>
        <v>3000</v>
      </c>
      <c r="F5" s="43"/>
      <c r="G5" s="35" t="s">
        <v>62</v>
      </c>
      <c r="H5" s="36" t="str">
        <f>$A$3 &amp; "3"</f>
        <v>3003</v>
      </c>
    </row>
    <row r="6" spans="1:8">
      <c r="A6" s="37" t="s">
        <v>60</v>
      </c>
      <c r="B6" s="38"/>
      <c r="C6" s="43"/>
      <c r="D6" s="37" t="s">
        <v>60</v>
      </c>
      <c r="E6" s="38"/>
      <c r="F6" s="43"/>
      <c r="G6" s="37" t="s">
        <v>60</v>
      </c>
      <c r="H6" s="38"/>
    </row>
    <row r="7" spans="1:8">
      <c r="A7" s="40">
        <f ca="1">COUNTIFS(tables_313010!$G:$G,"PremiumSSS",tables_313010!$A:$A,B5)</f>
        <v>0</v>
      </c>
      <c r="B7" s="38"/>
      <c r="C7" s="43"/>
      <c r="D7" s="40">
        <f ca="1">COUNTIFS(tables_313010!$G:$G,"PremiumSSS",tables_313010!$A:$A,E5)</f>
        <v>0</v>
      </c>
      <c r="E7" s="38"/>
      <c r="F7" s="43"/>
      <c r="G7" s="40" t="e">
        <f>COUNTIF(#REF!,"PremiumSSS")</f>
        <v>#REF!</v>
      </c>
      <c r="H7" s="38"/>
    </row>
    <row r="8" spans="1:8">
      <c r="A8" s="37"/>
      <c r="B8" s="38"/>
      <c r="C8" s="43"/>
      <c r="D8" s="37"/>
      <c r="E8" s="38"/>
      <c r="F8" s="43"/>
      <c r="G8" s="37"/>
      <c r="H8" s="38"/>
    </row>
    <row r="9" spans="1:8">
      <c r="A9" s="37" t="s">
        <v>57</v>
      </c>
      <c r="B9" s="38"/>
      <c r="C9" s="43"/>
      <c r="D9" s="37" t="s">
        <v>57</v>
      </c>
      <c r="E9" s="38"/>
      <c r="F9" s="43"/>
      <c r="G9" s="37" t="s">
        <v>57</v>
      </c>
      <c r="H9" s="38"/>
    </row>
    <row r="10" spans="1:8">
      <c r="A10" s="40">
        <f>COUNTIFS(tables_313010!$T:$T,"&gt;1",tables_313010!$A:$A,B5)</f>
        <v>0</v>
      </c>
      <c r="B10" s="38"/>
      <c r="C10" s="43"/>
      <c r="D10" s="40">
        <f>COUNTIFS(tables_313010!$T:$T,"&gt;1", tables_313010!$A:$A,E5)</f>
        <v>0</v>
      </c>
      <c r="E10" s="38"/>
      <c r="F10" s="43"/>
      <c r="G10" s="40" t="e">
        <f>COUNTIF(#REF!,"&gt;1")</f>
        <v>#REF!</v>
      </c>
      <c r="H10" s="38"/>
    </row>
    <row r="11" spans="1:8">
      <c r="A11" s="37"/>
      <c r="B11" s="38"/>
      <c r="C11" s="43"/>
      <c r="D11" s="37"/>
      <c r="E11" s="38"/>
      <c r="F11" s="43"/>
      <c r="G11" s="37"/>
      <c r="H11" s="38"/>
    </row>
    <row r="12" spans="1:8">
      <c r="A12" s="37" t="s">
        <v>67</v>
      </c>
      <c r="B12" s="38"/>
      <c r="C12" s="43"/>
      <c r="D12" s="37" t="s">
        <v>67</v>
      </c>
      <c r="E12" s="38"/>
      <c r="F12" s="43"/>
      <c r="G12" s="37" t="s">
        <v>67</v>
      </c>
      <c r="H12" s="38"/>
    </row>
    <row r="13" spans="1:8">
      <c r="A13" s="40">
        <f>COUNTIFS(tables_313010!$O:$O,"&gt;1",tables_313010!$A:$A,B5)</f>
        <v>0</v>
      </c>
      <c r="B13" s="38"/>
      <c r="C13" s="43"/>
      <c r="D13" s="40">
        <f>COUNTIFS(tables_313010!$O:$O,"&gt;1", tables_313010!$A:$A,E5)</f>
        <v>0</v>
      </c>
      <c r="E13" s="38"/>
      <c r="F13" s="43"/>
      <c r="G13" s="40" t="e">
        <f>COUNTIF(#REF!,"&gt;1")</f>
        <v>#REF!</v>
      </c>
      <c r="H13" s="38"/>
    </row>
    <row r="14" spans="1:8">
      <c r="A14" s="37"/>
      <c r="B14" s="38"/>
      <c r="C14" s="43"/>
      <c r="D14" s="37"/>
      <c r="E14" s="38"/>
      <c r="F14" s="43"/>
      <c r="G14" s="37"/>
      <c r="H14" s="38"/>
    </row>
    <row r="15" spans="1:8">
      <c r="A15" s="37" t="s">
        <v>65</v>
      </c>
      <c r="B15" s="38"/>
      <c r="C15" s="43"/>
      <c r="D15" s="37" t="s">
        <v>66</v>
      </c>
      <c r="E15" s="38"/>
      <c r="F15" s="43"/>
      <c r="G15" s="37" t="s">
        <v>66</v>
      </c>
      <c r="H15" s="38"/>
    </row>
    <row r="16" spans="1:8">
      <c r="A16" s="41">
        <f ca="1">COUNTIF(tables_313010!$A:$A,B5)</f>
        <v>0</v>
      </c>
      <c r="B16" s="39"/>
      <c r="C16" s="43"/>
      <c r="D16" s="41">
        <f ca="1">COUNTIF(tables_313010!$A:$A,E5)</f>
        <v>0</v>
      </c>
      <c r="E16" s="39"/>
      <c r="F16" s="43"/>
      <c r="G16" s="41" t="e">
        <f>COUNTIF(#REF!,H5)</f>
        <v>#REF!</v>
      </c>
      <c r="H16" s="39"/>
    </row>
  </sheetData>
  <phoneticPr fontId="15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output</vt:lpstr>
      <vt:lpstr>input_313010</vt:lpstr>
      <vt:lpstr>tables_313010</vt:lpstr>
      <vt:lpstr>input_313101</vt:lpstr>
      <vt:lpstr>tables_313101</vt:lpstr>
      <vt:lpstr>input_313100</vt:lpstr>
      <vt:lpstr>tables_313100</vt:lpstr>
      <vt:lpstr>gacha_bonus_tables</vt:lpstr>
      <vt:lpstr>bug_conf_sheet</vt:lpstr>
      <vt:lpstr>check_sheet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加藤 雅大</cp:lastModifiedBy>
  <dcterms:created xsi:type="dcterms:W3CDTF">2015-04-01T12:34:09Z</dcterms:created>
  <dcterms:modified xsi:type="dcterms:W3CDTF">2016-03-24T11:21:56Z</dcterms:modified>
</cp:coreProperties>
</file>