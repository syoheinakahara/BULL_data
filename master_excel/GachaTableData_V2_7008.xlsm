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6000" tabRatio="943" activeTab="2"/>
  </bookViews>
  <sheets>
    <sheet name="確率の考え方" sheetId="110" r:id="rId1"/>
    <sheet name="Sheet1" sheetId="107" r:id="rId2"/>
    <sheet name="output" sheetId="103" r:id="rId3"/>
    <sheet name="input_settle_7008100" sheetId="130" r:id="rId4"/>
    <sheet name="tables_settle_7008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tables_settle_7008100!$A$1:$V$134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I138" i="131"/>
  <c r="D138" i="131"/>
  <c r="J138" i="131"/>
  <c r="E138" i="131"/>
  <c r="F138" i="131"/>
  <c r="C138" i="131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I275" i="131"/>
  <c r="D275" i="131"/>
  <c r="J275" i="131"/>
  <c r="E275" i="131"/>
  <c r="F275" i="131"/>
  <c r="C275" i="131"/>
  <c r="I276" i="131"/>
  <c r="D276" i="131"/>
  <c r="J276" i="131"/>
  <c r="E276" i="131"/>
  <c r="F276" i="131"/>
  <c r="C276" i="131"/>
  <c r="I277" i="131"/>
  <c r="D277" i="131"/>
  <c r="J277" i="131"/>
  <c r="E277" i="131"/>
  <c r="F277" i="131"/>
  <c r="C277" i="131"/>
  <c r="I278" i="131"/>
  <c r="D278" i="131"/>
  <c r="J278" i="131"/>
  <c r="E278" i="131"/>
  <c r="F278" i="131"/>
  <c r="C278" i="131"/>
  <c r="I279" i="131"/>
  <c r="D279" i="131"/>
  <c r="J279" i="131"/>
  <c r="E279" i="131"/>
  <c r="F279" i="131"/>
  <c r="C279" i="131"/>
  <c r="I280" i="131"/>
  <c r="D280" i="131"/>
  <c r="J280" i="131"/>
  <c r="E280" i="131"/>
  <c r="F280" i="131"/>
  <c r="C280" i="131"/>
  <c r="I281" i="131"/>
  <c r="D281" i="131"/>
  <c r="J281" i="131"/>
  <c r="E281" i="131"/>
  <c r="F281" i="131"/>
  <c r="C281" i="131"/>
  <c r="I282" i="131"/>
  <c r="D282" i="131"/>
  <c r="J282" i="131"/>
  <c r="E282" i="131"/>
  <c r="F282" i="131"/>
  <c r="C282" i="131"/>
  <c r="I283" i="131"/>
  <c r="D283" i="131"/>
  <c r="J283" i="131"/>
  <c r="E283" i="131"/>
  <c r="F283" i="131"/>
  <c r="C283" i="131"/>
  <c r="I284" i="131"/>
  <c r="D284" i="131"/>
  <c r="J284" i="131"/>
  <c r="E284" i="131"/>
  <c r="F284" i="131"/>
  <c r="C284" i="131"/>
  <c r="I285" i="131"/>
  <c r="D285" i="131"/>
  <c r="J285" i="131"/>
  <c r="E285" i="131"/>
  <c r="F285" i="131"/>
  <c r="C285" i="131"/>
  <c r="I286" i="131"/>
  <c r="D286" i="131"/>
  <c r="J286" i="131"/>
  <c r="E286" i="131"/>
  <c r="F286" i="131"/>
  <c r="C286" i="131"/>
  <c r="I287" i="131"/>
  <c r="D287" i="131"/>
  <c r="J287" i="131"/>
  <c r="E287" i="131"/>
  <c r="F287" i="131"/>
  <c r="C287" i="131"/>
  <c r="I288" i="131"/>
  <c r="D288" i="131"/>
  <c r="J288" i="131"/>
  <c r="E288" i="131"/>
  <c r="F288" i="131"/>
  <c r="C288" i="131"/>
  <c r="I289" i="131"/>
  <c r="D289" i="131"/>
  <c r="J289" i="131"/>
  <c r="E289" i="131"/>
  <c r="F289" i="131"/>
  <c r="C289" i="131"/>
  <c r="I290" i="131"/>
  <c r="D290" i="131"/>
  <c r="J290" i="131"/>
  <c r="E290" i="131"/>
  <c r="F290" i="131"/>
  <c r="C290" i="131"/>
  <c r="I291" i="131"/>
  <c r="D291" i="131"/>
  <c r="J291" i="131"/>
  <c r="E291" i="131"/>
  <c r="F291" i="131"/>
  <c r="C291" i="131"/>
  <c r="I292" i="131"/>
  <c r="D292" i="131"/>
  <c r="J292" i="131"/>
  <c r="E292" i="131"/>
  <c r="F292" i="131"/>
  <c r="C292" i="131"/>
  <c r="I293" i="131"/>
  <c r="D293" i="131"/>
  <c r="J293" i="131"/>
  <c r="E293" i="131"/>
  <c r="F293" i="131"/>
  <c r="C293" i="131"/>
  <c r="I294" i="131"/>
  <c r="D294" i="131"/>
  <c r="J294" i="131"/>
  <c r="E294" i="131"/>
  <c r="F294" i="131"/>
  <c r="C294" i="131"/>
  <c r="I295" i="131"/>
  <c r="D295" i="131"/>
  <c r="J295" i="131"/>
  <c r="E295" i="131"/>
  <c r="F295" i="131"/>
  <c r="C295" i="131"/>
  <c r="I296" i="131"/>
  <c r="D296" i="131"/>
  <c r="J296" i="131"/>
  <c r="E296" i="131"/>
  <c r="F296" i="131"/>
  <c r="C296" i="131"/>
  <c r="I297" i="131"/>
  <c r="D297" i="131"/>
  <c r="J297" i="131"/>
  <c r="E297" i="131"/>
  <c r="F297" i="131"/>
  <c r="C297" i="131"/>
  <c r="I298" i="131"/>
  <c r="D298" i="131"/>
  <c r="J298" i="131"/>
  <c r="E298" i="131"/>
  <c r="F298" i="131"/>
  <c r="C298" i="131"/>
  <c r="I299" i="131"/>
  <c r="D299" i="131"/>
  <c r="J299" i="131"/>
  <c r="E299" i="131"/>
  <c r="F299" i="131"/>
  <c r="C299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7" i="130"/>
  <c r="B27" i="130"/>
  <c r="G27" i="130"/>
  <c r="H27" i="130"/>
  <c r="O138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E29" i="130"/>
  <c r="B29" i="130"/>
  <c r="B23" i="130"/>
  <c r="G23" i="130"/>
  <c r="E23" i="130"/>
  <c r="H23" i="130"/>
  <c r="O257" i="131"/>
  <c r="O258" i="131"/>
  <c r="O259" i="131"/>
  <c r="G29" i="130"/>
  <c r="H29" i="130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2" i="131"/>
  <c r="O293" i="131"/>
  <c r="O294" i="131"/>
  <c r="O295" i="131"/>
  <c r="O296" i="131"/>
  <c r="O297" i="131"/>
  <c r="O298" i="131"/>
  <c r="O299" i="131"/>
  <c r="P138" i="131"/>
  <c r="P139" i="131"/>
  <c r="P140" i="131"/>
  <c r="P141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P142" i="131"/>
  <c r="P143" i="131"/>
  <c r="P144" i="131"/>
  <c r="P145" i="131"/>
  <c r="P146" i="131"/>
  <c r="P147" i="131"/>
  <c r="P148" i="131"/>
  <c r="P149" i="131"/>
  <c r="P150" i="131"/>
  <c r="P151" i="131"/>
  <c r="P152" i="131"/>
  <c r="P153" i="131"/>
  <c r="P154" i="131"/>
  <c r="P155" i="131"/>
  <c r="P156" i="131"/>
  <c r="P157" i="131"/>
  <c r="P158" i="131"/>
  <c r="P159" i="131"/>
  <c r="P160" i="131"/>
  <c r="P161" i="131"/>
  <c r="P162" i="131"/>
  <c r="P163" i="131"/>
  <c r="P164" i="131"/>
  <c r="P165" i="131"/>
  <c r="P166" i="131"/>
  <c r="P167" i="131"/>
  <c r="P168" i="131"/>
  <c r="P169" i="131"/>
  <c r="P170" i="131"/>
  <c r="P171" i="131"/>
  <c r="P172" i="131"/>
  <c r="P173" i="131"/>
  <c r="P174" i="131"/>
  <c r="P175" i="131"/>
  <c r="P176" i="131"/>
  <c r="P177" i="131"/>
  <c r="P178" i="131"/>
  <c r="P179" i="131"/>
  <c r="P180" i="131"/>
  <c r="P181" i="131"/>
  <c r="P182" i="131"/>
  <c r="P183" i="131"/>
  <c r="P184" i="131"/>
  <c r="P185" i="131"/>
  <c r="P186" i="131"/>
  <c r="P187" i="131"/>
  <c r="P188" i="131"/>
  <c r="P189" i="131"/>
  <c r="P190" i="131"/>
  <c r="P191" i="131"/>
  <c r="P192" i="131"/>
  <c r="P193" i="131"/>
  <c r="P194" i="131"/>
  <c r="P195" i="131"/>
  <c r="P196" i="131"/>
  <c r="P197" i="131"/>
  <c r="P198" i="131"/>
  <c r="P199" i="131"/>
  <c r="P200" i="131"/>
  <c r="P201" i="131"/>
  <c r="P202" i="131"/>
  <c r="P203" i="131"/>
  <c r="P204" i="131"/>
  <c r="P205" i="131"/>
  <c r="P206" i="131"/>
  <c r="P207" i="131"/>
  <c r="P208" i="131"/>
  <c r="P209" i="131"/>
  <c r="P210" i="131"/>
  <c r="P211" i="131"/>
  <c r="P212" i="131"/>
  <c r="P213" i="131"/>
  <c r="P214" i="131"/>
  <c r="P215" i="131"/>
  <c r="P216" i="131"/>
  <c r="P217" i="131"/>
  <c r="P218" i="131"/>
  <c r="P219" i="131"/>
  <c r="P220" i="131"/>
  <c r="P221" i="131"/>
  <c r="P222" i="131"/>
  <c r="P223" i="131"/>
  <c r="P224" i="131"/>
  <c r="P225" i="131"/>
  <c r="P226" i="131"/>
  <c r="P227" i="131"/>
  <c r="P228" i="131"/>
  <c r="P229" i="131"/>
  <c r="P230" i="131"/>
  <c r="P231" i="131"/>
  <c r="P232" i="131"/>
  <c r="P233" i="131"/>
  <c r="P234" i="131"/>
  <c r="P235" i="131"/>
  <c r="P236" i="131"/>
  <c r="P237" i="131"/>
  <c r="P238" i="131"/>
  <c r="P239" i="131"/>
  <c r="P240" i="131"/>
  <c r="P241" i="131"/>
  <c r="P242" i="131"/>
  <c r="P243" i="131"/>
  <c r="P244" i="131"/>
  <c r="P245" i="131"/>
  <c r="P246" i="131"/>
  <c r="P247" i="131"/>
  <c r="P248" i="131"/>
  <c r="P249" i="131"/>
  <c r="P250" i="131"/>
  <c r="P251" i="131"/>
  <c r="P252" i="131"/>
  <c r="P253" i="131"/>
  <c r="P254" i="131"/>
  <c r="P255" i="131"/>
  <c r="P256" i="131"/>
  <c r="P257" i="131"/>
  <c r="P258" i="131"/>
  <c r="P259" i="131"/>
  <c r="P260" i="131"/>
  <c r="P261" i="131"/>
  <c r="P262" i="131"/>
  <c r="P263" i="131"/>
  <c r="P264" i="131"/>
  <c r="P265" i="131"/>
  <c r="P266" i="131"/>
  <c r="P267" i="131"/>
  <c r="P268" i="131"/>
  <c r="P269" i="131"/>
  <c r="P270" i="131"/>
  <c r="P271" i="131"/>
  <c r="P272" i="131"/>
  <c r="P273" i="131"/>
  <c r="P274" i="131"/>
  <c r="P275" i="131"/>
  <c r="P276" i="131"/>
  <c r="P277" i="131"/>
  <c r="P278" i="131"/>
  <c r="P279" i="131"/>
  <c r="P280" i="131"/>
  <c r="P281" i="131"/>
  <c r="P282" i="131"/>
  <c r="P283" i="131"/>
  <c r="P284" i="131"/>
  <c r="P285" i="131"/>
  <c r="P286" i="131"/>
  <c r="P287" i="131"/>
  <c r="P288" i="131"/>
  <c r="P289" i="131"/>
  <c r="P290" i="131"/>
  <c r="P291" i="131"/>
  <c r="P292" i="131"/>
  <c r="P293" i="131"/>
  <c r="P294" i="131"/>
  <c r="P295" i="131"/>
  <c r="P296" i="131"/>
  <c r="P297" i="131"/>
  <c r="P298" i="131"/>
  <c r="P299" i="131"/>
  <c r="F48" i="130"/>
  <c r="H297" i="131"/>
  <c r="K297" i="131"/>
  <c r="L297" i="131"/>
  <c r="M297" i="131"/>
  <c r="N297" i="131"/>
  <c r="H298" i="131"/>
  <c r="K298" i="131"/>
  <c r="L298" i="131"/>
  <c r="M298" i="131"/>
  <c r="N298" i="131"/>
  <c r="H299" i="131"/>
  <c r="K299" i="131"/>
  <c r="L299" i="131"/>
  <c r="M299" i="131"/>
  <c r="N299" i="131"/>
  <c r="A297" i="131"/>
  <c r="A298" i="131"/>
  <c r="A299" i="131"/>
  <c r="A292" i="131"/>
  <c r="H292" i="131"/>
  <c r="K292" i="131"/>
  <c r="L292" i="131"/>
  <c r="M292" i="131"/>
  <c r="N292" i="131"/>
  <c r="B10" i="130"/>
  <c r="A293" i="131"/>
  <c r="H293" i="131"/>
  <c r="K293" i="131"/>
  <c r="L293" i="131"/>
  <c r="M293" i="131"/>
  <c r="N293" i="131"/>
  <c r="A294" i="131"/>
  <c r="H294" i="131"/>
  <c r="K294" i="131"/>
  <c r="L294" i="131"/>
  <c r="M294" i="131"/>
  <c r="N294" i="131"/>
  <c r="A295" i="131"/>
  <c r="H295" i="131"/>
  <c r="K295" i="131"/>
  <c r="L295" i="131"/>
  <c r="M295" i="131"/>
  <c r="N295" i="131"/>
  <c r="A296" i="131"/>
  <c r="H296" i="131"/>
  <c r="K296" i="131"/>
  <c r="L296" i="131"/>
  <c r="M296" i="131"/>
  <c r="N296" i="131"/>
  <c r="A288" i="131"/>
  <c r="A289" i="131"/>
  <c r="A290" i="131"/>
  <c r="A291" i="131"/>
  <c r="H288" i="131"/>
  <c r="K288" i="131"/>
  <c r="L288" i="131"/>
  <c r="M288" i="131"/>
  <c r="N288" i="131"/>
  <c r="H289" i="131"/>
  <c r="K289" i="131"/>
  <c r="L289" i="131"/>
  <c r="M289" i="131"/>
  <c r="N289" i="131"/>
  <c r="H290" i="131"/>
  <c r="K290" i="131"/>
  <c r="L290" i="131"/>
  <c r="M290" i="131"/>
  <c r="N290" i="131"/>
  <c r="H291" i="131"/>
  <c r="K291" i="131"/>
  <c r="L291" i="131"/>
  <c r="M291" i="131"/>
  <c r="N291" i="131"/>
  <c r="H284" i="131"/>
  <c r="K284" i="131"/>
  <c r="L284" i="131"/>
  <c r="M284" i="131"/>
  <c r="N284" i="131"/>
  <c r="H285" i="131"/>
  <c r="K285" i="131"/>
  <c r="L285" i="131"/>
  <c r="M285" i="131"/>
  <c r="N285" i="131"/>
  <c r="H286" i="131"/>
  <c r="K286" i="131"/>
  <c r="L286" i="131"/>
  <c r="M286" i="131"/>
  <c r="N286" i="131"/>
  <c r="H287" i="131"/>
  <c r="K287" i="131"/>
  <c r="L287" i="131"/>
  <c r="M287" i="131"/>
  <c r="N287" i="131"/>
  <c r="A284" i="131"/>
  <c r="A285" i="131"/>
  <c r="A286" i="131"/>
  <c r="A287" i="131"/>
  <c r="A282" i="131"/>
  <c r="H282" i="131"/>
  <c r="K282" i="131"/>
  <c r="L282" i="131"/>
  <c r="M282" i="131"/>
  <c r="N282" i="131"/>
  <c r="A283" i="131"/>
  <c r="H283" i="131"/>
  <c r="K283" i="131"/>
  <c r="L283" i="131"/>
  <c r="M283" i="131"/>
  <c r="N283" i="131"/>
  <c r="H278" i="131"/>
  <c r="A278" i="131"/>
  <c r="K278" i="131"/>
  <c r="L278" i="131"/>
  <c r="M278" i="131"/>
  <c r="N278" i="131"/>
  <c r="A279" i="131"/>
  <c r="H279" i="131"/>
  <c r="K279" i="131"/>
  <c r="L279" i="131"/>
  <c r="M279" i="131"/>
  <c r="N279" i="131"/>
  <c r="A280" i="131"/>
  <c r="H280" i="131"/>
  <c r="K280" i="131"/>
  <c r="L280" i="131"/>
  <c r="M280" i="131"/>
  <c r="N280" i="131"/>
  <c r="A281" i="131"/>
  <c r="H281" i="131"/>
  <c r="K281" i="131"/>
  <c r="L281" i="131"/>
  <c r="M281" i="131"/>
  <c r="N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N277" i="131"/>
  <c r="M277" i="131"/>
  <c r="L277" i="131"/>
  <c r="K277" i="131"/>
  <c r="H277" i="131"/>
  <c r="N276" i="131"/>
  <c r="M276" i="131"/>
  <c r="L276" i="131"/>
  <c r="K276" i="131"/>
  <c r="H276" i="131"/>
  <c r="N275" i="131"/>
  <c r="M275" i="131"/>
  <c r="L275" i="131"/>
  <c r="K275" i="131"/>
  <c r="H275" i="131"/>
  <c r="N274" i="131"/>
  <c r="M274" i="131"/>
  <c r="L274" i="131"/>
  <c r="K274" i="131"/>
  <c r="H274" i="131"/>
  <c r="N273" i="131"/>
  <c r="M273" i="131"/>
  <c r="L273" i="131"/>
  <c r="K273" i="131"/>
  <c r="H273" i="131"/>
  <c r="N272" i="131"/>
  <c r="M272" i="131"/>
  <c r="L272" i="131"/>
  <c r="K272" i="131"/>
  <c r="H272" i="131"/>
  <c r="N271" i="131"/>
  <c r="M271" i="131"/>
  <c r="L271" i="131"/>
  <c r="K271" i="131"/>
  <c r="H271" i="131"/>
  <c r="N270" i="131"/>
  <c r="M270" i="131"/>
  <c r="L270" i="131"/>
  <c r="K270" i="131"/>
  <c r="H270" i="131"/>
  <c r="N269" i="131"/>
  <c r="M269" i="131"/>
  <c r="L269" i="131"/>
  <c r="K269" i="131"/>
  <c r="H269" i="131"/>
  <c r="N268" i="131"/>
  <c r="M268" i="131"/>
  <c r="L268" i="131"/>
  <c r="K268" i="131"/>
  <c r="H268" i="131"/>
  <c r="N267" i="131"/>
  <c r="M267" i="131"/>
  <c r="L267" i="131"/>
  <c r="K267" i="131"/>
  <c r="H267" i="131"/>
  <c r="N266" i="131"/>
  <c r="M266" i="131"/>
  <c r="L266" i="131"/>
  <c r="K266" i="131"/>
  <c r="H266" i="131"/>
  <c r="N265" i="131"/>
  <c r="M265" i="131"/>
  <c r="L265" i="131"/>
  <c r="K265" i="131"/>
  <c r="H265" i="131"/>
  <c r="N264" i="131"/>
  <c r="M264" i="131"/>
  <c r="L264" i="131"/>
  <c r="K264" i="131"/>
  <c r="H264" i="131"/>
  <c r="N263" i="131"/>
  <c r="M263" i="131"/>
  <c r="L263" i="131"/>
  <c r="K263" i="131"/>
  <c r="H263" i="131"/>
  <c r="N262" i="131"/>
  <c r="M262" i="131"/>
  <c r="L262" i="131"/>
  <c r="K262" i="131"/>
  <c r="H262" i="131"/>
  <c r="N261" i="131"/>
  <c r="M261" i="131"/>
  <c r="L261" i="131"/>
  <c r="K261" i="131"/>
  <c r="H261" i="131"/>
  <c r="N260" i="131"/>
  <c r="M260" i="131"/>
  <c r="L260" i="131"/>
  <c r="K260" i="131"/>
  <c r="H260" i="131"/>
  <c r="N259" i="131"/>
  <c r="M259" i="131"/>
  <c r="L259" i="131"/>
  <c r="K259" i="131"/>
  <c r="H259" i="131"/>
  <c r="N258" i="131"/>
  <c r="M258" i="131"/>
  <c r="L258" i="131"/>
  <c r="K258" i="131"/>
  <c r="H258" i="131"/>
  <c r="N257" i="131"/>
  <c r="M257" i="131"/>
  <c r="L257" i="131"/>
  <c r="K257" i="131"/>
  <c r="H257" i="131"/>
  <c r="N256" i="131"/>
  <c r="M256" i="131"/>
  <c r="L256" i="131"/>
  <c r="K256" i="131"/>
  <c r="H256" i="131"/>
  <c r="N255" i="131"/>
  <c r="M255" i="131"/>
  <c r="L255" i="131"/>
  <c r="K255" i="131"/>
  <c r="H255" i="131"/>
  <c r="N254" i="131"/>
  <c r="M254" i="131"/>
  <c r="L254" i="131"/>
  <c r="K254" i="131"/>
  <c r="H254" i="131"/>
  <c r="N253" i="131"/>
  <c r="M253" i="131"/>
  <c r="L253" i="131"/>
  <c r="K253" i="131"/>
  <c r="H253" i="131"/>
  <c r="N252" i="131"/>
  <c r="M252" i="131"/>
  <c r="L252" i="131"/>
  <c r="K252" i="131"/>
  <c r="H252" i="131"/>
  <c r="N251" i="131"/>
  <c r="M251" i="131"/>
  <c r="L251" i="131"/>
  <c r="K251" i="131"/>
  <c r="H251" i="131"/>
  <c r="N250" i="131"/>
  <c r="M250" i="131"/>
  <c r="L250" i="131"/>
  <c r="K250" i="131"/>
  <c r="H250" i="131"/>
  <c r="N249" i="131"/>
  <c r="M249" i="131"/>
  <c r="L249" i="131"/>
  <c r="K249" i="131"/>
  <c r="H249" i="131"/>
  <c r="N248" i="131"/>
  <c r="M248" i="131"/>
  <c r="L248" i="131"/>
  <c r="K248" i="131"/>
  <c r="H248" i="131"/>
  <c r="N247" i="131"/>
  <c r="M247" i="131"/>
  <c r="L247" i="131"/>
  <c r="K247" i="131"/>
  <c r="H247" i="131"/>
  <c r="N246" i="131"/>
  <c r="M246" i="131"/>
  <c r="L246" i="131"/>
  <c r="K246" i="131"/>
  <c r="H246" i="131"/>
  <c r="N245" i="131"/>
  <c r="M245" i="131"/>
  <c r="L245" i="131"/>
  <c r="K245" i="131"/>
  <c r="H245" i="131"/>
  <c r="N244" i="131"/>
  <c r="M244" i="131"/>
  <c r="L244" i="131"/>
  <c r="K244" i="131"/>
  <c r="H244" i="131"/>
  <c r="N243" i="131"/>
  <c r="M243" i="131"/>
  <c r="L243" i="131"/>
  <c r="K243" i="131"/>
  <c r="H243" i="131"/>
  <c r="N242" i="131"/>
  <c r="M242" i="131"/>
  <c r="L242" i="131"/>
  <c r="K242" i="131"/>
  <c r="H242" i="131"/>
  <c r="N241" i="131"/>
  <c r="M241" i="131"/>
  <c r="L241" i="131"/>
  <c r="K241" i="131"/>
  <c r="H241" i="131"/>
  <c r="N240" i="131"/>
  <c r="M240" i="131"/>
  <c r="L240" i="131"/>
  <c r="K240" i="131"/>
  <c r="H240" i="131"/>
  <c r="N239" i="131"/>
  <c r="M239" i="131"/>
  <c r="L239" i="131"/>
  <c r="K239" i="131"/>
  <c r="H239" i="131"/>
  <c r="N238" i="131"/>
  <c r="M238" i="131"/>
  <c r="L238" i="131"/>
  <c r="K238" i="131"/>
  <c r="H238" i="131"/>
  <c r="N237" i="131"/>
  <c r="M237" i="131"/>
  <c r="L237" i="131"/>
  <c r="K237" i="131"/>
  <c r="H237" i="131"/>
  <c r="N236" i="131"/>
  <c r="M236" i="131"/>
  <c r="L236" i="131"/>
  <c r="K236" i="131"/>
  <c r="H236" i="131"/>
  <c r="N235" i="131"/>
  <c r="M235" i="131"/>
  <c r="L235" i="131"/>
  <c r="K235" i="131"/>
  <c r="H235" i="131"/>
  <c r="N234" i="131"/>
  <c r="M234" i="131"/>
  <c r="L234" i="131"/>
  <c r="K234" i="131"/>
  <c r="H234" i="131"/>
  <c r="N233" i="131"/>
  <c r="M233" i="131"/>
  <c r="L233" i="131"/>
  <c r="K233" i="131"/>
  <c r="H233" i="131"/>
  <c r="N232" i="131"/>
  <c r="M232" i="131"/>
  <c r="L232" i="131"/>
  <c r="K232" i="131"/>
  <c r="H232" i="131"/>
  <c r="N231" i="131"/>
  <c r="M231" i="131"/>
  <c r="L231" i="131"/>
  <c r="K231" i="131"/>
  <c r="H231" i="131"/>
  <c r="N230" i="131"/>
  <c r="M230" i="131"/>
  <c r="L230" i="131"/>
  <c r="K230" i="131"/>
  <c r="H230" i="131"/>
  <c r="N229" i="131"/>
  <c r="M229" i="131"/>
  <c r="L229" i="131"/>
  <c r="K229" i="131"/>
  <c r="H229" i="131"/>
  <c r="N228" i="131"/>
  <c r="M228" i="131"/>
  <c r="L228" i="131"/>
  <c r="K228" i="131"/>
  <c r="H228" i="131"/>
  <c r="N227" i="131"/>
  <c r="M227" i="131"/>
  <c r="L227" i="131"/>
  <c r="K227" i="131"/>
  <c r="H227" i="131"/>
  <c r="N226" i="131"/>
  <c r="M226" i="131"/>
  <c r="L226" i="131"/>
  <c r="K226" i="131"/>
  <c r="H226" i="131"/>
  <c r="N225" i="131"/>
  <c r="M225" i="131"/>
  <c r="L225" i="131"/>
  <c r="K225" i="131"/>
  <c r="H225" i="131"/>
  <c r="N224" i="131"/>
  <c r="M224" i="131"/>
  <c r="L224" i="131"/>
  <c r="K224" i="131"/>
  <c r="H224" i="131"/>
  <c r="N223" i="131"/>
  <c r="M223" i="131"/>
  <c r="L223" i="131"/>
  <c r="K223" i="131"/>
  <c r="H223" i="131"/>
  <c r="N222" i="131"/>
  <c r="M222" i="131"/>
  <c r="L222" i="131"/>
  <c r="K222" i="131"/>
  <c r="H222" i="131"/>
  <c r="N221" i="131"/>
  <c r="M221" i="131"/>
  <c r="L221" i="131"/>
  <c r="K221" i="131"/>
  <c r="H221" i="131"/>
  <c r="N220" i="131"/>
  <c r="M220" i="131"/>
  <c r="L220" i="131"/>
  <c r="K220" i="131"/>
  <c r="H220" i="131"/>
  <c r="N219" i="131"/>
  <c r="M219" i="131"/>
  <c r="L219" i="131"/>
  <c r="K219" i="131"/>
  <c r="H219" i="131"/>
  <c r="N218" i="131"/>
  <c r="M218" i="131"/>
  <c r="L218" i="131"/>
  <c r="K218" i="131"/>
  <c r="H218" i="131"/>
  <c r="N217" i="131"/>
  <c r="M217" i="131"/>
  <c r="L217" i="131"/>
  <c r="K217" i="131"/>
  <c r="H217" i="131"/>
  <c r="N216" i="131"/>
  <c r="M216" i="131"/>
  <c r="L216" i="131"/>
  <c r="K216" i="131"/>
  <c r="H216" i="131"/>
  <c r="N215" i="131"/>
  <c r="M215" i="131"/>
  <c r="L215" i="131"/>
  <c r="K215" i="131"/>
  <c r="H215" i="131"/>
  <c r="N214" i="131"/>
  <c r="M214" i="131"/>
  <c r="L214" i="131"/>
  <c r="K214" i="131"/>
  <c r="H214" i="131"/>
  <c r="N213" i="131"/>
  <c r="M213" i="131"/>
  <c r="L213" i="131"/>
  <c r="K213" i="131"/>
  <c r="H213" i="131"/>
  <c r="N212" i="131"/>
  <c r="M212" i="131"/>
  <c r="L212" i="131"/>
  <c r="K212" i="131"/>
  <c r="H212" i="131"/>
  <c r="N211" i="131"/>
  <c r="M211" i="131"/>
  <c r="L211" i="131"/>
  <c r="K211" i="131"/>
  <c r="H211" i="131"/>
  <c r="N210" i="131"/>
  <c r="M210" i="131"/>
  <c r="L210" i="131"/>
  <c r="K210" i="131"/>
  <c r="H210" i="131"/>
  <c r="N209" i="131"/>
  <c r="M209" i="131"/>
  <c r="L209" i="131"/>
  <c r="K209" i="131"/>
  <c r="H209" i="131"/>
  <c r="N208" i="131"/>
  <c r="M208" i="131"/>
  <c r="L208" i="131"/>
  <c r="K208" i="131"/>
  <c r="H208" i="131"/>
  <c r="N207" i="131"/>
  <c r="M207" i="131"/>
  <c r="L207" i="131"/>
  <c r="K207" i="131"/>
  <c r="H207" i="131"/>
  <c r="N206" i="131"/>
  <c r="M206" i="131"/>
  <c r="L206" i="131"/>
  <c r="K206" i="131"/>
  <c r="H206" i="131"/>
  <c r="N205" i="131"/>
  <c r="M205" i="131"/>
  <c r="L205" i="131"/>
  <c r="K205" i="131"/>
  <c r="H205" i="131"/>
  <c r="N204" i="131"/>
  <c r="M204" i="131"/>
  <c r="L204" i="131"/>
  <c r="K204" i="131"/>
  <c r="H204" i="131"/>
  <c r="N203" i="131"/>
  <c r="M203" i="131"/>
  <c r="L203" i="131"/>
  <c r="K203" i="131"/>
  <c r="H203" i="131"/>
  <c r="N202" i="131"/>
  <c r="M202" i="131"/>
  <c r="L202" i="131"/>
  <c r="K202" i="131"/>
  <c r="H202" i="131"/>
  <c r="N201" i="131"/>
  <c r="M201" i="131"/>
  <c r="L201" i="131"/>
  <c r="K201" i="131"/>
  <c r="H201" i="131"/>
  <c r="N200" i="131"/>
  <c r="M200" i="131"/>
  <c r="L200" i="131"/>
  <c r="K200" i="131"/>
  <c r="H200" i="131"/>
  <c r="N199" i="131"/>
  <c r="M199" i="131"/>
  <c r="L199" i="131"/>
  <c r="K199" i="131"/>
  <c r="H199" i="131"/>
  <c r="N198" i="131"/>
  <c r="M198" i="131"/>
  <c r="L198" i="131"/>
  <c r="K198" i="131"/>
  <c r="H198" i="131"/>
  <c r="N197" i="131"/>
  <c r="M197" i="131"/>
  <c r="L197" i="131"/>
  <c r="K197" i="131"/>
  <c r="H197" i="131"/>
  <c r="N196" i="131"/>
  <c r="M196" i="131"/>
  <c r="L196" i="131"/>
  <c r="K196" i="131"/>
  <c r="H196" i="131"/>
  <c r="N195" i="131"/>
  <c r="M195" i="131"/>
  <c r="L195" i="131"/>
  <c r="K195" i="131"/>
  <c r="H195" i="131"/>
  <c r="N194" i="131"/>
  <c r="M194" i="131"/>
  <c r="L194" i="131"/>
  <c r="K194" i="131"/>
  <c r="H194" i="131"/>
  <c r="N193" i="131"/>
  <c r="M193" i="131"/>
  <c r="L193" i="131"/>
  <c r="K193" i="131"/>
  <c r="H193" i="131"/>
  <c r="N192" i="131"/>
  <c r="M192" i="131"/>
  <c r="L192" i="131"/>
  <c r="K192" i="131"/>
  <c r="H192" i="131"/>
  <c r="N191" i="131"/>
  <c r="M191" i="131"/>
  <c r="L191" i="131"/>
  <c r="K191" i="131"/>
  <c r="H191" i="131"/>
  <c r="N190" i="131"/>
  <c r="M190" i="131"/>
  <c r="L190" i="131"/>
  <c r="K190" i="131"/>
  <c r="H190" i="131"/>
  <c r="N189" i="131"/>
  <c r="M189" i="131"/>
  <c r="L189" i="131"/>
  <c r="K189" i="131"/>
  <c r="H189" i="131"/>
  <c r="N188" i="131"/>
  <c r="M188" i="131"/>
  <c r="L188" i="131"/>
  <c r="K188" i="131"/>
  <c r="H188" i="131"/>
  <c r="N187" i="131"/>
  <c r="M187" i="131"/>
  <c r="L187" i="131"/>
  <c r="K187" i="131"/>
  <c r="H187" i="131"/>
  <c r="N186" i="131"/>
  <c r="M186" i="131"/>
  <c r="L186" i="131"/>
  <c r="K186" i="131"/>
  <c r="H186" i="131"/>
  <c r="N185" i="131"/>
  <c r="M185" i="131"/>
  <c r="L185" i="131"/>
  <c r="K185" i="131"/>
  <c r="H185" i="131"/>
  <c r="N184" i="131"/>
  <c r="M184" i="131"/>
  <c r="L184" i="131"/>
  <c r="K184" i="131"/>
  <c r="H184" i="131"/>
  <c r="N183" i="131"/>
  <c r="M183" i="131"/>
  <c r="L183" i="131"/>
  <c r="K183" i="131"/>
  <c r="H183" i="131"/>
  <c r="N182" i="131"/>
  <c r="M182" i="131"/>
  <c r="L182" i="131"/>
  <c r="K182" i="131"/>
  <c r="H182" i="131"/>
  <c r="N181" i="131"/>
  <c r="M181" i="131"/>
  <c r="L181" i="131"/>
  <c r="K181" i="131"/>
  <c r="H181" i="131"/>
  <c r="N180" i="131"/>
  <c r="M180" i="131"/>
  <c r="L180" i="131"/>
  <c r="K180" i="131"/>
  <c r="H180" i="131"/>
  <c r="N179" i="131"/>
  <c r="M179" i="131"/>
  <c r="L179" i="131"/>
  <c r="K179" i="131"/>
  <c r="H179" i="131"/>
  <c r="N178" i="131"/>
  <c r="M178" i="131"/>
  <c r="L178" i="131"/>
  <c r="K178" i="131"/>
  <c r="H178" i="131"/>
  <c r="N177" i="131"/>
  <c r="M177" i="131"/>
  <c r="L177" i="131"/>
  <c r="K177" i="131"/>
  <c r="H177" i="131"/>
  <c r="N176" i="131"/>
  <c r="M176" i="131"/>
  <c r="L176" i="131"/>
  <c r="K176" i="131"/>
  <c r="H176" i="131"/>
  <c r="N175" i="131"/>
  <c r="M175" i="131"/>
  <c r="L175" i="131"/>
  <c r="K175" i="131"/>
  <c r="H175" i="131"/>
  <c r="N174" i="131"/>
  <c r="M174" i="131"/>
  <c r="L174" i="131"/>
  <c r="K174" i="131"/>
  <c r="H174" i="131"/>
  <c r="N173" i="131"/>
  <c r="M173" i="131"/>
  <c r="L173" i="131"/>
  <c r="K173" i="131"/>
  <c r="H173" i="131"/>
  <c r="N172" i="131"/>
  <c r="M172" i="131"/>
  <c r="L172" i="131"/>
  <c r="K172" i="131"/>
  <c r="H172" i="131"/>
  <c r="N171" i="131"/>
  <c r="M171" i="131"/>
  <c r="L171" i="131"/>
  <c r="K171" i="131"/>
  <c r="H171" i="131"/>
  <c r="N170" i="131"/>
  <c r="M170" i="131"/>
  <c r="L170" i="131"/>
  <c r="K170" i="131"/>
  <c r="H170" i="131"/>
  <c r="N169" i="131"/>
  <c r="M169" i="131"/>
  <c r="L169" i="131"/>
  <c r="K169" i="131"/>
  <c r="H169" i="131"/>
  <c r="N168" i="131"/>
  <c r="M168" i="131"/>
  <c r="L168" i="131"/>
  <c r="K168" i="131"/>
  <c r="H168" i="131"/>
  <c r="N167" i="131"/>
  <c r="M167" i="131"/>
  <c r="L167" i="131"/>
  <c r="K167" i="131"/>
  <c r="H167" i="131"/>
  <c r="N166" i="131"/>
  <c r="M166" i="131"/>
  <c r="L166" i="131"/>
  <c r="K166" i="131"/>
  <c r="H166" i="131"/>
  <c r="N165" i="131"/>
  <c r="M165" i="131"/>
  <c r="L165" i="131"/>
  <c r="K165" i="131"/>
  <c r="H165" i="131"/>
  <c r="N164" i="131"/>
  <c r="M164" i="131"/>
  <c r="L164" i="131"/>
  <c r="K164" i="131"/>
  <c r="H164" i="131"/>
  <c r="N163" i="131"/>
  <c r="M163" i="131"/>
  <c r="L163" i="131"/>
  <c r="K163" i="131"/>
  <c r="H163" i="131"/>
  <c r="N162" i="131"/>
  <c r="M162" i="131"/>
  <c r="L162" i="131"/>
  <c r="K162" i="131"/>
  <c r="H162" i="131"/>
  <c r="N161" i="131"/>
  <c r="M161" i="131"/>
  <c r="L161" i="131"/>
  <c r="K161" i="131"/>
  <c r="H161" i="131"/>
  <c r="N160" i="131"/>
  <c r="M160" i="131"/>
  <c r="L160" i="131"/>
  <c r="K160" i="131"/>
  <c r="H160" i="131"/>
  <c r="N159" i="131"/>
  <c r="M159" i="131"/>
  <c r="L159" i="131"/>
  <c r="K159" i="131"/>
  <c r="H159" i="131"/>
  <c r="N158" i="131"/>
  <c r="M158" i="131"/>
  <c r="L158" i="131"/>
  <c r="K158" i="131"/>
  <c r="H158" i="131"/>
  <c r="N157" i="131"/>
  <c r="M157" i="131"/>
  <c r="L157" i="131"/>
  <c r="K157" i="131"/>
  <c r="H157" i="131"/>
  <c r="N156" i="131"/>
  <c r="M156" i="131"/>
  <c r="L156" i="131"/>
  <c r="K156" i="131"/>
  <c r="H156" i="131"/>
  <c r="N155" i="131"/>
  <c r="M155" i="131"/>
  <c r="L155" i="131"/>
  <c r="K155" i="131"/>
  <c r="H155" i="131"/>
  <c r="N154" i="131"/>
  <c r="M154" i="131"/>
  <c r="L154" i="131"/>
  <c r="K154" i="131"/>
  <c r="H154" i="131"/>
  <c r="N153" i="131"/>
  <c r="M153" i="131"/>
  <c r="L153" i="131"/>
  <c r="K153" i="131"/>
  <c r="H153" i="131"/>
  <c r="N152" i="131"/>
  <c r="M152" i="131"/>
  <c r="L152" i="131"/>
  <c r="K152" i="131"/>
  <c r="H152" i="131"/>
  <c r="N151" i="131"/>
  <c r="M151" i="131"/>
  <c r="L151" i="131"/>
  <c r="K151" i="131"/>
  <c r="H151" i="131"/>
  <c r="N150" i="131"/>
  <c r="M150" i="131"/>
  <c r="L150" i="131"/>
  <c r="K150" i="131"/>
  <c r="H150" i="131"/>
  <c r="N149" i="131"/>
  <c r="M149" i="131"/>
  <c r="L149" i="131"/>
  <c r="K149" i="131"/>
  <c r="H149" i="131"/>
  <c r="N148" i="131"/>
  <c r="M148" i="131"/>
  <c r="L148" i="131"/>
  <c r="K148" i="131"/>
  <c r="H148" i="131"/>
  <c r="N147" i="131"/>
  <c r="M147" i="131"/>
  <c r="L147" i="131"/>
  <c r="K147" i="131"/>
  <c r="H147" i="131"/>
  <c r="N146" i="131"/>
  <c r="M146" i="131"/>
  <c r="L146" i="131"/>
  <c r="K146" i="131"/>
  <c r="H146" i="131"/>
  <c r="N145" i="131"/>
  <c r="M145" i="131"/>
  <c r="L145" i="131"/>
  <c r="K145" i="131"/>
  <c r="H145" i="131"/>
  <c r="N144" i="131"/>
  <c r="M144" i="131"/>
  <c r="L144" i="131"/>
  <c r="K144" i="131"/>
  <c r="H144" i="131"/>
  <c r="N143" i="131"/>
  <c r="M143" i="131"/>
  <c r="L143" i="131"/>
  <c r="K143" i="131"/>
  <c r="H143" i="131"/>
  <c r="N142" i="131"/>
  <c r="M142" i="131"/>
  <c r="L142" i="131"/>
  <c r="K142" i="131"/>
  <c r="H142" i="131"/>
  <c r="N141" i="131"/>
  <c r="M141" i="131"/>
  <c r="L141" i="131"/>
  <c r="K141" i="131"/>
  <c r="H141" i="131"/>
  <c r="N140" i="131"/>
  <c r="M140" i="131"/>
  <c r="L140" i="131"/>
  <c r="K140" i="131"/>
  <c r="H140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<sst xmlns="http://schemas.openxmlformats.org/spreadsheetml/2006/main" count="304" uniqueCount="212">
  <si>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</si>
  <si>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</si>
  <si>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</si>
  <si>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</si>
  <si>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</si>
  <si>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</si>
  <si>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</si>
  <si>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</si>
  <si>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</si>
  <si>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</si>
  <si>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</si>
  <si>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</si>
  <si>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</si>
  <si>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</si>
  <si>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</si>
  <si>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</si>
  <si>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</si>
  <si>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</si>
  <si>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</si>
  <si>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</si>
  <si>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</si>
  <si>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</si>
  <si>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</si>
  <si>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</si>
  <si>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</si>
  <si>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</si>
  <si>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</si>
  <si>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</si>
  <si>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</si>
  <si>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</si>
  <si>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</si>
  <si>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</si>
  <si>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</si>
  <si>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</si>
  <si>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</si>
  <si>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</si>
  <si>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</si>
  <si>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</si>
  <si>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</si>
  <si>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</si>
  <si>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</si>
  <si>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</si>
  <si>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</si>
  <si>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</si>
  <si>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</si>
  <si>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</si>
  <si>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</si>
  <si>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</si>
  <si>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</si>
  <si>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</si>
  <si>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</si>
  <si>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</si>
  <si>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</si>
  <si>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</si>
  <si>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</si>
  <si>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</si>
  <si>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</si>
  <si>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</si>
  <si>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</si>
  <si>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</si>
  <si>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</si>
  <si>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</si>
  <si>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</si>
  <si>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</si>
  <si>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</si>
  <si>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</si>
  <si>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</si>
  <si>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</si>
  <si>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</si>
  <si>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</si>
  <si>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</si>
  <si>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</si>
  <si>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</si>
  <si>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</si>
  <si>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</si>
  <si>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</si>
  <si>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</si>
  <si>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</si>
  <si>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</si>
  <si>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</si>
  <si>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</si>
  <si>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</si>
  <si>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</si>
  <si>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</si>
  <si>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</si>
  <si>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</si>
  <si>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</si>
  <si>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</si>
  <si>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</si>
  <si>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</si>
  <si>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</si>
  <si>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</si>
  <si>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</si>
  <si>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</si>
  <si>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</si>
  <si>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</si>
  <si>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</si>
  <si>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</si>
  <si>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</si>
  <si>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</si>
  <si>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</si>
  <si>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</si>
  <si>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</si>
  <si>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</si>
  <si>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</si>
  <si>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</si>
  <si>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</si>
  <si>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</si>
  <si>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</si>
  <si>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</si>
  <si>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</si>
  <si>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</si>
  <si>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</si>
  <si>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</si>
  <si>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</si>
  <si>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</si>
  <si>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</si>
  <si>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</si>
  <si>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</si>
  <si>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</si>
  <si>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</si>
  <si>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</si>
  <si>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</si>
  <si>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</si>
  <si>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</si>
  <si>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</si>
  <si>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</si>
  <si>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</si>
  <si>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</si>
  <si>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</si>
  <si>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</si>
  <si>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</si>
  <si>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</si>
  <si>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</si>
  <si>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</si>
  <si>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</si>
  <si>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</si>
  <si>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</si>
  <si>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</si>
  <si>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</si>
  <si>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</si>
  <si>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</si>
  <si>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</si>
  <si>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</si>
  <si>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</si>
  <si>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</si>
  <si>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</si>
  <si>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</si>
  <si>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</si>
  <si>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</si>
  <si>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</si>
  <si>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</si>
  <si>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</si>
  <si>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</si>
  <si>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</si>
  <si>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</si>
  <si>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</si>
  <si>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</si>
  <si>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</si>
  <si>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</si>
  <si>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</si>
  <si>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</si>
  <si>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</si>
  <si>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</si>
  <si>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</si>
  <si>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</si>
  <si>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</si>
  <si>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</si>
  <si>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</si>
  <si>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</si>
  <si>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</si>
  <si>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</si>
  <si>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</si>
  <si>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</si>
  <si>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</si>
  <si>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</si>
  <si>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</si>
  <si>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</si>
  <si>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</si>
  <si>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</si>
  <si>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</si>
  <si>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</si>
  <si>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</si>
  <si>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</si>
  <si>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</si>
  <si>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</si>
  <si>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</si>
  <si>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</si>
  <si>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</si>
  <si>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</si>
  <si>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</si>
  <si>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</si>
  <si>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</si>
  <si>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</si>
  <si>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</si>
  <si>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</si>
  <si>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</si>
  <si>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</si>
  <si>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</si>
  <si>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character_id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</si>
  <si>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</si>
  <si>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</si>
  <si>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</si>
  <si>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</si>
  <si>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</si>
  <si>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</si>
  <si>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</si>
  <si>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</si>
  <si>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</si>
  <si>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</si>
  <si>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tables_settle_7008100</t>
    <phoneticPr fontId="18"/>
  </si>
  <si>
    <t>old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</si>
</sst>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7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A4" sqref="A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211</v>
      </c>
      <c r="B3" s="80" t="s">
        <v>197</v>
      </c>
      <c r="C3" s="49" t="str">
        <f>RIGHT(F3,7)</f>
        <v>7008100</v>
      </c>
      <c r="D3" s="18" t="s">
        <v>32</v>
      </c>
      <c r="E3" s="16" t="str">
        <f t="shared" ref="E3" si="1">B3&amp;C3&amp;D3</f>
        <v>gacha_settle_tables_7008100.tmp</v>
      </c>
      <c r="F3" s="86" t="s">
        <v>210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8" workbookViewId="0">
      <selection activeCell="F48" sqref="F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7008100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VLOOKUP(L3,tables_settle_7008100!B:C,2,FALSE)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VLOOKUP(L4,tables_settle_7008100!B:C,2,FALSE)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6.1224489795918364E-4</v>
      </c>
      <c r="F5">
        <f>(COUNTIF(tables_settle_7008100!C:C,input_settle_7008100!A26)+COUNTIF(tables_settle_7008100!C:C,input_settle_7008100!A28)+COUNTIF(tables_settle_7008100!C:C,input_settle_7008100!A29))</f>
        <v>49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VLOOKUP(L5,tables_settle_7008100!B:C,2,FALSE)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(COUNTIF(tables_settle_7008100!C:C,input_settle_7008100!A18)+COUNTIF(tables_settle_7008100!C:C,input_settle_7008100!A20)+COUNTIF(tables_settle_7008100!C:C,input_settle_7008100!A22))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VLOOKUP(L6,tables_settle_7008100!B:C,2,FALSE)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VLOOKUP(L7,tables_settle_7008100!B:C,2,FALSE)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VLOOKUP(L8,tables_settle_7008100!B:C,2,FALSE)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VLOOKUP(L9,tables_settle_7008100!B:C,2,FALSE)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VLOOKUP(L10,tables_settle_7008100!B:C,2,FALSE)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VLOOKUP(L11,tables_settle_7008100!B:C,2,FALSE)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VLOOKUP(L12,tables_settle_7008100!B:C,2,FALSE)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VLOOKUP(L13,tables_settle_7008100!B:C,2,FALSE)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VLOOKUP(L14,tables_settle_7008100!B:C,2,FALSE)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VLOOKUP(L15,tables_settle_7008100!B:C,2,FALSE)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VLOOKUP(L16,tables_settle_7008100!B:C,2,FALSE)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COUNTIF(tables_settle_7008100!C:C,input_settle_7008100!A17)-COUNTIF(Q:Q,A17)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VLOOKUP(L17,tables_settle_7008100!B:C,2,FALSE)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COUNTIF(tables_settle_7008100!C:C,input_settle_7008100!A18)-COUNTIF(Q:Q,A18)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VLOOKUP(L18,tables_settle_7008100!B:C,2,FALSE)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COUNTIF(tables_settle_7008100!C:C,input_settle_7008100!A19)-COUNTIF(Q:Q,A19)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VLOOKUP(L19,tables_settle_7008100!B:C,2,FALSE)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COUNTIF(tables_settle_7008100!C:C,input_settle_7008100!A20)-COUNTIF(Q:Q,A20)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VLOOKUP(L20,tables_settle_7008100!B:C,2,FALSE)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E$6*COUNTIF(tables_settle_7008100!C:C,input_settle_7008100!A21)*B7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COUNTIF(tables_settle_7008100!C:C,input_settle_7008100!A21)-COUNTIF(Q:Q,A21)</f>
        <v>52</v>
      </c>
      <c r="F21" s="42">
        <f t="shared" si="7"/>
        <v>1.2278481012658228E-2</v>
      </c>
      <c r="G21">
        <f t="shared" si="8"/>
        <v>9886240</v>
      </c>
      <c r="H21">
        <f t="shared" si="4"/>
        <v>190120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COUNTIF(tables_settle_7008100!C:C,input_settle_7008100!A22)-COUNTIF(Q:Q,A22)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COUNTIF(tables_settle_7008100!C:C,input_settle_7008100!A23)-COUNTIF(Q:Q,A23)</f>
        <v>10</v>
      </c>
      <c r="F23" s="42">
        <f t="shared" si="7"/>
        <v>3.3151898734177211E-2</v>
      </c>
      <c r="G23">
        <f t="shared" si="8"/>
        <v>5133239.9999999991</v>
      </c>
      <c r="H23">
        <f t="shared" si="4"/>
        <v>513324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COUNTIF(tables_settle_7008100!C:C,input_settle_7008100!A24)-COUNTIF(Q:Q,A24)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COUNTIF(tables_settle_7008100!C:C,input_settle_7008100!A25)-COUNTIF(Q:Q,A25)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2.4489795918367346E-3</v>
      </c>
      <c r="C26" s="71">
        <f t="shared" si="2"/>
        <v>0</v>
      </c>
      <c r="D26" s="72">
        <f t="shared" si="3"/>
        <v>2.4489795918367346E-3</v>
      </c>
      <c r="E26">
        <f>COUNTIF(tables_settle_7008100!C:C,input_settle_7008100!A26)-COUNTIF(Q:Q,A26)</f>
        <v>4</v>
      </c>
      <c r="F26" s="42">
        <f t="shared" si="7"/>
        <v>6.1224489795918364E-4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COUNTIF(tables_settle_7008100!C:C,input_settle_7008100!A27)-COUNTIF(Q:Q,A27)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1.714285714285714E-2</v>
      </c>
      <c r="C28" s="71">
        <f t="shared" si="2"/>
        <v>0</v>
      </c>
      <c r="D28" s="72">
        <f t="shared" si="3"/>
        <v>1.714285714285714E-2</v>
      </c>
      <c r="E28">
        <f>COUNTIF(tables_settle_7008100!C:C,input_settle_7008100!A28)-COUNTIF(Q:Q,A28)</f>
        <v>28</v>
      </c>
      <c r="F28" s="42">
        <f t="shared" si="7"/>
        <v>6.1224489795918353E-4</v>
      </c>
      <c r="G28">
        <f t="shared" si="8"/>
        <v>265439.99999999994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1.0408163265306122E-2</v>
      </c>
      <c r="C29" s="71">
        <f t="shared" si="2"/>
        <v>0</v>
      </c>
      <c r="D29" s="72">
        <f t="shared" si="3"/>
        <v>1.0408163265306122E-2</v>
      </c>
      <c r="E29">
        <f>COUNTIF(tables_settle_7008100!C:C,input_settle_7008100!A29)-COUNTIF(Q:Q,A29)</f>
        <v>17</v>
      </c>
      <c r="F29" s="42">
        <f>IFERROR(B29/E29,0)</f>
        <v>6.1224489795918364E-4</v>
      </c>
      <c r="G29">
        <f t="shared" si="8"/>
        <v>161160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COUNTIF(tables_settle_7008100!C:C,input_settle_7008100!A30)-COUNTIF(Q:Q,A30)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COUNTIF(tables_settle_7008100!C:C,input_settle_7008100!A31)-COUNTIF(Q:Q,A31)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15484000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SUMIF(tables_settle_7008100!C:C,input_settle_7008100!A40,tables_settle_7008100!O:O)</f>
        <v>0</v>
      </c>
      <c r="C40" s="51">
        <f t="shared" ref="C40:C46" ca="1" si="9">B40/B$47</f>
        <v>0</v>
      </c>
      <c r="E40">
        <v>3</v>
      </c>
      <c r="F40">
        <f ca="1">SUMIF(tables_settle_7008100!J:J,input_settle_7008100!E40,tables_settle_7008100!O:O)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SUMIF(tables_settle_7008100!C:C,input_settle_7008100!A41,tables_settle_7008100!O:O)</f>
        <v>0</v>
      </c>
      <c r="C41" s="51">
        <f t="shared" ca="1" si="9"/>
        <v>0</v>
      </c>
      <c r="E41">
        <v>4</v>
      </c>
      <c r="F41">
        <f ca="1">SUMIF(tables_settle_7008100!J:J,input_settle_7008100!E41,tables_settle_7008100!O:O)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SUMIF(tables_settle_7008100!C:C,input_settle_7008100!A42,tables_settle_7008100!O:O)</f>
        <v>0</v>
      </c>
      <c r="C42" s="51">
        <f t="shared" ca="1" si="9"/>
        <v>0</v>
      </c>
      <c r="E42">
        <v>5</v>
      </c>
      <c r="F42">
        <f ca="1">SUMIF(tables_settle_7008100!J:J,input_settle_7008100!E42,tables_settle_7008100!O:O)</f>
        <v>15484000</v>
      </c>
      <c r="G42">
        <f ca="1">F42/A36</f>
        <v>1</v>
      </c>
    </row>
    <row r="43" spans="1:7" x14ac:dyDescent="0.15">
      <c r="A43" s="31" t="s">
        <v>86</v>
      </c>
      <c r="B43">
        <f>SUMIF(tables_settle_7008100!C:C,input_settle_7008100!A43,tables_settle_7008100!O:O)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SUMIF(tables_settle_7008100!C:C,input_settle_7008100!A44,tables_settle_7008100!O:O)</f>
        <v>9886240</v>
      </c>
      <c r="C44" s="51">
        <f t="shared" ca="1" si="9"/>
        <v>0.97385260370697269</v>
      </c>
      <c r="E44" t="s">
        <v>40</v>
      </c>
      <c r="F44" s="52"/>
    </row>
    <row r="45" spans="1:7" x14ac:dyDescent="0.15">
      <c r="A45" s="31" t="s">
        <v>87</v>
      </c>
      <c r="B45">
        <f ca="1">SUMIF(tables_settle_7008100!C:C,input_settle_7008100!A45,tables_settle_7008100!O:O)</f>
        <v>265440</v>
      </c>
      <c r="C45" s="51">
        <f t="shared" ca="1" si="9"/>
        <v>2.6147396293027363E-2</v>
      </c>
      <c r="E45" t="s">
        <v>183</v>
      </c>
      <c r="F45" s="52">
        <f ca="1">SUMIF(tables_settle_7008100!I:I,input_settle_7008100!E45,tables_settle_7008100!P:P)</f>
        <v>0</v>
      </c>
    </row>
    <row r="46" spans="1:7" x14ac:dyDescent="0.15">
      <c r="A46" s="31" t="s">
        <v>88</v>
      </c>
      <c r="B46">
        <f>SUMIF(tables_settle_7008100!C:C,input_settle_7008100!A46,tables_settle_7008100!O:O)</f>
        <v>0</v>
      </c>
      <c r="C46" s="51">
        <f t="shared" ca="1" si="9"/>
        <v>0</v>
      </c>
      <c r="E46" t="s">
        <v>184</v>
      </c>
      <c r="F46" s="52">
        <f ca="1">SUMIF(tables_settle_7008100!I:I,input_settle_7008100!E46,tables_settle_7008100!P:P)</f>
        <v>0.21057091190906735</v>
      </c>
    </row>
    <row r="47" spans="1:7" x14ac:dyDescent="0.15">
      <c r="A47" s="38" t="s">
        <v>45</v>
      </c>
      <c r="B47">
        <f ca="1">SUM(B40:B46)</f>
        <v>10151680</v>
      </c>
      <c r="C47" s="52">
        <f ca="1">SUM(C40:C46)</f>
        <v>1</v>
      </c>
      <c r="E47" t="s">
        <v>185</v>
      </c>
      <c r="F47" s="52">
        <f ca="1">SUMIF(tables_settle_7008100!I:I,input_settle_7008100!E47,tables_settle_7008100!P:P)</f>
        <v>0.76187806768276922</v>
      </c>
    </row>
    <row r="48" spans="1:7" x14ac:dyDescent="0.15">
      <c r="E48" t="s">
        <v>186</v>
      </c>
      <c r="F48" s="52">
        <f ca="1">SUMIF(tables_settle_7008100!I:I,input_settle_7008100!E48,tables_settle_7008100!P:P)</f>
        <v>2.755102040816328E-2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75" activePane="bottomLeft" state="frozen"/>
      <selection activeCell="E6" sqref="E6"/>
      <selection pane="bottomLeft" activeCell="E302" sqref="E30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input_settle_7008100!A$2</f>
        <v>7008100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IFERROR(VLOOKUP(B2,input_settle_7008100!L:R,7,FALSE),VLOOKUP(tables_settle_7008100!C2,input_settle_7008100!A:H,8,FALSE))</f>
        <v>0</v>
      </c>
      <c r="P2" s="45">
        <f t="shared" ref="P2:P65" ca="1" si="2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input_settle_7008100!A$2</f>
        <v>7008100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IFERROR(VLOOKUP(B3,input_settle_7008100!L:R,7,FALSE),VLOOKUP(tables_settle_7008100!C3,input_settle_7008100!A:H,8,FALSE))</f>
        <v>0</v>
      </c>
      <c r="P3" s="45">
        <f t="shared" ca="1" si="2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input_settle_7008100!A$2</f>
        <v>7008100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IFERROR(VLOOKUP(B4,input_settle_7008100!L:R,7,FALSE),VLOOKUP(tables_settle_7008100!C4,input_settle_7008100!A:H,8,FALSE))</f>
        <v>0</v>
      </c>
      <c r="P4" s="45">
        <f t="shared" ca="1" si="2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input_settle_7008100!A$2</f>
        <v>7008100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IFERROR(VLOOKUP(B5,input_settle_7008100!L:R,7,FALSE),VLOOKUP(tables_settle_7008100!C5,input_settle_7008100!A:H,8,FALSE))</f>
        <v>0</v>
      </c>
      <c r="P5" s="45">
        <f t="shared" ca="1" si="2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input_settle_7008100!A$2</f>
        <v>7008100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IFERROR(VLOOKUP(B6,input_settle_7008100!L:R,7,FALSE),VLOOKUP(tables_settle_7008100!C6,input_settle_7008100!A:H,8,FALSE))</f>
        <v>0</v>
      </c>
      <c r="P6" s="45">
        <f t="shared" ca="1" si="2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input_settle_7008100!A$2</f>
        <v>7008100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IFERROR(VLOOKUP(B7,input_settle_7008100!L:R,7,FALSE),VLOOKUP(tables_settle_7008100!C7,input_settle_7008100!A:H,8,FALSE))</f>
        <v>0</v>
      </c>
      <c r="P7" s="45">
        <f t="shared" ca="1" si="2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input_settle_7008100!A$2</f>
        <v>7008100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IFERROR(VLOOKUP(B8,input_settle_7008100!L:R,7,FALSE),VLOOKUP(tables_settle_7008100!C8,input_settle_7008100!A:H,8,FALSE))</f>
        <v>0</v>
      </c>
      <c r="P8" s="45">
        <f t="shared" ca="1" si="2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input_settle_7008100!A$2</f>
        <v>7008100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IFERROR(VLOOKUP(B9,input_settle_7008100!L:R,7,FALSE),VLOOKUP(tables_settle_7008100!C9,input_settle_7008100!A:H,8,FALSE))</f>
        <v>0</v>
      </c>
      <c r="P9" s="45">
        <f t="shared" ca="1" si="2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input_settle_7008100!A$2</f>
        <v>7008100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IFERROR(VLOOKUP(B10,input_settle_7008100!L:R,7,FALSE),VLOOKUP(tables_settle_7008100!C10,input_settle_7008100!A:H,8,FALSE))</f>
        <v>0</v>
      </c>
      <c r="P10" s="45">
        <f t="shared" ca="1" si="2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input_settle_7008100!A$2</f>
        <v>7008100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IFERROR(VLOOKUP(B11,input_settle_7008100!L:R,7,FALSE),VLOOKUP(tables_settle_7008100!C11,input_settle_7008100!A:H,8,FALSE))</f>
        <v>0</v>
      </c>
      <c r="P11" s="45">
        <f t="shared" ca="1" si="2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input_settle_7008100!A$2</f>
        <v>7008100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IFERROR(VLOOKUP(B12,input_settle_7008100!L:R,7,FALSE),VLOOKUP(tables_settle_7008100!C12,input_settle_7008100!A:H,8,FALSE))</f>
        <v>0</v>
      </c>
      <c r="P12" s="45">
        <f t="shared" ca="1" si="2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input_settle_7008100!A$2</f>
        <v>7008100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IFERROR(VLOOKUP(B13,input_settle_7008100!L:R,7,FALSE),VLOOKUP(tables_settle_7008100!C13,input_settle_7008100!A:H,8,FALSE))</f>
        <v>0</v>
      </c>
      <c r="P13" s="45">
        <f t="shared" ca="1" si="2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input_settle_7008100!A$2</f>
        <v>7008100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IFERROR(VLOOKUP(B14,input_settle_7008100!L:R,7,FALSE),VLOOKUP(tables_settle_7008100!C14,input_settle_7008100!A:H,8,FALSE))</f>
        <v>0</v>
      </c>
      <c r="P14" s="45">
        <f t="shared" ca="1" si="2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input_settle_7008100!A$2</f>
        <v>7008100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IFERROR(VLOOKUP(B15,input_settle_7008100!L:R,7,FALSE),VLOOKUP(tables_settle_7008100!C15,input_settle_7008100!A:H,8,FALSE))</f>
        <v>0</v>
      </c>
      <c r="P15" s="45">
        <f t="shared" ca="1" si="2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input_settle_7008100!A$2</f>
        <v>7008100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IFERROR(VLOOKUP(B16,input_settle_7008100!L:R,7,FALSE),VLOOKUP(tables_settle_7008100!C16,input_settle_7008100!A:H,8,FALSE))</f>
        <v>0</v>
      </c>
      <c r="P16" s="45">
        <f t="shared" ca="1" si="2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input_settle_7008100!A$2</f>
        <v>7008100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IFERROR(VLOOKUP(B17,input_settle_7008100!L:R,7,FALSE),VLOOKUP(tables_settle_7008100!C17,input_settle_7008100!A:H,8,FALSE))</f>
        <v>0</v>
      </c>
      <c r="P17" s="45">
        <f t="shared" ca="1" si="2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input_settle_7008100!A$2</f>
        <v>7008100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IFERROR(VLOOKUP(B18,input_settle_7008100!L:R,7,FALSE),VLOOKUP(tables_settle_7008100!C18,input_settle_7008100!A:H,8,FALSE))</f>
        <v>0</v>
      </c>
      <c r="P18" s="45">
        <f t="shared" ca="1" si="2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input_settle_7008100!A$2</f>
        <v>7008100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IFERROR(VLOOKUP(B19,input_settle_7008100!L:R,7,FALSE),VLOOKUP(tables_settle_7008100!C19,input_settle_7008100!A:H,8,FALSE))</f>
        <v>0</v>
      </c>
      <c r="P19" s="45">
        <f t="shared" ca="1" si="2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input_settle_7008100!A$2</f>
        <v>7008100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IFERROR(VLOOKUP(B20,input_settle_7008100!L:R,7,FALSE),VLOOKUP(tables_settle_7008100!C20,input_settle_7008100!A:H,8,FALSE))</f>
        <v>0</v>
      </c>
      <c r="P20" s="45">
        <f t="shared" ca="1" si="2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input_settle_7008100!A$2</f>
        <v>7008100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IFERROR(VLOOKUP(B21,input_settle_7008100!L:R,7,FALSE),VLOOKUP(tables_settle_7008100!C21,input_settle_7008100!A:H,8,FALSE))</f>
        <v>0</v>
      </c>
      <c r="P21" s="45">
        <f t="shared" ca="1" si="2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input_settle_7008100!A$2</f>
        <v>7008100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IFERROR(VLOOKUP(B22,input_settle_7008100!L:R,7,FALSE),VLOOKUP(tables_settle_7008100!C22,input_settle_7008100!A:H,8,FALSE))</f>
        <v>0</v>
      </c>
      <c r="P22" s="45">
        <f t="shared" ca="1" si="2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input_settle_7008100!A$2</f>
        <v>7008100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IFERROR(VLOOKUP(B23,input_settle_7008100!L:R,7,FALSE),VLOOKUP(tables_settle_7008100!C23,input_settle_7008100!A:H,8,FALSE))</f>
        <v>0</v>
      </c>
      <c r="P23" s="45">
        <f t="shared" ca="1" si="2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input_settle_7008100!A$2</f>
        <v>7008100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IFERROR(VLOOKUP(B24,input_settle_7008100!L:R,7,FALSE),VLOOKUP(tables_settle_7008100!C24,input_settle_7008100!A:H,8,FALSE))</f>
        <v>0</v>
      </c>
      <c r="P24" s="45">
        <f t="shared" ca="1" si="2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input_settle_7008100!A$2</f>
        <v>7008100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IFERROR(VLOOKUP(B25,input_settle_7008100!L:R,7,FALSE),VLOOKUP(tables_settle_7008100!C25,input_settle_7008100!A:H,8,FALSE))</f>
        <v>0</v>
      </c>
      <c r="P25" s="45">
        <f t="shared" ca="1" si="2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input_settle_7008100!A$2</f>
        <v>7008100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IFERROR(VLOOKUP(B26,input_settle_7008100!L:R,7,FALSE),VLOOKUP(tables_settle_7008100!C26,input_settle_7008100!A:H,8,FALSE))</f>
        <v>0</v>
      </c>
      <c r="P26" s="45">
        <f t="shared" ca="1" si="2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input_settle_7008100!A$2</f>
        <v>7008100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IFERROR(VLOOKUP(B27,input_settle_7008100!L:R,7,FALSE),VLOOKUP(tables_settle_7008100!C27,input_settle_7008100!A:H,8,FALSE))</f>
        <v>0</v>
      </c>
      <c r="P27" s="45">
        <f t="shared" ca="1" si="2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input_settle_7008100!A$2</f>
        <v>7008100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IFERROR(VLOOKUP(B28,input_settle_7008100!L:R,7,FALSE),VLOOKUP(tables_settle_7008100!C28,input_settle_7008100!A:H,8,FALSE))</f>
        <v>0</v>
      </c>
      <c r="P28" s="45">
        <f t="shared" ca="1" si="2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input_settle_7008100!A$2</f>
        <v>7008100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IFERROR(VLOOKUP(B29,input_settle_7008100!L:R,7,FALSE),VLOOKUP(tables_settle_7008100!C29,input_settle_7008100!A:H,8,FALSE))</f>
        <v>0</v>
      </c>
      <c r="P29" s="45">
        <f t="shared" ca="1" si="2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input_settle_7008100!A$2</f>
        <v>7008100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IFERROR(VLOOKUP(B30,input_settle_7008100!L:R,7,FALSE),VLOOKUP(tables_settle_7008100!C30,input_settle_7008100!A:H,8,FALSE))</f>
        <v>0</v>
      </c>
      <c r="P30" s="45">
        <f t="shared" ca="1" si="2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input_settle_7008100!A$2</f>
        <v>7008100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IFERROR(VLOOKUP(B31,input_settle_7008100!L:R,7,FALSE),VLOOKUP(tables_settle_7008100!C31,input_settle_7008100!A:H,8,FALSE))</f>
        <v>0</v>
      </c>
      <c r="P31" s="45">
        <f t="shared" ca="1" si="2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input_settle_7008100!A$2</f>
        <v>7008100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IFERROR(VLOOKUP(B32,input_settle_7008100!L:R,7,FALSE),VLOOKUP(tables_settle_7008100!C32,input_settle_7008100!A:H,8,FALSE))</f>
        <v>0</v>
      </c>
      <c r="P32" s="45">
        <f t="shared" ca="1" si="2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input_settle_7008100!A$2</f>
        <v>7008100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IFERROR(VLOOKUP(B33,input_settle_7008100!L:R,7,FALSE),VLOOKUP(tables_settle_7008100!C33,input_settle_7008100!A:H,8,FALSE))</f>
        <v>0</v>
      </c>
      <c r="P33" s="45">
        <f t="shared" ca="1" si="2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input_settle_7008100!A$2</f>
        <v>7008100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IFERROR(VLOOKUP(B34,input_settle_7008100!L:R,7,FALSE),VLOOKUP(tables_settle_7008100!C34,input_settle_7008100!A:H,8,FALSE))</f>
        <v>0</v>
      </c>
      <c r="P34" s="45">
        <f t="shared" ca="1" si="2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input_settle_7008100!A$2</f>
        <v>7008100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IFERROR(VLOOKUP(B35,input_settle_7008100!L:R,7,FALSE),VLOOKUP(tables_settle_7008100!C35,input_settle_7008100!A:H,8,FALSE))</f>
        <v>0</v>
      </c>
      <c r="P35" s="45">
        <f t="shared" ca="1" si="2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input_settle_7008100!A$2</f>
        <v>7008100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IFERROR(VLOOKUP(B36,input_settle_7008100!L:R,7,FALSE),VLOOKUP(tables_settle_7008100!C36,input_settle_7008100!A:H,8,FALSE))</f>
        <v>0</v>
      </c>
      <c r="P36" s="45">
        <f t="shared" ca="1" si="2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input_settle_7008100!A$2</f>
        <v>7008100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IFERROR(VLOOKUP(B37,input_settle_7008100!L:R,7,FALSE),VLOOKUP(tables_settle_7008100!C37,input_settle_7008100!A:H,8,FALSE))</f>
        <v>0</v>
      </c>
      <c r="P37" s="45">
        <f t="shared" ca="1" si="2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input_settle_7008100!A$2</f>
        <v>7008100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IFERROR(VLOOKUP(B38,input_settle_7008100!L:R,7,FALSE),VLOOKUP(tables_settle_7008100!C38,input_settle_7008100!A:H,8,FALSE))</f>
        <v>0</v>
      </c>
      <c r="P38" s="45">
        <f t="shared" ca="1" si="2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input_settle_7008100!A$2</f>
        <v>7008100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IFERROR(VLOOKUP(B39,input_settle_7008100!L:R,7,FALSE),VLOOKUP(tables_settle_7008100!C39,input_settle_7008100!A:H,8,FALSE))</f>
        <v>0</v>
      </c>
      <c r="P39" s="45">
        <f t="shared" ca="1" si="2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input_settle_7008100!A$2</f>
        <v>7008100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IFERROR(VLOOKUP(B40,input_settle_7008100!L:R,7,FALSE),VLOOKUP(tables_settle_7008100!C40,input_settle_7008100!A:H,8,FALSE))</f>
        <v>0</v>
      </c>
      <c r="P40" s="45">
        <f t="shared" ca="1" si="2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input_settle_7008100!A$2</f>
        <v>7008100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IFERROR(VLOOKUP(B41,input_settle_7008100!L:R,7,FALSE),VLOOKUP(tables_settle_7008100!C41,input_settle_7008100!A:H,8,FALSE))</f>
        <v>0</v>
      </c>
      <c r="P41" s="45">
        <f t="shared" ca="1" si="2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input_settle_7008100!A$2</f>
        <v>7008100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IFERROR(VLOOKUP(B42,input_settle_7008100!L:R,7,FALSE),VLOOKUP(tables_settle_7008100!C42,input_settle_7008100!A:H,8,FALSE))</f>
        <v>0</v>
      </c>
      <c r="P42" s="45">
        <f t="shared" ca="1" si="2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input_settle_7008100!A$2</f>
        <v>7008100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IFERROR(VLOOKUP(B43,input_settle_7008100!L:R,7,FALSE),VLOOKUP(tables_settle_7008100!C43,input_settle_7008100!A:H,8,FALSE))</f>
        <v>0</v>
      </c>
      <c r="P43" s="45">
        <f t="shared" ca="1" si="2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input_settle_7008100!A$2</f>
        <v>7008100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IFERROR(VLOOKUP(B44,input_settle_7008100!L:R,7,FALSE),VLOOKUP(tables_settle_7008100!C44,input_settle_7008100!A:H,8,FALSE))</f>
        <v>9480</v>
      </c>
      <c r="P44" s="45">
        <f t="shared" ca="1" si="2"/>
        <v>6.1224489795918364E-4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input_settle_7008100!A$2</f>
        <v>7008100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IFERROR(VLOOKUP(B45,input_settle_7008100!L:R,7,FALSE),VLOOKUP(tables_settle_7008100!C45,input_settle_7008100!A:H,8,FALSE))</f>
        <v>0</v>
      </c>
      <c r="P45" s="45">
        <f t="shared" ca="1" si="2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input_settle_7008100!A$2</f>
        <v>7008100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IFERROR(VLOOKUP(B46,input_settle_7008100!L:R,7,FALSE),VLOOKUP(tables_settle_7008100!C46,input_settle_7008100!A:H,8,FALSE))</f>
        <v>0</v>
      </c>
      <c r="P46" s="45">
        <f t="shared" ca="1" si="2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input_settle_7008100!A$2</f>
        <v>7008100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IFERROR(VLOOKUP(B47,input_settle_7008100!L:R,7,FALSE),VLOOKUP(tables_settle_7008100!C47,input_settle_7008100!A:H,8,FALSE))</f>
        <v>9480</v>
      </c>
      <c r="P47" s="45">
        <f t="shared" ca="1" si="2"/>
        <v>6.1224489795918364E-4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input_settle_7008100!A$2</f>
        <v>7008100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IFERROR(VLOOKUP(B48,input_settle_7008100!L:R,7,FALSE),VLOOKUP(tables_settle_7008100!C48,input_settle_7008100!A:H,8,FALSE))</f>
        <v>0</v>
      </c>
      <c r="P48" s="45">
        <f t="shared" ca="1" si="2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input_settle_7008100!A$2</f>
        <v>7008100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IFERROR(VLOOKUP(B49,input_settle_7008100!L:R,7,FALSE),VLOOKUP(tables_settle_7008100!C49,input_settle_7008100!A:H,8,FALSE))</f>
        <v>0</v>
      </c>
      <c r="P49" s="45">
        <f t="shared" ca="1" si="2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input_settle_7008100!A$2</f>
        <v>7008100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IFERROR(VLOOKUP(B50,input_settle_7008100!L:R,7,FALSE),VLOOKUP(tables_settle_7008100!C50,input_settle_7008100!A:H,8,FALSE))</f>
        <v>9480</v>
      </c>
      <c r="P50" s="45">
        <f t="shared" ca="1" si="2"/>
        <v>6.1224489795918364E-4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input_settle_7008100!A$2</f>
        <v>7008100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IFERROR(VLOOKUP(B51,input_settle_7008100!L:R,7,FALSE),VLOOKUP(tables_settle_7008100!C51,input_settle_7008100!A:H,8,FALSE))</f>
        <v>0</v>
      </c>
      <c r="P51" s="45">
        <f t="shared" ca="1" si="2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input_settle_7008100!A$2</f>
        <v>7008100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IFERROR(VLOOKUP(B52,input_settle_7008100!L:R,7,FALSE),VLOOKUP(tables_settle_7008100!C52,input_settle_7008100!A:H,8,FALSE))</f>
        <v>0</v>
      </c>
      <c r="P52" s="45">
        <f t="shared" ca="1" si="2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input_settle_7008100!A$2</f>
        <v>7008100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IFERROR(VLOOKUP(B53,input_settle_7008100!L:R,7,FALSE),VLOOKUP(tables_settle_7008100!C53,input_settle_7008100!A:H,8,FALSE))</f>
        <v>190120</v>
      </c>
      <c r="P53" s="45">
        <f t="shared" ca="1" si="2"/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input_settle_7008100!A$2</f>
        <v>7008100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IFERROR(VLOOKUP(B54,input_settle_7008100!L:R,7,FALSE),VLOOKUP(tables_settle_7008100!C54,input_settle_7008100!A:H,8,FALSE))</f>
        <v>0</v>
      </c>
      <c r="P54" s="45">
        <f t="shared" ca="1" si="2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input_settle_7008100!A$2</f>
        <v>7008100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IFERROR(VLOOKUP(B55,input_settle_7008100!L:R,7,FALSE),VLOOKUP(tables_settle_7008100!C55,input_settle_7008100!A:H,8,FALSE))</f>
        <v>0</v>
      </c>
      <c r="P55" s="45">
        <f t="shared" ca="1" si="2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input_settle_7008100!A$2</f>
        <v>7008100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IFERROR(VLOOKUP(B56,input_settle_7008100!L:R,7,FALSE),VLOOKUP(tables_settle_7008100!C56,input_settle_7008100!A:H,8,FALSE))</f>
        <v>190120</v>
      </c>
      <c r="P56" s="45">
        <f t="shared" ca="1" si="2"/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input_settle_7008100!A$2</f>
        <v>7008100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IFERROR(VLOOKUP(B57,input_settle_7008100!L:R,7,FALSE),VLOOKUP(tables_settle_7008100!C57,input_settle_7008100!A:H,8,FALSE))</f>
        <v>0</v>
      </c>
      <c r="P57" s="45">
        <f t="shared" ca="1" si="2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input_settle_7008100!A$2</f>
        <v>7008100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IFERROR(VLOOKUP(B58,input_settle_7008100!L:R,7,FALSE),VLOOKUP(tables_settle_7008100!C58,input_settle_7008100!A:H,8,FALSE))</f>
        <v>0</v>
      </c>
      <c r="P58" s="45">
        <f t="shared" ca="1" si="2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input_settle_7008100!A$2</f>
        <v>7008100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IFERROR(VLOOKUP(B59,input_settle_7008100!L:R,7,FALSE),VLOOKUP(tables_settle_7008100!C59,input_settle_7008100!A:H,8,FALSE))</f>
        <v>190120</v>
      </c>
      <c r="P59" s="45">
        <f t="shared" ca="1" si="2"/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input_settle_7008100!A$2</f>
        <v>7008100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IFERROR(VLOOKUP(B60,input_settle_7008100!L:R,7,FALSE),VLOOKUP(tables_settle_7008100!C60,input_settle_7008100!A:H,8,FALSE))</f>
        <v>0</v>
      </c>
      <c r="P60" s="45">
        <f t="shared" ca="1" si="2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input_settle_7008100!A$2</f>
        <v>7008100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IFERROR(VLOOKUP(B61,input_settle_7008100!L:R,7,FALSE),VLOOKUP(tables_settle_7008100!C61,input_settle_7008100!A:H,8,FALSE))</f>
        <v>0</v>
      </c>
      <c r="P61" s="45">
        <f t="shared" ca="1" si="2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input_settle_7008100!A$2</f>
        <v>7008100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IFERROR(VLOOKUP(B62,input_settle_7008100!L:R,7,FALSE),VLOOKUP(tables_settle_7008100!C62,input_settle_7008100!A:H,8,FALSE))</f>
        <v>190120</v>
      </c>
      <c r="P62" s="45">
        <f t="shared" ca="1" si="2"/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input_settle_7008100!A$2</f>
        <v>7008100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IFERROR(VLOOKUP(B63,input_settle_7008100!L:R,7,FALSE),VLOOKUP(tables_settle_7008100!C63,input_settle_7008100!A:H,8,FALSE))</f>
        <v>0</v>
      </c>
      <c r="P63" s="45">
        <f t="shared" ca="1" si="2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input_settle_7008100!A$2</f>
        <v>7008100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IFERROR(VLOOKUP(B64,input_settle_7008100!L:R,7,FALSE),VLOOKUP(tables_settle_7008100!C64,input_settle_7008100!A:H,8,FALSE))</f>
        <v>0</v>
      </c>
      <c r="P64" s="45">
        <f t="shared" ca="1" si="2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input_settle_7008100!A$2</f>
        <v>7008100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IFERROR(VLOOKUP(B65,input_settle_7008100!L:R,7,FALSE),VLOOKUP(tables_settle_7008100!C65,input_settle_7008100!A:H,8,FALSE))</f>
        <v>190120</v>
      </c>
      <c r="P65" s="45">
        <f t="shared" ca="1" si="2"/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input_settle_7008100!A$2</f>
        <v>7008100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IFERROR(VLOOKUP(B66,input_settle_7008100!L:R,7,FALSE),VLOOKUP(tables_settle_7008100!C66,input_settle_7008100!A:H,8,FALSE))</f>
        <v>0</v>
      </c>
      <c r="P66" s="45">
        <f t="shared" ref="P66:P129" ca="1" si="5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input_settle_7008100!A$2</f>
        <v>7008100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IFERROR(VLOOKUP(B67,input_settle_7008100!L:R,7,FALSE),VLOOKUP(tables_settle_7008100!C67,input_settle_7008100!A:H,8,FALSE))</f>
        <v>0</v>
      </c>
      <c r="P67" s="45">
        <f t="shared" ca="1" si="5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input_settle_7008100!A$2</f>
        <v>7008100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IFERROR(VLOOKUP(B68,input_settle_7008100!L:R,7,FALSE),VLOOKUP(tables_settle_7008100!C68,input_settle_7008100!A:H,8,FALSE))</f>
        <v>190120</v>
      </c>
      <c r="P68" s="45">
        <f t="shared" ca="1" si="5"/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input_settle_7008100!A$2</f>
        <v>7008100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IFERROR(VLOOKUP(B69,input_settle_7008100!L:R,7,FALSE),VLOOKUP(tables_settle_7008100!C69,input_settle_7008100!A:H,8,FALSE))</f>
        <v>0</v>
      </c>
      <c r="P69" s="45">
        <f t="shared" ca="1" si="5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input_settle_7008100!A$2</f>
        <v>7008100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IFERROR(VLOOKUP(B70,input_settle_7008100!L:R,7,FALSE),VLOOKUP(tables_settle_7008100!C70,input_settle_7008100!A:H,8,FALSE))</f>
        <v>0</v>
      </c>
      <c r="P70" s="45">
        <f t="shared" ca="1" si="5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input_settle_7008100!A$2</f>
        <v>7008100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IFERROR(VLOOKUP(B71,input_settle_7008100!L:R,7,FALSE),VLOOKUP(tables_settle_7008100!C71,input_settle_7008100!A:H,8,FALSE))</f>
        <v>190120</v>
      </c>
      <c r="P71" s="45">
        <f t="shared" ca="1" si="5"/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input_settle_7008100!A$2</f>
        <v>7008100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IFERROR(VLOOKUP(B72,input_settle_7008100!L:R,7,FALSE),VLOOKUP(tables_settle_7008100!C72,input_settle_7008100!A:H,8,FALSE))</f>
        <v>0</v>
      </c>
      <c r="P72" s="45">
        <f t="shared" ca="1" si="5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input_settle_7008100!A$2</f>
        <v>7008100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IFERROR(VLOOKUP(B73,input_settle_7008100!L:R,7,FALSE),VLOOKUP(tables_settle_7008100!C73,input_settle_7008100!A:H,8,FALSE))</f>
        <v>0</v>
      </c>
      <c r="P73" s="45">
        <f t="shared" ca="1" si="5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input_settle_7008100!A$2</f>
        <v>7008100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IFERROR(VLOOKUP(B74,input_settle_7008100!L:R,7,FALSE),VLOOKUP(tables_settle_7008100!C74,input_settle_7008100!A:H,8,FALSE))</f>
        <v>190120</v>
      </c>
      <c r="P74" s="45">
        <f t="shared" ca="1" si="5"/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input_settle_7008100!A$2</f>
        <v>7008100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IFERROR(VLOOKUP(B75,input_settle_7008100!L:R,7,FALSE),VLOOKUP(tables_settle_7008100!C75,input_settle_7008100!A:H,8,FALSE))</f>
        <v>0</v>
      </c>
      <c r="P75" s="45">
        <f t="shared" ca="1" si="5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input_settle_7008100!A$2</f>
        <v>7008100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IFERROR(VLOOKUP(B76,input_settle_7008100!L:R,7,FALSE),VLOOKUP(tables_settle_7008100!C76,input_settle_7008100!A:H,8,FALSE))</f>
        <v>0</v>
      </c>
      <c r="P76" s="45">
        <f t="shared" ca="1" si="5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input_settle_7008100!A$2</f>
        <v>7008100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IFERROR(VLOOKUP(B77,input_settle_7008100!L:R,7,FALSE),VLOOKUP(tables_settle_7008100!C77,input_settle_7008100!A:H,8,FALSE))</f>
        <v>190120</v>
      </c>
      <c r="P77" s="45">
        <f t="shared" ca="1" si="5"/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input_settle_7008100!A$2</f>
        <v>7008100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IFERROR(VLOOKUP(B78,input_settle_7008100!L:R,7,FALSE),VLOOKUP(tables_settle_7008100!C78,input_settle_7008100!A:H,8,FALSE))</f>
        <v>0</v>
      </c>
      <c r="P78" s="45">
        <f t="shared" ca="1" si="5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input_settle_7008100!A$2</f>
        <v>7008100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IFERROR(VLOOKUP(B79,input_settle_7008100!L:R,7,FALSE),VLOOKUP(tables_settle_7008100!C79,input_settle_7008100!A:H,8,FALSE))</f>
        <v>0</v>
      </c>
      <c r="P79" s="45">
        <f t="shared" ca="1" si="5"/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input_settle_7008100!A$2</f>
        <v>7008100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IFERROR(VLOOKUP(B80,input_settle_7008100!L:R,7,FALSE),VLOOKUP(tables_settle_7008100!C80,input_settle_7008100!A:H,8,FALSE))</f>
        <v>190120</v>
      </c>
      <c r="P80" s="45">
        <f t="shared" ca="1" si="5"/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input_settle_7008100!A$2</f>
        <v>7008100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IFERROR(VLOOKUP(B81,input_settle_7008100!L:R,7,FALSE),VLOOKUP(tables_settle_7008100!C81,input_settle_7008100!A:H,8,FALSE))</f>
        <v>0</v>
      </c>
      <c r="P81" s="45">
        <f t="shared" ca="1" si="5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input_settle_7008100!A$2</f>
        <v>7008100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IFERROR(VLOOKUP(B82,input_settle_7008100!L:R,7,FALSE),VLOOKUP(tables_settle_7008100!C82,input_settle_7008100!A:H,8,FALSE))</f>
        <v>0</v>
      </c>
      <c r="P82" s="45">
        <f t="shared" ca="1" si="5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input_settle_7008100!A$2</f>
        <v>7008100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IFERROR(VLOOKUP(B83,input_settle_7008100!L:R,7,FALSE),VLOOKUP(tables_settle_7008100!C83,input_settle_7008100!A:H,8,FALSE))</f>
        <v>190120</v>
      </c>
      <c r="P83" s="45">
        <f t="shared" ca="1" si="5"/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input_settle_7008100!A$2</f>
        <v>7008100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IFERROR(VLOOKUP(B84,input_settle_7008100!L:R,7,FALSE),VLOOKUP(tables_settle_7008100!C84,input_settle_7008100!A:H,8,FALSE))</f>
        <v>0</v>
      </c>
      <c r="P84" s="45">
        <f t="shared" ca="1" si="5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input_settle_7008100!A$2</f>
        <v>7008100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IFERROR(VLOOKUP(B85,input_settle_7008100!L:R,7,FALSE),VLOOKUP(tables_settle_7008100!C85,input_settle_7008100!A:H,8,FALSE))</f>
        <v>0</v>
      </c>
      <c r="P85" s="45">
        <f t="shared" ca="1" si="5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input_settle_7008100!A$2</f>
        <v>7008100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IFERROR(VLOOKUP(B86,input_settle_7008100!L:R,7,FALSE),VLOOKUP(tables_settle_7008100!C86,input_settle_7008100!A:H,8,FALSE))</f>
        <v>190120</v>
      </c>
      <c r="P86" s="45">
        <f t="shared" ca="1" si="5"/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input_settle_7008100!A$2</f>
        <v>7008100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IFERROR(VLOOKUP(B87,input_settle_7008100!L:R,7,FALSE),VLOOKUP(tables_settle_7008100!C87,input_settle_7008100!A:H,8,FALSE))</f>
        <v>0</v>
      </c>
      <c r="P87" s="45">
        <f t="shared" ca="1" si="5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input_settle_7008100!A$2</f>
        <v>7008100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IFERROR(VLOOKUP(B88,input_settle_7008100!L:R,7,FALSE),VLOOKUP(tables_settle_7008100!C88,input_settle_7008100!A:H,8,FALSE))</f>
        <v>0</v>
      </c>
      <c r="P88" s="45">
        <f t="shared" ca="1" si="5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input_settle_7008100!A$2</f>
        <v>7008100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IFERROR(VLOOKUP(B89,input_settle_7008100!L:R,7,FALSE),VLOOKUP(tables_settle_7008100!C89,input_settle_7008100!A:H,8,FALSE))</f>
        <v>190120</v>
      </c>
      <c r="P89" s="45">
        <f t="shared" ca="1" si="5"/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input_settle_7008100!A$2</f>
        <v>7008100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IFERROR(VLOOKUP(B90,input_settle_7008100!L:R,7,FALSE),VLOOKUP(tables_settle_7008100!C90,input_settle_7008100!A:H,8,FALSE))</f>
        <v>0</v>
      </c>
      <c r="P90" s="45">
        <f t="shared" ca="1" si="5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input_settle_7008100!A$2</f>
        <v>7008100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IFERROR(VLOOKUP(B91,input_settle_7008100!L:R,7,FALSE),VLOOKUP(tables_settle_7008100!C91,input_settle_7008100!A:H,8,FALSE))</f>
        <v>0</v>
      </c>
      <c r="P91" s="45">
        <f t="shared" ca="1" si="5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input_settle_7008100!A$2</f>
        <v>7008100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IFERROR(VLOOKUP(B92,input_settle_7008100!L:R,7,FALSE),VLOOKUP(tables_settle_7008100!C92,input_settle_7008100!A:H,8,FALSE))</f>
        <v>190120</v>
      </c>
      <c r="P92" s="45">
        <f t="shared" ca="1" si="5"/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input_settle_7008100!A$2</f>
        <v>7008100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IFERROR(VLOOKUP(B93,input_settle_7008100!L:R,7,FALSE),VLOOKUP(tables_settle_7008100!C93,input_settle_7008100!A:H,8,FALSE))</f>
        <v>0</v>
      </c>
      <c r="P93" s="45">
        <f t="shared" ca="1" si="5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input_settle_7008100!A$2</f>
        <v>7008100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IFERROR(VLOOKUP(B94,input_settle_7008100!L:R,7,FALSE),VLOOKUP(tables_settle_7008100!C94,input_settle_7008100!A:H,8,FALSE))</f>
        <v>0</v>
      </c>
      <c r="P94" s="45">
        <f t="shared" ca="1" si="5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input_settle_7008100!A$2</f>
        <v>7008100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IFERROR(VLOOKUP(B95,input_settle_7008100!L:R,7,FALSE),VLOOKUP(tables_settle_7008100!C95,input_settle_7008100!A:H,8,FALSE))</f>
        <v>190120</v>
      </c>
      <c r="P95" s="45">
        <f t="shared" ca="1" si="5"/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input_settle_7008100!A$2</f>
        <v>7008100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IFERROR(VLOOKUP(B96,input_settle_7008100!L:R,7,FALSE),VLOOKUP(tables_settle_7008100!C96,input_settle_7008100!A:H,8,FALSE))</f>
        <v>0</v>
      </c>
      <c r="P96" s="45">
        <f t="shared" ca="1" si="5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input_settle_7008100!A$2</f>
        <v>7008100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IFERROR(VLOOKUP(B97,input_settle_7008100!L:R,7,FALSE),VLOOKUP(tables_settle_7008100!C97,input_settle_7008100!A:H,8,FALSE))</f>
        <v>0</v>
      </c>
      <c r="P97" s="45">
        <f t="shared" ca="1" si="5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input_settle_7008100!A$2</f>
        <v>7008100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IFERROR(VLOOKUP(B98,input_settle_7008100!L:R,7,FALSE),VLOOKUP(tables_settle_7008100!C98,input_settle_7008100!A:H,8,FALSE))</f>
        <v>190120</v>
      </c>
      <c r="P98" s="45">
        <f t="shared" ca="1" si="5"/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input_settle_7008100!A$2</f>
        <v>7008100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IFERROR(VLOOKUP(B99,input_settle_7008100!L:R,7,FALSE),VLOOKUP(tables_settle_7008100!C99,input_settle_7008100!A:H,8,FALSE))</f>
        <v>0</v>
      </c>
      <c r="P99" s="45">
        <f t="shared" ca="1" si="5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input_settle_7008100!A$2</f>
        <v>7008100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IFERROR(VLOOKUP(B100,input_settle_7008100!L:R,7,FALSE),VLOOKUP(tables_settle_7008100!C100,input_settle_7008100!A:H,8,FALSE))</f>
        <v>0</v>
      </c>
      <c r="P100" s="45">
        <f t="shared" ca="1" si="5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input_settle_7008100!A$2</f>
        <v>7008100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IFERROR(VLOOKUP(B101,input_settle_7008100!L:R,7,FALSE),VLOOKUP(tables_settle_7008100!C101,input_settle_7008100!A:H,8,FALSE))</f>
        <v>190120</v>
      </c>
      <c r="P101" s="45">
        <f t="shared" ca="1" si="5"/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input_settle_7008100!A$2</f>
        <v>7008100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IFERROR(VLOOKUP(B102,input_settle_7008100!L:R,7,FALSE),VLOOKUP(tables_settle_7008100!C102,input_settle_7008100!A:H,8,FALSE))</f>
        <v>0</v>
      </c>
      <c r="P102" s="45">
        <f t="shared" ca="1" si="5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input_settle_7008100!A$2</f>
        <v>7008100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IFERROR(VLOOKUP(B103,input_settle_7008100!L:R,7,FALSE),VLOOKUP(tables_settle_7008100!C103,input_settle_7008100!A:H,8,FALSE))</f>
        <v>0</v>
      </c>
      <c r="P103" s="45">
        <f t="shared" ca="1" si="5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input_settle_7008100!A$2</f>
        <v>7008100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IFERROR(VLOOKUP(B104,input_settle_7008100!L:R,7,FALSE),VLOOKUP(tables_settle_7008100!C104,input_settle_7008100!A:H,8,FALSE))</f>
        <v>190120</v>
      </c>
      <c r="P104" s="45">
        <f t="shared" ca="1" si="5"/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input_settle_7008100!A$2</f>
        <v>7008100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IFERROR(VLOOKUP(B105,input_settle_7008100!L:R,7,FALSE),VLOOKUP(tables_settle_7008100!C105,input_settle_7008100!A:H,8,FALSE))</f>
        <v>0</v>
      </c>
      <c r="P105" s="45">
        <f t="shared" ca="1" si="5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input_settle_7008100!A$2</f>
        <v>7008100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IFERROR(VLOOKUP(B106,input_settle_7008100!L:R,7,FALSE),VLOOKUP(tables_settle_7008100!C106,input_settle_7008100!A:H,8,FALSE))</f>
        <v>0</v>
      </c>
      <c r="P106" s="45">
        <f t="shared" ca="1" si="5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input_settle_7008100!A$2</f>
        <v>7008100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IFERROR(VLOOKUP(B107,input_settle_7008100!L:R,7,FALSE),VLOOKUP(tables_settle_7008100!C107,input_settle_7008100!A:H,8,FALSE))</f>
        <v>190120</v>
      </c>
      <c r="P107" s="45">
        <f t="shared" ca="1" si="5"/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input_settle_7008100!A$2</f>
        <v>7008100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IFERROR(VLOOKUP(B108,input_settle_7008100!L:R,7,FALSE),VLOOKUP(tables_settle_7008100!C108,input_settle_7008100!A:H,8,FALSE))</f>
        <v>0</v>
      </c>
      <c r="P108" s="45">
        <f t="shared" ca="1" si="5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input_settle_7008100!A$2</f>
        <v>7008100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IFERROR(VLOOKUP(B109,input_settle_7008100!L:R,7,FALSE),VLOOKUP(tables_settle_7008100!C109,input_settle_7008100!A:H,8,FALSE))</f>
        <v>0</v>
      </c>
      <c r="P109" s="45">
        <f t="shared" ca="1" si="5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input_settle_7008100!A$2</f>
        <v>7008100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IFERROR(VLOOKUP(B110,input_settle_7008100!L:R,7,FALSE),VLOOKUP(tables_settle_7008100!C110,input_settle_7008100!A:H,8,FALSE))</f>
        <v>190120</v>
      </c>
      <c r="P110" s="45">
        <f t="shared" ca="1" si="5"/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input_settle_7008100!A$2</f>
        <v>7008100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IFERROR(VLOOKUP(B111,input_settle_7008100!L:R,7,FALSE),VLOOKUP(tables_settle_7008100!C111,input_settle_7008100!A:H,8,FALSE))</f>
        <v>0</v>
      </c>
      <c r="P111" s="45">
        <f t="shared" ca="1" si="5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input_settle_7008100!A$2</f>
        <v>7008100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IFERROR(VLOOKUP(B112,input_settle_7008100!L:R,7,FALSE),VLOOKUP(tables_settle_7008100!C112,input_settle_7008100!A:H,8,FALSE))</f>
        <v>0</v>
      </c>
      <c r="P112" s="45">
        <f t="shared" ca="1" si="5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input_settle_7008100!A$2</f>
        <v>7008100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IFERROR(VLOOKUP(B113,input_settle_7008100!L:R,7,FALSE),VLOOKUP(tables_settle_7008100!C113,input_settle_7008100!A:H,8,FALSE))</f>
        <v>9480</v>
      </c>
      <c r="P113" s="45">
        <f t="shared" ca="1" si="5"/>
        <v>6.1224489795918364E-4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input_settle_7008100!A$2</f>
        <v>7008100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IFERROR(VLOOKUP(B114,input_settle_7008100!L:R,7,FALSE),VLOOKUP(tables_settle_7008100!C114,input_settle_7008100!A:H,8,FALSE))</f>
        <v>0</v>
      </c>
      <c r="P114" s="45">
        <f t="shared" ca="1" si="5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input_settle_7008100!A$2</f>
        <v>7008100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IFERROR(VLOOKUP(B115,input_settle_7008100!L:R,7,FALSE),VLOOKUP(tables_settle_7008100!C115,input_settle_7008100!A:H,8,FALSE))</f>
        <v>0</v>
      </c>
      <c r="P115" s="45">
        <f t="shared" ca="1" si="5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input_settle_7008100!A$2</f>
        <v>7008100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IFERROR(VLOOKUP(B116,input_settle_7008100!L:R,7,FALSE),VLOOKUP(tables_settle_7008100!C116,input_settle_7008100!A:H,8,FALSE))</f>
        <v>190120</v>
      </c>
      <c r="P116" s="45">
        <f t="shared" ca="1" si="5"/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input_settle_7008100!A$2</f>
        <v>7008100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IFERROR(VLOOKUP(B117,input_settle_7008100!L:R,7,FALSE),VLOOKUP(tables_settle_7008100!C117,input_settle_7008100!A:H,8,FALSE))</f>
        <v>0</v>
      </c>
      <c r="P117" s="45">
        <f t="shared" ca="1" si="5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input_settle_7008100!A$2</f>
        <v>7008100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IFERROR(VLOOKUP(B118,input_settle_7008100!L:R,7,FALSE),VLOOKUP(tables_settle_7008100!C118,input_settle_7008100!A:H,8,FALSE))</f>
        <v>0</v>
      </c>
      <c r="P118" s="45">
        <f t="shared" ca="1" si="5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input_settle_7008100!A$2</f>
        <v>7008100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IFERROR(VLOOKUP(B119,input_settle_7008100!L:R,7,FALSE),VLOOKUP(tables_settle_7008100!C119,input_settle_7008100!A:H,8,FALSE))</f>
        <v>190120</v>
      </c>
      <c r="P119" s="45">
        <f t="shared" ca="1" si="5"/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input_settle_7008100!A$2</f>
        <v>7008100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IFERROR(VLOOKUP(B120,input_settle_7008100!L:R,7,FALSE),VLOOKUP(tables_settle_7008100!C120,input_settle_7008100!A:H,8,FALSE))</f>
        <v>0</v>
      </c>
      <c r="P120" s="45">
        <f t="shared" ca="1" si="5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input_settle_7008100!A$2</f>
        <v>7008100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IFERROR(VLOOKUP(B121,input_settle_7008100!L:R,7,FALSE),VLOOKUP(tables_settle_7008100!C121,input_settle_7008100!A:H,8,FALSE))</f>
        <v>0</v>
      </c>
      <c r="P121" s="45">
        <f t="shared" ca="1" si="5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input_settle_7008100!A$2</f>
        <v>7008100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IFERROR(VLOOKUP(B122,input_settle_7008100!L:R,7,FALSE),VLOOKUP(tables_settle_7008100!C122,input_settle_7008100!A:H,8,FALSE))</f>
        <v>190120</v>
      </c>
      <c r="P122" s="45">
        <f t="shared" ca="1" si="5"/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input_settle_7008100!A$2</f>
        <v>7008100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IFERROR(VLOOKUP(B123,input_settle_7008100!L:R,7,FALSE),VLOOKUP(tables_settle_7008100!C123,input_settle_7008100!A:H,8,FALSE))</f>
        <v>0</v>
      </c>
      <c r="P123" s="45">
        <f t="shared" ca="1" si="5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input_settle_7008100!A$2</f>
        <v>7008100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IFERROR(VLOOKUP(B124,input_settle_7008100!L:R,7,FALSE),VLOOKUP(tables_settle_7008100!C124,input_settle_7008100!A:H,8,FALSE))</f>
        <v>0</v>
      </c>
      <c r="P124" s="45">
        <f t="shared" ca="1" si="5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input_settle_7008100!A$2</f>
        <v>7008100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IFERROR(VLOOKUP(B125,input_settle_7008100!L:R,7,FALSE),VLOOKUP(tables_settle_7008100!C125,input_settle_7008100!A:H,8,FALSE))</f>
        <v>190120</v>
      </c>
      <c r="P125" s="45">
        <f t="shared" ca="1" si="5"/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input_settle_7008100!A$2</f>
        <v>7008100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IFERROR(VLOOKUP(B126,input_settle_7008100!L:R,7,FALSE),VLOOKUP(tables_settle_7008100!C126,input_settle_7008100!A:H,8,FALSE))</f>
        <v>0</v>
      </c>
      <c r="P126" s="45">
        <f t="shared" ca="1" si="5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input_settle_7008100!A$2</f>
        <v>7008100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IFERROR(VLOOKUP(B127,input_settle_7008100!L:R,7,FALSE),VLOOKUP(tables_settle_7008100!C127,input_settle_7008100!A:H,8,FALSE))</f>
        <v>0</v>
      </c>
      <c r="P127" s="45">
        <f t="shared" ca="1" si="5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input_settle_7008100!A$2</f>
        <v>7008100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IFERROR(VLOOKUP(B128,input_settle_7008100!L:R,7,FALSE),VLOOKUP(tables_settle_7008100!C128,input_settle_7008100!A:H,8,FALSE))</f>
        <v>190120</v>
      </c>
      <c r="P128" s="45">
        <f t="shared" ca="1" si="5"/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input_settle_7008100!A$2</f>
        <v>7008100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IFERROR(VLOOKUP(B129,input_settle_7008100!L:R,7,FALSE),VLOOKUP(tables_settle_7008100!C129,input_settle_7008100!A:H,8,FALSE))</f>
        <v>0</v>
      </c>
      <c r="P129" s="45">
        <f t="shared" ca="1" si="5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input_settle_7008100!A$2</f>
        <v>7008100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IFERROR(VLOOKUP(B130,input_settle_7008100!L:R,7,FALSE),VLOOKUP(tables_settle_7008100!C130,input_settle_7008100!A:H,8,FALSE))</f>
        <v>0</v>
      </c>
      <c r="P130" s="45">
        <f t="shared" ref="P130:P193" ca="1" si="8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input_settle_7008100!A$2</f>
        <v>7008100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IFERROR(VLOOKUP(B131,input_settle_7008100!L:R,7,FALSE),VLOOKUP(tables_settle_7008100!C131,input_settle_7008100!A:H,8,FALSE))</f>
        <v>190120</v>
      </c>
      <c r="P131" s="45">
        <f t="shared" ca="1" si="8"/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input_settle_7008100!A$2</f>
        <v>7008100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IFERROR(VLOOKUP(B132,input_settle_7008100!L:R,7,FALSE),VLOOKUP(tables_settle_7008100!C132,input_settle_7008100!A:H,8,FALSE))</f>
        <v>0</v>
      </c>
      <c r="P132" s="45">
        <f t="shared" ca="1" si="8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input_settle_7008100!A$2</f>
        <v>7008100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IFERROR(VLOOKUP(B133,input_settle_7008100!L:R,7,FALSE),VLOOKUP(tables_settle_7008100!C133,input_settle_7008100!A:H,8,FALSE))</f>
        <v>0</v>
      </c>
      <c r="P133" s="45">
        <f t="shared" ca="1" si="8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input_settle_7008100!A$2</f>
        <v>7008100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IFERROR(VLOOKUP(B134,input_settle_7008100!L:R,7,FALSE),VLOOKUP(tables_settle_7008100!C134,input_settle_7008100!A:H,8,FALSE))</f>
        <v>190120</v>
      </c>
      <c r="P134" s="45">
        <f t="shared" ca="1" si="8"/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input_settle_7008100!A$2</f>
        <v>7008100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IFERROR(VLOOKUP(B135,input_settle_7008100!L:R,7,FALSE),VLOOKUP(tables_settle_7008100!C135,input_settle_7008100!A:H,8,FALSE))</f>
        <v>0</v>
      </c>
      <c r="P135" s="45">
        <f t="shared" ca="1" si="8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input_settle_7008100!A$2</f>
        <v>7008100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IFERROR(VLOOKUP(B136,input_settle_7008100!L:R,7,FALSE),VLOOKUP(tables_settle_7008100!C136,input_settle_7008100!A:H,8,FALSE))</f>
        <v>0</v>
      </c>
      <c r="P136" s="45">
        <f t="shared" ca="1" si="8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input_settle_7008100!A$2</f>
        <v>7008100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IFERROR(VLOOKUP(B137,input_settle_7008100!L:R,7,FALSE),VLOOKUP(tables_settle_7008100!C137,input_settle_7008100!A:H,8,FALSE))</f>
        <v>190120</v>
      </c>
      <c r="P137" s="45">
        <f t="shared" ca="1" si="8"/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input_settle_7008100!A$2</f>
        <v>7008100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IFERROR(VLOOKUP(B138,input_settle_7008100!L:R,7,FALSE),VLOOKUP(tables_settle_7008100!C138,input_settle_7008100!A:H,8,FALSE))</f>
        <v>0</v>
      </c>
      <c r="P138" s="45">
        <f t="shared" ca="1" si="8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input_settle_7008100!A$2</f>
        <v>7008100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IFERROR(VLOOKUP(B139,input_settle_7008100!L:R,7,FALSE),VLOOKUP(tables_settle_7008100!C139,input_settle_7008100!A:H,8,FALSE))</f>
        <v>9480</v>
      </c>
      <c r="P139" s="45">
        <f t="shared" ca="1" si="8"/>
        <v>6.1224489795918364E-4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input_settle_7008100!A$2</f>
        <v>7008100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IFERROR(VLOOKUP(B140,input_settle_7008100!L:R,7,FALSE),VLOOKUP(tables_settle_7008100!C140,input_settle_7008100!A:H,8,FALSE))</f>
        <v>0</v>
      </c>
      <c r="P140" s="45">
        <f t="shared" ca="1" si="8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input_settle_7008100!A$2</f>
        <v>7008100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IFERROR(VLOOKUP(B141,input_settle_7008100!L:R,7,FALSE),VLOOKUP(tables_settle_7008100!C141,input_settle_7008100!A:H,8,FALSE))</f>
        <v>9480</v>
      </c>
      <c r="P141" s="45">
        <f t="shared" ca="1" si="8"/>
        <v>6.1224489795918364E-4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input_settle_7008100!A$2</f>
        <v>7008100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IFERROR(VLOOKUP(B142,input_settle_7008100!L:R,7,FALSE),VLOOKUP(tables_settle_7008100!C142,input_settle_7008100!A:H,8,FALSE))</f>
        <v>0</v>
      </c>
      <c r="P142" s="45">
        <f t="shared" ca="1" si="8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input_settle_7008100!A$2</f>
        <v>7008100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IFERROR(VLOOKUP(B143,input_settle_7008100!L:R,7,FALSE),VLOOKUP(tables_settle_7008100!C143,input_settle_7008100!A:H,8,FALSE))</f>
        <v>9480</v>
      </c>
      <c r="P143" s="45">
        <f t="shared" ca="1" si="8"/>
        <v>6.1224489795918364E-4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input_settle_7008100!A$2</f>
        <v>7008100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IFERROR(VLOOKUP(B144,input_settle_7008100!L:R,7,FALSE),VLOOKUP(tables_settle_7008100!C144,input_settle_7008100!A:H,8,FALSE))</f>
        <v>0</v>
      </c>
      <c r="P144" s="45">
        <f t="shared" ca="1" si="8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input_settle_7008100!A$2</f>
        <v>7008100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IFERROR(VLOOKUP(B145,input_settle_7008100!L:R,7,FALSE),VLOOKUP(tables_settle_7008100!C145,input_settle_7008100!A:H,8,FALSE))</f>
        <v>9480</v>
      </c>
      <c r="P145" s="45">
        <f t="shared" ca="1" si="8"/>
        <v>6.1224489795918364E-4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input_settle_7008100!A$2</f>
        <v>7008100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IFERROR(VLOOKUP(B146,input_settle_7008100!L:R,7,FALSE),VLOOKUP(tables_settle_7008100!C146,input_settle_7008100!A:H,8,FALSE))</f>
        <v>0</v>
      </c>
      <c r="P146" s="45">
        <f t="shared" ca="1" si="8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input_settle_7008100!A$2</f>
        <v>7008100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IFERROR(VLOOKUP(B147,input_settle_7008100!L:R,7,FALSE),VLOOKUP(tables_settle_7008100!C147,input_settle_7008100!A:H,8,FALSE))</f>
        <v>0</v>
      </c>
      <c r="P147" s="45">
        <f t="shared" ca="1" si="8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input_settle_7008100!A$2</f>
        <v>7008100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IFERROR(VLOOKUP(B148,input_settle_7008100!L:R,7,FALSE),VLOOKUP(tables_settle_7008100!C148,input_settle_7008100!A:H,8,FALSE))</f>
        <v>190120</v>
      </c>
      <c r="P148" s="45">
        <f t="shared" ca="1" si="8"/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input_settle_7008100!A$2</f>
        <v>7008100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IFERROR(VLOOKUP(B149,input_settle_7008100!L:R,7,FALSE),VLOOKUP(tables_settle_7008100!C149,input_settle_7008100!A:H,8,FALSE))</f>
        <v>0</v>
      </c>
      <c r="P149" s="45">
        <f t="shared" ca="1" si="8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input_settle_7008100!A$2</f>
        <v>7008100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IFERROR(VLOOKUP(B150,input_settle_7008100!L:R,7,FALSE),VLOOKUP(tables_settle_7008100!C150,input_settle_7008100!A:H,8,FALSE))</f>
        <v>9480</v>
      </c>
      <c r="P150" s="45">
        <f t="shared" ca="1" si="8"/>
        <v>6.1224489795918364E-4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input_settle_7008100!A$2</f>
        <v>7008100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IFERROR(VLOOKUP(B151,input_settle_7008100!L:R,7,FALSE),VLOOKUP(tables_settle_7008100!C151,input_settle_7008100!A:H,8,FALSE))</f>
        <v>0</v>
      </c>
      <c r="P151" s="45">
        <f t="shared" ca="1" si="8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input_settle_7008100!A$2</f>
        <v>7008100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IFERROR(VLOOKUP(B152,input_settle_7008100!L:R,7,FALSE),VLOOKUP(tables_settle_7008100!C152,input_settle_7008100!A:H,8,FALSE))</f>
        <v>9480</v>
      </c>
      <c r="P152" s="45">
        <f t="shared" ca="1" si="8"/>
        <v>6.1224489795918364E-4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input_settle_7008100!A$2</f>
        <v>7008100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IFERROR(VLOOKUP(B153,input_settle_7008100!L:R,7,FALSE),VLOOKUP(tables_settle_7008100!C153,input_settle_7008100!A:H,8,FALSE))</f>
        <v>0</v>
      </c>
      <c r="P153" s="45">
        <f t="shared" ca="1" si="8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input_settle_7008100!A$2</f>
        <v>7008100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IFERROR(VLOOKUP(B154,input_settle_7008100!L:R,7,FALSE),VLOOKUP(tables_settle_7008100!C154,input_settle_7008100!A:H,8,FALSE))</f>
        <v>0</v>
      </c>
      <c r="P154" s="45">
        <f t="shared" ca="1" si="8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input_settle_7008100!A$2</f>
        <v>7008100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IFERROR(VLOOKUP(B155,input_settle_7008100!L:R,7,FALSE),VLOOKUP(tables_settle_7008100!C155,input_settle_7008100!A:H,8,FALSE))</f>
        <v>190120</v>
      </c>
      <c r="P155" s="45">
        <f t="shared" ca="1" si="8"/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input_settle_7008100!A$2</f>
        <v>7008100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IFERROR(VLOOKUP(B156,input_settle_7008100!L:R,7,FALSE),VLOOKUP(tables_settle_7008100!C156,input_settle_7008100!A:H,8,FALSE))</f>
        <v>0</v>
      </c>
      <c r="P156" s="45">
        <f t="shared" ca="1" si="8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input_settle_7008100!A$2</f>
        <v>7008100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IFERROR(VLOOKUP(B157,input_settle_7008100!L:R,7,FALSE),VLOOKUP(tables_settle_7008100!C157,input_settle_7008100!A:H,8,FALSE))</f>
        <v>9480</v>
      </c>
      <c r="P157" s="45">
        <f t="shared" ca="1" si="8"/>
        <v>6.1224489795918364E-4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input_settle_7008100!A$2</f>
        <v>7008100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IFERROR(VLOOKUP(B158,input_settle_7008100!L:R,7,FALSE),VLOOKUP(tables_settle_7008100!C158,input_settle_7008100!A:H,8,FALSE))</f>
        <v>0</v>
      </c>
      <c r="P158" s="45">
        <f t="shared" ca="1" si="8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input_settle_7008100!A$2</f>
        <v>7008100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IFERROR(VLOOKUP(B159,input_settle_7008100!L:R,7,FALSE),VLOOKUP(tables_settle_7008100!C159,input_settle_7008100!A:H,8,FALSE))</f>
        <v>0</v>
      </c>
      <c r="P159" s="45">
        <f t="shared" ca="1" si="8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input_settle_7008100!A$2</f>
        <v>7008100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IFERROR(VLOOKUP(B160,input_settle_7008100!L:R,7,FALSE),VLOOKUP(tables_settle_7008100!C160,input_settle_7008100!A:H,8,FALSE))</f>
        <v>190120</v>
      </c>
      <c r="P160" s="45">
        <f t="shared" ca="1" si="8"/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input_settle_7008100!A$2</f>
        <v>7008100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IFERROR(VLOOKUP(B161,input_settle_7008100!L:R,7,FALSE),VLOOKUP(tables_settle_7008100!C161,input_settle_7008100!A:H,8,FALSE))</f>
        <v>0</v>
      </c>
      <c r="P161" s="45">
        <f t="shared" ca="1" si="8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input_settle_7008100!A$2</f>
        <v>7008100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IFERROR(VLOOKUP(B162,input_settle_7008100!L:R,7,FALSE),VLOOKUP(tables_settle_7008100!C162,input_settle_7008100!A:H,8,FALSE))</f>
        <v>0</v>
      </c>
      <c r="P162" s="45">
        <f t="shared" ca="1" si="8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input_settle_7008100!A$2</f>
        <v>7008100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IFERROR(VLOOKUP(B163,input_settle_7008100!L:R,7,FALSE),VLOOKUP(tables_settle_7008100!C163,input_settle_7008100!A:H,8,FALSE))</f>
        <v>190120</v>
      </c>
      <c r="P163" s="45">
        <f t="shared" ca="1" si="8"/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input_settle_7008100!A$2</f>
        <v>7008100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IFERROR(VLOOKUP(B164,input_settle_7008100!L:R,7,FALSE),VLOOKUP(tables_settle_7008100!C164,input_settle_7008100!A:H,8,FALSE))</f>
        <v>0</v>
      </c>
      <c r="P164" s="45">
        <f t="shared" ca="1" si="8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input_settle_7008100!A$2</f>
        <v>7008100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IFERROR(VLOOKUP(B165,input_settle_7008100!L:R,7,FALSE),VLOOKUP(tables_settle_7008100!C165,input_settle_7008100!A:H,8,FALSE))</f>
        <v>9480</v>
      </c>
      <c r="P165" s="45">
        <f t="shared" ca="1" si="8"/>
        <v>6.1224489795918364E-4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input_settle_7008100!A$2</f>
        <v>7008100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IFERROR(VLOOKUP(B166,input_settle_7008100!L:R,7,FALSE),VLOOKUP(tables_settle_7008100!C166,input_settle_7008100!A:H,8,FALSE))</f>
        <v>0</v>
      </c>
      <c r="P166" s="45">
        <f t="shared" ca="1" si="8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input_settle_7008100!A$2</f>
        <v>7008100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IFERROR(VLOOKUP(B167,input_settle_7008100!L:R,7,FALSE),VLOOKUP(tables_settle_7008100!C167,input_settle_7008100!A:H,8,FALSE))</f>
        <v>0</v>
      </c>
      <c r="P167" s="45">
        <f t="shared" ca="1" si="8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input_settle_7008100!A$2</f>
        <v>7008100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IFERROR(VLOOKUP(B168,input_settle_7008100!L:R,7,FALSE),VLOOKUP(tables_settle_7008100!C168,input_settle_7008100!A:H,8,FALSE))</f>
        <v>190120</v>
      </c>
      <c r="P168" s="45">
        <f t="shared" ca="1" si="8"/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input_settle_7008100!A$2</f>
        <v>7008100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IFERROR(VLOOKUP(B169,input_settle_7008100!L:R,7,FALSE),VLOOKUP(tables_settle_7008100!C169,input_settle_7008100!A:H,8,FALSE))</f>
        <v>0</v>
      </c>
      <c r="P169" s="45">
        <f t="shared" ca="1" si="8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input_settle_7008100!A$2</f>
        <v>7008100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IFERROR(VLOOKUP(B170,input_settle_7008100!L:R,7,FALSE),VLOOKUP(tables_settle_7008100!C170,input_settle_7008100!A:H,8,FALSE))</f>
        <v>9480</v>
      </c>
      <c r="P170" s="45">
        <f t="shared" ca="1" si="8"/>
        <v>6.1224489795918364E-4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input_settle_7008100!A$2</f>
        <v>7008100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IFERROR(VLOOKUP(B171,input_settle_7008100!L:R,7,FALSE),VLOOKUP(tables_settle_7008100!C171,input_settle_7008100!A:H,8,FALSE))</f>
        <v>0</v>
      </c>
      <c r="P171" s="45">
        <f t="shared" ca="1" si="8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input_settle_7008100!A$2</f>
        <v>7008100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IFERROR(VLOOKUP(B172,input_settle_7008100!L:R,7,FALSE),VLOOKUP(tables_settle_7008100!C172,input_settle_7008100!A:H,8,FALSE))</f>
        <v>0</v>
      </c>
      <c r="P172" s="45">
        <f t="shared" ca="1" si="8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input_settle_7008100!A$2</f>
        <v>7008100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IFERROR(VLOOKUP(B173,input_settle_7008100!L:R,7,FALSE),VLOOKUP(tables_settle_7008100!C173,input_settle_7008100!A:H,8,FALSE))</f>
        <v>190120</v>
      </c>
      <c r="P173" s="45">
        <f t="shared" ca="1" si="8"/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input_settle_7008100!A$2</f>
        <v>7008100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IFERROR(VLOOKUP(B174,input_settle_7008100!L:R,7,FALSE),VLOOKUP(tables_settle_7008100!C174,input_settle_7008100!A:H,8,FALSE))</f>
        <v>0</v>
      </c>
      <c r="P174" s="45">
        <f t="shared" ca="1" si="8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input_settle_7008100!A$2</f>
        <v>7008100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IFERROR(VLOOKUP(B175,input_settle_7008100!L:R,7,FALSE),VLOOKUP(tables_settle_7008100!C175,input_settle_7008100!A:H,8,FALSE))</f>
        <v>9480</v>
      </c>
      <c r="P175" s="45">
        <f t="shared" ca="1" si="8"/>
        <v>6.1224489795918364E-4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input_settle_7008100!A$2</f>
        <v>7008100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IFERROR(VLOOKUP(B176,input_settle_7008100!L:R,7,FALSE),VLOOKUP(tables_settle_7008100!C176,input_settle_7008100!A:H,8,FALSE))</f>
        <v>0</v>
      </c>
      <c r="P176" s="45">
        <f t="shared" ca="1" si="8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input_settle_7008100!A$2</f>
        <v>7008100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IFERROR(VLOOKUP(B177,input_settle_7008100!L:R,7,FALSE),VLOOKUP(tables_settle_7008100!C177,input_settle_7008100!A:H,8,FALSE))</f>
        <v>9480</v>
      </c>
      <c r="P177" s="45">
        <f t="shared" ca="1" si="8"/>
        <v>6.1224489795918364E-4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input_settle_7008100!A$2</f>
        <v>7008100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IFERROR(VLOOKUP(B178,input_settle_7008100!L:R,7,FALSE),VLOOKUP(tables_settle_7008100!C178,input_settle_7008100!A:H,8,FALSE))</f>
        <v>0</v>
      </c>
      <c r="P178" s="45">
        <f t="shared" ca="1" si="8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input_settle_7008100!A$2</f>
        <v>7008100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IFERROR(VLOOKUP(B179,input_settle_7008100!L:R,7,FALSE),VLOOKUP(tables_settle_7008100!C179,input_settle_7008100!A:H,8,FALSE))</f>
        <v>0</v>
      </c>
      <c r="P179" s="45">
        <f t="shared" ca="1" si="8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input_settle_7008100!A$2</f>
        <v>7008100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IFERROR(VLOOKUP(B180,input_settle_7008100!L:R,7,FALSE),VLOOKUP(tables_settle_7008100!C180,input_settle_7008100!A:H,8,FALSE))</f>
        <v>190120</v>
      </c>
      <c r="P180" s="45">
        <f t="shared" ca="1" si="8"/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input_settle_7008100!A$2</f>
        <v>7008100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IFERROR(VLOOKUP(B181,input_settle_7008100!L:R,7,FALSE),VLOOKUP(tables_settle_7008100!C181,input_settle_7008100!A:H,8,FALSE))</f>
        <v>0</v>
      </c>
      <c r="P181" s="45">
        <f t="shared" ca="1" si="8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input_settle_7008100!A$2</f>
        <v>7008100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IFERROR(VLOOKUP(B182,input_settle_7008100!L:R,7,FALSE),VLOOKUP(tables_settle_7008100!C182,input_settle_7008100!A:H,8,FALSE))</f>
        <v>0</v>
      </c>
      <c r="P182" s="45">
        <f t="shared" ca="1" si="8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input_settle_7008100!A$2</f>
        <v>7008100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IFERROR(VLOOKUP(B183,input_settle_7008100!L:R,7,FALSE),VLOOKUP(tables_settle_7008100!C183,input_settle_7008100!A:H,8,FALSE))</f>
        <v>190120</v>
      </c>
      <c r="P183" s="45">
        <f t="shared" ca="1" si="8"/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input_settle_7008100!A$2</f>
        <v>7008100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IFERROR(VLOOKUP(B184,input_settle_7008100!L:R,7,FALSE),VLOOKUP(tables_settle_7008100!C184,input_settle_7008100!A:H,8,FALSE))</f>
        <v>0</v>
      </c>
      <c r="P184" s="45">
        <f t="shared" ca="1" si="8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input_settle_7008100!A$2</f>
        <v>7008100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IFERROR(VLOOKUP(B185,input_settle_7008100!L:R,7,FALSE),VLOOKUP(tables_settle_7008100!C185,input_settle_7008100!A:H,8,FALSE))</f>
        <v>9480</v>
      </c>
      <c r="P185" s="45">
        <f t="shared" ca="1" si="8"/>
        <v>6.1224489795918364E-4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input_settle_7008100!A$2</f>
        <v>7008100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IFERROR(VLOOKUP(B186,input_settle_7008100!L:R,7,FALSE),VLOOKUP(tables_settle_7008100!C186,input_settle_7008100!A:H,8,FALSE))</f>
        <v>0</v>
      </c>
      <c r="P186" s="45">
        <f t="shared" ca="1" si="8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input_settle_7008100!A$2</f>
        <v>7008100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IFERROR(VLOOKUP(B187,input_settle_7008100!L:R,7,FALSE),VLOOKUP(tables_settle_7008100!C187,input_settle_7008100!A:H,8,FALSE))</f>
        <v>0</v>
      </c>
      <c r="P187" s="45">
        <f t="shared" ca="1" si="8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input_settle_7008100!A$2</f>
        <v>7008100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IFERROR(VLOOKUP(B188,input_settle_7008100!L:R,7,FALSE),VLOOKUP(tables_settle_7008100!C188,input_settle_7008100!A:H,8,FALSE))</f>
        <v>190120</v>
      </c>
      <c r="P188" s="45">
        <f t="shared" ca="1" si="8"/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input_settle_7008100!A$2</f>
        <v>7008100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IFERROR(VLOOKUP(B189,input_settle_7008100!L:R,7,FALSE),VLOOKUP(tables_settle_7008100!C189,input_settle_7008100!A:H,8,FALSE))</f>
        <v>0</v>
      </c>
      <c r="P189" s="45">
        <f t="shared" ca="1" si="8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input_settle_7008100!A$2</f>
        <v>7008100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IFERROR(VLOOKUP(B190,input_settle_7008100!L:R,7,FALSE),VLOOKUP(tables_settle_7008100!C190,input_settle_7008100!A:H,8,FALSE))</f>
        <v>9480</v>
      </c>
      <c r="P190" s="45">
        <f t="shared" ca="1" si="8"/>
        <v>6.1224489795918364E-4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input_settle_7008100!A$2</f>
        <v>7008100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IFERROR(VLOOKUP(B191,input_settle_7008100!L:R,7,FALSE),VLOOKUP(tables_settle_7008100!C191,input_settle_7008100!A:H,8,FALSE))</f>
        <v>0</v>
      </c>
      <c r="P191" s="45">
        <f t="shared" ca="1" si="8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input_settle_7008100!A$2</f>
        <v>7008100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IFERROR(VLOOKUP(B192,input_settle_7008100!L:R,7,FALSE),VLOOKUP(tables_settle_7008100!C192,input_settle_7008100!A:H,8,FALSE))</f>
        <v>9480</v>
      </c>
      <c r="P192" s="45">
        <f t="shared" ca="1" si="8"/>
        <v>6.1224489795918364E-4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input_settle_7008100!A$2</f>
        <v>7008100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IFERROR(VLOOKUP(B193,input_settle_7008100!L:R,7,FALSE),VLOOKUP(tables_settle_7008100!C193,input_settle_7008100!A:H,8,FALSE))</f>
        <v>0</v>
      </c>
      <c r="P193" s="45">
        <f t="shared" ca="1" si="8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input_settle_7008100!A$2</f>
        <v>7008100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IFERROR(VLOOKUP(B194,input_settle_7008100!L:R,7,FALSE),VLOOKUP(tables_settle_7008100!C194,input_settle_7008100!A:H,8,FALSE))</f>
        <v>0</v>
      </c>
      <c r="P194" s="45">
        <f t="shared" ref="P194:P257" ca="1" si="11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input_settle_7008100!A$2</f>
        <v>7008100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IFERROR(VLOOKUP(B195,input_settle_7008100!L:R,7,FALSE),VLOOKUP(tables_settle_7008100!C195,input_settle_7008100!A:H,8,FALSE))</f>
        <v>190120</v>
      </c>
      <c r="P195" s="45">
        <f t="shared" ca="1" si="11"/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input_settle_7008100!A$2</f>
        <v>7008100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IFERROR(VLOOKUP(B196,input_settle_7008100!L:R,7,FALSE),VLOOKUP(tables_settle_7008100!C196,input_settle_7008100!A:H,8,FALSE))</f>
        <v>0</v>
      </c>
      <c r="P196" s="45">
        <f t="shared" ca="1" si="11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input_settle_7008100!A$2</f>
        <v>7008100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IFERROR(VLOOKUP(B197,input_settle_7008100!L:R,7,FALSE),VLOOKUP(tables_settle_7008100!C197,input_settle_7008100!A:H,8,FALSE))</f>
        <v>9480</v>
      </c>
      <c r="P197" s="45">
        <f t="shared" ca="1" si="11"/>
        <v>6.1224489795918364E-4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input_settle_7008100!A$2</f>
        <v>7008100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IFERROR(VLOOKUP(B198,input_settle_7008100!L:R,7,FALSE),VLOOKUP(tables_settle_7008100!C198,input_settle_7008100!A:H,8,FALSE))</f>
        <v>0</v>
      </c>
      <c r="P198" s="45">
        <f t="shared" ca="1" si="11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input_settle_7008100!A$2</f>
        <v>7008100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IFERROR(VLOOKUP(B199,input_settle_7008100!L:R,7,FALSE),VLOOKUP(tables_settle_7008100!C199,input_settle_7008100!A:H,8,FALSE))</f>
        <v>0</v>
      </c>
      <c r="P199" s="45">
        <f t="shared" ca="1" si="11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input_settle_7008100!A$2</f>
        <v>7008100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IFERROR(VLOOKUP(B200,input_settle_7008100!L:R,7,FALSE),VLOOKUP(tables_settle_7008100!C200,input_settle_7008100!A:H,8,FALSE))</f>
        <v>190120</v>
      </c>
      <c r="P200" s="45">
        <f t="shared" ca="1" si="11"/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input_settle_7008100!A$2</f>
        <v>7008100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IFERROR(VLOOKUP(B201,input_settle_7008100!L:R,7,FALSE),VLOOKUP(tables_settle_7008100!C201,input_settle_7008100!A:H,8,FALSE))</f>
        <v>0</v>
      </c>
      <c r="P201" s="45">
        <f t="shared" ca="1" si="11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input_settle_7008100!A$2</f>
        <v>7008100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IFERROR(VLOOKUP(B202,input_settle_7008100!L:R,7,FALSE),VLOOKUP(tables_settle_7008100!C202,input_settle_7008100!A:H,8,FALSE))</f>
        <v>9480</v>
      </c>
      <c r="P202" s="45">
        <f t="shared" ca="1" si="11"/>
        <v>6.1224489795918364E-4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input_settle_7008100!A$2</f>
        <v>7008100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IFERROR(VLOOKUP(B203,input_settle_7008100!L:R,7,FALSE),VLOOKUP(tables_settle_7008100!C203,input_settle_7008100!A:H,8,FALSE))</f>
        <v>0</v>
      </c>
      <c r="P203" s="45">
        <f t="shared" ca="1" si="11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input_settle_7008100!A$2</f>
        <v>7008100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IFERROR(VLOOKUP(B204,input_settle_7008100!L:R,7,FALSE),VLOOKUP(tables_settle_7008100!C204,input_settle_7008100!A:H,8,FALSE))</f>
        <v>0</v>
      </c>
      <c r="P204" s="45">
        <f t="shared" ca="1" si="11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input_settle_7008100!A$2</f>
        <v>7008100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IFERROR(VLOOKUP(B205,input_settle_7008100!L:R,7,FALSE),VLOOKUP(tables_settle_7008100!C205,input_settle_7008100!A:H,8,FALSE))</f>
        <v>190120</v>
      </c>
      <c r="P205" s="45">
        <f t="shared" ca="1" si="11"/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input_settle_7008100!A$2</f>
        <v>7008100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IFERROR(VLOOKUP(B206,input_settle_7008100!L:R,7,FALSE),VLOOKUP(tables_settle_7008100!C206,input_settle_7008100!A:H,8,FALSE))</f>
        <v>0</v>
      </c>
      <c r="P206" s="45">
        <f t="shared" ca="1" si="11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input_settle_7008100!A$2</f>
        <v>7008100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IFERROR(VLOOKUP(B207,input_settle_7008100!L:R,7,FALSE),VLOOKUP(tables_settle_7008100!C207,input_settle_7008100!A:H,8,FALSE))</f>
        <v>9480</v>
      </c>
      <c r="P207" s="45">
        <f t="shared" ca="1" si="11"/>
        <v>6.1224489795918364E-4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input_settle_7008100!A$2</f>
        <v>7008100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IFERROR(VLOOKUP(B208,input_settle_7008100!L:R,7,FALSE),VLOOKUP(tables_settle_7008100!C208,input_settle_7008100!A:H,8,FALSE))</f>
        <v>0</v>
      </c>
      <c r="P208" s="45">
        <f t="shared" ca="1" si="11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input_settle_7008100!A$2</f>
        <v>7008100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IFERROR(VLOOKUP(B209,input_settle_7008100!L:R,7,FALSE),VLOOKUP(tables_settle_7008100!C209,input_settle_7008100!A:H,8,FALSE))</f>
        <v>9480</v>
      </c>
      <c r="P209" s="45">
        <f t="shared" ca="1" si="11"/>
        <v>6.1224489795918364E-4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input_settle_7008100!A$2</f>
        <v>7008100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IFERROR(VLOOKUP(B210,input_settle_7008100!L:R,7,FALSE),VLOOKUP(tables_settle_7008100!C210,input_settle_7008100!A:H,8,FALSE))</f>
        <v>0</v>
      </c>
      <c r="P210" s="45">
        <f t="shared" ca="1" si="11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input_settle_7008100!A$2</f>
        <v>7008100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IFERROR(VLOOKUP(B211,input_settle_7008100!L:R,7,FALSE),VLOOKUP(tables_settle_7008100!C211,input_settle_7008100!A:H,8,FALSE))</f>
        <v>0</v>
      </c>
      <c r="P211" s="45">
        <f t="shared" ca="1" si="11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input_settle_7008100!A$2</f>
        <v>7008100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IFERROR(VLOOKUP(B212,input_settle_7008100!L:R,7,FALSE),VLOOKUP(tables_settle_7008100!C212,input_settle_7008100!A:H,8,FALSE))</f>
        <v>190120</v>
      </c>
      <c r="P212" s="45">
        <f t="shared" ca="1" si="11"/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input_settle_7008100!A$2</f>
        <v>7008100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IFERROR(VLOOKUP(B213,input_settle_7008100!L:R,7,FALSE),VLOOKUP(tables_settle_7008100!C213,input_settle_7008100!A:H,8,FALSE))</f>
        <v>0</v>
      </c>
      <c r="P213" s="45">
        <f t="shared" ca="1" si="11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input_settle_7008100!A$2</f>
        <v>7008100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IFERROR(VLOOKUP(B214,input_settle_7008100!L:R,7,FALSE),VLOOKUP(tables_settle_7008100!C214,input_settle_7008100!A:H,8,FALSE))</f>
        <v>9480</v>
      </c>
      <c r="P214" s="45">
        <f t="shared" ca="1" si="11"/>
        <v>6.1224489795918364E-4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input_settle_7008100!A$2</f>
        <v>7008100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IFERROR(VLOOKUP(B215,input_settle_7008100!L:R,7,FALSE),VLOOKUP(tables_settle_7008100!C215,input_settle_7008100!A:H,8,FALSE))</f>
        <v>0</v>
      </c>
      <c r="P215" s="45">
        <f t="shared" ca="1" si="11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input_settle_7008100!A$2</f>
        <v>7008100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IFERROR(VLOOKUP(B216,input_settle_7008100!L:R,7,FALSE),VLOOKUP(tables_settle_7008100!C216,input_settle_7008100!A:H,8,FALSE))</f>
        <v>9480</v>
      </c>
      <c r="P216" s="45">
        <f t="shared" ca="1" si="11"/>
        <v>6.1224489795918364E-4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input_settle_7008100!A$2</f>
        <v>7008100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IFERROR(VLOOKUP(B217,input_settle_7008100!L:R,7,FALSE),VLOOKUP(tables_settle_7008100!C217,input_settle_7008100!A:H,8,FALSE))</f>
        <v>0</v>
      </c>
      <c r="P217" s="45">
        <f t="shared" ca="1" si="11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input_settle_7008100!A$2</f>
        <v>7008100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IFERROR(VLOOKUP(B218,input_settle_7008100!L:R,7,FALSE),VLOOKUP(tables_settle_7008100!C218,input_settle_7008100!A:H,8,FALSE))</f>
        <v>0</v>
      </c>
      <c r="P218" s="45">
        <f t="shared" ca="1" si="11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input_settle_7008100!A$2</f>
        <v>7008100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IFERROR(VLOOKUP(B219,input_settle_7008100!L:R,7,FALSE),VLOOKUP(tables_settle_7008100!C219,input_settle_7008100!A:H,8,FALSE))</f>
        <v>190120</v>
      </c>
      <c r="P219" s="45">
        <f t="shared" ca="1" si="11"/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input_settle_7008100!A$2</f>
        <v>7008100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IFERROR(VLOOKUP(B220,input_settle_7008100!L:R,7,FALSE),VLOOKUP(tables_settle_7008100!C220,input_settle_7008100!A:H,8,FALSE))</f>
        <v>0</v>
      </c>
      <c r="P220" s="45">
        <f t="shared" ca="1" si="11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input_settle_7008100!A$2</f>
        <v>7008100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IFERROR(VLOOKUP(B221,input_settle_7008100!L:R,7,FALSE),VLOOKUP(tables_settle_7008100!C221,input_settle_7008100!A:H,8,FALSE))</f>
        <v>0</v>
      </c>
      <c r="P221" s="45">
        <f t="shared" ca="1" si="11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input_settle_7008100!A$2</f>
        <v>7008100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IFERROR(VLOOKUP(B222,input_settle_7008100!L:R,7,FALSE),VLOOKUP(tables_settle_7008100!C222,input_settle_7008100!A:H,8,FALSE))</f>
        <v>190120</v>
      </c>
      <c r="P222" s="45">
        <f t="shared" ca="1" si="11"/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input_settle_7008100!A$2</f>
        <v>7008100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IFERROR(VLOOKUP(B223,input_settle_7008100!L:R,7,FALSE),VLOOKUP(tables_settle_7008100!C223,input_settle_7008100!A:H,8,FALSE))</f>
        <v>0</v>
      </c>
      <c r="P223" s="45">
        <f t="shared" ca="1" si="11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input_settle_7008100!A$2</f>
        <v>7008100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IFERROR(VLOOKUP(B224,input_settle_7008100!L:R,7,FALSE),VLOOKUP(tables_settle_7008100!C224,input_settle_7008100!A:H,8,FALSE))</f>
        <v>9480</v>
      </c>
      <c r="P224" s="45">
        <f t="shared" ca="1" si="11"/>
        <v>6.1224489795918364E-4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input_settle_7008100!A$2</f>
        <v>7008100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IFERROR(VLOOKUP(B225,input_settle_7008100!L:R,7,FALSE),VLOOKUP(tables_settle_7008100!C225,input_settle_7008100!A:H,8,FALSE))</f>
        <v>0</v>
      </c>
      <c r="P225" s="45">
        <f t="shared" ca="1" si="11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input_settle_7008100!A$2</f>
        <v>7008100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IFERROR(VLOOKUP(B226,input_settle_7008100!L:R,7,FALSE),VLOOKUP(tables_settle_7008100!C226,input_settle_7008100!A:H,8,FALSE))</f>
        <v>0</v>
      </c>
      <c r="P226" s="45">
        <f t="shared" ca="1" si="11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input_settle_7008100!A$2</f>
        <v>7008100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IFERROR(VLOOKUP(B227,input_settle_7008100!L:R,7,FALSE),VLOOKUP(tables_settle_7008100!C227,input_settle_7008100!A:H,8,FALSE))</f>
        <v>190120</v>
      </c>
      <c r="P227" s="45">
        <f t="shared" ca="1" si="11"/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input_settle_7008100!A$2</f>
        <v>7008100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IFERROR(VLOOKUP(B228,input_settle_7008100!L:R,7,FALSE),VLOOKUP(tables_settle_7008100!C228,input_settle_7008100!A:H,8,FALSE))</f>
        <v>0</v>
      </c>
      <c r="P228" s="45">
        <f t="shared" ca="1" si="11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input_settle_7008100!A$2</f>
        <v>7008100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IFERROR(VLOOKUP(B229,input_settle_7008100!L:R,7,FALSE),VLOOKUP(tables_settle_7008100!C229,input_settle_7008100!A:H,8,FALSE))</f>
        <v>0</v>
      </c>
      <c r="P229" s="45">
        <f t="shared" ca="1" si="11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input_settle_7008100!A$2</f>
        <v>7008100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IFERROR(VLOOKUP(B230,input_settle_7008100!L:R,7,FALSE),VLOOKUP(tables_settle_7008100!C230,input_settle_7008100!A:H,8,FALSE))</f>
        <v>190120</v>
      </c>
      <c r="P230" s="45">
        <f t="shared" ca="1" si="11"/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input_settle_7008100!A$2</f>
        <v>7008100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IFERROR(VLOOKUP(B231,input_settle_7008100!L:R,7,FALSE),VLOOKUP(tables_settle_7008100!C231,input_settle_7008100!A:H,8,FALSE))</f>
        <v>0</v>
      </c>
      <c r="P231" s="45">
        <f t="shared" ca="1" si="11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input_settle_7008100!A$2</f>
        <v>7008100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IFERROR(VLOOKUP(B232,input_settle_7008100!L:R,7,FALSE),VLOOKUP(tables_settle_7008100!C232,input_settle_7008100!A:H,8,FALSE))</f>
        <v>9480</v>
      </c>
      <c r="P232" s="45">
        <f t="shared" ca="1" si="11"/>
        <v>6.1224489795918364E-4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input_settle_7008100!A$2</f>
        <v>7008100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IFERROR(VLOOKUP(B233,input_settle_7008100!L:R,7,FALSE),VLOOKUP(tables_settle_7008100!C233,input_settle_7008100!A:H,8,FALSE))</f>
        <v>0</v>
      </c>
      <c r="P233" s="45">
        <f t="shared" ca="1" si="11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input_settle_7008100!A$2</f>
        <v>7008100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IFERROR(VLOOKUP(B234,input_settle_7008100!L:R,7,FALSE),VLOOKUP(tables_settle_7008100!C234,input_settle_7008100!A:H,8,FALSE))</f>
        <v>0</v>
      </c>
      <c r="P234" s="45">
        <f t="shared" ca="1" si="11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input_settle_7008100!A$2</f>
        <v>7008100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IFERROR(VLOOKUP(B235,input_settle_7008100!L:R,7,FALSE),VLOOKUP(tables_settle_7008100!C235,input_settle_7008100!A:H,8,FALSE))</f>
        <v>190120</v>
      </c>
      <c r="P235" s="45">
        <f t="shared" ca="1" si="11"/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input_settle_7008100!A$2</f>
        <v>7008100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IFERROR(VLOOKUP(B236,input_settle_7008100!L:R,7,FALSE),VLOOKUP(tables_settle_7008100!C236,input_settle_7008100!A:H,8,FALSE))</f>
        <v>0</v>
      </c>
      <c r="P236" s="45">
        <f t="shared" ca="1" si="11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input_settle_7008100!A$2</f>
        <v>7008100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IFERROR(VLOOKUP(B237,input_settle_7008100!L:R,7,FALSE),VLOOKUP(tables_settle_7008100!C237,input_settle_7008100!A:H,8,FALSE))</f>
        <v>9480</v>
      </c>
      <c r="P237" s="45">
        <f t="shared" ca="1" si="11"/>
        <v>6.1224489795918364E-4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input_settle_7008100!A$2</f>
        <v>7008100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IFERROR(VLOOKUP(B238,input_settle_7008100!L:R,7,FALSE),VLOOKUP(tables_settle_7008100!C238,input_settle_7008100!A:H,8,FALSE))</f>
        <v>0</v>
      </c>
      <c r="P238" s="45">
        <f t="shared" ca="1" si="11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input_settle_7008100!A$2</f>
        <v>7008100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IFERROR(VLOOKUP(B239,input_settle_7008100!L:R,7,FALSE),VLOOKUP(tables_settle_7008100!C239,input_settle_7008100!A:H,8,FALSE))</f>
        <v>9480</v>
      </c>
      <c r="P239" s="45">
        <f t="shared" ca="1" si="11"/>
        <v>6.1224489795918364E-4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input_settle_7008100!A$2</f>
        <v>7008100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IFERROR(VLOOKUP(B240,input_settle_7008100!L:R,7,FALSE),VLOOKUP(tables_settle_7008100!C240,input_settle_7008100!A:H,8,FALSE))</f>
        <v>0</v>
      </c>
      <c r="P240" s="45">
        <f t="shared" ca="1" si="11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input_settle_7008100!A$2</f>
        <v>7008100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IFERROR(VLOOKUP(B241,input_settle_7008100!L:R,7,FALSE),VLOOKUP(tables_settle_7008100!C241,input_settle_7008100!A:H,8,FALSE))</f>
        <v>0</v>
      </c>
      <c r="P241" s="45">
        <f t="shared" ca="1" si="11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input_settle_7008100!A$2</f>
        <v>7008100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IFERROR(VLOOKUP(B242,input_settle_7008100!L:R,7,FALSE),VLOOKUP(tables_settle_7008100!C242,input_settle_7008100!A:H,8,FALSE))</f>
        <v>190120</v>
      </c>
      <c r="P242" s="45">
        <f t="shared" ca="1" si="11"/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input_settle_7008100!A$2</f>
        <v>7008100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IFERROR(VLOOKUP(B243,input_settle_7008100!L:R,7,FALSE),VLOOKUP(tables_settle_7008100!C243,input_settle_7008100!A:H,8,FALSE))</f>
        <v>0</v>
      </c>
      <c r="P243" s="45">
        <f t="shared" ca="1" si="11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input_settle_7008100!A$2</f>
        <v>7008100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IFERROR(VLOOKUP(B244,input_settle_7008100!L:R,7,FALSE),VLOOKUP(tables_settle_7008100!C244,input_settle_7008100!A:H,8,FALSE))</f>
        <v>0</v>
      </c>
      <c r="P244" s="45">
        <f t="shared" ca="1" si="11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input_settle_7008100!A$2</f>
        <v>7008100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IFERROR(VLOOKUP(B245,input_settle_7008100!L:R,7,FALSE),VLOOKUP(tables_settle_7008100!C245,input_settle_7008100!A:H,8,FALSE))</f>
        <v>190120</v>
      </c>
      <c r="P245" s="45">
        <f t="shared" ca="1" si="11"/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input_settle_7008100!A$2</f>
        <v>7008100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IFERROR(VLOOKUP(B246,input_settle_7008100!L:R,7,FALSE),VLOOKUP(tables_settle_7008100!C246,input_settle_7008100!A:H,8,FALSE))</f>
        <v>0</v>
      </c>
      <c r="P246" s="45">
        <f t="shared" ca="1" si="11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input_settle_7008100!A$2</f>
        <v>7008100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IFERROR(VLOOKUP(B247,input_settle_7008100!L:R,7,FALSE),VLOOKUP(tables_settle_7008100!C247,input_settle_7008100!A:H,8,FALSE))</f>
        <v>0</v>
      </c>
      <c r="P247" s="45">
        <f t="shared" ca="1" si="11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input_settle_7008100!A$2</f>
        <v>7008100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IFERROR(VLOOKUP(B248,input_settle_7008100!L:R,7,FALSE),VLOOKUP(tables_settle_7008100!C248,input_settle_7008100!A:H,8,FALSE))</f>
        <v>190120</v>
      </c>
      <c r="P248" s="45">
        <f t="shared" ca="1" si="11"/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input_settle_7008100!A$2</f>
        <v>7008100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IFERROR(VLOOKUP(B249,input_settle_7008100!L:R,7,FALSE),VLOOKUP(tables_settle_7008100!C249,input_settle_7008100!A:H,8,FALSE))</f>
        <v>0</v>
      </c>
      <c r="P249" s="45">
        <f t="shared" ca="1" si="11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input_settle_7008100!A$2</f>
        <v>7008100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IFERROR(VLOOKUP(B250,input_settle_7008100!L:R,7,FALSE),VLOOKUP(tables_settle_7008100!C250,input_settle_7008100!A:H,8,FALSE))</f>
        <v>0</v>
      </c>
      <c r="P250" s="45">
        <f t="shared" ca="1" si="11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input_settle_7008100!A$2</f>
        <v>7008100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IFERROR(VLOOKUP(B251,input_settle_7008100!L:R,7,FALSE),VLOOKUP(tables_settle_7008100!C251,input_settle_7008100!A:H,8,FALSE))</f>
        <v>190120</v>
      </c>
      <c r="P251" s="45">
        <f t="shared" ca="1" si="11"/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input_settle_7008100!A$2</f>
        <v>7008100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IFERROR(VLOOKUP(B252,input_settle_7008100!L:R,7,FALSE),VLOOKUP(tables_settle_7008100!C252,input_settle_7008100!A:H,8,FALSE))</f>
        <v>0</v>
      </c>
      <c r="P252" s="45">
        <f t="shared" ca="1" si="11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input_settle_7008100!A$2</f>
        <v>7008100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IFERROR(VLOOKUP(B253,input_settle_7008100!L:R,7,FALSE),VLOOKUP(tables_settle_7008100!C253,input_settle_7008100!A:H,8,FALSE))</f>
        <v>9480</v>
      </c>
      <c r="P253" s="45">
        <f t="shared" ca="1" si="11"/>
        <v>6.1224489795918364E-4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input_settle_7008100!A$2</f>
        <v>7008100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IFERROR(VLOOKUP(B254,input_settle_7008100!L:R,7,FALSE),VLOOKUP(tables_settle_7008100!C254,input_settle_7008100!A:H,8,FALSE))</f>
        <v>0</v>
      </c>
      <c r="P254" s="45">
        <f t="shared" ca="1" si="11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input_settle_7008100!A$2</f>
        <v>7008100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IFERROR(VLOOKUP(B255,input_settle_7008100!L:R,7,FALSE),VLOOKUP(tables_settle_7008100!C255,input_settle_7008100!A:H,8,FALSE))</f>
        <v>9480</v>
      </c>
      <c r="P255" s="45">
        <f t="shared" ca="1" si="11"/>
        <v>6.1224489795918364E-4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input_settle_7008100!A$2</f>
        <v>7008100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IFERROR(VLOOKUP(B256,input_settle_7008100!L:R,7,FALSE),VLOOKUP(tables_settle_7008100!C256,input_settle_7008100!A:H,8,FALSE))</f>
        <v>0</v>
      </c>
      <c r="P256" s="45">
        <f t="shared" ca="1" si="11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input_settle_7008100!A$2</f>
        <v>7008100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IFERROR(VLOOKUP(B257,input_settle_7008100!L:R,7,FALSE),VLOOKUP(tables_settle_7008100!C257,input_settle_7008100!A:H,8,FALSE))</f>
        <v>513324</v>
      </c>
      <c r="P257" s="45">
        <f t="shared" ca="1" si="11"/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input_settle_7008100!A$2</f>
        <v>7008100</v>
      </c>
      <c r="B258" s="57">
        <v>730</v>
      </c>
      <c r="C258" s="7" t="str">
        <f t="shared" ref="C258:C277" si="12">D258&amp;J258&amp;E258&amp;F258&amp;G258</f>
        <v>Premium4R3less</v>
      </c>
      <c r="D258" s="7" t="str">
        <f t="shared" ref="D258:D277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IFERROR(VLOOKUP(B258,input_settle_7008100!L:R,7,FALSE),VLOOKUP(tables_settle_7008100!C258,input_settle_7008100!A:H,8,FALSE))</f>
        <v>0</v>
      </c>
      <c r="P258" s="45">
        <f t="shared" ref="P258:P321" ca="1" si="14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input_settle_7008100!A$2</f>
        <v>7008100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IFERROR(VLOOKUP(B259,input_settle_7008100!L:R,7,FALSE),VLOOKUP(tables_settle_7008100!C259,input_settle_7008100!A:H,8,FALSE))</f>
        <v>513324</v>
      </c>
      <c r="P259" s="45">
        <f t="shared" ca="1" si="14"/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input_settle_7008100!A$2</f>
        <v>7008100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IFERROR(VLOOKUP(B260,input_settle_7008100!L:R,7,FALSE),VLOOKUP(tables_settle_7008100!C260,input_settle_7008100!A:H,8,FALSE))</f>
        <v>9480</v>
      </c>
      <c r="P260" s="45">
        <f t="shared" ca="1" si="14"/>
        <v>6.1224489795918364E-4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input_settle_7008100!A$2</f>
        <v>7008100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IFERROR(VLOOKUP(B261,input_settle_7008100!L:R,7,FALSE),VLOOKUP(tables_settle_7008100!C261,input_settle_7008100!A:H,8,FALSE))</f>
        <v>9480</v>
      </c>
      <c r="P261" s="45">
        <f t="shared" ca="1" si="14"/>
        <v>6.1224489795918364E-4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input_settle_7008100!A$2</f>
        <v>7008100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IFERROR(VLOOKUP(B262,input_settle_7008100!L:R,7,FALSE),VLOOKUP(tables_settle_7008100!C262,input_settle_7008100!A:H,8,FALSE))</f>
        <v>0</v>
      </c>
      <c r="P262" s="45">
        <f t="shared" ca="1" si="14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input_settle_7008100!A$2</f>
        <v>7008100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IFERROR(VLOOKUP(B263,input_settle_7008100!L:R,7,FALSE),VLOOKUP(tables_settle_7008100!C263,input_settle_7008100!A:H,8,FALSE))</f>
        <v>9480</v>
      </c>
      <c r="P263" s="45">
        <f t="shared" ca="1" si="14"/>
        <v>6.1224489795918364E-4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input_settle_7008100!A$2</f>
        <v>7008100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IFERROR(VLOOKUP(B264,input_settle_7008100!L:R,7,FALSE),VLOOKUP(tables_settle_7008100!C264,input_settle_7008100!A:H,8,FALSE))</f>
        <v>0</v>
      </c>
      <c r="P264" s="45">
        <f t="shared" ca="1" si="14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input_settle_7008100!A$2</f>
        <v>7008100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IFERROR(VLOOKUP(B265,input_settle_7008100!L:R,7,FALSE),VLOOKUP(tables_settle_7008100!C265,input_settle_7008100!A:H,8,FALSE))</f>
        <v>9480</v>
      </c>
      <c r="P265" s="45">
        <f t="shared" ca="1" si="14"/>
        <v>6.1224489795918364E-4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input_settle_7008100!A$2</f>
        <v>7008100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IFERROR(VLOOKUP(B266,input_settle_7008100!L:R,7,FALSE),VLOOKUP(tables_settle_7008100!C266,input_settle_7008100!A:H,8,FALSE))</f>
        <v>0</v>
      </c>
      <c r="P266" s="45">
        <f t="shared" ca="1" si="14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input_settle_7008100!A$2</f>
        <v>7008100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IFERROR(VLOOKUP(B267,input_settle_7008100!L:R,7,FALSE),VLOOKUP(tables_settle_7008100!C267,input_settle_7008100!A:H,8,FALSE))</f>
        <v>0</v>
      </c>
      <c r="P267" s="45">
        <f t="shared" ca="1" si="14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input_settle_7008100!A$2</f>
        <v>7008100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IFERROR(VLOOKUP(B268,input_settle_7008100!L:R,7,FALSE),VLOOKUP(tables_settle_7008100!C268,input_settle_7008100!A:H,8,FALSE))</f>
        <v>190120</v>
      </c>
      <c r="P268" s="45">
        <f t="shared" ca="1" si="14"/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input_settle_7008100!A$2</f>
        <v>7008100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IFERROR(VLOOKUP(B269,input_settle_7008100!L:R,7,FALSE),VLOOKUP(tables_settle_7008100!C269,input_settle_7008100!A:H,8,FALSE))</f>
        <v>0</v>
      </c>
      <c r="P269" s="45">
        <f t="shared" ca="1" si="14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input_settle_7008100!A$2</f>
        <v>7008100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IFERROR(VLOOKUP(B270,input_settle_7008100!L:R,7,FALSE),VLOOKUP(tables_settle_7008100!C270,input_settle_7008100!A:H,8,FALSE))</f>
        <v>0</v>
      </c>
      <c r="P270" s="45">
        <f t="shared" ca="1" si="14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input_settle_7008100!A$2</f>
        <v>7008100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IFERROR(VLOOKUP(B271,input_settle_7008100!L:R,7,FALSE),VLOOKUP(tables_settle_7008100!C271,input_settle_7008100!A:H,8,FALSE))</f>
        <v>190120</v>
      </c>
      <c r="P271" s="45">
        <f t="shared" ca="1" si="14"/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input_settle_7008100!A$2</f>
        <v>7008100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IFERROR(VLOOKUP(B272,input_settle_7008100!L:R,7,FALSE),VLOOKUP(tables_settle_7008100!C272,input_settle_7008100!A:H,8,FALSE))</f>
        <v>9480</v>
      </c>
      <c r="P272" s="45">
        <f t="shared" ca="1" si="14"/>
        <v>6.1224489795918364E-4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input_settle_7008100!A$2</f>
        <v>7008100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IFERROR(VLOOKUP(B273,input_settle_7008100!L:R,7,FALSE),VLOOKUP(tables_settle_7008100!C273,input_settle_7008100!A:H,8,FALSE))</f>
        <v>9480</v>
      </c>
      <c r="P273" s="45">
        <f t="shared" ca="1" si="14"/>
        <v>6.1224489795918364E-4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input_settle_7008100!A$2</f>
        <v>7008100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IFERROR(VLOOKUP(B274,input_settle_7008100!L:R,7,FALSE),VLOOKUP(tables_settle_7008100!C274,input_settle_7008100!A:H,8,FALSE))</f>
        <v>0</v>
      </c>
      <c r="P274" s="45">
        <f t="shared" ca="1" si="14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input_settle_7008100!A$2</f>
        <v>7008100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IFERROR(VLOOKUP(B275,input_settle_7008100!L:R,7,FALSE),VLOOKUP(tables_settle_7008100!C275,input_settle_7008100!A:H,8,FALSE))</f>
        <v>513324</v>
      </c>
      <c r="P275" s="45">
        <f t="shared" ca="1" si="14"/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input_settle_7008100!A$2</f>
        <v>7008100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IFERROR(VLOOKUP(B276,input_settle_7008100!L:R,7,FALSE),VLOOKUP(tables_settle_7008100!C276,input_settle_7008100!A:H,8,FALSE))</f>
        <v>0</v>
      </c>
      <c r="P276" s="45">
        <f t="shared" ca="1" si="14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input_settle_7008100!A$2</f>
        <v>7008100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IFERROR(VLOOKUP(B277,input_settle_7008100!L:R,7,FALSE),VLOOKUP(tables_settle_7008100!C277,input_settle_7008100!A:H,8,FALSE))</f>
        <v>513324</v>
      </c>
      <c r="P277" s="45">
        <f t="shared" ca="1" si="14"/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input_settle_7008100!A$2</f>
        <v>7008100</v>
      </c>
      <c r="B278" s="84">
        <v>862</v>
      </c>
      <c r="C278" s="7" t="str">
        <f t="shared" ref="C278:C281" si="15">D278&amp;J278&amp;E278&amp;F278&amp;G278</f>
        <v>Premium4R3less</v>
      </c>
      <c r="D278" s="7" t="str">
        <f t="shared" ref="D278:D281" si="16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IFERROR(VLOOKUP(B278,input_settle_7008100!L:R,7,FALSE),VLOOKUP(tables_settle_7008100!C278,input_settle_7008100!A:H,8,FALSE))</f>
        <v>0</v>
      </c>
      <c r="P278" s="45">
        <f t="shared" ca="1" si="14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input_settle_7008100!A$2</f>
        <v>7008100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IFERROR(VLOOKUP(B279,input_settle_7008100!L:R,7,FALSE),VLOOKUP(tables_settle_7008100!C279,input_settle_7008100!A:H,8,FALSE))</f>
        <v>513324</v>
      </c>
      <c r="P279" s="45">
        <f t="shared" ca="1" si="14"/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input_settle_7008100!A$2</f>
        <v>7008100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IFERROR(VLOOKUP(B280,input_settle_7008100!L:R,7,FALSE),VLOOKUP(tables_settle_7008100!C280,input_settle_7008100!A:H,8,FALSE))</f>
        <v>0</v>
      </c>
      <c r="P280" s="45">
        <f t="shared" ca="1" si="14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input_settle_7008100!A$2</f>
        <v>7008100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IFERROR(VLOOKUP(B281,input_settle_7008100!L:R,7,FALSE),VLOOKUP(tables_settle_7008100!C281,input_settle_7008100!A:H,8,FALSE))</f>
        <v>513324</v>
      </c>
      <c r="P281" s="45">
        <f t="shared" ca="1" si="14"/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input_settle_7008100!A$2</f>
        <v>7008100</v>
      </c>
      <c r="B282" s="84">
        <v>866</v>
      </c>
      <c r="C282" s="7" t="str">
        <f t="shared" ref="C282:C283" si="17">D282&amp;J282&amp;E282&amp;F282&amp;G282</f>
        <v>PremiumSS5R5only</v>
      </c>
      <c r="D282" s="7" t="str">
        <f t="shared" ref="D282:D283" si="18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IFERROR(VLOOKUP(B282,input_settle_7008100!L:R,7,FALSE),VLOOKUP(tables_settle_7008100!C282,input_settle_7008100!A:H,8,FALSE))</f>
        <v>9480</v>
      </c>
      <c r="P282" s="45">
        <f t="shared" ca="1" si="14"/>
        <v>6.1224489795918364E-4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input_settle_7008100!A$2</f>
        <v>7008100</v>
      </c>
      <c r="B283" s="84">
        <v>868</v>
      </c>
      <c r="C283" s="7" t="str">
        <f t="shared" si="17"/>
        <v>PremiumSS5R5only</v>
      </c>
      <c r="D283" s="7" t="str">
        <f t="shared" si="18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IFERROR(VLOOKUP(B283,input_settle_7008100!L:R,7,FALSE),VLOOKUP(tables_settle_7008100!C283,input_settle_7008100!A:H,8,FALSE))</f>
        <v>9480</v>
      </c>
      <c r="P283" s="45">
        <f t="shared" ca="1" si="14"/>
        <v>6.1224489795918364E-4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input_settle_7008100!A$2</f>
        <v>7008100</v>
      </c>
      <c r="B284" s="5">
        <v>742</v>
      </c>
      <c r="C284" s="7" t="str">
        <f t="shared" ref="C284:C287" si="19">D284&amp;J284&amp;E284&amp;F284&amp;G284</f>
        <v>PremiumSS5R5only</v>
      </c>
      <c r="D284" s="7" t="str">
        <f t="shared" ref="D284:D287" si="20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IFERROR(VLOOKUP(B284,input_settle_7008100!L:R,7,FALSE),VLOOKUP(tables_settle_7008100!C284,input_settle_7008100!A:H,8,FALSE))</f>
        <v>9480</v>
      </c>
      <c r="P284" s="45">
        <f t="shared" ca="1" si="14"/>
        <v>6.1224489795918364E-4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input_settle_7008100!A$2</f>
        <v>7008100</v>
      </c>
      <c r="B285" s="5">
        <v>744</v>
      </c>
      <c r="C285" s="7" t="str">
        <f t="shared" si="19"/>
        <v>PremiumSS5R5only</v>
      </c>
      <c r="D285" s="7" t="str">
        <f t="shared" si="20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IFERROR(VLOOKUP(B285,input_settle_7008100!L:R,7,FALSE),VLOOKUP(tables_settle_7008100!C285,input_settle_7008100!A:H,8,FALSE))</f>
        <v>9480</v>
      </c>
      <c r="P285" s="45">
        <f t="shared" ca="1" si="14"/>
        <v>6.1224489795918364E-4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input_settle_7008100!A$2</f>
        <v>7008100</v>
      </c>
      <c r="B286" s="5">
        <v>747</v>
      </c>
      <c r="C286" s="7" t="str">
        <f t="shared" si="19"/>
        <v>Premium5R3less</v>
      </c>
      <c r="D286" s="7" t="str">
        <f t="shared" si="20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IFERROR(VLOOKUP(B286,input_settle_7008100!L:R,7,FALSE),VLOOKUP(tables_settle_7008100!C286,input_settle_7008100!A:H,8,FALSE))</f>
        <v>513324</v>
      </c>
      <c r="P286" s="45">
        <f t="shared" ca="1" si="14"/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input_settle_7008100!A$2</f>
        <v>7008100</v>
      </c>
      <c r="B287" s="5">
        <v>749</v>
      </c>
      <c r="C287" s="7" t="str">
        <f t="shared" si="19"/>
        <v>Premium5R3less</v>
      </c>
      <c r="D287" s="7" t="str">
        <f t="shared" si="20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IFERROR(VLOOKUP(B287,input_settle_7008100!L:R,7,FALSE),VLOOKUP(tables_settle_7008100!C287,input_settle_7008100!A:H,8,FALSE))</f>
        <v>513324</v>
      </c>
      <c r="P287" s="45">
        <f t="shared" ca="1" si="14"/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input_settle_7008100!A$2</f>
        <v>7008100</v>
      </c>
      <c r="B288" s="5">
        <v>937</v>
      </c>
      <c r="C288" s="7" t="str">
        <f t="shared" ref="C288:C291" si="21">D288&amp;J288&amp;E288&amp;F288&amp;G288</f>
        <v>PremiumSS5R5only</v>
      </c>
      <c r="D288" s="7" t="str">
        <f t="shared" ref="D288:D291" si="22">IF(I288="PremiumSS",I288,IF(I288="PremiumSSS",I288,IF(I288="PremiumW",I288,"Premium")))</f>
        <v>PremiumSS</v>
      </c>
      <c r="E288" s="7" t="str">
        <f>IF(COUNTIF('R6追加前'!A:A,B288)=0,IF(I288="PremiumSS","R5only","R3less"),"")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IFERROR(VLOOKUP(B288,input_settle_7008100!L:R,7,FALSE),VLOOKUP(tables_settle_7008100!C288,input_settle_7008100!A:H,8,FALSE))</f>
        <v>9480</v>
      </c>
      <c r="P288" s="45">
        <f t="shared" ca="1" si="14"/>
        <v>6.1224489795918364E-4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input_settle_7008100!A$2</f>
        <v>7008100</v>
      </c>
      <c r="B289" s="5">
        <v>940</v>
      </c>
      <c r="C289" s="7" t="str">
        <f t="shared" si="21"/>
        <v>Premium5R3less</v>
      </c>
      <c r="D289" s="7" t="str">
        <f t="shared" si="22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IFERROR(VLOOKUP(B289,input_settle_7008100!L:R,7,FALSE),VLOOKUP(tables_settle_7008100!C289,input_settle_7008100!A:H,8,FALSE))</f>
        <v>513324</v>
      </c>
      <c r="P289" s="45">
        <f t="shared" ca="1" si="14"/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input_settle_7008100!A$2</f>
        <v>7008100</v>
      </c>
      <c r="B290" s="5">
        <v>941</v>
      </c>
      <c r="C290" s="7" t="str">
        <f t="shared" si="21"/>
        <v>PremiumSS5R5only</v>
      </c>
      <c r="D290" s="7" t="str">
        <f t="shared" si="22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IFERROR(VLOOKUP(B290,input_settle_7008100!L:R,7,FALSE),VLOOKUP(tables_settle_7008100!C290,input_settle_7008100!A:H,8,FALSE))</f>
        <v>9480</v>
      </c>
      <c r="P290" s="45">
        <f t="shared" ca="1" si="14"/>
        <v>6.1224489795918364E-4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input_settle_7008100!A$2</f>
        <v>7008100</v>
      </c>
      <c r="B291" s="5">
        <v>943</v>
      </c>
      <c r="C291" s="7" t="str">
        <f t="shared" si="21"/>
        <v>PremiumSS5R5only</v>
      </c>
      <c r="D291" s="7" t="str">
        <f t="shared" si="22"/>
        <v>PremiumSS</v>
      </c>
      <c r="E291" s="7" t="str">
        <f>IF(COUNTIF('R6追加前'!A:A,B291)=0,IF(I291="PremiumSS","R5only","R3less"),"")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IFERROR(VLOOKUP(B291,input_settle_7008100!L:R,7,FALSE),VLOOKUP(tables_settle_7008100!C291,input_settle_7008100!A:H,8,FALSE))</f>
        <v>9480</v>
      </c>
      <c r="P291" s="45">
        <f t="shared" ca="1" si="14"/>
        <v>6.1224489795918364E-4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input_settle_7008100!A$2</f>
        <v>7008100</v>
      </c>
      <c r="B292" s="5">
        <v>1012</v>
      </c>
      <c r="C292" s="7" t="str">
        <f t="shared" ref="C292:C296" si="23">D292&amp;J292&amp;E292&amp;F292&amp;G292</f>
        <v>PremiumSS5R5only</v>
      </c>
      <c r="D292" s="7" t="str">
        <f t="shared" ref="D292:D296" si="24">IF(I292="PremiumSS",I292,IF(I292="PremiumSSS",I292,IF(I292="PremiumW",I292,"Premium")))</f>
        <v>PremiumSS</v>
      </c>
      <c r="E292" s="7" t="str">
        <f>IF(COUNTIF('R6追加前'!A:A,B292)=0,IF(I292="PremiumSS","R5only","R3less"),"")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IFERROR(VLOOKUP(B292,input_settle_7008100!L:R,7,FALSE),VLOOKUP(tables_settle_7008100!C292,input_settle_7008100!A:H,8,FALSE))</f>
        <v>9480</v>
      </c>
      <c r="P292" s="45">
        <f t="shared" ca="1" si="14"/>
        <v>6.1224489795918364E-4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input_settle_7008100!A$2</f>
        <v>7008100</v>
      </c>
      <c r="B293" s="5">
        <v>1014</v>
      </c>
      <c r="C293" s="7" t="str">
        <f t="shared" si="23"/>
        <v>PremiumSS5R5only</v>
      </c>
      <c r="D293" s="7" t="str">
        <f t="shared" si="24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IFERROR(VLOOKUP(B293,input_settle_7008100!L:R,7,FALSE),VLOOKUP(tables_settle_7008100!C293,input_settle_7008100!A:H,8,FALSE))</f>
        <v>9480</v>
      </c>
      <c r="P293" s="45">
        <f t="shared" ca="1" si="14"/>
        <v>6.1224489795918364E-4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input_settle_7008100!A$2</f>
        <v>7008100</v>
      </c>
      <c r="B294" s="5">
        <v>1016</v>
      </c>
      <c r="C294" s="7" t="str">
        <f t="shared" si="23"/>
        <v>Premium4R3less</v>
      </c>
      <c r="D294" s="7" t="str">
        <f t="shared" si="24"/>
        <v>Premium</v>
      </c>
      <c r="E294" s="7" t="str">
        <f>IF(COUNTIF('R6追加前'!A:A,B294)=0,IF(I294="PremiumSS","R5only","R3less"),"")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IFERROR(VLOOKUP(B294,input_settle_7008100!L:R,7,FALSE),VLOOKUP(tables_settle_7008100!C294,input_settle_7008100!A:H,8,FALSE))</f>
        <v>0</v>
      </c>
      <c r="P294" s="45">
        <f t="shared" ca="1" si="14"/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input_settle_7008100!A$2</f>
        <v>7008100</v>
      </c>
      <c r="B295" s="5">
        <v>1017</v>
      </c>
      <c r="C295" s="7" t="str">
        <f t="shared" si="23"/>
        <v>Premium5R3less</v>
      </c>
      <c r="D295" s="7" t="str">
        <f t="shared" si="24"/>
        <v>Premium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IFERROR(VLOOKUP(B295,input_settle_7008100!L:R,7,FALSE),VLOOKUP(tables_settle_7008100!C295,input_settle_7008100!A:H,8,FALSE))</f>
        <v>513324</v>
      </c>
      <c r="P295" s="45">
        <f t="shared" ca="1" si="14"/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input_settle_7008100!A$2</f>
        <v>7008100</v>
      </c>
      <c r="B296" s="5">
        <v>1018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IFERROR(VLOOKUP(B296,input_settle_7008100!L:R,7,FALSE),VLOOKUP(tables_settle_7008100!C296,input_settle_7008100!A:H,8,FALSE))</f>
        <v>9480</v>
      </c>
      <c r="P296" s="45">
        <f t="shared" ca="1" si="14"/>
        <v>6.1224489795918364E-4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input_settle_7008100!A$2</f>
        <v>7008100</v>
      </c>
      <c r="B297" s="5">
        <v>1028</v>
      </c>
      <c r="C297" s="7" t="str">
        <f t="shared" ref="C297:C299" si="25">D297&amp;J297&amp;E297&amp;F297&amp;G297</f>
        <v>PremiumSS5R5only</v>
      </c>
      <c r="D297" s="7" t="str">
        <f t="shared" ref="D297:D299" si="26">IF(I297="PremiumSS",I297,IF(I297="PremiumSSS",I297,IF(I297="PremiumW",I297,"Premium")))</f>
        <v>PremiumSS</v>
      </c>
      <c r="E297" s="7" t="str">
        <f>IF(COUNTIF('R6追加前'!A:A,B297)=0,IF(I297="PremiumSS","R5only","R3less"),"")</f>
        <v>R5only</v>
      </c>
      <c r="F297" s="7" t="str">
        <f>IF(COUNTIF('R6開放'!A:A,B297)&gt;0,"R6release","")</f>
        <v/>
      </c>
      <c r="G297" s="7"/>
      <c r="H297" s="7" t="str">
        <f>VLOOKUP(B297,[1]characters!$A:$C,3,FALSE)</f>
        <v>牛若丸</v>
      </c>
      <c r="I297" s="7" t="str">
        <f>VLOOKUP(B297,[1]characters!$A:$J,10,FALSE)</f>
        <v>PremiumSS</v>
      </c>
      <c r="J297" s="7">
        <f>VLOOKUP(B297,[1]characters!$A:$I,9,FALSE)</f>
        <v>5</v>
      </c>
      <c r="K297" s="7" t="str">
        <f>VLOOKUP(B297,[1]characters!$A:$H,8,FALSE)</f>
        <v>green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4">
        <f ca="1">IFERROR(VLOOKUP(B297,input_settle_7008100!L:R,7,FALSE),VLOOKUP(tables_settle_7008100!C297,input_settle_7008100!A:H,8,FALSE))</f>
        <v>9480</v>
      </c>
      <c r="P297" s="45">
        <f t="shared" ca="1" si="14"/>
        <v>6.1224489795918364E-4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input_settle_7008100!A$2</f>
        <v>7008100</v>
      </c>
      <c r="B298" s="5">
        <v>1031</v>
      </c>
      <c r="C298" s="7" t="str">
        <f t="shared" si="25"/>
        <v>PremiumSS5R5only</v>
      </c>
      <c r="D298" s="7" t="str">
        <f t="shared" si="26"/>
        <v>PremiumSS</v>
      </c>
      <c r="E298" s="7" t="str">
        <f>IF(COUNTIF('R6追加前'!A:A,B298)=0,IF(I298="PremiumSS","R5only","R3less"),"")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紫式部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technical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4">
        <f ca="1">IFERROR(VLOOKUP(B298,input_settle_7008100!L:R,7,FALSE),VLOOKUP(tables_settle_7008100!C298,input_settle_7008100!A:H,8,FALSE))</f>
        <v>9480</v>
      </c>
      <c r="P298" s="45">
        <f t="shared" ca="1" si="14"/>
        <v>6.1224489795918364E-4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input_settle_7008100!A$2</f>
        <v>7008100</v>
      </c>
      <c r="B299" s="5">
        <v>1033</v>
      </c>
      <c r="C299" s="7" t="str">
        <f t="shared" si="25"/>
        <v>PremiumSS5R5only</v>
      </c>
      <c r="D299" s="7" t="str">
        <f t="shared" si="26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清少納言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heal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4">
        <f ca="1">IFERROR(VLOOKUP(B299,input_settle_7008100!L:R,7,FALSE),VLOOKUP(tables_settle_7008100!C299,input_settle_7008100!A:H,8,FALSE))</f>
        <v>9480</v>
      </c>
      <c r="P299" s="45">
        <f t="shared" ca="1" si="14"/>
        <v>6.1224489795918364E-4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input_settle_7008100</vt:lpstr>
      <vt:lpstr>tables_settle_7008100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2016-08-18T13:22:39Z</dcterms:modified>
</cp:coreProperties>
</file>