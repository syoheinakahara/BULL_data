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600" windowWidth="38400" windowHeight="21600" tabRatio="943" activeTab="2"/>
  </bookViews>
  <sheets>
    <sheet name="確率の考え方" sheetId="110" r:id="rId1"/>
    <sheet name="Sheet1" sheetId="107" r:id="rId2"/>
    <sheet name="output" sheetId="103" r:id="rId3"/>
    <sheet name="input_7324" sheetId="157" r:id="rId4"/>
    <sheet name="tables_7324" sheetId="158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4" hidden="1">tables_7324!$A$1:$V$355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8" l="1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6" i="157"/>
  <c r="B26" i="157"/>
  <c r="E23" i="157"/>
  <c r="B23" i="157"/>
  <c r="A2" i="158"/>
  <c r="A3" i="158"/>
  <c r="A4" i="158"/>
  <c r="A5" i="158"/>
  <c r="A6" i="158"/>
  <c r="A7" i="158"/>
  <c r="A8" i="158"/>
  <c r="A9" i="158"/>
  <c r="A10" i="158"/>
  <c r="A11" i="158"/>
  <c r="A12" i="158"/>
  <c r="A13" i="158"/>
  <c r="A14" i="158"/>
  <c r="A15" i="158"/>
  <c r="A16" i="158"/>
  <c r="A17" i="158"/>
  <c r="A18" i="158"/>
  <c r="A19" i="158"/>
  <c r="A20" i="158"/>
  <c r="A21" i="158"/>
  <c r="A22" i="158"/>
  <c r="A23" i="158"/>
  <c r="A24" i="158"/>
  <c r="A25" i="158"/>
  <c r="A26" i="158"/>
  <c r="A27" i="158"/>
  <c r="A28" i="158"/>
  <c r="A29" i="158"/>
  <c r="A30" i="158"/>
  <c r="A31" i="158"/>
  <c r="A32" i="158"/>
  <c r="A33" i="158"/>
  <c r="A34" i="158"/>
  <c r="A35" i="158"/>
  <c r="A36" i="158"/>
  <c r="A37" i="158"/>
  <c r="A38" i="158"/>
  <c r="A39" i="158"/>
  <c r="A40" i="158"/>
  <c r="A41" i="158"/>
  <c r="A42" i="158"/>
  <c r="A43" i="158"/>
  <c r="A44" i="158"/>
  <c r="A45" i="158"/>
  <c r="A46" i="158"/>
  <c r="A47" i="158"/>
  <c r="A48" i="158"/>
  <c r="A49" i="158"/>
  <c r="A50" i="158"/>
  <c r="A51" i="158"/>
  <c r="A52" i="158"/>
  <c r="A53" i="158"/>
  <c r="A54" i="158"/>
  <c r="A55" i="158"/>
  <c r="A56" i="158"/>
  <c r="A57" i="158"/>
  <c r="A58" i="158"/>
  <c r="A59" i="158"/>
  <c r="A60" i="158"/>
  <c r="A61" i="158"/>
  <c r="A62" i="158"/>
  <c r="A63" i="158"/>
  <c r="A64" i="158"/>
  <c r="A65" i="158"/>
  <c r="A66" i="158"/>
  <c r="A67" i="158"/>
  <c r="A68" i="158"/>
  <c r="A69" i="158"/>
  <c r="A70" i="158"/>
  <c r="A71" i="158"/>
  <c r="A72" i="158"/>
  <c r="A73" i="158"/>
  <c r="A74" i="158"/>
  <c r="A75" i="158"/>
  <c r="A76" i="158"/>
  <c r="A77" i="158"/>
  <c r="A78" i="158"/>
  <c r="A79" i="158"/>
  <c r="A80" i="158"/>
  <c r="A81" i="158"/>
  <c r="A82" i="158"/>
  <c r="A83" i="158"/>
  <c r="A84" i="158"/>
  <c r="A85" i="158"/>
  <c r="A86" i="158"/>
  <c r="A87" i="158"/>
  <c r="A88" i="158"/>
  <c r="A89" i="158"/>
  <c r="A90" i="158"/>
  <c r="A91" i="158"/>
  <c r="A92" i="158"/>
  <c r="A93" i="158"/>
  <c r="A94" i="158"/>
  <c r="A95" i="158"/>
  <c r="A96" i="158"/>
  <c r="A97" i="158"/>
  <c r="A98" i="158"/>
  <c r="A99" i="158"/>
  <c r="A100" i="158"/>
  <c r="A101" i="158"/>
  <c r="A102" i="158"/>
  <c r="A103" i="158"/>
  <c r="A104" i="158"/>
  <c r="A105" i="158"/>
  <c r="A106" i="158"/>
  <c r="A107" i="158"/>
  <c r="A108" i="158"/>
  <c r="A109" i="158"/>
  <c r="A110" i="158"/>
  <c r="A111" i="158"/>
  <c r="A112" i="158"/>
  <c r="A113" i="158"/>
  <c r="A114" i="158"/>
  <c r="A115" i="158"/>
  <c r="A116" i="158"/>
  <c r="A117" i="158"/>
  <c r="A118" i="158"/>
  <c r="A119" i="158"/>
  <c r="A120" i="158"/>
  <c r="A121" i="158"/>
  <c r="A122" i="158"/>
  <c r="A123" i="158"/>
  <c r="A124" i="158"/>
  <c r="A125" i="158"/>
  <c r="A126" i="158"/>
  <c r="A127" i="158"/>
  <c r="A128" i="158"/>
  <c r="A129" i="158"/>
  <c r="A130" i="158"/>
  <c r="A131" i="158"/>
  <c r="A132" i="158"/>
  <c r="A133" i="158"/>
  <c r="A134" i="158"/>
  <c r="A135" i="158"/>
  <c r="A136" i="158"/>
  <c r="A137" i="158"/>
  <c r="A138" i="158"/>
  <c r="A139" i="158"/>
  <c r="A140" i="158"/>
  <c r="A141" i="158"/>
  <c r="A142" i="158"/>
  <c r="A143" i="158"/>
  <c r="A144" i="158"/>
  <c r="A145" i="158"/>
  <c r="A146" i="158"/>
  <c r="A147" i="158"/>
  <c r="A148" i="158"/>
  <c r="A149" i="158"/>
  <c r="A150" i="158"/>
  <c r="A151" i="158"/>
  <c r="A152" i="158"/>
  <c r="A153" i="158"/>
  <c r="A154" i="158"/>
  <c r="A155" i="158"/>
  <c r="A156" i="158"/>
  <c r="A157" i="158"/>
  <c r="A158" i="158"/>
  <c r="A159" i="158"/>
  <c r="A160" i="158"/>
  <c r="A161" i="158"/>
  <c r="A162" i="158"/>
  <c r="A163" i="158"/>
  <c r="A164" i="158"/>
  <c r="A165" i="158"/>
  <c r="A166" i="158"/>
  <c r="A167" i="158"/>
  <c r="A168" i="158"/>
  <c r="A169" i="158"/>
  <c r="A170" i="158"/>
  <c r="A171" i="158"/>
  <c r="A172" i="158"/>
  <c r="A173" i="158"/>
  <c r="A174" i="158"/>
  <c r="A175" i="158"/>
  <c r="A176" i="158"/>
  <c r="A177" i="158"/>
  <c r="A178" i="158"/>
  <c r="A179" i="158"/>
  <c r="A180" i="158"/>
  <c r="A181" i="158"/>
  <c r="A182" i="158"/>
  <c r="A183" i="158"/>
  <c r="A184" i="158"/>
  <c r="A185" i="158"/>
  <c r="A186" i="158"/>
  <c r="A187" i="158"/>
  <c r="A188" i="158"/>
  <c r="A189" i="158"/>
  <c r="A190" i="158"/>
  <c r="A191" i="158"/>
  <c r="A192" i="158"/>
  <c r="A193" i="158"/>
  <c r="A194" i="158"/>
  <c r="A195" i="158"/>
  <c r="A196" i="158"/>
  <c r="A197" i="158"/>
  <c r="A198" i="158"/>
  <c r="A199" i="158"/>
  <c r="A200" i="158"/>
  <c r="A201" i="158"/>
  <c r="A202" i="158"/>
  <c r="A203" i="158"/>
  <c r="A204" i="158"/>
  <c r="A205" i="158"/>
  <c r="A206" i="158"/>
  <c r="A207" i="158"/>
  <c r="A208" i="158"/>
  <c r="A209" i="158"/>
  <c r="A210" i="158"/>
  <c r="A211" i="158"/>
  <c r="A212" i="158"/>
  <c r="A213" i="158"/>
  <c r="A214" i="158"/>
  <c r="A215" i="158"/>
  <c r="A216" i="158"/>
  <c r="A217" i="158"/>
  <c r="A218" i="158"/>
  <c r="A219" i="158"/>
  <c r="A220" i="158"/>
  <c r="A221" i="158"/>
  <c r="A222" i="158"/>
  <c r="A223" i="158"/>
  <c r="A224" i="158"/>
  <c r="A225" i="158"/>
  <c r="A226" i="158"/>
  <c r="A227" i="158"/>
  <c r="A228" i="158"/>
  <c r="A229" i="158"/>
  <c r="A230" i="158"/>
  <c r="A231" i="158"/>
  <c r="A232" i="158"/>
  <c r="A233" i="158"/>
  <c r="A234" i="158"/>
  <c r="A235" i="158"/>
  <c r="A236" i="158"/>
  <c r="A237" i="158"/>
  <c r="A238" i="158"/>
  <c r="A239" i="158"/>
  <c r="A240" i="158"/>
  <c r="A241" i="158"/>
  <c r="A242" i="158"/>
  <c r="A243" i="158"/>
  <c r="A244" i="158"/>
  <c r="A245" i="158"/>
  <c r="A246" i="158"/>
  <c r="A247" i="158"/>
  <c r="A248" i="158"/>
  <c r="A249" i="158"/>
  <c r="A250" i="158"/>
  <c r="A251" i="158"/>
  <c r="A252" i="158"/>
  <c r="A253" i="158"/>
  <c r="A254" i="158"/>
  <c r="A255" i="158"/>
  <c r="A256" i="158"/>
  <c r="A257" i="158"/>
  <c r="A258" i="158"/>
  <c r="A259" i="158"/>
  <c r="A260" i="158"/>
  <c r="A261" i="158"/>
  <c r="A262" i="158"/>
  <c r="A263" i="158"/>
  <c r="A264" i="158"/>
  <c r="A265" i="158"/>
  <c r="A266" i="158"/>
  <c r="A267" i="158"/>
  <c r="A268" i="158"/>
  <c r="A269" i="158"/>
  <c r="A270" i="158"/>
  <c r="A271" i="158"/>
  <c r="A272" i="158"/>
  <c r="A273" i="158"/>
  <c r="A274" i="158"/>
  <c r="A275" i="158"/>
  <c r="A276" i="158"/>
  <c r="A277" i="158"/>
  <c r="A278" i="158"/>
  <c r="A279" i="158"/>
  <c r="A280" i="158"/>
  <c r="A281" i="158"/>
  <c r="A282" i="158"/>
  <c r="A283" i="158"/>
  <c r="A284" i="158"/>
  <c r="A285" i="158"/>
  <c r="A286" i="158"/>
  <c r="A287" i="158"/>
  <c r="A288" i="158"/>
  <c r="A289" i="158"/>
  <c r="A290" i="158"/>
  <c r="A291" i="158"/>
  <c r="A292" i="158"/>
  <c r="A293" i="158"/>
  <c r="A294" i="158"/>
  <c r="A295" i="158"/>
  <c r="A296" i="158"/>
  <c r="A297" i="158"/>
  <c r="A298" i="158"/>
  <c r="A299" i="158"/>
  <c r="A300" i="158"/>
  <c r="A301" i="158"/>
  <c r="A302" i="158"/>
  <c r="A303" i="158"/>
  <c r="A304" i="158"/>
  <c r="A305" i="158"/>
  <c r="A306" i="158"/>
  <c r="A307" i="158"/>
  <c r="A308" i="158"/>
  <c r="A309" i="158"/>
  <c r="A310" i="158"/>
  <c r="A311" i="158"/>
  <c r="A312" i="158"/>
  <c r="A313" i="158"/>
  <c r="A314" i="158"/>
  <c r="A315" i="158"/>
  <c r="A316" i="158"/>
  <c r="A317" i="158"/>
  <c r="A318" i="158"/>
  <c r="A319" i="158"/>
  <c r="A320" i="158"/>
  <c r="A321" i="158"/>
  <c r="A322" i="158"/>
  <c r="A323" i="158"/>
  <c r="A324" i="158"/>
  <c r="A325" i="158"/>
  <c r="A326" i="158"/>
  <c r="A327" i="158"/>
  <c r="A328" i="158"/>
  <c r="A329" i="158"/>
  <c r="A330" i="158"/>
  <c r="A331" i="158"/>
  <c r="A332" i="158"/>
  <c r="A333" i="158"/>
  <c r="A334" i="158"/>
  <c r="A335" i="158"/>
  <c r="A336" i="158"/>
  <c r="A337" i="158"/>
  <c r="A338" i="158"/>
  <c r="A339" i="158"/>
  <c r="A340" i="158"/>
  <c r="A341" i="158"/>
  <c r="A342" i="158"/>
  <c r="A343" i="158"/>
  <c r="A344" i="158"/>
  <c r="A345" i="158"/>
  <c r="A346" i="158"/>
  <c r="A347" i="158"/>
  <c r="A348" i="158"/>
  <c r="A349" i="158"/>
  <c r="A350" i="158"/>
  <c r="A351" i="158"/>
  <c r="A352" i="158"/>
  <c r="A353" i="158"/>
  <c r="A354" i="158"/>
  <c r="A355" i="158"/>
  <c r="E3" i="103"/>
  <c r="E2" i="103"/>
  <c r="B10" i="157"/>
  <c r="E20" i="157"/>
  <c r="E22" i="157"/>
  <c r="E25" i="157"/>
  <c r="B25" i="157"/>
  <c r="F5" i="157"/>
  <c r="E5" i="157"/>
  <c r="E27" i="157"/>
  <c r="B27" i="157"/>
  <c r="E19" i="157"/>
  <c r="B19" i="157"/>
  <c r="E24" i="157"/>
  <c r="B24" i="157"/>
  <c r="B17" i="157"/>
  <c r="B30" i="157"/>
  <c r="H355" i="158"/>
  <c r="K355" i="158"/>
  <c r="L355" i="158"/>
  <c r="M355" i="158"/>
  <c r="N355" i="158"/>
  <c r="A36" i="157"/>
  <c r="G23" i="157"/>
  <c r="H23" i="157"/>
  <c r="O355" i="158"/>
  <c r="G17" i="157"/>
  <c r="E17" i="157"/>
  <c r="H17" i="157"/>
  <c r="O2" i="158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P355" i="158"/>
  <c r="H351" i="158"/>
  <c r="K351" i="158"/>
  <c r="L351" i="158"/>
  <c r="M351" i="158"/>
  <c r="N351" i="158"/>
  <c r="P351" i="158"/>
  <c r="H352" i="158"/>
  <c r="K352" i="158"/>
  <c r="L352" i="158"/>
  <c r="M352" i="158"/>
  <c r="N352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H350" i="158"/>
  <c r="K350" i="158"/>
  <c r="L350" i="158"/>
  <c r="M350" i="158"/>
  <c r="N350" i="158"/>
  <c r="P350" i="158"/>
  <c r="H346" i="158"/>
  <c r="K346" i="158"/>
  <c r="L346" i="158"/>
  <c r="M346" i="158"/>
  <c r="N346" i="158"/>
  <c r="P346" i="158"/>
  <c r="H347" i="158"/>
  <c r="K347" i="158"/>
  <c r="L347" i="158"/>
  <c r="M347" i="158"/>
  <c r="N347" i="158"/>
  <c r="P347" i="158"/>
  <c r="H348" i="158"/>
  <c r="K348" i="158"/>
  <c r="L348" i="158"/>
  <c r="M348" i="158"/>
  <c r="N348" i="158"/>
  <c r="P348" i="158"/>
  <c r="H349" i="158"/>
  <c r="K349" i="158"/>
  <c r="L349" i="158"/>
  <c r="M349" i="158"/>
  <c r="N349" i="158"/>
  <c r="P349" i="158"/>
  <c r="H342" i="158"/>
  <c r="K342" i="158"/>
  <c r="L342" i="158"/>
  <c r="M342" i="158"/>
  <c r="N342" i="158"/>
  <c r="P342" i="158"/>
  <c r="H343" i="158"/>
  <c r="K343" i="158"/>
  <c r="L343" i="158"/>
  <c r="M343" i="158"/>
  <c r="N343" i="158"/>
  <c r="P343" i="158"/>
  <c r="H344" i="158"/>
  <c r="K344" i="158"/>
  <c r="L344" i="158"/>
  <c r="M344" i="158"/>
  <c r="N344" i="158"/>
  <c r="P344" i="158"/>
  <c r="H345" i="158"/>
  <c r="K345" i="158"/>
  <c r="L345" i="158"/>
  <c r="M345" i="158"/>
  <c r="N345" i="158"/>
  <c r="P345" i="158"/>
  <c r="H341" i="158"/>
  <c r="K341" i="158"/>
  <c r="L341" i="158"/>
  <c r="M341" i="158"/>
  <c r="N341" i="158"/>
  <c r="P341" i="158"/>
  <c r="H336" i="158"/>
  <c r="K336" i="158"/>
  <c r="L336" i="158"/>
  <c r="M336" i="158"/>
  <c r="N336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F41" i="157"/>
  <c r="G41" i="157"/>
  <c r="R3" i="157"/>
  <c r="R4" i="157"/>
  <c r="R5" i="157"/>
  <c r="R6" i="157"/>
  <c r="R7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H305" i="158"/>
  <c r="K305" i="158"/>
  <c r="L305" i="158"/>
  <c r="M305" i="158"/>
  <c r="N305" i="158"/>
  <c r="H306" i="158"/>
  <c r="K306" i="158"/>
  <c r="L306" i="158"/>
  <c r="M306" i="158"/>
  <c r="N306" i="158"/>
  <c r="H307" i="158"/>
  <c r="K307" i="158"/>
  <c r="L307" i="158"/>
  <c r="M307" i="158"/>
  <c r="N307" i="158"/>
  <c r="H308" i="158"/>
  <c r="K308" i="158"/>
  <c r="L308" i="158"/>
  <c r="M308" i="158"/>
  <c r="N308" i="158"/>
  <c r="H309" i="158"/>
  <c r="K309" i="158"/>
  <c r="L309" i="158"/>
  <c r="M309" i="158"/>
  <c r="N309" i="158"/>
  <c r="H300" i="158"/>
  <c r="K300" i="158"/>
  <c r="L300" i="158"/>
  <c r="M300" i="158"/>
  <c r="N300" i="158"/>
  <c r="H301" i="158"/>
  <c r="K301" i="158"/>
  <c r="L301" i="158"/>
  <c r="M301" i="158"/>
  <c r="N301" i="158"/>
  <c r="H302" i="158"/>
  <c r="K302" i="158"/>
  <c r="L302" i="158"/>
  <c r="M302" i="158"/>
  <c r="N302" i="158"/>
  <c r="H303" i="158"/>
  <c r="K303" i="158"/>
  <c r="L303" i="158"/>
  <c r="M303" i="158"/>
  <c r="N303" i="158"/>
  <c r="H304" i="158"/>
  <c r="K304" i="158"/>
  <c r="L304" i="158"/>
  <c r="M304" i="158"/>
  <c r="N304" i="158"/>
  <c r="H295" i="158"/>
  <c r="K295" i="158"/>
  <c r="L295" i="158"/>
  <c r="M295" i="158"/>
  <c r="N295" i="158"/>
  <c r="H296" i="158"/>
  <c r="K296" i="158"/>
  <c r="L296" i="158"/>
  <c r="M296" i="158"/>
  <c r="N296" i="158"/>
  <c r="H297" i="158"/>
  <c r="K297" i="158"/>
  <c r="L297" i="158"/>
  <c r="M297" i="158"/>
  <c r="N297" i="158"/>
  <c r="H298" i="158"/>
  <c r="K298" i="158"/>
  <c r="L298" i="158"/>
  <c r="M298" i="158"/>
  <c r="N298" i="158"/>
  <c r="H299" i="158"/>
  <c r="K299" i="158"/>
  <c r="L299" i="158"/>
  <c r="M299" i="158"/>
  <c r="N299" i="158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H285" i="158"/>
  <c r="K285" i="158"/>
  <c r="L285" i="158"/>
  <c r="M285" i="158"/>
  <c r="N285" i="158"/>
  <c r="H286" i="158"/>
  <c r="K286" i="158"/>
  <c r="L286" i="158"/>
  <c r="M286" i="158"/>
  <c r="N286" i="158"/>
  <c r="H287" i="158"/>
  <c r="K287" i="158"/>
  <c r="L287" i="158"/>
  <c r="M287" i="158"/>
  <c r="N287" i="158"/>
  <c r="H288" i="158"/>
  <c r="K288" i="158"/>
  <c r="L288" i="158"/>
  <c r="M288" i="158"/>
  <c r="N288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N283" i="158"/>
  <c r="M283" i="158"/>
  <c r="L283" i="158"/>
  <c r="K283" i="158"/>
  <c r="H283" i="158"/>
  <c r="N282" i="158"/>
  <c r="M282" i="158"/>
  <c r="L282" i="158"/>
  <c r="K282" i="158"/>
  <c r="H282" i="158"/>
  <c r="N281" i="158"/>
  <c r="M281" i="158"/>
  <c r="L281" i="158"/>
  <c r="K281" i="158"/>
  <c r="H281" i="158"/>
  <c r="N280" i="158"/>
  <c r="M280" i="158"/>
  <c r="L280" i="158"/>
  <c r="K280" i="158"/>
  <c r="H280" i="158"/>
  <c r="N279" i="158"/>
  <c r="M279" i="158"/>
  <c r="L279" i="158"/>
  <c r="K279" i="158"/>
  <c r="H279" i="158"/>
  <c r="N278" i="158"/>
  <c r="M278" i="158"/>
  <c r="L278" i="158"/>
  <c r="K278" i="158"/>
  <c r="H278" i="158"/>
  <c r="N277" i="158"/>
  <c r="M277" i="158"/>
  <c r="L277" i="158"/>
  <c r="K277" i="158"/>
  <c r="H277" i="158"/>
  <c r="N276" i="158"/>
  <c r="M276" i="158"/>
  <c r="L276" i="158"/>
  <c r="K276" i="158"/>
  <c r="H276" i="158"/>
  <c r="N275" i="158"/>
  <c r="M275" i="158"/>
  <c r="L275" i="158"/>
  <c r="K275" i="158"/>
  <c r="H275" i="158"/>
  <c r="N274" i="158"/>
  <c r="M274" i="158"/>
  <c r="L274" i="158"/>
  <c r="K274" i="158"/>
  <c r="H274" i="158"/>
  <c r="N273" i="158"/>
  <c r="M273" i="158"/>
  <c r="L273" i="158"/>
  <c r="K273" i="158"/>
  <c r="H273" i="158"/>
  <c r="N272" i="158"/>
  <c r="M272" i="158"/>
  <c r="L272" i="158"/>
  <c r="K272" i="158"/>
  <c r="H272" i="158"/>
  <c r="N271" i="158"/>
  <c r="M271" i="158"/>
  <c r="L271" i="158"/>
  <c r="K271" i="158"/>
  <c r="H271" i="158"/>
  <c r="N270" i="158"/>
  <c r="M270" i="158"/>
  <c r="L270" i="158"/>
  <c r="K270" i="158"/>
  <c r="H270" i="158"/>
  <c r="N269" i="158"/>
  <c r="M269" i="158"/>
  <c r="L269" i="158"/>
  <c r="K269" i="158"/>
  <c r="H269" i="158"/>
  <c r="N268" i="158"/>
  <c r="M268" i="158"/>
  <c r="L268" i="158"/>
  <c r="K268" i="158"/>
  <c r="H268" i="158"/>
  <c r="N267" i="158"/>
  <c r="M267" i="158"/>
  <c r="L267" i="158"/>
  <c r="K267" i="158"/>
  <c r="H267" i="158"/>
  <c r="N266" i="158"/>
  <c r="M266" i="158"/>
  <c r="L266" i="158"/>
  <c r="K266" i="158"/>
  <c r="H266" i="158"/>
  <c r="N265" i="158"/>
  <c r="M265" i="158"/>
  <c r="L265" i="158"/>
  <c r="K265" i="158"/>
  <c r="H265" i="158"/>
  <c r="N264" i="158"/>
  <c r="M264" i="158"/>
  <c r="L264" i="158"/>
  <c r="K264" i="158"/>
  <c r="H264" i="158"/>
  <c r="N263" i="158"/>
  <c r="M263" i="158"/>
  <c r="L263" i="158"/>
  <c r="K263" i="158"/>
  <c r="H263" i="158"/>
  <c r="N262" i="158"/>
  <c r="M262" i="158"/>
  <c r="L262" i="158"/>
  <c r="K262" i="158"/>
  <c r="H262" i="158"/>
  <c r="N261" i="158"/>
  <c r="M261" i="158"/>
  <c r="L261" i="158"/>
  <c r="K261" i="158"/>
  <c r="H261" i="158"/>
  <c r="N260" i="158"/>
  <c r="M260" i="158"/>
  <c r="L260" i="158"/>
  <c r="K260" i="158"/>
  <c r="H260" i="158"/>
  <c r="N259" i="158"/>
  <c r="M259" i="158"/>
  <c r="L259" i="158"/>
  <c r="K259" i="158"/>
  <c r="H259" i="158"/>
  <c r="N258" i="158"/>
  <c r="M258" i="158"/>
  <c r="L258" i="158"/>
  <c r="K258" i="158"/>
  <c r="H258" i="158"/>
  <c r="N257" i="158"/>
  <c r="M257" i="158"/>
  <c r="L257" i="158"/>
  <c r="K257" i="158"/>
  <c r="H257" i="158"/>
  <c r="N256" i="158"/>
  <c r="M256" i="158"/>
  <c r="L256" i="158"/>
  <c r="K256" i="158"/>
  <c r="H256" i="158"/>
  <c r="N255" i="158"/>
  <c r="M255" i="158"/>
  <c r="L255" i="158"/>
  <c r="K255" i="158"/>
  <c r="H255" i="158"/>
  <c r="N254" i="158"/>
  <c r="M254" i="158"/>
  <c r="L254" i="158"/>
  <c r="K254" i="158"/>
  <c r="H254" i="158"/>
  <c r="N253" i="158"/>
  <c r="M253" i="158"/>
  <c r="L253" i="158"/>
  <c r="K253" i="158"/>
  <c r="H253" i="158"/>
  <c r="N252" i="158"/>
  <c r="M252" i="158"/>
  <c r="L252" i="158"/>
  <c r="K252" i="158"/>
  <c r="H252" i="158"/>
  <c r="N251" i="158"/>
  <c r="M251" i="158"/>
  <c r="L251" i="158"/>
  <c r="K251" i="158"/>
  <c r="H251" i="158"/>
  <c r="N250" i="158"/>
  <c r="M250" i="158"/>
  <c r="L250" i="158"/>
  <c r="K250" i="158"/>
  <c r="H250" i="158"/>
  <c r="N249" i="158"/>
  <c r="M249" i="158"/>
  <c r="L249" i="158"/>
  <c r="K249" i="158"/>
  <c r="H249" i="158"/>
  <c r="N248" i="158"/>
  <c r="M248" i="158"/>
  <c r="L248" i="158"/>
  <c r="K248" i="158"/>
  <c r="H248" i="158"/>
  <c r="N247" i="158"/>
  <c r="M247" i="158"/>
  <c r="L247" i="158"/>
  <c r="K247" i="158"/>
  <c r="H247" i="158"/>
  <c r="N246" i="158"/>
  <c r="M246" i="158"/>
  <c r="L246" i="158"/>
  <c r="K246" i="158"/>
  <c r="H246" i="158"/>
  <c r="N245" i="158"/>
  <c r="M245" i="158"/>
  <c r="L245" i="158"/>
  <c r="K245" i="158"/>
  <c r="H245" i="158"/>
  <c r="N244" i="158"/>
  <c r="M244" i="158"/>
  <c r="L244" i="158"/>
  <c r="K244" i="158"/>
  <c r="H244" i="158"/>
  <c r="N243" i="158"/>
  <c r="M243" i="158"/>
  <c r="L243" i="158"/>
  <c r="K243" i="158"/>
  <c r="H243" i="158"/>
  <c r="N242" i="158"/>
  <c r="M242" i="158"/>
  <c r="L242" i="158"/>
  <c r="K242" i="158"/>
  <c r="H242" i="158"/>
  <c r="N241" i="158"/>
  <c r="M241" i="158"/>
  <c r="L241" i="158"/>
  <c r="K241" i="158"/>
  <c r="H241" i="158"/>
  <c r="N240" i="158"/>
  <c r="M240" i="158"/>
  <c r="L240" i="158"/>
  <c r="K240" i="158"/>
  <c r="H240" i="158"/>
  <c r="N239" i="158"/>
  <c r="M239" i="158"/>
  <c r="L239" i="158"/>
  <c r="K239" i="158"/>
  <c r="H239" i="158"/>
  <c r="N238" i="158"/>
  <c r="M238" i="158"/>
  <c r="L238" i="158"/>
  <c r="K238" i="158"/>
  <c r="H238" i="158"/>
  <c r="N237" i="158"/>
  <c r="M237" i="158"/>
  <c r="L237" i="158"/>
  <c r="K237" i="158"/>
  <c r="H237" i="158"/>
  <c r="N236" i="158"/>
  <c r="M236" i="158"/>
  <c r="L236" i="158"/>
  <c r="K236" i="158"/>
  <c r="H236" i="158"/>
  <c r="N235" i="158"/>
  <c r="M235" i="158"/>
  <c r="L235" i="158"/>
  <c r="K235" i="158"/>
  <c r="H235" i="158"/>
  <c r="N234" i="158"/>
  <c r="M234" i="158"/>
  <c r="L234" i="158"/>
  <c r="K234" i="158"/>
  <c r="H234" i="158"/>
  <c r="N233" i="158"/>
  <c r="M233" i="158"/>
  <c r="L233" i="158"/>
  <c r="K233" i="158"/>
  <c r="H233" i="158"/>
  <c r="N232" i="158"/>
  <c r="M232" i="158"/>
  <c r="L232" i="158"/>
  <c r="K232" i="158"/>
  <c r="H232" i="158"/>
  <c r="N231" i="158"/>
  <c r="M231" i="158"/>
  <c r="L231" i="158"/>
  <c r="K231" i="158"/>
  <c r="H231" i="158"/>
  <c r="N230" i="158"/>
  <c r="M230" i="158"/>
  <c r="L230" i="158"/>
  <c r="K230" i="158"/>
  <c r="H230" i="158"/>
  <c r="N229" i="158"/>
  <c r="M229" i="158"/>
  <c r="L229" i="158"/>
  <c r="K229" i="158"/>
  <c r="H229" i="158"/>
  <c r="N228" i="158"/>
  <c r="M228" i="158"/>
  <c r="L228" i="158"/>
  <c r="K228" i="158"/>
  <c r="H228" i="158"/>
  <c r="N227" i="158"/>
  <c r="M227" i="158"/>
  <c r="L227" i="158"/>
  <c r="K227" i="158"/>
  <c r="H227" i="158"/>
  <c r="N226" i="158"/>
  <c r="M226" i="158"/>
  <c r="L226" i="158"/>
  <c r="K226" i="158"/>
  <c r="H226" i="158"/>
  <c r="N225" i="158"/>
  <c r="M225" i="158"/>
  <c r="L225" i="158"/>
  <c r="K225" i="158"/>
  <c r="H225" i="158"/>
  <c r="N224" i="158"/>
  <c r="M224" i="158"/>
  <c r="L224" i="158"/>
  <c r="K224" i="158"/>
  <c r="H224" i="158"/>
  <c r="N223" i="158"/>
  <c r="M223" i="158"/>
  <c r="L223" i="158"/>
  <c r="K223" i="158"/>
  <c r="H223" i="158"/>
  <c r="N222" i="158"/>
  <c r="M222" i="158"/>
  <c r="L222" i="158"/>
  <c r="K222" i="158"/>
  <c r="H222" i="158"/>
  <c r="N221" i="158"/>
  <c r="M221" i="158"/>
  <c r="L221" i="158"/>
  <c r="K221" i="158"/>
  <c r="H221" i="158"/>
  <c r="N220" i="158"/>
  <c r="M220" i="158"/>
  <c r="L220" i="158"/>
  <c r="K220" i="158"/>
  <c r="H220" i="158"/>
  <c r="N219" i="158"/>
  <c r="M219" i="158"/>
  <c r="L219" i="158"/>
  <c r="K219" i="158"/>
  <c r="H219" i="158"/>
  <c r="N218" i="158"/>
  <c r="M218" i="158"/>
  <c r="L218" i="158"/>
  <c r="K218" i="158"/>
  <c r="H218" i="158"/>
  <c r="N217" i="158"/>
  <c r="M217" i="158"/>
  <c r="L217" i="158"/>
  <c r="K217" i="158"/>
  <c r="H217" i="158"/>
  <c r="N216" i="158"/>
  <c r="M216" i="158"/>
  <c r="L216" i="158"/>
  <c r="K216" i="158"/>
  <c r="H216" i="158"/>
  <c r="N215" i="158"/>
  <c r="M215" i="158"/>
  <c r="L215" i="158"/>
  <c r="K215" i="158"/>
  <c r="H215" i="158"/>
  <c r="N214" i="158"/>
  <c r="M214" i="158"/>
  <c r="L214" i="158"/>
  <c r="K214" i="158"/>
  <c r="H214" i="158"/>
  <c r="N213" i="158"/>
  <c r="M213" i="158"/>
  <c r="L213" i="158"/>
  <c r="K213" i="158"/>
  <c r="H213" i="158"/>
  <c r="N212" i="158"/>
  <c r="M212" i="158"/>
  <c r="L212" i="158"/>
  <c r="K212" i="158"/>
  <c r="H212" i="158"/>
  <c r="N211" i="158"/>
  <c r="M211" i="158"/>
  <c r="L211" i="158"/>
  <c r="K211" i="158"/>
  <c r="H211" i="158"/>
  <c r="N210" i="158"/>
  <c r="M210" i="158"/>
  <c r="L210" i="158"/>
  <c r="K210" i="158"/>
  <c r="H210" i="158"/>
  <c r="N209" i="158"/>
  <c r="M209" i="158"/>
  <c r="L209" i="158"/>
  <c r="K209" i="158"/>
  <c r="H209" i="158"/>
  <c r="N208" i="158"/>
  <c r="M208" i="158"/>
  <c r="L208" i="158"/>
  <c r="K208" i="158"/>
  <c r="H208" i="158"/>
  <c r="N207" i="158"/>
  <c r="M207" i="158"/>
  <c r="L207" i="158"/>
  <c r="K207" i="158"/>
  <c r="H207" i="158"/>
  <c r="N206" i="158"/>
  <c r="M206" i="158"/>
  <c r="L206" i="158"/>
  <c r="K206" i="158"/>
  <c r="H206" i="158"/>
  <c r="N205" i="158"/>
  <c r="M205" i="158"/>
  <c r="L205" i="158"/>
  <c r="K205" i="158"/>
  <c r="H205" i="158"/>
  <c r="N204" i="158"/>
  <c r="M204" i="158"/>
  <c r="L204" i="158"/>
  <c r="K204" i="158"/>
  <c r="H204" i="158"/>
  <c r="N203" i="158"/>
  <c r="M203" i="158"/>
  <c r="L203" i="158"/>
  <c r="K203" i="158"/>
  <c r="H203" i="158"/>
  <c r="N202" i="158"/>
  <c r="M202" i="158"/>
  <c r="L202" i="158"/>
  <c r="K202" i="158"/>
  <c r="H202" i="158"/>
  <c r="N201" i="158"/>
  <c r="M201" i="158"/>
  <c r="L201" i="158"/>
  <c r="K201" i="158"/>
  <c r="H201" i="158"/>
  <c r="N200" i="158"/>
  <c r="M200" i="158"/>
  <c r="L200" i="158"/>
  <c r="K200" i="158"/>
  <c r="H200" i="158"/>
  <c r="N199" i="158"/>
  <c r="M199" i="158"/>
  <c r="L199" i="158"/>
  <c r="K199" i="158"/>
  <c r="H199" i="158"/>
  <c r="N198" i="158"/>
  <c r="M198" i="158"/>
  <c r="L198" i="158"/>
  <c r="K198" i="158"/>
  <c r="H198" i="158"/>
  <c r="N197" i="158"/>
  <c r="M197" i="158"/>
  <c r="L197" i="158"/>
  <c r="K197" i="158"/>
  <c r="H197" i="158"/>
  <c r="N196" i="158"/>
  <c r="M196" i="158"/>
  <c r="L196" i="158"/>
  <c r="K196" i="158"/>
  <c r="H196" i="158"/>
  <c r="N195" i="158"/>
  <c r="M195" i="158"/>
  <c r="L195" i="158"/>
  <c r="K195" i="158"/>
  <c r="H195" i="158"/>
  <c r="N194" i="158"/>
  <c r="M194" i="158"/>
  <c r="L194" i="158"/>
  <c r="K194" i="158"/>
  <c r="H194" i="158"/>
  <c r="N193" i="158"/>
  <c r="M193" i="158"/>
  <c r="L193" i="158"/>
  <c r="K193" i="158"/>
  <c r="H193" i="158"/>
  <c r="N192" i="158"/>
  <c r="M192" i="158"/>
  <c r="L192" i="158"/>
  <c r="K192" i="158"/>
  <c r="H192" i="158"/>
  <c r="N191" i="158"/>
  <c r="M191" i="158"/>
  <c r="L191" i="158"/>
  <c r="K191" i="158"/>
  <c r="H191" i="158"/>
  <c r="N190" i="158"/>
  <c r="M190" i="158"/>
  <c r="L190" i="158"/>
  <c r="K190" i="158"/>
  <c r="H190" i="158"/>
  <c r="N189" i="158"/>
  <c r="M189" i="158"/>
  <c r="L189" i="158"/>
  <c r="K189" i="158"/>
  <c r="H189" i="158"/>
  <c r="N188" i="158"/>
  <c r="M188" i="158"/>
  <c r="L188" i="158"/>
  <c r="K188" i="158"/>
  <c r="H188" i="158"/>
  <c r="N187" i="158"/>
  <c r="M187" i="158"/>
  <c r="L187" i="158"/>
  <c r="K187" i="158"/>
  <c r="H187" i="158"/>
  <c r="N186" i="158"/>
  <c r="M186" i="158"/>
  <c r="L186" i="158"/>
  <c r="K186" i="158"/>
  <c r="H186" i="158"/>
  <c r="N185" i="158"/>
  <c r="M185" i="158"/>
  <c r="L185" i="158"/>
  <c r="K185" i="158"/>
  <c r="H185" i="158"/>
  <c r="N184" i="158"/>
  <c r="M184" i="158"/>
  <c r="L184" i="158"/>
  <c r="K184" i="158"/>
  <c r="H184" i="158"/>
  <c r="N183" i="158"/>
  <c r="M183" i="158"/>
  <c r="L183" i="158"/>
  <c r="K183" i="158"/>
  <c r="H183" i="158"/>
  <c r="N182" i="158"/>
  <c r="M182" i="158"/>
  <c r="L182" i="158"/>
  <c r="K182" i="158"/>
  <c r="H182" i="158"/>
  <c r="N181" i="158"/>
  <c r="M181" i="158"/>
  <c r="L181" i="158"/>
  <c r="K181" i="158"/>
  <c r="H181" i="158"/>
  <c r="N180" i="158"/>
  <c r="M180" i="158"/>
  <c r="L180" i="158"/>
  <c r="K180" i="158"/>
  <c r="H180" i="158"/>
  <c r="N179" i="158"/>
  <c r="M179" i="158"/>
  <c r="L179" i="158"/>
  <c r="K179" i="158"/>
  <c r="H179" i="158"/>
  <c r="N178" i="158"/>
  <c r="M178" i="158"/>
  <c r="L178" i="158"/>
  <c r="K178" i="158"/>
  <c r="H178" i="158"/>
  <c r="N177" i="158"/>
  <c r="M177" i="158"/>
  <c r="L177" i="158"/>
  <c r="K177" i="158"/>
  <c r="H177" i="158"/>
  <c r="N176" i="158"/>
  <c r="M176" i="158"/>
  <c r="L176" i="158"/>
  <c r="K176" i="158"/>
  <c r="H176" i="158"/>
  <c r="N175" i="158"/>
  <c r="M175" i="158"/>
  <c r="L175" i="158"/>
  <c r="K175" i="158"/>
  <c r="H175" i="158"/>
  <c r="N174" i="158"/>
  <c r="M174" i="158"/>
  <c r="L174" i="158"/>
  <c r="K174" i="158"/>
  <c r="H174" i="158"/>
  <c r="N173" i="158"/>
  <c r="M173" i="158"/>
  <c r="L173" i="158"/>
  <c r="K173" i="158"/>
  <c r="H173" i="158"/>
  <c r="N172" i="158"/>
  <c r="M172" i="158"/>
  <c r="L172" i="158"/>
  <c r="K172" i="158"/>
  <c r="H172" i="158"/>
  <c r="N171" i="158"/>
  <c r="M171" i="158"/>
  <c r="L171" i="158"/>
  <c r="K171" i="158"/>
  <c r="H171" i="158"/>
  <c r="N170" i="158"/>
  <c r="M170" i="158"/>
  <c r="L170" i="158"/>
  <c r="K170" i="158"/>
  <c r="H170" i="158"/>
  <c r="N169" i="158"/>
  <c r="M169" i="158"/>
  <c r="L169" i="158"/>
  <c r="K169" i="158"/>
  <c r="H169" i="158"/>
  <c r="N168" i="158"/>
  <c r="M168" i="158"/>
  <c r="L168" i="158"/>
  <c r="K168" i="158"/>
  <c r="H168" i="158"/>
  <c r="N167" i="158"/>
  <c r="M167" i="158"/>
  <c r="L167" i="158"/>
  <c r="K167" i="158"/>
  <c r="H167" i="158"/>
  <c r="N166" i="158"/>
  <c r="M166" i="158"/>
  <c r="L166" i="158"/>
  <c r="K166" i="158"/>
  <c r="H166" i="158"/>
  <c r="N165" i="158"/>
  <c r="M165" i="158"/>
  <c r="L165" i="158"/>
  <c r="K165" i="158"/>
  <c r="H165" i="158"/>
  <c r="N164" i="158"/>
  <c r="M164" i="158"/>
  <c r="L164" i="158"/>
  <c r="K164" i="158"/>
  <c r="H164" i="158"/>
  <c r="N163" i="158"/>
  <c r="M163" i="158"/>
  <c r="L163" i="158"/>
  <c r="K163" i="158"/>
  <c r="H163" i="158"/>
  <c r="N162" i="158"/>
  <c r="M162" i="158"/>
  <c r="L162" i="158"/>
  <c r="K162" i="158"/>
  <c r="H162" i="158"/>
  <c r="N161" i="158"/>
  <c r="M161" i="158"/>
  <c r="L161" i="158"/>
  <c r="K161" i="158"/>
  <c r="H161" i="158"/>
  <c r="N160" i="158"/>
  <c r="M160" i="158"/>
  <c r="L160" i="158"/>
  <c r="K160" i="158"/>
  <c r="H160" i="158"/>
  <c r="N159" i="158"/>
  <c r="M159" i="158"/>
  <c r="L159" i="158"/>
  <c r="K159" i="158"/>
  <c r="H159" i="158"/>
  <c r="N158" i="158"/>
  <c r="M158" i="158"/>
  <c r="L158" i="158"/>
  <c r="K158" i="158"/>
  <c r="H158" i="158"/>
  <c r="N157" i="158"/>
  <c r="M157" i="158"/>
  <c r="L157" i="158"/>
  <c r="K157" i="158"/>
  <c r="H157" i="158"/>
  <c r="N156" i="158"/>
  <c r="M156" i="158"/>
  <c r="L156" i="158"/>
  <c r="K156" i="158"/>
  <c r="H156" i="158"/>
  <c r="N155" i="158"/>
  <c r="M155" i="158"/>
  <c r="L155" i="158"/>
  <c r="K155" i="158"/>
  <c r="H155" i="158"/>
  <c r="N154" i="158"/>
  <c r="M154" i="158"/>
  <c r="L154" i="158"/>
  <c r="K154" i="158"/>
  <c r="H154" i="158"/>
  <c r="N153" i="158"/>
  <c r="M153" i="158"/>
  <c r="L153" i="158"/>
  <c r="K153" i="158"/>
  <c r="H153" i="158"/>
  <c r="N152" i="158"/>
  <c r="M152" i="158"/>
  <c r="L152" i="158"/>
  <c r="K152" i="158"/>
  <c r="H152" i="158"/>
  <c r="N151" i="158"/>
  <c r="M151" i="158"/>
  <c r="L151" i="158"/>
  <c r="K151" i="158"/>
  <c r="H151" i="158"/>
  <c r="N150" i="158"/>
  <c r="M150" i="158"/>
  <c r="L150" i="158"/>
  <c r="K150" i="158"/>
  <c r="H150" i="158"/>
  <c r="N149" i="158"/>
  <c r="M149" i="158"/>
  <c r="L149" i="158"/>
  <c r="K149" i="158"/>
  <c r="H149" i="158"/>
  <c r="N148" i="158"/>
  <c r="M148" i="158"/>
  <c r="L148" i="158"/>
  <c r="K148" i="158"/>
  <c r="H148" i="158"/>
  <c r="N147" i="158"/>
  <c r="M147" i="158"/>
  <c r="L147" i="158"/>
  <c r="K147" i="158"/>
  <c r="H147" i="158"/>
  <c r="N146" i="158"/>
  <c r="M146" i="158"/>
  <c r="L146" i="158"/>
  <c r="K146" i="158"/>
  <c r="H146" i="158"/>
  <c r="N145" i="158"/>
  <c r="M145" i="158"/>
  <c r="L145" i="158"/>
  <c r="K145" i="158"/>
  <c r="H145" i="158"/>
  <c r="N144" i="158"/>
  <c r="M144" i="158"/>
  <c r="L144" i="158"/>
  <c r="K144" i="158"/>
  <c r="H144" i="158"/>
  <c r="N143" i="158"/>
  <c r="M143" i="158"/>
  <c r="L143" i="158"/>
  <c r="K143" i="158"/>
  <c r="H143" i="158"/>
  <c r="N142" i="158"/>
  <c r="M142" i="158"/>
  <c r="L142" i="158"/>
  <c r="K142" i="158"/>
  <c r="H142" i="158"/>
  <c r="N141" i="158"/>
  <c r="M141" i="158"/>
  <c r="L141" i="158"/>
  <c r="K141" i="158"/>
  <c r="H141" i="158"/>
  <c r="N140" i="158"/>
  <c r="M140" i="158"/>
  <c r="L140" i="158"/>
  <c r="K140" i="158"/>
  <c r="H140" i="158"/>
  <c r="N139" i="158"/>
  <c r="M139" i="158"/>
  <c r="L139" i="158"/>
  <c r="K139" i="158"/>
  <c r="H139" i="158"/>
  <c r="N138" i="158"/>
  <c r="M138" i="158"/>
  <c r="L138" i="158"/>
  <c r="K138" i="158"/>
  <c r="H138" i="158"/>
  <c r="N137" i="158"/>
  <c r="M137" i="158"/>
  <c r="L137" i="158"/>
  <c r="K137" i="158"/>
  <c r="H137" i="158"/>
  <c r="N136" i="158"/>
  <c r="M136" i="158"/>
  <c r="L136" i="158"/>
  <c r="K136" i="158"/>
  <c r="H136" i="158"/>
  <c r="N135" i="158"/>
  <c r="M135" i="158"/>
  <c r="L135" i="158"/>
  <c r="K135" i="158"/>
  <c r="H135" i="158"/>
  <c r="N134" i="158"/>
  <c r="M134" i="158"/>
  <c r="L134" i="158"/>
  <c r="K134" i="158"/>
  <c r="H134" i="158"/>
  <c r="N133" i="158"/>
  <c r="M133" i="158"/>
  <c r="L133" i="158"/>
  <c r="K133" i="158"/>
  <c r="H133" i="158"/>
  <c r="N132" i="158"/>
  <c r="M132" i="158"/>
  <c r="L132" i="158"/>
  <c r="K132" i="158"/>
  <c r="H132" i="158"/>
  <c r="N131" i="158"/>
  <c r="M131" i="158"/>
  <c r="L131" i="158"/>
  <c r="K131" i="158"/>
  <c r="H131" i="158"/>
  <c r="N130" i="158"/>
  <c r="M130" i="158"/>
  <c r="L130" i="158"/>
  <c r="K130" i="158"/>
  <c r="H130" i="158"/>
  <c r="N129" i="158"/>
  <c r="M129" i="158"/>
  <c r="L129" i="158"/>
  <c r="K129" i="158"/>
  <c r="H129" i="158"/>
  <c r="N128" i="158"/>
  <c r="M128" i="158"/>
  <c r="L128" i="158"/>
  <c r="K128" i="158"/>
  <c r="H128" i="158"/>
  <c r="N127" i="158"/>
  <c r="M127" i="158"/>
  <c r="L127" i="158"/>
  <c r="K127" i="158"/>
  <c r="H127" i="158"/>
  <c r="N126" i="158"/>
  <c r="M126" i="158"/>
  <c r="L126" i="158"/>
  <c r="K126" i="158"/>
  <c r="H126" i="158"/>
  <c r="N125" i="158"/>
  <c r="M125" i="158"/>
  <c r="L125" i="158"/>
  <c r="K125" i="158"/>
  <c r="H125" i="158"/>
  <c r="N124" i="158"/>
  <c r="M124" i="158"/>
  <c r="L124" i="158"/>
  <c r="K124" i="158"/>
  <c r="H124" i="158"/>
  <c r="N123" i="158"/>
  <c r="M123" i="158"/>
  <c r="L123" i="158"/>
  <c r="K123" i="158"/>
  <c r="H123" i="158"/>
  <c r="N122" i="158"/>
  <c r="M122" i="158"/>
  <c r="L122" i="158"/>
  <c r="K122" i="158"/>
  <c r="H122" i="158"/>
  <c r="N121" i="158"/>
  <c r="M121" i="158"/>
  <c r="L121" i="158"/>
  <c r="K121" i="158"/>
  <c r="H121" i="158"/>
  <c r="N120" i="158"/>
  <c r="M120" i="158"/>
  <c r="L120" i="158"/>
  <c r="K120" i="158"/>
  <c r="H120" i="158"/>
  <c r="N119" i="158"/>
  <c r="M119" i="158"/>
  <c r="L119" i="158"/>
  <c r="K119" i="158"/>
  <c r="H119" i="158"/>
  <c r="N118" i="158"/>
  <c r="M118" i="158"/>
  <c r="L118" i="158"/>
  <c r="K118" i="158"/>
  <c r="H118" i="158"/>
  <c r="N117" i="158"/>
  <c r="M117" i="158"/>
  <c r="L117" i="158"/>
  <c r="K117" i="158"/>
  <c r="H117" i="158"/>
  <c r="N116" i="158"/>
  <c r="M116" i="158"/>
  <c r="L116" i="158"/>
  <c r="K116" i="158"/>
  <c r="H116" i="158"/>
  <c r="N115" i="158"/>
  <c r="M115" i="158"/>
  <c r="L115" i="158"/>
  <c r="K115" i="158"/>
  <c r="H115" i="158"/>
  <c r="N114" i="158"/>
  <c r="M114" i="158"/>
  <c r="L114" i="158"/>
  <c r="K114" i="158"/>
  <c r="H114" i="158"/>
  <c r="N113" i="158"/>
  <c r="M113" i="158"/>
  <c r="L113" i="158"/>
  <c r="K113" i="158"/>
  <c r="H113" i="158"/>
  <c r="N112" i="158"/>
  <c r="M112" i="158"/>
  <c r="L112" i="158"/>
  <c r="K112" i="158"/>
  <c r="H112" i="158"/>
  <c r="N111" i="158"/>
  <c r="M111" i="158"/>
  <c r="L111" i="158"/>
  <c r="K111" i="158"/>
  <c r="H111" i="158"/>
  <c r="N110" i="158"/>
  <c r="M110" i="158"/>
  <c r="L110" i="158"/>
  <c r="K110" i="158"/>
  <c r="H110" i="158"/>
  <c r="N109" i="158"/>
  <c r="M109" i="158"/>
  <c r="L109" i="158"/>
  <c r="K109" i="158"/>
  <c r="H109" i="158"/>
  <c r="N108" i="158"/>
  <c r="M108" i="158"/>
  <c r="L108" i="158"/>
  <c r="K108" i="158"/>
  <c r="H108" i="158"/>
  <c r="N107" i="158"/>
  <c r="M107" i="158"/>
  <c r="L107" i="158"/>
  <c r="K107" i="158"/>
  <c r="H107" i="158"/>
  <c r="N106" i="158"/>
  <c r="M106" i="158"/>
  <c r="L106" i="158"/>
  <c r="K106" i="158"/>
  <c r="H106" i="158"/>
  <c r="N105" i="158"/>
  <c r="M105" i="158"/>
  <c r="L105" i="158"/>
  <c r="K105" i="158"/>
  <c r="H105" i="158"/>
  <c r="N104" i="158"/>
  <c r="M104" i="158"/>
  <c r="L104" i="158"/>
  <c r="K104" i="158"/>
  <c r="H104" i="158"/>
  <c r="N103" i="158"/>
  <c r="M103" i="158"/>
  <c r="L103" i="158"/>
  <c r="K103" i="158"/>
  <c r="H103" i="158"/>
  <c r="N102" i="158"/>
  <c r="M102" i="158"/>
  <c r="L102" i="158"/>
  <c r="K102" i="158"/>
  <c r="H102" i="158"/>
  <c r="N101" i="158"/>
  <c r="M101" i="158"/>
  <c r="L101" i="158"/>
  <c r="K101" i="158"/>
  <c r="H101" i="158"/>
  <c r="N100" i="158"/>
  <c r="M100" i="158"/>
  <c r="L100" i="158"/>
  <c r="K100" i="158"/>
  <c r="H100" i="158"/>
  <c r="N99" i="158"/>
  <c r="M99" i="158"/>
  <c r="L99" i="158"/>
  <c r="K99" i="158"/>
  <c r="H99" i="158"/>
  <c r="N98" i="158"/>
  <c r="M98" i="158"/>
  <c r="L98" i="158"/>
  <c r="K98" i="158"/>
  <c r="H98" i="158"/>
  <c r="N97" i="158"/>
  <c r="M97" i="158"/>
  <c r="L97" i="158"/>
  <c r="K97" i="158"/>
  <c r="H97" i="158"/>
  <c r="N96" i="158"/>
  <c r="M96" i="158"/>
  <c r="L96" i="158"/>
  <c r="K96" i="158"/>
  <c r="H96" i="158"/>
  <c r="N95" i="158"/>
  <c r="M95" i="158"/>
  <c r="L95" i="158"/>
  <c r="K95" i="158"/>
  <c r="H95" i="158"/>
  <c r="N94" i="158"/>
  <c r="M94" i="158"/>
  <c r="L94" i="158"/>
  <c r="K94" i="158"/>
  <c r="H94" i="158"/>
  <c r="N93" i="158"/>
  <c r="M93" i="158"/>
  <c r="L93" i="158"/>
  <c r="K93" i="158"/>
  <c r="H93" i="158"/>
  <c r="N92" i="158"/>
  <c r="M92" i="158"/>
  <c r="L92" i="158"/>
  <c r="K92" i="158"/>
  <c r="H92" i="158"/>
  <c r="N91" i="158"/>
  <c r="M91" i="158"/>
  <c r="L91" i="158"/>
  <c r="K91" i="158"/>
  <c r="H91" i="158"/>
  <c r="N90" i="158"/>
  <c r="M90" i="158"/>
  <c r="L90" i="158"/>
  <c r="K90" i="158"/>
  <c r="H90" i="158"/>
  <c r="N89" i="158"/>
  <c r="M89" i="158"/>
  <c r="L89" i="158"/>
  <c r="K89" i="158"/>
  <c r="H89" i="158"/>
  <c r="N88" i="158"/>
  <c r="M88" i="158"/>
  <c r="L88" i="158"/>
  <c r="K88" i="158"/>
  <c r="H88" i="158"/>
  <c r="N87" i="158"/>
  <c r="M87" i="158"/>
  <c r="L87" i="158"/>
  <c r="K87" i="158"/>
  <c r="H87" i="158"/>
  <c r="N86" i="158"/>
  <c r="M86" i="158"/>
  <c r="L86" i="158"/>
  <c r="K86" i="158"/>
  <c r="H86" i="158"/>
  <c r="N85" i="158"/>
  <c r="M85" i="158"/>
  <c r="L85" i="158"/>
  <c r="K85" i="158"/>
  <c r="H85" i="158"/>
  <c r="N84" i="158"/>
  <c r="M84" i="158"/>
  <c r="L84" i="158"/>
  <c r="K84" i="158"/>
  <c r="H84" i="158"/>
  <c r="N83" i="158"/>
  <c r="M83" i="158"/>
  <c r="L83" i="158"/>
  <c r="K83" i="158"/>
  <c r="H83" i="158"/>
  <c r="N82" i="158"/>
  <c r="M82" i="158"/>
  <c r="L82" i="158"/>
  <c r="K82" i="158"/>
  <c r="H82" i="158"/>
  <c r="N81" i="158"/>
  <c r="M81" i="158"/>
  <c r="L81" i="158"/>
  <c r="K81" i="158"/>
  <c r="H81" i="158"/>
  <c r="N80" i="158"/>
  <c r="M80" i="158"/>
  <c r="L80" i="158"/>
  <c r="K80" i="158"/>
  <c r="H80" i="158"/>
  <c r="N79" i="158"/>
  <c r="M79" i="158"/>
  <c r="L79" i="158"/>
  <c r="K79" i="158"/>
  <c r="H79" i="158"/>
  <c r="N78" i="158"/>
  <c r="M78" i="158"/>
  <c r="L78" i="158"/>
  <c r="K78" i="158"/>
  <c r="H78" i="158"/>
  <c r="N77" i="158"/>
  <c r="M77" i="158"/>
  <c r="L77" i="158"/>
  <c r="K77" i="158"/>
  <c r="H77" i="158"/>
  <c r="N76" i="158"/>
  <c r="M76" i="158"/>
  <c r="L76" i="158"/>
  <c r="K76" i="158"/>
  <c r="H76" i="158"/>
  <c r="N75" i="158"/>
  <c r="M75" i="158"/>
  <c r="L75" i="158"/>
  <c r="K75" i="158"/>
  <c r="H75" i="158"/>
  <c r="N74" i="158"/>
  <c r="M74" i="158"/>
  <c r="L74" i="158"/>
  <c r="K74" i="158"/>
  <c r="H74" i="158"/>
  <c r="N73" i="158"/>
  <c r="M73" i="158"/>
  <c r="L73" i="158"/>
  <c r="K73" i="158"/>
  <c r="H73" i="158"/>
  <c r="N72" i="158"/>
  <c r="M72" i="158"/>
  <c r="L72" i="158"/>
  <c r="K72" i="158"/>
  <c r="H72" i="158"/>
  <c r="N71" i="158"/>
  <c r="M71" i="158"/>
  <c r="L71" i="158"/>
  <c r="K71" i="158"/>
  <c r="H71" i="158"/>
  <c r="N70" i="158"/>
  <c r="M70" i="158"/>
  <c r="L70" i="158"/>
  <c r="K70" i="158"/>
  <c r="H70" i="158"/>
  <c r="N69" i="158"/>
  <c r="M69" i="158"/>
  <c r="L69" i="158"/>
  <c r="K69" i="158"/>
  <c r="H69" i="158"/>
  <c r="N68" i="158"/>
  <c r="M68" i="158"/>
  <c r="L68" i="158"/>
  <c r="K68" i="158"/>
  <c r="H68" i="158"/>
  <c r="N67" i="158"/>
  <c r="M67" i="158"/>
  <c r="L67" i="158"/>
  <c r="K67" i="158"/>
  <c r="H67" i="158"/>
  <c r="N66" i="158"/>
  <c r="M66" i="158"/>
  <c r="L66" i="158"/>
  <c r="K66" i="158"/>
  <c r="H66" i="158"/>
  <c r="N65" i="158"/>
  <c r="M65" i="158"/>
  <c r="L65" i="158"/>
  <c r="K65" i="158"/>
  <c r="H65" i="158"/>
  <c r="N64" i="158"/>
  <c r="M64" i="158"/>
  <c r="L64" i="158"/>
  <c r="K64" i="158"/>
  <c r="H64" i="158"/>
  <c r="N63" i="158"/>
  <c r="M63" i="158"/>
  <c r="L63" i="158"/>
  <c r="K63" i="158"/>
  <c r="H63" i="158"/>
  <c r="N62" i="158"/>
  <c r="M62" i="158"/>
  <c r="L62" i="158"/>
  <c r="K62" i="158"/>
  <c r="H62" i="158"/>
  <c r="N61" i="158"/>
  <c r="M61" i="158"/>
  <c r="L61" i="158"/>
  <c r="K61" i="158"/>
  <c r="H61" i="158"/>
  <c r="N60" i="158"/>
  <c r="M60" i="158"/>
  <c r="L60" i="158"/>
  <c r="K60" i="158"/>
  <c r="H60" i="158"/>
  <c r="N59" i="158"/>
  <c r="M59" i="158"/>
  <c r="L59" i="158"/>
  <c r="K59" i="158"/>
  <c r="H59" i="158"/>
  <c r="N58" i="158"/>
  <c r="M58" i="158"/>
  <c r="L58" i="158"/>
  <c r="K58" i="158"/>
  <c r="H58" i="158"/>
  <c r="N57" i="158"/>
  <c r="M57" i="158"/>
  <c r="L57" i="158"/>
  <c r="K57" i="158"/>
  <c r="H57" i="158"/>
  <c r="N56" i="158"/>
  <c r="M56" i="158"/>
  <c r="L56" i="158"/>
  <c r="K56" i="158"/>
  <c r="H56" i="158"/>
  <c r="N55" i="158"/>
  <c r="M55" i="158"/>
  <c r="L55" i="158"/>
  <c r="K55" i="158"/>
  <c r="H55" i="158"/>
  <c r="N54" i="158"/>
  <c r="M54" i="158"/>
  <c r="L54" i="158"/>
  <c r="K54" i="158"/>
  <c r="H54" i="158"/>
  <c r="N53" i="158"/>
  <c r="M53" i="158"/>
  <c r="L53" i="158"/>
  <c r="K53" i="158"/>
  <c r="H53" i="158"/>
  <c r="N52" i="158"/>
  <c r="M52" i="158"/>
  <c r="L52" i="158"/>
  <c r="K52" i="158"/>
  <c r="H52" i="158"/>
  <c r="N51" i="158"/>
  <c r="M51" i="158"/>
  <c r="L51" i="158"/>
  <c r="K51" i="158"/>
  <c r="H51" i="158"/>
  <c r="N50" i="158"/>
  <c r="M50" i="158"/>
  <c r="L50" i="158"/>
  <c r="K50" i="158"/>
  <c r="H50" i="158"/>
  <c r="N49" i="158"/>
  <c r="M49" i="158"/>
  <c r="L49" i="158"/>
  <c r="K49" i="158"/>
  <c r="H49" i="158"/>
  <c r="N48" i="158"/>
  <c r="M48" i="158"/>
  <c r="L48" i="158"/>
  <c r="K48" i="158"/>
  <c r="H48" i="158"/>
  <c r="N47" i="158"/>
  <c r="M47" i="158"/>
  <c r="L47" i="158"/>
  <c r="K47" i="158"/>
  <c r="H47" i="158"/>
  <c r="N46" i="158"/>
  <c r="M46" i="158"/>
  <c r="L46" i="158"/>
  <c r="K46" i="158"/>
  <c r="H46" i="158"/>
  <c r="N45" i="158"/>
  <c r="M45" i="158"/>
  <c r="L45" i="158"/>
  <c r="K45" i="158"/>
  <c r="H45" i="158"/>
  <c r="N44" i="158"/>
  <c r="M44" i="158"/>
  <c r="L44" i="158"/>
  <c r="K44" i="158"/>
  <c r="H44" i="158"/>
  <c r="N43" i="158"/>
  <c r="M43" i="158"/>
  <c r="L43" i="158"/>
  <c r="K43" i="158"/>
  <c r="H43" i="158"/>
  <c r="N42" i="158"/>
  <c r="M42" i="158"/>
  <c r="L42" i="158"/>
  <c r="K42" i="158"/>
  <c r="H42" i="158"/>
  <c r="N41" i="158"/>
  <c r="M41" i="158"/>
  <c r="L41" i="158"/>
  <c r="K41" i="158"/>
  <c r="H41" i="158"/>
  <c r="N40" i="158"/>
  <c r="M40" i="158"/>
  <c r="L40" i="158"/>
  <c r="K40" i="158"/>
  <c r="H40" i="158"/>
  <c r="N39" i="158"/>
  <c r="M39" i="158"/>
  <c r="L39" i="158"/>
  <c r="K39" i="158"/>
  <c r="H39" i="158"/>
  <c r="N38" i="158"/>
  <c r="M38" i="158"/>
  <c r="L38" i="158"/>
  <c r="K38" i="158"/>
  <c r="H38" i="158"/>
  <c r="N37" i="158"/>
  <c r="M37" i="158"/>
  <c r="L37" i="158"/>
  <c r="K37" i="158"/>
  <c r="H37" i="158"/>
  <c r="N36" i="158"/>
  <c r="M36" i="158"/>
  <c r="L36" i="158"/>
  <c r="K36" i="158"/>
  <c r="H36" i="158"/>
  <c r="N35" i="158"/>
  <c r="M35" i="158"/>
  <c r="L35" i="158"/>
  <c r="K35" i="158"/>
  <c r="H35" i="158"/>
  <c r="N34" i="158"/>
  <c r="M34" i="158"/>
  <c r="L34" i="158"/>
  <c r="K34" i="158"/>
  <c r="H34" i="158"/>
  <c r="N33" i="158"/>
  <c r="M33" i="158"/>
  <c r="L33" i="158"/>
  <c r="K33" i="158"/>
  <c r="H33" i="158"/>
  <c r="N32" i="158"/>
  <c r="M32" i="158"/>
  <c r="L32" i="158"/>
  <c r="K32" i="158"/>
  <c r="H32" i="158"/>
  <c r="N31" i="158"/>
  <c r="M31" i="158"/>
  <c r="L31" i="158"/>
  <c r="K31" i="158"/>
  <c r="H31" i="158"/>
  <c r="N30" i="158"/>
  <c r="M30" i="158"/>
  <c r="L30" i="158"/>
  <c r="K30" i="158"/>
  <c r="H30" i="158"/>
  <c r="N29" i="158"/>
  <c r="M29" i="158"/>
  <c r="L29" i="158"/>
  <c r="K29" i="158"/>
  <c r="H29" i="158"/>
  <c r="N28" i="158"/>
  <c r="M28" i="158"/>
  <c r="L28" i="158"/>
  <c r="K28" i="158"/>
  <c r="H28" i="158"/>
  <c r="N27" i="158"/>
  <c r="M27" i="158"/>
  <c r="L27" i="158"/>
  <c r="K27" i="158"/>
  <c r="H27" i="158"/>
  <c r="N26" i="158"/>
  <c r="M26" i="158"/>
  <c r="L26" i="158"/>
  <c r="K26" i="158"/>
  <c r="H26" i="158"/>
  <c r="N25" i="158"/>
  <c r="M25" i="158"/>
  <c r="L25" i="158"/>
  <c r="K25" i="158"/>
  <c r="H25" i="158"/>
  <c r="N24" i="158"/>
  <c r="M24" i="158"/>
  <c r="L24" i="158"/>
  <c r="K24" i="158"/>
  <c r="H24" i="158"/>
  <c r="N23" i="158"/>
  <c r="M23" i="158"/>
  <c r="L23" i="158"/>
  <c r="K23" i="158"/>
  <c r="H23" i="158"/>
  <c r="N22" i="158"/>
  <c r="M22" i="158"/>
  <c r="L22" i="158"/>
  <c r="K22" i="158"/>
  <c r="H22" i="158"/>
  <c r="N21" i="158"/>
  <c r="M21" i="158"/>
  <c r="L21" i="158"/>
  <c r="K21" i="158"/>
  <c r="H21" i="158"/>
  <c r="N20" i="158"/>
  <c r="M20" i="158"/>
  <c r="L20" i="158"/>
  <c r="K20" i="158"/>
  <c r="H20" i="158"/>
  <c r="N19" i="158"/>
  <c r="M19" i="158"/>
  <c r="L19" i="158"/>
  <c r="K19" i="158"/>
  <c r="H19" i="158"/>
  <c r="N18" i="158"/>
  <c r="M18" i="158"/>
  <c r="L18" i="158"/>
  <c r="K18" i="158"/>
  <c r="H18" i="158"/>
  <c r="N17" i="158"/>
  <c r="M17" i="158"/>
  <c r="L17" i="158"/>
  <c r="K17" i="158"/>
  <c r="H17" i="158"/>
  <c r="N16" i="158"/>
  <c r="M16" i="158"/>
  <c r="L16" i="158"/>
  <c r="K16" i="158"/>
  <c r="H16" i="158"/>
  <c r="N15" i="158"/>
  <c r="M15" i="158"/>
  <c r="L15" i="158"/>
  <c r="K15" i="158"/>
  <c r="H15" i="158"/>
  <c r="N14" i="158"/>
  <c r="M14" i="158"/>
  <c r="L14" i="158"/>
  <c r="K14" i="158"/>
  <c r="H14" i="158"/>
  <c r="N13" i="158"/>
  <c r="M13" i="158"/>
  <c r="L13" i="158"/>
  <c r="K13" i="158"/>
  <c r="H13" i="158"/>
  <c r="N12" i="158"/>
  <c r="M12" i="158"/>
  <c r="L12" i="158"/>
  <c r="K12" i="158"/>
  <c r="H12" i="158"/>
  <c r="N11" i="158"/>
  <c r="M11" i="158"/>
  <c r="L11" i="158"/>
  <c r="K11" i="158"/>
  <c r="H11" i="158"/>
  <c r="N10" i="158"/>
  <c r="M10" i="158"/>
  <c r="L10" i="158"/>
  <c r="K10" i="158"/>
  <c r="H10" i="158"/>
  <c r="N9" i="158"/>
  <c r="M9" i="158"/>
  <c r="L9" i="158"/>
  <c r="K9" i="158"/>
  <c r="H9" i="158"/>
  <c r="N8" i="158"/>
  <c r="M8" i="158"/>
  <c r="L8" i="158"/>
  <c r="K8" i="158"/>
  <c r="H8" i="158"/>
  <c r="N7" i="158"/>
  <c r="M7" i="158"/>
  <c r="L7" i="158"/>
  <c r="K7" i="158"/>
  <c r="H7" i="158"/>
  <c r="N6" i="158"/>
  <c r="M6" i="158"/>
  <c r="L6" i="158"/>
  <c r="K6" i="158"/>
  <c r="H6" i="158"/>
  <c r="N5" i="158"/>
  <c r="M5" i="158"/>
  <c r="L5" i="158"/>
  <c r="K5" i="158"/>
  <c r="H5" i="158"/>
  <c r="N4" i="158"/>
  <c r="M4" i="158"/>
  <c r="L4" i="158"/>
  <c r="K4" i="158"/>
  <c r="H4" i="158"/>
  <c r="N3" i="158"/>
  <c r="M3" i="158"/>
  <c r="L3" i="158"/>
  <c r="K3" i="158"/>
  <c r="H3" i="158"/>
  <c r="N2" i="158"/>
  <c r="M2" i="158"/>
  <c r="L2" i="158"/>
  <c r="K2" i="158"/>
  <c r="H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6" i="103"/>
  <c r="E5" i="103"/>
  <c r="E4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<sst xmlns="http://schemas.openxmlformats.org/spreadsheetml/2006/main" count="347" uniqueCount="248">
  <si>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</si>
  <si>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</si>
  <si>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</si>
  <si>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</si>
  <si>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</si>
  <si>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</si>
  <si>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</si>
  <si>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</si>
  <si>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</si>
  <si>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</si>
  <si>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</si>
  <si>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</si>
  <si>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</si>
  <si>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</si>
  <si>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</si>
  <si>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</si>
  <si>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</si>
  <si>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</si>
  <si>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</si>
  <si>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</si>
  <si>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</si>
  <si>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</si>
  <si>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</si>
  <si>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</si>
  <si>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</si>
  <si>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</si>
  <si>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</si>
  <si>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</si>
  <si>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</si>
  <si>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</si>
  <si>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</si>
  <si>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</si>
  <si>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</si>
  <si>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</si>
  <si>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</si>
  <si>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</si>
  <si>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</si>
  <si>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</si>
  <si>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</si>
  <si>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</si>
  <si>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</si>
  <si>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</si>
  <si>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</si>
  <si>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</si>
  <si>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</si>
  <si>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</si>
  <si>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</si>
  <si>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</si>
  <si>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</si>
  <si>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</si>
  <si>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</si>
  <si>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</si>
  <si>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</si>
  <si>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</si>
  <si>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</si>
  <si>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</si>
  <si>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</si>
  <si>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</si>
  <si>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</si>
  <si>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</si>
  <si>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</si>
  <si>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</si>
  <si>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</si>
  <si>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</si>
  <si>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</si>
  <si>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</si>
  <si>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</si>
  <si>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</si>
  <si>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</si>
  <si>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</si>
  <si>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</si>
  <si>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</si>
  <si>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</si>
  <si>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</si>
  <si>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</si>
  <si>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</si>
  <si>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</si>
  <si>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</si>
  <si>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</si>
  <si>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</si>
  <si>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</si>
  <si>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</si>
  <si>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</si>
  <si>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</si>
  <si>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</si>
  <si>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</si>
  <si>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</si>
  <si>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</si>
  <si>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</si>
  <si>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</si>
  <si>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</si>
  <si>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</si>
  <si>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</si>
  <si>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</si>
  <si>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drop_label2</t>
    <phoneticPr fontId="19"/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</si>
  <si>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</si>
  <si>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</si>
  <si>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</si>
  <si>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</si>
  <si>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</si>
  <si>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</si>
  <si>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color2</t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</si>
  <si>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</si>
  <si>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</si>
  <si>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</si>
  <si>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</si>
  <si>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</si>
  <si>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</si>
  <si>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PremiumSSS4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</si>
  <si>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</si>
  <si>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</si>
  <si>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</si>
  <si>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</si>
  <si>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</si>
  <si>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</si>
  <si>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</si>
  <si>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</si>
  <si>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</si>
  <si>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</si>
  <si>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</si>
  <si>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</si>
  <si>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</si>
  <si>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</si>
  <si>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</si>
  <si>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</si>
  <si>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</si>
  <si>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</si>
  <si>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</si>
  <si>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</si>
  <si>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</si>
  <si>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</si>
  <si>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</si>
  <si>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</si>
  <si>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</si>
  <si>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</si>
  <si>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</si>
  <si>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</si>
  <si>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</si>
  <si>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</si>
  <si>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</si>
  <si>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</si>
  <si>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</si>
  <si>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</si>
  <si>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</si>
  <si>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</si>
  <si>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</si>
  <si>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</si>
  <si>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</si>
  <si>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</si>
  <si>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</si>
  <si>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</si>
  <si>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</si>
  <si>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</si>
  <si>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</si>
  <si>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</si>
  <si>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</si>
  <si>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</si>
  <si>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</si>
  <si>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</si>
  <si>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</si>
  <si>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</si>
  <si>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</si>
  <si>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</si>
  <si>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</si>
  <si>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</si>
  <si>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</si>
  <si>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</si>
  <si>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</si>
  <si>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</si>
  <si>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</si>
  <si>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</si>
  <si>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</si>
  <si>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</si>
  <si>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</si>
  <si>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</si>
  <si>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</si>
  <si>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</si>
  <si>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</si>
  <si>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</si>
  <si>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</si>
  <si>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</si>
  <si>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</si>
  <si>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</si>
  <si>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</si>
  <si>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</si>
  <si>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</si>
  <si>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</si>
  <si>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</si>
  <si>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</si>
  <si>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</si>
  <si>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</si>
  <si>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</si>
  <si>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</si>
  <si>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</si>
  <si>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</si>
  <si>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</si>
  <si>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</si>
  <si>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</si>
  <si>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</si>
  <si>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</si>
  <si>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</si>
  <si>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</si>
  <si>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</si>
  <si>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</si>
  <si>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</si>
  <si>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</si>
  <si>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</si>
  <si>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</si>
  <si>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</si>
  <si>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</si>
  <si>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</si>
  <si>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</si>
  <si>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A</t>
    <phoneticPr fontId="19"/>
  </si>
  <si>
    <t>B</t>
    <phoneticPr fontId="19"/>
  </si>
  <si>
    <t>PremiumW4</t>
    <phoneticPr fontId="19"/>
  </si>
  <si>
    <t>C</t>
    <phoneticPr fontId="19"/>
  </si>
  <si>
    <t>Premium3</t>
    <phoneticPr fontId="19"/>
  </si>
  <si>
    <t>D</t>
    <phoneticPr fontId="19"/>
  </si>
  <si>
    <t>Premium4</t>
    <phoneticPr fontId="19"/>
  </si>
  <si>
    <t>E</t>
    <phoneticPr fontId="19"/>
  </si>
  <si>
    <t>Premium5</t>
    <phoneticPr fontId="19"/>
  </si>
  <si>
    <t>F</t>
    <phoneticPr fontId="19"/>
  </si>
  <si>
    <t>Premium4R3less</t>
    <phoneticPr fontId="19"/>
  </si>
  <si>
    <t>G</t>
    <phoneticPr fontId="19"/>
  </si>
  <si>
    <t>Premium5R3less</t>
    <phoneticPr fontId="19"/>
  </si>
  <si>
    <t>H</t>
    <phoneticPr fontId="19"/>
  </si>
  <si>
    <t>I</t>
    <phoneticPr fontId="19"/>
  </si>
  <si>
    <t>J</t>
    <phoneticPr fontId="19"/>
  </si>
  <si>
    <t>K</t>
    <phoneticPr fontId="19"/>
  </si>
  <si>
    <t>Premium3R6release</t>
    <phoneticPr fontId="19"/>
  </si>
  <si>
    <t>Premium4R6release</t>
    <phoneticPr fontId="19"/>
  </si>
  <si>
    <t>Premium5R6release</t>
    <phoneticPr fontId="19"/>
  </si>
  <si>
    <t>PremiumSS4</t>
    <phoneticPr fontId="19"/>
  </si>
  <si>
    <t>PremiumSS5</t>
    <phoneticPr fontId="19"/>
  </si>
  <si>
    <t>L</t>
    <phoneticPr fontId="19"/>
  </si>
  <si>
    <t>M</t>
    <phoneticPr fontId="19"/>
  </si>
  <si>
    <t>PremiumSS5R5only</t>
    <phoneticPr fontId="19"/>
  </si>
  <si>
    <t>50% - H - C</t>
    <phoneticPr fontId="19"/>
  </si>
  <si>
    <t>PremiumSSS4R3less</t>
    <phoneticPr fontId="19"/>
  </si>
  <si>
    <t>PremiumSSS5R3less</t>
    <phoneticPr fontId="19"/>
  </si>
  <si>
    <t>skip</t>
    <phoneticPr fontId="19"/>
  </si>
  <si>
    <t>通常確率</t>
    <phoneticPr fontId="19"/>
  </si>
  <si>
    <t>old</t>
    <phoneticPr fontId="19"/>
  </si>
  <si>
    <t>gacha_settle_tables_</t>
    <phoneticPr fontId="19"/>
  </si>
  <si>
    <t>PremiumSSw</t>
    <phoneticPr fontId="19"/>
  </si>
  <si>
    <t>skip</t>
    <phoneticPr fontId="19"/>
  </si>
  <si>
    <t>tables_7324</t>
    <phoneticPr fontId="19"/>
  </si>
  <si>
    <t>tables_settle_7324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</si>
</sst>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0" borderId="0"/>
    <xf numFmtId="38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</cellStyleXfs>
  <cellXfs count="97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9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0" fillId="2" borderId="0" xfId="0" applyFill="1"/>
    <xf numFmtId="0" fontId="51" fillId="30" borderId="1" xfId="0" applyFont="1" applyFill="1" applyBorder="1" applyAlignment="1">
      <alignment horizontal="left" vertical="center"/>
    </xf>
    <xf numFmtId="0" fontId="24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6" fillId="32" borderId="1" xfId="0" applyNumberFormat="1" applyFont="1" applyFill="1" applyBorder="1"/>
    <xf numFmtId="38" fontId="24" fillId="4" borderId="1" xfId="3663" quotePrefix="1" applyFont="1" applyFill="1" applyBorder="1" applyAlignment="1">
      <alignment vertical="center"/>
    </xf>
    <xf numFmtId="0" fontId="51" fillId="0" borderId="1" xfId="0" applyFont="1" applyBorder="1" applyAlignment="1">
      <alignment vertical="center"/>
    </xf>
    <xf numFmtId="0" fontId="51" fillId="0" borderId="1" xfId="0" applyFont="1" applyBorder="1" applyAlignment="1">
      <alignment vertical="center" wrapText="1"/>
    </xf>
    <xf numFmtId="0" fontId="24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5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4" fillId="0" borderId="0" xfId="2" applyFont="1" applyFill="1" applyBorder="1" applyAlignment="1">
      <alignment vertical="center"/>
    </xf>
    <xf numFmtId="0" fontId="4" fillId="0" borderId="1" xfId="3036" applyFont="1" applyBorder="1"/>
    <xf numFmtId="0" fontId="23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25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24" fillId="3" borderId="14" xfId="2" applyFont="1" applyFill="1" applyBorder="1" applyAlignment="1">
      <alignment vertical="center"/>
    </xf>
    <xf numFmtId="0" fontId="2" fillId="0" borderId="1" xfId="3036" applyFont="1" applyBorder="1"/>
    <xf numFmtId="0" fontId="24" fillId="4" borderId="0" xfId="2" applyFont="1" applyFill="1" applyAlignment="1">
      <alignment vertical="center"/>
    </xf>
    <xf numFmtId="0" fontId="1" fillId="4" borderId="1" xfId="2978" applyFont="1" applyFill="1" applyBorder="1"/>
    <xf numFmtId="0" fontId="1" fillId="0" borderId="1" xfId="3036" applyFont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ライプニッツR5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ライプニッツR6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ライプニッツ(超覚醒)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スパルタR4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balance</v>
          </cell>
          <cell r="L1428" t="str">
            <v>バランスタイプ</v>
          </cell>
          <cell r="M1428" t="str">
            <v>human</v>
          </cell>
        </row>
        <row r="1429">
          <cell r="A1429">
            <v>1437</v>
          </cell>
          <cell r="B1429" t="str">
            <v>ja</v>
          </cell>
          <cell r="C1429" t="str">
            <v>スパルタR5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balance</v>
          </cell>
          <cell r="L1429" t="str">
            <v>バランスタイプ</v>
          </cell>
          <cell r="M1429" t="str">
            <v>human</v>
          </cell>
        </row>
        <row r="1430">
          <cell r="A1430">
            <v>1438</v>
          </cell>
          <cell r="B1430" t="str">
            <v>ja</v>
          </cell>
          <cell r="C1430" t="str">
            <v>ゼノビアR5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ゼノビアR6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ブルータスR5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ブルータスR6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アレキサンダーR5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human</v>
          </cell>
        </row>
        <row r="1435">
          <cell r="A1435">
            <v>1443</v>
          </cell>
          <cell r="B1435" t="str">
            <v>ja</v>
          </cell>
          <cell r="C1435" t="str">
            <v>アレキサンダーR6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human</v>
          </cell>
        </row>
        <row r="1436">
          <cell r="A1436">
            <v>1444</v>
          </cell>
          <cell r="B1436" t="str">
            <v>ja</v>
          </cell>
          <cell r="C1436" t="str">
            <v>クレオパトラR5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1445</v>
          </cell>
          <cell r="B1437" t="str">
            <v>ja</v>
          </cell>
          <cell r="C1437" t="str">
            <v>クレオパトラR6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human</v>
          </cell>
        </row>
        <row r="1438">
          <cell r="A1438">
            <v>1446</v>
          </cell>
          <cell r="B1438" t="str">
            <v>ja</v>
          </cell>
          <cell r="C1438" t="str">
            <v>カエサルR5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カエサルR6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ハンニバルR5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ハンニバルR6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ブーディカR4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ブーディカR5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ガルーダ★６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ナーガ★６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レア６何仙姑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レア６藍采和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8111</v>
          </cell>
          <cell r="B1694" t="str">
            <v>ja</v>
          </cell>
          <cell r="C1694" t="str">
            <v>福德正神</v>
          </cell>
          <cell r="H1694" t="str">
            <v>blue</v>
          </cell>
          <cell r="I1694">
            <v>5</v>
          </cell>
          <cell r="J1694" t="str">
            <v>Drop2N</v>
          </cell>
          <cell r="K1694" t="str">
            <v>heal</v>
          </cell>
          <cell r="L1694" t="str">
            <v>回復タイプ</v>
          </cell>
          <cell r="M1694" t="str">
            <v>god</v>
          </cell>
        </row>
        <row r="1695">
          <cell r="A1695">
            <v>8112</v>
          </cell>
          <cell r="B1695" t="str">
            <v>ja</v>
          </cell>
          <cell r="C1695" t="str">
            <v>福德正神★６</v>
          </cell>
          <cell r="H1695" t="str">
            <v>blue</v>
          </cell>
          <cell r="I1695">
            <v>6</v>
          </cell>
          <cell r="J1695" t="str">
            <v>Drop2N</v>
          </cell>
          <cell r="K1695" t="str">
            <v>heal</v>
          </cell>
          <cell r="L1695" t="str">
            <v>回復タイプ</v>
          </cell>
          <cell r="M1695" t="str">
            <v>god</v>
          </cell>
        </row>
        <row r="1696">
          <cell r="A1696">
            <v>8113</v>
          </cell>
          <cell r="B1696" t="str">
            <v>ja</v>
          </cell>
          <cell r="C1696" t="str">
            <v>孔子</v>
          </cell>
          <cell r="H1696" t="str">
            <v>yellow</v>
          </cell>
          <cell r="I1696">
            <v>5</v>
          </cell>
          <cell r="J1696" t="str">
            <v>PremiumSSS</v>
          </cell>
          <cell r="K1696" t="str">
            <v>attack</v>
          </cell>
          <cell r="L1696" t="str">
            <v>攻撃タイプ</v>
          </cell>
          <cell r="M1696" t="str">
            <v>academia</v>
          </cell>
        </row>
        <row r="1697">
          <cell r="A1697">
            <v>8114</v>
          </cell>
          <cell r="B1697" t="str">
            <v>ja</v>
          </cell>
          <cell r="C1697" t="str">
            <v>孔子★６</v>
          </cell>
          <cell r="H1697" t="str">
            <v>yellow</v>
          </cell>
          <cell r="I1697">
            <v>6</v>
          </cell>
          <cell r="J1697" t="str">
            <v>PremiumSSS</v>
          </cell>
          <cell r="K1697" t="str">
            <v>attack</v>
          </cell>
          <cell r="L1697" t="str">
            <v>攻撃タイプ</v>
          </cell>
          <cell r="M1697" t="str">
            <v>academia</v>
          </cell>
        </row>
        <row r="1698">
          <cell r="A1698">
            <v>8115</v>
          </cell>
          <cell r="B1698" t="str">
            <v>ja</v>
          </cell>
          <cell r="C1698" t="str">
            <v>贏政</v>
          </cell>
          <cell r="H1698" t="str">
            <v>blue</v>
          </cell>
          <cell r="I1698">
            <v>5</v>
          </cell>
          <cell r="J1698" t="str">
            <v>DropWizSS</v>
          </cell>
          <cell r="K1698" t="str">
            <v>attack</v>
          </cell>
          <cell r="L1698" t="str">
            <v>攻撃タイプ</v>
          </cell>
          <cell r="M1698" t="str">
            <v>human</v>
          </cell>
        </row>
        <row r="1699">
          <cell r="A1699">
            <v>8116</v>
          </cell>
          <cell r="B1699" t="str">
            <v>ja</v>
          </cell>
          <cell r="C1699" t="str">
            <v>贏政★６</v>
          </cell>
          <cell r="H1699" t="str">
            <v>blue</v>
          </cell>
          <cell r="I1699">
            <v>6</v>
          </cell>
          <cell r="J1699" t="str">
            <v>DropWizSS</v>
          </cell>
          <cell r="K1699" t="str">
            <v>attack</v>
          </cell>
          <cell r="L1699" t="str">
            <v>攻撃タイプ</v>
          </cell>
          <cell r="M1699" t="str">
            <v>human</v>
          </cell>
        </row>
        <row r="1700">
          <cell r="A1700">
            <v>8117</v>
          </cell>
          <cell r="B1700" t="str">
            <v>ja</v>
          </cell>
          <cell r="C1700" t="str">
            <v>白娘子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PremiumSSw</v>
          </cell>
          <cell r="K1700" t="str">
            <v>heal</v>
          </cell>
          <cell r="L1700" t="str">
            <v>回復タイプ</v>
          </cell>
          <cell r="M1700" t="str">
            <v>dragon</v>
          </cell>
        </row>
        <row r="1701">
          <cell r="A1701">
            <v>8118</v>
          </cell>
          <cell r="B1701" t="str">
            <v>ja</v>
          </cell>
          <cell r="C1701" t="str">
            <v>白娘子★６</v>
          </cell>
          <cell r="D1701" t="str">
            <v>ポムポムプリン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6</v>
          </cell>
          <cell r="J1701" t="str">
            <v>PremiumSSw</v>
          </cell>
          <cell r="K1701" t="str">
            <v>heal</v>
          </cell>
          <cell r="L1701" t="str">
            <v>回復タイプ</v>
          </cell>
          <cell r="M1701" t="str">
            <v>dragon</v>
          </cell>
        </row>
        <row r="1702">
          <cell r="A1702">
            <v>8119</v>
          </cell>
          <cell r="B1702" t="str">
            <v>ja</v>
          </cell>
          <cell r="C1702" t="str">
            <v>小青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5</v>
          </cell>
          <cell r="J1702" t="str">
            <v>PremiumSSw</v>
          </cell>
          <cell r="K1702" t="str">
            <v>attack</v>
          </cell>
          <cell r="L1702" t="str">
            <v>攻撃タイプ</v>
          </cell>
          <cell r="M1702" t="str">
            <v>dragon</v>
          </cell>
        </row>
        <row r="1703">
          <cell r="A1703">
            <v>8120</v>
          </cell>
          <cell r="B1703" t="str">
            <v>ja</v>
          </cell>
          <cell r="C1703" t="str">
            <v>小青★６</v>
          </cell>
          <cell r="D1703" t="str">
            <v>ポムポムプリン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green</v>
          </cell>
          <cell r="I1703">
            <v>6</v>
          </cell>
          <cell r="J1703" t="str">
            <v>PremiumSSw</v>
          </cell>
          <cell r="K1703" t="str">
            <v>attack</v>
          </cell>
          <cell r="L1703" t="str">
            <v>攻撃タイプ</v>
          </cell>
          <cell r="M1703" t="str">
            <v>dragon</v>
          </cell>
        </row>
        <row r="1704">
          <cell r="A1704">
            <v>8121</v>
          </cell>
          <cell r="B1704" t="str">
            <v>ja</v>
          </cell>
          <cell r="C1704" t="str">
            <v>法海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yellow</v>
          </cell>
          <cell r="I1704">
            <v>5</v>
          </cell>
          <cell r="J1704" t="str">
            <v>DropWizS</v>
          </cell>
          <cell r="K1704" t="str">
            <v>attack</v>
          </cell>
          <cell r="L1704" t="str">
            <v>攻撃タイプ</v>
          </cell>
          <cell r="M1704" t="str">
            <v>human</v>
          </cell>
        </row>
        <row r="1705">
          <cell r="A1705">
            <v>8122</v>
          </cell>
          <cell r="B1705" t="str">
            <v>ja</v>
          </cell>
          <cell r="C1705" t="str">
            <v>法海★６</v>
          </cell>
          <cell r="D1705" t="str">
            <v>各属性相性良3・黄・R455</v>
          </cell>
          <cell r="E1705" t="str">
            <v>執行者</v>
          </cell>
          <cell r="F1705" t="str">
            <v>格好いい</v>
          </cell>
          <cell r="G1705" t="str">
            <v>男性</v>
          </cell>
          <cell r="H1705" t="str">
            <v>yellow</v>
          </cell>
          <cell r="I1705">
            <v>6</v>
          </cell>
          <cell r="J1705" t="str">
            <v>DropWizS</v>
          </cell>
          <cell r="K1705" t="str">
            <v>attack</v>
          </cell>
          <cell r="L1705" t="str">
            <v>攻撃タイプ</v>
          </cell>
          <cell r="M1705" t="str">
            <v>human</v>
          </cell>
        </row>
        <row r="1706">
          <cell r="A1706">
            <v>9001</v>
          </cell>
          <cell r="B1706" t="str">
            <v>ja</v>
          </cell>
          <cell r="C1706" t="str">
            <v>春香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red</v>
          </cell>
          <cell r="I1706">
            <v>5</v>
          </cell>
          <cell r="J1706" t="str">
            <v>PremiumSSw</v>
          </cell>
          <cell r="K1706" t="str">
            <v>attack</v>
          </cell>
          <cell r="L1706" t="str">
            <v>攻撃タイプ</v>
          </cell>
          <cell r="M1706" t="str">
            <v>human</v>
          </cell>
        </row>
        <row r="1707">
          <cell r="A1707">
            <v>9002</v>
          </cell>
          <cell r="B1707" t="str">
            <v>ja</v>
          </cell>
          <cell r="C1707" t="str">
            <v>春香★６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red</v>
          </cell>
          <cell r="I1707">
            <v>6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human</v>
          </cell>
        </row>
        <row r="1708">
          <cell r="A1708">
            <v>9003</v>
          </cell>
          <cell r="B1708" t="str">
            <v>ja</v>
          </cell>
          <cell r="C1708" t="str">
            <v>夢龍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DropWizS</v>
          </cell>
          <cell r="K1708" t="str">
            <v>heal</v>
          </cell>
          <cell r="L1708" t="str">
            <v>回復タイプ</v>
          </cell>
          <cell r="M1708" t="str">
            <v>dragon</v>
          </cell>
        </row>
        <row r="1709">
          <cell r="A1709">
            <v>9004</v>
          </cell>
          <cell r="B1709" t="str">
            <v>ja</v>
          </cell>
          <cell r="C1709" t="str">
            <v>夢龍★６</v>
          </cell>
          <cell r="D1709" t="str">
            <v>各属性相性良3・黄・R455</v>
          </cell>
          <cell r="E1709" t="str">
            <v>執行者</v>
          </cell>
          <cell r="F1709" t="str">
            <v>格好いい</v>
          </cell>
          <cell r="G1709" t="str">
            <v>男性</v>
          </cell>
          <cell r="H1709" t="str">
            <v>green</v>
          </cell>
          <cell r="I1709">
            <v>6</v>
          </cell>
          <cell r="J1709" t="str">
            <v>DropWizS</v>
          </cell>
          <cell r="K1709" t="str">
            <v>heal</v>
          </cell>
          <cell r="L1709" t="str">
            <v>回復タイプ</v>
          </cell>
          <cell r="M1709" t="str">
            <v>dragon</v>
          </cell>
        </row>
        <row r="1710">
          <cell r="A1710">
            <v>9005</v>
          </cell>
          <cell r="B1710" t="str">
            <v>ja</v>
          </cell>
          <cell r="C1710" t="str">
            <v>降臨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blue</v>
          </cell>
          <cell r="I1710">
            <v>5</v>
          </cell>
          <cell r="J1710" t="str">
            <v>PremiumSSw</v>
          </cell>
          <cell r="K1710" t="str">
            <v>hp</v>
          </cell>
          <cell r="L1710" t="str">
            <v>体力タイプ</v>
          </cell>
          <cell r="M1710" t="str">
            <v>demon</v>
          </cell>
        </row>
        <row r="1711">
          <cell r="A1711">
            <v>9006</v>
          </cell>
          <cell r="B1711" t="str">
            <v>ja</v>
          </cell>
          <cell r="C1711" t="str">
            <v>降臨★６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blue</v>
          </cell>
          <cell r="I1711">
            <v>6</v>
          </cell>
          <cell r="J1711" t="str">
            <v>PremiumSSw</v>
          </cell>
          <cell r="K1711" t="str">
            <v>hp</v>
          </cell>
          <cell r="L1711" t="str">
            <v>体力タイプ</v>
          </cell>
          <cell r="M1711" t="str">
            <v>demon</v>
          </cell>
        </row>
        <row r="1712">
          <cell r="A1712">
            <v>9007</v>
          </cell>
          <cell r="B1712" t="str">
            <v>ja</v>
          </cell>
          <cell r="C1712" t="str">
            <v>田禹治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DropWizS</v>
          </cell>
          <cell r="K1712" t="str">
            <v>technical</v>
          </cell>
          <cell r="L1712" t="str">
            <v>テクニカルタイプ</v>
          </cell>
          <cell r="M1712" t="str">
            <v>hero</v>
          </cell>
        </row>
        <row r="1713">
          <cell r="A1713">
            <v>9008</v>
          </cell>
          <cell r="B1713" t="str">
            <v>ja</v>
          </cell>
          <cell r="C1713" t="str">
            <v>田禹治★６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DropWizS</v>
          </cell>
          <cell r="K1713" t="str">
            <v>technical</v>
          </cell>
          <cell r="L1713" t="str">
            <v>テクニカルタイプ</v>
          </cell>
          <cell r="M1713" t="str">
            <v>hero</v>
          </cell>
        </row>
        <row r="1714">
          <cell r="A1714">
            <v>10001</v>
          </cell>
          <cell r="B1714" t="str">
            <v>ja</v>
          </cell>
          <cell r="C1714" t="str">
            <v>テストユニット01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heal</v>
          </cell>
          <cell r="L1714" t="str">
            <v>回復タイプ</v>
          </cell>
          <cell r="M1714" t="str">
            <v>human</v>
          </cell>
        </row>
        <row r="1715">
          <cell r="A1715">
            <v>10002</v>
          </cell>
          <cell r="B1715" t="str">
            <v>ja</v>
          </cell>
          <cell r="C1715" t="str">
            <v>テストユニット02</v>
          </cell>
          <cell r="H1715" t="str">
            <v>yellow</v>
          </cell>
          <cell r="I1715">
            <v>6</v>
          </cell>
          <cell r="J1715" t="str">
            <v>PremiumSS</v>
          </cell>
          <cell r="K1715" t="str">
            <v>technical</v>
          </cell>
          <cell r="L1715" t="str">
            <v>テクニカルタイプ</v>
          </cell>
          <cell r="M1715" t="str">
            <v>animal</v>
          </cell>
        </row>
        <row r="1716">
          <cell r="A1716">
            <v>10003</v>
          </cell>
          <cell r="B1716" t="str">
            <v>ja</v>
          </cell>
          <cell r="C1716" t="str">
            <v>テストユニット03</v>
          </cell>
          <cell r="H1716" t="str">
            <v>red</v>
          </cell>
          <cell r="I1716">
            <v>5</v>
          </cell>
          <cell r="J1716" t="str">
            <v>PremiumSSS</v>
          </cell>
          <cell r="K1716" t="str">
            <v>technical</v>
          </cell>
          <cell r="L1716" t="str">
            <v>テクニカルタイプ</v>
          </cell>
          <cell r="M1716" t="str">
            <v>academia</v>
          </cell>
        </row>
        <row r="1717">
          <cell r="A1717">
            <v>10004</v>
          </cell>
          <cell r="B1717" t="str">
            <v>ja</v>
          </cell>
          <cell r="C1717" t="str">
            <v>テストユニット04</v>
          </cell>
          <cell r="H1717" t="str">
            <v>red</v>
          </cell>
          <cell r="I1717">
            <v>6</v>
          </cell>
          <cell r="J1717" t="str">
            <v>PremiumSSS</v>
          </cell>
          <cell r="K1717" t="str">
            <v>technical</v>
          </cell>
          <cell r="L1717" t="str">
            <v>テクニカルタイプ</v>
          </cell>
          <cell r="M1717" t="str">
            <v>academia</v>
          </cell>
        </row>
        <row r="1718">
          <cell r="A1718">
            <v>10005</v>
          </cell>
          <cell r="B1718" t="str">
            <v>ja</v>
          </cell>
          <cell r="C1718" t="str">
            <v>テストユニット05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technical</v>
          </cell>
          <cell r="L1718" t="str">
            <v>テクニカルタイプ</v>
          </cell>
          <cell r="M1718" t="str">
            <v>human</v>
          </cell>
        </row>
        <row r="1719">
          <cell r="A1719">
            <v>10006</v>
          </cell>
          <cell r="B1719" t="str">
            <v>ja</v>
          </cell>
          <cell r="C1719" t="str">
            <v>テストユニット06</v>
          </cell>
          <cell r="H1719" t="str">
            <v>yellow</v>
          </cell>
          <cell r="I1719">
            <v>6</v>
          </cell>
          <cell r="J1719" t="str">
            <v>PremiumSS</v>
          </cell>
          <cell r="K1719" t="str">
            <v>attack</v>
          </cell>
          <cell r="L1719" t="str">
            <v>攻撃タイプ</v>
          </cell>
          <cell r="M1719" t="str">
            <v>animal</v>
          </cell>
        </row>
        <row r="1720">
          <cell r="A1720">
            <v>10007</v>
          </cell>
          <cell r="B1720" t="str">
            <v>ja</v>
          </cell>
          <cell r="C1720" t="str">
            <v>テストユニット07</v>
          </cell>
          <cell r="H1720" t="str">
            <v>yellow</v>
          </cell>
          <cell r="I1720">
            <v>5</v>
          </cell>
          <cell r="J1720" t="str">
            <v>PremiumSSS</v>
          </cell>
          <cell r="K1720" t="str">
            <v>technical</v>
          </cell>
          <cell r="L1720" t="str">
            <v>テクニカルタイプ</v>
          </cell>
          <cell r="M1720" t="str">
            <v>machine</v>
          </cell>
        </row>
        <row r="1721">
          <cell r="A1721">
            <v>10008</v>
          </cell>
          <cell r="B1721" t="str">
            <v>ja</v>
          </cell>
          <cell r="C1721" t="str">
            <v>テストユニット08</v>
          </cell>
          <cell r="H1721" t="str">
            <v>yellow</v>
          </cell>
          <cell r="I1721">
            <v>6</v>
          </cell>
          <cell r="J1721" t="str">
            <v>PremiumSSS</v>
          </cell>
          <cell r="K1721" t="str">
            <v>technical</v>
          </cell>
          <cell r="L1721" t="str">
            <v>テクニカルタイプ</v>
          </cell>
          <cell r="M1721" t="str">
            <v>machine</v>
          </cell>
        </row>
        <row r="1722">
          <cell r="A1722">
            <v>10009</v>
          </cell>
          <cell r="B1722" t="str">
            <v>ja</v>
          </cell>
          <cell r="C1722" t="str">
            <v>青テスト01</v>
          </cell>
          <cell r="H1722" t="str">
            <v>blue</v>
          </cell>
          <cell r="I1722">
            <v>6</v>
          </cell>
          <cell r="J1722" t="str">
            <v>DropWizS</v>
          </cell>
          <cell r="K1722" t="str">
            <v>heal</v>
          </cell>
          <cell r="L1722" t="str">
            <v>回復タイプ</v>
          </cell>
          <cell r="M1722" t="str">
            <v>human</v>
          </cell>
        </row>
        <row r="1723">
          <cell r="A1723">
            <v>10010</v>
          </cell>
          <cell r="B1723" t="str">
            <v>ja</v>
          </cell>
          <cell r="C1723" t="str">
            <v>赤テスト01</v>
          </cell>
          <cell r="H1723" t="str">
            <v>red</v>
          </cell>
          <cell r="I1723">
            <v>6</v>
          </cell>
          <cell r="J1723" t="str">
            <v>PremiumSSS</v>
          </cell>
          <cell r="K1723" t="str">
            <v>technical</v>
          </cell>
          <cell r="L1723" t="str">
            <v>テクニカルタイプ</v>
          </cell>
          <cell r="M1723" t="str">
            <v>human</v>
          </cell>
        </row>
        <row r="1724">
          <cell r="A1724">
            <v>10011</v>
          </cell>
          <cell r="B1724" t="str">
            <v>ja</v>
          </cell>
          <cell r="C1724" t="str">
            <v>テストユニット11</v>
          </cell>
          <cell r="H1724" t="str">
            <v>yellow</v>
          </cell>
          <cell r="I1724">
            <v>5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human</v>
          </cell>
        </row>
        <row r="1725">
          <cell r="A1725">
            <v>10012</v>
          </cell>
          <cell r="B1725" t="str">
            <v>ja</v>
          </cell>
          <cell r="C1725" t="str">
            <v>テストユニット12</v>
          </cell>
          <cell r="H1725" t="str">
            <v>yellow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</row>
        <row r="1726">
          <cell r="A1726">
            <v>10013</v>
          </cell>
          <cell r="B1726" t="str">
            <v>ja</v>
          </cell>
          <cell r="C1726" t="str">
            <v>テストユニット13</v>
          </cell>
          <cell r="H1726" t="str">
            <v>yellow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10014</v>
          </cell>
          <cell r="B1727" t="str">
            <v>ja</v>
          </cell>
          <cell r="C1727" t="str">
            <v>テストユニット14</v>
          </cell>
          <cell r="H1727" t="str">
            <v>yellow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10015</v>
          </cell>
          <cell r="B1728" t="str">
            <v>ja</v>
          </cell>
          <cell r="C1728" t="str">
            <v>テストユニット15</v>
          </cell>
          <cell r="H1728" t="str">
            <v>green</v>
          </cell>
          <cell r="I1728">
            <v>5</v>
          </cell>
          <cell r="J1728" t="str">
            <v>DropWizS</v>
          </cell>
          <cell r="K1728" t="str">
            <v>heal</v>
          </cell>
          <cell r="L1728" t="str">
            <v>回復タイプ</v>
          </cell>
          <cell r="M1728" t="str">
            <v>human</v>
          </cell>
        </row>
        <row r="1729">
          <cell r="A1729">
            <v>10016</v>
          </cell>
          <cell r="B1729" t="str">
            <v>ja</v>
          </cell>
          <cell r="C1729" t="str">
            <v>テストユニット16</v>
          </cell>
          <cell r="H1729" t="str">
            <v>green</v>
          </cell>
          <cell r="I1729">
            <v>6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human</v>
          </cell>
        </row>
        <row r="1730">
          <cell r="A1730">
            <v>10017</v>
          </cell>
          <cell r="B1730" t="str">
            <v>ja</v>
          </cell>
          <cell r="C1730" t="str">
            <v>テストユニット17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10018</v>
          </cell>
          <cell r="B1731" t="str">
            <v>ja</v>
          </cell>
          <cell r="C1731" t="str">
            <v>テストユニット18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10019</v>
          </cell>
          <cell r="B1732" t="str">
            <v>ja</v>
          </cell>
          <cell r="C1732" t="str">
            <v>テストユニット19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10020</v>
          </cell>
          <cell r="B1733" t="str">
            <v>ja</v>
          </cell>
          <cell r="C1733" t="str">
            <v>テストユニット20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10021</v>
          </cell>
          <cell r="B1734" t="str">
            <v>ja</v>
          </cell>
          <cell r="C1734" t="str">
            <v>テストユニット21</v>
          </cell>
          <cell r="H1734" t="str">
            <v>blue</v>
          </cell>
          <cell r="I1734">
            <v>5</v>
          </cell>
          <cell r="J1734" t="str">
            <v>PremiumSSw</v>
          </cell>
          <cell r="K1734" t="str">
            <v>hp</v>
          </cell>
          <cell r="L1734" t="str">
            <v>体力タイプ</v>
          </cell>
          <cell r="M1734" t="str">
            <v>demon</v>
          </cell>
        </row>
        <row r="1735">
          <cell r="A1735">
            <v>10022</v>
          </cell>
          <cell r="B1735" t="str">
            <v>ja</v>
          </cell>
          <cell r="C1735" t="str">
            <v>テストユニット22</v>
          </cell>
          <cell r="H1735" t="str">
            <v>blue</v>
          </cell>
          <cell r="I1735">
            <v>6</v>
          </cell>
          <cell r="J1735" t="str">
            <v>PremiumSSw</v>
          </cell>
          <cell r="K1735" t="str">
            <v>hp</v>
          </cell>
          <cell r="L1735" t="str">
            <v>体力タイプ</v>
          </cell>
          <cell r="M1735" t="str">
            <v>demon</v>
          </cell>
        </row>
        <row r="1736">
          <cell r="A1736">
            <v>10023</v>
          </cell>
          <cell r="B1736" t="str">
            <v>ja</v>
          </cell>
          <cell r="C1736" t="str">
            <v>テストユニット23</v>
          </cell>
          <cell r="H1736" t="str">
            <v>green</v>
          </cell>
          <cell r="I1736">
            <v>5</v>
          </cell>
          <cell r="J1736" t="str">
            <v>PremiumSSw</v>
          </cell>
          <cell r="K1736" t="str">
            <v>heal</v>
          </cell>
          <cell r="L1736" t="str">
            <v>回復タイプ</v>
          </cell>
          <cell r="M1736" t="str">
            <v>dragon</v>
          </cell>
        </row>
        <row r="1737">
          <cell r="A1737">
            <v>10024</v>
          </cell>
          <cell r="B1737" t="str">
            <v>ja</v>
          </cell>
          <cell r="C1737" t="str">
            <v>テストユニット24</v>
          </cell>
          <cell r="H1737" t="str">
            <v>green</v>
          </cell>
          <cell r="I1737">
            <v>6</v>
          </cell>
          <cell r="J1737" t="str">
            <v>PremiumSSw</v>
          </cell>
          <cell r="K1737" t="str">
            <v>hp</v>
          </cell>
          <cell r="L1737" t="str">
            <v>体力タイプ</v>
          </cell>
          <cell r="M1737" t="str">
            <v>dragon</v>
          </cell>
        </row>
        <row r="1738">
          <cell r="A1738">
            <v>10025</v>
          </cell>
          <cell r="B1738" t="str">
            <v>ja</v>
          </cell>
          <cell r="C1738" t="str">
            <v>テストユニット25</v>
          </cell>
          <cell r="H1738" t="str">
            <v>red</v>
          </cell>
          <cell r="I1738">
            <v>5</v>
          </cell>
          <cell r="J1738" t="str">
            <v>PremiumSSw</v>
          </cell>
          <cell r="K1738" t="str">
            <v>hp</v>
          </cell>
          <cell r="L1738" t="str">
            <v>体力タイプ</v>
          </cell>
          <cell r="M1738" t="str">
            <v>dragon</v>
          </cell>
        </row>
        <row r="1739">
          <cell r="A1739">
            <v>10026</v>
          </cell>
          <cell r="B1739" t="str">
            <v>ja</v>
          </cell>
          <cell r="C1739" t="str">
            <v>テストユニット26</v>
          </cell>
          <cell r="H1739" t="str">
            <v>red</v>
          </cell>
          <cell r="I1739">
            <v>6</v>
          </cell>
          <cell r="J1739" t="str">
            <v>PremiumSSw</v>
          </cell>
          <cell r="K1739" t="str">
            <v>hp</v>
          </cell>
          <cell r="L1739" t="str">
            <v>体力タイプ</v>
          </cell>
          <cell r="M1739" t="str">
            <v>dragon</v>
          </cell>
        </row>
        <row r="1740">
          <cell r="A1740">
            <v>10027</v>
          </cell>
          <cell r="B1740" t="str">
            <v>ja</v>
          </cell>
          <cell r="C1740" t="str">
            <v>テストユニット27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10028</v>
          </cell>
          <cell r="B1741" t="str">
            <v>ja</v>
          </cell>
          <cell r="C1741" t="str">
            <v>テストユニット28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10029</v>
          </cell>
          <cell r="B1742" t="str">
            <v>ja</v>
          </cell>
          <cell r="C1742" t="str">
            <v>テストユニット29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10030</v>
          </cell>
          <cell r="B1743" t="str">
            <v>ja</v>
          </cell>
          <cell r="C1743" t="str">
            <v>テストユニット30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10031</v>
          </cell>
          <cell r="B1744" t="str">
            <v>ja</v>
          </cell>
          <cell r="C1744" t="str">
            <v>テストユニット31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10032</v>
          </cell>
          <cell r="B1745" t="str">
            <v>ja</v>
          </cell>
          <cell r="C1745" t="str">
            <v>テストユニット32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10033</v>
          </cell>
          <cell r="B1746" t="str">
            <v>ja</v>
          </cell>
          <cell r="C1746" t="str">
            <v>テストユニット33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10034</v>
          </cell>
          <cell r="B1747" t="str">
            <v>ja</v>
          </cell>
          <cell r="C1747" t="str">
            <v>テストユニット34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10035</v>
          </cell>
          <cell r="B1748" t="str">
            <v>ja</v>
          </cell>
          <cell r="C1748" t="str">
            <v>テストユニット35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10036</v>
          </cell>
          <cell r="B1749" t="str">
            <v>ja</v>
          </cell>
          <cell r="C1749" t="str">
            <v>テストユニット36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10037</v>
          </cell>
          <cell r="B1750" t="str">
            <v>ja</v>
          </cell>
          <cell r="C1750" t="str">
            <v>テストユニット37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10038</v>
          </cell>
          <cell r="B1751" t="str">
            <v>ja</v>
          </cell>
          <cell r="C1751" t="str">
            <v>テストユニット38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10039</v>
          </cell>
          <cell r="B1752" t="str">
            <v>ja</v>
          </cell>
          <cell r="C1752" t="str">
            <v>テストユニット39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10040</v>
          </cell>
          <cell r="B1753" t="str">
            <v>ja</v>
          </cell>
          <cell r="C1753" t="str">
            <v>テストユニット40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10041</v>
          </cell>
          <cell r="B1754" t="str">
            <v>ja</v>
          </cell>
          <cell r="C1754" t="str">
            <v>テストユニット41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10042</v>
          </cell>
          <cell r="B1755" t="str">
            <v>ja</v>
          </cell>
          <cell r="C1755" t="str">
            <v>テストユニット42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10043</v>
          </cell>
          <cell r="B1756" t="str">
            <v>ja</v>
          </cell>
          <cell r="C1756" t="str">
            <v>テストユニット43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10044</v>
          </cell>
          <cell r="B1757" t="str">
            <v>ja</v>
          </cell>
          <cell r="C1757" t="str">
            <v>テストユニット44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10045</v>
          </cell>
          <cell r="B1758" t="str">
            <v>ja</v>
          </cell>
          <cell r="C1758" t="str">
            <v>テストユニット45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10046</v>
          </cell>
          <cell r="B1759" t="str">
            <v>ja</v>
          </cell>
          <cell r="C1759" t="str">
            <v>テストユニット46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10047</v>
          </cell>
          <cell r="B1760" t="str">
            <v>ja</v>
          </cell>
          <cell r="C1760" t="str">
            <v>テストユニット47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10048</v>
          </cell>
          <cell r="B1761" t="str">
            <v>ja</v>
          </cell>
          <cell r="C1761" t="str">
            <v>テストユニット48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10049</v>
          </cell>
          <cell r="B1762" t="str">
            <v>ja</v>
          </cell>
          <cell r="C1762" t="str">
            <v>テストユニット49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10050</v>
          </cell>
          <cell r="B1763" t="str">
            <v>ja</v>
          </cell>
          <cell r="C1763" t="str">
            <v>テストユニット50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10051</v>
          </cell>
          <cell r="B1764" t="str">
            <v>ja</v>
          </cell>
          <cell r="C1764" t="str">
            <v>テストユニット51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10052</v>
          </cell>
          <cell r="B1765" t="str">
            <v>ja</v>
          </cell>
          <cell r="C1765" t="str">
            <v>テストユニット52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10053</v>
          </cell>
          <cell r="B1766" t="str">
            <v>ja</v>
          </cell>
          <cell r="C1766" t="str">
            <v>テストユニット53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10054</v>
          </cell>
          <cell r="B1767" t="str">
            <v>ja</v>
          </cell>
          <cell r="C1767" t="str">
            <v>テストユニット54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10055</v>
          </cell>
          <cell r="B1768" t="str">
            <v>ja</v>
          </cell>
          <cell r="C1768" t="str">
            <v>テストユニット55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10056</v>
          </cell>
          <cell r="B1769" t="str">
            <v>ja</v>
          </cell>
          <cell r="C1769" t="str">
            <v>テストユニット56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10057</v>
          </cell>
          <cell r="B1770" t="str">
            <v>ja</v>
          </cell>
          <cell r="C1770" t="str">
            <v>テストユニット57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10058</v>
          </cell>
          <cell r="B1771" t="str">
            <v>ja</v>
          </cell>
          <cell r="C1771" t="str">
            <v>テストユニット58</v>
          </cell>
          <cell r="H1771" t="str">
            <v>blue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10059</v>
          </cell>
          <cell r="B1772" t="str">
            <v>ja</v>
          </cell>
          <cell r="C1772" t="str">
            <v>テストユニット59</v>
          </cell>
          <cell r="H1772" t="str">
            <v>green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10060</v>
          </cell>
          <cell r="B1773" t="str">
            <v>ja</v>
          </cell>
          <cell r="C1773" t="str">
            <v>テストユニット60</v>
          </cell>
          <cell r="H1773" t="str">
            <v>yellow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10061</v>
          </cell>
          <cell r="B1774" t="str">
            <v>ja</v>
          </cell>
          <cell r="C1774" t="str">
            <v>テストユニット61</v>
          </cell>
          <cell r="H1774" t="str">
            <v>red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10062</v>
          </cell>
          <cell r="B1775" t="str">
            <v>ja</v>
          </cell>
          <cell r="C1775" t="str">
            <v>テストユニット62</v>
          </cell>
          <cell r="H1775" t="str">
            <v>blue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10063</v>
          </cell>
          <cell r="B1776" t="str">
            <v>ja</v>
          </cell>
          <cell r="C1776" t="str">
            <v>テストユニット63</v>
          </cell>
          <cell r="H1776" t="str">
            <v>green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10064</v>
          </cell>
          <cell r="B1777" t="str">
            <v>ja</v>
          </cell>
          <cell r="C1777" t="str">
            <v>テストユニット64</v>
          </cell>
          <cell r="H1777" t="str">
            <v>yellow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10065</v>
          </cell>
          <cell r="B1778" t="str">
            <v>ja</v>
          </cell>
          <cell r="C1778" t="str">
            <v>テストユニット65</v>
          </cell>
          <cell r="H1778" t="str">
            <v>red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10066</v>
          </cell>
          <cell r="B1779" t="str">
            <v>ja</v>
          </cell>
          <cell r="C1779" t="str">
            <v>テストユニット66</v>
          </cell>
          <cell r="H1779" t="str">
            <v>blue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10067</v>
          </cell>
          <cell r="B1780" t="str">
            <v>ja</v>
          </cell>
          <cell r="C1780" t="str">
            <v>テストユニット67</v>
          </cell>
          <cell r="H1780" t="str">
            <v>green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10068</v>
          </cell>
          <cell r="B1781" t="str">
            <v>ja</v>
          </cell>
          <cell r="C1781" t="str">
            <v>テストユニット68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10069</v>
          </cell>
          <cell r="B1782" t="str">
            <v>ja</v>
          </cell>
          <cell r="C1782" t="str">
            <v>テストユニット69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10070</v>
          </cell>
          <cell r="B1783" t="str">
            <v>ja</v>
          </cell>
          <cell r="C1783" t="str">
            <v>覚醒元(R5)</v>
          </cell>
          <cell r="H1783" t="str">
            <v>blue</v>
          </cell>
          <cell r="I1783">
            <v>5</v>
          </cell>
          <cell r="J1783" t="str">
            <v>Drop2N</v>
          </cell>
          <cell r="K1783" t="str">
            <v>technical</v>
          </cell>
          <cell r="L1783" t="str">
            <v>テクニカルタイプ</v>
          </cell>
          <cell r="M1783" t="str">
            <v>human</v>
          </cell>
        </row>
        <row r="1784">
          <cell r="A1784">
            <v>10071</v>
          </cell>
          <cell r="B1784" t="str">
            <v>ja</v>
          </cell>
          <cell r="C1784" t="str">
            <v>通常覚醒(R6)</v>
          </cell>
          <cell r="H1784" t="str">
            <v>red</v>
          </cell>
          <cell r="I1784">
            <v>6</v>
          </cell>
          <cell r="J1784" t="str">
            <v>PremiumSSS</v>
          </cell>
          <cell r="K1784" t="str">
            <v>hp</v>
          </cell>
          <cell r="L1784" t="str">
            <v>体力タイプ</v>
          </cell>
          <cell r="M1784" t="str">
            <v>demon</v>
          </cell>
        </row>
        <row r="1785">
          <cell r="A1785">
            <v>10072</v>
          </cell>
          <cell r="B1785" t="str">
            <v>ja</v>
          </cell>
          <cell r="C1785" t="str">
            <v>超覚醒A(R6)</v>
          </cell>
          <cell r="H1785" t="str">
            <v>green</v>
          </cell>
          <cell r="I1785">
            <v>6</v>
          </cell>
          <cell r="J1785" t="str">
            <v>PremiumSSS</v>
          </cell>
          <cell r="K1785" t="str">
            <v>heal</v>
          </cell>
          <cell r="L1785" t="str">
            <v>回復タイプ</v>
          </cell>
          <cell r="M1785" t="str">
            <v>unknown</v>
          </cell>
        </row>
        <row r="1786">
          <cell r="A1786">
            <v>10073</v>
          </cell>
          <cell r="B1786" t="str">
            <v>ja</v>
          </cell>
          <cell r="C1786" t="str">
            <v>超覚醒B(R6)</v>
          </cell>
          <cell r="H1786" t="str">
            <v>green</v>
          </cell>
          <cell r="I1786">
            <v>6</v>
          </cell>
          <cell r="J1786" t="str">
            <v>PremiumSSS</v>
          </cell>
          <cell r="K1786" t="str">
            <v>attack</v>
          </cell>
          <cell r="L1786" t="str">
            <v>攻撃タイプ</v>
          </cell>
          <cell r="M1786" t="str">
            <v>samurai</v>
          </cell>
        </row>
        <row r="1787">
          <cell r="A1787">
            <v>10074</v>
          </cell>
          <cell r="B1787" t="str">
            <v>ja</v>
          </cell>
          <cell r="C1787" t="str">
            <v>超覚醒C(R6)</v>
          </cell>
          <cell r="H1787" t="str">
            <v>blue</v>
          </cell>
          <cell r="I1787">
            <v>6</v>
          </cell>
          <cell r="J1787" t="str">
            <v>PremiumSSS</v>
          </cell>
          <cell r="K1787" t="str">
            <v>balance</v>
          </cell>
          <cell r="L1787" t="str">
            <v>バランスタイプ</v>
          </cell>
          <cell r="M1787" t="str">
            <v>fantasy</v>
          </cell>
        </row>
        <row r="1788">
          <cell r="A1788">
            <v>10075</v>
          </cell>
          <cell r="B1788" t="str">
            <v>ja</v>
          </cell>
          <cell r="C1788" t="str">
            <v>テストユニット75</v>
          </cell>
          <cell r="H1788" t="str">
            <v>blue</v>
          </cell>
          <cell r="I1788">
            <v>6</v>
          </cell>
          <cell r="J1788" t="str">
            <v>PremiumSSS</v>
          </cell>
          <cell r="K1788" t="str">
            <v>balance</v>
          </cell>
          <cell r="L1788" t="str">
            <v>バランスタイプ</v>
          </cell>
          <cell r="M1788" t="str">
            <v>human</v>
          </cell>
        </row>
        <row r="1789">
          <cell r="A1789">
            <v>10076</v>
          </cell>
          <cell r="B1789" t="str">
            <v>ja</v>
          </cell>
          <cell r="C1789" t="str">
            <v>テストユニット76</v>
          </cell>
          <cell r="H1789" t="str">
            <v>green</v>
          </cell>
          <cell r="I1789">
            <v>6</v>
          </cell>
          <cell r="J1789" t="str">
            <v>PremiumSS</v>
          </cell>
          <cell r="K1789" t="str">
            <v>attack</v>
          </cell>
          <cell r="L1789" t="str">
            <v>攻撃タイプ</v>
          </cell>
          <cell r="M1789" t="str">
            <v>dragon</v>
          </cell>
        </row>
        <row r="1790">
          <cell r="A1790">
            <v>10077</v>
          </cell>
          <cell r="B1790" t="str">
            <v>ja</v>
          </cell>
          <cell r="C1790" t="str">
            <v>テストユニット77</v>
          </cell>
          <cell r="H1790" t="str">
            <v>green</v>
          </cell>
          <cell r="I1790">
            <v>6</v>
          </cell>
          <cell r="J1790" t="str">
            <v>PremiumSSw</v>
          </cell>
          <cell r="K1790" t="str">
            <v>heal</v>
          </cell>
          <cell r="L1790" t="str">
            <v>回復タイプ</v>
          </cell>
          <cell r="M1790" t="str">
            <v>dragon</v>
          </cell>
        </row>
        <row r="1791">
          <cell r="A1791">
            <v>10078</v>
          </cell>
          <cell r="B1791" t="str">
            <v>ja</v>
          </cell>
          <cell r="C1791" t="str">
            <v>テストユニット78</v>
          </cell>
          <cell r="H1791" t="str">
            <v>yellow</v>
          </cell>
          <cell r="I1791">
            <v>6</v>
          </cell>
          <cell r="J1791" t="str">
            <v>PremiumSSS</v>
          </cell>
          <cell r="K1791" t="str">
            <v>attack</v>
          </cell>
          <cell r="L1791" t="str">
            <v>攻撃タイプ</v>
          </cell>
          <cell r="M1791" t="str">
            <v>academia</v>
          </cell>
        </row>
        <row r="1792">
          <cell r="A1792">
            <v>10079</v>
          </cell>
          <cell r="B1792" t="str">
            <v>ja</v>
          </cell>
          <cell r="C1792" t="str">
            <v>テストユニット79</v>
          </cell>
          <cell r="H1792" t="str">
            <v>yellow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animal</v>
          </cell>
        </row>
        <row r="1793">
          <cell r="A1793">
            <v>10080</v>
          </cell>
          <cell r="B1793" t="str">
            <v>ja</v>
          </cell>
          <cell r="C1793" t="str">
            <v>テストユニット80</v>
          </cell>
          <cell r="H1793" t="str">
            <v>yellow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10081</v>
          </cell>
          <cell r="B1794" t="str">
            <v>ja</v>
          </cell>
          <cell r="C1794" t="str">
            <v>テストユニット81</v>
          </cell>
          <cell r="H1794" t="str">
            <v>red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10082</v>
          </cell>
          <cell r="B1795" t="str">
            <v>ja</v>
          </cell>
          <cell r="C1795" t="str">
            <v>テストユニット82</v>
          </cell>
          <cell r="H1795" t="str">
            <v>blue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10083</v>
          </cell>
          <cell r="B1796" t="str">
            <v>ja</v>
          </cell>
          <cell r="C1796" t="str">
            <v>テストユニット83</v>
          </cell>
          <cell r="H1796" t="str">
            <v>green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10084</v>
          </cell>
          <cell r="B1797" t="str">
            <v>ja</v>
          </cell>
          <cell r="C1797" t="str">
            <v>テストユニット84</v>
          </cell>
          <cell r="H1797" t="str">
            <v>yellow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10085</v>
          </cell>
          <cell r="B1798" t="str">
            <v>ja</v>
          </cell>
          <cell r="C1798" t="str">
            <v>テストユニット85</v>
          </cell>
          <cell r="H1798" t="str">
            <v>red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10086</v>
          </cell>
          <cell r="B1799" t="str">
            <v>ja</v>
          </cell>
          <cell r="C1799" t="str">
            <v>テストユニット86</v>
          </cell>
          <cell r="H1799" t="str">
            <v>blue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10087</v>
          </cell>
          <cell r="B1800" t="str">
            <v>ja</v>
          </cell>
          <cell r="C1800" t="str">
            <v>テストユニット87</v>
          </cell>
          <cell r="H1800" t="str">
            <v>green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10088</v>
          </cell>
          <cell r="B1801" t="str">
            <v>ja</v>
          </cell>
          <cell r="C1801" t="str">
            <v>テストユニット88</v>
          </cell>
          <cell r="H1801" t="str">
            <v>yellow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10089</v>
          </cell>
          <cell r="B1802" t="str">
            <v>ja</v>
          </cell>
          <cell r="C1802" t="str">
            <v>テストユニット89</v>
          </cell>
          <cell r="H1802" t="str">
            <v>red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10090</v>
          </cell>
          <cell r="B1803" t="str">
            <v>ja</v>
          </cell>
          <cell r="C1803" t="str">
            <v>テストユニット90</v>
          </cell>
          <cell r="H1803" t="str">
            <v>blue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10101</v>
          </cell>
          <cell r="B1804" t="str">
            <v>ja</v>
          </cell>
          <cell r="C1804" t="str">
            <v>Usagi-kun</v>
          </cell>
          <cell r="H1804" t="str">
            <v>blue</v>
          </cell>
          <cell r="I1804">
            <v>6</v>
          </cell>
          <cell r="J1804" t="str">
            <v>DropWizS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10102</v>
          </cell>
          <cell r="B1805" t="str">
            <v>ja</v>
          </cell>
          <cell r="C1805" t="str">
            <v>ローズ</v>
          </cell>
          <cell r="D1805" t="str">
            <v>未定</v>
          </cell>
          <cell r="E1805" t="str">
            <v>執行者</v>
          </cell>
          <cell r="F1805" t="str">
            <v>格好いい</v>
          </cell>
          <cell r="G1805" t="str">
            <v>不明</v>
          </cell>
          <cell r="H1805" t="str">
            <v>red</v>
          </cell>
          <cell r="I1805">
            <v>3</v>
          </cell>
          <cell r="J1805" t="str">
            <v>DropWizSSS</v>
          </cell>
          <cell r="K1805" t="str">
            <v>attack</v>
          </cell>
          <cell r="L1805" t="str">
            <v>攻撃タイプ</v>
          </cell>
          <cell r="M1805" t="str">
            <v>queen</v>
          </cell>
        </row>
        <row r="1806">
          <cell r="A1806">
            <v>10103</v>
          </cell>
          <cell r="B1806" t="str">
            <v>ja</v>
          </cell>
          <cell r="C1806" t="str">
            <v>ローズ</v>
          </cell>
          <cell r="D1806" t="str">
            <v>未定</v>
          </cell>
          <cell r="E1806" t="str">
            <v>執行者</v>
          </cell>
          <cell r="F1806" t="str">
            <v>格好いい</v>
          </cell>
          <cell r="G1806" t="str">
            <v>不明</v>
          </cell>
          <cell r="H1806" t="str">
            <v>red</v>
          </cell>
          <cell r="I1806">
            <v>4</v>
          </cell>
          <cell r="J1806" t="str">
            <v>DropWizSSS</v>
          </cell>
          <cell r="K1806" t="str">
            <v>attack</v>
          </cell>
          <cell r="L1806" t="str">
            <v>攻撃タイプ</v>
          </cell>
          <cell r="M1806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3" customWidth="1"/>
    <col min="2" max="16384" width="13" style="63"/>
  </cols>
  <sheetData>
    <row r="1" spans="1:13" x14ac:dyDescent="0.15">
      <c r="A1" s="63" t="s">
        <v>110</v>
      </c>
      <c r="B1" s="63" t="s">
        <v>111</v>
      </c>
    </row>
    <row r="2" spans="1:13" x14ac:dyDescent="0.15">
      <c r="A2" s="63" t="s">
        <v>112</v>
      </c>
      <c r="B2" s="63" t="s">
        <v>113</v>
      </c>
      <c r="C2" s="63" t="s">
        <v>114</v>
      </c>
      <c r="D2" s="63" t="s">
        <v>115</v>
      </c>
      <c r="E2" s="63" t="s">
        <v>116</v>
      </c>
      <c r="F2" s="63" t="s">
        <v>117</v>
      </c>
      <c r="G2" s="63" t="s">
        <v>118</v>
      </c>
      <c r="H2" s="63" t="s">
        <v>119</v>
      </c>
    </row>
    <row r="3" spans="1:13" x14ac:dyDescent="0.15">
      <c r="A3" s="63">
        <v>3</v>
      </c>
      <c r="B3" s="64" t="s">
        <v>120</v>
      </c>
      <c r="C3" s="64" t="s">
        <v>121</v>
      </c>
      <c r="D3" s="63">
        <v>0</v>
      </c>
      <c r="E3" s="64" t="s">
        <v>122</v>
      </c>
      <c r="F3" s="63">
        <v>0</v>
      </c>
      <c r="G3" s="63">
        <v>0</v>
      </c>
      <c r="H3" s="65">
        <v>0.5</v>
      </c>
    </row>
    <row r="4" spans="1:13" x14ac:dyDescent="0.15">
      <c r="A4" s="63">
        <v>4</v>
      </c>
      <c r="B4" s="64" t="s">
        <v>123</v>
      </c>
      <c r="C4" s="64" t="s">
        <v>124</v>
      </c>
      <c r="D4" s="64" t="s">
        <v>125</v>
      </c>
      <c r="E4" s="64" t="s">
        <v>126</v>
      </c>
      <c r="F4" s="64" t="s">
        <v>127</v>
      </c>
      <c r="G4" s="63">
        <v>0</v>
      </c>
      <c r="H4" s="65">
        <v>0.45</v>
      </c>
    </row>
    <row r="5" spans="1:13" x14ac:dyDescent="0.15">
      <c r="A5" s="63">
        <v>5</v>
      </c>
      <c r="B5" s="66">
        <v>0</v>
      </c>
      <c r="C5" s="64" t="s">
        <v>128</v>
      </c>
      <c r="D5" s="64" t="s">
        <v>129</v>
      </c>
      <c r="E5" s="64" t="s">
        <v>130</v>
      </c>
      <c r="F5" s="64" t="s">
        <v>131</v>
      </c>
      <c r="G5" s="64" t="s">
        <v>132</v>
      </c>
      <c r="H5" s="65">
        <v>0.05</v>
      </c>
    </row>
    <row r="6" spans="1:13" x14ac:dyDescent="0.15">
      <c r="B6" s="65" t="s">
        <v>133</v>
      </c>
      <c r="C6" s="65" t="s">
        <v>133</v>
      </c>
      <c r="D6" s="65" t="s">
        <v>134</v>
      </c>
      <c r="E6" s="65" t="s">
        <v>133</v>
      </c>
      <c r="F6" s="65" t="s">
        <v>133</v>
      </c>
      <c r="G6" s="67" t="s">
        <v>135</v>
      </c>
      <c r="H6" s="65">
        <v>1</v>
      </c>
    </row>
    <row r="7" spans="1:13" x14ac:dyDescent="0.15">
      <c r="B7" s="65"/>
      <c r="C7" s="65"/>
      <c r="D7" s="65"/>
      <c r="E7" s="65"/>
      <c r="F7" s="65"/>
      <c r="G7" s="67"/>
      <c r="H7" s="65"/>
    </row>
    <row r="8" spans="1:13" x14ac:dyDescent="0.15">
      <c r="A8" s="63" t="s">
        <v>136</v>
      </c>
      <c r="B8" s="65"/>
      <c r="C8" s="65"/>
      <c r="D8" s="65"/>
      <c r="E8" s="65"/>
      <c r="F8" s="65"/>
      <c r="G8" s="67"/>
      <c r="H8" s="65"/>
    </row>
    <row r="9" spans="1:13" x14ac:dyDescent="0.15">
      <c r="A9" s="63" t="s">
        <v>137</v>
      </c>
      <c r="B9" s="65"/>
      <c r="C9" s="65"/>
      <c r="D9" s="65"/>
      <c r="E9" s="65"/>
      <c r="F9" s="65"/>
      <c r="G9" s="67"/>
      <c r="H9" s="65"/>
    </row>
    <row r="10" spans="1:13" x14ac:dyDescent="0.15">
      <c r="A10" s="63" t="s">
        <v>138</v>
      </c>
      <c r="B10" s="65"/>
      <c r="C10" s="65"/>
      <c r="D10" s="65"/>
      <c r="E10" s="65"/>
      <c r="F10" s="65"/>
      <c r="G10" s="67"/>
      <c r="H10" s="65"/>
    </row>
    <row r="11" spans="1:13" x14ac:dyDescent="0.15">
      <c r="A11" s="63" t="s">
        <v>139</v>
      </c>
      <c r="B11" s="65"/>
      <c r="C11" s="65"/>
      <c r="D11" s="65"/>
      <c r="E11" s="65"/>
      <c r="F11" s="65"/>
      <c r="G11" s="67"/>
      <c r="H11" s="65"/>
    </row>
    <row r="12" spans="1:13" x14ac:dyDescent="0.15">
      <c r="A12" s="63" t="s">
        <v>132</v>
      </c>
      <c r="B12" s="65" t="s">
        <v>140</v>
      </c>
      <c r="C12" s="65" t="s">
        <v>141</v>
      </c>
      <c r="D12" s="65"/>
      <c r="E12" s="65"/>
      <c r="F12" s="65"/>
      <c r="G12" s="67"/>
      <c r="H12" s="65"/>
    </row>
    <row r="13" spans="1:13" x14ac:dyDescent="0.15">
      <c r="A13" s="63" t="s">
        <v>142</v>
      </c>
      <c r="B13" s="63" t="s">
        <v>143</v>
      </c>
      <c r="C13" s="63" t="s">
        <v>144</v>
      </c>
    </row>
    <row r="14" spans="1:13" x14ac:dyDescent="0.15">
      <c r="A14" s="63" t="s">
        <v>145</v>
      </c>
      <c r="B14" s="63" t="s">
        <v>140</v>
      </c>
      <c r="C14" s="66" t="s">
        <v>146</v>
      </c>
      <c r="E14" s="66"/>
      <c r="F14" s="66"/>
      <c r="M14" s="65"/>
    </row>
    <row r="15" spans="1:13" x14ac:dyDescent="0.15">
      <c r="A15" s="63" t="s">
        <v>122</v>
      </c>
      <c r="B15" s="65" t="s">
        <v>140</v>
      </c>
      <c r="C15" s="65" t="s">
        <v>147</v>
      </c>
      <c r="H15" s="68"/>
      <c r="M15" s="65"/>
    </row>
    <row r="16" spans="1:13" x14ac:dyDescent="0.15">
      <c r="A16" s="63" t="s">
        <v>126</v>
      </c>
      <c r="B16" s="65" t="s">
        <v>140</v>
      </c>
      <c r="C16" s="65" t="s">
        <v>148</v>
      </c>
      <c r="M16" s="65"/>
    </row>
    <row r="17" spans="1:13" x14ac:dyDescent="0.15">
      <c r="A17" s="63" t="s">
        <v>149</v>
      </c>
      <c r="B17" s="65" t="s">
        <v>140</v>
      </c>
      <c r="C17" s="65" t="s">
        <v>150</v>
      </c>
      <c r="M17" s="65"/>
    </row>
    <row r="18" spans="1:13" x14ac:dyDescent="0.15">
      <c r="B18" s="65"/>
      <c r="C18" s="65"/>
    </row>
    <row r="19" spans="1:13" x14ac:dyDescent="0.15">
      <c r="A19" s="63" t="s">
        <v>151</v>
      </c>
    </row>
    <row r="20" spans="1:13" x14ac:dyDescent="0.15">
      <c r="A20" s="63" t="s">
        <v>152</v>
      </c>
      <c r="B20" s="65"/>
      <c r="C20" s="65"/>
    </row>
    <row r="21" spans="1:13" x14ac:dyDescent="0.15">
      <c r="A21" s="63" t="s">
        <v>153</v>
      </c>
      <c r="B21" s="65" t="s">
        <v>154</v>
      </c>
      <c r="C21" s="65" t="s">
        <v>155</v>
      </c>
      <c r="D21" s="63" t="s">
        <v>156</v>
      </c>
    </row>
    <row r="22" spans="1:13" x14ac:dyDescent="0.15">
      <c r="A22" s="63" t="s">
        <v>157</v>
      </c>
      <c r="B22" s="65" t="s">
        <v>140</v>
      </c>
      <c r="C22" s="65" t="s">
        <v>158</v>
      </c>
      <c r="D22" s="63" t="s">
        <v>159</v>
      </c>
    </row>
    <row r="23" spans="1:13" x14ac:dyDescent="0.15">
      <c r="A23" s="63" t="s">
        <v>160</v>
      </c>
      <c r="B23" s="65" t="s">
        <v>140</v>
      </c>
      <c r="C23" s="63" t="s">
        <v>161</v>
      </c>
      <c r="D23" s="63" t="s">
        <v>162</v>
      </c>
    </row>
    <row r="24" spans="1:13" x14ac:dyDescent="0.15">
      <c r="A24" s="63" t="s">
        <v>163</v>
      </c>
      <c r="B24" s="65" t="s">
        <v>140</v>
      </c>
      <c r="C24" s="65" t="s">
        <v>164</v>
      </c>
      <c r="D24" s="63" t="s">
        <v>165</v>
      </c>
    </row>
    <row r="25" spans="1:13" x14ac:dyDescent="0.15">
      <c r="A25" s="63" t="s">
        <v>166</v>
      </c>
      <c r="B25" s="65" t="s">
        <v>140</v>
      </c>
      <c r="C25" s="65" t="s">
        <v>167</v>
      </c>
      <c r="D25" s="63" t="s">
        <v>168</v>
      </c>
    </row>
    <row r="26" spans="1:13" x14ac:dyDescent="0.15">
      <c r="A26" s="63" t="s">
        <v>169</v>
      </c>
      <c r="B26" s="65" t="s">
        <v>140</v>
      </c>
      <c r="C26" s="65" t="s">
        <v>170</v>
      </c>
      <c r="D26" s="63" t="s">
        <v>171</v>
      </c>
    </row>
    <row r="27" spans="1:13" x14ac:dyDescent="0.15">
      <c r="A27" s="63" t="s">
        <v>172</v>
      </c>
      <c r="B27" s="65" t="s">
        <v>140</v>
      </c>
      <c r="C27" s="65" t="s">
        <v>134</v>
      </c>
      <c r="D27" s="63" t="s">
        <v>173</v>
      </c>
      <c r="E27" s="63" t="s">
        <v>174</v>
      </c>
    </row>
    <row r="28" spans="1:13" x14ac:dyDescent="0.15">
      <c r="A28" s="63" t="s">
        <v>121</v>
      </c>
      <c r="B28" s="65" t="s">
        <v>140</v>
      </c>
      <c r="C28" s="65" t="s">
        <v>175</v>
      </c>
      <c r="E28" s="63" t="s">
        <v>176</v>
      </c>
    </row>
    <row r="29" spans="1:13" x14ac:dyDescent="0.15">
      <c r="A29" s="63" t="s">
        <v>124</v>
      </c>
      <c r="B29" s="65" t="s">
        <v>140</v>
      </c>
      <c r="C29" s="65" t="s">
        <v>177</v>
      </c>
    </row>
    <row r="30" spans="1:13" x14ac:dyDescent="0.15">
      <c r="B30" s="65"/>
    </row>
    <row r="31" spans="1:13" x14ac:dyDescent="0.15">
      <c r="A31" s="63" t="s">
        <v>178</v>
      </c>
    </row>
    <row r="32" spans="1:13" x14ac:dyDescent="0.15">
      <c r="A32" s="63" t="s">
        <v>179</v>
      </c>
      <c r="B32" s="65" t="s">
        <v>140</v>
      </c>
      <c r="C32" s="65" t="s">
        <v>180</v>
      </c>
    </row>
    <row r="33" spans="1:13" x14ac:dyDescent="0.15">
      <c r="A33" s="63" t="s">
        <v>124</v>
      </c>
      <c r="B33" s="65" t="s">
        <v>140</v>
      </c>
      <c r="C33" s="65" t="s">
        <v>181</v>
      </c>
    </row>
    <row r="34" spans="1:13" x14ac:dyDescent="0.15">
      <c r="A34" s="63" t="s">
        <v>121</v>
      </c>
      <c r="B34" s="65" t="s">
        <v>140</v>
      </c>
      <c r="C34" s="65" t="s">
        <v>182</v>
      </c>
    </row>
    <row r="35" spans="1:13" x14ac:dyDescent="0.15">
      <c r="A35" s="63" t="s">
        <v>120</v>
      </c>
      <c r="B35" s="65" t="s">
        <v>140</v>
      </c>
      <c r="C35" s="65" t="s">
        <v>183</v>
      </c>
    </row>
    <row r="36" spans="1:13" x14ac:dyDescent="0.15">
      <c r="A36" s="63" t="s">
        <v>123</v>
      </c>
      <c r="B36" s="65" t="s">
        <v>140</v>
      </c>
      <c r="C36" s="65" t="s">
        <v>184</v>
      </c>
    </row>
    <row r="37" spans="1:13" x14ac:dyDescent="0.15">
      <c r="A37" s="63" t="s">
        <v>129</v>
      </c>
      <c r="B37" s="65" t="s">
        <v>140</v>
      </c>
      <c r="C37" s="65" t="s">
        <v>185</v>
      </c>
    </row>
    <row r="38" spans="1:13" x14ac:dyDescent="0.15">
      <c r="A38" s="63" t="s">
        <v>125</v>
      </c>
      <c r="B38" s="65" t="s">
        <v>140</v>
      </c>
      <c r="C38" s="65" t="s">
        <v>186</v>
      </c>
    </row>
    <row r="40" spans="1:13" x14ac:dyDescent="0.15">
      <c r="J40" s="82" t="s">
        <v>212</v>
      </c>
      <c r="K40" s="82" t="s">
        <v>189</v>
      </c>
      <c r="M40" s="82" t="s">
        <v>237</v>
      </c>
    </row>
    <row r="41" spans="1:13" x14ac:dyDescent="0.15">
      <c r="J41" s="82" t="s">
        <v>213</v>
      </c>
      <c r="K41" s="82" t="s">
        <v>214</v>
      </c>
      <c r="M41" s="65" t="s">
        <v>184</v>
      </c>
    </row>
    <row r="42" spans="1:13" x14ac:dyDescent="0.15">
      <c r="J42" s="82" t="s">
        <v>215</v>
      </c>
      <c r="K42" s="82" t="s">
        <v>216</v>
      </c>
    </row>
    <row r="43" spans="1:13" x14ac:dyDescent="0.15">
      <c r="J43" s="82" t="s">
        <v>217</v>
      </c>
      <c r="K43" s="82" t="s">
        <v>218</v>
      </c>
    </row>
    <row r="44" spans="1:13" x14ac:dyDescent="0.15">
      <c r="J44" s="82" t="s">
        <v>219</v>
      </c>
      <c r="K44" s="82" t="s">
        <v>220</v>
      </c>
    </row>
    <row r="45" spans="1:13" x14ac:dyDescent="0.15">
      <c r="J45" s="82" t="s">
        <v>221</v>
      </c>
      <c r="K45" s="82" t="s">
        <v>222</v>
      </c>
    </row>
    <row r="46" spans="1:13" x14ac:dyDescent="0.15">
      <c r="J46" s="82" t="s">
        <v>223</v>
      </c>
      <c r="K46" s="82" t="s">
        <v>224</v>
      </c>
    </row>
    <row r="47" spans="1:13" x14ac:dyDescent="0.15">
      <c r="J47" s="82" t="s">
        <v>225</v>
      </c>
      <c r="K47" s="82" t="s">
        <v>229</v>
      </c>
    </row>
    <row r="48" spans="1:13" x14ac:dyDescent="0.15">
      <c r="J48" s="82" t="s">
        <v>226</v>
      </c>
      <c r="K48" s="82" t="s">
        <v>230</v>
      </c>
    </row>
    <row r="49" spans="10:11" x14ac:dyDescent="0.15">
      <c r="J49" s="82" t="s">
        <v>227</v>
      </c>
      <c r="K49" s="82" t="s">
        <v>231</v>
      </c>
    </row>
    <row r="50" spans="10:11" x14ac:dyDescent="0.15">
      <c r="J50" s="82" t="s">
        <v>228</v>
      </c>
      <c r="K50" s="82" t="s">
        <v>232</v>
      </c>
    </row>
    <row r="51" spans="10:11" x14ac:dyDescent="0.15">
      <c r="J51" s="82" t="s">
        <v>234</v>
      </c>
      <c r="K51" s="82" t="s">
        <v>233</v>
      </c>
    </row>
    <row r="52" spans="10:11" x14ac:dyDescent="0.15">
      <c r="J52" s="82" t="s">
        <v>235</v>
      </c>
      <c r="K52" s="82" t="s">
        <v>236</v>
      </c>
    </row>
    <row r="53" spans="10:11" x14ac:dyDescent="0.15">
      <c r="J53" s="82"/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77</v>
      </c>
    </row>
    <row r="2" spans="1:1" x14ac:dyDescent="0.15">
      <c r="A2" t="s">
        <v>78</v>
      </c>
    </row>
    <row r="3" spans="1:1" x14ac:dyDescent="0.15">
      <c r="A3" t="s">
        <v>79</v>
      </c>
    </row>
    <row r="4" spans="1:1" x14ac:dyDescent="0.15">
      <c r="A4" t="s">
        <v>80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50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6" t="s">
        <v>242</v>
      </c>
      <c r="B2" s="60" t="s">
        <v>109</v>
      </c>
      <c r="C2" s="95">
        <v>7324</v>
      </c>
      <c r="D2" s="19" t="s">
        <v>45</v>
      </c>
      <c r="E2" s="17" t="str">
        <f t="shared" ref="E2" si="0">B2&amp;C2&amp;D2</f>
        <v>gacha_select_tables_7324.tmp</v>
      </c>
      <c r="F2" s="95" t="s">
        <v>246</v>
      </c>
      <c r="G2" s="49" t="s">
        <v>84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3" t="s">
        <v>245</v>
      </c>
      <c r="B3" s="91" t="s">
        <v>243</v>
      </c>
      <c r="C3" s="95">
        <v>7324</v>
      </c>
      <c r="D3" s="19" t="s">
        <v>45</v>
      </c>
      <c r="E3" s="17" t="str">
        <f>B3&amp;C3&amp;D3</f>
        <v>gacha_settle_tables_7324.tmp</v>
      </c>
      <c r="F3" s="95" t="s">
        <v>247</v>
      </c>
      <c r="G3" s="49" t="s">
        <v>84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6" t="s">
        <v>240</v>
      </c>
      <c r="B4" s="27" t="s">
        <v>49</v>
      </c>
      <c r="C4" s="32">
        <v>363</v>
      </c>
      <c r="D4" s="19" t="s">
        <v>45</v>
      </c>
      <c r="E4" s="17" t="str">
        <f t="shared" ref="E4:E6" si="1">B4&amp;C4&amp;D4</f>
        <v>gacha_bonus_tables_363.tmp</v>
      </c>
      <c r="F4" s="19" t="s">
        <v>46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86" t="s">
        <v>240</v>
      </c>
      <c r="B5" s="19" t="s">
        <v>47</v>
      </c>
      <c r="C5" s="32">
        <v>363</v>
      </c>
      <c r="D5" s="19" t="s">
        <v>45</v>
      </c>
      <c r="E5" s="17" t="str">
        <f t="shared" si="1"/>
        <v>gifts_tmp_363.tmp</v>
      </c>
      <c r="F5" s="19" t="s">
        <v>46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0" t="s">
        <v>7</v>
      </c>
      <c r="P5" s="50" t="s">
        <v>9</v>
      </c>
      <c r="Q5" s="50" t="s">
        <v>6</v>
      </c>
      <c r="R5" s="50" t="s">
        <v>85</v>
      </c>
      <c r="S5" s="50" t="s">
        <v>8</v>
      </c>
      <c r="T5" s="50" t="s">
        <v>86</v>
      </c>
      <c r="U5" s="50" t="s">
        <v>5</v>
      </c>
    </row>
    <row r="6" spans="1:21" x14ac:dyDescent="0.15">
      <c r="A6" s="86" t="s">
        <v>240</v>
      </c>
      <c r="B6" s="19" t="s">
        <v>48</v>
      </c>
      <c r="C6" s="32">
        <v>363</v>
      </c>
      <c r="D6" s="19" t="s">
        <v>45</v>
      </c>
      <c r="E6" s="17" t="str">
        <f t="shared" si="1"/>
        <v>gifts_i18n_363.tmp</v>
      </c>
      <c r="F6" s="19" t="s">
        <v>46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B29" sqref="B2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81</v>
      </c>
      <c r="B1" s="48"/>
      <c r="L1" s="38" t="s">
        <v>60</v>
      </c>
      <c r="M1" s="38"/>
      <c r="U1" t="s">
        <v>60</v>
      </c>
    </row>
    <row r="2" spans="1:22" x14ac:dyDescent="0.15">
      <c r="A2">
        <v>7324010</v>
      </c>
      <c r="L2" s="33" t="s">
        <v>1</v>
      </c>
      <c r="M2" s="37" t="s">
        <v>64</v>
      </c>
      <c r="N2" s="33" t="s">
        <v>62</v>
      </c>
      <c r="O2" s="37" t="s">
        <v>65</v>
      </c>
      <c r="P2" s="37" t="s">
        <v>66</v>
      </c>
      <c r="Q2" s="37" t="s">
        <v>63</v>
      </c>
      <c r="R2" s="44" t="s">
        <v>72</v>
      </c>
      <c r="U2" s="33" t="s">
        <v>189</v>
      </c>
      <c r="V2" s="53">
        <f t="shared" ref="V2:V16" si="0">SUMIF(Q:Q,U2,N:N)</f>
        <v>0</v>
      </c>
    </row>
    <row r="3" spans="1:22" x14ac:dyDescent="0.15">
      <c r="H3" s="72" t="s">
        <v>210</v>
      </c>
      <c r="L3" s="59"/>
      <c r="M3" s="37" t="e">
        <f>VLOOKUP(L3,[1]characters!$A:$C,3,FALSE)</f>
        <v>#N/A</v>
      </c>
      <c r="N3" s="62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VLOOKUP(L3,tables_7324!B:C,2,FALSE)</f>
        <v>#N/A</v>
      </c>
      <c r="R3" s="61">
        <f t="shared" ref="R3:R20" si="1">N3*A$36</f>
        <v>0</v>
      </c>
      <c r="S3">
        <v>190</v>
      </c>
      <c r="U3" s="33" t="s">
        <v>190</v>
      </c>
      <c r="V3" s="53">
        <f t="shared" si="0"/>
        <v>0</v>
      </c>
    </row>
    <row r="4" spans="1:22" x14ac:dyDescent="0.15">
      <c r="A4" s="34" t="s">
        <v>52</v>
      </c>
      <c r="B4" s="34"/>
      <c r="D4" t="s">
        <v>199</v>
      </c>
      <c r="F4" t="s">
        <v>202</v>
      </c>
      <c r="H4" t="s">
        <v>208</v>
      </c>
      <c r="I4" t="s">
        <v>209</v>
      </c>
      <c r="L4" s="59"/>
      <c r="M4" s="37" t="e">
        <f>VLOOKUP(L4,[1]characters!$A:$C,3,FALSE)</f>
        <v>#N/A</v>
      </c>
      <c r="N4" s="62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VLOOKUP(L4,tables_7324!B:C,2,FALSE)</f>
        <v>#N/A</v>
      </c>
      <c r="R4" s="61">
        <f t="shared" si="1"/>
        <v>0</v>
      </c>
      <c r="S4">
        <v>191</v>
      </c>
      <c r="U4" s="33" t="s">
        <v>96</v>
      </c>
      <c r="V4" s="53">
        <f t="shared" si="0"/>
        <v>0</v>
      </c>
    </row>
    <row r="5" spans="1:22" x14ac:dyDescent="0.15">
      <c r="A5" s="33" t="s">
        <v>67</v>
      </c>
      <c r="B5" s="71">
        <v>0</v>
      </c>
      <c r="D5" t="s">
        <v>200</v>
      </c>
      <c r="E5" s="43">
        <f>(B11-H5)/(F5-I5)</f>
        <v>1.3888888888888889E-3</v>
      </c>
      <c r="F5">
        <f>(COUNTIF(tables_7324!C:C,input_7324!A28)+COUNTIF(tables_7324!C:C,input_7324!A29))</f>
        <v>72</v>
      </c>
      <c r="H5" s="83">
        <v>0</v>
      </c>
      <c r="I5" s="31">
        <v>0</v>
      </c>
      <c r="L5" s="59"/>
      <c r="M5" s="37" t="e">
        <f>VLOOKUP(L5,[1]characters!$A:$C,3,FALSE)</f>
        <v>#N/A</v>
      </c>
      <c r="N5" s="62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VLOOKUP(L5,tables_7324!B:C,2,FALSE)</f>
        <v>#N/A</v>
      </c>
      <c r="R5" s="61">
        <f t="shared" si="1"/>
        <v>0</v>
      </c>
      <c r="S5">
        <v>192</v>
      </c>
      <c r="U5" s="33" t="s">
        <v>97</v>
      </c>
      <c r="V5" s="53">
        <f t="shared" si="0"/>
        <v>0</v>
      </c>
    </row>
    <row r="6" spans="1:22" x14ac:dyDescent="0.15">
      <c r="A6" s="33" t="s">
        <v>68</v>
      </c>
      <c r="B6" s="71">
        <v>0</v>
      </c>
      <c r="D6" t="s">
        <v>201</v>
      </c>
      <c r="E6" s="75">
        <f>(B10-H6)/(F6-I6)</f>
        <v>9.3749999999999997E-3</v>
      </c>
      <c r="F6">
        <f>(COUNTIF(tables_7324!C:C,input_7324!A25)+COUNTIF(tables_7324!C:C,input_7324!A18)+COUNTIF(tables_7324!C:C,input_7324!A20)+COUNTIF(tables_7324!C:C,input_7324!A22))</f>
        <v>96</v>
      </c>
      <c r="H6" s="88">
        <v>0</v>
      </c>
      <c r="I6" s="31">
        <v>0</v>
      </c>
      <c r="L6" s="89"/>
      <c r="M6" s="37" t="e">
        <f>VLOOKUP(L6,[1]characters!$A:$C,3,FALSE)</f>
        <v>#N/A</v>
      </c>
      <c r="N6" s="62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VLOOKUP(L6,tables_7324!B:C,2,FALSE)</f>
        <v>#N/A</v>
      </c>
      <c r="R6" s="61">
        <f t="shared" si="1"/>
        <v>0</v>
      </c>
      <c r="S6">
        <v>596</v>
      </c>
      <c r="U6" s="33" t="s">
        <v>98</v>
      </c>
      <c r="V6" s="53">
        <f t="shared" si="0"/>
        <v>0</v>
      </c>
    </row>
    <row r="7" spans="1:22" x14ac:dyDescent="0.15">
      <c r="A7" s="33" t="s">
        <v>69</v>
      </c>
      <c r="B7" s="71">
        <v>1</v>
      </c>
      <c r="L7" s="59"/>
      <c r="M7" s="37" t="e">
        <f>VLOOKUP(L7,[1]characters!$A:$C,3,FALSE)</f>
        <v>#N/A</v>
      </c>
      <c r="N7" s="62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VLOOKUP(L7,tables_7324!B:C,2,FALSE)</f>
        <v>#N/A</v>
      </c>
      <c r="R7" s="61">
        <f t="shared" si="1"/>
        <v>0</v>
      </c>
      <c r="S7">
        <v>597</v>
      </c>
      <c r="U7" s="33" t="s">
        <v>195</v>
      </c>
      <c r="V7" s="53">
        <f t="shared" si="0"/>
        <v>0</v>
      </c>
    </row>
    <row r="8" spans="1:22" x14ac:dyDescent="0.15">
      <c r="A8" s="56"/>
      <c r="B8" s="70"/>
      <c r="E8" s="75"/>
      <c r="L8" s="59"/>
      <c r="M8" s="37" t="e">
        <f>VLOOKUP(L8,[1]characters!$A:$C,3,FALSE)</f>
        <v>#N/A</v>
      </c>
      <c r="N8" s="62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VLOOKUP(L8,tables_7324!B:C,2,FALSE)</f>
        <v>#N/A</v>
      </c>
      <c r="R8" s="61">
        <f t="shared" si="1"/>
        <v>0</v>
      </c>
      <c r="S8">
        <v>598</v>
      </c>
      <c r="U8" s="33" t="s">
        <v>196</v>
      </c>
      <c r="V8" s="53">
        <f t="shared" si="0"/>
        <v>0</v>
      </c>
    </row>
    <row r="9" spans="1:22" x14ac:dyDescent="0.15">
      <c r="A9" s="35" t="s">
        <v>53</v>
      </c>
      <c r="B9" s="35"/>
      <c r="L9" s="87"/>
      <c r="M9" s="37" t="e">
        <f>VLOOKUP(L9,[1]characters!$A:$C,3,FALSE)</f>
        <v>#N/A</v>
      </c>
      <c r="N9" s="62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VLOOKUP(L9,tables_7324!B:C,2,FALSE)</f>
        <v>#N/A</v>
      </c>
      <c r="R9" s="61">
        <f t="shared" si="1"/>
        <v>0</v>
      </c>
      <c r="S9">
        <v>390</v>
      </c>
      <c r="U9" s="33" t="s">
        <v>192</v>
      </c>
      <c r="V9" s="53">
        <f t="shared" si="0"/>
        <v>0</v>
      </c>
    </row>
    <row r="10" spans="1:22" x14ac:dyDescent="0.15">
      <c r="A10" s="33" t="s">
        <v>95</v>
      </c>
      <c r="B10" s="71">
        <f>1-B11-B12</f>
        <v>0.9</v>
      </c>
      <c r="C10" t="s">
        <v>207</v>
      </c>
      <c r="L10" s="87"/>
      <c r="M10" s="37" t="e">
        <f>VLOOKUP(L10,[1]characters!$A:$C,3,FALSE)</f>
        <v>#N/A</v>
      </c>
      <c r="N10" s="62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VLOOKUP(L10,tables_7324!B:C,2,FALSE)</f>
        <v>#N/A</v>
      </c>
      <c r="R10" s="61">
        <f t="shared" si="1"/>
        <v>0</v>
      </c>
      <c r="S10">
        <v>391</v>
      </c>
      <c r="U10" s="33" t="s">
        <v>193</v>
      </c>
      <c r="V10" s="53">
        <f t="shared" si="0"/>
        <v>0</v>
      </c>
    </row>
    <row r="11" spans="1:22" x14ac:dyDescent="0.15">
      <c r="A11" s="33" t="s">
        <v>55</v>
      </c>
      <c r="B11" s="76">
        <v>0.1</v>
      </c>
      <c r="C11" t="s">
        <v>241</v>
      </c>
      <c r="L11" s="87"/>
      <c r="M11" s="37" t="e">
        <f>VLOOKUP(L11,[1]characters!$A:$C,3,FALSE)</f>
        <v>#N/A</v>
      </c>
      <c r="N11" s="62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VLOOKUP(L11,tables_7324!B:C,2,FALSE)</f>
        <v>#N/A</v>
      </c>
      <c r="R11" s="61">
        <f t="shared" si="1"/>
        <v>0</v>
      </c>
      <c r="S11">
        <v>811</v>
      </c>
      <c r="U11" s="33" t="s">
        <v>194</v>
      </c>
      <c r="V11" s="53">
        <f t="shared" si="0"/>
        <v>0</v>
      </c>
    </row>
    <row r="12" spans="1:22" x14ac:dyDescent="0.15">
      <c r="A12" s="33" t="s">
        <v>54</v>
      </c>
      <c r="B12" s="71">
        <v>0</v>
      </c>
      <c r="M12" s="37" t="e">
        <f>VLOOKUP(L12,[1]characters!$A:$C,3,FALSE)</f>
        <v>#N/A</v>
      </c>
      <c r="N12" s="62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VLOOKUP(L12,tables_7324!B:C,2,FALSE)</f>
        <v>#N/A</v>
      </c>
      <c r="R12" s="61">
        <f t="shared" si="1"/>
        <v>0</v>
      </c>
      <c r="S12">
        <v>496</v>
      </c>
      <c r="U12" s="33" t="s">
        <v>105</v>
      </c>
      <c r="V12" s="53">
        <f t="shared" si="0"/>
        <v>0</v>
      </c>
    </row>
    <row r="13" spans="1:22" x14ac:dyDescent="0.15">
      <c r="M13" s="37" t="e">
        <f>VLOOKUP(L13,[1]characters!$A:$C,3,FALSE)</f>
        <v>#N/A</v>
      </c>
      <c r="N13" s="62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VLOOKUP(L13,tables_7324!B:C,2,FALSE)</f>
        <v>#N/A</v>
      </c>
      <c r="R13" s="61">
        <f t="shared" si="1"/>
        <v>0</v>
      </c>
      <c r="S13">
        <v>497</v>
      </c>
      <c r="U13" s="33" t="s">
        <v>106</v>
      </c>
      <c r="V13" s="53">
        <f t="shared" si="0"/>
        <v>0</v>
      </c>
    </row>
    <row r="14" spans="1:22" x14ac:dyDescent="0.15">
      <c r="M14" s="37" t="e">
        <f>VLOOKUP(L14,[1]characters!$A:$C,3,FALSE)</f>
        <v>#N/A</v>
      </c>
      <c r="N14" s="62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VLOOKUP(L14,tables_7324!B:C,2,FALSE)</f>
        <v>#N/A</v>
      </c>
      <c r="R14" s="61">
        <f t="shared" si="1"/>
        <v>0</v>
      </c>
      <c r="S14">
        <v>498</v>
      </c>
      <c r="U14" s="33" t="s">
        <v>198</v>
      </c>
      <c r="V14" s="53">
        <f t="shared" si="0"/>
        <v>0</v>
      </c>
    </row>
    <row r="15" spans="1:22" x14ac:dyDescent="0.15">
      <c r="A15" s="36" t="s">
        <v>56</v>
      </c>
      <c r="B15" s="36"/>
      <c r="C15" t="s">
        <v>82</v>
      </c>
      <c r="M15" s="37" t="e">
        <f>VLOOKUP(L15,[1]characters!$A:$C,3,FALSE)</f>
        <v>#N/A</v>
      </c>
      <c r="N15" s="62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VLOOKUP(L15,tables_7324!B:C,2,FALSE)</f>
        <v>#N/A</v>
      </c>
      <c r="R15" s="61">
        <f t="shared" si="1"/>
        <v>0</v>
      </c>
      <c r="S15">
        <v>395</v>
      </c>
      <c r="U15" s="33" t="s">
        <v>197</v>
      </c>
      <c r="V15" s="53">
        <f t="shared" si="0"/>
        <v>0</v>
      </c>
    </row>
    <row r="16" spans="1:22" x14ac:dyDescent="0.15">
      <c r="A16" s="33" t="s">
        <v>59</v>
      </c>
      <c r="B16" s="33" t="s">
        <v>191</v>
      </c>
      <c r="C16" s="37" t="s">
        <v>60</v>
      </c>
      <c r="D16" s="37" t="s">
        <v>61</v>
      </c>
      <c r="E16" t="s">
        <v>71</v>
      </c>
      <c r="F16" t="s">
        <v>70</v>
      </c>
      <c r="G16" t="s">
        <v>73</v>
      </c>
      <c r="H16" t="s">
        <v>211</v>
      </c>
      <c r="I16" t="s">
        <v>74</v>
      </c>
      <c r="J16" t="s">
        <v>76</v>
      </c>
      <c r="M16" s="37" t="e">
        <f>VLOOKUP(L16,[1]characters!$A:$C,3,FALSE)</f>
        <v>#N/A</v>
      </c>
      <c r="N16" s="62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VLOOKUP(L16,tables_7324!B:C,2,FALSE)</f>
        <v>#N/A</v>
      </c>
      <c r="R16" s="61">
        <f t="shared" si="1"/>
        <v>0</v>
      </c>
      <c r="S16">
        <v>396</v>
      </c>
      <c r="U16" s="33" t="s">
        <v>107</v>
      </c>
      <c r="V16" s="53">
        <f t="shared" si="0"/>
        <v>0</v>
      </c>
    </row>
    <row r="17" spans="1:19" x14ac:dyDescent="0.15">
      <c r="A17" s="33" t="s">
        <v>189</v>
      </c>
      <c r="B17" s="81">
        <f>B$5-B19-B24</f>
        <v>0</v>
      </c>
      <c r="C17" s="84">
        <f t="shared" ref="C17:C31" si="2">SUMIF(Q:Q,A17,N:N)</f>
        <v>0</v>
      </c>
      <c r="D17" s="73">
        <f t="shared" ref="D17:D32" si="3">B17-C17</f>
        <v>0</v>
      </c>
      <c r="E17">
        <f>COUNTIF(tables_7324!C:C,input_7324!A17)-COUNTIF(Q:Q,A17)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2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VLOOKUP(L17,tables_7324!B:C,2,FALSE)</f>
        <v>#N/A</v>
      </c>
      <c r="R17" s="61">
        <f t="shared" si="1"/>
        <v>0</v>
      </c>
      <c r="S17">
        <v>397</v>
      </c>
    </row>
    <row r="18" spans="1:19" x14ac:dyDescent="0.15">
      <c r="A18" s="33" t="s">
        <v>190</v>
      </c>
      <c r="B18" s="55">
        <v>0</v>
      </c>
      <c r="C18" s="84">
        <f t="shared" si="2"/>
        <v>0</v>
      </c>
      <c r="D18" s="73">
        <f t="shared" si="3"/>
        <v>0</v>
      </c>
      <c r="E18">
        <f>COUNTIF(tables_7324!C:C,input_7324!A18)-COUNTIF(Q:Q,A18)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2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VLOOKUP(L18,tables_7324!B:C,2,FALSE)</f>
        <v>#N/A</v>
      </c>
      <c r="R18" s="61">
        <f t="shared" si="1"/>
        <v>0</v>
      </c>
      <c r="S18">
        <v>324</v>
      </c>
    </row>
    <row r="19" spans="1:19" x14ac:dyDescent="0.15">
      <c r="A19" s="33" t="s">
        <v>96</v>
      </c>
      <c r="B19" s="55">
        <f>E$6*E19*B$5</f>
        <v>0</v>
      </c>
      <c r="C19" s="84">
        <f t="shared" si="2"/>
        <v>0</v>
      </c>
      <c r="D19" s="73">
        <f t="shared" si="3"/>
        <v>0</v>
      </c>
      <c r="E19">
        <f>COUNTIF(tables_7324!C:C,input_7324!A19)-COUNTIF(Q:Q,A19)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2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VLOOKUP(L19,tables_7324!B:C,2,FALSE)</f>
        <v>#N/A</v>
      </c>
      <c r="R19" s="61">
        <f t="shared" si="1"/>
        <v>0</v>
      </c>
      <c r="S19">
        <v>325</v>
      </c>
    </row>
    <row r="20" spans="1:19" x14ac:dyDescent="0.15">
      <c r="A20" s="33" t="s">
        <v>97</v>
      </c>
      <c r="B20" s="90">
        <v>0</v>
      </c>
      <c r="C20" s="84">
        <f t="shared" si="2"/>
        <v>0</v>
      </c>
      <c r="D20" s="73">
        <f t="shared" si="3"/>
        <v>0</v>
      </c>
      <c r="E20">
        <f>COUNTIF(tables_7324!C:C,input_7324!A20)-COUNTIF(Q:Q,A20)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2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VLOOKUP(L20,tables_7324!B:C,2,FALSE)</f>
        <v>#N/A</v>
      </c>
      <c r="R20" s="61">
        <f t="shared" si="1"/>
        <v>0</v>
      </c>
      <c r="S20">
        <v>809</v>
      </c>
    </row>
    <row r="21" spans="1:19" x14ac:dyDescent="0.15">
      <c r="A21" s="33" t="s">
        <v>98</v>
      </c>
      <c r="B21" s="55">
        <f>B7-B23-B26-B28-B29</f>
        <v>0.59062500000000007</v>
      </c>
      <c r="C21" s="84">
        <f t="shared" si="2"/>
        <v>0</v>
      </c>
      <c r="D21" s="73">
        <f t="shared" si="3"/>
        <v>0.59062500000000007</v>
      </c>
      <c r="E21">
        <f>COUNTIF(tables_7324!C:C,input_7324!A21)-COUNTIF(Q:Q,A21)</f>
        <v>52</v>
      </c>
      <c r="F21" s="43">
        <f t="shared" si="8"/>
        <v>1.1358173076923078E-2</v>
      </c>
      <c r="G21">
        <f t="shared" si="4"/>
        <v>3402000.0000000005</v>
      </c>
      <c r="H21">
        <f t="shared" si="5"/>
        <v>65423.07692</v>
      </c>
      <c r="I21">
        <f t="shared" si="6"/>
        <v>7.6919999999518041E-2</v>
      </c>
      <c r="J21">
        <f t="shared" si="7"/>
        <v>13.00052002088229</v>
      </c>
      <c r="L21" s="56"/>
      <c r="M21" s="56"/>
      <c r="N21" s="57"/>
      <c r="O21" s="56"/>
      <c r="P21" s="56"/>
      <c r="Q21" s="56"/>
      <c r="R21" s="58"/>
    </row>
    <row r="22" spans="1:19" x14ac:dyDescent="0.15">
      <c r="A22" s="33" t="s">
        <v>195</v>
      </c>
      <c r="B22" s="74">
        <v>0</v>
      </c>
      <c r="C22" s="84">
        <f t="shared" si="2"/>
        <v>0</v>
      </c>
      <c r="D22" s="73">
        <f t="shared" si="3"/>
        <v>0</v>
      </c>
      <c r="E22">
        <f>COUNTIF(tables_7324!C:C,input_7324!A22)-COUNTIF(Q:Q,A22)</f>
        <v>20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6"/>
      <c r="M22" s="56"/>
      <c r="N22" s="57"/>
      <c r="O22" s="56"/>
      <c r="P22" s="56"/>
      <c r="Q22" s="56"/>
      <c r="R22" s="58"/>
    </row>
    <row r="23" spans="1:19" x14ac:dyDescent="0.15">
      <c r="A23" s="33" t="s">
        <v>196</v>
      </c>
      <c r="B23" s="69">
        <f>E23*E6*B7*1.1</f>
        <v>0.268125</v>
      </c>
      <c r="C23" s="84">
        <f t="shared" si="2"/>
        <v>0</v>
      </c>
      <c r="D23" s="73">
        <f t="shared" si="3"/>
        <v>0.268125</v>
      </c>
      <c r="E23">
        <f>COUNTIF(tables_7324!C:C,input_7324!A23)-COUNTIF(Q:Q,A23)</f>
        <v>26</v>
      </c>
      <c r="F23" s="43">
        <f t="shared" si="8"/>
        <v>1.03125E-2</v>
      </c>
      <c r="G23">
        <f t="shared" si="4"/>
        <v>1544400</v>
      </c>
      <c r="H23">
        <f t="shared" si="5"/>
        <v>59400</v>
      </c>
      <c r="I23">
        <f t="shared" si="6"/>
        <v>0</v>
      </c>
      <c r="J23">
        <f t="shared" si="7"/>
        <v>1</v>
      </c>
      <c r="L23" s="56"/>
      <c r="M23" s="56"/>
      <c r="N23" s="57"/>
      <c r="O23" s="56"/>
      <c r="P23" s="56"/>
      <c r="Q23" s="56"/>
      <c r="R23" s="58"/>
    </row>
    <row r="24" spans="1:19" x14ac:dyDescent="0.15">
      <c r="A24" s="33" t="s">
        <v>192</v>
      </c>
      <c r="B24" s="55">
        <f>E$6*E24*B$5</f>
        <v>0</v>
      </c>
      <c r="C24" s="84">
        <f t="shared" si="2"/>
        <v>0</v>
      </c>
      <c r="D24" s="73">
        <f t="shared" si="3"/>
        <v>0</v>
      </c>
      <c r="E24">
        <f>COUNTIF(tables_7324!C:C,input_7324!A24)-COUNTIF(Q:Q,A24)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6"/>
      <c r="M24" s="56"/>
      <c r="N24" s="57"/>
      <c r="O24" s="56"/>
      <c r="P24" s="56"/>
      <c r="Q24" s="56"/>
      <c r="R24" s="58"/>
    </row>
    <row r="25" spans="1:19" x14ac:dyDescent="0.15">
      <c r="A25" s="33" t="s">
        <v>193</v>
      </c>
      <c r="B25" s="55">
        <f>E$6*B$6*E25</f>
        <v>0</v>
      </c>
      <c r="C25" s="84">
        <f t="shared" si="2"/>
        <v>0</v>
      </c>
      <c r="D25" s="73">
        <f t="shared" si="3"/>
        <v>0</v>
      </c>
      <c r="E25">
        <f>COUNTIF(tables_7324!C:C,input_7324!A25)-COUNTIF(Q:Q,A25)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6"/>
      <c r="M25" s="56"/>
      <c r="N25" s="57"/>
      <c r="O25" s="56"/>
      <c r="P25" s="56"/>
      <c r="Q25" s="56"/>
      <c r="R25" s="58"/>
    </row>
    <row r="26" spans="1:19" x14ac:dyDescent="0.15">
      <c r="A26" s="33" t="s">
        <v>194</v>
      </c>
      <c r="B26" s="55">
        <f>E$6*B$7*E26*1.1</f>
        <v>4.1250000000000002E-2</v>
      </c>
      <c r="C26" s="84">
        <f t="shared" si="2"/>
        <v>0</v>
      </c>
      <c r="D26" s="73">
        <f t="shared" si="3"/>
        <v>4.1250000000000002E-2</v>
      </c>
      <c r="E26">
        <f>COUNTIF(tables_7324!C:C,input_7324!A26)-COUNTIF(Q:Q,A26)</f>
        <v>4</v>
      </c>
      <c r="F26" s="43">
        <f t="shared" si="8"/>
        <v>1.03125E-2</v>
      </c>
      <c r="G26">
        <f t="shared" si="4"/>
        <v>237600</v>
      </c>
      <c r="H26">
        <f t="shared" si="5"/>
        <v>59400</v>
      </c>
      <c r="I26">
        <f t="shared" si="6"/>
        <v>0</v>
      </c>
      <c r="J26">
        <f t="shared" si="7"/>
        <v>1</v>
      </c>
      <c r="L26" s="56"/>
      <c r="M26" s="56"/>
      <c r="N26" s="57"/>
      <c r="O26" s="56"/>
      <c r="P26" s="56"/>
      <c r="Q26" s="56"/>
      <c r="R26" s="58"/>
    </row>
    <row r="27" spans="1:19" x14ac:dyDescent="0.15">
      <c r="A27" s="33" t="s">
        <v>105</v>
      </c>
      <c r="B27" s="55">
        <f>E$5*E27*(B$5+B$6)</f>
        <v>0</v>
      </c>
      <c r="C27" s="84">
        <f t="shared" si="2"/>
        <v>0</v>
      </c>
      <c r="D27" s="73">
        <f t="shared" si="3"/>
        <v>0</v>
      </c>
      <c r="E27">
        <f>COUNTIF(tables_7324!C:C,input_7324!A27)-COUNTIF(Q:Q,A27)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6"/>
      <c r="M27" s="56"/>
      <c r="N27" s="57"/>
      <c r="O27" s="56"/>
      <c r="P27" s="56"/>
      <c r="Q27" s="56"/>
      <c r="R27" s="58"/>
    </row>
    <row r="28" spans="1:19" x14ac:dyDescent="0.15">
      <c r="A28" s="33" t="s">
        <v>106</v>
      </c>
      <c r="B28" s="55">
        <f>E$5*E28*B$7</f>
        <v>3.888888888888889E-2</v>
      </c>
      <c r="C28" s="84">
        <f t="shared" si="2"/>
        <v>0</v>
      </c>
      <c r="D28" s="73">
        <f t="shared" si="3"/>
        <v>3.888888888888889E-2</v>
      </c>
      <c r="E28">
        <f>COUNTIF(tables_7324!C:C,input_7324!A28)-COUNTIF(Q:Q,A28)</f>
        <v>28</v>
      </c>
      <c r="F28" s="43">
        <f t="shared" si="8"/>
        <v>1.3888888888888889E-3</v>
      </c>
      <c r="G28">
        <f t="shared" si="4"/>
        <v>224000</v>
      </c>
      <c r="H28">
        <f t="shared" si="5"/>
        <v>8000</v>
      </c>
      <c r="I28">
        <f t="shared" si="6"/>
        <v>0</v>
      </c>
      <c r="J28">
        <f t="shared" si="7"/>
        <v>1</v>
      </c>
      <c r="L28" s="56"/>
      <c r="M28" s="56"/>
      <c r="N28" s="57"/>
      <c r="O28" s="56"/>
      <c r="P28" s="56"/>
      <c r="Q28" s="56"/>
      <c r="R28" s="58"/>
    </row>
    <row r="29" spans="1:19" x14ac:dyDescent="0.15">
      <c r="A29" s="33" t="s">
        <v>198</v>
      </c>
      <c r="B29" s="55">
        <f>E$5*E29</f>
        <v>6.1111111111111116E-2</v>
      </c>
      <c r="C29" s="84">
        <f t="shared" si="2"/>
        <v>0</v>
      </c>
      <c r="D29" s="73">
        <f t="shared" si="3"/>
        <v>6.1111111111111116E-2</v>
      </c>
      <c r="E29">
        <f>COUNTIF(tables_7324!C:C,input_7324!A29)-COUNTIF(Q:Q,A29)</f>
        <v>44</v>
      </c>
      <c r="F29" s="43">
        <f t="shared" si="8"/>
        <v>1.3888888888888889E-3</v>
      </c>
      <c r="G29">
        <f t="shared" si="4"/>
        <v>352000</v>
      </c>
      <c r="H29">
        <f t="shared" si="5"/>
        <v>8000</v>
      </c>
      <c r="I29">
        <f t="shared" si="6"/>
        <v>0</v>
      </c>
      <c r="J29">
        <f t="shared" si="7"/>
        <v>1</v>
      </c>
      <c r="L29" s="56"/>
      <c r="M29" s="56"/>
      <c r="N29" s="57"/>
      <c r="O29" s="56"/>
      <c r="P29" s="56"/>
      <c r="Q29" s="56"/>
      <c r="R29" s="58"/>
    </row>
    <row r="30" spans="1:19" x14ac:dyDescent="0.15">
      <c r="A30" s="33" t="s">
        <v>238</v>
      </c>
      <c r="B30" s="55">
        <f>0</f>
        <v>0</v>
      </c>
      <c r="C30" s="84">
        <f t="shared" si="2"/>
        <v>0</v>
      </c>
      <c r="D30" s="73">
        <f t="shared" si="3"/>
        <v>0</v>
      </c>
      <c r="E30">
        <f>COUNTIF(tables_7324!C:C,input_7324!A30)-COUNTIF(Q:Q,A30)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6"/>
      <c r="M30" s="56"/>
      <c r="N30" s="57"/>
      <c r="O30" s="56"/>
      <c r="P30" s="56"/>
      <c r="Q30" s="56"/>
      <c r="R30" s="58"/>
    </row>
    <row r="31" spans="1:19" x14ac:dyDescent="0.15">
      <c r="A31" s="33" t="s">
        <v>239</v>
      </c>
      <c r="B31" s="55">
        <v>0</v>
      </c>
      <c r="C31" s="84">
        <f t="shared" si="2"/>
        <v>0</v>
      </c>
      <c r="D31" s="73">
        <f t="shared" si="3"/>
        <v>0</v>
      </c>
      <c r="E31">
        <f>COUNTIF(tables_7324!C:C,input_7324!A31)-COUNTIF(Q:Q,A31)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6"/>
      <c r="M31" s="56"/>
      <c r="N31" s="57"/>
      <c r="O31" s="56"/>
      <c r="P31" s="56"/>
      <c r="Q31" s="56"/>
      <c r="R31" s="58"/>
    </row>
    <row r="32" spans="1:19" x14ac:dyDescent="0.15">
      <c r="A32" s="39" t="s">
        <v>58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6"/>
      <c r="M32" s="56"/>
      <c r="N32" s="56"/>
      <c r="O32" s="56"/>
      <c r="P32" s="56"/>
      <c r="Q32" s="56"/>
      <c r="R32" s="58"/>
    </row>
    <row r="34" spans="1:7" x14ac:dyDescent="0.15">
      <c r="E34" s="54"/>
      <c r="F34" s="54"/>
    </row>
    <row r="35" spans="1:7" x14ac:dyDescent="0.15">
      <c r="A35" t="s">
        <v>72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75</v>
      </c>
    </row>
    <row r="39" spans="1:7" x14ac:dyDescent="0.15">
      <c r="A39" s="33" t="s">
        <v>59</v>
      </c>
      <c r="B39" t="s">
        <v>73</v>
      </c>
      <c r="C39" t="s">
        <v>99</v>
      </c>
      <c r="E39" t="s">
        <v>100</v>
      </c>
      <c r="F39" t="s">
        <v>2</v>
      </c>
      <c r="G39" t="s">
        <v>62</v>
      </c>
    </row>
    <row r="40" spans="1:7" x14ac:dyDescent="0.15">
      <c r="A40" s="33" t="s">
        <v>102</v>
      </c>
      <c r="B40">
        <f>SUMIF(tables_7324!C:C,input_7324!A40,tables_7324!O:O)</f>
        <v>0</v>
      </c>
      <c r="C40" s="53">
        <f t="shared" ref="C40:C46" si="9">B40/B$47</f>
        <v>0</v>
      </c>
      <c r="E40">
        <v>3</v>
      </c>
      <c r="F40">
        <f>SUMIF(tables_7324!J:J,input_7324!E40,tables_7324!O:O)</f>
        <v>0</v>
      </c>
      <c r="G40">
        <f>F40/A36</f>
        <v>0</v>
      </c>
    </row>
    <row r="41" spans="1:7" x14ac:dyDescent="0.15">
      <c r="A41" s="33" t="s">
        <v>103</v>
      </c>
      <c r="B41">
        <f>SUMIF(tables_7324!C:C,input_7324!A41,tables_7324!O:O)</f>
        <v>0</v>
      </c>
      <c r="C41" s="53">
        <f t="shared" si="9"/>
        <v>0</v>
      </c>
      <c r="E41">
        <v>4</v>
      </c>
      <c r="F41">
        <f>SUMIF(tables_7324!J:J,input_7324!E41,tables_7324!O:O)</f>
        <v>0</v>
      </c>
      <c r="G41">
        <f>F41/A36</f>
        <v>0</v>
      </c>
    </row>
    <row r="42" spans="1:7" x14ac:dyDescent="0.15">
      <c r="A42" s="33" t="s">
        <v>105</v>
      </c>
      <c r="B42">
        <f>SUMIF(tables_7324!C:C,input_7324!A42,tables_7324!O:O)</f>
        <v>0</v>
      </c>
      <c r="C42" s="53">
        <f t="shared" si="9"/>
        <v>0</v>
      </c>
      <c r="E42">
        <v>5</v>
      </c>
      <c r="F42">
        <f>SUMIF(tables_7324!J:J,input_7324!E42,tables_7324!O:O)</f>
        <v>5759999.9998399969</v>
      </c>
      <c r="G42">
        <f>F42/A36</f>
        <v>0.99999999997222166</v>
      </c>
    </row>
    <row r="43" spans="1:7" x14ac:dyDescent="0.15">
      <c r="A43" s="33" t="s">
        <v>108</v>
      </c>
      <c r="B43">
        <f>SUMIF(tables_7324!C:C,input_7324!A43,tables_7324!O:O)</f>
        <v>0</v>
      </c>
      <c r="C43" s="53">
        <f t="shared" si="9"/>
        <v>0</v>
      </c>
      <c r="F43" s="54"/>
    </row>
    <row r="44" spans="1:7" x14ac:dyDescent="0.15">
      <c r="A44" s="33" t="s">
        <v>104</v>
      </c>
      <c r="B44">
        <f>SUMIF(tables_7324!C:C,input_7324!A44,tables_7324!O:O)</f>
        <v>3401999.9998399969</v>
      </c>
      <c r="C44" s="53">
        <f t="shared" si="9"/>
        <v>0.93822393822121231</v>
      </c>
      <c r="E44" t="s">
        <v>53</v>
      </c>
      <c r="F44" s="54"/>
    </row>
    <row r="45" spans="1:7" x14ac:dyDescent="0.15">
      <c r="A45" s="33" t="s">
        <v>106</v>
      </c>
      <c r="B45">
        <f>SUMIF(tables_7324!C:C,input_7324!A45,tables_7324!O:O)</f>
        <v>224000</v>
      </c>
      <c r="C45" s="53">
        <f t="shared" si="9"/>
        <v>6.1776061778787743E-2</v>
      </c>
      <c r="E45" t="s">
        <v>203</v>
      </c>
      <c r="F45" s="54">
        <f>SUMIF(tables_7324!I:I,input_7324!E45,tables_7324!P:P)</f>
        <v>6.1875000001718791E-2</v>
      </c>
    </row>
    <row r="46" spans="1:7" x14ac:dyDescent="0.15">
      <c r="A46" s="33" t="s">
        <v>107</v>
      </c>
      <c r="B46">
        <f>SUMIF(tables_7324!C:C,input_7324!A46,tables_7324!O:O)</f>
        <v>0</v>
      </c>
      <c r="C46" s="53">
        <f t="shared" si="9"/>
        <v>0</v>
      </c>
      <c r="E46" t="s">
        <v>204</v>
      </c>
      <c r="F46" s="54">
        <f>SUMIF(tables_7324!I:I,input_7324!E46,tables_7324!P:P)</f>
        <v>0.22402644230483409</v>
      </c>
    </row>
    <row r="47" spans="1:7" x14ac:dyDescent="0.15">
      <c r="A47" s="39" t="s">
        <v>58</v>
      </c>
      <c r="B47">
        <f>SUM(B40:B46)</f>
        <v>3625999.9998399969</v>
      </c>
      <c r="C47" s="54">
        <f>SUM(C40:C46)</f>
        <v>1</v>
      </c>
      <c r="E47" t="s">
        <v>205</v>
      </c>
      <c r="F47" s="54">
        <f>SUMIF(tables_7324!I:I,input_7324!E47,tables_7324!P:P)</f>
        <v>0.61409855769066968</v>
      </c>
    </row>
    <row r="48" spans="1:7" x14ac:dyDescent="0.15">
      <c r="E48" t="s">
        <v>206</v>
      </c>
      <c r="F48" s="54">
        <f>SUMIF(tables_7324!I:I,input_7324!E48,tables_7324!P:P)</f>
        <v>8.7500000002430536E-2</v>
      </c>
      <c r="G48" s="54"/>
    </row>
    <row r="49" spans="5:6" x14ac:dyDescent="0.15">
      <c r="E49" t="s">
        <v>244</v>
      </c>
      <c r="F49" s="54">
        <f>SUMIF(tables_7324!I:I,input_7324!E49,tables_7324!P:P)</f>
        <v>1.2500000000347226E-2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filterMode="1" enableFormatConditionsCalculation="0">
    <tabColor rgb="FF0000FF"/>
    <outlinePr summaryBelow="0" summaryRight="0"/>
  </sheetPr>
  <dimension ref="A1:V355"/>
  <sheetViews>
    <sheetView showGridLines="0" zoomScale="75" zoomScaleNormal="75" zoomScalePageLayoutView="75" workbookViewId="0">
      <pane ySplit="1" topLeftCell="A294" activePane="bottomLeft" state="frozen"/>
      <selection activeCell="H276" sqref="H276"/>
      <selection pane="bottomLeft" activeCell="P44" sqref="P44:P35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83</v>
      </c>
      <c r="B1" s="15" t="s">
        <v>1</v>
      </c>
      <c r="C1" s="3" t="s">
        <v>31</v>
      </c>
      <c r="D1" s="3" t="s">
        <v>94</v>
      </c>
      <c r="E1" s="3" t="s">
        <v>187</v>
      </c>
      <c r="F1" s="3" t="s">
        <v>188</v>
      </c>
      <c r="G1" s="3" t="s">
        <v>101</v>
      </c>
      <c r="H1" s="3" t="s">
        <v>33</v>
      </c>
      <c r="I1" s="3" t="s">
        <v>34</v>
      </c>
      <c r="J1" s="3" t="s">
        <v>35</v>
      </c>
      <c r="K1" s="3" t="s">
        <v>51</v>
      </c>
      <c r="L1" s="3" t="s">
        <v>36</v>
      </c>
      <c r="M1" s="3" t="s">
        <v>37</v>
      </c>
      <c r="N1" s="3" t="s">
        <v>57</v>
      </c>
      <c r="O1" s="15" t="s">
        <v>2</v>
      </c>
      <c r="P1" s="3" t="s">
        <v>62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hidden="1" customHeight="1" x14ac:dyDescent="0.15">
      <c r="A2" s="2">
        <f>input_7324!A$2</f>
        <v>7324010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>IFERROR(VLOOKUP(B2,input_7324!L:R,7,FALSE),VLOOKUP(tables_7324!C2,input_7324!A:H,8,FALSE))</f>
        <v>0</v>
      </c>
      <c r="P2" s="46">
        <f t="shared" ref="P2:P65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hidden="1" customHeight="1" x14ac:dyDescent="0.15">
      <c r="A3" s="2">
        <f>input_7324!A$2</f>
        <v>7324010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>IFERROR(VLOOKUP(B3,input_7324!L:R,7,FALSE),VLOOKUP(tables_7324!C3,input_7324!A:H,8,FALSE))</f>
        <v>0</v>
      </c>
      <c r="P3" s="46">
        <f t="shared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hidden="1" customHeight="1" x14ac:dyDescent="0.15">
      <c r="A4" s="2">
        <f>input_7324!A$2</f>
        <v>7324010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>IFERROR(VLOOKUP(B4,input_7324!L:R,7,FALSE),VLOOKUP(tables_7324!C4,input_7324!A:H,8,FALSE))</f>
        <v>0</v>
      </c>
      <c r="P4" s="46">
        <f t="shared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hidden="1" customHeight="1" x14ac:dyDescent="0.15">
      <c r="A5" s="2">
        <f>input_7324!A$2</f>
        <v>7324010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>IFERROR(VLOOKUP(B5,input_7324!L:R,7,FALSE),VLOOKUP(tables_7324!C5,input_7324!A:H,8,FALSE))</f>
        <v>0</v>
      </c>
      <c r="P5" s="46">
        <f t="shared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hidden="1" customHeight="1" x14ac:dyDescent="0.15">
      <c r="A6" s="2">
        <f>input_7324!A$2</f>
        <v>7324010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>IFERROR(VLOOKUP(B6,input_7324!L:R,7,FALSE),VLOOKUP(tables_7324!C6,input_7324!A:H,8,FALSE))</f>
        <v>0</v>
      </c>
      <c r="P6" s="46">
        <f t="shared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hidden="1" customHeight="1" x14ac:dyDescent="0.15">
      <c r="A7" s="2">
        <f>input_7324!A$2</f>
        <v>7324010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>IFERROR(VLOOKUP(B7,input_7324!L:R,7,FALSE),VLOOKUP(tables_7324!C7,input_7324!A:H,8,FALSE))</f>
        <v>0</v>
      </c>
      <c r="P7" s="46">
        <f t="shared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hidden="1" customHeight="1" x14ac:dyDescent="0.15">
      <c r="A8" s="2">
        <f>input_7324!A$2</f>
        <v>7324010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>IFERROR(VLOOKUP(B8,input_7324!L:R,7,FALSE),VLOOKUP(tables_7324!C8,input_7324!A:H,8,FALSE))</f>
        <v>0</v>
      </c>
      <c r="P8" s="46">
        <f t="shared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hidden="1" customHeight="1" x14ac:dyDescent="0.15">
      <c r="A9" s="2">
        <f>input_7324!A$2</f>
        <v>7324010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>IFERROR(VLOOKUP(B9,input_7324!L:R,7,FALSE),VLOOKUP(tables_7324!C9,input_7324!A:H,8,FALSE))</f>
        <v>0</v>
      </c>
      <c r="P9" s="46">
        <f t="shared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hidden="1" customHeight="1" x14ac:dyDescent="0.15">
      <c r="A10" s="2">
        <f>input_7324!A$2</f>
        <v>7324010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>IFERROR(VLOOKUP(B10,input_7324!L:R,7,FALSE),VLOOKUP(tables_7324!C10,input_7324!A:H,8,FALSE))</f>
        <v>0</v>
      </c>
      <c r="P10" s="46">
        <f t="shared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hidden="1" customHeight="1" x14ac:dyDescent="0.15">
      <c r="A11" s="2">
        <f>input_7324!A$2</f>
        <v>7324010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>IFERROR(VLOOKUP(B11,input_7324!L:R,7,FALSE),VLOOKUP(tables_7324!C11,input_7324!A:H,8,FALSE))</f>
        <v>0</v>
      </c>
      <c r="P11" s="46">
        <f t="shared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hidden="1" customHeight="1" x14ac:dyDescent="0.15">
      <c r="A12" s="2">
        <f>input_7324!A$2</f>
        <v>7324010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>IFERROR(VLOOKUP(B12,input_7324!L:R,7,FALSE),VLOOKUP(tables_7324!C12,input_7324!A:H,8,FALSE))</f>
        <v>0</v>
      </c>
      <c r="P12" s="46">
        <f t="shared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hidden="1" customHeight="1" x14ac:dyDescent="0.15">
      <c r="A13" s="2">
        <f>input_7324!A$2</f>
        <v>7324010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>IFERROR(VLOOKUP(B13,input_7324!L:R,7,FALSE),VLOOKUP(tables_7324!C13,input_7324!A:H,8,FALSE))</f>
        <v>0</v>
      </c>
      <c r="P13" s="46">
        <f t="shared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hidden="1" customHeight="1" x14ac:dyDescent="0.15">
      <c r="A14" s="2">
        <f>input_7324!A$2</f>
        <v>7324010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>IFERROR(VLOOKUP(B14,input_7324!L:R,7,FALSE),VLOOKUP(tables_7324!C14,input_7324!A:H,8,FALSE))</f>
        <v>0</v>
      </c>
      <c r="P14" s="46">
        <f t="shared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hidden="1" customHeight="1" x14ac:dyDescent="0.15">
      <c r="A15" s="2">
        <f>input_7324!A$2</f>
        <v>7324010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>IFERROR(VLOOKUP(B15,input_7324!L:R,7,FALSE),VLOOKUP(tables_7324!C15,input_7324!A:H,8,FALSE))</f>
        <v>0</v>
      </c>
      <c r="P15" s="46">
        <f t="shared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hidden="1" customHeight="1" x14ac:dyDescent="0.15">
      <c r="A16" s="2">
        <f>input_7324!A$2</f>
        <v>7324010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>IFERROR(VLOOKUP(B16,input_7324!L:R,7,FALSE),VLOOKUP(tables_7324!C16,input_7324!A:H,8,FALSE))</f>
        <v>0</v>
      </c>
      <c r="P16" s="46">
        <f t="shared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hidden="1" customHeight="1" x14ac:dyDescent="0.15">
      <c r="A17" s="2">
        <f>input_7324!A$2</f>
        <v>7324010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>IFERROR(VLOOKUP(B17,input_7324!L:R,7,FALSE),VLOOKUP(tables_7324!C17,input_7324!A:H,8,FALSE))</f>
        <v>0</v>
      </c>
      <c r="P17" s="46">
        <f t="shared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hidden="1" customHeight="1" x14ac:dyDescent="0.15">
      <c r="A18" s="2">
        <f>input_7324!A$2</f>
        <v>7324010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>IFERROR(VLOOKUP(B18,input_7324!L:R,7,FALSE),VLOOKUP(tables_7324!C18,input_7324!A:H,8,FALSE))</f>
        <v>0</v>
      </c>
      <c r="P18" s="46">
        <f t="shared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hidden="1" customHeight="1" thickBot="1" x14ac:dyDescent="0.2">
      <c r="A19" s="2">
        <f>input_7324!A$2</f>
        <v>7324010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>IFERROR(VLOOKUP(B19,input_7324!L:R,7,FALSE),VLOOKUP(tables_7324!C19,input_7324!A:H,8,FALSE))</f>
        <v>0</v>
      </c>
      <c r="P19" s="46">
        <f t="shared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hidden="1" customHeight="1" x14ac:dyDescent="0.15">
      <c r="A20" s="2">
        <f>input_7324!A$2</f>
        <v>7324010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>IFERROR(VLOOKUP(B20,input_7324!L:R,7,FALSE),VLOOKUP(tables_7324!C20,input_7324!A:H,8,FALSE))</f>
        <v>0</v>
      </c>
      <c r="P20" s="46">
        <f t="shared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hidden="1" customHeight="1" x14ac:dyDescent="0.15">
      <c r="A21" s="2">
        <f>input_7324!A$2</f>
        <v>7324010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>IFERROR(VLOOKUP(B21,input_7324!L:R,7,FALSE),VLOOKUP(tables_7324!C21,input_7324!A:H,8,FALSE))</f>
        <v>0</v>
      </c>
      <c r="P21" s="46">
        <f t="shared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hidden="1" customHeight="1" x14ac:dyDescent="0.15">
      <c r="A22" s="2">
        <f>input_7324!A$2</f>
        <v>7324010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>IFERROR(VLOOKUP(B22,input_7324!L:R,7,FALSE),VLOOKUP(tables_7324!C22,input_7324!A:H,8,FALSE))</f>
        <v>0</v>
      </c>
      <c r="P22" s="46">
        <f t="shared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hidden="1" customHeight="1" x14ac:dyDescent="0.15">
      <c r="A23" s="2">
        <f>input_7324!A$2</f>
        <v>7324010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>IFERROR(VLOOKUP(B23,input_7324!L:R,7,FALSE),VLOOKUP(tables_7324!C23,input_7324!A:H,8,FALSE))</f>
        <v>0</v>
      </c>
      <c r="P23" s="46">
        <f t="shared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hidden="1" customHeight="1" x14ac:dyDescent="0.15">
      <c r="A24" s="2">
        <f>input_7324!A$2</f>
        <v>7324010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>IFERROR(VLOOKUP(B24,input_7324!L:R,7,FALSE),VLOOKUP(tables_7324!C24,input_7324!A:H,8,FALSE))</f>
        <v>0</v>
      </c>
      <c r="P24" s="46">
        <f t="shared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hidden="1" customHeight="1" x14ac:dyDescent="0.15">
      <c r="A25" s="2">
        <f>input_7324!A$2</f>
        <v>7324010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>IFERROR(VLOOKUP(B25,input_7324!L:R,7,FALSE),VLOOKUP(tables_7324!C25,input_7324!A:H,8,FALSE))</f>
        <v>0</v>
      </c>
      <c r="P25" s="46">
        <f t="shared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2" hidden="1" customHeight="1" x14ac:dyDescent="0.15">
      <c r="A26" s="2">
        <f>input_7324!A$2</f>
        <v>7324010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>IFERROR(VLOOKUP(B26,input_7324!L:R,7,FALSE),VLOOKUP(tables_7324!C26,input_7324!A:H,8,FALSE))</f>
        <v>0</v>
      </c>
      <c r="P26" s="46">
        <f t="shared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hidden="1" customHeight="1" x14ac:dyDescent="0.15">
      <c r="A27" s="2">
        <f>input_7324!A$2</f>
        <v>7324010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>IFERROR(VLOOKUP(B27,input_7324!L:R,7,FALSE),VLOOKUP(tables_7324!C27,input_7324!A:H,8,FALSE))</f>
        <v>0</v>
      </c>
      <c r="P27" s="46">
        <f t="shared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hidden="1" customHeight="1" x14ac:dyDescent="0.15">
      <c r="A28" s="2">
        <f>input_7324!A$2</f>
        <v>7324010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>IFERROR(VLOOKUP(B28,input_7324!L:R,7,FALSE),VLOOKUP(tables_7324!C28,input_7324!A:H,8,FALSE))</f>
        <v>0</v>
      </c>
      <c r="P28" s="46">
        <f t="shared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hidden="1" customHeight="1" x14ac:dyDescent="0.15">
      <c r="A29" s="2">
        <f>input_7324!A$2</f>
        <v>7324010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>IFERROR(VLOOKUP(B29,input_7324!L:R,7,FALSE),VLOOKUP(tables_7324!C29,input_7324!A:H,8,FALSE))</f>
        <v>0</v>
      </c>
      <c r="P29" s="46">
        <f t="shared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hidden="1" customHeight="1" x14ac:dyDescent="0.15">
      <c r="A30" s="2">
        <f>input_7324!A$2</f>
        <v>7324010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>IFERROR(VLOOKUP(B30,input_7324!L:R,7,FALSE),VLOOKUP(tables_7324!C30,input_7324!A:H,8,FALSE))</f>
        <v>0</v>
      </c>
      <c r="P30" s="46">
        <f t="shared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hidden="1" customHeight="1" x14ac:dyDescent="0.15">
      <c r="A31" s="2">
        <f>input_7324!A$2</f>
        <v>7324010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>IFERROR(VLOOKUP(B31,input_7324!L:R,7,FALSE),VLOOKUP(tables_7324!C31,input_7324!A:H,8,FALSE))</f>
        <v>0</v>
      </c>
      <c r="P31" s="46">
        <f t="shared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hidden="1" customHeight="1" x14ac:dyDescent="0.15">
      <c r="A32" s="2">
        <f>input_7324!A$2</f>
        <v>7324010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>IFERROR(VLOOKUP(B32,input_7324!L:R,7,FALSE),VLOOKUP(tables_7324!C32,input_7324!A:H,8,FALSE))</f>
        <v>0</v>
      </c>
      <c r="P32" s="46">
        <f t="shared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hidden="1" customHeight="1" x14ac:dyDescent="0.15">
      <c r="A33" s="2">
        <f>input_7324!A$2</f>
        <v>7324010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>IFERROR(VLOOKUP(B33,input_7324!L:R,7,FALSE),VLOOKUP(tables_7324!C33,input_7324!A:H,8,FALSE))</f>
        <v>0</v>
      </c>
      <c r="P33" s="46">
        <f t="shared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hidden="1" customHeight="1" x14ac:dyDescent="0.15">
      <c r="A34" s="2">
        <f>input_7324!A$2</f>
        <v>7324010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>IFERROR(VLOOKUP(B34,input_7324!L:R,7,FALSE),VLOOKUP(tables_7324!C34,input_7324!A:H,8,FALSE))</f>
        <v>0</v>
      </c>
      <c r="P34" s="46">
        <f t="shared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hidden="1" customHeight="1" x14ac:dyDescent="0.15">
      <c r="A35" s="2">
        <f>input_7324!A$2</f>
        <v>7324010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>IFERROR(VLOOKUP(B35,input_7324!L:R,7,FALSE),VLOOKUP(tables_7324!C35,input_7324!A:H,8,FALSE))</f>
        <v>0</v>
      </c>
      <c r="P35" s="46">
        <f t="shared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hidden="1" customHeight="1" x14ac:dyDescent="0.15">
      <c r="A36" s="2">
        <f>input_7324!A$2</f>
        <v>7324010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>IFERROR(VLOOKUP(B36,input_7324!L:R,7,FALSE),VLOOKUP(tables_7324!C36,input_7324!A:H,8,FALSE))</f>
        <v>0</v>
      </c>
      <c r="P36" s="46">
        <f t="shared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hidden="1" customHeight="1" x14ac:dyDescent="0.15">
      <c r="A37" s="2">
        <f>input_7324!A$2</f>
        <v>7324010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>IFERROR(VLOOKUP(B37,input_7324!L:R,7,FALSE),VLOOKUP(tables_7324!C37,input_7324!A:H,8,FALSE))</f>
        <v>0</v>
      </c>
      <c r="P37" s="46">
        <f t="shared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hidden="1" customHeight="1" x14ac:dyDescent="0.15">
      <c r="A38" s="2">
        <f>input_7324!A$2</f>
        <v>7324010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>IFERROR(VLOOKUP(B38,input_7324!L:R,7,FALSE),VLOOKUP(tables_7324!C38,input_7324!A:H,8,FALSE))</f>
        <v>0</v>
      </c>
      <c r="P38" s="46">
        <f t="shared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hidden="1" customHeight="1" x14ac:dyDescent="0.15">
      <c r="A39" s="2">
        <f>input_7324!A$2</f>
        <v>7324010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>IFERROR(VLOOKUP(B39,input_7324!L:R,7,FALSE),VLOOKUP(tables_7324!C39,input_7324!A:H,8,FALSE))</f>
        <v>0</v>
      </c>
      <c r="P39" s="46">
        <f t="shared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hidden="1" customHeight="1" x14ac:dyDescent="0.15">
      <c r="A40" s="2">
        <f>input_7324!A$2</f>
        <v>7324010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>IFERROR(VLOOKUP(B40,input_7324!L:R,7,FALSE),VLOOKUP(tables_7324!C40,input_7324!A:H,8,FALSE))</f>
        <v>0</v>
      </c>
      <c r="P40" s="46">
        <f t="shared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hidden="1" customHeight="1" x14ac:dyDescent="0.15">
      <c r="A41" s="2">
        <f>input_7324!A$2</f>
        <v>7324010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>IFERROR(VLOOKUP(B41,input_7324!L:R,7,FALSE),VLOOKUP(tables_7324!C41,input_7324!A:H,8,FALSE))</f>
        <v>0</v>
      </c>
      <c r="P41" s="46">
        <f t="shared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hidden="1" customHeight="1" x14ac:dyDescent="0.15">
      <c r="A42" s="2">
        <f>input_7324!A$2</f>
        <v>7324010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>IFERROR(VLOOKUP(B42,input_7324!L:R,7,FALSE),VLOOKUP(tables_7324!C42,input_7324!A:H,8,FALSE))</f>
        <v>0</v>
      </c>
      <c r="P42" s="46">
        <f t="shared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hidden="1" customHeight="1" x14ac:dyDescent="0.15">
      <c r="A43" s="2">
        <f>input_7324!A$2</f>
        <v>7324010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>IFERROR(VLOOKUP(B43,input_7324!L:R,7,FALSE),VLOOKUP(tables_7324!C43,input_7324!A:H,8,FALSE))</f>
        <v>0</v>
      </c>
      <c r="P43" s="46">
        <f t="shared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>
        <f>input_7324!A$2</f>
        <v>7324010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>IFERROR(VLOOKUP(B44,input_7324!L:R,7,FALSE),VLOOKUP(tables_7324!C44,input_7324!A:H,8,FALSE))</f>
        <v>59400</v>
      </c>
      <c r="P44" s="46">
        <f t="shared" si="1"/>
        <v>1.0312500000286464E-2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hidden="1" customHeight="1" x14ac:dyDescent="0.15">
      <c r="A45" s="2">
        <f>input_7324!A$2</f>
        <v>7324010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>IFERROR(VLOOKUP(B45,input_7324!L:R,7,FALSE),VLOOKUP(tables_7324!C45,input_7324!A:H,8,FALSE))</f>
        <v>0</v>
      </c>
      <c r="P45" s="46">
        <f t="shared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hidden="1" customHeight="1" x14ac:dyDescent="0.15">
      <c r="A46" s="2">
        <f>input_7324!A$2</f>
        <v>7324010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>IFERROR(VLOOKUP(B46,input_7324!L:R,7,FALSE),VLOOKUP(tables_7324!C46,input_7324!A:H,8,FALSE))</f>
        <v>0</v>
      </c>
      <c r="P46" s="46">
        <f t="shared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>
        <f>input_7324!A$2</f>
        <v>7324010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>IFERROR(VLOOKUP(B47,input_7324!L:R,7,FALSE),VLOOKUP(tables_7324!C47,input_7324!A:H,8,FALSE))</f>
        <v>59400</v>
      </c>
      <c r="P47" s="46">
        <f t="shared" si="1"/>
        <v>1.0312500000286464E-2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hidden="1" customHeight="1" x14ac:dyDescent="0.15">
      <c r="A48" s="2">
        <f>input_7324!A$2</f>
        <v>7324010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>IFERROR(VLOOKUP(B48,input_7324!L:R,7,FALSE),VLOOKUP(tables_7324!C48,input_7324!A:H,8,FALSE))</f>
        <v>0</v>
      </c>
      <c r="P48" s="46">
        <f t="shared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hidden="1" customHeight="1" x14ac:dyDescent="0.15">
      <c r="A49" s="2">
        <f>input_7324!A$2</f>
        <v>7324010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>IFERROR(VLOOKUP(B49,input_7324!L:R,7,FALSE),VLOOKUP(tables_7324!C49,input_7324!A:H,8,FALSE))</f>
        <v>0</v>
      </c>
      <c r="P49" s="46">
        <f t="shared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>
        <f>input_7324!A$2</f>
        <v>7324010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>IFERROR(VLOOKUP(B50,input_7324!L:R,7,FALSE),VLOOKUP(tables_7324!C50,input_7324!A:H,8,FALSE))</f>
        <v>59400</v>
      </c>
      <c r="P50" s="46">
        <f t="shared" si="1"/>
        <v>1.0312500000286464E-2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hidden="1" customHeight="1" x14ac:dyDescent="0.15">
      <c r="A51" s="2">
        <f>input_7324!A$2</f>
        <v>7324010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>IFERROR(VLOOKUP(B51,input_7324!L:R,7,FALSE),VLOOKUP(tables_7324!C51,input_7324!A:H,8,FALSE))</f>
        <v>0</v>
      </c>
      <c r="P51" s="46">
        <f t="shared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hidden="1" customHeight="1" x14ac:dyDescent="0.15">
      <c r="A52" s="2">
        <f>input_7324!A$2</f>
        <v>7324010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>IFERROR(VLOOKUP(B52,input_7324!L:R,7,FALSE),VLOOKUP(tables_7324!C52,input_7324!A:H,8,FALSE))</f>
        <v>0</v>
      </c>
      <c r="P52" s="46">
        <f t="shared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>
        <f>input_7324!A$2</f>
        <v>7324010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>IFERROR(VLOOKUP(B53,input_7324!L:R,7,FALSE),VLOOKUP(tables_7324!C53,input_7324!A:H,8,FALSE))</f>
        <v>65423.07692</v>
      </c>
      <c r="P53" s="46">
        <f t="shared" si="1"/>
        <v>1.1358173076704399E-2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hidden="1" customHeight="1" x14ac:dyDescent="0.15">
      <c r="A54" s="2">
        <f>input_7324!A$2</f>
        <v>7324010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>IFERROR(VLOOKUP(B54,input_7324!L:R,7,FALSE),VLOOKUP(tables_7324!C54,input_7324!A:H,8,FALSE))</f>
        <v>0</v>
      </c>
      <c r="P54" s="46">
        <f t="shared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hidden="1" customHeight="1" x14ac:dyDescent="0.15">
      <c r="A55" s="2">
        <f>input_7324!A$2</f>
        <v>7324010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>IFERROR(VLOOKUP(B55,input_7324!L:R,7,FALSE),VLOOKUP(tables_7324!C55,input_7324!A:H,8,FALSE))</f>
        <v>0</v>
      </c>
      <c r="P55" s="46">
        <f t="shared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>
        <f>input_7324!A$2</f>
        <v>7324010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>IFERROR(VLOOKUP(B56,input_7324!L:R,7,FALSE),VLOOKUP(tables_7324!C56,input_7324!A:H,8,FALSE))</f>
        <v>65423.07692</v>
      </c>
      <c r="P56" s="46">
        <f t="shared" si="1"/>
        <v>1.1358173076704399E-2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hidden="1" customHeight="1" x14ac:dyDescent="0.15">
      <c r="A57" s="2">
        <f>input_7324!A$2</f>
        <v>7324010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>IFERROR(VLOOKUP(B57,input_7324!L:R,7,FALSE),VLOOKUP(tables_7324!C57,input_7324!A:H,8,FALSE))</f>
        <v>0</v>
      </c>
      <c r="P57" s="46">
        <f t="shared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hidden="1" customHeight="1" x14ac:dyDescent="0.15">
      <c r="A58" s="2">
        <f>input_7324!A$2</f>
        <v>7324010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>IFERROR(VLOOKUP(B58,input_7324!L:R,7,FALSE),VLOOKUP(tables_7324!C58,input_7324!A:H,8,FALSE))</f>
        <v>0</v>
      </c>
      <c r="P58" s="46">
        <f t="shared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>
        <f>input_7324!A$2</f>
        <v>7324010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>IFERROR(VLOOKUP(B59,input_7324!L:R,7,FALSE),VLOOKUP(tables_7324!C59,input_7324!A:H,8,FALSE))</f>
        <v>65423.07692</v>
      </c>
      <c r="P59" s="46">
        <f t="shared" si="1"/>
        <v>1.1358173076704399E-2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hidden="1" customHeight="1" x14ac:dyDescent="0.15">
      <c r="A60" s="2">
        <f>input_7324!A$2</f>
        <v>7324010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>IFERROR(VLOOKUP(B60,input_7324!L:R,7,FALSE),VLOOKUP(tables_7324!C60,input_7324!A:H,8,FALSE))</f>
        <v>0</v>
      </c>
      <c r="P60" s="46">
        <f t="shared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hidden="1" customHeight="1" x14ac:dyDescent="0.15">
      <c r="A61" s="2">
        <f>input_7324!A$2</f>
        <v>7324010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>IFERROR(VLOOKUP(B61,input_7324!L:R,7,FALSE),VLOOKUP(tables_7324!C61,input_7324!A:H,8,FALSE))</f>
        <v>0</v>
      </c>
      <c r="P61" s="46">
        <f t="shared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>
        <f>input_7324!A$2</f>
        <v>7324010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>IFERROR(VLOOKUP(B62,input_7324!L:R,7,FALSE),VLOOKUP(tables_7324!C62,input_7324!A:H,8,FALSE))</f>
        <v>65423.07692</v>
      </c>
      <c r="P62" s="46">
        <f t="shared" si="1"/>
        <v>1.1358173076704399E-2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hidden="1" customHeight="1" x14ac:dyDescent="0.15">
      <c r="A63" s="2">
        <f>input_7324!A$2</f>
        <v>7324010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>IFERROR(VLOOKUP(B63,input_7324!L:R,7,FALSE),VLOOKUP(tables_7324!C63,input_7324!A:H,8,FALSE))</f>
        <v>0</v>
      </c>
      <c r="P63" s="46">
        <f t="shared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hidden="1" customHeight="1" x14ac:dyDescent="0.15">
      <c r="A64" s="2">
        <f>input_7324!A$2</f>
        <v>7324010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>IFERROR(VLOOKUP(B64,input_7324!L:R,7,FALSE),VLOOKUP(tables_7324!C64,input_7324!A:H,8,FALSE))</f>
        <v>0</v>
      </c>
      <c r="P64" s="46">
        <f t="shared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>
        <f>input_7324!A$2</f>
        <v>7324010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>IFERROR(VLOOKUP(B65,input_7324!L:R,7,FALSE),VLOOKUP(tables_7324!C65,input_7324!A:H,8,FALSE))</f>
        <v>65423.07692</v>
      </c>
      <c r="P65" s="46">
        <f t="shared" si="1"/>
        <v>1.1358173076704399E-2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hidden="1" customHeight="1" thickBot="1" x14ac:dyDescent="0.2">
      <c r="A66" s="2">
        <f>input_7324!A$2</f>
        <v>7324010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>IFERROR(VLOOKUP(B66,input_7324!L:R,7,FALSE),VLOOKUP(tables_7324!C66,input_7324!A:H,8,FALSE))</f>
        <v>0</v>
      </c>
      <c r="P66" s="46">
        <f t="shared" ref="P66:P129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hidden="1" customHeight="1" x14ac:dyDescent="0.15">
      <c r="A67" s="2">
        <f>input_7324!A$2</f>
        <v>7324010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>IFERROR(VLOOKUP(B67,input_7324!L:R,7,FALSE),VLOOKUP(tables_7324!C67,input_7324!A:H,8,FALSE))</f>
        <v>0</v>
      </c>
      <c r="P67" s="46">
        <f t="shared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>
        <f>input_7324!A$2</f>
        <v>7324010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>IFERROR(VLOOKUP(B68,input_7324!L:R,7,FALSE),VLOOKUP(tables_7324!C68,input_7324!A:H,8,FALSE))</f>
        <v>65423.07692</v>
      </c>
      <c r="P68" s="46">
        <f t="shared" si="4"/>
        <v>1.1358173076704399E-2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hidden="1" customHeight="1" x14ac:dyDescent="0.15">
      <c r="A69" s="2">
        <f>input_7324!A$2</f>
        <v>7324010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>IFERROR(VLOOKUP(B69,input_7324!L:R,7,FALSE),VLOOKUP(tables_7324!C69,input_7324!A:H,8,FALSE))</f>
        <v>0</v>
      </c>
      <c r="P69" s="46">
        <f t="shared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hidden="1" customHeight="1" x14ac:dyDescent="0.15">
      <c r="A70" s="2">
        <f>input_7324!A$2</f>
        <v>7324010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>IFERROR(VLOOKUP(B70,input_7324!L:R,7,FALSE),VLOOKUP(tables_7324!C70,input_7324!A:H,8,FALSE))</f>
        <v>0</v>
      </c>
      <c r="P70" s="46">
        <f t="shared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>
        <f>input_7324!A$2</f>
        <v>7324010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>IFERROR(VLOOKUP(B71,input_7324!L:R,7,FALSE),VLOOKUP(tables_7324!C71,input_7324!A:H,8,FALSE))</f>
        <v>65423.07692</v>
      </c>
      <c r="P71" s="46">
        <f t="shared" si="4"/>
        <v>1.1358173076704399E-2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hidden="1" customHeight="1" x14ac:dyDescent="0.15">
      <c r="A72" s="2">
        <f>input_7324!A$2</f>
        <v>7324010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>IFERROR(VLOOKUP(B72,input_7324!L:R,7,FALSE),VLOOKUP(tables_7324!C72,input_7324!A:H,8,FALSE))</f>
        <v>0</v>
      </c>
      <c r="P72" s="46">
        <f t="shared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hidden="1" customHeight="1" x14ac:dyDescent="0.15">
      <c r="A73" s="2">
        <f>input_7324!A$2</f>
        <v>7324010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>IFERROR(VLOOKUP(B73,input_7324!L:R,7,FALSE),VLOOKUP(tables_7324!C73,input_7324!A:H,8,FALSE))</f>
        <v>0</v>
      </c>
      <c r="P73" s="46">
        <f t="shared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>
        <f>input_7324!A$2</f>
        <v>7324010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>IFERROR(VLOOKUP(B74,input_7324!L:R,7,FALSE),VLOOKUP(tables_7324!C74,input_7324!A:H,8,FALSE))</f>
        <v>65423.07692</v>
      </c>
      <c r="P74" s="46">
        <f t="shared" si="4"/>
        <v>1.1358173076704399E-2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hidden="1" customHeight="1" x14ac:dyDescent="0.15">
      <c r="A75" s="2">
        <f>input_7324!A$2</f>
        <v>7324010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>IFERROR(VLOOKUP(B75,input_7324!L:R,7,FALSE),VLOOKUP(tables_7324!C75,input_7324!A:H,8,FALSE))</f>
        <v>0</v>
      </c>
      <c r="P75" s="46">
        <f t="shared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hidden="1" customHeight="1" x14ac:dyDescent="0.15">
      <c r="A76" s="2">
        <f>input_7324!A$2</f>
        <v>7324010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>IFERROR(VLOOKUP(B76,input_7324!L:R,7,FALSE),VLOOKUP(tables_7324!C76,input_7324!A:H,8,FALSE))</f>
        <v>0</v>
      </c>
      <c r="P76" s="46">
        <f t="shared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>
        <f>input_7324!A$2</f>
        <v>7324010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>IFERROR(VLOOKUP(B77,input_7324!L:R,7,FALSE),VLOOKUP(tables_7324!C77,input_7324!A:H,8,FALSE))</f>
        <v>65423.07692</v>
      </c>
      <c r="P77" s="46">
        <f t="shared" si="4"/>
        <v>1.1358173076704399E-2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hidden="1" customHeight="1" x14ac:dyDescent="0.15">
      <c r="A78" s="2">
        <f>input_7324!A$2</f>
        <v>7324010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>IFERROR(VLOOKUP(B78,input_7324!L:R,7,FALSE),VLOOKUP(tables_7324!C78,input_7324!A:H,8,FALSE))</f>
        <v>0</v>
      </c>
      <c r="P78" s="46">
        <f t="shared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hidden="1" customHeight="1" x14ac:dyDescent="0.15">
      <c r="A79" s="2">
        <f>input_7324!A$2</f>
        <v>7324010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>IFERROR(VLOOKUP(B79,input_7324!L:R,7,FALSE),VLOOKUP(tables_7324!C79,input_7324!A:H,8,FALSE))</f>
        <v>0</v>
      </c>
      <c r="P79" s="46">
        <f t="shared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>
        <f>input_7324!A$2</f>
        <v>7324010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>IFERROR(VLOOKUP(B80,input_7324!L:R,7,FALSE),VLOOKUP(tables_7324!C80,input_7324!A:H,8,FALSE))</f>
        <v>65423.07692</v>
      </c>
      <c r="P80" s="46">
        <f t="shared" si="4"/>
        <v>1.1358173076704399E-2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hidden="1" customHeight="1" x14ac:dyDescent="0.15">
      <c r="A81" s="2">
        <f>input_7324!A$2</f>
        <v>7324010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>IFERROR(VLOOKUP(B81,input_7324!L:R,7,FALSE),VLOOKUP(tables_7324!C81,input_7324!A:H,8,FALSE))</f>
        <v>0</v>
      </c>
      <c r="P81" s="46">
        <f t="shared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hidden="1" customHeight="1" x14ac:dyDescent="0.15">
      <c r="A82" s="2">
        <f>input_7324!A$2</f>
        <v>7324010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>IFERROR(VLOOKUP(B82,input_7324!L:R,7,FALSE),VLOOKUP(tables_7324!C82,input_7324!A:H,8,FALSE))</f>
        <v>0</v>
      </c>
      <c r="P82" s="46">
        <f t="shared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>
        <f>input_7324!A$2</f>
        <v>7324010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>IFERROR(VLOOKUP(B83,input_7324!L:R,7,FALSE),VLOOKUP(tables_7324!C83,input_7324!A:H,8,FALSE))</f>
        <v>65423.07692</v>
      </c>
      <c r="P83" s="46">
        <f t="shared" si="4"/>
        <v>1.1358173076704399E-2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hidden="1" customHeight="1" x14ac:dyDescent="0.15">
      <c r="A84" s="2">
        <f>input_7324!A$2</f>
        <v>7324010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>IFERROR(VLOOKUP(B84,input_7324!L:R,7,FALSE),VLOOKUP(tables_7324!C84,input_7324!A:H,8,FALSE))</f>
        <v>0</v>
      </c>
      <c r="P84" s="46">
        <f t="shared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hidden="1" customHeight="1" x14ac:dyDescent="0.15">
      <c r="A85" s="2">
        <f>input_7324!A$2</f>
        <v>7324010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>IFERROR(VLOOKUP(B85,input_7324!L:R,7,FALSE),VLOOKUP(tables_7324!C85,input_7324!A:H,8,FALSE))</f>
        <v>0</v>
      </c>
      <c r="P85" s="46">
        <f t="shared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>
        <f>input_7324!A$2</f>
        <v>7324010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>IFERROR(VLOOKUP(B86,input_7324!L:R,7,FALSE),VLOOKUP(tables_7324!C86,input_7324!A:H,8,FALSE))</f>
        <v>65423.07692</v>
      </c>
      <c r="P86" s="46">
        <f t="shared" si="4"/>
        <v>1.1358173076704399E-2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hidden="1" customHeight="1" x14ac:dyDescent="0.15">
      <c r="A87" s="2">
        <f>input_7324!A$2</f>
        <v>7324010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>IFERROR(VLOOKUP(B87,input_7324!L:R,7,FALSE),VLOOKUP(tables_7324!C87,input_7324!A:H,8,FALSE))</f>
        <v>0</v>
      </c>
      <c r="P87" s="46">
        <f t="shared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hidden="1" customHeight="1" x14ac:dyDescent="0.15">
      <c r="A88" s="2">
        <f>input_7324!A$2</f>
        <v>7324010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>IFERROR(VLOOKUP(B88,input_7324!L:R,7,FALSE),VLOOKUP(tables_7324!C88,input_7324!A:H,8,FALSE))</f>
        <v>0</v>
      </c>
      <c r="P88" s="46">
        <f t="shared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>
        <f>input_7324!A$2</f>
        <v>7324010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>IFERROR(VLOOKUP(B89,input_7324!L:R,7,FALSE),VLOOKUP(tables_7324!C89,input_7324!A:H,8,FALSE))</f>
        <v>65423.07692</v>
      </c>
      <c r="P89" s="46">
        <f t="shared" si="4"/>
        <v>1.1358173076704399E-2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hidden="1" customHeight="1" x14ac:dyDescent="0.15">
      <c r="A90" s="2">
        <f>input_7324!A$2</f>
        <v>7324010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>IFERROR(VLOOKUP(B90,input_7324!L:R,7,FALSE),VLOOKUP(tables_7324!C90,input_7324!A:H,8,FALSE))</f>
        <v>0</v>
      </c>
      <c r="P90" s="46">
        <f t="shared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hidden="1" customHeight="1" x14ac:dyDescent="0.15">
      <c r="A91" s="2">
        <f>input_7324!A$2</f>
        <v>7324010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>IFERROR(VLOOKUP(B91,input_7324!L:R,7,FALSE),VLOOKUP(tables_7324!C91,input_7324!A:H,8,FALSE))</f>
        <v>0</v>
      </c>
      <c r="P91" s="46">
        <f t="shared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>
        <f>input_7324!A$2</f>
        <v>7324010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>IFERROR(VLOOKUP(B92,input_7324!L:R,7,FALSE),VLOOKUP(tables_7324!C92,input_7324!A:H,8,FALSE))</f>
        <v>65423.07692</v>
      </c>
      <c r="P92" s="46">
        <f t="shared" si="4"/>
        <v>1.1358173076704399E-2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hidden="1" customHeight="1" x14ac:dyDescent="0.15">
      <c r="A93" s="2">
        <f>input_7324!A$2</f>
        <v>7324010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>IFERROR(VLOOKUP(B93,input_7324!L:R,7,FALSE),VLOOKUP(tables_7324!C93,input_7324!A:H,8,FALSE))</f>
        <v>0</v>
      </c>
      <c r="P93" s="46">
        <f t="shared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hidden="1" customHeight="1" x14ac:dyDescent="0.15">
      <c r="A94" s="2">
        <f>input_7324!A$2</f>
        <v>7324010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>IFERROR(VLOOKUP(B94,input_7324!L:R,7,FALSE),VLOOKUP(tables_7324!C94,input_7324!A:H,8,FALSE))</f>
        <v>0</v>
      </c>
      <c r="P94" s="46">
        <f t="shared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>
        <f>input_7324!A$2</f>
        <v>7324010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>IFERROR(VLOOKUP(B95,input_7324!L:R,7,FALSE),VLOOKUP(tables_7324!C95,input_7324!A:H,8,FALSE))</f>
        <v>65423.07692</v>
      </c>
      <c r="P95" s="46">
        <f t="shared" si="4"/>
        <v>1.1358173076704399E-2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hidden="1" customHeight="1" x14ac:dyDescent="0.15">
      <c r="A96" s="2">
        <f>input_7324!A$2</f>
        <v>7324010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>IFERROR(VLOOKUP(B96,input_7324!L:R,7,FALSE),VLOOKUP(tables_7324!C96,input_7324!A:H,8,FALSE))</f>
        <v>0</v>
      </c>
      <c r="P96" s="46">
        <f t="shared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hidden="1" customHeight="1" x14ac:dyDescent="0.15">
      <c r="A97" s="2">
        <f>input_7324!A$2</f>
        <v>7324010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>IFERROR(VLOOKUP(B97,input_7324!L:R,7,FALSE),VLOOKUP(tables_7324!C97,input_7324!A:H,8,FALSE))</f>
        <v>0</v>
      </c>
      <c r="P97" s="46">
        <f t="shared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>
        <f>input_7324!A$2</f>
        <v>7324010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>IFERROR(VLOOKUP(B98,input_7324!L:R,7,FALSE),VLOOKUP(tables_7324!C98,input_7324!A:H,8,FALSE))</f>
        <v>65423.07692</v>
      </c>
      <c r="P98" s="46">
        <f t="shared" si="4"/>
        <v>1.1358173076704399E-2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hidden="1" customHeight="1" x14ac:dyDescent="0.15">
      <c r="A99" s="2">
        <f>input_7324!A$2</f>
        <v>7324010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>IFERROR(VLOOKUP(B99,input_7324!L:R,7,FALSE),VLOOKUP(tables_7324!C99,input_7324!A:H,8,FALSE))</f>
        <v>0</v>
      </c>
      <c r="P99" s="46">
        <f t="shared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hidden="1" customHeight="1" x14ac:dyDescent="0.15">
      <c r="A100" s="2">
        <f>input_7324!A$2</f>
        <v>7324010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>IFERROR(VLOOKUP(B100,input_7324!L:R,7,FALSE),VLOOKUP(tables_7324!C100,input_7324!A:H,8,FALSE))</f>
        <v>0</v>
      </c>
      <c r="P100" s="46">
        <f t="shared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>
        <f>input_7324!A$2</f>
        <v>7324010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>IFERROR(VLOOKUP(B101,input_7324!L:R,7,FALSE),VLOOKUP(tables_7324!C101,input_7324!A:H,8,FALSE))</f>
        <v>65423.07692</v>
      </c>
      <c r="P101" s="46">
        <f t="shared" si="4"/>
        <v>1.1358173076704399E-2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hidden="1" customHeight="1" x14ac:dyDescent="0.15">
      <c r="A102" s="2">
        <f>input_7324!A$2</f>
        <v>7324010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>IFERROR(VLOOKUP(B102,input_7324!L:R,7,FALSE),VLOOKUP(tables_7324!C102,input_7324!A:H,8,FALSE))</f>
        <v>0</v>
      </c>
      <c r="P102" s="46">
        <f t="shared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hidden="1" customHeight="1" x14ac:dyDescent="0.15">
      <c r="A103" s="2">
        <f>input_7324!A$2</f>
        <v>7324010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>IFERROR(VLOOKUP(B103,input_7324!L:R,7,FALSE),VLOOKUP(tables_7324!C103,input_7324!A:H,8,FALSE))</f>
        <v>0</v>
      </c>
      <c r="P103" s="46">
        <f t="shared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>
        <f>input_7324!A$2</f>
        <v>7324010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>IFERROR(VLOOKUP(B104,input_7324!L:R,7,FALSE),VLOOKUP(tables_7324!C104,input_7324!A:H,8,FALSE))</f>
        <v>65423.07692</v>
      </c>
      <c r="P104" s="46">
        <f t="shared" si="4"/>
        <v>1.1358173076704399E-2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hidden="1" customHeight="1" x14ac:dyDescent="0.15">
      <c r="A105" s="2">
        <f>input_7324!A$2</f>
        <v>7324010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>IFERROR(VLOOKUP(B105,input_7324!L:R,7,FALSE),VLOOKUP(tables_7324!C105,input_7324!A:H,8,FALSE))</f>
        <v>0</v>
      </c>
      <c r="P105" s="46">
        <f t="shared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hidden="1" customHeight="1" x14ac:dyDescent="0.15">
      <c r="A106" s="2">
        <f>input_7324!A$2</f>
        <v>7324010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>IFERROR(VLOOKUP(B106,input_7324!L:R,7,FALSE),VLOOKUP(tables_7324!C106,input_7324!A:H,8,FALSE))</f>
        <v>0</v>
      </c>
      <c r="P106" s="46">
        <f t="shared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>
        <f>input_7324!A$2</f>
        <v>7324010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>IFERROR(VLOOKUP(B107,input_7324!L:R,7,FALSE),VLOOKUP(tables_7324!C107,input_7324!A:H,8,FALSE))</f>
        <v>65423.07692</v>
      </c>
      <c r="P107" s="46">
        <f t="shared" si="4"/>
        <v>1.1358173076704399E-2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hidden="1" customHeight="1" x14ac:dyDescent="0.15">
      <c r="A108" s="2">
        <f>input_7324!A$2</f>
        <v>7324010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>IFERROR(VLOOKUP(B108,input_7324!L:R,7,FALSE),VLOOKUP(tables_7324!C108,input_7324!A:H,8,FALSE))</f>
        <v>0</v>
      </c>
      <c r="P108" s="46">
        <f t="shared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hidden="1" customHeight="1" x14ac:dyDescent="0.15">
      <c r="A109" s="2">
        <f>input_7324!A$2</f>
        <v>7324010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>IFERROR(VLOOKUP(B109,input_7324!L:R,7,FALSE),VLOOKUP(tables_7324!C109,input_7324!A:H,8,FALSE))</f>
        <v>0</v>
      </c>
      <c r="P109" s="46">
        <f t="shared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>
        <f>input_7324!A$2</f>
        <v>7324010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>IFERROR(VLOOKUP(B110,input_7324!L:R,7,FALSE),VLOOKUP(tables_7324!C110,input_7324!A:H,8,FALSE))</f>
        <v>65423.07692</v>
      </c>
      <c r="P110" s="46">
        <f t="shared" si="4"/>
        <v>1.1358173076704399E-2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hidden="1" customHeight="1" x14ac:dyDescent="0.15">
      <c r="A111" s="2">
        <f>input_7324!A$2</f>
        <v>7324010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>IFERROR(VLOOKUP(B111,input_7324!L:R,7,FALSE),VLOOKUP(tables_7324!C111,input_7324!A:H,8,FALSE))</f>
        <v>0</v>
      </c>
      <c r="P111" s="46">
        <f t="shared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hidden="1" customHeight="1" x14ac:dyDescent="0.15">
      <c r="A112" s="2">
        <f>input_7324!A$2</f>
        <v>7324010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>IFERROR(VLOOKUP(B112,input_7324!L:R,7,FALSE),VLOOKUP(tables_7324!C112,input_7324!A:H,8,FALSE))</f>
        <v>0</v>
      </c>
      <c r="P112" s="46">
        <f t="shared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>
        <f>input_7324!A$2</f>
        <v>7324010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>IFERROR(VLOOKUP(B113,input_7324!L:R,7,FALSE),VLOOKUP(tables_7324!C113,input_7324!A:H,8,FALSE))</f>
        <v>59400</v>
      </c>
      <c r="P113" s="46">
        <f t="shared" si="4"/>
        <v>1.0312500000286464E-2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hidden="1" customHeight="1" x14ac:dyDescent="0.15">
      <c r="A114" s="2">
        <f>input_7324!A$2</f>
        <v>7324010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>IFERROR(VLOOKUP(B114,input_7324!L:R,7,FALSE),VLOOKUP(tables_7324!C114,input_7324!A:H,8,FALSE))</f>
        <v>0</v>
      </c>
      <c r="P114" s="46">
        <f t="shared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hidden="1" customHeight="1" x14ac:dyDescent="0.15">
      <c r="A115" s="2">
        <f>input_7324!A$2</f>
        <v>7324010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>IFERROR(VLOOKUP(B115,input_7324!L:R,7,FALSE),VLOOKUP(tables_7324!C115,input_7324!A:H,8,FALSE))</f>
        <v>0</v>
      </c>
      <c r="P115" s="46">
        <f t="shared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>
        <f>input_7324!A$2</f>
        <v>7324010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>IFERROR(VLOOKUP(B116,input_7324!L:R,7,FALSE),VLOOKUP(tables_7324!C116,input_7324!A:H,8,FALSE))</f>
        <v>65423.07692</v>
      </c>
      <c r="P116" s="46">
        <f t="shared" si="4"/>
        <v>1.1358173076704399E-2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hidden="1" customHeight="1" x14ac:dyDescent="0.15">
      <c r="A117" s="2">
        <f>input_7324!A$2</f>
        <v>7324010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>IFERROR(VLOOKUP(B117,input_7324!L:R,7,FALSE),VLOOKUP(tables_7324!C117,input_7324!A:H,8,FALSE))</f>
        <v>0</v>
      </c>
      <c r="P117" s="46">
        <f t="shared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hidden="1" customHeight="1" x14ac:dyDescent="0.15">
      <c r="A118" s="2">
        <f>input_7324!A$2</f>
        <v>7324010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>IFERROR(VLOOKUP(B118,input_7324!L:R,7,FALSE),VLOOKUP(tables_7324!C118,input_7324!A:H,8,FALSE))</f>
        <v>0</v>
      </c>
      <c r="P118" s="46">
        <f t="shared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>
        <f>input_7324!A$2</f>
        <v>7324010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>IFERROR(VLOOKUP(B119,input_7324!L:R,7,FALSE),VLOOKUP(tables_7324!C119,input_7324!A:H,8,FALSE))</f>
        <v>65423.07692</v>
      </c>
      <c r="P119" s="46">
        <f t="shared" si="4"/>
        <v>1.1358173076704399E-2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hidden="1" customHeight="1" x14ac:dyDescent="0.15">
      <c r="A120" s="2">
        <f>input_7324!A$2</f>
        <v>7324010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>IFERROR(VLOOKUP(B120,input_7324!L:R,7,FALSE),VLOOKUP(tables_7324!C120,input_7324!A:H,8,FALSE))</f>
        <v>0</v>
      </c>
      <c r="P120" s="46">
        <f t="shared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hidden="1" customHeight="1" x14ac:dyDescent="0.15">
      <c r="A121" s="2">
        <f>input_7324!A$2</f>
        <v>7324010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>IFERROR(VLOOKUP(B121,input_7324!L:R,7,FALSE),VLOOKUP(tables_7324!C121,input_7324!A:H,8,FALSE))</f>
        <v>0</v>
      </c>
      <c r="P121" s="46">
        <f t="shared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>
        <f>input_7324!A$2</f>
        <v>7324010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>IFERROR(VLOOKUP(B122,input_7324!L:R,7,FALSE),VLOOKUP(tables_7324!C122,input_7324!A:H,8,FALSE))</f>
        <v>65423.07692</v>
      </c>
      <c r="P122" s="46">
        <f t="shared" si="4"/>
        <v>1.1358173076704399E-2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hidden="1" customHeight="1" x14ac:dyDescent="0.15">
      <c r="A123" s="2">
        <f>input_7324!A$2</f>
        <v>7324010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>IFERROR(VLOOKUP(B123,input_7324!L:R,7,FALSE),VLOOKUP(tables_7324!C123,input_7324!A:H,8,FALSE))</f>
        <v>0</v>
      </c>
      <c r="P123" s="46">
        <f t="shared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hidden="1" customHeight="1" x14ac:dyDescent="0.15">
      <c r="A124" s="2">
        <f>input_7324!A$2</f>
        <v>7324010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>IFERROR(VLOOKUP(B124,input_7324!L:R,7,FALSE),VLOOKUP(tables_7324!C124,input_7324!A:H,8,FALSE))</f>
        <v>0</v>
      </c>
      <c r="P124" s="46">
        <f t="shared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>
        <f>input_7324!A$2</f>
        <v>7324010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>IFERROR(VLOOKUP(B125,input_7324!L:R,7,FALSE),VLOOKUP(tables_7324!C125,input_7324!A:H,8,FALSE))</f>
        <v>65423.07692</v>
      </c>
      <c r="P125" s="46">
        <f t="shared" si="4"/>
        <v>1.1358173076704399E-2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hidden="1" customHeight="1" x14ac:dyDescent="0.15">
      <c r="A126" s="2">
        <f>input_7324!A$2</f>
        <v>7324010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>IFERROR(VLOOKUP(B126,input_7324!L:R,7,FALSE),VLOOKUP(tables_7324!C126,input_7324!A:H,8,FALSE))</f>
        <v>0</v>
      </c>
      <c r="P126" s="46">
        <f t="shared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hidden="1" customHeight="1" x14ac:dyDescent="0.15">
      <c r="A127" s="2">
        <f>input_7324!A$2</f>
        <v>7324010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>IFERROR(VLOOKUP(B127,input_7324!L:R,7,FALSE),VLOOKUP(tables_7324!C127,input_7324!A:H,8,FALSE))</f>
        <v>0</v>
      </c>
      <c r="P127" s="46">
        <f t="shared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>
        <f>input_7324!A$2</f>
        <v>7324010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>IFERROR(VLOOKUP(B128,input_7324!L:R,7,FALSE),VLOOKUP(tables_7324!C128,input_7324!A:H,8,FALSE))</f>
        <v>65423.07692</v>
      </c>
      <c r="P128" s="46">
        <f t="shared" si="4"/>
        <v>1.1358173076704399E-2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hidden="1" customHeight="1" x14ac:dyDescent="0.15">
      <c r="A129" s="2">
        <f>input_7324!A$2</f>
        <v>7324010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>IFERROR(VLOOKUP(B129,input_7324!L:R,7,FALSE),VLOOKUP(tables_7324!C129,input_7324!A:H,8,FALSE))</f>
        <v>0</v>
      </c>
      <c r="P129" s="46">
        <f t="shared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hidden="1" customHeight="1" x14ac:dyDescent="0.15">
      <c r="A130" s="2">
        <f>input_7324!A$2</f>
        <v>7324010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>IFERROR(VLOOKUP(B130,input_7324!L:R,7,FALSE),VLOOKUP(tables_7324!C130,input_7324!A:H,8,FALSE))</f>
        <v>0</v>
      </c>
      <c r="P130" s="46">
        <f t="shared" ref="P130:P193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>
        <f>input_7324!A$2</f>
        <v>7324010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>IFERROR(VLOOKUP(B131,input_7324!L:R,7,FALSE),VLOOKUP(tables_7324!C131,input_7324!A:H,8,FALSE))</f>
        <v>65423.07692</v>
      </c>
      <c r="P131" s="46">
        <f t="shared" si="7"/>
        <v>1.1358173076704399E-2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hidden="1" customHeight="1" x14ac:dyDescent="0.15">
      <c r="A132" s="2">
        <f>input_7324!A$2</f>
        <v>7324010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>IFERROR(VLOOKUP(B132,input_7324!L:R,7,FALSE),VLOOKUP(tables_7324!C132,input_7324!A:H,8,FALSE))</f>
        <v>0</v>
      </c>
      <c r="P132" s="46">
        <f t="shared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hidden="1" customHeight="1" x14ac:dyDescent="0.15">
      <c r="A133" s="2">
        <f>input_7324!A$2</f>
        <v>7324010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>IFERROR(VLOOKUP(B133,input_7324!L:R,7,FALSE),VLOOKUP(tables_7324!C133,input_7324!A:H,8,FALSE))</f>
        <v>0</v>
      </c>
      <c r="P133" s="46">
        <f t="shared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>
        <f>input_7324!A$2</f>
        <v>7324010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>IFERROR(VLOOKUP(B134,input_7324!L:R,7,FALSE),VLOOKUP(tables_7324!C134,input_7324!A:H,8,FALSE))</f>
        <v>65423.07692</v>
      </c>
      <c r="P134" s="46">
        <f t="shared" si="7"/>
        <v>1.1358173076704399E-2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hidden="1" customHeight="1" x14ac:dyDescent="0.15">
      <c r="A135" s="2">
        <f>input_7324!A$2</f>
        <v>7324010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>IFERROR(VLOOKUP(B135,input_7324!L:R,7,FALSE),VLOOKUP(tables_7324!C135,input_7324!A:H,8,FALSE))</f>
        <v>0</v>
      </c>
      <c r="P135" s="46">
        <f t="shared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hidden="1" customHeight="1" x14ac:dyDescent="0.15">
      <c r="A136" s="2">
        <f>input_7324!A$2</f>
        <v>7324010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>IFERROR(VLOOKUP(B136,input_7324!L:R,7,FALSE),VLOOKUP(tables_7324!C136,input_7324!A:H,8,FALSE))</f>
        <v>0</v>
      </c>
      <c r="P136" s="46">
        <f t="shared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>
        <f>input_7324!A$2</f>
        <v>7324010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>IFERROR(VLOOKUP(B137,input_7324!L:R,7,FALSE),VLOOKUP(tables_7324!C137,input_7324!A:H,8,FALSE))</f>
        <v>65423.07692</v>
      </c>
      <c r="P137" s="46">
        <f t="shared" si="7"/>
        <v>1.1358173076704399E-2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hidden="1" customHeight="1" x14ac:dyDescent="0.15">
      <c r="A138" s="2">
        <f>input_7324!A$2</f>
        <v>7324010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>IFERROR(VLOOKUP(B138,input_7324!L:R,7,FALSE),VLOOKUP(tables_7324!C138,input_7324!A:H,8,FALSE))</f>
        <v>0</v>
      </c>
      <c r="P138" s="46">
        <f t="shared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>
        <f>input_7324!A$2</f>
        <v>7324010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>IFERROR(VLOOKUP(B139,input_7324!L:R,7,FALSE),VLOOKUP(tables_7324!C139,input_7324!A:H,8,FALSE))</f>
        <v>8000</v>
      </c>
      <c r="P139" s="46">
        <f t="shared" si="7"/>
        <v>1.3888888889274698E-3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hidden="1" customHeight="1" x14ac:dyDescent="0.15">
      <c r="A140" s="2">
        <f>input_7324!A$2</f>
        <v>7324010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>IFERROR(VLOOKUP(B140,input_7324!L:R,7,FALSE),VLOOKUP(tables_7324!C140,input_7324!A:H,8,FALSE))</f>
        <v>0</v>
      </c>
      <c r="P140" s="46">
        <f t="shared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>
        <f>input_7324!A$2</f>
        <v>7324010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>IFERROR(VLOOKUP(B141,input_7324!L:R,7,FALSE),VLOOKUP(tables_7324!C141,input_7324!A:H,8,FALSE))</f>
        <v>8000</v>
      </c>
      <c r="P141" s="46">
        <f t="shared" si="7"/>
        <v>1.3888888889274698E-3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hidden="1" customHeight="1" x14ac:dyDescent="0.15">
      <c r="A142" s="2">
        <f>input_7324!A$2</f>
        <v>7324010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>IFERROR(VLOOKUP(B142,input_7324!L:R,7,FALSE),VLOOKUP(tables_7324!C142,input_7324!A:H,8,FALSE))</f>
        <v>0</v>
      </c>
      <c r="P142" s="46">
        <f t="shared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>
        <f>input_7324!A$2</f>
        <v>7324010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>IFERROR(VLOOKUP(B143,input_7324!L:R,7,FALSE),VLOOKUP(tables_7324!C143,input_7324!A:H,8,FALSE))</f>
        <v>8000</v>
      </c>
      <c r="P143" s="46">
        <f t="shared" si="7"/>
        <v>1.3888888889274698E-3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hidden="1" customHeight="1" x14ac:dyDescent="0.15">
      <c r="A144" s="2">
        <f>input_7324!A$2</f>
        <v>7324010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>IFERROR(VLOOKUP(B144,input_7324!L:R,7,FALSE),VLOOKUP(tables_7324!C144,input_7324!A:H,8,FALSE))</f>
        <v>0</v>
      </c>
      <c r="P144" s="46">
        <f t="shared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>
        <f>input_7324!A$2</f>
        <v>7324010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>IFERROR(VLOOKUP(B145,input_7324!L:R,7,FALSE),VLOOKUP(tables_7324!C145,input_7324!A:H,8,FALSE))</f>
        <v>8000</v>
      </c>
      <c r="P145" s="46">
        <f t="shared" si="7"/>
        <v>1.3888888889274698E-3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hidden="1" customHeight="1" x14ac:dyDescent="0.15">
      <c r="A146" s="2">
        <f>input_7324!A$2</f>
        <v>7324010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>IFERROR(VLOOKUP(B146,input_7324!L:R,7,FALSE),VLOOKUP(tables_7324!C146,input_7324!A:H,8,FALSE))</f>
        <v>0</v>
      </c>
      <c r="P146" s="46">
        <f t="shared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hidden="1" customHeight="1" x14ac:dyDescent="0.15">
      <c r="A147" s="2">
        <f>input_7324!A$2</f>
        <v>7324010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>IFERROR(VLOOKUP(B147,input_7324!L:R,7,FALSE),VLOOKUP(tables_7324!C147,input_7324!A:H,8,FALSE))</f>
        <v>0</v>
      </c>
      <c r="P147" s="46">
        <f t="shared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>
        <f>input_7324!A$2</f>
        <v>7324010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>IFERROR(VLOOKUP(B148,input_7324!L:R,7,FALSE),VLOOKUP(tables_7324!C148,input_7324!A:H,8,FALSE))</f>
        <v>65423.07692</v>
      </c>
      <c r="P148" s="46">
        <f t="shared" si="7"/>
        <v>1.1358173076704399E-2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hidden="1" customHeight="1" x14ac:dyDescent="0.15">
      <c r="A149" s="2">
        <f>input_7324!A$2</f>
        <v>7324010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>IFERROR(VLOOKUP(B149,input_7324!L:R,7,FALSE),VLOOKUP(tables_7324!C149,input_7324!A:H,8,FALSE))</f>
        <v>0</v>
      </c>
      <c r="P149" s="46">
        <f t="shared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>
        <f>input_7324!A$2</f>
        <v>7324010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>IFERROR(VLOOKUP(B150,input_7324!L:R,7,FALSE),VLOOKUP(tables_7324!C150,input_7324!A:H,8,FALSE))</f>
        <v>8000</v>
      </c>
      <c r="P150" s="46">
        <f t="shared" si="7"/>
        <v>1.3888888889274698E-3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hidden="1" customHeight="1" x14ac:dyDescent="0.15">
      <c r="A151" s="2">
        <f>input_7324!A$2</f>
        <v>7324010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>IFERROR(VLOOKUP(B151,input_7324!L:R,7,FALSE),VLOOKUP(tables_7324!C151,input_7324!A:H,8,FALSE))</f>
        <v>0</v>
      </c>
      <c r="P151" s="46">
        <f t="shared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>
        <f>input_7324!A$2</f>
        <v>7324010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>IFERROR(VLOOKUP(B152,input_7324!L:R,7,FALSE),VLOOKUP(tables_7324!C152,input_7324!A:H,8,FALSE))</f>
        <v>8000</v>
      </c>
      <c r="P152" s="46">
        <f t="shared" si="7"/>
        <v>1.3888888889274698E-3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hidden="1" customHeight="1" x14ac:dyDescent="0.15">
      <c r="A153" s="2">
        <f>input_7324!A$2</f>
        <v>7324010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>IFERROR(VLOOKUP(B153,input_7324!L:R,7,FALSE),VLOOKUP(tables_7324!C153,input_7324!A:H,8,FALSE))</f>
        <v>0</v>
      </c>
      <c r="P153" s="46">
        <f t="shared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hidden="1" customHeight="1" x14ac:dyDescent="0.15">
      <c r="A154" s="2">
        <f>input_7324!A$2</f>
        <v>7324010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>IFERROR(VLOOKUP(B154,input_7324!L:R,7,FALSE),VLOOKUP(tables_7324!C154,input_7324!A:H,8,FALSE))</f>
        <v>0</v>
      </c>
      <c r="P154" s="46">
        <f t="shared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>
        <f>input_7324!A$2</f>
        <v>7324010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>IFERROR(VLOOKUP(B155,input_7324!L:R,7,FALSE),VLOOKUP(tables_7324!C155,input_7324!A:H,8,FALSE))</f>
        <v>65423.07692</v>
      </c>
      <c r="P155" s="46">
        <f t="shared" si="7"/>
        <v>1.1358173076704399E-2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hidden="1" customHeight="1" x14ac:dyDescent="0.15">
      <c r="A156" s="2">
        <f>input_7324!A$2</f>
        <v>7324010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>IFERROR(VLOOKUP(B156,input_7324!L:R,7,FALSE),VLOOKUP(tables_7324!C156,input_7324!A:H,8,FALSE))</f>
        <v>0</v>
      </c>
      <c r="P156" s="46">
        <f t="shared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>
        <f>input_7324!A$2</f>
        <v>7324010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>IFERROR(VLOOKUP(B157,input_7324!L:R,7,FALSE),VLOOKUP(tables_7324!C157,input_7324!A:H,8,FALSE))</f>
        <v>8000</v>
      </c>
      <c r="P157" s="46">
        <f t="shared" si="7"/>
        <v>1.3888888889274698E-3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hidden="1" customHeight="1" x14ac:dyDescent="0.15">
      <c r="A158" s="2">
        <f>input_7324!A$2</f>
        <v>7324010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>IFERROR(VLOOKUP(B158,input_7324!L:R,7,FALSE),VLOOKUP(tables_7324!C158,input_7324!A:H,8,FALSE))</f>
        <v>0</v>
      </c>
      <c r="P158" s="46">
        <f t="shared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hidden="1" customHeight="1" x14ac:dyDescent="0.15">
      <c r="A159" s="2">
        <f>input_7324!A$2</f>
        <v>7324010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>IFERROR(VLOOKUP(B159,input_7324!L:R,7,FALSE),VLOOKUP(tables_7324!C159,input_7324!A:H,8,FALSE))</f>
        <v>0</v>
      </c>
      <c r="P159" s="46">
        <f t="shared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>
        <f>input_7324!A$2</f>
        <v>7324010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>IFERROR(VLOOKUP(B160,input_7324!L:R,7,FALSE),VLOOKUP(tables_7324!C160,input_7324!A:H,8,FALSE))</f>
        <v>65423.07692</v>
      </c>
      <c r="P160" s="46">
        <f t="shared" si="7"/>
        <v>1.1358173076704399E-2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hidden="1" customHeight="1" x14ac:dyDescent="0.15">
      <c r="A161" s="2">
        <f>input_7324!A$2</f>
        <v>7324010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>IFERROR(VLOOKUP(B161,input_7324!L:R,7,FALSE),VLOOKUP(tables_7324!C161,input_7324!A:H,8,FALSE))</f>
        <v>0</v>
      </c>
      <c r="P161" s="46">
        <f t="shared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hidden="1" customHeight="1" x14ac:dyDescent="0.15">
      <c r="A162" s="2">
        <f>input_7324!A$2</f>
        <v>7324010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>IFERROR(VLOOKUP(B162,input_7324!L:R,7,FALSE),VLOOKUP(tables_7324!C162,input_7324!A:H,8,FALSE))</f>
        <v>0</v>
      </c>
      <c r="P162" s="46">
        <f t="shared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>
        <f>input_7324!A$2</f>
        <v>7324010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>IFERROR(VLOOKUP(B163,input_7324!L:R,7,FALSE),VLOOKUP(tables_7324!C163,input_7324!A:H,8,FALSE))</f>
        <v>65423.07692</v>
      </c>
      <c r="P163" s="46">
        <f t="shared" si="7"/>
        <v>1.1358173076704399E-2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hidden="1" customHeight="1" x14ac:dyDescent="0.15">
      <c r="A164" s="2">
        <f>input_7324!A$2</f>
        <v>7324010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>IFERROR(VLOOKUP(B164,input_7324!L:R,7,FALSE),VLOOKUP(tables_7324!C164,input_7324!A:H,8,FALSE))</f>
        <v>0</v>
      </c>
      <c r="P164" s="46">
        <f t="shared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>
        <f>input_7324!A$2</f>
        <v>7324010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>IFERROR(VLOOKUP(B165,input_7324!L:R,7,FALSE),VLOOKUP(tables_7324!C165,input_7324!A:H,8,FALSE))</f>
        <v>8000</v>
      </c>
      <c r="P165" s="46">
        <f t="shared" si="7"/>
        <v>1.3888888889274698E-3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hidden="1" customHeight="1" x14ac:dyDescent="0.15">
      <c r="A166" s="2">
        <f>input_7324!A$2</f>
        <v>7324010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>IFERROR(VLOOKUP(B166,input_7324!L:R,7,FALSE),VLOOKUP(tables_7324!C166,input_7324!A:H,8,FALSE))</f>
        <v>0</v>
      </c>
      <c r="P166" s="46">
        <f t="shared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hidden="1" customHeight="1" x14ac:dyDescent="0.15">
      <c r="A167" s="2">
        <f>input_7324!A$2</f>
        <v>7324010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>IFERROR(VLOOKUP(B167,input_7324!L:R,7,FALSE),VLOOKUP(tables_7324!C167,input_7324!A:H,8,FALSE))</f>
        <v>0</v>
      </c>
      <c r="P167" s="46">
        <f t="shared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>
        <f>input_7324!A$2</f>
        <v>7324010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>IFERROR(VLOOKUP(B168,input_7324!L:R,7,FALSE),VLOOKUP(tables_7324!C168,input_7324!A:H,8,FALSE))</f>
        <v>65423.07692</v>
      </c>
      <c r="P168" s="46">
        <f t="shared" si="7"/>
        <v>1.1358173076704399E-2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hidden="1" customHeight="1" x14ac:dyDescent="0.15">
      <c r="A169" s="2">
        <f>input_7324!A$2</f>
        <v>7324010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>IFERROR(VLOOKUP(B169,input_7324!L:R,7,FALSE),VLOOKUP(tables_7324!C169,input_7324!A:H,8,FALSE))</f>
        <v>0</v>
      </c>
      <c r="P169" s="46">
        <f t="shared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>
        <f>input_7324!A$2</f>
        <v>7324010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>IFERROR(VLOOKUP(B170,input_7324!L:R,7,FALSE),VLOOKUP(tables_7324!C170,input_7324!A:H,8,FALSE))</f>
        <v>8000</v>
      </c>
      <c r="P170" s="46">
        <f t="shared" si="7"/>
        <v>1.3888888889274698E-3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hidden="1" customHeight="1" x14ac:dyDescent="0.15">
      <c r="A171" s="2">
        <f>input_7324!A$2</f>
        <v>7324010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>IFERROR(VLOOKUP(B171,input_7324!L:R,7,FALSE),VLOOKUP(tables_7324!C171,input_7324!A:H,8,FALSE))</f>
        <v>0</v>
      </c>
      <c r="P171" s="46">
        <f t="shared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hidden="1" customHeight="1" x14ac:dyDescent="0.15">
      <c r="A172" s="2">
        <f>input_7324!A$2</f>
        <v>7324010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>IFERROR(VLOOKUP(B172,input_7324!L:R,7,FALSE),VLOOKUP(tables_7324!C172,input_7324!A:H,8,FALSE))</f>
        <v>0</v>
      </c>
      <c r="P172" s="46">
        <f t="shared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>
        <f>input_7324!A$2</f>
        <v>7324010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>IFERROR(VLOOKUP(B173,input_7324!L:R,7,FALSE),VLOOKUP(tables_7324!C173,input_7324!A:H,8,FALSE))</f>
        <v>65423.07692</v>
      </c>
      <c r="P173" s="46">
        <f t="shared" si="7"/>
        <v>1.1358173076704399E-2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hidden="1" customHeight="1" x14ac:dyDescent="0.15">
      <c r="A174" s="2">
        <f>input_7324!A$2</f>
        <v>7324010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>IFERROR(VLOOKUP(B174,input_7324!L:R,7,FALSE),VLOOKUP(tables_7324!C174,input_7324!A:H,8,FALSE))</f>
        <v>0</v>
      </c>
      <c r="P174" s="46">
        <f t="shared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>
        <f>input_7324!A$2</f>
        <v>7324010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>IFERROR(VLOOKUP(B175,input_7324!L:R,7,FALSE),VLOOKUP(tables_7324!C175,input_7324!A:H,8,FALSE))</f>
        <v>8000</v>
      </c>
      <c r="P175" s="46">
        <f t="shared" si="7"/>
        <v>1.3888888889274698E-3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hidden="1" customHeight="1" x14ac:dyDescent="0.15">
      <c r="A176" s="2">
        <f>input_7324!A$2</f>
        <v>7324010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>IFERROR(VLOOKUP(B176,input_7324!L:R,7,FALSE),VLOOKUP(tables_7324!C176,input_7324!A:H,8,FALSE))</f>
        <v>0</v>
      </c>
      <c r="P176" s="46">
        <f t="shared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>
        <f>input_7324!A$2</f>
        <v>7324010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>IFERROR(VLOOKUP(B177,input_7324!L:R,7,FALSE),VLOOKUP(tables_7324!C177,input_7324!A:H,8,FALSE))</f>
        <v>8000</v>
      </c>
      <c r="P177" s="46">
        <f t="shared" si="7"/>
        <v>1.3888888889274698E-3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hidden="1" customHeight="1" x14ac:dyDescent="0.15">
      <c r="A178" s="2">
        <f>input_7324!A$2</f>
        <v>7324010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>IFERROR(VLOOKUP(B178,input_7324!L:R,7,FALSE),VLOOKUP(tables_7324!C178,input_7324!A:H,8,FALSE))</f>
        <v>0</v>
      </c>
      <c r="P178" s="46">
        <f t="shared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hidden="1" customHeight="1" x14ac:dyDescent="0.15">
      <c r="A179" s="2">
        <f>input_7324!A$2</f>
        <v>7324010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>IFERROR(VLOOKUP(B179,input_7324!L:R,7,FALSE),VLOOKUP(tables_7324!C179,input_7324!A:H,8,FALSE))</f>
        <v>0</v>
      </c>
      <c r="P179" s="46">
        <f t="shared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>
        <f>input_7324!A$2</f>
        <v>7324010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>IFERROR(VLOOKUP(B180,input_7324!L:R,7,FALSE),VLOOKUP(tables_7324!C180,input_7324!A:H,8,FALSE))</f>
        <v>65423.07692</v>
      </c>
      <c r="P180" s="46">
        <f t="shared" si="7"/>
        <v>1.1358173076704399E-2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hidden="1" customHeight="1" x14ac:dyDescent="0.15">
      <c r="A181" s="2">
        <f>input_7324!A$2</f>
        <v>7324010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>IFERROR(VLOOKUP(B181,input_7324!L:R,7,FALSE),VLOOKUP(tables_7324!C181,input_7324!A:H,8,FALSE))</f>
        <v>0</v>
      </c>
      <c r="P181" s="46">
        <f t="shared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hidden="1" customHeight="1" x14ac:dyDescent="0.15">
      <c r="A182" s="2">
        <f>input_7324!A$2</f>
        <v>7324010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>IFERROR(VLOOKUP(B182,input_7324!L:R,7,FALSE),VLOOKUP(tables_7324!C182,input_7324!A:H,8,FALSE))</f>
        <v>0</v>
      </c>
      <c r="P182" s="46">
        <f t="shared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>
        <f>input_7324!A$2</f>
        <v>7324010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>IFERROR(VLOOKUP(B183,input_7324!L:R,7,FALSE),VLOOKUP(tables_7324!C183,input_7324!A:H,8,FALSE))</f>
        <v>65423.07692</v>
      </c>
      <c r="P183" s="46">
        <f t="shared" si="7"/>
        <v>1.1358173076704399E-2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hidden="1" customHeight="1" x14ac:dyDescent="0.15">
      <c r="A184" s="2">
        <f>input_7324!A$2</f>
        <v>7324010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>IFERROR(VLOOKUP(B184,input_7324!L:R,7,FALSE),VLOOKUP(tables_7324!C184,input_7324!A:H,8,FALSE))</f>
        <v>0</v>
      </c>
      <c r="P184" s="46">
        <f t="shared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>
        <f>input_7324!A$2</f>
        <v>7324010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>IFERROR(VLOOKUP(B185,input_7324!L:R,7,FALSE),VLOOKUP(tables_7324!C185,input_7324!A:H,8,FALSE))</f>
        <v>8000</v>
      </c>
      <c r="P185" s="46">
        <f t="shared" si="7"/>
        <v>1.3888888889274698E-3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hidden="1" customHeight="1" x14ac:dyDescent="0.15">
      <c r="A186" s="2">
        <f>input_7324!A$2</f>
        <v>7324010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>IFERROR(VLOOKUP(B186,input_7324!L:R,7,FALSE),VLOOKUP(tables_7324!C186,input_7324!A:H,8,FALSE))</f>
        <v>0</v>
      </c>
      <c r="P186" s="46">
        <f t="shared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hidden="1" customHeight="1" x14ac:dyDescent="0.15">
      <c r="A187" s="2">
        <f>input_7324!A$2</f>
        <v>7324010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>IFERROR(VLOOKUP(B187,input_7324!L:R,7,FALSE),VLOOKUP(tables_7324!C187,input_7324!A:H,8,FALSE))</f>
        <v>0</v>
      </c>
      <c r="P187" s="46">
        <f t="shared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>
        <f>input_7324!A$2</f>
        <v>7324010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>IFERROR(VLOOKUP(B188,input_7324!L:R,7,FALSE),VLOOKUP(tables_7324!C188,input_7324!A:H,8,FALSE))</f>
        <v>65423.07692</v>
      </c>
      <c r="P188" s="46">
        <f t="shared" si="7"/>
        <v>1.1358173076704399E-2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hidden="1" customHeight="1" x14ac:dyDescent="0.15">
      <c r="A189" s="2">
        <f>input_7324!A$2</f>
        <v>7324010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>IFERROR(VLOOKUP(B189,input_7324!L:R,7,FALSE),VLOOKUP(tables_7324!C189,input_7324!A:H,8,FALSE))</f>
        <v>0</v>
      </c>
      <c r="P189" s="46">
        <f t="shared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>
        <f>input_7324!A$2</f>
        <v>7324010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>IFERROR(VLOOKUP(B190,input_7324!L:R,7,FALSE),VLOOKUP(tables_7324!C190,input_7324!A:H,8,FALSE))</f>
        <v>8000</v>
      </c>
      <c r="P190" s="46">
        <f t="shared" si="7"/>
        <v>1.3888888889274698E-3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hidden="1" customHeight="1" x14ac:dyDescent="0.15">
      <c r="A191" s="2">
        <f>input_7324!A$2</f>
        <v>7324010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>IFERROR(VLOOKUP(B191,input_7324!L:R,7,FALSE),VLOOKUP(tables_7324!C191,input_7324!A:H,8,FALSE))</f>
        <v>0</v>
      </c>
      <c r="P191" s="46">
        <f t="shared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>
        <f>input_7324!A$2</f>
        <v>7324010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>IFERROR(VLOOKUP(B192,input_7324!L:R,7,FALSE),VLOOKUP(tables_7324!C192,input_7324!A:H,8,FALSE))</f>
        <v>8000</v>
      </c>
      <c r="P192" s="46">
        <f t="shared" si="7"/>
        <v>1.3888888889274698E-3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hidden="1" customHeight="1" x14ac:dyDescent="0.15">
      <c r="A193" s="2">
        <f>input_7324!A$2</f>
        <v>7324010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>IFERROR(VLOOKUP(B193,input_7324!L:R,7,FALSE),VLOOKUP(tables_7324!C193,input_7324!A:H,8,FALSE))</f>
        <v>0</v>
      </c>
      <c r="P193" s="46">
        <f t="shared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hidden="1" customHeight="1" x14ac:dyDescent="0.15">
      <c r="A194" s="2">
        <f>input_7324!A$2</f>
        <v>7324010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>IFERROR(VLOOKUP(B194,input_7324!L:R,7,FALSE),VLOOKUP(tables_7324!C194,input_7324!A:H,8,FALSE))</f>
        <v>0</v>
      </c>
      <c r="P194" s="46">
        <f t="shared" ref="P194:P257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>
        <f>input_7324!A$2</f>
        <v>7324010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>IFERROR(VLOOKUP(B195,input_7324!L:R,7,FALSE),VLOOKUP(tables_7324!C195,input_7324!A:H,8,FALSE))</f>
        <v>65423.07692</v>
      </c>
      <c r="P195" s="46">
        <f t="shared" si="10"/>
        <v>1.1358173076704399E-2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hidden="1" customHeight="1" x14ac:dyDescent="0.15">
      <c r="A196" s="2">
        <f>input_7324!A$2</f>
        <v>7324010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>IFERROR(VLOOKUP(B196,input_7324!L:R,7,FALSE),VLOOKUP(tables_7324!C196,input_7324!A:H,8,FALSE))</f>
        <v>0</v>
      </c>
      <c r="P196" s="46">
        <f t="shared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>
        <f>input_7324!A$2</f>
        <v>7324010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>IFERROR(VLOOKUP(B197,input_7324!L:R,7,FALSE),VLOOKUP(tables_7324!C197,input_7324!A:H,8,FALSE))</f>
        <v>8000</v>
      </c>
      <c r="P197" s="46">
        <f t="shared" si="10"/>
        <v>1.3888888889274698E-3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hidden="1" customHeight="1" x14ac:dyDescent="0.15">
      <c r="A198" s="2">
        <f>input_7324!A$2</f>
        <v>7324010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>IFERROR(VLOOKUP(B198,input_7324!L:R,7,FALSE),VLOOKUP(tables_7324!C198,input_7324!A:H,8,FALSE))</f>
        <v>0</v>
      </c>
      <c r="P198" s="46">
        <f t="shared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hidden="1" customHeight="1" x14ac:dyDescent="0.15">
      <c r="A199" s="2">
        <f>input_7324!A$2</f>
        <v>7324010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>IFERROR(VLOOKUP(B199,input_7324!L:R,7,FALSE),VLOOKUP(tables_7324!C199,input_7324!A:H,8,FALSE))</f>
        <v>0</v>
      </c>
      <c r="P199" s="46">
        <f t="shared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>
        <f>input_7324!A$2</f>
        <v>7324010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>IFERROR(VLOOKUP(B200,input_7324!L:R,7,FALSE),VLOOKUP(tables_7324!C200,input_7324!A:H,8,FALSE))</f>
        <v>65423.07692</v>
      </c>
      <c r="P200" s="46">
        <f t="shared" si="10"/>
        <v>1.1358173076704399E-2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hidden="1" customHeight="1" x14ac:dyDescent="0.15">
      <c r="A201" s="2">
        <f>input_7324!A$2</f>
        <v>7324010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>IFERROR(VLOOKUP(B201,input_7324!L:R,7,FALSE),VLOOKUP(tables_7324!C201,input_7324!A:H,8,FALSE))</f>
        <v>0</v>
      </c>
      <c r="P201" s="46">
        <f t="shared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>
        <f>input_7324!A$2</f>
        <v>7324010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>IFERROR(VLOOKUP(B202,input_7324!L:R,7,FALSE),VLOOKUP(tables_7324!C202,input_7324!A:H,8,FALSE))</f>
        <v>8000</v>
      </c>
      <c r="P202" s="46">
        <f t="shared" si="10"/>
        <v>1.3888888889274698E-3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hidden="1" customHeight="1" x14ac:dyDescent="0.15">
      <c r="A203" s="2">
        <f>input_7324!A$2</f>
        <v>7324010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>IFERROR(VLOOKUP(B203,input_7324!L:R,7,FALSE),VLOOKUP(tables_7324!C203,input_7324!A:H,8,FALSE))</f>
        <v>0</v>
      </c>
      <c r="P203" s="46">
        <f t="shared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hidden="1" customHeight="1" x14ac:dyDescent="0.15">
      <c r="A204" s="2">
        <f>input_7324!A$2</f>
        <v>7324010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>IFERROR(VLOOKUP(B204,input_7324!L:R,7,FALSE),VLOOKUP(tables_7324!C204,input_7324!A:H,8,FALSE))</f>
        <v>0</v>
      </c>
      <c r="P204" s="46">
        <f t="shared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>
        <f>input_7324!A$2</f>
        <v>7324010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>IFERROR(VLOOKUP(B205,input_7324!L:R,7,FALSE),VLOOKUP(tables_7324!C205,input_7324!A:H,8,FALSE))</f>
        <v>65423.07692</v>
      </c>
      <c r="P205" s="46">
        <f t="shared" si="10"/>
        <v>1.1358173076704399E-2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hidden="1" customHeight="1" x14ac:dyDescent="0.15">
      <c r="A206" s="2">
        <f>input_7324!A$2</f>
        <v>7324010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>IFERROR(VLOOKUP(B206,input_7324!L:R,7,FALSE),VLOOKUP(tables_7324!C206,input_7324!A:H,8,FALSE))</f>
        <v>0</v>
      </c>
      <c r="P206" s="46">
        <f t="shared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>
        <f>input_7324!A$2</f>
        <v>7324010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>IFERROR(VLOOKUP(B207,input_7324!L:R,7,FALSE),VLOOKUP(tables_7324!C207,input_7324!A:H,8,FALSE))</f>
        <v>8000</v>
      </c>
      <c r="P207" s="46">
        <f t="shared" si="10"/>
        <v>1.3888888889274698E-3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hidden="1" customHeight="1" x14ac:dyDescent="0.15">
      <c r="A208" s="2">
        <f>input_7324!A$2</f>
        <v>7324010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>IFERROR(VLOOKUP(B208,input_7324!L:R,7,FALSE),VLOOKUP(tables_7324!C208,input_7324!A:H,8,FALSE))</f>
        <v>0</v>
      </c>
      <c r="P208" s="46">
        <f t="shared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>
        <f>input_7324!A$2</f>
        <v>7324010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>IFERROR(VLOOKUP(B209,input_7324!L:R,7,FALSE),VLOOKUP(tables_7324!C209,input_7324!A:H,8,FALSE))</f>
        <v>8000</v>
      </c>
      <c r="P209" s="46">
        <f t="shared" si="10"/>
        <v>1.3888888889274698E-3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hidden="1" customHeight="1" x14ac:dyDescent="0.15">
      <c r="A210" s="2">
        <f>input_7324!A$2</f>
        <v>7324010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>IFERROR(VLOOKUP(B210,input_7324!L:R,7,FALSE),VLOOKUP(tables_7324!C210,input_7324!A:H,8,FALSE))</f>
        <v>0</v>
      </c>
      <c r="P210" s="46">
        <f t="shared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hidden="1" customHeight="1" x14ac:dyDescent="0.15">
      <c r="A211" s="2">
        <f>input_7324!A$2</f>
        <v>7324010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>IFERROR(VLOOKUP(B211,input_7324!L:R,7,FALSE),VLOOKUP(tables_7324!C211,input_7324!A:H,8,FALSE))</f>
        <v>0</v>
      </c>
      <c r="P211" s="46">
        <f t="shared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>
        <f>input_7324!A$2</f>
        <v>7324010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>IFERROR(VLOOKUP(B212,input_7324!L:R,7,FALSE),VLOOKUP(tables_7324!C212,input_7324!A:H,8,FALSE))</f>
        <v>65423.07692</v>
      </c>
      <c r="P212" s="46">
        <f t="shared" si="10"/>
        <v>1.1358173076704399E-2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hidden="1" customHeight="1" x14ac:dyDescent="0.15">
      <c r="A213" s="2">
        <f>input_7324!A$2</f>
        <v>7324010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>IFERROR(VLOOKUP(B213,input_7324!L:R,7,FALSE),VLOOKUP(tables_7324!C213,input_7324!A:H,8,FALSE))</f>
        <v>0</v>
      </c>
      <c r="P213" s="46">
        <f t="shared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>
        <f>input_7324!A$2</f>
        <v>7324010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>IFERROR(VLOOKUP(B214,input_7324!L:R,7,FALSE),VLOOKUP(tables_7324!C214,input_7324!A:H,8,FALSE))</f>
        <v>8000</v>
      </c>
      <c r="P214" s="46">
        <f t="shared" si="10"/>
        <v>1.3888888889274698E-3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>
        <f>input_7324!A$2</f>
        <v>7324010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>IFERROR(VLOOKUP(B215,input_7324!L:R,7,FALSE),VLOOKUP(tables_7324!C215,input_7324!A:H,8,FALSE))</f>
        <v>59400</v>
      </c>
      <c r="P215" s="46">
        <f t="shared" si="10"/>
        <v>1.0312500000286464E-2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>
        <f>input_7324!A$2</f>
        <v>7324010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>IFERROR(VLOOKUP(B216,input_7324!L:R,7,FALSE),VLOOKUP(tables_7324!C216,input_7324!A:H,8,FALSE))</f>
        <v>59400</v>
      </c>
      <c r="P216" s="46">
        <f t="shared" si="10"/>
        <v>1.0312500000286464E-2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>
        <f>input_7324!A$2</f>
        <v>7324010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>IFERROR(VLOOKUP(B217,input_7324!L:R,7,FALSE),VLOOKUP(tables_7324!C217,input_7324!A:H,8,FALSE))</f>
        <v>59400</v>
      </c>
      <c r="P217" s="46">
        <f t="shared" si="10"/>
        <v>1.0312500000286464E-2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>
        <f>input_7324!A$2</f>
        <v>7324010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>IFERROR(VLOOKUP(B218,input_7324!L:R,7,FALSE),VLOOKUP(tables_7324!C218,input_7324!A:H,8,FALSE))</f>
        <v>59400</v>
      </c>
      <c r="P218" s="46">
        <f t="shared" si="10"/>
        <v>1.0312500000286464E-2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>
        <f>input_7324!A$2</f>
        <v>7324010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>IFERROR(VLOOKUP(B219,input_7324!L:R,7,FALSE),VLOOKUP(tables_7324!C219,input_7324!A:H,8,FALSE))</f>
        <v>59400</v>
      </c>
      <c r="P219" s="46">
        <f t="shared" si="10"/>
        <v>1.0312500000286464E-2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>
        <f>input_7324!A$2</f>
        <v>7324010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>IFERROR(VLOOKUP(B220,input_7324!L:R,7,FALSE),VLOOKUP(tables_7324!C220,input_7324!A:H,8,FALSE))</f>
        <v>59400</v>
      </c>
      <c r="P220" s="46">
        <f t="shared" si="10"/>
        <v>1.0312500000286464E-2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hidden="1" customHeight="1" x14ac:dyDescent="0.15">
      <c r="A221" s="2">
        <f>input_7324!A$2</f>
        <v>7324010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>IFERROR(VLOOKUP(B221,input_7324!L:R,7,FALSE),VLOOKUP(tables_7324!C221,input_7324!A:H,8,FALSE))</f>
        <v>0</v>
      </c>
      <c r="P221" s="46">
        <f t="shared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>
        <f>input_7324!A$2</f>
        <v>7324010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>IFERROR(VLOOKUP(B222,input_7324!L:R,7,FALSE),VLOOKUP(tables_7324!C222,input_7324!A:H,8,FALSE))</f>
        <v>8000</v>
      </c>
      <c r="P222" s="46">
        <f t="shared" si="10"/>
        <v>1.3888888889274698E-3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hidden="1" customHeight="1" x14ac:dyDescent="0.15">
      <c r="A223" s="2">
        <f>input_7324!A$2</f>
        <v>7324010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>IFERROR(VLOOKUP(B223,input_7324!L:R,7,FALSE),VLOOKUP(tables_7324!C223,input_7324!A:H,8,FALSE))</f>
        <v>0</v>
      </c>
      <c r="P223" s="46">
        <f t="shared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hidden="1" customHeight="1" x14ac:dyDescent="0.15">
      <c r="A224" s="2">
        <f>input_7324!A$2</f>
        <v>7324010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>IFERROR(VLOOKUP(B224,input_7324!L:R,7,FALSE),VLOOKUP(tables_7324!C224,input_7324!A:H,8,FALSE))</f>
        <v>0</v>
      </c>
      <c r="P224" s="46">
        <f t="shared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>
        <f>input_7324!A$2</f>
        <v>7324010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>IFERROR(VLOOKUP(B225,input_7324!L:R,7,FALSE),VLOOKUP(tables_7324!C225,input_7324!A:H,8,FALSE))</f>
        <v>65423.07692</v>
      </c>
      <c r="P225" s="46">
        <f t="shared" si="10"/>
        <v>1.1358173076704399E-2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hidden="1" customHeight="1" x14ac:dyDescent="0.15">
      <c r="A226" s="2">
        <f>input_7324!A$2</f>
        <v>7324010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>IFERROR(VLOOKUP(B226,input_7324!L:R,7,FALSE),VLOOKUP(tables_7324!C226,input_7324!A:H,8,FALSE))</f>
        <v>0</v>
      </c>
      <c r="P226" s="46">
        <f t="shared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hidden="1" customHeight="1" x14ac:dyDescent="0.15">
      <c r="A227" s="2">
        <f>input_7324!A$2</f>
        <v>7324010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>IFERROR(VLOOKUP(B227,input_7324!L:R,7,FALSE),VLOOKUP(tables_7324!C227,input_7324!A:H,8,FALSE))</f>
        <v>0</v>
      </c>
      <c r="P227" s="46">
        <f t="shared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>
        <f>input_7324!A$2</f>
        <v>7324010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>IFERROR(VLOOKUP(B228,input_7324!L:R,7,FALSE),VLOOKUP(tables_7324!C228,input_7324!A:H,8,FALSE))</f>
        <v>65423.07692</v>
      </c>
      <c r="P228" s="46">
        <f t="shared" si="10"/>
        <v>1.1358173076704399E-2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hidden="1" customHeight="1" x14ac:dyDescent="0.15">
      <c r="A229" s="2">
        <f>input_7324!A$2</f>
        <v>7324010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>IFERROR(VLOOKUP(B229,input_7324!L:R,7,FALSE),VLOOKUP(tables_7324!C229,input_7324!A:H,8,FALSE))</f>
        <v>0</v>
      </c>
      <c r="P229" s="46">
        <f t="shared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>
        <f>input_7324!A$2</f>
        <v>7324010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>IFERROR(VLOOKUP(B230,input_7324!L:R,7,FALSE),VLOOKUP(tables_7324!C230,input_7324!A:H,8,FALSE))</f>
        <v>8000</v>
      </c>
      <c r="P230" s="46">
        <f t="shared" si="10"/>
        <v>1.3888888889274698E-3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hidden="1" customHeight="1" x14ac:dyDescent="0.15">
      <c r="A231" s="2">
        <f>input_7324!A$2</f>
        <v>7324010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>IFERROR(VLOOKUP(B231,input_7324!L:R,7,FALSE),VLOOKUP(tables_7324!C231,input_7324!A:H,8,FALSE))</f>
        <v>0</v>
      </c>
      <c r="P231" s="46">
        <f t="shared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hidden="1" customHeight="1" x14ac:dyDescent="0.15">
      <c r="A232" s="2">
        <f>input_7324!A$2</f>
        <v>7324010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>IFERROR(VLOOKUP(B232,input_7324!L:R,7,FALSE),VLOOKUP(tables_7324!C232,input_7324!A:H,8,FALSE))</f>
        <v>0</v>
      </c>
      <c r="P232" s="46">
        <f t="shared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>
        <f>input_7324!A$2</f>
        <v>7324010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>IFERROR(VLOOKUP(B233,input_7324!L:R,7,FALSE),VLOOKUP(tables_7324!C233,input_7324!A:H,8,FALSE))</f>
        <v>65423.07692</v>
      </c>
      <c r="P233" s="46">
        <f t="shared" si="10"/>
        <v>1.1358173076704399E-2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hidden="1" customHeight="1" x14ac:dyDescent="0.15">
      <c r="A234" s="2">
        <f>input_7324!A$2</f>
        <v>7324010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>IFERROR(VLOOKUP(B234,input_7324!L:R,7,FALSE),VLOOKUP(tables_7324!C234,input_7324!A:H,8,FALSE))</f>
        <v>0</v>
      </c>
      <c r="P234" s="46">
        <f t="shared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hidden="1" customHeight="1" x14ac:dyDescent="0.15">
      <c r="A235" s="2">
        <f>input_7324!A$2</f>
        <v>7324010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>IFERROR(VLOOKUP(B235,input_7324!L:R,7,FALSE),VLOOKUP(tables_7324!C235,input_7324!A:H,8,FALSE))</f>
        <v>0</v>
      </c>
      <c r="P235" s="46">
        <f t="shared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>
        <f>input_7324!A$2</f>
        <v>7324010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>IFERROR(VLOOKUP(B236,input_7324!L:R,7,FALSE),VLOOKUP(tables_7324!C236,input_7324!A:H,8,FALSE))</f>
        <v>65423.07692</v>
      </c>
      <c r="P236" s="46">
        <f t="shared" si="10"/>
        <v>1.1358173076704399E-2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hidden="1" customHeight="1" x14ac:dyDescent="0.15">
      <c r="A237" s="2">
        <f>input_7324!A$2</f>
        <v>7324010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>IFERROR(VLOOKUP(B237,input_7324!L:R,7,FALSE),VLOOKUP(tables_7324!C237,input_7324!A:H,8,FALSE))</f>
        <v>0</v>
      </c>
      <c r="P237" s="46">
        <f t="shared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>
        <f>input_7324!A$2</f>
        <v>7324010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>IFERROR(VLOOKUP(B238,input_7324!L:R,7,FALSE),VLOOKUP(tables_7324!C238,input_7324!A:H,8,FALSE))</f>
        <v>8000</v>
      </c>
      <c r="P238" s="46">
        <f t="shared" si="10"/>
        <v>1.3888888889274698E-3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hidden="1" customHeight="1" x14ac:dyDescent="0.15">
      <c r="A239" s="2">
        <f>input_7324!A$2</f>
        <v>7324010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>IFERROR(VLOOKUP(B239,input_7324!L:R,7,FALSE),VLOOKUP(tables_7324!C239,input_7324!A:H,8,FALSE))</f>
        <v>0</v>
      </c>
      <c r="P239" s="46">
        <f t="shared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hidden="1" customHeight="1" x14ac:dyDescent="0.15">
      <c r="A240" s="2">
        <f>input_7324!A$2</f>
        <v>7324010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>IFERROR(VLOOKUP(B240,input_7324!L:R,7,FALSE),VLOOKUP(tables_7324!C240,input_7324!A:H,8,FALSE))</f>
        <v>0</v>
      </c>
      <c r="P240" s="46">
        <f t="shared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>
        <f>input_7324!A$2</f>
        <v>7324010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>IFERROR(VLOOKUP(B241,input_7324!L:R,7,FALSE),VLOOKUP(tables_7324!C241,input_7324!A:H,8,FALSE))</f>
        <v>65423.07692</v>
      </c>
      <c r="P241" s="46">
        <f t="shared" si="10"/>
        <v>1.1358173076704399E-2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hidden="1" customHeight="1" x14ac:dyDescent="0.15">
      <c r="A242" s="2">
        <f>input_7324!A$2</f>
        <v>7324010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>IFERROR(VLOOKUP(B242,input_7324!L:R,7,FALSE),VLOOKUP(tables_7324!C242,input_7324!A:H,8,FALSE))</f>
        <v>0</v>
      </c>
      <c r="P242" s="46">
        <f t="shared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>
        <f>input_7324!A$2</f>
        <v>7324010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>IFERROR(VLOOKUP(B243,input_7324!L:R,7,FALSE),VLOOKUP(tables_7324!C243,input_7324!A:H,8,FALSE))</f>
        <v>8000</v>
      </c>
      <c r="P243" s="46">
        <f t="shared" si="10"/>
        <v>1.3888888889274698E-3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hidden="1" customHeight="1" x14ac:dyDescent="0.15">
      <c r="A244" s="2">
        <f>input_7324!A$2</f>
        <v>7324010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>IFERROR(VLOOKUP(B244,input_7324!L:R,7,FALSE),VLOOKUP(tables_7324!C244,input_7324!A:H,8,FALSE))</f>
        <v>0</v>
      </c>
      <c r="P244" s="46">
        <f t="shared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>
        <f>input_7324!A$2</f>
        <v>7324010</v>
      </c>
      <c r="B245" s="59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>IFERROR(VLOOKUP(B245,input_7324!L:R,7,FALSE),VLOOKUP(tables_7324!C245,input_7324!A:H,8,FALSE))</f>
        <v>8000</v>
      </c>
      <c r="P245" s="46">
        <f t="shared" si="10"/>
        <v>1.3888888889274698E-3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hidden="1" customHeight="1" x14ac:dyDescent="0.15">
      <c r="A246" s="2">
        <f>input_7324!A$2</f>
        <v>7324010</v>
      </c>
      <c r="B246" s="59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>IFERROR(VLOOKUP(B246,input_7324!L:R,7,FALSE),VLOOKUP(tables_7324!C246,input_7324!A:H,8,FALSE))</f>
        <v>0</v>
      </c>
      <c r="P246" s="46">
        <f t="shared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hidden="1" customHeight="1" x14ac:dyDescent="0.15">
      <c r="A247" s="2">
        <f>input_7324!A$2</f>
        <v>7324010</v>
      </c>
      <c r="B247" s="59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>IFERROR(VLOOKUP(B247,input_7324!L:R,7,FALSE),VLOOKUP(tables_7324!C247,input_7324!A:H,8,FALSE))</f>
        <v>0</v>
      </c>
      <c r="P247" s="46">
        <f t="shared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>
        <f>input_7324!A$2</f>
        <v>7324010</v>
      </c>
      <c r="B248" s="59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>IFERROR(VLOOKUP(B248,input_7324!L:R,7,FALSE),VLOOKUP(tables_7324!C248,input_7324!A:H,8,FALSE))</f>
        <v>65423.07692</v>
      </c>
      <c r="P248" s="46">
        <f t="shared" si="10"/>
        <v>1.1358173076704399E-2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hidden="1" customHeight="1" x14ac:dyDescent="0.15">
      <c r="A249" s="2">
        <f>input_7324!A$2</f>
        <v>7324010</v>
      </c>
      <c r="B249" s="59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>IFERROR(VLOOKUP(B249,input_7324!L:R,7,FALSE),VLOOKUP(tables_7324!C249,input_7324!A:H,8,FALSE))</f>
        <v>0</v>
      </c>
      <c r="P249" s="46">
        <f t="shared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hidden="1" customHeight="1" x14ac:dyDescent="0.15">
      <c r="A250" s="2">
        <f>input_7324!A$2</f>
        <v>7324010</v>
      </c>
      <c r="B250" s="59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>IFERROR(VLOOKUP(B250,input_7324!L:R,7,FALSE),VLOOKUP(tables_7324!C250,input_7324!A:H,8,FALSE))</f>
        <v>0</v>
      </c>
      <c r="P250" s="46">
        <f t="shared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>
        <f>input_7324!A$2</f>
        <v>7324010</v>
      </c>
      <c r="B251" s="59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>IFERROR(VLOOKUP(B251,input_7324!L:R,7,FALSE),VLOOKUP(tables_7324!C251,input_7324!A:H,8,FALSE))</f>
        <v>65423.07692</v>
      </c>
      <c r="P251" s="46">
        <f t="shared" si="10"/>
        <v>1.1358173076704399E-2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hidden="1" customHeight="1" x14ac:dyDescent="0.15">
      <c r="A252" s="2">
        <f>input_7324!A$2</f>
        <v>7324010</v>
      </c>
      <c r="B252" s="59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>IFERROR(VLOOKUP(B252,input_7324!L:R,7,FALSE),VLOOKUP(tables_7324!C252,input_7324!A:H,8,FALSE))</f>
        <v>0</v>
      </c>
      <c r="P252" s="46">
        <f t="shared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hidden="1" customHeight="1" x14ac:dyDescent="0.15">
      <c r="A253" s="2">
        <f>input_7324!A$2</f>
        <v>7324010</v>
      </c>
      <c r="B253" s="59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>IFERROR(VLOOKUP(B253,input_7324!L:R,7,FALSE),VLOOKUP(tables_7324!C253,input_7324!A:H,8,FALSE))</f>
        <v>0</v>
      </c>
      <c r="P253" s="46">
        <f t="shared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>
        <f>input_7324!A$2</f>
        <v>7324010</v>
      </c>
      <c r="B254" s="59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>IFERROR(VLOOKUP(B254,input_7324!L:R,7,FALSE),VLOOKUP(tables_7324!C254,input_7324!A:H,8,FALSE))</f>
        <v>65423.07692</v>
      </c>
      <c r="P254" s="46">
        <f t="shared" si="10"/>
        <v>1.1358173076704399E-2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hidden="1" customHeight="1" x14ac:dyDescent="0.15">
      <c r="A255" s="2">
        <f>input_7324!A$2</f>
        <v>7324010</v>
      </c>
      <c r="B255" s="59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>IFERROR(VLOOKUP(B255,input_7324!L:R,7,FALSE),VLOOKUP(tables_7324!C255,input_7324!A:H,8,FALSE))</f>
        <v>0</v>
      </c>
      <c r="P255" s="46">
        <f t="shared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hidden="1" customHeight="1" x14ac:dyDescent="0.15">
      <c r="A256" s="2">
        <f>input_7324!A$2</f>
        <v>7324010</v>
      </c>
      <c r="B256" s="59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>IFERROR(VLOOKUP(B256,input_7324!L:R,7,FALSE),VLOOKUP(tables_7324!C256,input_7324!A:H,8,FALSE))</f>
        <v>0</v>
      </c>
      <c r="P256" s="46">
        <f t="shared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>
        <f>input_7324!A$2</f>
        <v>7324010</v>
      </c>
      <c r="B257" s="59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>IFERROR(VLOOKUP(B257,input_7324!L:R,7,FALSE),VLOOKUP(tables_7324!C257,input_7324!A:H,8,FALSE))</f>
        <v>65423.07692</v>
      </c>
      <c r="P257" s="46">
        <f t="shared" si="10"/>
        <v>1.1358173076704399E-2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hidden="1" customHeight="1" x14ac:dyDescent="0.15">
      <c r="A258" s="2">
        <f>input_7324!A$2</f>
        <v>7324010</v>
      </c>
      <c r="B258" s="59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>IFERROR(VLOOKUP(B258,input_7324!L:R,7,FALSE),VLOOKUP(tables_7324!C258,input_7324!A:H,8,FALSE))</f>
        <v>0</v>
      </c>
      <c r="P258" s="46">
        <f t="shared" ref="P258:P32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>
        <f>input_7324!A$2</f>
        <v>7324010</v>
      </c>
      <c r="B259" s="59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>IFERROR(VLOOKUP(B259,input_7324!L:R,7,FALSE),VLOOKUP(tables_7324!C259,input_7324!A:H,8,FALSE))</f>
        <v>8000</v>
      </c>
      <c r="P259" s="46">
        <f t="shared" si="13"/>
        <v>1.3888888889274698E-3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hidden="1" customHeight="1" x14ac:dyDescent="0.15">
      <c r="A260" s="2">
        <f>input_7324!A$2</f>
        <v>7324010</v>
      </c>
      <c r="B260" s="59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>IFERROR(VLOOKUP(B260,input_7324!L:R,7,FALSE),VLOOKUP(tables_7324!C260,input_7324!A:H,8,FALSE))</f>
        <v>0</v>
      </c>
      <c r="P260" s="46">
        <f t="shared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>
        <f>input_7324!A$2</f>
        <v>7324010</v>
      </c>
      <c r="B261" s="59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>IFERROR(VLOOKUP(B261,input_7324!L:R,7,FALSE),VLOOKUP(tables_7324!C261,input_7324!A:H,8,FALSE))</f>
        <v>8000</v>
      </c>
      <c r="P261" s="46">
        <f t="shared" si="13"/>
        <v>1.3888888889274698E-3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hidden="1" customHeight="1" x14ac:dyDescent="0.15">
      <c r="A262" s="2">
        <f>input_7324!A$2</f>
        <v>7324010</v>
      </c>
      <c r="B262" s="59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>IFERROR(VLOOKUP(B262,input_7324!L:R,7,FALSE),VLOOKUP(tables_7324!C262,input_7324!A:H,8,FALSE))</f>
        <v>0</v>
      </c>
      <c r="P262" s="46">
        <f t="shared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>
        <f>input_7324!A$2</f>
        <v>7324010</v>
      </c>
      <c r="B263" s="59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>IFERROR(VLOOKUP(B263,input_7324!L:R,7,FALSE),VLOOKUP(tables_7324!C263,input_7324!A:H,8,FALSE))</f>
        <v>59400</v>
      </c>
      <c r="P263" s="46">
        <f t="shared" si="13"/>
        <v>1.0312500000286464E-2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hidden="1" customHeight="1" x14ac:dyDescent="0.15">
      <c r="A264" s="2">
        <f>input_7324!A$2</f>
        <v>7324010</v>
      </c>
      <c r="B264" s="59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>IFERROR(VLOOKUP(B264,input_7324!L:R,7,FALSE),VLOOKUP(tables_7324!C264,input_7324!A:H,8,FALSE))</f>
        <v>0</v>
      </c>
      <c r="P264" s="46">
        <f t="shared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>
        <f>input_7324!A$2</f>
        <v>7324010</v>
      </c>
      <c r="B265" s="59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>IFERROR(VLOOKUP(B265,input_7324!L:R,7,FALSE),VLOOKUP(tables_7324!C265,input_7324!A:H,8,FALSE))</f>
        <v>59400</v>
      </c>
      <c r="P265" s="46">
        <f t="shared" si="13"/>
        <v>1.0312500000286464E-2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>
        <f>input_7324!A$2</f>
        <v>7324010</v>
      </c>
      <c r="B266" s="59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>IFERROR(VLOOKUP(B266,input_7324!L:R,7,FALSE),VLOOKUP(tables_7324!C266,input_7324!A:H,8,FALSE))</f>
        <v>8000</v>
      </c>
      <c r="P266" s="46">
        <f t="shared" si="13"/>
        <v>1.3888888889274698E-3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>
        <f>input_7324!A$2</f>
        <v>7324010</v>
      </c>
      <c r="B267" s="59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>IFERROR(VLOOKUP(B267,input_7324!L:R,7,FALSE),VLOOKUP(tables_7324!C267,input_7324!A:H,8,FALSE))</f>
        <v>8000</v>
      </c>
      <c r="P267" s="46">
        <f t="shared" si="13"/>
        <v>1.3888888889274698E-3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>
        <f>input_7324!A$2</f>
        <v>7324010</v>
      </c>
      <c r="B268" s="59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>IFERROR(VLOOKUP(B268,input_7324!L:R,7,FALSE),VLOOKUP(tables_7324!C268,input_7324!A:H,8,FALSE))</f>
        <v>8000</v>
      </c>
      <c r="P268" s="46">
        <f t="shared" si="13"/>
        <v>1.3888888889274698E-3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>
        <f>input_7324!A$2</f>
        <v>7324010</v>
      </c>
      <c r="B269" s="59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>IFERROR(VLOOKUP(B269,input_7324!L:R,7,FALSE),VLOOKUP(tables_7324!C269,input_7324!A:H,8,FALSE))</f>
        <v>8000</v>
      </c>
      <c r="P269" s="46">
        <f t="shared" si="13"/>
        <v>1.3888888889274698E-3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hidden="1" customHeight="1" x14ac:dyDescent="0.15">
      <c r="A270" s="2">
        <f>input_7324!A$2</f>
        <v>7324010</v>
      </c>
      <c r="B270" s="59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>IFERROR(VLOOKUP(B270,input_7324!L:R,7,FALSE),VLOOKUP(tables_7324!C270,input_7324!A:H,8,FALSE))</f>
        <v>0</v>
      </c>
      <c r="P270" s="46">
        <f t="shared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>
        <f>input_7324!A$2</f>
        <v>7324010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>IFERROR(VLOOKUP(B271,input_7324!L:R,7,FALSE),VLOOKUP(tables_7324!C271,input_7324!A:H,8,FALSE))</f>
        <v>59400</v>
      </c>
      <c r="P271" s="46">
        <f t="shared" si="13"/>
        <v>1.0312500000286464E-2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hidden="1" customHeight="1" x14ac:dyDescent="0.15">
      <c r="A272" s="2">
        <f>input_7324!A$2</f>
        <v>7324010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>IFERROR(VLOOKUP(B272,input_7324!L:R,7,FALSE),VLOOKUP(tables_7324!C272,input_7324!A:H,8,FALSE))</f>
        <v>0</v>
      </c>
      <c r="P272" s="46">
        <f t="shared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>
        <f>input_7324!A$2</f>
        <v>7324010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>IFERROR(VLOOKUP(B273,input_7324!L:R,7,FALSE),VLOOKUP(tables_7324!C273,input_7324!A:H,8,FALSE))</f>
        <v>59400</v>
      </c>
      <c r="P273" s="46">
        <f t="shared" si="13"/>
        <v>1.0312500000286464E-2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hidden="1" customHeight="1" x14ac:dyDescent="0.15">
      <c r="A274" s="2">
        <f>input_7324!A$2</f>
        <v>7324010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>IFERROR(VLOOKUP(B274,input_7324!L:R,7,FALSE),VLOOKUP(tables_7324!C274,input_7324!A:H,8,FALSE))</f>
        <v>0</v>
      </c>
      <c r="P274" s="46">
        <f t="shared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>
        <f>input_7324!A$2</f>
        <v>7324010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>IFERROR(VLOOKUP(B275,input_7324!L:R,7,FALSE),VLOOKUP(tables_7324!C275,input_7324!A:H,8,FALSE))</f>
        <v>8000</v>
      </c>
      <c r="P275" s="46">
        <f t="shared" si="13"/>
        <v>1.3888888889274698E-3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hidden="1" customHeight="1" x14ac:dyDescent="0.15">
      <c r="A276" s="2">
        <f>input_7324!A$2</f>
        <v>7324010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>IFERROR(VLOOKUP(B276,input_7324!L:R,7,FALSE),VLOOKUP(tables_7324!C276,input_7324!A:H,8,FALSE))</f>
        <v>0</v>
      </c>
      <c r="P276" s="46">
        <f t="shared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>
        <f>input_7324!A$2</f>
        <v>7324010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>IFERROR(VLOOKUP(B277,input_7324!L:R,7,FALSE),VLOOKUP(tables_7324!C277,input_7324!A:H,8,FALSE))</f>
        <v>8000</v>
      </c>
      <c r="P277" s="46">
        <f t="shared" si="13"/>
        <v>1.3888888889274698E-3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hidden="1" customHeight="1" x14ac:dyDescent="0.15">
      <c r="A278" s="2">
        <f>input_7324!A$2</f>
        <v>7324010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>IFERROR(VLOOKUP(B278,input_7324!L:R,7,FALSE),VLOOKUP(tables_7324!C278,input_7324!A:H,8,FALSE))</f>
        <v>0</v>
      </c>
      <c r="P278" s="46">
        <f t="shared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hidden="1" customHeight="1" x14ac:dyDescent="0.15">
      <c r="A279" s="2">
        <f>input_7324!A$2</f>
        <v>7324010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>IFERROR(VLOOKUP(B279,input_7324!L:R,7,FALSE),VLOOKUP(tables_7324!C279,input_7324!A:H,8,FALSE))</f>
        <v>0</v>
      </c>
      <c r="P279" s="46">
        <f t="shared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>
        <f>input_7324!A$2</f>
        <v>7324010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>IFERROR(VLOOKUP(B280,input_7324!L:R,7,FALSE),VLOOKUP(tables_7324!C280,input_7324!A:H,8,FALSE))</f>
        <v>65423.07692</v>
      </c>
      <c r="P280" s="46">
        <f t="shared" si="13"/>
        <v>1.1358173076704399E-2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hidden="1" customHeight="1" x14ac:dyDescent="0.15">
      <c r="A281" s="2">
        <f>input_7324!A$2</f>
        <v>7324010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>IFERROR(VLOOKUP(B281,input_7324!L:R,7,FALSE),VLOOKUP(tables_7324!C281,input_7324!A:H,8,FALSE))</f>
        <v>0</v>
      </c>
      <c r="P281" s="46">
        <f t="shared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hidden="1" customHeight="1" x14ac:dyDescent="0.15">
      <c r="A282" s="2">
        <f>input_7324!A$2</f>
        <v>7324010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>IFERROR(VLOOKUP(B282,input_7324!L:R,7,FALSE),VLOOKUP(tables_7324!C282,input_7324!A:H,8,FALSE))</f>
        <v>0</v>
      </c>
      <c r="P282" s="46">
        <f t="shared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>
        <f>input_7324!A$2</f>
        <v>7324010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>IFERROR(VLOOKUP(B283,input_7324!L:R,7,FALSE),VLOOKUP(tables_7324!C283,input_7324!A:H,8,FALSE))</f>
        <v>65423.07692</v>
      </c>
      <c r="P283" s="46">
        <f t="shared" si="13"/>
        <v>1.1358173076704399E-2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>
        <f>input_7324!A$2</f>
        <v>7324010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>IFERROR(VLOOKUP(B284,input_7324!L:R,7,FALSE),VLOOKUP(tables_7324!C284,input_7324!A:H,8,FALSE))</f>
        <v>8000</v>
      </c>
      <c r="P284" s="46">
        <f t="shared" si="13"/>
        <v>1.3888888889274698E-3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>
        <f>input_7324!A$2</f>
        <v>7324010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>IFERROR(VLOOKUP(B285,input_7324!L:R,7,FALSE),VLOOKUP(tables_7324!C285,input_7324!A:H,8,FALSE))</f>
        <v>8000</v>
      </c>
      <c r="P285" s="46">
        <f t="shared" si="13"/>
        <v>1.3888888889274698E-3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hidden="1" customHeight="1" x14ac:dyDescent="0.15">
      <c r="A286" s="2">
        <f>input_7324!A$2</f>
        <v>7324010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>IFERROR(VLOOKUP(B286,input_7324!L:R,7,FALSE),VLOOKUP(tables_7324!C286,input_7324!A:H,8,FALSE))</f>
        <v>0</v>
      </c>
      <c r="P286" s="46">
        <f t="shared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>
        <f>input_7324!A$2</f>
        <v>7324010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>IFERROR(VLOOKUP(B287,input_7324!L:R,7,FALSE),VLOOKUP(tables_7324!C287,input_7324!A:H,8,FALSE))</f>
        <v>59400</v>
      </c>
      <c r="P287" s="46">
        <f t="shared" si="13"/>
        <v>1.0312500000286464E-2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hidden="1" customHeight="1" x14ac:dyDescent="0.15">
      <c r="A288" s="2">
        <f>input_7324!A$2</f>
        <v>7324010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>IFERROR(VLOOKUP(B288,input_7324!L:R,7,FALSE),VLOOKUP(tables_7324!C288,input_7324!A:H,8,FALSE))</f>
        <v>0</v>
      </c>
      <c r="P288" s="46">
        <f t="shared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>
        <f>input_7324!A$2</f>
        <v>7324010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>IFERROR(VLOOKUP(B289,input_7324!L:R,7,FALSE),VLOOKUP(tables_7324!C289,input_7324!A:H,8,FALSE))</f>
        <v>59400</v>
      </c>
      <c r="P289" s="46">
        <f t="shared" si="13"/>
        <v>1.0312500000286464E-2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hidden="1" customHeight="1" x14ac:dyDescent="0.15">
      <c r="A290" s="2">
        <f>input_7324!A$2</f>
        <v>7324010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>IFERROR(VLOOKUP(B290,input_7324!L:R,7,FALSE),VLOOKUP(tables_7324!C290,input_7324!A:H,8,FALSE))</f>
        <v>0</v>
      </c>
      <c r="P290" s="46">
        <f t="shared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>
        <f>input_7324!A$2</f>
        <v>7324010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>IFERROR(VLOOKUP(B291,input_7324!L:R,7,FALSE),VLOOKUP(tables_7324!C291,input_7324!A:H,8,FALSE))</f>
        <v>59400</v>
      </c>
      <c r="P291" s="46">
        <f t="shared" si="13"/>
        <v>1.0312500000286464E-2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hidden="1" customHeight="1" x14ac:dyDescent="0.15">
      <c r="A292" s="2">
        <f>input_7324!A$2</f>
        <v>7324010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>IFERROR(VLOOKUP(B292,input_7324!L:R,7,FALSE),VLOOKUP(tables_7324!C292,input_7324!A:H,8,FALSE))</f>
        <v>0</v>
      </c>
      <c r="P292" s="46">
        <f t="shared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>
        <f>input_7324!A$2</f>
        <v>7324010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>IFERROR(VLOOKUP(B293,input_7324!L:R,7,FALSE),VLOOKUP(tables_7324!C293,input_7324!A:H,8,FALSE))</f>
        <v>59400</v>
      </c>
      <c r="P293" s="46">
        <f t="shared" si="13"/>
        <v>1.0312500000286464E-2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>
        <f>input_7324!A$2</f>
        <v>7324010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>IFERROR(VLOOKUP(B294,input_7324!L:R,7,FALSE),VLOOKUP(tables_7324!C294,input_7324!A:H,8,FALSE))</f>
        <v>8000</v>
      </c>
      <c r="P294" s="46">
        <f t="shared" si="13"/>
        <v>1.3888888889274698E-3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>
        <f>input_7324!A$2</f>
        <v>7324010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>IFERROR(VLOOKUP(B295,input_7324!L:R,7,FALSE),VLOOKUP(tables_7324!C295,input_7324!A:H,8,FALSE))</f>
        <v>8000</v>
      </c>
      <c r="P295" s="46">
        <f t="shared" si="13"/>
        <v>1.3888888889274698E-3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>
        <f>input_7324!A$2</f>
        <v>7324010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>IFERROR(VLOOKUP(B296,input_7324!L:R,7,FALSE),VLOOKUP(tables_7324!C296,input_7324!A:H,8,FALSE))</f>
        <v>8000</v>
      </c>
      <c r="P296" s="46">
        <f t="shared" si="13"/>
        <v>1.3888888889274698E-3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hidden="1" customHeight="1" x14ac:dyDescent="0.15">
      <c r="A297" s="2">
        <f>input_7324!A$2</f>
        <v>7324010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>IFERROR(VLOOKUP(B297,input_7324!L:R,7,FALSE),VLOOKUP(tables_7324!C297,input_7324!A:H,8,FALSE))</f>
        <v>0</v>
      </c>
      <c r="P297" s="46">
        <f t="shared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>
        <f>input_7324!A$2</f>
        <v>7324010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>IFERROR(VLOOKUP(B298,input_7324!L:R,7,FALSE),VLOOKUP(tables_7324!C298,input_7324!A:H,8,FALSE))</f>
        <v>59400</v>
      </c>
      <c r="P298" s="46">
        <f t="shared" si="13"/>
        <v>1.0312500000286464E-2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>
        <f>input_7324!A$2</f>
        <v>7324010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>IFERROR(VLOOKUP(B299,input_7324!L:R,7,FALSE),VLOOKUP(tables_7324!C299,input_7324!A:H,8,FALSE))</f>
        <v>8000</v>
      </c>
      <c r="P299" s="46">
        <f t="shared" si="13"/>
        <v>1.3888888889274698E-3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>
        <f>input_7324!A$2</f>
        <v>7324010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>IFERROR(VLOOKUP(B300,input_7324!L:R,7,FALSE),VLOOKUP(tables_7324!C300,input_7324!A:H,8,FALSE))</f>
        <v>8000</v>
      </c>
      <c r="P300" s="46">
        <f t="shared" si="13"/>
        <v>1.3888888889274698E-3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>
        <f>input_7324!A$2</f>
        <v>7324010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>IFERROR(VLOOKUP(B301,input_7324!L:R,7,FALSE),VLOOKUP(tables_7324!C301,input_7324!A:H,8,FALSE))</f>
        <v>8000</v>
      </c>
      <c r="P301" s="46">
        <f t="shared" si="13"/>
        <v>1.3888888889274698E-3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>
        <f>input_7324!A$2</f>
        <v>7324010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>IFERROR(VLOOKUP(B302,input_7324!L:R,7,FALSE),VLOOKUP(tables_7324!C302,input_7324!A:H,8,FALSE))</f>
        <v>8000</v>
      </c>
      <c r="P302" s="46">
        <f t="shared" si="13"/>
        <v>1.3888888889274698E-3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hidden="1" customHeight="1" x14ac:dyDescent="0.15">
      <c r="A303" s="2">
        <f>input_7324!A$2</f>
        <v>7324010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>IFERROR(VLOOKUP(B303,input_7324!L:R,7,FALSE),VLOOKUP(tables_7324!C303,input_7324!A:H,8,FALSE))</f>
        <v>0</v>
      </c>
      <c r="P303" s="46">
        <f t="shared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>
        <f>input_7324!A$2</f>
        <v>7324010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>IFERROR(VLOOKUP(B304,input_7324!L:R,7,FALSE),VLOOKUP(tables_7324!C304,input_7324!A:H,8,FALSE))</f>
        <v>59400</v>
      </c>
      <c r="P304" s="46">
        <f t="shared" si="13"/>
        <v>1.0312500000286464E-2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>
        <f>input_7324!A$2</f>
        <v>7324010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>IFERROR(VLOOKUP(B305,input_7324!L:R,7,FALSE),VLOOKUP(tables_7324!C305,input_7324!A:H,8,FALSE))</f>
        <v>8000</v>
      </c>
      <c r="P305" s="46">
        <f t="shared" si="13"/>
        <v>1.3888888889274698E-3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hidden="1" customHeight="1" x14ac:dyDescent="0.15">
      <c r="A306" s="2">
        <f>input_7324!A$2</f>
        <v>7324010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>IFERROR(VLOOKUP(B306,input_7324!L:R,7,FALSE),VLOOKUP(tables_7324!C306,input_7324!A:H,8,FALSE))</f>
        <v>0</v>
      </c>
      <c r="P306" s="46">
        <f t="shared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>
        <f>input_7324!A$2</f>
        <v>7324010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>IFERROR(VLOOKUP(B307,input_7324!L:R,7,FALSE),VLOOKUP(tables_7324!C307,input_7324!A:H,8,FALSE))</f>
        <v>59400</v>
      </c>
      <c r="P307" s="46">
        <f t="shared" si="13"/>
        <v>1.0312500000286464E-2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>
        <f>input_7324!A$2</f>
        <v>7324010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>IFERROR(VLOOKUP(B308,input_7324!L:R,7,FALSE),VLOOKUP(tables_7324!C308,input_7324!A:H,8,FALSE))</f>
        <v>8000</v>
      </c>
      <c r="P308" s="46">
        <f t="shared" si="13"/>
        <v>1.3888888889274698E-3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>
        <f>input_7324!A$2</f>
        <v>7324010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>IFERROR(VLOOKUP(B309,input_7324!L:R,7,FALSE),VLOOKUP(tables_7324!C309,input_7324!A:H,8,FALSE))</f>
        <v>8000</v>
      </c>
      <c r="P309" s="46">
        <f t="shared" si="13"/>
        <v>1.3888888889274698E-3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>
        <f>input_7324!A$2</f>
        <v>7324010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>IFERROR(VLOOKUP(B310,input_7324!L:R,7,FALSE),VLOOKUP(tables_7324!C310,input_7324!A:H,8,FALSE))</f>
        <v>8000</v>
      </c>
      <c r="P310" s="46">
        <f t="shared" si="13"/>
        <v>1.3888888889274698E-3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hidden="1" customHeight="1" x14ac:dyDescent="0.15">
      <c r="A311" s="2">
        <f>input_7324!A$2</f>
        <v>7324010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>IFERROR(VLOOKUP(B311,input_7324!L:R,7,FALSE),VLOOKUP(tables_7324!C311,input_7324!A:H,8,FALSE))</f>
        <v>0</v>
      </c>
      <c r="P311" s="46">
        <f t="shared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>
        <f>input_7324!A$2</f>
        <v>7324010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>IFERROR(VLOOKUP(B312,input_7324!L:R,7,FALSE),VLOOKUP(tables_7324!C312,input_7324!A:H,8,FALSE))</f>
        <v>59400</v>
      </c>
      <c r="P312" s="46">
        <f t="shared" si="13"/>
        <v>1.0312500000286464E-2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>
        <f>input_7324!A$2</f>
        <v>7324010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>IFERROR(VLOOKUP(B313,input_7324!L:R,7,FALSE),VLOOKUP(tables_7324!C313,input_7324!A:H,8,FALSE))</f>
        <v>8000</v>
      </c>
      <c r="P313" s="46">
        <f t="shared" si="13"/>
        <v>1.3888888889274698E-3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>
        <f>input_7324!A$2</f>
        <v>7324010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>IFERROR(VLOOKUP(B314,input_7324!L:R,7,FALSE),VLOOKUP(tables_7324!C314,input_7324!A:H,8,FALSE))</f>
        <v>8000</v>
      </c>
      <c r="P314" s="46">
        <f t="shared" si="13"/>
        <v>1.3888888889274698E-3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>
        <f>input_7324!A$2</f>
        <v>7324010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>IFERROR(VLOOKUP(B315,input_7324!L:R,7,FALSE),VLOOKUP(tables_7324!C315,input_7324!A:H,8,FALSE))</f>
        <v>8000</v>
      </c>
      <c r="P315" s="46">
        <f t="shared" si="13"/>
        <v>1.3888888889274698E-3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>
        <f>input_7324!A$2</f>
        <v>7324010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>IFERROR(VLOOKUP(B316,input_7324!L:R,7,FALSE),VLOOKUP(tables_7324!C316,input_7324!A:H,8,FALSE))</f>
        <v>8000</v>
      </c>
      <c r="P316" s="46">
        <f t="shared" si="13"/>
        <v>1.3888888889274698E-3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>
        <f>input_7324!A$2</f>
        <v>7324010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>IFERROR(VLOOKUP(B317,input_7324!L:R,7,FALSE),VLOOKUP(tables_7324!C317,input_7324!A:H,8,FALSE))</f>
        <v>8000</v>
      </c>
      <c r="P317" s="46">
        <f t="shared" si="13"/>
        <v>1.3888888889274698E-3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hidden="1" customHeight="1" x14ac:dyDescent="0.15">
      <c r="A318" s="2">
        <f>input_7324!A$2</f>
        <v>7324010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>IFERROR(VLOOKUP(B318,input_7324!L:R,7,FALSE),VLOOKUP(tables_7324!C318,input_7324!A:H,8,FALSE))</f>
        <v>0</v>
      </c>
      <c r="P318" s="46">
        <f t="shared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>
        <f>input_7324!A$2</f>
        <v>7324010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>IFERROR(VLOOKUP(B319,input_7324!L:R,7,FALSE),VLOOKUP(tables_7324!C319,input_7324!A:H,8,FALSE))</f>
        <v>59400</v>
      </c>
      <c r="P319" s="46">
        <f t="shared" si="13"/>
        <v>1.0312500000286464E-2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>
        <f>input_7324!A$2</f>
        <v>7324010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>IFERROR(VLOOKUP(B320,input_7324!L:R,7,FALSE),VLOOKUP(tables_7324!C320,input_7324!A:H,8,FALSE))</f>
        <v>8000</v>
      </c>
      <c r="P320" s="46">
        <f t="shared" si="13"/>
        <v>1.3888888889274698E-3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>
        <f>input_7324!A$2</f>
        <v>7324010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>IFERROR(VLOOKUP(B321,input_7324!L:R,7,FALSE),VLOOKUP(tables_7324!C321,input_7324!A:H,8,FALSE))</f>
        <v>8000</v>
      </c>
      <c r="P321" s="46">
        <f t="shared" si="13"/>
        <v>1.3888888889274698E-3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>
        <f>input_7324!A$2</f>
        <v>7324010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>IFERROR(VLOOKUP(B322,input_7324!L:R,7,FALSE),VLOOKUP(tables_7324!C322,input_7324!A:H,8,FALSE))</f>
        <v>8000</v>
      </c>
      <c r="P322" s="46">
        <f t="shared" ref="P322:P330" si="23">O322/SUM(O:O)</f>
        <v>1.3888888889274698E-3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>
        <f>input_7324!A$2</f>
        <v>7324010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>IFERROR(VLOOKUP(B323,input_7324!L:R,7,FALSE),VLOOKUP(tables_7324!C323,input_7324!A:H,8,FALSE))</f>
        <v>8000</v>
      </c>
      <c r="P323" s="46">
        <f t="shared" si="23"/>
        <v>1.3888888889274698E-3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hidden="1" customHeight="1" x14ac:dyDescent="0.15">
      <c r="A324" s="2">
        <f>input_7324!A$2</f>
        <v>7324010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>IFERROR(VLOOKUP(B324,input_7324!L:R,7,FALSE),VLOOKUP(tables_7324!C324,input_7324!A:H,8,FALSE))</f>
        <v>0</v>
      </c>
      <c r="P324" s="46">
        <f t="shared" si="23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>
        <f>input_7324!A$2</f>
        <v>7324010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>IFERROR(VLOOKUP(B325,input_7324!L:R,7,FALSE),VLOOKUP(tables_7324!C325,input_7324!A:H,8,FALSE))</f>
        <v>59400</v>
      </c>
      <c r="P325" s="46">
        <f t="shared" si="23"/>
        <v>1.0312500000286464E-2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hidden="1" customHeight="1" x14ac:dyDescent="0.15">
      <c r="A326" s="2">
        <f>input_7324!A$2</f>
        <v>7324010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>IFERROR(VLOOKUP(B326,input_7324!L:R,7,FALSE),VLOOKUP(tables_7324!C326,input_7324!A:H,8,FALSE))</f>
        <v>0</v>
      </c>
      <c r="P326" s="46">
        <f t="shared" si="23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>
        <f>input_7324!A$2</f>
        <v>7324010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>IFERROR(VLOOKUP(B327,input_7324!L:R,7,FALSE),VLOOKUP(tables_7324!C327,input_7324!A:H,8,FALSE))</f>
        <v>59400</v>
      </c>
      <c r="P327" s="46">
        <f t="shared" si="23"/>
        <v>1.0312500000286464E-2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>
        <f>input_7324!A$2</f>
        <v>7324010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>IFERROR(VLOOKUP(B328,input_7324!L:R,7,FALSE),VLOOKUP(tables_7324!C328,input_7324!A:H,8,FALSE))</f>
        <v>8000</v>
      </c>
      <c r="P328" s="46">
        <f t="shared" si="23"/>
        <v>1.3888888889274698E-3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>
        <f>input_7324!A$2</f>
        <v>7324010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>IFERROR(VLOOKUP(B329,input_7324!L:R,7,FALSE),VLOOKUP(tables_7324!C329,input_7324!A:H,8,FALSE))</f>
        <v>8000</v>
      </c>
      <c r="P329" s="46">
        <f t="shared" si="23"/>
        <v>1.3888888889274698E-3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>
        <f>input_7324!A$2</f>
        <v>7324010</v>
      </c>
      <c r="B330" s="2">
        <v>1157</v>
      </c>
      <c r="C330" s="7" t="str">
        <f t="shared" si="25"/>
        <v>PremiumSS5R5only</v>
      </c>
      <c r="D330" s="92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>IFERROR(VLOOKUP(B330,input_7324!L:R,7,FALSE),VLOOKUP(tables_7324!C330,input_7324!A:H,8,FALSE))</f>
        <v>8000</v>
      </c>
      <c r="P330" s="46">
        <f t="shared" si="23"/>
        <v>1.3888888889274698E-3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>
        <f>input_7324!A$2</f>
        <v>7324010</v>
      </c>
      <c r="B331" s="59">
        <v>1214</v>
      </c>
      <c r="C331" s="7" t="str">
        <f t="shared" ref="C331:C335" si="26">D331&amp;J331&amp;E331&amp;F331&amp;G331</f>
        <v>PremiumSS5R5only</v>
      </c>
      <c r="D331" s="92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>IFERROR(VLOOKUP(B331,input_7324!L:R,7,FALSE),VLOOKUP(tables_7324!C331,input_7324!A:H,8,FALSE))</f>
        <v>8000</v>
      </c>
      <c r="P331" s="46">
        <f t="shared" ref="P331:P335" si="28">O331/SUM(O:O)</f>
        <v>1.3888888889274698E-3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>
        <f>input_7324!A$2</f>
        <v>7324010</v>
      </c>
      <c r="B332" s="59">
        <v>1212</v>
      </c>
      <c r="C332" s="7" t="str">
        <f t="shared" si="26"/>
        <v>PremiumSS5R5only</v>
      </c>
      <c r="D332" s="92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>IFERROR(VLOOKUP(B332,input_7324!L:R,7,FALSE),VLOOKUP(tables_7324!C332,input_7324!A:H,8,FALSE))</f>
        <v>8000</v>
      </c>
      <c r="P332" s="46">
        <f t="shared" si="28"/>
        <v>1.3888888889274698E-3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>
        <f>input_7324!A$2</f>
        <v>7324010</v>
      </c>
      <c r="B333" s="59">
        <v>1208</v>
      </c>
      <c r="C333" s="7" t="str">
        <f t="shared" si="26"/>
        <v>PremiumSS5R5only</v>
      </c>
      <c r="D333" s="92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>IFERROR(VLOOKUP(B333,input_7324!L:R,7,FALSE),VLOOKUP(tables_7324!C333,input_7324!A:H,8,FALSE))</f>
        <v>8000</v>
      </c>
      <c r="P333" s="46">
        <f t="shared" si="28"/>
        <v>1.3888888889274698E-3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hidden="1" customHeight="1" x14ac:dyDescent="0.15">
      <c r="A334" s="2">
        <f>input_7324!A$2</f>
        <v>7324010</v>
      </c>
      <c r="B334" s="89">
        <v>1210</v>
      </c>
      <c r="C334" s="7" t="str">
        <f t="shared" si="26"/>
        <v>Premium4R3less</v>
      </c>
      <c r="D334" s="92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>IFERROR(VLOOKUP(B334,input_7324!L:R,7,FALSE),VLOOKUP(tables_7324!C334,input_7324!A:H,8,FALSE))</f>
        <v>0</v>
      </c>
      <c r="P334" s="46">
        <f t="shared" si="28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>
        <f>input_7324!A$2</f>
        <v>7324010</v>
      </c>
      <c r="B335" s="59">
        <v>1211</v>
      </c>
      <c r="C335" s="7" t="str">
        <f t="shared" si="26"/>
        <v>Premium5R3less</v>
      </c>
      <c r="D335" s="92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>IFERROR(VLOOKUP(B335,input_7324!L:R,7,FALSE),VLOOKUP(tables_7324!C335,input_7324!A:H,8,FALSE))</f>
        <v>59400</v>
      </c>
      <c r="P335" s="46">
        <f t="shared" si="28"/>
        <v>1.0312500000286464E-2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hidden="1" customHeight="1" x14ac:dyDescent="0.15">
      <c r="A336" s="2">
        <f>input_7324!A$2</f>
        <v>7324010</v>
      </c>
      <c r="B336" s="2">
        <v>1224</v>
      </c>
      <c r="C336" s="7" t="str">
        <f t="shared" ref="C336:C340" si="29">D336&amp;J336&amp;E336&amp;F336&amp;G336</f>
        <v>Premium4R3less</v>
      </c>
      <c r="D336" s="92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>IFERROR(VLOOKUP(B336,input_7324!L:R,7,FALSE),VLOOKUP(tables_7324!C336,input_7324!A:H,8,FALSE))</f>
        <v>0</v>
      </c>
      <c r="P336" s="46">
        <f t="shared" ref="P336:P340" si="31">O336/SUM(O:O)</f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>
        <f>input_7324!A$2</f>
        <v>7324010</v>
      </c>
      <c r="B337" s="2">
        <v>1225</v>
      </c>
      <c r="C337" s="7" t="str">
        <f t="shared" si="29"/>
        <v>Premium5R3less</v>
      </c>
      <c r="D337" s="92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>IFERROR(VLOOKUP(B337,input_7324!L:R,7,FALSE),VLOOKUP(tables_7324!C337,input_7324!A:H,8,FALSE))</f>
        <v>59400</v>
      </c>
      <c r="P337" s="46">
        <f t="shared" si="31"/>
        <v>1.0312500000286464E-2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>
        <f>input_7324!A$2</f>
        <v>7324010</v>
      </c>
      <c r="B338" s="2">
        <v>1226</v>
      </c>
      <c r="C338" s="7" t="str">
        <f t="shared" si="29"/>
        <v>PremiumSS5R5only</v>
      </c>
      <c r="D338" s="92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>IFERROR(VLOOKUP(B338,input_7324!L:R,7,FALSE),VLOOKUP(tables_7324!C338,input_7324!A:H,8,FALSE))</f>
        <v>8000</v>
      </c>
      <c r="P338" s="46">
        <f t="shared" si="31"/>
        <v>1.3888888889274698E-3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>
        <f>input_7324!A$2</f>
        <v>7324010</v>
      </c>
      <c r="B339" s="2">
        <v>1228</v>
      </c>
      <c r="C339" s="7" t="str">
        <f t="shared" si="29"/>
        <v>PremiumSS5R5only</v>
      </c>
      <c r="D339" s="92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>IFERROR(VLOOKUP(B339,input_7324!L:R,7,FALSE),VLOOKUP(tables_7324!C339,input_7324!A:H,8,FALSE))</f>
        <v>8000</v>
      </c>
      <c r="P339" s="46">
        <f t="shared" si="31"/>
        <v>1.3888888889274698E-3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>
        <f>input_7324!A$2</f>
        <v>7324010</v>
      </c>
      <c r="B340" s="2">
        <v>1230</v>
      </c>
      <c r="C340" s="7" t="str">
        <f t="shared" si="29"/>
        <v>PremiumSS5R5only</v>
      </c>
      <c r="D340" s="92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>IFERROR(VLOOKUP(B340,input_7324!L:R,7,FALSE),VLOOKUP(tables_7324!C340,input_7324!A:H,8,FALSE))</f>
        <v>8000</v>
      </c>
      <c r="P340" s="46">
        <f t="shared" si="31"/>
        <v>1.3888888889274698E-3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>
        <f>input_7324!A$2</f>
        <v>7324010</v>
      </c>
      <c r="B341" s="1">
        <v>1250</v>
      </c>
      <c r="C341" s="7" t="str">
        <f t="shared" ref="C341" si="32">D341&amp;J341&amp;E341&amp;F341&amp;G341</f>
        <v>PremiumSS5R5only</v>
      </c>
      <c r="D341" s="92" t="str">
        <f t="shared" ref="D341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>IFERROR(VLOOKUP(B341,input_7324!L:R,7,FALSE),VLOOKUP(tables_7324!C341,input_7324!A:H,8,FALSE))</f>
        <v>8000</v>
      </c>
      <c r="P341" s="46">
        <f t="shared" ref="P341" si="34">O341/SUM(O:O)</f>
        <v>1.3888888889274698E-3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hidden="1" customHeight="1" x14ac:dyDescent="0.15">
      <c r="A342" s="2">
        <f>input_7324!A$2</f>
        <v>7324010</v>
      </c>
      <c r="B342" s="1">
        <v>1248</v>
      </c>
      <c r="C342" s="7" t="str">
        <f t="shared" ref="C342:C345" si="35">D342&amp;J342&amp;E342&amp;F342&amp;G342</f>
        <v>Premium4R3less</v>
      </c>
      <c r="D342" s="92" t="str">
        <f t="shared" ref="D342:D345" si="36">IF(OR(I342="PremiumSS",I342="PremiumSSw"),"PremiumSS",IF(I342="PremiumSSS",I342,IF(I342="PremiumW",IF(J342=5,"premium",I342),"Premium")))</f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>IFERROR(VLOOKUP(B342,input_7324!L:R,7,FALSE),VLOOKUP(tables_7324!C342,input_7324!A:H,8,FALSE))</f>
        <v>0</v>
      </c>
      <c r="P342" s="46">
        <f t="shared" ref="P342:P345" si="37">O342/SUM(O:O)</f>
        <v>0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>
        <f>input_7324!A$2</f>
        <v>7324010</v>
      </c>
      <c r="B343" s="1">
        <v>1249</v>
      </c>
      <c r="C343" s="7" t="str">
        <f t="shared" si="35"/>
        <v>Premium5R3less</v>
      </c>
      <c r="D343" s="92" t="str">
        <f t="shared" si="36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>IFERROR(VLOOKUP(B343,input_7324!L:R,7,FALSE),VLOOKUP(tables_7324!C343,input_7324!A:H,8,FALSE))</f>
        <v>59400</v>
      </c>
      <c r="P343" s="46">
        <f t="shared" si="37"/>
        <v>1.0312500000286464E-2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>
        <f>input_7324!A$2</f>
        <v>7324010</v>
      </c>
      <c r="B344" s="1">
        <v>1246</v>
      </c>
      <c r="C344" s="7" t="str">
        <f t="shared" si="35"/>
        <v>PremiumSS5R5only</v>
      </c>
      <c r="D344" s="92" t="str">
        <f t="shared" si="36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>IFERROR(VLOOKUP(B344,input_7324!L:R,7,FALSE),VLOOKUP(tables_7324!C344,input_7324!A:H,8,FALSE))</f>
        <v>8000</v>
      </c>
      <c r="P344" s="46">
        <f t="shared" si="37"/>
        <v>1.3888888889274698E-3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>
        <f>input_7324!A$2</f>
        <v>7324010</v>
      </c>
      <c r="B345" s="1">
        <v>1244</v>
      </c>
      <c r="C345" s="7" t="str">
        <f t="shared" si="35"/>
        <v>PremiumSS5R5only</v>
      </c>
      <c r="D345" s="92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>IFERROR(VLOOKUP(B345,input_7324!L:R,7,FALSE),VLOOKUP(tables_7324!C345,input_7324!A:H,8,FALSE))</f>
        <v>8000</v>
      </c>
      <c r="P345" s="46">
        <f t="shared" si="37"/>
        <v>1.3888888889274698E-3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>
        <f>input_7324!A$2</f>
        <v>7324010</v>
      </c>
      <c r="B346" s="1">
        <v>1260</v>
      </c>
      <c r="C346" s="7" t="str">
        <f t="shared" ref="C346:C349" si="38">D346&amp;J346&amp;E346&amp;F346&amp;G346</f>
        <v>PremiumSS5R5only</v>
      </c>
      <c r="D346" s="92" t="str">
        <f t="shared" ref="D346:D349" si="39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>IFERROR(VLOOKUP(B346,input_7324!L:R,7,FALSE),VLOOKUP(tables_7324!C346,input_7324!A:H,8,FALSE))</f>
        <v>8000</v>
      </c>
      <c r="P346" s="46">
        <f t="shared" ref="P346:P349" si="40">O346/SUM(O:O)</f>
        <v>1.3888888889274698E-3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>
        <f>input_7324!A$2</f>
        <v>7324010</v>
      </c>
      <c r="B347" s="1">
        <v>1262</v>
      </c>
      <c r="C347" s="7" t="str">
        <f t="shared" si="38"/>
        <v>PremiumSS5R5only</v>
      </c>
      <c r="D347" s="92" t="str">
        <f t="shared" si="39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>IFERROR(VLOOKUP(B347,input_7324!L:R,7,FALSE),VLOOKUP(tables_7324!C347,input_7324!A:H,8,FALSE))</f>
        <v>8000</v>
      </c>
      <c r="P347" s="46">
        <f t="shared" si="40"/>
        <v>1.3888888889274698E-3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>
        <f>input_7324!A$2</f>
        <v>7324010</v>
      </c>
      <c r="B348" s="1">
        <v>1264</v>
      </c>
      <c r="C348" s="7" t="str">
        <f t="shared" si="38"/>
        <v>PremiumSS5R5only</v>
      </c>
      <c r="D348" s="92" t="str">
        <f t="shared" si="39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>IFERROR(VLOOKUP(B348,input_7324!L:R,7,FALSE),VLOOKUP(tables_7324!C348,input_7324!A:H,8,FALSE))</f>
        <v>8000</v>
      </c>
      <c r="P348" s="46">
        <f t="shared" si="40"/>
        <v>1.3888888889274698E-3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hidden="1" customHeight="1" x14ac:dyDescent="0.15">
      <c r="A349" s="2">
        <f>input_7324!A$2</f>
        <v>7324010</v>
      </c>
      <c r="B349" s="1">
        <v>1266</v>
      </c>
      <c r="C349" s="7" t="str">
        <f t="shared" si="38"/>
        <v>Premium4R3less</v>
      </c>
      <c r="D349" s="92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>IFERROR(VLOOKUP(B349,input_7324!L:R,7,FALSE),VLOOKUP(tables_7324!C349,input_7324!A:H,8,FALSE))</f>
        <v>0</v>
      </c>
      <c r="P349" s="46">
        <f t="shared" si="40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>
        <f>input_7324!A$2</f>
        <v>7324010</v>
      </c>
      <c r="B350" s="1">
        <v>1267</v>
      </c>
      <c r="C350" s="7" t="str">
        <f t="shared" ref="C350" si="41">D350&amp;J350&amp;E350&amp;F350&amp;G350</f>
        <v>Premium5R3less</v>
      </c>
      <c r="D350" s="92" t="str">
        <f t="shared" ref="D350" si="42">IF(OR(I350="PremiumSS",I350="PremiumSSw"),"PremiumSS",IF(I350="PremiumSSS",I350,IF(I350="PremiumW",IF(J350=5,"premium",I350),"Premium")))</f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>IFERROR(VLOOKUP(B350,input_7324!L:R,7,FALSE),VLOOKUP(tables_7324!C350,input_7324!A:H,8,FALSE))</f>
        <v>59400</v>
      </c>
      <c r="P350" s="46">
        <f t="shared" ref="P350" si="43">O350/SUM(O:O)</f>
        <v>1.0312500000286464E-2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>
        <f>input_7324!A$2</f>
        <v>7324010</v>
      </c>
      <c r="B351" s="94">
        <v>1332</v>
      </c>
      <c r="C351" s="7" t="str">
        <f t="shared" ref="C351:C355" si="44">D351&amp;J351&amp;E351&amp;F351&amp;G351</f>
        <v>PremiumSS5R5only</v>
      </c>
      <c r="D351" s="92" t="str">
        <f t="shared" ref="D351:D355" si="45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>IFERROR(VLOOKUP(B351,input_7324!L:R,7,FALSE),VLOOKUP(tables_7324!C351,input_7324!A:H,8,FALSE))</f>
        <v>8000</v>
      </c>
      <c r="P351" s="46">
        <f t="shared" ref="P351:P355" si="46">O351/SUM(O:O)</f>
        <v>1.3888888889274698E-3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>
        <f>input_7324!A$2</f>
        <v>7324010</v>
      </c>
      <c r="B352" s="94">
        <v>1336</v>
      </c>
      <c r="C352" s="7" t="str">
        <f t="shared" si="44"/>
        <v>PremiumSS5R5only</v>
      </c>
      <c r="D352" s="92" t="str">
        <f t="shared" si="45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>IFERROR(VLOOKUP(B352,input_7324!L:R,7,FALSE),VLOOKUP(tables_7324!C352,input_7324!A:H,8,FALSE))</f>
        <v>8000</v>
      </c>
      <c r="P352" s="46">
        <f t="shared" si="46"/>
        <v>1.3888888889274698E-3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>
        <f>input_7324!A$2</f>
        <v>7324010</v>
      </c>
      <c r="B353" s="94">
        <v>1338</v>
      </c>
      <c r="C353" s="7" t="str">
        <f t="shared" si="44"/>
        <v>PremiumSS5R5only</v>
      </c>
      <c r="D353" s="92" t="str">
        <f t="shared" si="45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>IFERROR(VLOOKUP(B353,input_7324!L:R,7,FALSE),VLOOKUP(tables_7324!C353,input_7324!A:H,8,FALSE))</f>
        <v>8000</v>
      </c>
      <c r="P353" s="46">
        <f t="shared" si="46"/>
        <v>1.3888888889274698E-3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hidden="1" customHeight="1" x14ac:dyDescent="0.15">
      <c r="A354" s="2">
        <f>input_7324!A$2</f>
        <v>7324010</v>
      </c>
      <c r="B354" s="94">
        <v>1334</v>
      </c>
      <c r="C354" s="7" t="str">
        <f t="shared" si="44"/>
        <v>Premium4R3less</v>
      </c>
      <c r="D354" s="92" t="str">
        <f t="shared" si="45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>IFERROR(VLOOKUP(B354,input_7324!L:R,7,FALSE),VLOOKUP(tables_7324!C354,input_7324!A:H,8,FALSE))</f>
        <v>0</v>
      </c>
      <c r="P354" s="46">
        <f t="shared" si="46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>
        <f>input_7324!A$2</f>
        <v>7324010</v>
      </c>
      <c r="B355" s="94">
        <v>1335</v>
      </c>
      <c r="C355" s="7" t="str">
        <f t="shared" si="44"/>
        <v>Premium5R3less</v>
      </c>
      <c r="D355" s="92" t="str">
        <f t="shared" si="45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>IFERROR(VLOOKUP(B355,input_7324!L:R,7,FALSE),VLOOKUP(tables_7324!C355,input_7324!A:H,8,FALSE))</f>
        <v>59400</v>
      </c>
      <c r="P355" s="46">
        <f t="shared" si="46"/>
        <v>1.0312500000286464E-2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</sheetData>
  <autoFilter ref="A1:V355">
    <filterColumn colId="9">
      <filters>
        <filter val="5"/>
      </filters>
    </filterColumn>
  </autoFilter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1" t="s">
        <v>87</v>
      </c>
      <c r="H1" s="51" t="s">
        <v>88</v>
      </c>
      <c r="I1" s="52" t="s">
        <v>89</v>
      </c>
      <c r="J1" s="52" t="s">
        <v>90</v>
      </c>
      <c r="K1" s="52" t="s">
        <v>91</v>
      </c>
      <c r="L1" s="52" t="s">
        <v>92</v>
      </c>
      <c r="M1" s="52" t="s">
        <v>93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7"/>
      <c r="B2" s="77"/>
      <c r="C2" s="78"/>
      <c r="D2" s="78"/>
      <c r="E2" s="78"/>
      <c r="F2" s="78"/>
      <c r="G2" s="1"/>
      <c r="H2" s="1"/>
      <c r="I2" s="1"/>
      <c r="J2" s="1"/>
      <c r="K2" s="1"/>
      <c r="L2" s="1"/>
      <c r="M2" s="1"/>
      <c r="N2" s="78"/>
      <c r="O2" s="78"/>
      <c r="P2" s="78"/>
      <c r="Q2" s="79"/>
    </row>
    <row r="3" spans="1:17" ht="21" customHeight="1" x14ac:dyDescent="0.15">
      <c r="A3" s="77"/>
      <c r="B3" s="77"/>
      <c r="G3" s="85"/>
      <c r="H3" s="85"/>
      <c r="I3" s="85"/>
      <c r="J3" s="85"/>
      <c r="K3" s="85"/>
      <c r="L3" s="85"/>
      <c r="M3" s="85"/>
      <c r="N3" s="78"/>
      <c r="O3" s="78"/>
      <c r="P3" s="78"/>
      <c r="Q3" s="79"/>
    </row>
    <row r="4" spans="1:17" ht="21" customHeight="1" x14ac:dyDescent="0.15">
      <c r="A4" s="77"/>
      <c r="B4" s="77"/>
      <c r="G4" s="85"/>
      <c r="H4" s="85"/>
      <c r="I4" s="85"/>
      <c r="J4" s="85"/>
      <c r="K4" s="85"/>
      <c r="L4" s="85"/>
      <c r="M4" s="85"/>
      <c r="N4" s="78"/>
      <c r="O4" s="78"/>
      <c r="P4" s="78"/>
      <c r="Q4" s="79"/>
    </row>
    <row r="5" spans="1:17" ht="21" customHeight="1" x14ac:dyDescent="0.15">
      <c r="A5" s="77"/>
      <c r="B5" s="77"/>
      <c r="G5" s="85"/>
      <c r="H5" s="85"/>
      <c r="I5" s="85"/>
      <c r="J5" s="85"/>
      <c r="K5" s="85"/>
      <c r="L5" s="85"/>
      <c r="M5" s="85"/>
      <c r="N5" s="78"/>
      <c r="O5" s="78"/>
      <c r="P5" s="78"/>
      <c r="Q5" s="79"/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9">
        <v>668</v>
      </c>
      <c r="B246" s="7" t="str">
        <f>VLOOKUP(A246,[1]characters!$A:$C,3,FALSE)</f>
        <v>アグニ</v>
      </c>
    </row>
    <row r="247" spans="1:2" x14ac:dyDescent="0.15">
      <c r="A247" s="59">
        <v>669</v>
      </c>
      <c r="B247" s="7" t="str">
        <f>VLOOKUP(A247,[1]characters!$A:$C,3,FALSE)</f>
        <v>天地の仲界 アグニ</v>
      </c>
    </row>
    <row r="248" spans="1:2" x14ac:dyDescent="0.15">
      <c r="A248" s="59">
        <v>670</v>
      </c>
      <c r="B248" s="7" t="str">
        <f>VLOOKUP(A248,[1]characters!$A:$C,3,FALSE)</f>
        <v>陽天の噴煙 アグニ</v>
      </c>
    </row>
    <row r="249" spans="1:2" x14ac:dyDescent="0.15">
      <c r="A249" s="59">
        <v>671</v>
      </c>
      <c r="B249" s="7" t="str">
        <f>VLOOKUP(A249,[1]characters!$A:$C,3,FALSE)</f>
        <v>ハヌマーン</v>
      </c>
    </row>
    <row r="250" spans="1:2" x14ac:dyDescent="0.15">
      <c r="A250" s="59">
        <v>672</v>
      </c>
      <c r="B250" s="7" t="str">
        <f>VLOOKUP(A250,[1]characters!$A:$C,3,FALSE)</f>
        <v>西遊韋駄天 ハヌマーン</v>
      </c>
    </row>
    <row r="251" spans="1:2" x14ac:dyDescent="0.15">
      <c r="A251" s="59">
        <v>673</v>
      </c>
      <c r="B251" s="7" t="str">
        <f>VLOOKUP(A251,[1]characters!$A:$C,3,FALSE)</f>
        <v>変幻自在の猿王 ハヌマーン</v>
      </c>
    </row>
    <row r="252" spans="1:2" x14ac:dyDescent="0.15">
      <c r="A252" s="59">
        <v>674</v>
      </c>
      <c r="B252" s="7" t="str">
        <f>VLOOKUP(A252,[1]characters!$A:$C,3,FALSE)</f>
        <v>サラスヴァティ</v>
      </c>
    </row>
    <row r="253" spans="1:2" x14ac:dyDescent="0.15">
      <c r="A253" s="59">
        <v>675</v>
      </c>
      <c r="B253" s="7" t="str">
        <f>VLOOKUP(A253,[1]characters!$A:$C,3,FALSE)</f>
        <v>芸楽の奔流 サラスヴァティ</v>
      </c>
    </row>
    <row r="254" spans="1:2" x14ac:dyDescent="0.15">
      <c r="A254" s="59">
        <v>676</v>
      </c>
      <c r="B254" s="7" t="str">
        <f>VLOOKUP(A254,[1]characters!$A:$C,3,FALSE)</f>
        <v>ヴィシュヌ</v>
      </c>
    </row>
    <row r="255" spans="1:2" x14ac:dyDescent="0.15">
      <c r="A255" s="59">
        <v>677</v>
      </c>
      <c r="B255" s="7" t="str">
        <f>VLOOKUP(A255,[1]characters!$A:$C,3,FALSE)</f>
        <v>武遊闊歩 ヴィシュヌ</v>
      </c>
    </row>
    <row r="256" spans="1:2" x14ac:dyDescent="0.15">
      <c r="A256" s="59">
        <v>770</v>
      </c>
      <c r="B256" s="7" t="str">
        <f>VLOOKUP(A256,[1]characters!$A:$C,3,FALSE)</f>
        <v>ハヅル</v>
      </c>
    </row>
    <row r="257" spans="1:2" x14ac:dyDescent="0.15">
      <c r="A257" s="59">
        <v>771</v>
      </c>
      <c r="B257" s="7" t="str">
        <f>VLOOKUP(A257,[1]characters!$A:$C,3,FALSE)</f>
        <v>天織羽鶴 ハヅル</v>
      </c>
    </row>
    <row r="258" spans="1:2" x14ac:dyDescent="0.15">
      <c r="A258" s="59">
        <v>772</v>
      </c>
      <c r="B258" s="7" t="str">
        <f>VLOOKUP(A258,[1]characters!$A:$C,3,FALSE)</f>
        <v>イナバ</v>
      </c>
    </row>
    <row r="259" spans="1:2" x14ac:dyDescent="0.15">
      <c r="A259" s="59">
        <v>773</v>
      </c>
      <c r="B259" s="7" t="str">
        <f>VLOOKUP(A259,[1]characters!$A:$C,3,FALSE)</f>
        <v>浮跳天兎 イナバ</v>
      </c>
    </row>
    <row r="260" spans="1:2" x14ac:dyDescent="0.15">
      <c r="A260" s="59">
        <v>774</v>
      </c>
      <c r="B260" s="7" t="str">
        <f>VLOOKUP(A260,[1]characters!$A:$C,3,FALSE)</f>
        <v>ミズチ</v>
      </c>
    </row>
    <row r="261" spans="1:2" x14ac:dyDescent="0.15">
      <c r="A261" s="59">
        <v>775</v>
      </c>
      <c r="B261" s="7" t="str">
        <f>VLOOKUP(A261,[1]characters!$A:$C,3,FALSE)</f>
        <v>水底霊竜 ミズチ</v>
      </c>
    </row>
    <row r="262" spans="1:2" x14ac:dyDescent="0.15">
      <c r="A262" s="59">
        <v>776</v>
      </c>
      <c r="B262" s="7" t="str">
        <f>VLOOKUP(A262,[1]characters!$A:$C,3,FALSE)</f>
        <v>水竜底主 ミズチ</v>
      </c>
    </row>
    <row r="263" spans="1:2" x14ac:dyDescent="0.15">
      <c r="A263" s="59">
        <v>777</v>
      </c>
      <c r="B263" s="7" t="str">
        <f>VLOOKUP(A263,[1]characters!$A:$C,3,FALSE)</f>
        <v>ガメック</v>
      </c>
    </row>
    <row r="264" spans="1:2" x14ac:dyDescent="0.15">
      <c r="A264" s="59">
        <v>778</v>
      </c>
      <c r="B264" s="7" t="str">
        <f>VLOOKUP(A264,[1]characters!$A:$C,3,FALSE)</f>
        <v>一亀懸明 ガメック</v>
      </c>
    </row>
    <row r="265" spans="1:2" x14ac:dyDescent="0.15">
      <c r="A265" s="59">
        <v>779</v>
      </c>
      <c r="B265" s="7" t="str">
        <f>VLOOKUP(A265,[1]characters!$A:$C,3,FALSE)</f>
        <v>頑堅咬亀 ガメック</v>
      </c>
    </row>
    <row r="266" spans="1:2" x14ac:dyDescent="0.15">
      <c r="A266" s="59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60</v>
      </c>
      <c r="B1" s="38"/>
    </row>
    <row r="2" spans="1:2" x14ac:dyDescent="0.15">
      <c r="A2" s="33" t="s">
        <v>1</v>
      </c>
      <c r="B2" s="37" t="s">
        <v>64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input_7324</vt:lpstr>
      <vt:lpstr>tables_7324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2017-04-26T13:39:05Z</dcterms:modified>
</cp:coreProperties>
</file>