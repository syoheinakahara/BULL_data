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5"/>
  </bookViews>
  <sheets>
    <sheet name="確率の考え方" sheetId="110" r:id="rId1"/>
    <sheet name="Sheet1" sheetId="107" r:id="rId2"/>
    <sheet name="output" sheetId="103" r:id="rId3"/>
    <sheet name="input_397010" sheetId="157" r:id="rId4"/>
    <sheet name="tables_397010" sheetId="158" r:id="rId5"/>
    <sheet name="input_397100" sheetId="153" r:id="rId6"/>
    <sheet name="tables_397100" sheetId="154" r:id="rId7"/>
    <sheet name="tables_settle_397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tables_397010!$A$1:$V$294</definedName>
    <definedName name="_xlnm._FilterDatabase" localSheetId="6" hidden="1">tables_397100!$A$1:$V$294</definedName>
    <definedName name="_xlnm._FilterDatabase" localSheetId="7" hidden="1">tables_settle_397100!$A$1:$V$1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53" l="1"/>
  <c r="A2" i="153"/>
  <c r="O3" i="154"/>
  <c r="O5" i="154"/>
  <c r="O7" i="154"/>
  <c r="O9" i="154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G20" i="153"/>
  <c r="H20" i="153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F41" i="153"/>
  <c r="G41" i="15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F5" i="153"/>
  <c r="A36" i="153"/>
  <c r="E18" i="153"/>
  <c r="E19" i="153"/>
  <c r="B19" i="153"/>
  <c r="E24" i="153"/>
  <c r="B24" i="153"/>
  <c r="B17" i="153"/>
  <c r="B18" i="153"/>
  <c r="G18" i="153"/>
  <c r="H18" i="153"/>
  <c r="G17" i="153"/>
  <c r="E17" i="153"/>
  <c r="H17" i="153"/>
  <c r="G24" i="153"/>
  <c r="H24" i="153"/>
  <c r="E25" i="153"/>
  <c r="B25" i="153"/>
  <c r="G25" i="153"/>
  <c r="H25" i="153"/>
  <c r="E26" i="153"/>
  <c r="B26" i="153"/>
  <c r="G26" i="153"/>
  <c r="H26" i="153"/>
  <c r="G19" i="153"/>
  <c r="H19" i="153"/>
  <c r="E21" i="153"/>
  <c r="B21" i="153"/>
  <c r="G21" i="153"/>
  <c r="H21" i="153"/>
  <c r="E5" i="153"/>
  <c r="E27" i="153"/>
  <c r="B27" i="153"/>
  <c r="G27" i="153"/>
  <c r="H27" i="153"/>
  <c r="E28" i="153"/>
  <c r="B28" i="153"/>
  <c r="G28" i="153"/>
  <c r="H28" i="153"/>
  <c r="E22" i="153"/>
  <c r="E29" i="153"/>
  <c r="B29" i="153"/>
  <c r="B23" i="153"/>
  <c r="B22" i="153"/>
  <c r="G22" i="153"/>
  <c r="H22" i="153"/>
  <c r="G23" i="153"/>
  <c r="E23" i="153"/>
  <c r="H23" i="153"/>
  <c r="G29" i="153"/>
  <c r="H29" i="153"/>
  <c r="R3" i="153"/>
  <c r="R4" i="153"/>
  <c r="R5" i="153"/>
  <c r="R6" i="153"/>
  <c r="R7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A2" i="157"/>
  <c r="F5" i="157"/>
  <c r="A36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5" i="157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E29" i="157"/>
  <c r="B29" i="157"/>
  <c r="B23" i="157"/>
  <c r="B22" i="157"/>
  <c r="G22" i="157"/>
  <c r="H22" i="157"/>
  <c r="O256" i="158"/>
  <c r="G23" i="157"/>
  <c r="E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R3" i="157"/>
  <c r="O305" i="158"/>
  <c r="R4" i="157"/>
  <c r="O306" i="158"/>
  <c r="R5" i="157"/>
  <c r="O307" i="158"/>
  <c r="R6" i="157"/>
  <c r="O308" i="158"/>
  <c r="R7" i="157"/>
  <c r="O309" i="158"/>
  <c r="F41" i="157"/>
  <c r="G41" i="157"/>
  <c r="B30" i="153"/>
  <c r="B7" i="153"/>
  <c r="B8" i="153"/>
  <c r="B6" i="157"/>
  <c r="B7" i="157"/>
  <c r="B8" i="157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B5" i="157"/>
  <c r="B30" i="157"/>
  <c r="F42" i="153"/>
  <c r="G42" i="153"/>
  <c r="F40" i="157"/>
  <c r="G40" i="157"/>
  <c r="A305" i="154"/>
  <c r="F305" i="154"/>
  <c r="H305" i="154"/>
  <c r="K305" i="154"/>
  <c r="L305" i="154"/>
  <c r="M305" i="154"/>
  <c r="N305" i="154"/>
  <c r="F306" i="154"/>
  <c r="F307" i="154"/>
  <c r="F308" i="154"/>
  <c r="F309" i="154"/>
  <c r="P305" i="154"/>
  <c r="A306" i="154"/>
  <c r="H306" i="154"/>
  <c r="K306" i="154"/>
  <c r="L306" i="154"/>
  <c r="M306" i="154"/>
  <c r="N306" i="154"/>
  <c r="P306" i="154"/>
  <c r="A307" i="154"/>
  <c r="H307" i="154"/>
  <c r="K307" i="154"/>
  <c r="L307" i="154"/>
  <c r="M307" i="154"/>
  <c r="N307" i="154"/>
  <c r="P307" i="154"/>
  <c r="A308" i="154"/>
  <c r="H308" i="154"/>
  <c r="K308" i="154"/>
  <c r="L308" i="154"/>
  <c r="M308" i="154"/>
  <c r="N308" i="154"/>
  <c r="P308" i="154"/>
  <c r="A309" i="154"/>
  <c r="H309" i="154"/>
  <c r="K309" i="154"/>
  <c r="L309" i="154"/>
  <c r="M309" i="154"/>
  <c r="N309" i="154"/>
  <c r="P309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P300" i="154"/>
  <c r="A301" i="154"/>
  <c r="H301" i="154"/>
  <c r="K301" i="154"/>
  <c r="L301" i="154"/>
  <c r="M301" i="154"/>
  <c r="N301" i="154"/>
  <c r="P301" i="154"/>
  <c r="A302" i="154"/>
  <c r="H302" i="154"/>
  <c r="K302" i="154"/>
  <c r="L302" i="154"/>
  <c r="M302" i="154"/>
  <c r="N302" i="154"/>
  <c r="P302" i="154"/>
  <c r="A303" i="154"/>
  <c r="H303" i="154"/>
  <c r="K303" i="154"/>
  <c r="L303" i="154"/>
  <c r="M303" i="154"/>
  <c r="N303" i="154"/>
  <c r="P303" i="154"/>
  <c r="A304" i="154"/>
  <c r="H304" i="154"/>
  <c r="K304" i="154"/>
  <c r="L304" i="154"/>
  <c r="M304" i="154"/>
  <c r="N304" i="154"/>
  <c r="P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" i="154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3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4" i="157"/>
  <c r="J24" i="157"/>
  <c r="F24" i="157"/>
  <c r="D24" i="157"/>
  <c r="R20" i="157"/>
  <c r="P20" i="157"/>
  <c r="O20" i="157"/>
  <c r="M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7"/>
  <c r="F20" i="157"/>
  <c r="I20" i="157"/>
  <c r="J20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D25" i="157"/>
  <c r="F25" i="157"/>
  <c r="I25" i="157"/>
  <c r="J25" i="157"/>
  <c r="D26" i="157"/>
  <c r="F26" i="157"/>
  <c r="I26" i="157"/>
  <c r="J26" i="157"/>
  <c r="D27" i="157"/>
  <c r="F27" i="157"/>
  <c r="I27" i="157"/>
  <c r="J27" i="157"/>
  <c r="D28" i="157"/>
  <c r="F28" i="157"/>
  <c r="I28" i="157"/>
  <c r="J28" i="157"/>
  <c r="B32" i="157"/>
  <c r="D32" i="157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F45" i="157"/>
  <c r="F46" i="157"/>
  <c r="B41" i="157"/>
  <c r="B42" i="157"/>
  <c r="B44" i="157"/>
  <c r="B45" i="157"/>
  <c r="B47" i="157"/>
  <c r="C40" i="157"/>
  <c r="C41" i="157"/>
  <c r="C42" i="157"/>
  <c r="C43" i="157"/>
  <c r="C44" i="157"/>
  <c r="C45" i="157"/>
  <c r="C46" i="157"/>
  <c r="C47" i="157"/>
  <c r="F47" i="157"/>
  <c r="F48" i="157"/>
  <c r="F42" i="157"/>
  <c r="G42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<sst xmlns="http://schemas.openxmlformats.org/spreadsheetml/2006/main" count="533" uniqueCount="253">
  <si>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</si>
  <si>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</si>
  <si>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</si>
  <si>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</si>
  <si>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</si>
  <si>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</si>
  <si>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</si>
  <si>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</si>
  <si>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</si>
  <si>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</si>
  <si>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</si>
  <si>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</si>
  <si>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</si>
  <si>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</si>
  <si>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</si>
  <si>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</si>
  <si>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</si>
  <si>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</si>
  <si>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</si>
  <si>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</si>
  <si>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</si>
  <si>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</si>
  <si>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</si>
  <si>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</si>
  <si>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</si>
  <si>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</si>
  <si>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</si>
  <si>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</si>
  <si>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</si>
  <si>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</si>
  <si>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</si>
  <si>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</si>
  <si>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</si>
  <si>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</si>
  <si>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</si>
  <si>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</si>
  <si>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</si>
  <si>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</si>
  <si>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</si>
  <si>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</si>
  <si>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</si>
  <si>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</si>
  <si>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</si>
  <si>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</si>
  <si>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</si>
  <si>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</si>
  <si>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</si>
  <si>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</si>
  <si>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</si>
  <si>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</si>
  <si>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</si>
  <si>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</si>
  <si>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</si>
  <si>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</si>
  <si>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</si>
  <si>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</si>
  <si>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</si>
  <si>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</si>
  <si>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</si>
  <si>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</si>
  <si>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</si>
  <si>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</si>
  <si>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</si>
  <si>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</si>
  <si>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</si>
  <si>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</si>
  <si>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</si>
  <si>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</si>
  <si>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</si>
  <si>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</si>
  <si>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</si>
  <si>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</si>
  <si>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</si>
  <si>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</si>
  <si>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</si>
  <si>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</si>
  <si>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</si>
  <si>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</si>
  <si>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</si>
  <si>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</si>
  <si>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</si>
  <si>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</si>
  <si>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</si>
  <si>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</si>
  <si>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</si>
  <si>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</si>
  <si>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</si>
  <si>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</si>
  <si>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</si>
  <si>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</si>
  <si>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</si>
  <si>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</si>
  <si>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</si>
  <si>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</si>
  <si>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</si>
  <si>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</si>
  <si>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</si>
  <si>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</si>
  <si>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</si>
  <si>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</si>
  <si>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</si>
  <si>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</si>
  <si>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</si>
  <si>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</si>
  <si>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</si>
  <si>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</si>
  <si>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</si>
  <si>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</si>
  <si>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</si>
  <si>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</si>
  <si>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</si>
  <si>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</si>
  <si>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</si>
  <si>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</si>
  <si>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</si>
  <si>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</si>
  <si>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</si>
  <si>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</si>
  <si>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</si>
  <si>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</si>
  <si>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</si>
  <si>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</si>
  <si>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</si>
  <si>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</si>
  <si>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</si>
  <si>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</si>
  <si>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</si>
  <si>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</si>
  <si>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</si>
  <si>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</si>
  <si>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</si>
  <si>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</si>
  <si>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</si>
  <si>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</si>
  <si>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</si>
  <si>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</si>
  <si>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</si>
  <si>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</si>
  <si>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</si>
  <si>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</si>
  <si>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</si>
  <si>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</si>
  <si>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</si>
  <si>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</si>
  <si>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</si>
  <si>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</si>
  <si>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</si>
  <si>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</si>
  <si>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</si>
  <si>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</si>
  <si>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</si>
  <si>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</si>
  <si>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</si>
  <si>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</si>
  <si>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</si>
  <si>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</si>
  <si>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</si>
  <si>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</si>
  <si>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</si>
  <si>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</si>
  <si>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</si>
  <si>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</si>
  <si>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</si>
  <si>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</si>
  <si>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</si>
  <si>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</si>
  <si>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</si>
  <si>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</si>
  <si>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</si>
  <si>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</si>
  <si>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</si>
  <si>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</si>
  <si>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</si>
  <si>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</si>
  <si>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</si>
  <si>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</si>
  <si>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</si>
  <si>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</si>
  <si>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</si>
  <si>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</si>
  <si>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</si>
  <si>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</si>
  <si>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</si>
  <si>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</si>
  <si>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</si>
  <si>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</si>
  <si>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</si>
  <si>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</si>
  <si>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</si>
  <si>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</si>
  <si>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</si>
  <si>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</si>
  <si>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</si>
  <si>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</si>
  <si>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</si>
  <si>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</si>
  <si>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</si>
  <si>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</si>
  <si>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</si>
  <si>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</si>
  <si>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</si>
  <si>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</si>
  <si>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</si>
  <si>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</si>
  <si>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</si>
  <si>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</si>
  <si>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</si>
  <si>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</si>
  <si>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</si>
  <si>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</si>
  <si>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</si>
  <si>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</si>
  <si>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</si>
  <si>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gacha_settle_tables_</t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</si>
  <si>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</si>
  <si>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</si>
  <si>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</si>
  <si>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</si>
  <si>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</si>
  <si>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</si>
  <si>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</si>
  <si>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</si>
  <si>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</si>
  <si>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</si>
  <si>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</si>
  <si>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</si>
  <si>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</si>
  <si>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</si>
  <si>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</si>
  <si>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</si>
  <si>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</si>
  <si>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</si>
  <si>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</si>
  <si>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</si>
  <si>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</si>
  <si>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</si>
  <si>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</si>
  <si>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</si>
  <si>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</si>
  <si>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</si>
  <si>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</si>
  <si>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</si>
  <si>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</si>
  <si>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</si>
  <si>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</si>
  <si>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</si>
  <si>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</si>
  <si>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</si>
  <si>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</si>
  <si>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</si>
  <si>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tables_397100</t>
    <phoneticPr fontId="22"/>
  </si>
  <si>
    <t>tables_397010</t>
    <phoneticPr fontId="22"/>
  </si>
  <si>
    <t>tables_settle_397100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</si>
</sst>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98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8" fillId="0" borderId="1" xfId="2978" applyFont="1" applyBorder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6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3" fillId="0" borderId="1" xfId="3036" applyFont="1" applyBorder="1"/>
    <xf numFmtId="0" fontId="2" fillId="4" borderId="1" xfId="2978" applyFont="1" applyFill="1" applyBorder="1"/>
    <xf numFmtId="177" fontId="0" fillId="0" borderId="0" xfId="0" applyNumberFormat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214</v>
      </c>
      <c r="K40" s="84" t="s">
        <v>190</v>
      </c>
      <c r="M40" s="84" t="s">
        <v>239</v>
      </c>
    </row>
    <row r="41" spans="1:13" x14ac:dyDescent="0.15">
      <c r="J41" s="84" t="s">
        <v>215</v>
      </c>
      <c r="K41" s="84" t="s">
        <v>216</v>
      </c>
      <c r="M41" s="66" t="s">
        <v>185</v>
      </c>
    </row>
    <row r="42" spans="1:13" x14ac:dyDescent="0.15">
      <c r="J42" s="84" t="s">
        <v>217</v>
      </c>
      <c r="K42" s="84" t="s">
        <v>218</v>
      </c>
    </row>
    <row r="43" spans="1:13" x14ac:dyDescent="0.15">
      <c r="J43" s="84" t="s">
        <v>219</v>
      </c>
      <c r="K43" s="84" t="s">
        <v>220</v>
      </c>
    </row>
    <row r="44" spans="1:13" x14ac:dyDescent="0.15">
      <c r="J44" s="84" t="s">
        <v>221</v>
      </c>
      <c r="K44" s="84" t="s">
        <v>222</v>
      </c>
    </row>
    <row r="45" spans="1:13" x14ac:dyDescent="0.15">
      <c r="J45" s="84" t="s">
        <v>223</v>
      </c>
      <c r="K45" s="84" t="s">
        <v>224</v>
      </c>
    </row>
    <row r="46" spans="1:13" x14ac:dyDescent="0.15">
      <c r="J46" s="84" t="s">
        <v>225</v>
      </c>
      <c r="K46" s="84" t="s">
        <v>226</v>
      </c>
    </row>
    <row r="47" spans="1:13" x14ac:dyDescent="0.15">
      <c r="J47" s="84" t="s">
        <v>227</v>
      </c>
      <c r="K47" s="84" t="s">
        <v>231</v>
      </c>
    </row>
    <row r="48" spans="1:13" x14ac:dyDescent="0.15">
      <c r="J48" s="84" t="s">
        <v>228</v>
      </c>
      <c r="K48" s="84" t="s">
        <v>232</v>
      </c>
    </row>
    <row r="49" spans="10:11" x14ac:dyDescent="0.15">
      <c r="J49" s="84" t="s">
        <v>229</v>
      </c>
      <c r="K49" s="84" t="s">
        <v>233</v>
      </c>
    </row>
    <row r="50" spans="10:11" x14ac:dyDescent="0.15">
      <c r="J50" s="84" t="s">
        <v>230</v>
      </c>
      <c r="K50" s="84" t="s">
        <v>234</v>
      </c>
    </row>
    <row r="51" spans="10:11" x14ac:dyDescent="0.15">
      <c r="J51" s="84" t="s">
        <v>236</v>
      </c>
      <c r="K51" s="84" t="s">
        <v>235</v>
      </c>
    </row>
    <row r="52" spans="10:11" x14ac:dyDescent="0.15">
      <c r="J52" s="84" t="s">
        <v>237</v>
      </c>
      <c r="K52" s="84" t="s">
        <v>238</v>
      </c>
    </row>
    <row r="53" spans="10:11" x14ac:dyDescent="0.15">
      <c r="J53" s="84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6" sqref="D1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3" t="s">
        <v>248</v>
      </c>
      <c r="B2" s="61" t="s">
        <v>110</v>
      </c>
      <c r="C2" s="50" t="str">
        <f t="shared" ref="C2" si="0">RIGHT(F2,6)</f>
        <v>397100</v>
      </c>
      <c r="D2" s="19" t="s">
        <v>45</v>
      </c>
      <c r="E2" s="17" t="str">
        <f t="shared" ref="E2" si="1">B2&amp;C2&amp;D2</f>
        <v>gacha_select_tables_397100.tmp</v>
      </c>
      <c r="F2" s="96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248</v>
      </c>
      <c r="B3" s="61" t="s">
        <v>110</v>
      </c>
      <c r="C3" s="50" t="str">
        <f t="shared" ref="C3:C7" si="2">RIGHT(F3,6)</f>
        <v>397010</v>
      </c>
      <c r="D3" s="19" t="s">
        <v>45</v>
      </c>
      <c r="E3" s="17" t="str">
        <f t="shared" ref="E3:E10" si="3">B3&amp;C3&amp;D3</f>
        <v>gacha_select_tables_397010.tmp</v>
      </c>
      <c r="F3" s="96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249</v>
      </c>
      <c r="B4" s="77" t="s">
        <v>213</v>
      </c>
      <c r="C4" s="50" t="str">
        <f t="shared" si="2"/>
        <v>397100</v>
      </c>
      <c r="D4" s="19" t="s">
        <v>45</v>
      </c>
      <c r="E4" s="17" t="str">
        <f t="shared" ref="E4:E7" si="4">B4&amp;C4&amp;D4</f>
        <v>gacha_settle_tables_397100.tmp</v>
      </c>
      <c r="F4" s="96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8" t="s">
        <v>242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1" t="s">
        <v>245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8" t="s">
        <v>242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1" t="s">
        <v>246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8" t="s">
        <v>242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1" t="s">
        <v>247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8" t="s">
        <v>242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8" t="s">
        <v>242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8" t="s">
        <v>242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7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6" max="6" width="13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397010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1067</v>
      </c>
      <c r="M3" s="37" t="str">
        <f>VLOOKUP(L3,[1]characters!$A:$C,3,FALSE)</f>
        <v>ウシュムガル</v>
      </c>
      <c r="N3" s="63">
        <v>7.8850000000000003E-2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VLOOKUP(L3,tables_397010!B:C,2,FALSE)</f>
        <v>Premium4R3less</v>
      </c>
      <c r="R3" s="62">
        <f t="shared" ref="R3:R20" si="1">N3*A$36</f>
        <v>2057985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1068</v>
      </c>
      <c r="M4" s="37" t="str">
        <f>VLOOKUP(L4,[1]characters!$A:$C,3,FALSE)</f>
        <v>想母の羽龍 ウシュムガル</v>
      </c>
      <c r="N4" s="63">
        <v>4.15E-3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VLOOKUP(L4,tables_397010!B:C,2,FALSE)</f>
        <v>Premium5R3less</v>
      </c>
      <c r="R4" s="62">
        <f t="shared" si="1"/>
        <v>108315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45%</f>
        <v>0.45</v>
      </c>
      <c r="D5" t="s">
        <v>201</v>
      </c>
      <c r="E5" s="43">
        <f>(B11-H5)/(F5-I5)</f>
        <v>6.6666666666666724E-5</v>
      </c>
      <c r="F5">
        <f>(COUNTIF(tables_397010!C:C,input_397010!A28)+COUNTIF(tables_397010!C:C,input_397010!A29))</f>
        <v>48</v>
      </c>
      <c r="H5" s="85">
        <v>4.7E-2</v>
      </c>
      <c r="I5" s="31">
        <v>3</v>
      </c>
      <c r="L5" s="82">
        <v>1069</v>
      </c>
      <c r="M5" s="37" t="str">
        <f>VLOOKUP(L5,[1]characters!$A:$C,3,FALSE)</f>
        <v>イシュタル</v>
      </c>
      <c r="N5" s="63">
        <v>1.7999999999999999E-2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VLOOKUP(L5,tables_397010!B:C,2,FALSE)</f>
        <v>PremiumSS5R5only</v>
      </c>
      <c r="R5" s="62">
        <f t="shared" si="1"/>
        <v>469799.99999999994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1-B5-B7-B8</f>
        <v>0.44999999999999996</v>
      </c>
      <c r="D6" t="s">
        <v>202</v>
      </c>
      <c r="E6" s="76">
        <f>(B10-H6)/(F6-I6)</f>
        <v>9.9655172413793108E-3</v>
      </c>
      <c r="F6">
        <f>(COUNTIF(tables_397010!C:C,input_397010!A25)+COUNTIF(tables_397010!C:C,input_397010!A18)+COUNTIF(tables_397010!C:C,input_397010!A20)+COUNTIF(tables_397010!C:C,input_397010!A22))</f>
        <v>88</v>
      </c>
      <c r="H6" s="90">
        <v>8.3000000000000004E-2</v>
      </c>
      <c r="I6" s="31">
        <v>1</v>
      </c>
      <c r="L6" s="82">
        <v>1072</v>
      </c>
      <c r="M6" s="37" t="str">
        <f>VLOOKUP(L6,[1]characters!$A:$C,3,FALSE)</f>
        <v>エンキドゥ</v>
      </c>
      <c r="N6" s="63">
        <v>1.0999999999999999E-2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VLOOKUP(L6,tables_397010!B:C,2,FALSE)</f>
        <v>PremiumSS5R5only</v>
      </c>
      <c r="R6" s="62">
        <f t="shared" si="1"/>
        <v>287100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f>0.1-B8</f>
        <v>4.8850000000000005E-2</v>
      </c>
      <c r="L7" s="82">
        <v>1074</v>
      </c>
      <c r="M7" s="37" t="str">
        <f>VLOOKUP(L7,[1]characters!$A:$C,3,FALSE)</f>
        <v>マルドゥク</v>
      </c>
      <c r="N7" s="63">
        <v>1.7999999999999999E-2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VLOOKUP(L7,tables_397010!B:C,2,FALSE)</f>
        <v>PremiumSS5R5only</v>
      </c>
      <c r="R7" s="62">
        <f t="shared" si="1"/>
        <v>469799.99999999994</v>
      </c>
      <c r="S7">
        <v>597</v>
      </c>
      <c r="U7" s="33" t="s">
        <v>196</v>
      </c>
      <c r="V7" s="54">
        <f t="shared" si="0"/>
        <v>7.8850000000000003E-2</v>
      </c>
    </row>
    <row r="8" spans="1:22" x14ac:dyDescent="0.15">
      <c r="A8" s="57"/>
      <c r="B8" s="71">
        <f>N4+N5+N6+N7</f>
        <v>5.1150000000000001E-2</v>
      </c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VLOOKUP(L8,tables_397010!B:C,2,FALSE)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4.15E-3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VLOOKUP(L9,tables_397010!B:C,2,FALSE)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VLOOKUP(L10,tables_397010!B:C,2,FALSE)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244</v>
      </c>
      <c r="L11" s="89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VLOOKUP(L11,tables_397010!B:C,2,FALSE)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VLOOKUP(L12,tables_397010!B:C,2,FALSE)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VLOOKUP(L13,tables_397010!B:C,2,FALSE)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VLOOKUP(L14,tables_397010!B:C,2,FALSE)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VLOOKUP(L15,tables_397010!B:C,2,FALSE)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VLOOKUP(L16,tables_397010!B:C,2,FALSE)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0.19886896551724137</v>
      </c>
      <c r="C17" s="86">
        <f t="shared" ref="C17:C31" si="2">SUMIF(Q:Q,A17,N:N)</f>
        <v>0</v>
      </c>
      <c r="D17" s="74">
        <f t="shared" ref="D17:D32" si="3">B17-C17</f>
        <v>0.19886896551724137</v>
      </c>
      <c r="E17">
        <f>COUNTIF(tables_397010!C:C,input_397010!A17)-COUNTIF(Q:Q,A17)</f>
        <v>20</v>
      </c>
      <c r="F17" s="43">
        <f>IFERROR(B17/E17,0)</f>
        <v>9.9434482758620681E-3</v>
      </c>
      <c r="G17">
        <f t="shared" ref="G17:G31" si="4">A$36*B17</f>
        <v>5190480</v>
      </c>
      <c r="H17">
        <f t="shared" ref="H17:H31" si="5">IFERROR(ROUND(G17/E17,5),0)</f>
        <v>259524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VLOOKUP(L17,tables_397010!B:C,2,FALSE)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4.4137931034485267E-4</v>
      </c>
      <c r="C18" s="86">
        <f t="shared" si="2"/>
        <v>0</v>
      </c>
      <c r="D18" s="74">
        <f t="shared" si="3"/>
        <v>4.4137931034485267E-4</v>
      </c>
      <c r="E18">
        <f>COUNTIF(tables_397010!C:C,input_397010!A18)-COUNTIF(Q:Q,A18)</f>
        <v>20</v>
      </c>
      <c r="F18" s="43">
        <f>IFERROR(B18/E18,0)</f>
        <v>2.2068965517242634E-5</v>
      </c>
      <c r="G18">
        <f t="shared" si="4"/>
        <v>11520.000000000655</v>
      </c>
      <c r="H18">
        <f t="shared" si="5"/>
        <v>576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VLOOKUP(L18,tables_397010!B:C,2,FALSE)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0.23319310344827587</v>
      </c>
      <c r="C19" s="86">
        <f t="shared" si="2"/>
        <v>0</v>
      </c>
      <c r="D19" s="74">
        <f t="shared" si="3"/>
        <v>0.23319310344827587</v>
      </c>
      <c r="E19">
        <f>COUNTIF(tables_397010!C:C,input_397010!A19)-COUNTIF(Q:Q,A19)</f>
        <v>52</v>
      </c>
      <c r="F19" s="43">
        <f t="shared" ref="F19:F31" si="8">IFERROR(B19/E19,0)</f>
        <v>4.4844827586206903E-3</v>
      </c>
      <c r="G19">
        <f t="shared" si="4"/>
        <v>6086340</v>
      </c>
      <c r="H19">
        <f t="shared" si="5"/>
        <v>117045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VLOOKUP(L19,tables_397010!B:C,2,FALSE)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3">
        <f>E$6*E20*B$6+E34</f>
        <v>0.26183381103524894</v>
      </c>
      <c r="C20" s="86">
        <f t="shared" si="2"/>
        <v>0</v>
      </c>
      <c r="D20" s="74">
        <f t="shared" si="3"/>
        <v>0.26183381103524894</v>
      </c>
      <c r="E20">
        <f>COUNTIF(tables_397010!C:C,input_397010!A20)-COUNTIF(Q:Q,A20)</f>
        <v>52</v>
      </c>
      <c r="F20" s="43">
        <f t="shared" si="8"/>
        <v>5.0352655968317105E-3</v>
      </c>
      <c r="G20">
        <f t="shared" si="4"/>
        <v>6833862.4680199977</v>
      </c>
      <c r="H20">
        <f t="shared" si="5"/>
        <v>131420.43208</v>
      </c>
      <c r="I20">
        <f t="shared" si="6"/>
        <v>0.43207999999867752</v>
      </c>
      <c r="J20">
        <f t="shared" si="7"/>
        <v>2.3143862247802738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VLOOKUP(L20,tables_397010!B:C,2,FALSE)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2.5314406896551726E-2</v>
      </c>
      <c r="C21" s="86">
        <f t="shared" si="2"/>
        <v>0</v>
      </c>
      <c r="D21" s="74">
        <f t="shared" si="3"/>
        <v>2.5314406896551726E-2</v>
      </c>
      <c r="E21">
        <f>COUNTIF(tables_397010!C:C,input_397010!A21)-COUNTIF(Q:Q,A21)</f>
        <v>52</v>
      </c>
      <c r="F21" s="43">
        <f t="shared" si="8"/>
        <v>4.8681551724137937E-4</v>
      </c>
      <c r="G21">
        <f t="shared" si="4"/>
        <v>660706.02</v>
      </c>
      <c r="H21">
        <f t="shared" si="5"/>
        <v>12705.885</v>
      </c>
      <c r="I21">
        <f t="shared" si="6"/>
        <v>0.88500000000021828</v>
      </c>
      <c r="J21">
        <f t="shared" si="7"/>
        <v>1.1299435028245801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8.9256878620689664E-2</v>
      </c>
      <c r="C22" s="86">
        <f t="shared" si="2"/>
        <v>7.8850000000000003E-2</v>
      </c>
      <c r="D22" s="74">
        <f t="shared" si="3"/>
        <v>1.0406878620689661E-2</v>
      </c>
      <c r="E22">
        <f>COUNTIF(tables_397010!C:C,input_397010!A22)-COUNTIF(Q:Q,A22)</f>
        <v>11</v>
      </c>
      <c r="F22" s="43">
        <f t="shared" si="8"/>
        <v>8.1142616927899688E-3</v>
      </c>
      <c r="G22">
        <f t="shared" si="4"/>
        <v>2329604.5320000001</v>
      </c>
      <c r="H22">
        <f t="shared" si="5"/>
        <v>211782.23018000001</v>
      </c>
      <c r="I22">
        <f t="shared" si="6"/>
        <v>0.23018000001320615</v>
      </c>
      <c r="J22">
        <f t="shared" si="7"/>
        <v>4.3444261010627629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2.0363811034482759E-2</v>
      </c>
      <c r="C23" s="86">
        <f t="shared" si="2"/>
        <v>4.15E-3</v>
      </c>
      <c r="D23" s="74">
        <f t="shared" si="3"/>
        <v>1.6213811034482759E-2</v>
      </c>
      <c r="E23">
        <f>COUNTIF(tables_397010!C:C,input_397010!A23)-COUNTIF(Q:Q,A23)</f>
        <v>11</v>
      </c>
      <c r="F23" s="43">
        <f t="shared" si="8"/>
        <v>1.8512555485893417E-3</v>
      </c>
      <c r="G23">
        <f t="shared" si="4"/>
        <v>531495.46799999999</v>
      </c>
      <c r="H23">
        <f t="shared" si="5"/>
        <v>48317.769820000001</v>
      </c>
      <c r="I23">
        <f t="shared" si="6"/>
        <v>0.76982000000134576</v>
      </c>
      <c r="J23">
        <f t="shared" si="7"/>
        <v>1.2990049621966848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1.7937931034482761E-2</v>
      </c>
      <c r="C24" s="86">
        <f t="shared" si="2"/>
        <v>0</v>
      </c>
      <c r="D24" s="74">
        <f t="shared" si="3"/>
        <v>1.7937931034482761E-2</v>
      </c>
      <c r="E24">
        <f>COUNTIF(tables_397010!C:C,input_397010!A24)-COUNTIF(Q:Q,A24)</f>
        <v>4</v>
      </c>
      <c r="F24" s="43">
        <f t="shared" si="8"/>
        <v>4.4844827586206903E-3</v>
      </c>
      <c r="G24">
        <f t="shared" si="4"/>
        <v>468180.00000000006</v>
      </c>
      <c r="H24">
        <f t="shared" si="5"/>
        <v>117045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1.7937931034482758E-2</v>
      </c>
      <c r="C25" s="86">
        <f t="shared" si="2"/>
        <v>0</v>
      </c>
      <c r="D25" s="74">
        <f t="shared" si="3"/>
        <v>1.7937931034482758E-2</v>
      </c>
      <c r="E25">
        <f>COUNTIF(tables_397010!C:C,input_397010!A25)-COUNTIF(Q:Q,A25)</f>
        <v>4</v>
      </c>
      <c r="F25" s="43">
        <f t="shared" si="8"/>
        <v>4.4844827586206894E-3</v>
      </c>
      <c r="G25">
        <f t="shared" si="4"/>
        <v>468180</v>
      </c>
      <c r="H25">
        <f t="shared" si="5"/>
        <v>117045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1.9472620689655175E-3</v>
      </c>
      <c r="C26" s="86">
        <f t="shared" si="2"/>
        <v>0</v>
      </c>
      <c r="D26" s="74">
        <f t="shared" si="3"/>
        <v>1.9472620689655175E-3</v>
      </c>
      <c r="E26">
        <f>COUNTIF(tables_397010!C:C,input_397010!A26)-COUNTIF(Q:Q,A26)</f>
        <v>4</v>
      </c>
      <c r="F26" s="43">
        <f t="shared" si="8"/>
        <v>4.8681551724137937E-4</v>
      </c>
      <c r="G26">
        <f t="shared" si="4"/>
        <v>50823.540000000008</v>
      </c>
      <c r="H26">
        <f t="shared" si="5"/>
        <v>12705.885</v>
      </c>
      <c r="I26">
        <f t="shared" si="6"/>
        <v>0.88500000000021828</v>
      </c>
      <c r="J26">
        <f t="shared" si="7"/>
        <v>1.1299435028245801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1.6800000000000014E-3</v>
      </c>
      <c r="C27" s="86">
        <f t="shared" si="2"/>
        <v>0</v>
      </c>
      <c r="D27" s="74">
        <f t="shared" si="3"/>
        <v>1.6800000000000014E-3</v>
      </c>
      <c r="E27">
        <f>COUNTIF(tables_397010!C:C,input_397010!A27)-COUNTIF(Q:Q,A27)</f>
        <v>28</v>
      </c>
      <c r="F27" s="43">
        <f>IFERROR(B27/E27,0)</f>
        <v>6.0000000000000049E-5</v>
      </c>
      <c r="G27">
        <f t="shared" si="4"/>
        <v>43848.000000000036</v>
      </c>
      <c r="H27">
        <f t="shared" si="5"/>
        <v>1566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9.1186666666666754E-5</v>
      </c>
      <c r="C28" s="86">
        <f t="shared" si="2"/>
        <v>0</v>
      </c>
      <c r="D28" s="74">
        <f t="shared" si="3"/>
        <v>9.1186666666666754E-5</v>
      </c>
      <c r="E28">
        <f>COUNTIF(tables_397010!C:C,input_397010!A28)-COUNTIF(Q:Q,A28)</f>
        <v>28</v>
      </c>
      <c r="F28" s="43">
        <f t="shared" si="8"/>
        <v>3.2566666666666696E-6</v>
      </c>
      <c r="G28">
        <f t="shared" si="4"/>
        <v>2379.9720000000025</v>
      </c>
      <c r="H28">
        <f t="shared" si="5"/>
        <v>84.998999999999995</v>
      </c>
      <c r="I28">
        <f t="shared" si="6"/>
        <v>0.99899999999999523</v>
      </c>
      <c r="J28">
        <f t="shared" si="7"/>
        <v>1.0010010010010058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1.1333333333333343E-3</v>
      </c>
      <c r="C29" s="86">
        <f t="shared" si="2"/>
        <v>4.7E-2</v>
      </c>
      <c r="D29" s="74">
        <f t="shared" si="3"/>
        <v>-4.5866666666666667E-2</v>
      </c>
      <c r="E29">
        <f>COUNTIF(tables_397010!C:C,input_397010!A29)-COUNTIF(Q:Q,A29)</f>
        <v>17</v>
      </c>
      <c r="F29" s="43">
        <f t="shared" si="8"/>
        <v>6.6666666666666724E-5</v>
      </c>
      <c r="G29">
        <f t="shared" si="4"/>
        <v>29580.000000000025</v>
      </c>
      <c r="H29">
        <f t="shared" si="5"/>
        <v>1740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COUNTIF(tables_397010!C:C,input_397010!A30)-COUNTIF(Q:Q,A30)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COUNTIF(tables_397010!C:C,input_397010!A31)-COUNTIF(Q:Q,A31)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0.87000000000076616</v>
      </c>
      <c r="C32" s="41">
        <f>SUM(C19:C31)</f>
        <v>0.13</v>
      </c>
      <c r="D32" s="42">
        <f t="shared" si="3"/>
        <v>0.74000000000076616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97">
        <v>2.8640707586973124E-2</v>
      </c>
      <c r="G34" s="97"/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SUMIF(tables_397010!C:C,input_397010!A40,tables_397010!O:O)</f>
        <v>6086340</v>
      </c>
      <c r="C40" s="54">
        <f t="shared" ref="C40:C46" ca="1" si="9">B40/B$47</f>
        <v>0.44663381905610866</v>
      </c>
      <c r="E40">
        <v>3</v>
      </c>
      <c r="F40">
        <f ca="1">SUMIF(tables_397010!J:J,input_397010!E40,tables_397010!O:O)</f>
        <v>11745000</v>
      </c>
      <c r="G40">
        <f ca="1">F40/A36</f>
        <v>0.45</v>
      </c>
    </row>
    <row r="41" spans="1:7" x14ac:dyDescent="0.15">
      <c r="A41" s="33" t="s">
        <v>104</v>
      </c>
      <c r="B41">
        <f ca="1">SUMIF(tables_397010!C:C,input_397010!A41,tables_397010!O:O)</f>
        <v>6833862.468159996</v>
      </c>
      <c r="C41" s="54">
        <f t="shared" ca="1" si="9"/>
        <v>0.50148925184240511</v>
      </c>
      <c r="E41">
        <v>4</v>
      </c>
      <c r="F41">
        <f ca="1">SUMIF(tables_397010!J:J,input_397010!E41,tables_397010!O:O)</f>
        <v>11745000.00014</v>
      </c>
      <c r="G41">
        <f ca="1">F41/A36</f>
        <v>0.450000000005364</v>
      </c>
    </row>
    <row r="42" spans="1:7" x14ac:dyDescent="0.15">
      <c r="A42" s="33" t="s">
        <v>106</v>
      </c>
      <c r="B42">
        <f ca="1">SUMIF(tables_397010!C:C,input_397010!A42,tables_397010!O:O)</f>
        <v>43848</v>
      </c>
      <c r="C42" s="54">
        <f t="shared" ca="1" si="9"/>
        <v>3.2176972857205239E-3</v>
      </c>
      <c r="E42">
        <v>5</v>
      </c>
      <c r="F42">
        <f ca="1">SUMIF(tables_397010!J:J,input_397010!E42,tables_397010!O:O)</f>
        <v>2610000.0000200002</v>
      </c>
      <c r="G42">
        <f ca="1">F42/A36</f>
        <v>0.1000000000007663</v>
      </c>
    </row>
    <row r="43" spans="1:7" x14ac:dyDescent="0.15">
      <c r="A43" s="33" t="s">
        <v>109</v>
      </c>
      <c r="B43">
        <f>SUMIF(tables_397010!C:C,input_397010!A43,tables_397010!O:O)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SUMIF(tables_397010!C:C,input_397010!A44,tables_397010!O:O)</f>
        <v>660706.02000000037</v>
      </c>
      <c r="C44" s="54">
        <f t="shared" ca="1" si="9"/>
        <v>4.8484582357535375E-2</v>
      </c>
      <c r="E44" t="s">
        <v>54</v>
      </c>
      <c r="F44" s="55"/>
    </row>
    <row r="45" spans="1:7" x14ac:dyDescent="0.15">
      <c r="A45" s="33" t="s">
        <v>107</v>
      </c>
      <c r="B45">
        <f ca="1">SUMIF(tables_397010!C:C,input_397010!A45,tables_397010!O:O)</f>
        <v>2379.9719999999998</v>
      </c>
      <c r="C45" s="54">
        <f t="shared" ca="1" si="9"/>
        <v>1.746494582304973E-4</v>
      </c>
      <c r="E45" t="s">
        <v>204</v>
      </c>
      <c r="F45" s="55">
        <f ca="1">SUMIF(tables_397010!I:I,input_397010!E45,tables_397010!P:P)</f>
        <v>0.19931034482636398</v>
      </c>
    </row>
    <row r="46" spans="1:7" x14ac:dyDescent="0.15">
      <c r="A46" s="33" t="s">
        <v>108</v>
      </c>
      <c r="B46">
        <f>SUMIF(tables_397010!C:C,input_397010!A46,tables_397010!O:O)</f>
        <v>0</v>
      </c>
      <c r="C46" s="54">
        <f t="shared" ca="1" si="9"/>
        <v>0</v>
      </c>
      <c r="E46" t="s">
        <v>205</v>
      </c>
      <c r="F46" s="55">
        <f ca="1">SUMIF(tables_397010!I:I,input_397010!E46,tables_397010!P:P)</f>
        <v>0.19847892893977909</v>
      </c>
    </row>
    <row r="47" spans="1:7" x14ac:dyDescent="0.15">
      <c r="A47" s="39" t="s">
        <v>59</v>
      </c>
      <c r="B47">
        <f ca="1">SUM(B40:B46)</f>
        <v>13627136.460159995</v>
      </c>
      <c r="C47" s="55">
        <f ca="1">SUM(C40:C46)</f>
        <v>1.0000000000000002</v>
      </c>
      <c r="E47" t="s">
        <v>206</v>
      </c>
      <c r="F47" s="55">
        <f ca="1">SUMIF(tables_397010!I:I,input_397010!E47,tables_397010!P:P)</f>
        <v>0.55230620623416127</v>
      </c>
    </row>
    <row r="48" spans="1:7" x14ac:dyDescent="0.15">
      <c r="E48" t="s">
        <v>207</v>
      </c>
      <c r="F48" s="55">
        <f ca="1">SUMIF(tables_397010!I:I,input_397010!E48,tables_397010!P:P)</f>
        <v>3.8904519999761425E-2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input_397010!A$2</f>
        <v>397010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IFERROR(VLOOKUP(B2,input_397010!L:R,7,FALSE),VLOOKUP(tables_397010!C2,input_397010!A:H,8,FALSE))</f>
        <v>259524</v>
      </c>
      <c r="P2" s="46">
        <f t="shared" ref="P2:P65" ca="1" si="1">O2/SUM(O:O)</f>
        <v>9.9434482758010943E-3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input_397010!A$2</f>
        <v>397010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IFERROR(VLOOKUP(B3,input_397010!L:R,7,FALSE),VLOOKUP(tables_397010!C3,input_397010!A:H,8,FALSE))</f>
        <v>576</v>
      </c>
      <c r="P3" s="46">
        <f t="shared" ca="1" si="1"/>
        <v>2.2068965517106048E-5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input_397010!A$2</f>
        <v>397010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IFERROR(VLOOKUP(B4,input_397010!L:R,7,FALSE),VLOOKUP(tables_397010!C4,input_397010!A:H,8,FALSE))</f>
        <v>259524</v>
      </c>
      <c r="P4" s="46">
        <f t="shared" ca="1" si="1"/>
        <v>9.9434482758010943E-3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input_397010!A$2</f>
        <v>397010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IFERROR(VLOOKUP(B5,input_397010!L:R,7,FALSE),VLOOKUP(tables_397010!C5,input_397010!A:H,8,FALSE))</f>
        <v>576</v>
      </c>
      <c r="P5" s="46">
        <f t="shared" ca="1" si="1"/>
        <v>2.2068965517106048E-5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input_397010!A$2</f>
        <v>397010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IFERROR(VLOOKUP(B6,input_397010!L:R,7,FALSE),VLOOKUP(tables_397010!C6,input_397010!A:H,8,FALSE))</f>
        <v>259524</v>
      </c>
      <c r="P6" s="46">
        <f t="shared" ca="1" si="1"/>
        <v>9.9434482758010943E-3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input_397010!A$2</f>
        <v>397010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IFERROR(VLOOKUP(B7,input_397010!L:R,7,FALSE),VLOOKUP(tables_397010!C7,input_397010!A:H,8,FALSE))</f>
        <v>576</v>
      </c>
      <c r="P7" s="46">
        <f t="shared" ca="1" si="1"/>
        <v>2.2068965517106048E-5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input_397010!A$2</f>
        <v>397010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IFERROR(VLOOKUP(B8,input_397010!L:R,7,FALSE),VLOOKUP(tables_397010!C8,input_397010!A:H,8,FALSE))</f>
        <v>259524</v>
      </c>
      <c r="P8" s="46">
        <f t="shared" ca="1" si="1"/>
        <v>9.9434482758010943E-3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input_397010!A$2</f>
        <v>397010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IFERROR(VLOOKUP(B9,input_397010!L:R,7,FALSE),VLOOKUP(tables_397010!C9,input_397010!A:H,8,FALSE))</f>
        <v>576</v>
      </c>
      <c r="P9" s="46">
        <f t="shared" ca="1" si="1"/>
        <v>2.2068965517106048E-5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input_397010!A$2</f>
        <v>397010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IFERROR(VLOOKUP(B10,input_397010!L:R,7,FALSE),VLOOKUP(tables_397010!C10,input_397010!A:H,8,FALSE))</f>
        <v>259524</v>
      </c>
      <c r="P10" s="46">
        <f t="shared" ca="1" si="1"/>
        <v>9.9434482758010943E-3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input_397010!A$2</f>
        <v>397010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IFERROR(VLOOKUP(B11,input_397010!L:R,7,FALSE),VLOOKUP(tables_397010!C11,input_397010!A:H,8,FALSE))</f>
        <v>576</v>
      </c>
      <c r="P11" s="46">
        <f t="shared" ca="1" si="1"/>
        <v>2.2068965517106048E-5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input_397010!A$2</f>
        <v>397010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IFERROR(VLOOKUP(B12,input_397010!L:R,7,FALSE),VLOOKUP(tables_397010!C12,input_397010!A:H,8,FALSE))</f>
        <v>259524</v>
      </c>
      <c r="P12" s="46">
        <f t="shared" ca="1" si="1"/>
        <v>9.9434482758010943E-3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input_397010!A$2</f>
        <v>397010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IFERROR(VLOOKUP(B13,input_397010!L:R,7,FALSE),VLOOKUP(tables_397010!C13,input_397010!A:H,8,FALSE))</f>
        <v>576</v>
      </c>
      <c r="P13" s="46">
        <f t="shared" ca="1" si="1"/>
        <v>2.2068965517106048E-5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input_397010!A$2</f>
        <v>397010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IFERROR(VLOOKUP(B14,input_397010!L:R,7,FALSE),VLOOKUP(tables_397010!C14,input_397010!A:H,8,FALSE))</f>
        <v>259524</v>
      </c>
      <c r="P14" s="46">
        <f t="shared" ca="1" si="1"/>
        <v>9.9434482758010943E-3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input_397010!A$2</f>
        <v>397010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IFERROR(VLOOKUP(B15,input_397010!L:R,7,FALSE),VLOOKUP(tables_397010!C15,input_397010!A:H,8,FALSE))</f>
        <v>576</v>
      </c>
      <c r="P15" s="46">
        <f t="shared" ca="1" si="1"/>
        <v>2.2068965517106048E-5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input_397010!A$2</f>
        <v>397010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IFERROR(VLOOKUP(B16,input_397010!L:R,7,FALSE),VLOOKUP(tables_397010!C16,input_397010!A:H,8,FALSE))</f>
        <v>259524</v>
      </c>
      <c r="P16" s="46">
        <f t="shared" ca="1" si="1"/>
        <v>9.9434482758010943E-3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input_397010!A$2</f>
        <v>397010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IFERROR(VLOOKUP(B17,input_397010!L:R,7,FALSE),VLOOKUP(tables_397010!C17,input_397010!A:H,8,FALSE))</f>
        <v>576</v>
      </c>
      <c r="P17" s="46">
        <f t="shared" ca="1" si="1"/>
        <v>2.2068965517106048E-5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input_397010!A$2</f>
        <v>397010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IFERROR(VLOOKUP(B18,input_397010!L:R,7,FALSE),VLOOKUP(tables_397010!C18,input_397010!A:H,8,FALSE))</f>
        <v>259524</v>
      </c>
      <c r="P18" s="46">
        <f t="shared" ca="1" si="1"/>
        <v>9.9434482758010943E-3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input_397010!A$2</f>
        <v>397010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IFERROR(VLOOKUP(B19,input_397010!L:R,7,FALSE),VLOOKUP(tables_397010!C19,input_397010!A:H,8,FALSE))</f>
        <v>576</v>
      </c>
      <c r="P19" s="46">
        <f t="shared" ca="1" si="1"/>
        <v>2.2068965517106048E-5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input_397010!A$2</f>
        <v>397010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IFERROR(VLOOKUP(B20,input_397010!L:R,7,FALSE),VLOOKUP(tables_397010!C20,input_397010!A:H,8,FALSE))</f>
        <v>259524</v>
      </c>
      <c r="P20" s="46">
        <f t="shared" ca="1" si="1"/>
        <v>9.9434482758010943E-3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input_397010!A$2</f>
        <v>397010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IFERROR(VLOOKUP(B21,input_397010!L:R,7,FALSE),VLOOKUP(tables_397010!C21,input_397010!A:H,8,FALSE))</f>
        <v>576</v>
      </c>
      <c r="P21" s="46">
        <f t="shared" ca="1" si="1"/>
        <v>2.2068965517106048E-5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input_397010!A$2</f>
        <v>397010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IFERROR(VLOOKUP(B22,input_397010!L:R,7,FALSE),VLOOKUP(tables_397010!C22,input_397010!A:H,8,FALSE))</f>
        <v>259524</v>
      </c>
      <c r="P22" s="46">
        <f t="shared" ca="1" si="1"/>
        <v>9.9434482758010943E-3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input_397010!A$2</f>
        <v>397010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IFERROR(VLOOKUP(B23,input_397010!L:R,7,FALSE),VLOOKUP(tables_397010!C23,input_397010!A:H,8,FALSE))</f>
        <v>576</v>
      </c>
      <c r="P23" s="46">
        <f t="shared" ca="1" si="1"/>
        <v>2.2068965517106048E-5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input_397010!A$2</f>
        <v>397010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IFERROR(VLOOKUP(B24,input_397010!L:R,7,FALSE),VLOOKUP(tables_397010!C24,input_397010!A:H,8,FALSE))</f>
        <v>259524</v>
      </c>
      <c r="P24" s="46">
        <f t="shared" ca="1" si="1"/>
        <v>9.9434482758010943E-3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input_397010!A$2</f>
        <v>397010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IFERROR(VLOOKUP(B25,input_397010!L:R,7,FALSE),VLOOKUP(tables_397010!C25,input_397010!A:H,8,FALSE))</f>
        <v>576</v>
      </c>
      <c r="P25" s="46">
        <f t="shared" ca="1" si="1"/>
        <v>2.2068965517106048E-5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input_397010!A$2</f>
        <v>397010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IFERROR(VLOOKUP(B26,input_397010!L:R,7,FALSE),VLOOKUP(tables_397010!C26,input_397010!A:H,8,FALSE))</f>
        <v>259524</v>
      </c>
      <c r="P26" s="46">
        <f t="shared" ca="1" si="1"/>
        <v>9.9434482758010943E-3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input_397010!A$2</f>
        <v>397010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IFERROR(VLOOKUP(B27,input_397010!L:R,7,FALSE),VLOOKUP(tables_397010!C27,input_397010!A:H,8,FALSE))</f>
        <v>576</v>
      </c>
      <c r="P27" s="46">
        <f t="shared" ca="1" si="1"/>
        <v>2.2068965517106048E-5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input_397010!A$2</f>
        <v>397010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IFERROR(VLOOKUP(B28,input_397010!L:R,7,FALSE),VLOOKUP(tables_397010!C28,input_397010!A:H,8,FALSE))</f>
        <v>259524</v>
      </c>
      <c r="P28" s="46">
        <f t="shared" ca="1" si="1"/>
        <v>9.9434482758010943E-3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input_397010!A$2</f>
        <v>397010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IFERROR(VLOOKUP(B29,input_397010!L:R,7,FALSE),VLOOKUP(tables_397010!C29,input_397010!A:H,8,FALSE))</f>
        <v>576</v>
      </c>
      <c r="P29" s="46">
        <f t="shared" ca="1" si="1"/>
        <v>2.2068965517106048E-5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input_397010!A$2</f>
        <v>397010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IFERROR(VLOOKUP(B30,input_397010!L:R,7,FALSE),VLOOKUP(tables_397010!C30,input_397010!A:H,8,FALSE))</f>
        <v>259524</v>
      </c>
      <c r="P30" s="46">
        <f t="shared" ca="1" si="1"/>
        <v>9.9434482758010943E-3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input_397010!A$2</f>
        <v>397010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IFERROR(VLOOKUP(B31,input_397010!L:R,7,FALSE),VLOOKUP(tables_397010!C31,input_397010!A:H,8,FALSE))</f>
        <v>576</v>
      </c>
      <c r="P31" s="46">
        <f t="shared" ca="1" si="1"/>
        <v>2.2068965517106048E-5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input_397010!A$2</f>
        <v>397010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IFERROR(VLOOKUP(B32,input_397010!L:R,7,FALSE),VLOOKUP(tables_397010!C32,input_397010!A:H,8,FALSE))</f>
        <v>259524</v>
      </c>
      <c r="P32" s="46">
        <f t="shared" ca="1" si="1"/>
        <v>9.9434482758010943E-3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input_397010!A$2</f>
        <v>397010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IFERROR(VLOOKUP(B33,input_397010!L:R,7,FALSE),VLOOKUP(tables_397010!C33,input_397010!A:H,8,FALSE))</f>
        <v>576</v>
      </c>
      <c r="P33" s="46">
        <f t="shared" ca="1" si="1"/>
        <v>2.2068965517106048E-5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input_397010!A$2</f>
        <v>397010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IFERROR(VLOOKUP(B34,input_397010!L:R,7,FALSE),VLOOKUP(tables_397010!C34,input_397010!A:H,8,FALSE))</f>
        <v>259524</v>
      </c>
      <c r="P34" s="46">
        <f t="shared" ca="1" si="1"/>
        <v>9.9434482758010943E-3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input_397010!A$2</f>
        <v>397010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IFERROR(VLOOKUP(B35,input_397010!L:R,7,FALSE),VLOOKUP(tables_397010!C35,input_397010!A:H,8,FALSE))</f>
        <v>576</v>
      </c>
      <c r="P35" s="46">
        <f t="shared" ca="1" si="1"/>
        <v>2.2068965517106048E-5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input_397010!A$2</f>
        <v>397010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IFERROR(VLOOKUP(B36,input_397010!L:R,7,FALSE),VLOOKUP(tables_397010!C36,input_397010!A:H,8,FALSE))</f>
        <v>259524</v>
      </c>
      <c r="P36" s="46">
        <f t="shared" ca="1" si="1"/>
        <v>9.9434482758010943E-3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input_397010!A$2</f>
        <v>397010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IFERROR(VLOOKUP(B37,input_397010!L:R,7,FALSE),VLOOKUP(tables_397010!C37,input_397010!A:H,8,FALSE))</f>
        <v>576</v>
      </c>
      <c r="P37" s="46">
        <f t="shared" ca="1" si="1"/>
        <v>2.2068965517106048E-5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input_397010!A$2</f>
        <v>397010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IFERROR(VLOOKUP(B38,input_397010!L:R,7,FALSE),VLOOKUP(tables_397010!C38,input_397010!A:H,8,FALSE))</f>
        <v>259524</v>
      </c>
      <c r="P38" s="46">
        <f t="shared" ca="1" si="1"/>
        <v>9.9434482758010943E-3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input_397010!A$2</f>
        <v>397010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IFERROR(VLOOKUP(B39,input_397010!L:R,7,FALSE),VLOOKUP(tables_397010!C39,input_397010!A:H,8,FALSE))</f>
        <v>576</v>
      </c>
      <c r="P39" s="46">
        <f t="shared" ca="1" si="1"/>
        <v>2.2068965517106048E-5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input_397010!A$2</f>
        <v>397010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IFERROR(VLOOKUP(B40,input_397010!L:R,7,FALSE),VLOOKUP(tables_397010!C40,input_397010!A:H,8,FALSE))</f>
        <v>259524</v>
      </c>
      <c r="P40" s="46">
        <f t="shared" ca="1" si="1"/>
        <v>9.9434482758010943E-3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input_397010!A$2</f>
        <v>397010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IFERROR(VLOOKUP(B41,input_397010!L:R,7,FALSE),VLOOKUP(tables_397010!C41,input_397010!A:H,8,FALSE))</f>
        <v>576</v>
      </c>
      <c r="P41" s="46">
        <f t="shared" ca="1" si="1"/>
        <v>2.2068965517106048E-5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input_397010!A$2</f>
        <v>397010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IFERROR(VLOOKUP(B42,input_397010!L:R,7,FALSE),VLOOKUP(tables_397010!C42,input_397010!A:H,8,FALSE))</f>
        <v>117045</v>
      </c>
      <c r="P42" s="46">
        <f t="shared" ca="1" si="1"/>
        <v>4.4844827585931897E-3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input_397010!A$2</f>
        <v>397010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IFERROR(VLOOKUP(B43,input_397010!L:R,7,FALSE),VLOOKUP(tables_397010!C43,input_397010!A:H,8,FALSE))</f>
        <v>117045</v>
      </c>
      <c r="P43" s="46">
        <f t="shared" ca="1" si="1"/>
        <v>4.4844827585931897E-3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input_397010!A$2</f>
        <v>397010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IFERROR(VLOOKUP(B44,input_397010!L:R,7,FALSE),VLOOKUP(tables_397010!C44,input_397010!A:H,8,FALSE))</f>
        <v>12705.885</v>
      </c>
      <c r="P44" s="46">
        <f t="shared" ca="1" si="1"/>
        <v>4.8681551723839408E-4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input_397010!A$2</f>
        <v>397010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IFERROR(VLOOKUP(B45,input_397010!L:R,7,FALSE),VLOOKUP(tables_397010!C45,input_397010!A:H,8,FALSE))</f>
        <v>117045</v>
      </c>
      <c r="P45" s="46">
        <f t="shared" ca="1" si="1"/>
        <v>4.4844827585931897E-3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input_397010!A$2</f>
        <v>397010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IFERROR(VLOOKUP(B46,input_397010!L:R,7,FALSE),VLOOKUP(tables_397010!C46,input_397010!A:H,8,FALSE))</f>
        <v>117045</v>
      </c>
      <c r="P46" s="46">
        <f t="shared" ca="1" si="1"/>
        <v>4.4844827585931897E-3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input_397010!A$2</f>
        <v>397010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IFERROR(VLOOKUP(B47,input_397010!L:R,7,FALSE),VLOOKUP(tables_397010!C47,input_397010!A:H,8,FALSE))</f>
        <v>12705.885</v>
      </c>
      <c r="P47" s="46">
        <f t="shared" ca="1" si="1"/>
        <v>4.8681551723839408E-4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input_397010!A$2</f>
        <v>397010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IFERROR(VLOOKUP(B48,input_397010!L:R,7,FALSE),VLOOKUP(tables_397010!C48,input_397010!A:H,8,FALSE))</f>
        <v>117045</v>
      </c>
      <c r="P48" s="46">
        <f t="shared" ca="1" si="1"/>
        <v>4.4844827585931897E-3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input_397010!A$2</f>
        <v>397010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IFERROR(VLOOKUP(B49,input_397010!L:R,7,FALSE),VLOOKUP(tables_397010!C49,input_397010!A:H,8,FALSE))</f>
        <v>117045</v>
      </c>
      <c r="P49" s="46">
        <f t="shared" ca="1" si="1"/>
        <v>4.4844827585931897E-3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input_397010!A$2</f>
        <v>397010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IFERROR(VLOOKUP(B50,input_397010!L:R,7,FALSE),VLOOKUP(tables_397010!C50,input_397010!A:H,8,FALSE))</f>
        <v>12705.885</v>
      </c>
      <c r="P50" s="46">
        <f t="shared" ca="1" si="1"/>
        <v>4.8681551723839408E-4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input_397010!A$2</f>
        <v>397010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IFERROR(VLOOKUP(B51,input_397010!L:R,7,FALSE),VLOOKUP(tables_397010!C51,input_397010!A:H,8,FALSE))</f>
        <v>117045</v>
      </c>
      <c r="P51" s="46">
        <f t="shared" ca="1" si="1"/>
        <v>4.4844827585931897E-3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input_397010!A$2</f>
        <v>397010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IFERROR(VLOOKUP(B52,input_397010!L:R,7,FALSE),VLOOKUP(tables_397010!C52,input_397010!A:H,8,FALSE))</f>
        <v>131420.43208</v>
      </c>
      <c r="P52" s="46">
        <f t="shared" ca="1" si="1"/>
        <v>5.0352655969039886E-3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input_397010!A$2</f>
        <v>397010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IFERROR(VLOOKUP(B53,input_397010!L:R,7,FALSE),VLOOKUP(tables_397010!C53,input_397010!A:H,8,FALSE))</f>
        <v>12705.885</v>
      </c>
      <c r="P53" s="46">
        <f t="shared" ca="1" si="1"/>
        <v>4.8681551723839408E-4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input_397010!A$2</f>
        <v>397010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IFERROR(VLOOKUP(B54,input_397010!L:R,7,FALSE),VLOOKUP(tables_397010!C54,input_397010!A:H,8,FALSE))</f>
        <v>117045</v>
      </c>
      <c r="P54" s="46">
        <f t="shared" ca="1" si="1"/>
        <v>4.4844827585931897E-3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input_397010!A$2</f>
        <v>397010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IFERROR(VLOOKUP(B55,input_397010!L:R,7,FALSE),VLOOKUP(tables_397010!C55,input_397010!A:H,8,FALSE))</f>
        <v>131420.43208</v>
      </c>
      <c r="P55" s="46">
        <f t="shared" ca="1" si="1"/>
        <v>5.0352655969039886E-3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input_397010!A$2</f>
        <v>397010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IFERROR(VLOOKUP(B56,input_397010!L:R,7,FALSE),VLOOKUP(tables_397010!C56,input_397010!A:H,8,FALSE))</f>
        <v>12705.885</v>
      </c>
      <c r="P56" s="46">
        <f t="shared" ca="1" si="1"/>
        <v>4.8681551723839408E-4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input_397010!A$2</f>
        <v>397010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IFERROR(VLOOKUP(B57,input_397010!L:R,7,FALSE),VLOOKUP(tables_397010!C57,input_397010!A:H,8,FALSE))</f>
        <v>117045</v>
      </c>
      <c r="P57" s="46">
        <f t="shared" ca="1" si="1"/>
        <v>4.4844827585931897E-3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input_397010!A$2</f>
        <v>397010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IFERROR(VLOOKUP(B58,input_397010!L:R,7,FALSE),VLOOKUP(tables_397010!C58,input_397010!A:H,8,FALSE))</f>
        <v>131420.43208</v>
      </c>
      <c r="P58" s="46">
        <f t="shared" ca="1" si="1"/>
        <v>5.0352655969039886E-3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input_397010!A$2</f>
        <v>397010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IFERROR(VLOOKUP(B59,input_397010!L:R,7,FALSE),VLOOKUP(tables_397010!C59,input_397010!A:H,8,FALSE))</f>
        <v>12705.885</v>
      </c>
      <c r="P59" s="46">
        <f t="shared" ca="1" si="1"/>
        <v>4.8681551723839408E-4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input_397010!A$2</f>
        <v>397010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IFERROR(VLOOKUP(B60,input_397010!L:R,7,FALSE),VLOOKUP(tables_397010!C60,input_397010!A:H,8,FALSE))</f>
        <v>117045</v>
      </c>
      <c r="P60" s="46">
        <f t="shared" ca="1" si="1"/>
        <v>4.4844827585931897E-3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input_397010!A$2</f>
        <v>397010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IFERROR(VLOOKUP(B61,input_397010!L:R,7,FALSE),VLOOKUP(tables_397010!C61,input_397010!A:H,8,FALSE))</f>
        <v>131420.43208</v>
      </c>
      <c r="P61" s="46">
        <f t="shared" ca="1" si="1"/>
        <v>5.0352655969039886E-3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input_397010!A$2</f>
        <v>397010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IFERROR(VLOOKUP(B62,input_397010!L:R,7,FALSE),VLOOKUP(tables_397010!C62,input_397010!A:H,8,FALSE))</f>
        <v>12705.885</v>
      </c>
      <c r="P62" s="46">
        <f t="shared" ca="1" si="1"/>
        <v>4.8681551723839408E-4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input_397010!A$2</f>
        <v>397010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IFERROR(VLOOKUP(B63,input_397010!L:R,7,FALSE),VLOOKUP(tables_397010!C63,input_397010!A:H,8,FALSE))</f>
        <v>117045</v>
      </c>
      <c r="P63" s="46">
        <f t="shared" ca="1" si="1"/>
        <v>4.4844827585931897E-3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input_397010!A$2</f>
        <v>397010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IFERROR(VLOOKUP(B64,input_397010!L:R,7,FALSE),VLOOKUP(tables_397010!C64,input_397010!A:H,8,FALSE))</f>
        <v>131420.43208</v>
      </c>
      <c r="P64" s="46">
        <f t="shared" ca="1" si="1"/>
        <v>5.0352655969039886E-3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input_397010!A$2</f>
        <v>397010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IFERROR(VLOOKUP(B65,input_397010!L:R,7,FALSE),VLOOKUP(tables_397010!C65,input_397010!A:H,8,FALSE))</f>
        <v>12705.885</v>
      </c>
      <c r="P65" s="46">
        <f t="shared" ca="1" si="1"/>
        <v>4.8681551723839408E-4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input_397010!A$2</f>
        <v>397010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IFERROR(VLOOKUP(B66,input_397010!L:R,7,FALSE),VLOOKUP(tables_397010!C66,input_397010!A:H,8,FALSE))</f>
        <v>117045</v>
      </c>
      <c r="P66" s="46">
        <f t="shared" ref="P66:P129" ca="1" si="4">O66/SUM(O:O)</f>
        <v>4.4844827585931897E-3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input_397010!A$2</f>
        <v>397010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IFERROR(VLOOKUP(B67,input_397010!L:R,7,FALSE),VLOOKUP(tables_397010!C67,input_397010!A:H,8,FALSE))</f>
        <v>131420.43208</v>
      </c>
      <c r="P67" s="46">
        <f t="shared" ca="1" si="4"/>
        <v>5.0352655969039886E-3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input_397010!A$2</f>
        <v>397010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IFERROR(VLOOKUP(B68,input_397010!L:R,7,FALSE),VLOOKUP(tables_397010!C68,input_397010!A:H,8,FALSE))</f>
        <v>12705.885</v>
      </c>
      <c r="P68" s="46">
        <f t="shared" ca="1" si="4"/>
        <v>4.8681551723839408E-4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input_397010!A$2</f>
        <v>397010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IFERROR(VLOOKUP(B69,input_397010!L:R,7,FALSE),VLOOKUP(tables_397010!C69,input_397010!A:H,8,FALSE))</f>
        <v>117045</v>
      </c>
      <c r="P69" s="46">
        <f t="shared" ca="1" si="4"/>
        <v>4.4844827585931897E-3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input_397010!A$2</f>
        <v>397010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IFERROR(VLOOKUP(B70,input_397010!L:R,7,FALSE),VLOOKUP(tables_397010!C70,input_397010!A:H,8,FALSE))</f>
        <v>131420.43208</v>
      </c>
      <c r="P70" s="46">
        <f t="shared" ca="1" si="4"/>
        <v>5.0352655969039886E-3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input_397010!A$2</f>
        <v>397010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IFERROR(VLOOKUP(B71,input_397010!L:R,7,FALSE),VLOOKUP(tables_397010!C71,input_397010!A:H,8,FALSE))</f>
        <v>12705.885</v>
      </c>
      <c r="P71" s="46">
        <f t="shared" ca="1" si="4"/>
        <v>4.8681551723839408E-4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input_397010!A$2</f>
        <v>397010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IFERROR(VLOOKUP(B72,input_397010!L:R,7,FALSE),VLOOKUP(tables_397010!C72,input_397010!A:H,8,FALSE))</f>
        <v>117045</v>
      </c>
      <c r="P72" s="46">
        <f t="shared" ca="1" si="4"/>
        <v>4.4844827585931897E-3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input_397010!A$2</f>
        <v>397010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IFERROR(VLOOKUP(B73,input_397010!L:R,7,FALSE),VLOOKUP(tables_397010!C73,input_397010!A:H,8,FALSE))</f>
        <v>131420.43208</v>
      </c>
      <c r="P73" s="46">
        <f t="shared" ca="1" si="4"/>
        <v>5.0352655969039886E-3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input_397010!A$2</f>
        <v>397010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IFERROR(VLOOKUP(B74,input_397010!L:R,7,FALSE),VLOOKUP(tables_397010!C74,input_397010!A:H,8,FALSE))</f>
        <v>12705.885</v>
      </c>
      <c r="P74" s="46">
        <f t="shared" ca="1" si="4"/>
        <v>4.8681551723839408E-4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input_397010!A$2</f>
        <v>397010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IFERROR(VLOOKUP(B75,input_397010!L:R,7,FALSE),VLOOKUP(tables_397010!C75,input_397010!A:H,8,FALSE))</f>
        <v>117045</v>
      </c>
      <c r="P75" s="46">
        <f t="shared" ca="1" si="4"/>
        <v>4.4844827585931897E-3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input_397010!A$2</f>
        <v>397010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IFERROR(VLOOKUP(B76,input_397010!L:R,7,FALSE),VLOOKUP(tables_397010!C76,input_397010!A:H,8,FALSE))</f>
        <v>131420.43208</v>
      </c>
      <c r="P76" s="46">
        <f t="shared" ca="1" si="4"/>
        <v>5.0352655969039886E-3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input_397010!A$2</f>
        <v>397010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IFERROR(VLOOKUP(B77,input_397010!L:R,7,FALSE),VLOOKUP(tables_397010!C77,input_397010!A:H,8,FALSE))</f>
        <v>12705.885</v>
      </c>
      <c r="P77" s="46">
        <f t="shared" ca="1" si="4"/>
        <v>4.8681551723839408E-4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input_397010!A$2</f>
        <v>397010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IFERROR(VLOOKUP(B78,input_397010!L:R,7,FALSE),VLOOKUP(tables_397010!C78,input_397010!A:H,8,FALSE))</f>
        <v>117045</v>
      </c>
      <c r="P78" s="46">
        <f t="shared" ca="1" si="4"/>
        <v>4.4844827585931897E-3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input_397010!A$2</f>
        <v>397010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IFERROR(VLOOKUP(B79,input_397010!L:R,7,FALSE),VLOOKUP(tables_397010!C79,input_397010!A:H,8,FALSE))</f>
        <v>131420.43208</v>
      </c>
      <c r="P79" s="46">
        <f t="shared" ca="1" si="4"/>
        <v>5.0352655969039886E-3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input_397010!A$2</f>
        <v>397010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IFERROR(VLOOKUP(B80,input_397010!L:R,7,FALSE),VLOOKUP(tables_397010!C80,input_397010!A:H,8,FALSE))</f>
        <v>12705.885</v>
      </c>
      <c r="P80" s="46">
        <f t="shared" ca="1" si="4"/>
        <v>4.8681551723839408E-4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input_397010!A$2</f>
        <v>397010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IFERROR(VLOOKUP(B81,input_397010!L:R,7,FALSE),VLOOKUP(tables_397010!C81,input_397010!A:H,8,FALSE))</f>
        <v>117045</v>
      </c>
      <c r="P81" s="46">
        <f t="shared" ca="1" si="4"/>
        <v>4.4844827585931897E-3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input_397010!A$2</f>
        <v>397010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IFERROR(VLOOKUP(B82,input_397010!L:R,7,FALSE),VLOOKUP(tables_397010!C82,input_397010!A:H,8,FALSE))</f>
        <v>131420.43208</v>
      </c>
      <c r="P82" s="46">
        <f t="shared" ca="1" si="4"/>
        <v>5.0352655969039886E-3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input_397010!A$2</f>
        <v>397010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IFERROR(VLOOKUP(B83,input_397010!L:R,7,FALSE),VLOOKUP(tables_397010!C83,input_397010!A:H,8,FALSE))</f>
        <v>12705.885</v>
      </c>
      <c r="P83" s="46">
        <f t="shared" ca="1" si="4"/>
        <v>4.8681551723839408E-4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input_397010!A$2</f>
        <v>397010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IFERROR(VLOOKUP(B84,input_397010!L:R,7,FALSE),VLOOKUP(tables_397010!C84,input_397010!A:H,8,FALSE))</f>
        <v>117045</v>
      </c>
      <c r="P84" s="46">
        <f t="shared" ca="1" si="4"/>
        <v>4.4844827585931897E-3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input_397010!A$2</f>
        <v>397010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IFERROR(VLOOKUP(B85,input_397010!L:R,7,FALSE),VLOOKUP(tables_397010!C85,input_397010!A:H,8,FALSE))</f>
        <v>131420.43208</v>
      </c>
      <c r="P85" s="46">
        <f t="shared" ca="1" si="4"/>
        <v>5.0352655969039886E-3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input_397010!A$2</f>
        <v>397010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IFERROR(VLOOKUP(B86,input_397010!L:R,7,FALSE),VLOOKUP(tables_397010!C86,input_397010!A:H,8,FALSE))</f>
        <v>12705.885</v>
      </c>
      <c r="P86" s="46">
        <f t="shared" ca="1" si="4"/>
        <v>4.8681551723839408E-4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input_397010!A$2</f>
        <v>397010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IFERROR(VLOOKUP(B87,input_397010!L:R,7,FALSE),VLOOKUP(tables_397010!C87,input_397010!A:H,8,FALSE))</f>
        <v>117045</v>
      </c>
      <c r="P87" s="46">
        <f t="shared" ca="1" si="4"/>
        <v>4.4844827585931897E-3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input_397010!A$2</f>
        <v>397010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IFERROR(VLOOKUP(B88,input_397010!L:R,7,FALSE),VLOOKUP(tables_397010!C88,input_397010!A:H,8,FALSE))</f>
        <v>131420.43208</v>
      </c>
      <c r="P88" s="46">
        <f t="shared" ca="1" si="4"/>
        <v>5.0352655969039886E-3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input_397010!A$2</f>
        <v>397010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IFERROR(VLOOKUP(B89,input_397010!L:R,7,FALSE),VLOOKUP(tables_397010!C89,input_397010!A:H,8,FALSE))</f>
        <v>12705.885</v>
      </c>
      <c r="P89" s="46">
        <f t="shared" ca="1" si="4"/>
        <v>4.8681551723839408E-4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input_397010!A$2</f>
        <v>397010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IFERROR(VLOOKUP(B90,input_397010!L:R,7,FALSE),VLOOKUP(tables_397010!C90,input_397010!A:H,8,FALSE))</f>
        <v>117045</v>
      </c>
      <c r="P90" s="46">
        <f t="shared" ca="1" si="4"/>
        <v>4.4844827585931897E-3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input_397010!A$2</f>
        <v>397010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IFERROR(VLOOKUP(B91,input_397010!L:R,7,FALSE),VLOOKUP(tables_397010!C91,input_397010!A:H,8,FALSE))</f>
        <v>131420.43208</v>
      </c>
      <c r="P91" s="46">
        <f t="shared" ca="1" si="4"/>
        <v>5.0352655969039886E-3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input_397010!A$2</f>
        <v>397010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IFERROR(VLOOKUP(B92,input_397010!L:R,7,FALSE),VLOOKUP(tables_397010!C92,input_397010!A:H,8,FALSE))</f>
        <v>12705.885</v>
      </c>
      <c r="P92" s="46">
        <f t="shared" ca="1" si="4"/>
        <v>4.8681551723839408E-4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input_397010!A$2</f>
        <v>397010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IFERROR(VLOOKUP(B93,input_397010!L:R,7,FALSE),VLOOKUP(tables_397010!C93,input_397010!A:H,8,FALSE))</f>
        <v>117045</v>
      </c>
      <c r="P93" s="46">
        <f t="shared" ca="1" si="4"/>
        <v>4.4844827585931897E-3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input_397010!A$2</f>
        <v>397010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IFERROR(VLOOKUP(B94,input_397010!L:R,7,FALSE),VLOOKUP(tables_397010!C94,input_397010!A:H,8,FALSE))</f>
        <v>131420.43208</v>
      </c>
      <c r="P94" s="46">
        <f t="shared" ca="1" si="4"/>
        <v>5.0352655969039886E-3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input_397010!A$2</f>
        <v>397010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IFERROR(VLOOKUP(B95,input_397010!L:R,7,FALSE),VLOOKUP(tables_397010!C95,input_397010!A:H,8,FALSE))</f>
        <v>12705.885</v>
      </c>
      <c r="P95" s="46">
        <f t="shared" ca="1" si="4"/>
        <v>4.8681551723839408E-4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input_397010!A$2</f>
        <v>397010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IFERROR(VLOOKUP(B96,input_397010!L:R,7,FALSE),VLOOKUP(tables_397010!C96,input_397010!A:H,8,FALSE))</f>
        <v>117045</v>
      </c>
      <c r="P96" s="46">
        <f t="shared" ca="1" si="4"/>
        <v>4.4844827585931897E-3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input_397010!A$2</f>
        <v>397010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IFERROR(VLOOKUP(B97,input_397010!L:R,7,FALSE),VLOOKUP(tables_397010!C97,input_397010!A:H,8,FALSE))</f>
        <v>131420.43208</v>
      </c>
      <c r="P97" s="46">
        <f t="shared" ca="1" si="4"/>
        <v>5.0352655969039886E-3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input_397010!A$2</f>
        <v>397010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IFERROR(VLOOKUP(B98,input_397010!L:R,7,FALSE),VLOOKUP(tables_397010!C98,input_397010!A:H,8,FALSE))</f>
        <v>12705.885</v>
      </c>
      <c r="P98" s="46">
        <f t="shared" ca="1" si="4"/>
        <v>4.8681551723839408E-4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input_397010!A$2</f>
        <v>397010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IFERROR(VLOOKUP(B99,input_397010!L:R,7,FALSE),VLOOKUP(tables_397010!C99,input_397010!A:H,8,FALSE))</f>
        <v>117045</v>
      </c>
      <c r="P99" s="46">
        <f t="shared" ca="1" si="4"/>
        <v>4.4844827585931897E-3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input_397010!A$2</f>
        <v>397010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IFERROR(VLOOKUP(B100,input_397010!L:R,7,FALSE),VLOOKUP(tables_397010!C100,input_397010!A:H,8,FALSE))</f>
        <v>131420.43208</v>
      </c>
      <c r="P100" s="46">
        <f t="shared" ca="1" si="4"/>
        <v>5.0352655969039886E-3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input_397010!A$2</f>
        <v>397010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IFERROR(VLOOKUP(B101,input_397010!L:R,7,FALSE),VLOOKUP(tables_397010!C101,input_397010!A:H,8,FALSE))</f>
        <v>12705.885</v>
      </c>
      <c r="P101" s="46">
        <f t="shared" ca="1" si="4"/>
        <v>4.8681551723839408E-4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input_397010!A$2</f>
        <v>397010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IFERROR(VLOOKUP(B102,input_397010!L:R,7,FALSE),VLOOKUP(tables_397010!C102,input_397010!A:H,8,FALSE))</f>
        <v>117045</v>
      </c>
      <c r="P102" s="46">
        <f t="shared" ca="1" si="4"/>
        <v>4.4844827585931897E-3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input_397010!A$2</f>
        <v>397010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IFERROR(VLOOKUP(B103,input_397010!L:R,7,FALSE),VLOOKUP(tables_397010!C103,input_397010!A:H,8,FALSE))</f>
        <v>131420.43208</v>
      </c>
      <c r="P103" s="46">
        <f t="shared" ca="1" si="4"/>
        <v>5.0352655969039886E-3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input_397010!A$2</f>
        <v>397010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IFERROR(VLOOKUP(B104,input_397010!L:R,7,FALSE),VLOOKUP(tables_397010!C104,input_397010!A:H,8,FALSE))</f>
        <v>12705.885</v>
      </c>
      <c r="P104" s="46">
        <f t="shared" ca="1" si="4"/>
        <v>4.8681551723839408E-4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input_397010!A$2</f>
        <v>397010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IFERROR(VLOOKUP(B105,input_397010!L:R,7,FALSE),VLOOKUP(tables_397010!C105,input_397010!A:H,8,FALSE))</f>
        <v>117045</v>
      </c>
      <c r="P105" s="46">
        <f t="shared" ca="1" si="4"/>
        <v>4.4844827585931897E-3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input_397010!A$2</f>
        <v>397010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IFERROR(VLOOKUP(B106,input_397010!L:R,7,FALSE),VLOOKUP(tables_397010!C106,input_397010!A:H,8,FALSE))</f>
        <v>131420.43208</v>
      </c>
      <c r="P106" s="46">
        <f t="shared" ca="1" si="4"/>
        <v>5.0352655969039886E-3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input_397010!A$2</f>
        <v>397010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IFERROR(VLOOKUP(B107,input_397010!L:R,7,FALSE),VLOOKUP(tables_397010!C107,input_397010!A:H,8,FALSE))</f>
        <v>12705.885</v>
      </c>
      <c r="P107" s="46">
        <f t="shared" ca="1" si="4"/>
        <v>4.8681551723839408E-4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input_397010!A$2</f>
        <v>397010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IFERROR(VLOOKUP(B108,input_397010!L:R,7,FALSE),VLOOKUP(tables_397010!C108,input_397010!A:H,8,FALSE))</f>
        <v>117045</v>
      </c>
      <c r="P108" s="46">
        <f t="shared" ca="1" si="4"/>
        <v>4.4844827585931897E-3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input_397010!A$2</f>
        <v>397010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IFERROR(VLOOKUP(B109,input_397010!L:R,7,FALSE),VLOOKUP(tables_397010!C109,input_397010!A:H,8,FALSE))</f>
        <v>131420.43208</v>
      </c>
      <c r="P109" s="46">
        <f t="shared" ca="1" si="4"/>
        <v>5.0352655969039886E-3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input_397010!A$2</f>
        <v>397010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IFERROR(VLOOKUP(B110,input_397010!L:R,7,FALSE),VLOOKUP(tables_397010!C110,input_397010!A:H,8,FALSE))</f>
        <v>12705.885</v>
      </c>
      <c r="P110" s="46">
        <f t="shared" ca="1" si="4"/>
        <v>4.8681551723839408E-4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input_397010!A$2</f>
        <v>397010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IFERROR(VLOOKUP(B111,input_397010!L:R,7,FALSE),VLOOKUP(tables_397010!C111,input_397010!A:H,8,FALSE))</f>
        <v>117045</v>
      </c>
      <c r="P111" s="46">
        <f t="shared" ca="1" si="4"/>
        <v>4.4844827585931897E-3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input_397010!A$2</f>
        <v>397010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IFERROR(VLOOKUP(B112,input_397010!L:R,7,FALSE),VLOOKUP(tables_397010!C112,input_397010!A:H,8,FALSE))</f>
        <v>117045</v>
      </c>
      <c r="P112" s="46">
        <f t="shared" ca="1" si="4"/>
        <v>4.4844827585931897E-3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input_397010!A$2</f>
        <v>397010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IFERROR(VLOOKUP(B113,input_397010!L:R,7,FALSE),VLOOKUP(tables_397010!C113,input_397010!A:H,8,FALSE))</f>
        <v>12705.885</v>
      </c>
      <c r="P113" s="46">
        <f t="shared" ca="1" si="4"/>
        <v>4.8681551723839408E-4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input_397010!A$2</f>
        <v>397010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IFERROR(VLOOKUP(B114,input_397010!L:R,7,FALSE),VLOOKUP(tables_397010!C114,input_397010!A:H,8,FALSE))</f>
        <v>117045</v>
      </c>
      <c r="P114" s="46">
        <f t="shared" ca="1" si="4"/>
        <v>4.4844827585931897E-3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input_397010!A$2</f>
        <v>397010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IFERROR(VLOOKUP(B115,input_397010!L:R,7,FALSE),VLOOKUP(tables_397010!C115,input_397010!A:H,8,FALSE))</f>
        <v>131420.43208</v>
      </c>
      <c r="P115" s="46">
        <f t="shared" ca="1" si="4"/>
        <v>5.0352655969039886E-3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input_397010!A$2</f>
        <v>397010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IFERROR(VLOOKUP(B116,input_397010!L:R,7,FALSE),VLOOKUP(tables_397010!C116,input_397010!A:H,8,FALSE))</f>
        <v>12705.885</v>
      </c>
      <c r="P116" s="46">
        <f t="shared" ca="1" si="4"/>
        <v>4.8681551723839408E-4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input_397010!A$2</f>
        <v>397010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IFERROR(VLOOKUP(B117,input_397010!L:R,7,FALSE),VLOOKUP(tables_397010!C117,input_397010!A:H,8,FALSE))</f>
        <v>117045</v>
      </c>
      <c r="P117" s="46">
        <f t="shared" ca="1" si="4"/>
        <v>4.4844827585931897E-3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input_397010!A$2</f>
        <v>397010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IFERROR(VLOOKUP(B118,input_397010!L:R,7,FALSE),VLOOKUP(tables_397010!C118,input_397010!A:H,8,FALSE))</f>
        <v>131420.43208</v>
      </c>
      <c r="P118" s="46">
        <f t="shared" ca="1" si="4"/>
        <v>5.0352655969039886E-3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input_397010!A$2</f>
        <v>397010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IFERROR(VLOOKUP(B119,input_397010!L:R,7,FALSE),VLOOKUP(tables_397010!C119,input_397010!A:H,8,FALSE))</f>
        <v>12705.885</v>
      </c>
      <c r="P119" s="46">
        <f t="shared" ca="1" si="4"/>
        <v>4.8681551723839408E-4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input_397010!A$2</f>
        <v>397010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IFERROR(VLOOKUP(B120,input_397010!L:R,7,FALSE),VLOOKUP(tables_397010!C120,input_397010!A:H,8,FALSE))</f>
        <v>117045</v>
      </c>
      <c r="P120" s="46">
        <f t="shared" ca="1" si="4"/>
        <v>4.4844827585931897E-3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input_397010!A$2</f>
        <v>397010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IFERROR(VLOOKUP(B121,input_397010!L:R,7,FALSE),VLOOKUP(tables_397010!C121,input_397010!A:H,8,FALSE))</f>
        <v>131420.43208</v>
      </c>
      <c r="P121" s="46">
        <f t="shared" ca="1" si="4"/>
        <v>5.0352655969039886E-3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input_397010!A$2</f>
        <v>397010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IFERROR(VLOOKUP(B122,input_397010!L:R,7,FALSE),VLOOKUP(tables_397010!C122,input_397010!A:H,8,FALSE))</f>
        <v>12705.885</v>
      </c>
      <c r="P122" s="46">
        <f t="shared" ca="1" si="4"/>
        <v>4.8681551723839408E-4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input_397010!A$2</f>
        <v>397010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IFERROR(VLOOKUP(B123,input_397010!L:R,7,FALSE),VLOOKUP(tables_397010!C123,input_397010!A:H,8,FALSE))</f>
        <v>117045</v>
      </c>
      <c r="P123" s="46">
        <f t="shared" ca="1" si="4"/>
        <v>4.4844827585931897E-3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input_397010!A$2</f>
        <v>397010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IFERROR(VLOOKUP(B124,input_397010!L:R,7,FALSE),VLOOKUP(tables_397010!C124,input_397010!A:H,8,FALSE))</f>
        <v>131420.43208</v>
      </c>
      <c r="P124" s="46">
        <f t="shared" ca="1" si="4"/>
        <v>5.0352655969039886E-3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input_397010!A$2</f>
        <v>397010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IFERROR(VLOOKUP(B125,input_397010!L:R,7,FALSE),VLOOKUP(tables_397010!C125,input_397010!A:H,8,FALSE))</f>
        <v>12705.885</v>
      </c>
      <c r="P125" s="46">
        <f t="shared" ca="1" si="4"/>
        <v>4.8681551723839408E-4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input_397010!A$2</f>
        <v>397010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IFERROR(VLOOKUP(B126,input_397010!L:R,7,FALSE),VLOOKUP(tables_397010!C126,input_397010!A:H,8,FALSE))</f>
        <v>117045</v>
      </c>
      <c r="P126" s="46">
        <f t="shared" ca="1" si="4"/>
        <v>4.4844827585931897E-3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input_397010!A$2</f>
        <v>397010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IFERROR(VLOOKUP(B127,input_397010!L:R,7,FALSE),VLOOKUP(tables_397010!C127,input_397010!A:H,8,FALSE))</f>
        <v>131420.43208</v>
      </c>
      <c r="P127" s="46">
        <f t="shared" ca="1" si="4"/>
        <v>5.0352655969039886E-3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input_397010!A$2</f>
        <v>397010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IFERROR(VLOOKUP(B128,input_397010!L:R,7,FALSE),VLOOKUP(tables_397010!C128,input_397010!A:H,8,FALSE))</f>
        <v>12705.885</v>
      </c>
      <c r="P128" s="46">
        <f t="shared" ca="1" si="4"/>
        <v>4.8681551723839408E-4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input_397010!A$2</f>
        <v>397010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IFERROR(VLOOKUP(B129,input_397010!L:R,7,FALSE),VLOOKUP(tables_397010!C129,input_397010!A:H,8,FALSE))</f>
        <v>117045</v>
      </c>
      <c r="P129" s="46">
        <f t="shared" ca="1" si="4"/>
        <v>4.4844827585931897E-3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input_397010!A$2</f>
        <v>397010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IFERROR(VLOOKUP(B130,input_397010!L:R,7,FALSE),VLOOKUP(tables_397010!C130,input_397010!A:H,8,FALSE))</f>
        <v>131420.43208</v>
      </c>
      <c r="P130" s="46">
        <f t="shared" ref="P130:P193" ca="1" si="7">O130/SUM(O:O)</f>
        <v>5.0352655969039886E-3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input_397010!A$2</f>
        <v>397010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IFERROR(VLOOKUP(B131,input_397010!L:R,7,FALSE),VLOOKUP(tables_397010!C131,input_397010!A:H,8,FALSE))</f>
        <v>12705.885</v>
      </c>
      <c r="P131" s="46">
        <f t="shared" ca="1" si="7"/>
        <v>4.8681551723839408E-4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input_397010!A$2</f>
        <v>397010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IFERROR(VLOOKUP(B132,input_397010!L:R,7,FALSE),VLOOKUP(tables_397010!C132,input_397010!A:H,8,FALSE))</f>
        <v>117045</v>
      </c>
      <c r="P132" s="46">
        <f t="shared" ca="1" si="7"/>
        <v>4.4844827585931897E-3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input_397010!A$2</f>
        <v>397010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IFERROR(VLOOKUP(B133,input_397010!L:R,7,FALSE),VLOOKUP(tables_397010!C133,input_397010!A:H,8,FALSE))</f>
        <v>131420.43208</v>
      </c>
      <c r="P133" s="46">
        <f t="shared" ca="1" si="7"/>
        <v>5.0352655969039886E-3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input_397010!A$2</f>
        <v>397010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IFERROR(VLOOKUP(B134,input_397010!L:R,7,FALSE),VLOOKUP(tables_397010!C134,input_397010!A:H,8,FALSE))</f>
        <v>12705.885</v>
      </c>
      <c r="P134" s="46">
        <f t="shared" ca="1" si="7"/>
        <v>4.8681551723839408E-4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input_397010!A$2</f>
        <v>397010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IFERROR(VLOOKUP(B135,input_397010!L:R,7,FALSE),VLOOKUP(tables_397010!C135,input_397010!A:H,8,FALSE))</f>
        <v>117045</v>
      </c>
      <c r="P135" s="46">
        <f t="shared" ca="1" si="7"/>
        <v>4.4844827585931897E-3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input_397010!A$2</f>
        <v>397010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IFERROR(VLOOKUP(B136,input_397010!L:R,7,FALSE),VLOOKUP(tables_397010!C136,input_397010!A:H,8,FALSE))</f>
        <v>131420.43208</v>
      </c>
      <c r="P136" s="46">
        <f t="shared" ca="1" si="7"/>
        <v>5.0352655969039886E-3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input_397010!A$2</f>
        <v>397010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IFERROR(VLOOKUP(B137,input_397010!L:R,7,FALSE),VLOOKUP(tables_397010!C137,input_397010!A:H,8,FALSE))</f>
        <v>12705.885</v>
      </c>
      <c r="P137" s="46">
        <f t="shared" ca="1" si="7"/>
        <v>4.8681551723839408E-4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input_397010!A$2</f>
        <v>397010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IFERROR(VLOOKUP(B138,input_397010!L:R,7,FALSE),VLOOKUP(tables_397010!C138,input_397010!A:H,8,FALSE))</f>
        <v>1566</v>
      </c>
      <c r="P138" s="46">
        <f t="shared" ca="1" si="7"/>
        <v>5.9999999999632071E-5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input_397010!A$2</f>
        <v>397010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IFERROR(VLOOKUP(B139,input_397010!L:R,7,FALSE),VLOOKUP(tables_397010!C139,input_397010!A:H,8,FALSE))</f>
        <v>84.998999999999995</v>
      </c>
      <c r="P139" s="46">
        <f t="shared" ca="1" si="7"/>
        <v>3.2566666666466962E-6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input_397010!A$2</f>
        <v>397010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IFERROR(VLOOKUP(B140,input_397010!L:R,7,FALSE),VLOOKUP(tables_397010!C140,input_397010!A:H,8,FALSE))</f>
        <v>1566</v>
      </c>
      <c r="P140" s="46">
        <f t="shared" ca="1" si="7"/>
        <v>5.9999999999632071E-5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input_397010!A$2</f>
        <v>397010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IFERROR(VLOOKUP(B141,input_397010!L:R,7,FALSE),VLOOKUP(tables_397010!C141,input_397010!A:H,8,FALSE))</f>
        <v>84.998999999999995</v>
      </c>
      <c r="P141" s="46">
        <f t="shared" ca="1" si="7"/>
        <v>3.2566666666466962E-6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input_397010!A$2</f>
        <v>397010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IFERROR(VLOOKUP(B142,input_397010!L:R,7,FALSE),VLOOKUP(tables_397010!C142,input_397010!A:H,8,FALSE))</f>
        <v>1566</v>
      </c>
      <c r="P142" s="46">
        <f t="shared" ca="1" si="7"/>
        <v>5.9999999999632071E-5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input_397010!A$2</f>
        <v>397010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IFERROR(VLOOKUP(B143,input_397010!L:R,7,FALSE),VLOOKUP(tables_397010!C143,input_397010!A:H,8,FALSE))</f>
        <v>84.998999999999995</v>
      </c>
      <c r="P143" s="46">
        <f t="shared" ca="1" si="7"/>
        <v>3.2566666666466962E-6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input_397010!A$2</f>
        <v>397010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IFERROR(VLOOKUP(B144,input_397010!L:R,7,FALSE),VLOOKUP(tables_397010!C144,input_397010!A:H,8,FALSE))</f>
        <v>1566</v>
      </c>
      <c r="P144" s="46">
        <f t="shared" ca="1" si="7"/>
        <v>5.9999999999632071E-5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input_397010!A$2</f>
        <v>397010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IFERROR(VLOOKUP(B145,input_397010!L:R,7,FALSE),VLOOKUP(tables_397010!C145,input_397010!A:H,8,FALSE))</f>
        <v>84.998999999999995</v>
      </c>
      <c r="P145" s="46">
        <f t="shared" ca="1" si="7"/>
        <v>3.2566666666466962E-6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input_397010!A$2</f>
        <v>397010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IFERROR(VLOOKUP(B146,input_397010!L:R,7,FALSE),VLOOKUP(tables_397010!C146,input_397010!A:H,8,FALSE))</f>
        <v>117045</v>
      </c>
      <c r="P146" s="46">
        <f t="shared" ca="1" si="7"/>
        <v>4.4844827585931897E-3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input_397010!A$2</f>
        <v>397010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IFERROR(VLOOKUP(B147,input_397010!L:R,7,FALSE),VLOOKUP(tables_397010!C147,input_397010!A:H,8,FALSE))</f>
        <v>131420.43208</v>
      </c>
      <c r="P147" s="46">
        <f t="shared" ca="1" si="7"/>
        <v>5.0352655969039886E-3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input_397010!A$2</f>
        <v>397010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IFERROR(VLOOKUP(B148,input_397010!L:R,7,FALSE),VLOOKUP(tables_397010!C148,input_397010!A:H,8,FALSE))</f>
        <v>12705.885</v>
      </c>
      <c r="P148" s="46">
        <f t="shared" ca="1" si="7"/>
        <v>4.8681551723839408E-4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input_397010!A$2</f>
        <v>397010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IFERROR(VLOOKUP(B149,input_397010!L:R,7,FALSE),VLOOKUP(tables_397010!C149,input_397010!A:H,8,FALSE))</f>
        <v>1566</v>
      </c>
      <c r="P149" s="46">
        <f t="shared" ca="1" si="7"/>
        <v>5.9999999999632071E-5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input_397010!A$2</f>
        <v>397010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IFERROR(VLOOKUP(B150,input_397010!L:R,7,FALSE),VLOOKUP(tables_397010!C150,input_397010!A:H,8,FALSE))</f>
        <v>84.998999999999995</v>
      </c>
      <c r="P150" s="46">
        <f t="shared" ca="1" si="7"/>
        <v>3.2566666666466962E-6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input_397010!A$2</f>
        <v>397010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IFERROR(VLOOKUP(B151,input_397010!L:R,7,FALSE),VLOOKUP(tables_397010!C151,input_397010!A:H,8,FALSE))</f>
        <v>1566</v>
      </c>
      <c r="P151" s="46">
        <f t="shared" ca="1" si="7"/>
        <v>5.9999999999632071E-5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input_397010!A$2</f>
        <v>397010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IFERROR(VLOOKUP(B152,input_397010!L:R,7,FALSE),VLOOKUP(tables_397010!C152,input_397010!A:H,8,FALSE))</f>
        <v>84.998999999999995</v>
      </c>
      <c r="P152" s="46">
        <f t="shared" ca="1" si="7"/>
        <v>3.2566666666466962E-6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input_397010!A$2</f>
        <v>397010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IFERROR(VLOOKUP(B153,input_397010!L:R,7,FALSE),VLOOKUP(tables_397010!C153,input_397010!A:H,8,FALSE))</f>
        <v>117045</v>
      </c>
      <c r="P153" s="46">
        <f t="shared" ca="1" si="7"/>
        <v>4.4844827585931897E-3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input_397010!A$2</f>
        <v>397010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IFERROR(VLOOKUP(B154,input_397010!L:R,7,FALSE),VLOOKUP(tables_397010!C154,input_397010!A:H,8,FALSE))</f>
        <v>131420.43208</v>
      </c>
      <c r="P154" s="46">
        <f t="shared" ca="1" si="7"/>
        <v>5.0352655969039886E-3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input_397010!A$2</f>
        <v>397010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IFERROR(VLOOKUP(B155,input_397010!L:R,7,FALSE),VLOOKUP(tables_397010!C155,input_397010!A:H,8,FALSE))</f>
        <v>12705.885</v>
      </c>
      <c r="P155" s="46">
        <f t="shared" ca="1" si="7"/>
        <v>4.8681551723839408E-4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input_397010!A$2</f>
        <v>397010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IFERROR(VLOOKUP(B156,input_397010!L:R,7,FALSE),VLOOKUP(tables_397010!C156,input_397010!A:H,8,FALSE))</f>
        <v>1566</v>
      </c>
      <c r="P156" s="46">
        <f t="shared" ca="1" si="7"/>
        <v>5.9999999999632071E-5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input_397010!A$2</f>
        <v>397010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IFERROR(VLOOKUP(B157,input_397010!L:R,7,FALSE),VLOOKUP(tables_397010!C157,input_397010!A:H,8,FALSE))</f>
        <v>84.998999999999995</v>
      </c>
      <c r="P157" s="46">
        <f t="shared" ca="1" si="7"/>
        <v>3.2566666666466962E-6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input_397010!A$2</f>
        <v>397010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IFERROR(VLOOKUP(B158,input_397010!L:R,7,FALSE),VLOOKUP(tables_397010!C158,input_397010!A:H,8,FALSE))</f>
        <v>117045</v>
      </c>
      <c r="P158" s="46">
        <f t="shared" ca="1" si="7"/>
        <v>4.4844827585931897E-3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input_397010!A$2</f>
        <v>397010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IFERROR(VLOOKUP(B159,input_397010!L:R,7,FALSE),VLOOKUP(tables_397010!C159,input_397010!A:H,8,FALSE))</f>
        <v>131420.43208</v>
      </c>
      <c r="P159" s="46">
        <f t="shared" ca="1" si="7"/>
        <v>5.0352655969039886E-3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input_397010!A$2</f>
        <v>397010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IFERROR(VLOOKUP(B160,input_397010!L:R,7,FALSE),VLOOKUP(tables_397010!C160,input_397010!A:H,8,FALSE))</f>
        <v>12705.885</v>
      </c>
      <c r="P160" s="46">
        <f t="shared" ca="1" si="7"/>
        <v>4.8681551723839408E-4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input_397010!A$2</f>
        <v>397010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IFERROR(VLOOKUP(B161,input_397010!L:R,7,FALSE),VLOOKUP(tables_397010!C161,input_397010!A:H,8,FALSE))</f>
        <v>117045</v>
      </c>
      <c r="P161" s="46">
        <f t="shared" ca="1" si="7"/>
        <v>4.4844827585931897E-3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input_397010!A$2</f>
        <v>397010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IFERROR(VLOOKUP(B162,input_397010!L:R,7,FALSE),VLOOKUP(tables_397010!C162,input_397010!A:H,8,FALSE))</f>
        <v>131420.43208</v>
      </c>
      <c r="P162" s="46">
        <f t="shared" ca="1" si="7"/>
        <v>5.0352655969039886E-3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input_397010!A$2</f>
        <v>397010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IFERROR(VLOOKUP(B163,input_397010!L:R,7,FALSE),VLOOKUP(tables_397010!C163,input_397010!A:H,8,FALSE))</f>
        <v>12705.885</v>
      </c>
      <c r="P163" s="46">
        <f t="shared" ca="1" si="7"/>
        <v>4.8681551723839408E-4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input_397010!A$2</f>
        <v>397010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IFERROR(VLOOKUP(B164,input_397010!L:R,7,FALSE),VLOOKUP(tables_397010!C164,input_397010!A:H,8,FALSE))</f>
        <v>1566</v>
      </c>
      <c r="P164" s="46">
        <f t="shared" ca="1" si="7"/>
        <v>5.9999999999632071E-5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input_397010!A$2</f>
        <v>397010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IFERROR(VLOOKUP(B165,input_397010!L:R,7,FALSE),VLOOKUP(tables_397010!C165,input_397010!A:H,8,FALSE))</f>
        <v>84.998999999999995</v>
      </c>
      <c r="P165" s="46">
        <f t="shared" ca="1" si="7"/>
        <v>3.2566666666466962E-6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input_397010!A$2</f>
        <v>397010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IFERROR(VLOOKUP(B166,input_397010!L:R,7,FALSE),VLOOKUP(tables_397010!C166,input_397010!A:H,8,FALSE))</f>
        <v>117045</v>
      </c>
      <c r="P166" s="46">
        <f t="shared" ca="1" si="7"/>
        <v>4.4844827585931897E-3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input_397010!A$2</f>
        <v>397010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IFERROR(VLOOKUP(B167,input_397010!L:R,7,FALSE),VLOOKUP(tables_397010!C167,input_397010!A:H,8,FALSE))</f>
        <v>131420.43208</v>
      </c>
      <c r="P167" s="46">
        <f t="shared" ca="1" si="7"/>
        <v>5.0352655969039886E-3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input_397010!A$2</f>
        <v>397010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IFERROR(VLOOKUP(B168,input_397010!L:R,7,FALSE),VLOOKUP(tables_397010!C168,input_397010!A:H,8,FALSE))</f>
        <v>12705.885</v>
      </c>
      <c r="P168" s="46">
        <f t="shared" ca="1" si="7"/>
        <v>4.8681551723839408E-4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input_397010!A$2</f>
        <v>397010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IFERROR(VLOOKUP(B169,input_397010!L:R,7,FALSE),VLOOKUP(tables_397010!C169,input_397010!A:H,8,FALSE))</f>
        <v>1566</v>
      </c>
      <c r="P169" s="46">
        <f t="shared" ca="1" si="7"/>
        <v>5.9999999999632071E-5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input_397010!A$2</f>
        <v>397010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IFERROR(VLOOKUP(B170,input_397010!L:R,7,FALSE),VLOOKUP(tables_397010!C170,input_397010!A:H,8,FALSE))</f>
        <v>84.998999999999995</v>
      </c>
      <c r="P170" s="46">
        <f t="shared" ca="1" si="7"/>
        <v>3.2566666666466962E-6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input_397010!A$2</f>
        <v>397010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IFERROR(VLOOKUP(B171,input_397010!L:R,7,FALSE),VLOOKUP(tables_397010!C171,input_397010!A:H,8,FALSE))</f>
        <v>117045</v>
      </c>
      <c r="P171" s="46">
        <f t="shared" ca="1" si="7"/>
        <v>4.4844827585931897E-3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input_397010!A$2</f>
        <v>397010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IFERROR(VLOOKUP(B172,input_397010!L:R,7,FALSE),VLOOKUP(tables_397010!C172,input_397010!A:H,8,FALSE))</f>
        <v>131420.43208</v>
      </c>
      <c r="P172" s="46">
        <f t="shared" ca="1" si="7"/>
        <v>5.0352655969039886E-3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input_397010!A$2</f>
        <v>397010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IFERROR(VLOOKUP(B173,input_397010!L:R,7,FALSE),VLOOKUP(tables_397010!C173,input_397010!A:H,8,FALSE))</f>
        <v>12705.885</v>
      </c>
      <c r="P173" s="46">
        <f t="shared" ca="1" si="7"/>
        <v>4.8681551723839408E-4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input_397010!A$2</f>
        <v>397010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IFERROR(VLOOKUP(B174,input_397010!L:R,7,FALSE),VLOOKUP(tables_397010!C174,input_397010!A:H,8,FALSE))</f>
        <v>1566</v>
      </c>
      <c r="P174" s="46">
        <f t="shared" ca="1" si="7"/>
        <v>5.9999999999632071E-5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input_397010!A$2</f>
        <v>397010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IFERROR(VLOOKUP(B175,input_397010!L:R,7,FALSE),VLOOKUP(tables_397010!C175,input_397010!A:H,8,FALSE))</f>
        <v>84.998999999999995</v>
      </c>
      <c r="P175" s="46">
        <f t="shared" ca="1" si="7"/>
        <v>3.2566666666466962E-6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input_397010!A$2</f>
        <v>397010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IFERROR(VLOOKUP(B176,input_397010!L:R,7,FALSE),VLOOKUP(tables_397010!C176,input_397010!A:H,8,FALSE))</f>
        <v>1566</v>
      </c>
      <c r="P176" s="46">
        <f t="shared" ca="1" si="7"/>
        <v>5.9999999999632071E-5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input_397010!A$2</f>
        <v>397010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IFERROR(VLOOKUP(B177,input_397010!L:R,7,FALSE),VLOOKUP(tables_397010!C177,input_397010!A:H,8,FALSE))</f>
        <v>84.998999999999995</v>
      </c>
      <c r="P177" s="46">
        <f t="shared" ca="1" si="7"/>
        <v>3.2566666666466962E-6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input_397010!A$2</f>
        <v>397010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IFERROR(VLOOKUP(B178,input_397010!L:R,7,FALSE),VLOOKUP(tables_397010!C178,input_397010!A:H,8,FALSE))</f>
        <v>117045</v>
      </c>
      <c r="P178" s="46">
        <f t="shared" ca="1" si="7"/>
        <v>4.4844827585931897E-3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input_397010!A$2</f>
        <v>397010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IFERROR(VLOOKUP(B179,input_397010!L:R,7,FALSE),VLOOKUP(tables_397010!C179,input_397010!A:H,8,FALSE))</f>
        <v>131420.43208</v>
      </c>
      <c r="P179" s="46">
        <f t="shared" ca="1" si="7"/>
        <v>5.0352655969039886E-3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input_397010!A$2</f>
        <v>397010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IFERROR(VLOOKUP(B180,input_397010!L:R,7,FALSE),VLOOKUP(tables_397010!C180,input_397010!A:H,8,FALSE))</f>
        <v>12705.885</v>
      </c>
      <c r="P180" s="46">
        <f t="shared" ca="1" si="7"/>
        <v>4.8681551723839408E-4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input_397010!A$2</f>
        <v>397010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IFERROR(VLOOKUP(B181,input_397010!L:R,7,FALSE),VLOOKUP(tables_397010!C181,input_397010!A:H,8,FALSE))</f>
        <v>117045</v>
      </c>
      <c r="P181" s="46">
        <f t="shared" ca="1" si="7"/>
        <v>4.4844827585931897E-3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input_397010!A$2</f>
        <v>397010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IFERROR(VLOOKUP(B182,input_397010!L:R,7,FALSE),VLOOKUP(tables_397010!C182,input_397010!A:H,8,FALSE))</f>
        <v>131420.43208</v>
      </c>
      <c r="P182" s="46">
        <f t="shared" ca="1" si="7"/>
        <v>5.0352655969039886E-3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input_397010!A$2</f>
        <v>397010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IFERROR(VLOOKUP(B183,input_397010!L:R,7,FALSE),VLOOKUP(tables_397010!C183,input_397010!A:H,8,FALSE))</f>
        <v>12705.885</v>
      </c>
      <c r="P183" s="46">
        <f t="shared" ca="1" si="7"/>
        <v>4.8681551723839408E-4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input_397010!A$2</f>
        <v>397010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IFERROR(VLOOKUP(B184,input_397010!L:R,7,FALSE),VLOOKUP(tables_397010!C184,input_397010!A:H,8,FALSE))</f>
        <v>1566</v>
      </c>
      <c r="P184" s="46">
        <f t="shared" ca="1" si="7"/>
        <v>5.9999999999632071E-5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input_397010!A$2</f>
        <v>397010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IFERROR(VLOOKUP(B185,input_397010!L:R,7,FALSE),VLOOKUP(tables_397010!C185,input_397010!A:H,8,FALSE))</f>
        <v>84.998999999999995</v>
      </c>
      <c r="P185" s="46">
        <f t="shared" ca="1" si="7"/>
        <v>3.2566666666466962E-6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input_397010!A$2</f>
        <v>397010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IFERROR(VLOOKUP(B186,input_397010!L:R,7,FALSE),VLOOKUP(tables_397010!C186,input_397010!A:H,8,FALSE))</f>
        <v>117045</v>
      </c>
      <c r="P186" s="46">
        <f t="shared" ca="1" si="7"/>
        <v>4.4844827585931897E-3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input_397010!A$2</f>
        <v>397010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IFERROR(VLOOKUP(B187,input_397010!L:R,7,FALSE),VLOOKUP(tables_397010!C187,input_397010!A:H,8,FALSE))</f>
        <v>131420.43208</v>
      </c>
      <c r="P187" s="46">
        <f t="shared" ca="1" si="7"/>
        <v>5.0352655969039886E-3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input_397010!A$2</f>
        <v>397010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IFERROR(VLOOKUP(B188,input_397010!L:R,7,FALSE),VLOOKUP(tables_397010!C188,input_397010!A:H,8,FALSE))</f>
        <v>12705.885</v>
      </c>
      <c r="P188" s="46">
        <f t="shared" ca="1" si="7"/>
        <v>4.8681551723839408E-4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input_397010!A$2</f>
        <v>397010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IFERROR(VLOOKUP(B189,input_397010!L:R,7,FALSE),VLOOKUP(tables_397010!C189,input_397010!A:H,8,FALSE))</f>
        <v>1566</v>
      </c>
      <c r="P189" s="46">
        <f t="shared" ca="1" si="7"/>
        <v>5.9999999999632071E-5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input_397010!A$2</f>
        <v>397010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IFERROR(VLOOKUP(B190,input_397010!L:R,7,FALSE),VLOOKUP(tables_397010!C190,input_397010!A:H,8,FALSE))</f>
        <v>84.998999999999995</v>
      </c>
      <c r="P190" s="46">
        <f t="shared" ca="1" si="7"/>
        <v>3.2566666666466962E-6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input_397010!A$2</f>
        <v>397010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IFERROR(VLOOKUP(B191,input_397010!L:R,7,FALSE),VLOOKUP(tables_397010!C191,input_397010!A:H,8,FALSE))</f>
        <v>1566</v>
      </c>
      <c r="P191" s="46">
        <f t="shared" ca="1" si="7"/>
        <v>5.9999999999632071E-5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input_397010!A$2</f>
        <v>397010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IFERROR(VLOOKUP(B192,input_397010!L:R,7,FALSE),VLOOKUP(tables_397010!C192,input_397010!A:H,8,FALSE))</f>
        <v>84.998999999999995</v>
      </c>
      <c r="P192" s="46">
        <f t="shared" ca="1" si="7"/>
        <v>3.2566666666466962E-6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input_397010!A$2</f>
        <v>397010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IFERROR(VLOOKUP(B193,input_397010!L:R,7,FALSE),VLOOKUP(tables_397010!C193,input_397010!A:H,8,FALSE))</f>
        <v>117045</v>
      </c>
      <c r="P193" s="46">
        <f t="shared" ca="1" si="7"/>
        <v>4.4844827585931897E-3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input_397010!A$2</f>
        <v>397010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IFERROR(VLOOKUP(B194,input_397010!L:R,7,FALSE),VLOOKUP(tables_397010!C194,input_397010!A:H,8,FALSE))</f>
        <v>131420.43208</v>
      </c>
      <c r="P194" s="46">
        <f t="shared" ref="P194:P257" ca="1" si="10">O194/SUM(O:O)</f>
        <v>5.0352655969039886E-3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input_397010!A$2</f>
        <v>397010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IFERROR(VLOOKUP(B195,input_397010!L:R,7,FALSE),VLOOKUP(tables_397010!C195,input_397010!A:H,8,FALSE))</f>
        <v>12705.885</v>
      </c>
      <c r="P195" s="46">
        <f t="shared" ca="1" si="10"/>
        <v>4.8681551723839408E-4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input_397010!A$2</f>
        <v>397010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IFERROR(VLOOKUP(B196,input_397010!L:R,7,FALSE),VLOOKUP(tables_397010!C196,input_397010!A:H,8,FALSE))</f>
        <v>1566</v>
      </c>
      <c r="P196" s="46">
        <f t="shared" ca="1" si="10"/>
        <v>5.9999999999632071E-5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input_397010!A$2</f>
        <v>397010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IFERROR(VLOOKUP(B197,input_397010!L:R,7,FALSE),VLOOKUP(tables_397010!C197,input_397010!A:H,8,FALSE))</f>
        <v>84.998999999999995</v>
      </c>
      <c r="P197" s="46">
        <f t="shared" ca="1" si="10"/>
        <v>3.2566666666466962E-6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input_397010!A$2</f>
        <v>397010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IFERROR(VLOOKUP(B198,input_397010!L:R,7,FALSE),VLOOKUP(tables_397010!C198,input_397010!A:H,8,FALSE))</f>
        <v>117045</v>
      </c>
      <c r="P198" s="46">
        <f t="shared" ca="1" si="10"/>
        <v>4.4844827585931897E-3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input_397010!A$2</f>
        <v>397010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IFERROR(VLOOKUP(B199,input_397010!L:R,7,FALSE),VLOOKUP(tables_397010!C199,input_397010!A:H,8,FALSE))</f>
        <v>131420.43208</v>
      </c>
      <c r="P199" s="46">
        <f t="shared" ca="1" si="10"/>
        <v>5.0352655969039886E-3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input_397010!A$2</f>
        <v>397010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IFERROR(VLOOKUP(B200,input_397010!L:R,7,FALSE),VLOOKUP(tables_397010!C200,input_397010!A:H,8,FALSE))</f>
        <v>12705.885</v>
      </c>
      <c r="P200" s="46">
        <f t="shared" ca="1" si="10"/>
        <v>4.8681551723839408E-4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input_397010!A$2</f>
        <v>397010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IFERROR(VLOOKUP(B201,input_397010!L:R,7,FALSE),VLOOKUP(tables_397010!C201,input_397010!A:H,8,FALSE))</f>
        <v>1566</v>
      </c>
      <c r="P201" s="46">
        <f t="shared" ca="1" si="10"/>
        <v>5.9999999999632071E-5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input_397010!A$2</f>
        <v>397010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IFERROR(VLOOKUP(B202,input_397010!L:R,7,FALSE),VLOOKUP(tables_397010!C202,input_397010!A:H,8,FALSE))</f>
        <v>84.998999999999995</v>
      </c>
      <c r="P202" s="46">
        <f t="shared" ca="1" si="10"/>
        <v>3.2566666666466962E-6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input_397010!A$2</f>
        <v>397010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IFERROR(VLOOKUP(B203,input_397010!L:R,7,FALSE),VLOOKUP(tables_397010!C203,input_397010!A:H,8,FALSE))</f>
        <v>117045</v>
      </c>
      <c r="P203" s="46">
        <f t="shared" ca="1" si="10"/>
        <v>4.4844827585931897E-3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input_397010!A$2</f>
        <v>397010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IFERROR(VLOOKUP(B204,input_397010!L:R,7,FALSE),VLOOKUP(tables_397010!C204,input_397010!A:H,8,FALSE))</f>
        <v>131420.43208</v>
      </c>
      <c r="P204" s="46">
        <f t="shared" ca="1" si="10"/>
        <v>5.0352655969039886E-3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input_397010!A$2</f>
        <v>397010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IFERROR(VLOOKUP(B205,input_397010!L:R,7,FALSE),VLOOKUP(tables_397010!C205,input_397010!A:H,8,FALSE))</f>
        <v>12705.885</v>
      </c>
      <c r="P205" s="46">
        <f t="shared" ca="1" si="10"/>
        <v>4.8681551723839408E-4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input_397010!A$2</f>
        <v>397010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IFERROR(VLOOKUP(B206,input_397010!L:R,7,FALSE),VLOOKUP(tables_397010!C206,input_397010!A:H,8,FALSE))</f>
        <v>1566</v>
      </c>
      <c r="P206" s="46">
        <f t="shared" ca="1" si="10"/>
        <v>5.9999999999632071E-5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input_397010!A$2</f>
        <v>397010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IFERROR(VLOOKUP(B207,input_397010!L:R,7,FALSE),VLOOKUP(tables_397010!C207,input_397010!A:H,8,FALSE))</f>
        <v>84.998999999999995</v>
      </c>
      <c r="P207" s="46">
        <f t="shared" ca="1" si="10"/>
        <v>3.2566666666466962E-6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input_397010!A$2</f>
        <v>397010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IFERROR(VLOOKUP(B208,input_397010!L:R,7,FALSE),VLOOKUP(tables_397010!C208,input_397010!A:H,8,FALSE))</f>
        <v>1566</v>
      </c>
      <c r="P208" s="46">
        <f t="shared" ca="1" si="10"/>
        <v>5.9999999999632071E-5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input_397010!A$2</f>
        <v>397010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IFERROR(VLOOKUP(B209,input_397010!L:R,7,FALSE),VLOOKUP(tables_397010!C209,input_397010!A:H,8,FALSE))</f>
        <v>84.998999999999995</v>
      </c>
      <c r="P209" s="46">
        <f t="shared" ca="1" si="10"/>
        <v>3.2566666666466962E-6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input_397010!A$2</f>
        <v>397010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IFERROR(VLOOKUP(B210,input_397010!L:R,7,FALSE),VLOOKUP(tables_397010!C210,input_397010!A:H,8,FALSE))</f>
        <v>117045</v>
      </c>
      <c r="P210" s="46">
        <f t="shared" ca="1" si="10"/>
        <v>4.4844827585931897E-3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input_397010!A$2</f>
        <v>397010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IFERROR(VLOOKUP(B211,input_397010!L:R,7,FALSE),VLOOKUP(tables_397010!C211,input_397010!A:H,8,FALSE))</f>
        <v>131420.43208</v>
      </c>
      <c r="P211" s="46">
        <f t="shared" ca="1" si="10"/>
        <v>5.0352655969039886E-3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input_397010!A$2</f>
        <v>397010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IFERROR(VLOOKUP(B212,input_397010!L:R,7,FALSE),VLOOKUP(tables_397010!C212,input_397010!A:H,8,FALSE))</f>
        <v>12705.885</v>
      </c>
      <c r="P212" s="46">
        <f t="shared" ca="1" si="10"/>
        <v>4.8681551723839408E-4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input_397010!A$2</f>
        <v>397010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IFERROR(VLOOKUP(B213,input_397010!L:R,7,FALSE),VLOOKUP(tables_397010!C213,input_397010!A:H,8,FALSE))</f>
        <v>1566</v>
      </c>
      <c r="P213" s="46">
        <f t="shared" ca="1" si="10"/>
        <v>5.9999999999632071E-5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input_397010!A$2</f>
        <v>397010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IFERROR(VLOOKUP(B214,input_397010!L:R,7,FALSE),VLOOKUP(tables_397010!C214,input_397010!A:H,8,FALSE))</f>
        <v>84.998999999999995</v>
      </c>
      <c r="P214" s="46">
        <f t="shared" ca="1" si="10"/>
        <v>3.2566666666466962E-6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input_397010!A$2</f>
        <v>397010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IFERROR(VLOOKUP(B215,input_397010!L:R,7,FALSE),VLOOKUP(tables_397010!C215,input_397010!A:H,8,FALSE))</f>
        <v>1566</v>
      </c>
      <c r="P215" s="46">
        <f t="shared" ca="1" si="10"/>
        <v>5.9999999999632071E-5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input_397010!A$2</f>
        <v>397010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IFERROR(VLOOKUP(B216,input_397010!L:R,7,FALSE),VLOOKUP(tables_397010!C216,input_397010!A:H,8,FALSE))</f>
        <v>84.998999999999995</v>
      </c>
      <c r="P216" s="46">
        <f t="shared" ca="1" si="10"/>
        <v>3.2566666666466962E-6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input_397010!A$2</f>
        <v>397010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IFERROR(VLOOKUP(B217,input_397010!L:R,7,FALSE),VLOOKUP(tables_397010!C217,input_397010!A:H,8,FALSE))</f>
        <v>117045</v>
      </c>
      <c r="P217" s="46">
        <f t="shared" ca="1" si="10"/>
        <v>4.4844827585931897E-3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input_397010!A$2</f>
        <v>397010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IFERROR(VLOOKUP(B218,input_397010!L:R,7,FALSE),VLOOKUP(tables_397010!C218,input_397010!A:H,8,FALSE))</f>
        <v>131420.43208</v>
      </c>
      <c r="P218" s="46">
        <f t="shared" ca="1" si="10"/>
        <v>5.0352655969039886E-3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input_397010!A$2</f>
        <v>397010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IFERROR(VLOOKUP(B219,input_397010!L:R,7,FALSE),VLOOKUP(tables_397010!C219,input_397010!A:H,8,FALSE))</f>
        <v>12705.885</v>
      </c>
      <c r="P219" s="46">
        <f t="shared" ca="1" si="10"/>
        <v>4.8681551723839408E-4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input_397010!A$2</f>
        <v>397010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IFERROR(VLOOKUP(B220,input_397010!L:R,7,FALSE),VLOOKUP(tables_397010!C220,input_397010!A:H,8,FALSE))</f>
        <v>117045</v>
      </c>
      <c r="P220" s="46">
        <f t="shared" ca="1" si="10"/>
        <v>4.4844827585931897E-3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input_397010!A$2</f>
        <v>397010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IFERROR(VLOOKUP(B221,input_397010!L:R,7,FALSE),VLOOKUP(tables_397010!C221,input_397010!A:H,8,FALSE))</f>
        <v>131420.43208</v>
      </c>
      <c r="P221" s="46">
        <f t="shared" ca="1" si="10"/>
        <v>5.0352655969039886E-3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input_397010!A$2</f>
        <v>397010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IFERROR(VLOOKUP(B222,input_397010!L:R,7,FALSE),VLOOKUP(tables_397010!C222,input_397010!A:H,8,FALSE))</f>
        <v>12705.885</v>
      </c>
      <c r="P222" s="46">
        <f t="shared" ca="1" si="10"/>
        <v>4.8681551723839408E-4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input_397010!A$2</f>
        <v>397010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IFERROR(VLOOKUP(B223,input_397010!L:R,7,FALSE),VLOOKUP(tables_397010!C223,input_397010!A:H,8,FALSE))</f>
        <v>1566</v>
      </c>
      <c r="P223" s="46">
        <f t="shared" ca="1" si="10"/>
        <v>5.9999999999632071E-5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input_397010!A$2</f>
        <v>397010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IFERROR(VLOOKUP(B224,input_397010!L:R,7,FALSE),VLOOKUP(tables_397010!C224,input_397010!A:H,8,FALSE))</f>
        <v>84.998999999999995</v>
      </c>
      <c r="P224" s="46">
        <f t="shared" ca="1" si="10"/>
        <v>3.2566666666466962E-6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input_397010!A$2</f>
        <v>397010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IFERROR(VLOOKUP(B225,input_397010!L:R,7,FALSE),VLOOKUP(tables_397010!C225,input_397010!A:H,8,FALSE))</f>
        <v>117045</v>
      </c>
      <c r="P225" s="46">
        <f t="shared" ca="1" si="10"/>
        <v>4.4844827585931897E-3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input_397010!A$2</f>
        <v>397010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IFERROR(VLOOKUP(B226,input_397010!L:R,7,FALSE),VLOOKUP(tables_397010!C226,input_397010!A:H,8,FALSE))</f>
        <v>131420.43208</v>
      </c>
      <c r="P226" s="46">
        <f t="shared" ca="1" si="10"/>
        <v>5.0352655969039886E-3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input_397010!A$2</f>
        <v>397010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IFERROR(VLOOKUP(B227,input_397010!L:R,7,FALSE),VLOOKUP(tables_397010!C227,input_397010!A:H,8,FALSE))</f>
        <v>12705.885</v>
      </c>
      <c r="P227" s="46">
        <f t="shared" ca="1" si="10"/>
        <v>4.8681551723839408E-4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input_397010!A$2</f>
        <v>397010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IFERROR(VLOOKUP(B228,input_397010!L:R,7,FALSE),VLOOKUP(tables_397010!C228,input_397010!A:H,8,FALSE))</f>
        <v>117045</v>
      </c>
      <c r="P228" s="46">
        <f t="shared" ca="1" si="10"/>
        <v>4.4844827585931897E-3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input_397010!A$2</f>
        <v>397010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IFERROR(VLOOKUP(B229,input_397010!L:R,7,FALSE),VLOOKUP(tables_397010!C229,input_397010!A:H,8,FALSE))</f>
        <v>131420.43208</v>
      </c>
      <c r="P229" s="46">
        <f t="shared" ca="1" si="10"/>
        <v>5.0352655969039886E-3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input_397010!A$2</f>
        <v>397010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IFERROR(VLOOKUP(B230,input_397010!L:R,7,FALSE),VLOOKUP(tables_397010!C230,input_397010!A:H,8,FALSE))</f>
        <v>12705.885</v>
      </c>
      <c r="P230" s="46">
        <f t="shared" ca="1" si="10"/>
        <v>4.8681551723839408E-4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input_397010!A$2</f>
        <v>397010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IFERROR(VLOOKUP(B231,input_397010!L:R,7,FALSE),VLOOKUP(tables_397010!C231,input_397010!A:H,8,FALSE))</f>
        <v>1566</v>
      </c>
      <c r="P231" s="46">
        <f t="shared" ca="1" si="10"/>
        <v>5.9999999999632071E-5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input_397010!A$2</f>
        <v>397010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IFERROR(VLOOKUP(B232,input_397010!L:R,7,FALSE),VLOOKUP(tables_397010!C232,input_397010!A:H,8,FALSE))</f>
        <v>84.998999999999995</v>
      </c>
      <c r="P232" s="46">
        <f t="shared" ca="1" si="10"/>
        <v>3.2566666666466962E-6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input_397010!A$2</f>
        <v>397010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IFERROR(VLOOKUP(B233,input_397010!L:R,7,FALSE),VLOOKUP(tables_397010!C233,input_397010!A:H,8,FALSE))</f>
        <v>117045</v>
      </c>
      <c r="P233" s="46">
        <f t="shared" ca="1" si="10"/>
        <v>4.4844827585931897E-3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input_397010!A$2</f>
        <v>397010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IFERROR(VLOOKUP(B234,input_397010!L:R,7,FALSE),VLOOKUP(tables_397010!C234,input_397010!A:H,8,FALSE))</f>
        <v>131420.43208</v>
      </c>
      <c r="P234" s="46">
        <f t="shared" ca="1" si="10"/>
        <v>5.0352655969039886E-3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input_397010!A$2</f>
        <v>397010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IFERROR(VLOOKUP(B235,input_397010!L:R,7,FALSE),VLOOKUP(tables_397010!C235,input_397010!A:H,8,FALSE))</f>
        <v>12705.885</v>
      </c>
      <c r="P235" s="46">
        <f t="shared" ca="1" si="10"/>
        <v>4.8681551723839408E-4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input_397010!A$2</f>
        <v>397010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IFERROR(VLOOKUP(B236,input_397010!L:R,7,FALSE),VLOOKUP(tables_397010!C236,input_397010!A:H,8,FALSE))</f>
        <v>1566</v>
      </c>
      <c r="P236" s="46">
        <f t="shared" ca="1" si="10"/>
        <v>5.9999999999632071E-5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input_397010!A$2</f>
        <v>397010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IFERROR(VLOOKUP(B237,input_397010!L:R,7,FALSE),VLOOKUP(tables_397010!C237,input_397010!A:H,8,FALSE))</f>
        <v>84.998999999999995</v>
      </c>
      <c r="P237" s="46">
        <f t="shared" ca="1" si="10"/>
        <v>3.2566666666466962E-6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input_397010!A$2</f>
        <v>397010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IFERROR(VLOOKUP(B238,input_397010!L:R,7,FALSE),VLOOKUP(tables_397010!C238,input_397010!A:H,8,FALSE))</f>
        <v>1566</v>
      </c>
      <c r="P238" s="46">
        <f t="shared" ca="1" si="10"/>
        <v>5.9999999999632071E-5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input_397010!A$2</f>
        <v>397010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IFERROR(VLOOKUP(B239,input_397010!L:R,7,FALSE),VLOOKUP(tables_397010!C239,input_397010!A:H,8,FALSE))</f>
        <v>84.998999999999995</v>
      </c>
      <c r="P239" s="46">
        <f t="shared" ca="1" si="10"/>
        <v>3.2566666666466962E-6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input_397010!A$2</f>
        <v>397010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IFERROR(VLOOKUP(B240,input_397010!L:R,7,FALSE),VLOOKUP(tables_397010!C240,input_397010!A:H,8,FALSE))</f>
        <v>117045</v>
      </c>
      <c r="P240" s="46">
        <f t="shared" ca="1" si="10"/>
        <v>4.4844827585931897E-3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input_397010!A$2</f>
        <v>397010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IFERROR(VLOOKUP(B241,input_397010!L:R,7,FALSE),VLOOKUP(tables_397010!C241,input_397010!A:H,8,FALSE))</f>
        <v>131420.43208</v>
      </c>
      <c r="P241" s="46">
        <f t="shared" ca="1" si="10"/>
        <v>5.0352655969039886E-3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input_397010!A$2</f>
        <v>397010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IFERROR(VLOOKUP(B242,input_397010!L:R,7,FALSE),VLOOKUP(tables_397010!C242,input_397010!A:H,8,FALSE))</f>
        <v>12705.885</v>
      </c>
      <c r="P242" s="46">
        <f t="shared" ca="1" si="10"/>
        <v>4.8681551723839408E-4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input_397010!A$2</f>
        <v>397010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IFERROR(VLOOKUP(B243,input_397010!L:R,7,FALSE),VLOOKUP(tables_397010!C243,input_397010!A:H,8,FALSE))</f>
        <v>117045</v>
      </c>
      <c r="P243" s="46">
        <f t="shared" ca="1" si="10"/>
        <v>4.4844827585931897E-3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input_397010!A$2</f>
        <v>397010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IFERROR(VLOOKUP(B244,input_397010!L:R,7,FALSE),VLOOKUP(tables_397010!C244,input_397010!A:H,8,FALSE))</f>
        <v>131420.43208</v>
      </c>
      <c r="P244" s="46">
        <f t="shared" ca="1" si="10"/>
        <v>5.0352655969039886E-3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input_397010!A$2</f>
        <v>397010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IFERROR(VLOOKUP(B245,input_397010!L:R,7,FALSE),VLOOKUP(tables_397010!C245,input_397010!A:H,8,FALSE))</f>
        <v>12705.885</v>
      </c>
      <c r="P245" s="46">
        <f t="shared" ca="1" si="10"/>
        <v>4.8681551723839408E-4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input_397010!A$2</f>
        <v>397010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IFERROR(VLOOKUP(B246,input_397010!L:R,7,FALSE),VLOOKUP(tables_397010!C246,input_397010!A:H,8,FALSE))</f>
        <v>117045</v>
      </c>
      <c r="P246" s="46">
        <f t="shared" ca="1" si="10"/>
        <v>4.4844827585931897E-3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input_397010!A$2</f>
        <v>397010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IFERROR(VLOOKUP(B247,input_397010!L:R,7,FALSE),VLOOKUP(tables_397010!C247,input_397010!A:H,8,FALSE))</f>
        <v>131420.43208</v>
      </c>
      <c r="P247" s="46">
        <f t="shared" ca="1" si="10"/>
        <v>5.0352655969039886E-3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input_397010!A$2</f>
        <v>397010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IFERROR(VLOOKUP(B248,input_397010!L:R,7,FALSE),VLOOKUP(tables_397010!C248,input_397010!A:H,8,FALSE))</f>
        <v>12705.885</v>
      </c>
      <c r="P248" s="46">
        <f t="shared" ca="1" si="10"/>
        <v>4.8681551723839408E-4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input_397010!A$2</f>
        <v>397010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IFERROR(VLOOKUP(B249,input_397010!L:R,7,FALSE),VLOOKUP(tables_397010!C249,input_397010!A:H,8,FALSE))</f>
        <v>117045</v>
      </c>
      <c r="P249" s="46">
        <f t="shared" ca="1" si="10"/>
        <v>4.4844827585931897E-3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input_397010!A$2</f>
        <v>397010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IFERROR(VLOOKUP(B250,input_397010!L:R,7,FALSE),VLOOKUP(tables_397010!C250,input_397010!A:H,8,FALSE))</f>
        <v>131420.43208</v>
      </c>
      <c r="P250" s="46">
        <f t="shared" ca="1" si="10"/>
        <v>5.0352655969039886E-3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input_397010!A$2</f>
        <v>397010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IFERROR(VLOOKUP(B251,input_397010!L:R,7,FALSE),VLOOKUP(tables_397010!C251,input_397010!A:H,8,FALSE))</f>
        <v>12705.885</v>
      </c>
      <c r="P251" s="46">
        <f t="shared" ca="1" si="10"/>
        <v>4.8681551723839408E-4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input_397010!A$2</f>
        <v>397010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IFERROR(VLOOKUP(B252,input_397010!L:R,7,FALSE),VLOOKUP(tables_397010!C252,input_397010!A:H,8,FALSE))</f>
        <v>1566</v>
      </c>
      <c r="P252" s="46">
        <f t="shared" ca="1" si="10"/>
        <v>5.9999999999632071E-5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input_397010!A$2</f>
        <v>397010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IFERROR(VLOOKUP(B253,input_397010!L:R,7,FALSE),VLOOKUP(tables_397010!C253,input_397010!A:H,8,FALSE))</f>
        <v>84.998999999999995</v>
      </c>
      <c r="P253" s="46">
        <f t="shared" ca="1" si="10"/>
        <v>3.2566666666466962E-6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input_397010!A$2</f>
        <v>397010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IFERROR(VLOOKUP(B254,input_397010!L:R,7,FALSE),VLOOKUP(tables_397010!C254,input_397010!A:H,8,FALSE))</f>
        <v>1566</v>
      </c>
      <c r="P254" s="46">
        <f t="shared" ca="1" si="10"/>
        <v>5.9999999999632071E-5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input_397010!A$2</f>
        <v>397010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IFERROR(VLOOKUP(B255,input_397010!L:R,7,FALSE),VLOOKUP(tables_397010!C255,input_397010!A:H,8,FALSE))</f>
        <v>84.998999999999995</v>
      </c>
      <c r="P255" s="46">
        <f t="shared" ca="1" si="10"/>
        <v>3.2566666666466962E-6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input_397010!A$2</f>
        <v>397010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IFERROR(VLOOKUP(B256,input_397010!L:R,7,FALSE),VLOOKUP(tables_397010!C256,input_397010!A:H,8,FALSE))</f>
        <v>211782.23018000001</v>
      </c>
      <c r="P256" s="46">
        <f t="shared" ca="1" si="10"/>
        <v>8.1142616926705487E-3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input_397010!A$2</f>
        <v>397010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IFERROR(VLOOKUP(B257,input_397010!L:R,7,FALSE),VLOOKUP(tables_397010!C257,input_397010!A:H,8,FALSE))</f>
        <v>48317.769820000001</v>
      </c>
      <c r="P257" s="46">
        <f t="shared" ca="1" si="10"/>
        <v>1.8512555486476516E-3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input_397010!A$2</f>
        <v>397010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IFERROR(VLOOKUP(B258,input_397010!L:R,7,FALSE),VLOOKUP(tables_397010!C258,input_397010!A:H,8,FALSE))</f>
        <v>211782.23018000001</v>
      </c>
      <c r="P258" s="46">
        <f t="shared" ref="P258:P294" ca="1" si="13">O258/SUM(O:O)</f>
        <v>8.1142616926705487E-3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input_397010!A$2</f>
        <v>397010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IFERROR(VLOOKUP(B259,input_397010!L:R,7,FALSE),VLOOKUP(tables_397010!C259,input_397010!A:H,8,FALSE))</f>
        <v>48317.769820000001</v>
      </c>
      <c r="P259" s="46">
        <f t="shared" ca="1" si="13"/>
        <v>1.8512555486476516E-3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input_397010!A$2</f>
        <v>397010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IFERROR(VLOOKUP(B260,input_397010!L:R,7,FALSE),VLOOKUP(tables_397010!C260,input_397010!A:H,8,FALSE))</f>
        <v>1740</v>
      </c>
      <c r="P260" s="46">
        <f t="shared" ca="1" si="13"/>
        <v>6.6666666666257858E-5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input_397010!A$2</f>
        <v>397010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IFERROR(VLOOKUP(B261,input_397010!L:R,7,FALSE),VLOOKUP(tables_397010!C261,input_397010!A:H,8,FALSE))</f>
        <v>1740</v>
      </c>
      <c r="P261" s="46">
        <f t="shared" ca="1" si="13"/>
        <v>6.6666666666257858E-5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input_397010!A$2</f>
        <v>397010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IFERROR(VLOOKUP(B262,input_397010!L:R,7,FALSE),VLOOKUP(tables_397010!C262,input_397010!A:H,8,FALSE))</f>
        <v>1566</v>
      </c>
      <c r="P262" s="46">
        <f t="shared" ca="1" si="13"/>
        <v>5.9999999999632071E-5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input_397010!A$2</f>
        <v>397010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IFERROR(VLOOKUP(B263,input_397010!L:R,7,FALSE),VLOOKUP(tables_397010!C263,input_397010!A:H,8,FALSE))</f>
        <v>84.998999999999995</v>
      </c>
      <c r="P263" s="46">
        <f t="shared" ca="1" si="13"/>
        <v>3.2566666666466962E-6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input_397010!A$2</f>
        <v>397010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IFERROR(VLOOKUP(B264,input_397010!L:R,7,FALSE),VLOOKUP(tables_397010!C264,input_397010!A:H,8,FALSE))</f>
        <v>1566</v>
      </c>
      <c r="P264" s="46">
        <f t="shared" ca="1" si="13"/>
        <v>5.9999999999632071E-5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input_397010!A$2</f>
        <v>397010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IFERROR(VLOOKUP(B265,input_397010!L:R,7,FALSE),VLOOKUP(tables_397010!C265,input_397010!A:H,8,FALSE))</f>
        <v>84.998999999999995</v>
      </c>
      <c r="P265" s="46">
        <f t="shared" ca="1" si="13"/>
        <v>3.2566666666466962E-6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input_397010!A$2</f>
        <v>397010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IFERROR(VLOOKUP(B266,input_397010!L:R,7,FALSE),VLOOKUP(tables_397010!C266,input_397010!A:H,8,FALSE))</f>
        <v>117045</v>
      </c>
      <c r="P266" s="46">
        <f t="shared" ca="1" si="13"/>
        <v>4.4844827585931897E-3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input_397010!A$2</f>
        <v>397010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IFERROR(VLOOKUP(B267,input_397010!L:R,7,FALSE),VLOOKUP(tables_397010!C267,input_397010!A:H,8,FALSE))</f>
        <v>131420.43208</v>
      </c>
      <c r="P267" s="46">
        <f t="shared" ca="1" si="13"/>
        <v>5.0352655969039886E-3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input_397010!A$2</f>
        <v>397010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IFERROR(VLOOKUP(B268,input_397010!L:R,7,FALSE),VLOOKUP(tables_397010!C268,input_397010!A:H,8,FALSE))</f>
        <v>12705.885</v>
      </c>
      <c r="P268" s="46">
        <f t="shared" ca="1" si="13"/>
        <v>4.8681551723839408E-4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input_397010!A$2</f>
        <v>397010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IFERROR(VLOOKUP(B269,input_397010!L:R,7,FALSE),VLOOKUP(tables_397010!C269,input_397010!A:H,8,FALSE))</f>
        <v>117045</v>
      </c>
      <c r="P269" s="46">
        <f t="shared" ca="1" si="13"/>
        <v>4.4844827585931897E-3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input_397010!A$2</f>
        <v>397010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IFERROR(VLOOKUP(B270,input_397010!L:R,7,FALSE),VLOOKUP(tables_397010!C270,input_397010!A:H,8,FALSE))</f>
        <v>131420.43208</v>
      </c>
      <c r="P270" s="46">
        <f t="shared" ca="1" si="13"/>
        <v>5.0352655969039886E-3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input_397010!A$2</f>
        <v>397010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IFERROR(VLOOKUP(B271,input_397010!L:R,7,FALSE),VLOOKUP(tables_397010!C271,input_397010!A:H,8,FALSE))</f>
        <v>12705.885</v>
      </c>
      <c r="P271" s="46">
        <f t="shared" ca="1" si="13"/>
        <v>4.8681551723839408E-4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input_397010!A$2</f>
        <v>397010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IFERROR(VLOOKUP(B272,input_397010!L:R,7,FALSE),VLOOKUP(tables_397010!C272,input_397010!A:H,8,FALSE))</f>
        <v>1740</v>
      </c>
      <c r="P272" s="46">
        <f t="shared" ca="1" si="13"/>
        <v>6.6666666666257858E-5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input_397010!A$2</f>
        <v>397010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IFERROR(VLOOKUP(B273,input_397010!L:R,7,FALSE),VLOOKUP(tables_397010!C273,input_397010!A:H,8,FALSE))</f>
        <v>1740</v>
      </c>
      <c r="P273" s="46">
        <f t="shared" ca="1" si="13"/>
        <v>6.6666666666257858E-5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input_397010!A$2</f>
        <v>397010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IFERROR(VLOOKUP(B274,input_397010!L:R,7,FALSE),VLOOKUP(tables_397010!C274,input_397010!A:H,8,FALSE))</f>
        <v>211782.23018000001</v>
      </c>
      <c r="P274" s="46">
        <f t="shared" ca="1" si="13"/>
        <v>8.1142616926705487E-3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input_397010!A$2</f>
        <v>397010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IFERROR(VLOOKUP(B275,input_397010!L:R,7,FALSE),VLOOKUP(tables_397010!C275,input_397010!A:H,8,FALSE))</f>
        <v>48317.769820000001</v>
      </c>
      <c r="P275" s="46">
        <f t="shared" ca="1" si="13"/>
        <v>1.8512555486476516E-3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input_397010!A$2</f>
        <v>397010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IFERROR(VLOOKUP(B276,input_397010!L:R,7,FALSE),VLOOKUP(tables_397010!C276,input_397010!A:H,8,FALSE))</f>
        <v>211782.23018000001</v>
      </c>
      <c r="P276" s="46">
        <f t="shared" ca="1" si="13"/>
        <v>8.1142616926705487E-3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input_397010!A$2</f>
        <v>397010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IFERROR(VLOOKUP(B277,input_397010!L:R,7,FALSE),VLOOKUP(tables_397010!C277,input_397010!A:H,8,FALSE))</f>
        <v>48317.769820000001</v>
      </c>
      <c r="P277" s="46">
        <f t="shared" ca="1" si="13"/>
        <v>1.8512555486476516E-3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input_397010!A$2</f>
        <v>397010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IFERROR(VLOOKUP(B278,input_397010!L:R,7,FALSE),VLOOKUP(tables_397010!C278,input_397010!A:H,8,FALSE))</f>
        <v>211782.23018000001</v>
      </c>
      <c r="P278" s="46">
        <f t="shared" ca="1" si="13"/>
        <v>8.1142616926705487E-3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input_397010!A$2</f>
        <v>397010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IFERROR(VLOOKUP(B279,input_397010!L:R,7,FALSE),VLOOKUP(tables_397010!C279,input_397010!A:H,8,FALSE))</f>
        <v>48317.769820000001</v>
      </c>
      <c r="P279" s="46">
        <f t="shared" ca="1" si="13"/>
        <v>1.8512555486476516E-3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input_397010!A$2</f>
        <v>397010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IFERROR(VLOOKUP(B280,input_397010!L:R,7,FALSE),VLOOKUP(tables_397010!C280,input_397010!A:H,8,FALSE))</f>
        <v>211782.23018000001</v>
      </c>
      <c r="P280" s="46">
        <f t="shared" ca="1" si="13"/>
        <v>8.1142616926705487E-3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input_397010!A$2</f>
        <v>397010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IFERROR(VLOOKUP(B281,input_397010!L:R,7,FALSE),VLOOKUP(tables_397010!C281,input_397010!A:H,8,FALSE))</f>
        <v>48317.769820000001</v>
      </c>
      <c r="P281" s="46">
        <f t="shared" ca="1" si="13"/>
        <v>1.8512555486476516E-3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input_397010!A$2</f>
        <v>397010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IFERROR(VLOOKUP(B282,input_397010!L:R,7,FALSE),VLOOKUP(tables_397010!C282,input_397010!A:H,8,FALSE))</f>
        <v>1740</v>
      </c>
      <c r="P282" s="46">
        <f t="shared" ca="1" si="13"/>
        <v>6.6666666666257858E-5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input_397010!A$2</f>
        <v>397010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IFERROR(VLOOKUP(B283,input_397010!L:R,7,FALSE),VLOOKUP(tables_397010!C283,input_397010!A:H,8,FALSE))</f>
        <v>1740</v>
      </c>
      <c r="P283" s="46">
        <f t="shared" ca="1" si="13"/>
        <v>6.6666666666257858E-5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input_397010!A$2</f>
        <v>397010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IFERROR(VLOOKUP(B284,input_397010!L:R,7,FALSE),VLOOKUP(tables_397010!C284,input_397010!A:H,8,FALSE))</f>
        <v>1740</v>
      </c>
      <c r="P284" s="46">
        <f t="shared" ca="1" si="13"/>
        <v>6.6666666666257858E-5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input_397010!A$2</f>
        <v>397010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IFERROR(VLOOKUP(B285,input_397010!L:R,7,FALSE),VLOOKUP(tables_397010!C285,input_397010!A:H,8,FALSE))</f>
        <v>1740</v>
      </c>
      <c r="P285" s="46">
        <f t="shared" ca="1" si="13"/>
        <v>6.6666666666257858E-5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input_397010!A$2</f>
        <v>397010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IFERROR(VLOOKUP(B286,input_397010!L:R,7,FALSE),VLOOKUP(tables_397010!C286,input_397010!A:H,8,FALSE))</f>
        <v>211782.23018000001</v>
      </c>
      <c r="P286" s="46">
        <f t="shared" ca="1" si="13"/>
        <v>8.1142616926705487E-3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input_397010!A$2</f>
        <v>397010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IFERROR(VLOOKUP(B287,input_397010!L:R,7,FALSE),VLOOKUP(tables_397010!C287,input_397010!A:H,8,FALSE))</f>
        <v>48317.769820000001</v>
      </c>
      <c r="P287" s="46">
        <f t="shared" ca="1" si="13"/>
        <v>1.8512555486476516E-3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input_397010!A$2</f>
        <v>397010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IFERROR(VLOOKUP(B288,input_397010!L:R,7,FALSE),VLOOKUP(tables_397010!C288,input_397010!A:H,8,FALSE))</f>
        <v>211782.23018000001</v>
      </c>
      <c r="P288" s="46">
        <f t="shared" ca="1" si="13"/>
        <v>8.1142616926705487E-3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input_397010!A$2</f>
        <v>397010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IFERROR(VLOOKUP(B289,input_397010!L:R,7,FALSE),VLOOKUP(tables_397010!C289,input_397010!A:H,8,FALSE))</f>
        <v>48317.769820000001</v>
      </c>
      <c r="P289" s="46">
        <f t="shared" ca="1" si="13"/>
        <v>1.8512555486476516E-3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input_397010!A$2</f>
        <v>397010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IFERROR(VLOOKUP(B290,input_397010!L:R,7,FALSE),VLOOKUP(tables_397010!C290,input_397010!A:H,8,FALSE))</f>
        <v>1740</v>
      </c>
      <c r="P290" s="46">
        <f t="shared" ca="1" si="13"/>
        <v>6.6666666666257858E-5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input_397010!A$2</f>
        <v>397010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IFERROR(VLOOKUP(B291,input_397010!L:R,7,FALSE),VLOOKUP(tables_397010!C291,input_397010!A:H,8,FALSE))</f>
        <v>211782.23018000001</v>
      </c>
      <c r="P291" s="46">
        <f t="shared" ca="1" si="13"/>
        <v>8.1142616926705487E-3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input_397010!A$2</f>
        <v>397010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IFERROR(VLOOKUP(B292,input_397010!L:R,7,FALSE),VLOOKUP(tables_397010!C292,input_397010!A:H,8,FALSE))</f>
        <v>48317.769820000001</v>
      </c>
      <c r="P292" s="46">
        <f t="shared" ca="1" si="13"/>
        <v>1.8512555486476516E-3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input_397010!A$2</f>
        <v>397010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IFERROR(VLOOKUP(B293,input_397010!L:R,7,FALSE),VLOOKUP(tables_397010!C293,input_397010!A:H,8,FALSE))</f>
        <v>1740</v>
      </c>
      <c r="P293" s="46">
        <f t="shared" ca="1" si="13"/>
        <v>6.6666666666257858E-5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input_397010!A$2</f>
        <v>397010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IFERROR(VLOOKUP(B294,input_397010!L:R,7,FALSE),VLOOKUP(tables_397010!C294,input_397010!A:H,8,FALSE))</f>
        <v>1740</v>
      </c>
      <c r="P294" s="46">
        <f t="shared" ca="1" si="13"/>
        <v>6.6666666666257858E-5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input_397010!A$2</f>
        <v>397010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IFERROR(VLOOKUP(B295,input_397010!L:R,7,FALSE),VLOOKUP(tables_397010!C295,input_397010!A:H,8,FALSE))</f>
        <v>1740</v>
      </c>
      <c r="P295" s="46">
        <f t="shared" ref="P295:P299" ca="1" si="18">O295/SUM(O:O)</f>
        <v>6.6666666666257858E-5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input_397010!A$2</f>
        <v>397010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IFERROR(VLOOKUP(B296,input_397010!L:R,7,FALSE),VLOOKUP(tables_397010!C296,input_397010!A:H,8,FALSE))</f>
        <v>1740</v>
      </c>
      <c r="P296" s="46">
        <f t="shared" ca="1" si="18"/>
        <v>6.6666666666257858E-5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input_397010!A$2</f>
        <v>397010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IFERROR(VLOOKUP(B297,input_397010!L:R,7,FALSE),VLOOKUP(tables_397010!C297,input_397010!A:H,8,FALSE))</f>
        <v>211782.23018000001</v>
      </c>
      <c r="P297" s="46">
        <f t="shared" ca="1" si="18"/>
        <v>8.1142616926705487E-3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input_397010!A$2</f>
        <v>397010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IFERROR(VLOOKUP(B298,input_397010!L:R,7,FALSE),VLOOKUP(tables_397010!C298,input_397010!A:H,8,FALSE))</f>
        <v>48317.769820000001</v>
      </c>
      <c r="P298" s="46">
        <f t="shared" ca="1" si="18"/>
        <v>1.8512555486476516E-3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input_397010!A$2</f>
        <v>397010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IFERROR(VLOOKUP(B299,input_397010!L:R,7,FALSE),VLOOKUP(tables_397010!C299,input_397010!A:H,8,FALSE))</f>
        <v>1740</v>
      </c>
      <c r="P299" s="46">
        <f t="shared" ca="1" si="18"/>
        <v>6.6666666666257858E-5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input_397010!A$2</f>
        <v>397010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IFERROR(VLOOKUP(B300,input_397010!L:R,7,FALSE),VLOOKUP(tables_397010!C300,input_397010!A:H,8,FALSE))</f>
        <v>211782.23018000001</v>
      </c>
      <c r="P300" s="46">
        <f t="shared" ref="P300:P304" ca="1" si="20">O300/SUM(O:O)</f>
        <v>8.1142616926705487E-3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input_397010!A$2</f>
        <v>397010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IFERROR(VLOOKUP(B301,input_397010!L:R,7,FALSE),VLOOKUP(tables_397010!C301,input_397010!A:H,8,FALSE))</f>
        <v>48317.769820000001</v>
      </c>
      <c r="P301" s="46">
        <f t="shared" ca="1" si="20"/>
        <v>1.8512555486476516E-3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input_397010!A$2</f>
        <v>397010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IFERROR(VLOOKUP(B302,input_397010!L:R,7,FALSE),VLOOKUP(tables_397010!C302,input_397010!A:H,8,FALSE))</f>
        <v>1740</v>
      </c>
      <c r="P302" s="46">
        <f t="shared" ca="1" si="20"/>
        <v>6.6666666666257858E-5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input_397010!A$2</f>
        <v>397010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IFERROR(VLOOKUP(B303,input_397010!L:R,7,FALSE),VLOOKUP(tables_397010!C303,input_397010!A:H,8,FALSE))</f>
        <v>1740</v>
      </c>
      <c r="P303" s="46">
        <f t="shared" ca="1" si="20"/>
        <v>6.6666666666257858E-5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input_397010!A$2</f>
        <v>397010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IFERROR(VLOOKUP(B304,input_397010!L:R,7,FALSE),VLOOKUP(tables_397010!C304,input_397010!A:H,8,FALSE))</f>
        <v>1740</v>
      </c>
      <c r="P304" s="46">
        <f t="shared" ca="1" si="20"/>
        <v>6.6666666666257858E-5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input_397010!A$2</f>
        <v>397010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>IFERROR(VLOOKUP(B305,input_397010!L:R,7,FALSE),VLOOKUP(tables_397010!C305,input_397010!A:H,8,FALSE))</f>
        <v>2057985</v>
      </c>
      <c r="P305" s="46">
        <f t="shared" ref="P305:P309" ca="1" si="22">O305/SUM(O:O)</f>
        <v>7.8849999999516474E-2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input_397010!A$2</f>
        <v>397010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>IFERROR(VLOOKUP(B306,input_397010!L:R,7,FALSE),VLOOKUP(tables_397010!C306,input_397010!A:H,8,FALSE))</f>
        <v>108315</v>
      </c>
      <c r="P306" s="46">
        <f t="shared" ca="1" si="22"/>
        <v>4.1499999999745516E-3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input_397010!A$2</f>
        <v>397010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IFERROR(VLOOKUP(B307,input_397010!L:R,7,FALSE),VLOOKUP(tables_397010!C307,input_397010!A:H,8,FALSE))</f>
        <v>469799.99999999994</v>
      </c>
      <c r="P307" s="46">
        <f t="shared" ca="1" si="22"/>
        <v>1.7999999999889618E-2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input_397010!A$2</f>
        <v>397010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IFERROR(VLOOKUP(B308,input_397010!L:R,7,FALSE),VLOOKUP(tables_397010!C308,input_397010!A:H,8,FALSE))</f>
        <v>287100</v>
      </c>
      <c r="P308" s="46">
        <f t="shared" ca="1" si="22"/>
        <v>1.0999999999932546E-2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input_397010!A$2</f>
        <v>397010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IFERROR(VLOOKUP(B309,input_397010!L:R,7,FALSE),VLOOKUP(tables_397010!C309,input_397010!A:H,8,FALSE))</f>
        <v>469799.99999999994</v>
      </c>
      <c r="P309" s="46">
        <f t="shared" ca="1" si="22"/>
        <v>1.7999999999889618E-2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topLeftCell="A8" workbookViewId="0">
      <selection activeCell="E37" sqref="E3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82">
        <v>1067</v>
      </c>
      <c r="M3" s="37" t="str">
        <f>VLOOKUP(L3,[1]characters!$A:$C,3,FALSE)</f>
        <v>ウシュムガル</v>
      </c>
      <c r="N3" s="63">
        <v>7.8850000000000003E-2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VLOOKUP(L3,tables_397100!B:C,2,FALSE)</f>
        <v>Premium4R3less</v>
      </c>
      <c r="R3" s="62">
        <f t="shared" ref="R3:R20" si="1">N3*A$36</f>
        <v>2057985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82">
        <v>1068</v>
      </c>
      <c r="M4" s="37" t="str">
        <f>VLOOKUP(L4,[1]characters!$A:$C,3,FALSE)</f>
        <v>想母の羽龍 ウシュムガル</v>
      </c>
      <c r="N4" s="63">
        <v>4.15E-3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VLOOKUP(L4,tables_397100!B:C,2,FALSE)</f>
        <v>Premium5R3less</v>
      </c>
      <c r="R4" s="62">
        <f t="shared" si="1"/>
        <v>108315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6.6666666666666724E-5</v>
      </c>
      <c r="F5">
        <f>(COUNTIF(tables_397100!C:C,input_397100!A28)+COUNTIF(tables_397100!C:C,input_397100!A29))</f>
        <v>48</v>
      </c>
      <c r="H5" s="85">
        <v>4.7E-2</v>
      </c>
      <c r="I5" s="31">
        <v>3</v>
      </c>
      <c r="L5" s="82">
        <v>1069</v>
      </c>
      <c r="M5" s="37" t="str">
        <f>VLOOKUP(L5,[1]characters!$A:$C,3,FALSE)</f>
        <v>イシュタル</v>
      </c>
      <c r="N5" s="63">
        <v>1.7999999999999999E-2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VLOOKUP(L5,tables_397100!B:C,2,FALSE)</f>
        <v>PremiumSS5R5only</v>
      </c>
      <c r="R5" s="62">
        <f t="shared" si="1"/>
        <v>469799.99999999994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9.9655172413793108E-3</v>
      </c>
      <c r="F6">
        <f>(COUNTIF(tables_397100!C:C,input_397100!A25)+COUNTIF(tables_397100!C:C,input_397100!A18)+COUNTIF(tables_397100!C:C,input_397100!A20)+COUNTIF(tables_397100!C:C,input_397100!A22))</f>
        <v>88</v>
      </c>
      <c r="H6" s="90">
        <v>8.3000000000000004E-2</v>
      </c>
      <c r="I6" s="31">
        <v>1</v>
      </c>
      <c r="L6" s="82">
        <v>1072</v>
      </c>
      <c r="M6" s="37" t="str">
        <f>VLOOKUP(L6,[1]characters!$A:$C,3,FALSE)</f>
        <v>エンキドゥ</v>
      </c>
      <c r="N6" s="63">
        <v>1.0999999999999999E-2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VLOOKUP(L6,tables_397100!B:C,2,FALSE)</f>
        <v>PremiumSS5R5only</v>
      </c>
      <c r="R6" s="62">
        <f t="shared" si="1"/>
        <v>287100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f>10%-B8</f>
        <v>4.8850000000000005E-2</v>
      </c>
      <c r="L7" s="82">
        <v>1074</v>
      </c>
      <c r="M7" s="37" t="str">
        <f>VLOOKUP(L7,[1]characters!$A:$C,3,FALSE)</f>
        <v>マルドゥク</v>
      </c>
      <c r="N7" s="63">
        <v>1.7999999999999999E-2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VLOOKUP(L7,tables_397100!B:C,2,FALSE)</f>
        <v>PremiumSS5R5only</v>
      </c>
      <c r="R7" s="62">
        <f t="shared" si="1"/>
        <v>469799.99999999994</v>
      </c>
      <c r="S7">
        <v>597</v>
      </c>
      <c r="U7" s="33" t="s">
        <v>196</v>
      </c>
      <c r="V7" s="54">
        <f t="shared" si="0"/>
        <v>7.8850000000000003E-2</v>
      </c>
    </row>
    <row r="8" spans="1:22" x14ac:dyDescent="0.15">
      <c r="A8" s="57"/>
      <c r="B8" s="71">
        <f>N4+N5+N6+N7</f>
        <v>5.1150000000000001E-2</v>
      </c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4.15E-3</v>
      </c>
    </row>
    <row r="9" spans="1:22" x14ac:dyDescent="0.15">
      <c r="A9" s="35" t="s">
        <v>54</v>
      </c>
      <c r="B9" s="35"/>
      <c r="L9" s="89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9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243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4.7E-2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COUNTIF(tables_397100!C:C,input_397100!A17)-COUNTIF(Q:Q,A17)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0.19931034482758622</v>
      </c>
      <c r="C18" s="86">
        <f t="shared" si="2"/>
        <v>0</v>
      </c>
      <c r="D18" s="74">
        <f t="shared" si="3"/>
        <v>0.19931034482758622</v>
      </c>
      <c r="E18">
        <f>COUNTIF(tables_397100!C:C,input_397100!A18)-COUNTIF(Q:Q,A18)</f>
        <v>20</v>
      </c>
      <c r="F18" s="43">
        <f>IFERROR(B18/E18,0)</f>
        <v>9.9655172413793108E-3</v>
      </c>
      <c r="G18">
        <f t="shared" si="4"/>
        <v>5202000</v>
      </c>
      <c r="H18">
        <f t="shared" si="5"/>
        <v>260100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COUNTIF(tables_397100!C:C,input_397100!A19)-COUNTIF(Q:Q,A19)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E$6*E20*B$6+E34</f>
        <v>0.49502691448352532</v>
      </c>
      <c r="C20" s="86">
        <f t="shared" si="2"/>
        <v>0</v>
      </c>
      <c r="D20" s="74">
        <f t="shared" si="3"/>
        <v>0.49502691448352532</v>
      </c>
      <c r="E20">
        <f>COUNTIF(tables_397100!C:C,input_397100!A20)-COUNTIF(Q:Q,A20)</f>
        <v>52</v>
      </c>
      <c r="F20" s="43">
        <f t="shared" si="8"/>
        <v>9.5197483554524103E-3</v>
      </c>
      <c r="G20">
        <f t="shared" si="4"/>
        <v>12920202.468020011</v>
      </c>
      <c r="H20">
        <f t="shared" si="5"/>
        <v>248465.43208</v>
      </c>
      <c r="I20">
        <f t="shared" si="6"/>
        <v>0.43207999999867752</v>
      </c>
      <c r="J20">
        <f t="shared" si="7"/>
        <v>2.3143862247802738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2.5314406896551726E-2</v>
      </c>
      <c r="C21" s="86">
        <f t="shared" si="2"/>
        <v>0</v>
      </c>
      <c r="D21" s="74">
        <f t="shared" si="3"/>
        <v>2.5314406896551726E-2</v>
      </c>
      <c r="E21">
        <f>COUNTIF(tables_397100!C:C,input_397100!A21)-COUNTIF(Q:Q,A21)</f>
        <v>52</v>
      </c>
      <c r="F21" s="43">
        <f t="shared" si="8"/>
        <v>4.8681551724137937E-4</v>
      </c>
      <c r="G21">
        <f t="shared" si="4"/>
        <v>660706.02</v>
      </c>
      <c r="H21">
        <f t="shared" si="5"/>
        <v>12705.885</v>
      </c>
      <c r="I21">
        <f t="shared" si="6"/>
        <v>0.88500000000021828</v>
      </c>
      <c r="J21">
        <f t="shared" si="7"/>
        <v>1.1299435028245801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8.9256878620689664E-2</v>
      </c>
      <c r="C22" s="86">
        <f t="shared" si="2"/>
        <v>7.8850000000000003E-2</v>
      </c>
      <c r="D22" s="74">
        <f t="shared" si="3"/>
        <v>1.0406878620689661E-2</v>
      </c>
      <c r="E22">
        <f>COUNTIF(tables_397100!C:C,input_397100!A22)-COUNTIF(Q:Q,A22)</f>
        <v>11</v>
      </c>
      <c r="F22" s="43">
        <f t="shared" si="8"/>
        <v>8.1142616927899688E-3</v>
      </c>
      <c r="G22">
        <f t="shared" si="4"/>
        <v>2329604.5320000001</v>
      </c>
      <c r="H22">
        <f t="shared" si="5"/>
        <v>211782.23018000001</v>
      </c>
      <c r="I22">
        <f t="shared" si="6"/>
        <v>0.23018000001320615</v>
      </c>
      <c r="J22">
        <f t="shared" si="7"/>
        <v>4.3444261010627629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B$7-B26-B28-B29-B21</f>
        <v>2.0363811034482759E-2</v>
      </c>
      <c r="C23" s="86">
        <f t="shared" si="2"/>
        <v>4.15E-3</v>
      </c>
      <c r="D23" s="74">
        <f t="shared" si="3"/>
        <v>1.6213811034482759E-2</v>
      </c>
      <c r="E23">
        <f>COUNTIF(tables_397100!C:C,input_397100!A23)-COUNTIF(Q:Q,A23)</f>
        <v>11</v>
      </c>
      <c r="F23" s="43">
        <f t="shared" si="8"/>
        <v>1.8512555485893417E-3</v>
      </c>
      <c r="G23">
        <f t="shared" si="4"/>
        <v>531495.46799999999</v>
      </c>
      <c r="H23">
        <f t="shared" si="5"/>
        <v>48317.769820000001</v>
      </c>
      <c r="I23">
        <f t="shared" si="6"/>
        <v>0.76982000000134576</v>
      </c>
      <c r="J23">
        <f t="shared" si="7"/>
        <v>1.2990049621966848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COUNTIF(tables_397100!C:C,input_397100!A24)-COUNTIF(Q:Q,A24)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3.5875862068965522E-2</v>
      </c>
      <c r="C25" s="86">
        <f t="shared" si="2"/>
        <v>0</v>
      </c>
      <c r="D25" s="74">
        <f t="shared" si="3"/>
        <v>3.5875862068965522E-2</v>
      </c>
      <c r="E25">
        <f>COUNTIF(tables_397100!C:C,input_397100!A25)-COUNTIF(Q:Q,A25)</f>
        <v>4</v>
      </c>
      <c r="F25" s="43">
        <f t="shared" si="8"/>
        <v>8.9689655172413806E-3</v>
      </c>
      <c r="G25">
        <f t="shared" si="4"/>
        <v>936360.00000000012</v>
      </c>
      <c r="H25">
        <f t="shared" si="5"/>
        <v>234090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1.9472620689655175E-3</v>
      </c>
      <c r="C26" s="86">
        <f t="shared" si="2"/>
        <v>0</v>
      </c>
      <c r="D26" s="74">
        <f t="shared" si="3"/>
        <v>1.9472620689655175E-3</v>
      </c>
      <c r="E26">
        <f>COUNTIF(tables_397100!C:C,input_397100!A26)-COUNTIF(Q:Q,A26)</f>
        <v>4</v>
      </c>
      <c r="F26" s="43">
        <f t="shared" si="8"/>
        <v>4.8681551724137937E-4</v>
      </c>
      <c r="G26">
        <f t="shared" si="4"/>
        <v>50823.540000000008</v>
      </c>
      <c r="H26">
        <f t="shared" si="5"/>
        <v>12705.885</v>
      </c>
      <c r="I26">
        <f t="shared" si="6"/>
        <v>0.88500000000021828</v>
      </c>
      <c r="J26">
        <f t="shared" si="7"/>
        <v>1.1299435028245801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1.6800000000000016E-3</v>
      </c>
      <c r="C27" s="86">
        <f t="shared" si="2"/>
        <v>0</v>
      </c>
      <c r="D27" s="74">
        <f t="shared" si="3"/>
        <v>1.6800000000000016E-3</v>
      </c>
      <c r="E27">
        <f>COUNTIF(tables_397100!C:C,input_397100!A27)-COUNTIF(Q:Q,A27)</f>
        <v>28</v>
      </c>
      <c r="F27" s="43">
        <f>IFERROR(B27/E27,0)</f>
        <v>6.0000000000000056E-5</v>
      </c>
      <c r="G27">
        <f t="shared" si="4"/>
        <v>43848.000000000044</v>
      </c>
      <c r="H27">
        <f t="shared" si="5"/>
        <v>1566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9.1186666666666754E-5</v>
      </c>
      <c r="C28" s="86">
        <f t="shared" si="2"/>
        <v>0</v>
      </c>
      <c r="D28" s="74">
        <f t="shared" si="3"/>
        <v>9.1186666666666754E-5</v>
      </c>
      <c r="E28">
        <f>COUNTIF(tables_397100!C:C,input_397100!A28)-COUNTIF(Q:Q,A28)</f>
        <v>28</v>
      </c>
      <c r="F28" s="43">
        <f t="shared" si="8"/>
        <v>3.2566666666666696E-6</v>
      </c>
      <c r="G28">
        <f t="shared" si="4"/>
        <v>2379.9720000000025</v>
      </c>
      <c r="H28">
        <f t="shared" si="5"/>
        <v>84.998999999999995</v>
      </c>
      <c r="I28">
        <f t="shared" si="6"/>
        <v>0.99899999999999523</v>
      </c>
      <c r="J28">
        <f t="shared" si="7"/>
        <v>1.0010010010010058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1.1333333333333343E-3</v>
      </c>
      <c r="C29" s="86">
        <f t="shared" si="2"/>
        <v>4.7E-2</v>
      </c>
      <c r="D29" s="74">
        <f t="shared" si="3"/>
        <v>-4.5866666666666667E-2</v>
      </c>
      <c r="E29">
        <f>COUNTIF(tables_397100!C:C,input_397100!A29)-COUNTIF(Q:Q,A29)</f>
        <v>17</v>
      </c>
      <c r="F29" s="43">
        <f t="shared" si="8"/>
        <v>6.6666666666666724E-5</v>
      </c>
      <c r="G29">
        <f t="shared" si="4"/>
        <v>29580.000000000025</v>
      </c>
      <c r="H29">
        <f t="shared" si="5"/>
        <v>1740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240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COUNTIF(tables_397100!C:C,input_397100!A30)-COUNTIF(Q:Q,A30)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241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COUNTIF(tables_397100!C:C,input_397100!A31)-COUNTIF(Q:Q,A31)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0.87000000000076672</v>
      </c>
      <c r="C32" s="41">
        <f>SUM(C19:C31)</f>
        <v>0.13</v>
      </c>
      <c r="D32" s="42">
        <f t="shared" si="3"/>
        <v>0.74000000000076671</v>
      </c>
      <c r="L32" s="57"/>
      <c r="M32" s="57"/>
      <c r="N32" s="57"/>
      <c r="O32" s="57"/>
      <c r="P32" s="57"/>
      <c r="Q32" s="57"/>
      <c r="R32" s="59"/>
    </row>
    <row r="34" spans="1:7" x14ac:dyDescent="0.15">
      <c r="E34">
        <v>2.8640707586973568E-2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SUMIF(tables_397100!C:C,input_397100!A40,tables_397100!O:O)</f>
        <v>0</v>
      </c>
      <c r="C40" s="54">
        <f t="shared" ref="C40:C46" ca="1" si="9">B40/B$47</f>
        <v>0</v>
      </c>
      <c r="E40">
        <v>3</v>
      </c>
      <c r="F40">
        <f ca="1">SUMIF(tables_397100!J:J,input_397100!E40,tables_397100!O:O)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SUMIF(tables_397100!C:C,input_397100!A41,tables_397100!O:O)</f>
        <v>12920202.468160007</v>
      </c>
      <c r="C41" s="54">
        <f t="shared" ca="1" si="9"/>
        <v>0.94812307089851378</v>
      </c>
      <c r="E41">
        <v>4</v>
      </c>
      <c r="F41">
        <f ca="1">SUMIF(tables_397100!J:J,input_397100!E41,tables_397100!O:O)</f>
        <v>23490000.000140011</v>
      </c>
      <c r="G41">
        <f ca="1">F41/A36</f>
        <v>0.9000000000053644</v>
      </c>
    </row>
    <row r="42" spans="1:7" x14ac:dyDescent="0.15">
      <c r="A42" s="33" t="s">
        <v>106</v>
      </c>
      <c r="B42">
        <f ca="1">SUMIF(tables_397100!C:C,input_397100!A42,tables_397100!O:O)</f>
        <v>43848</v>
      </c>
      <c r="C42" s="54">
        <f t="shared" ca="1" si="9"/>
        <v>3.2176972857205209E-3</v>
      </c>
      <c r="E42">
        <v>5</v>
      </c>
      <c r="F42">
        <f ca="1">SUMIF(tables_397100!J:J,input_397100!E42,tables_397100!O:O)</f>
        <v>2610000.0000200002</v>
      </c>
      <c r="G42">
        <f ca="1">F42/A36</f>
        <v>0.1000000000007663</v>
      </c>
    </row>
    <row r="43" spans="1:7" x14ac:dyDescent="0.15">
      <c r="A43" s="33" t="s">
        <v>109</v>
      </c>
      <c r="B43">
        <f>SUMIF(tables_397100!C:C,input_397100!A43,tables_397100!O:O)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SUMIF(tables_397100!C:C,input_397100!A44,tables_397100!O:O)</f>
        <v>660706.02000000037</v>
      </c>
      <c r="C44" s="54">
        <f t="shared" ca="1" si="9"/>
        <v>4.848458235753534E-2</v>
      </c>
      <c r="E44" t="s">
        <v>54</v>
      </c>
      <c r="F44" s="55"/>
    </row>
    <row r="45" spans="1:7" x14ac:dyDescent="0.15">
      <c r="A45" s="33" t="s">
        <v>107</v>
      </c>
      <c r="B45">
        <f ca="1">SUMIF(tables_397100!C:C,input_397100!A45,tables_397100!O:O)</f>
        <v>2379.9719999999998</v>
      </c>
      <c r="C45" s="54">
        <f t="shared" ca="1" si="9"/>
        <v>1.7464945823049714E-4</v>
      </c>
      <c r="E45" t="s">
        <v>204</v>
      </c>
      <c r="F45" s="55">
        <f ca="1">SUMIF(tables_397100!I:I,input_397100!E45,tables_397100!P:P)</f>
        <v>0.19931034482636395</v>
      </c>
    </row>
    <row r="46" spans="1:7" x14ac:dyDescent="0.15">
      <c r="A46" s="33" t="s">
        <v>108</v>
      </c>
      <c r="B46">
        <f>SUMIF(tables_397100!C:C,input_397100!A46,tables_397100!O:O)</f>
        <v>0</v>
      </c>
      <c r="C46" s="54">
        <f t="shared" ca="1" si="9"/>
        <v>0</v>
      </c>
      <c r="E46" t="s">
        <v>205</v>
      </c>
      <c r="F46" s="55">
        <f ca="1">SUMIF(tables_397100!I:I,input_397100!E46,tables_397100!P:P)</f>
        <v>0.19847892893977909</v>
      </c>
    </row>
    <row r="47" spans="1:7" x14ac:dyDescent="0.15">
      <c r="A47" s="39" t="s">
        <v>59</v>
      </c>
      <c r="B47">
        <f ca="1">SUM(B40:B46)</f>
        <v>13627136.460160006</v>
      </c>
      <c r="C47" s="55">
        <f ca="1">SUM(C40:C46)</f>
        <v>1.0000000000000002</v>
      </c>
      <c r="E47" t="s">
        <v>206</v>
      </c>
      <c r="F47" s="55">
        <f ca="1">SUMIF(tables_397100!I:I,input_397100!E47,tables_397100!P:P)</f>
        <v>0.55230620623416138</v>
      </c>
    </row>
    <row r="48" spans="1:7" x14ac:dyDescent="0.15">
      <c r="E48" t="s">
        <v>207</v>
      </c>
      <c r="F48" s="55">
        <f ca="1">SUMIF(tables_397100!I:I,input_397100!E48,tables_397100!P:P)</f>
        <v>3.8904519999761432E-2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input_397100!A$2</f>
        <v>397100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IFERROR(VLOOKUP(B2,input_397100!L:R,7,FALSE),VLOOKUP(tables_397100!C2,input_397100!A:H,8,FALSE))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input_397100!A$2</f>
        <v>397100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IFERROR(VLOOKUP(B3,input_397100!L:R,7,FALSE),VLOOKUP(tables_397100!C3,input_397100!A:H,8,FALSE))</f>
        <v>260100</v>
      </c>
      <c r="P3" s="46">
        <f t="shared" ca="1" si="1"/>
        <v>9.9655172413182017E-3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input_397100!A$2</f>
        <v>397100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IFERROR(VLOOKUP(B4,input_397100!L:R,7,FALSE),VLOOKUP(tables_397100!C4,input_397100!A:H,8,FALSE))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input_397100!A$2</f>
        <v>397100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IFERROR(VLOOKUP(B5,input_397100!L:R,7,FALSE),VLOOKUP(tables_397100!C5,input_397100!A:H,8,FALSE))</f>
        <v>260100</v>
      </c>
      <c r="P5" s="46">
        <f t="shared" ca="1" si="1"/>
        <v>9.9655172413182017E-3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input_397100!A$2</f>
        <v>397100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IFERROR(VLOOKUP(B6,input_397100!L:R,7,FALSE),VLOOKUP(tables_397100!C6,input_397100!A:H,8,FALSE))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input_397100!A$2</f>
        <v>397100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IFERROR(VLOOKUP(B7,input_397100!L:R,7,FALSE),VLOOKUP(tables_397100!C7,input_397100!A:H,8,FALSE))</f>
        <v>260100</v>
      </c>
      <c r="P7" s="46">
        <f t="shared" ca="1" si="1"/>
        <v>9.9655172413182017E-3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input_397100!A$2</f>
        <v>397100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IFERROR(VLOOKUP(B8,input_397100!L:R,7,FALSE),VLOOKUP(tables_397100!C8,input_397100!A:H,8,FALSE))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input_397100!A$2</f>
        <v>397100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IFERROR(VLOOKUP(B9,input_397100!L:R,7,FALSE),VLOOKUP(tables_397100!C9,input_397100!A:H,8,FALSE))</f>
        <v>260100</v>
      </c>
      <c r="P9" s="46">
        <f t="shared" ca="1" si="1"/>
        <v>9.9655172413182017E-3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input_397100!A$2</f>
        <v>397100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IFERROR(VLOOKUP(B10,input_397100!L:R,7,FALSE),VLOOKUP(tables_397100!C10,input_397100!A:H,8,FALSE))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input_397100!A$2</f>
        <v>397100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IFERROR(VLOOKUP(B11,input_397100!L:R,7,FALSE),VLOOKUP(tables_397100!C11,input_397100!A:H,8,FALSE))</f>
        <v>260100</v>
      </c>
      <c r="P11" s="46">
        <f t="shared" ca="1" si="1"/>
        <v>9.9655172413182017E-3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input_397100!A$2</f>
        <v>397100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IFERROR(VLOOKUP(B12,input_397100!L:R,7,FALSE),VLOOKUP(tables_397100!C12,input_397100!A:H,8,FALSE))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input_397100!A$2</f>
        <v>397100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IFERROR(VLOOKUP(B13,input_397100!L:R,7,FALSE),VLOOKUP(tables_397100!C13,input_397100!A:H,8,FALSE))</f>
        <v>260100</v>
      </c>
      <c r="P13" s="46">
        <f t="shared" ca="1" si="1"/>
        <v>9.9655172413182017E-3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input_397100!A$2</f>
        <v>397100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IFERROR(VLOOKUP(B14,input_397100!L:R,7,FALSE),VLOOKUP(tables_397100!C14,input_397100!A:H,8,FALSE))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input_397100!A$2</f>
        <v>397100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IFERROR(VLOOKUP(B15,input_397100!L:R,7,FALSE),VLOOKUP(tables_397100!C15,input_397100!A:H,8,FALSE))</f>
        <v>260100</v>
      </c>
      <c r="P15" s="46">
        <f t="shared" ca="1" si="1"/>
        <v>9.9655172413182017E-3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input_397100!A$2</f>
        <v>397100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IFERROR(VLOOKUP(B16,input_397100!L:R,7,FALSE),VLOOKUP(tables_397100!C16,input_397100!A:H,8,FALSE))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input_397100!A$2</f>
        <v>397100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IFERROR(VLOOKUP(B17,input_397100!L:R,7,FALSE),VLOOKUP(tables_397100!C17,input_397100!A:H,8,FALSE))</f>
        <v>260100</v>
      </c>
      <c r="P17" s="46">
        <f t="shared" ca="1" si="1"/>
        <v>9.9655172413182017E-3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input_397100!A$2</f>
        <v>397100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IFERROR(VLOOKUP(B18,input_397100!L:R,7,FALSE),VLOOKUP(tables_397100!C18,input_397100!A:H,8,FALSE))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input_397100!A$2</f>
        <v>397100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IFERROR(VLOOKUP(B19,input_397100!L:R,7,FALSE),VLOOKUP(tables_397100!C19,input_397100!A:H,8,FALSE))</f>
        <v>260100</v>
      </c>
      <c r="P19" s="46">
        <f t="shared" ca="1" si="1"/>
        <v>9.9655172413182017E-3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input_397100!A$2</f>
        <v>397100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IFERROR(VLOOKUP(B20,input_397100!L:R,7,FALSE),VLOOKUP(tables_397100!C20,input_397100!A:H,8,FALSE))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input_397100!A$2</f>
        <v>397100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IFERROR(VLOOKUP(B21,input_397100!L:R,7,FALSE),VLOOKUP(tables_397100!C21,input_397100!A:H,8,FALSE))</f>
        <v>260100</v>
      </c>
      <c r="P21" s="46">
        <f t="shared" ca="1" si="1"/>
        <v>9.9655172413182017E-3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input_397100!A$2</f>
        <v>397100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IFERROR(VLOOKUP(B22,input_397100!L:R,7,FALSE),VLOOKUP(tables_397100!C22,input_397100!A:H,8,FALSE))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input_397100!A$2</f>
        <v>397100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IFERROR(VLOOKUP(B23,input_397100!L:R,7,FALSE),VLOOKUP(tables_397100!C23,input_397100!A:H,8,FALSE))</f>
        <v>260100</v>
      </c>
      <c r="P23" s="46">
        <f t="shared" ca="1" si="1"/>
        <v>9.9655172413182017E-3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input_397100!A$2</f>
        <v>397100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IFERROR(VLOOKUP(B24,input_397100!L:R,7,FALSE),VLOOKUP(tables_397100!C24,input_397100!A:H,8,FALSE))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input_397100!A$2</f>
        <v>397100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IFERROR(VLOOKUP(B25,input_397100!L:R,7,FALSE),VLOOKUP(tables_397100!C25,input_397100!A:H,8,FALSE))</f>
        <v>260100</v>
      </c>
      <c r="P25" s="46">
        <f t="shared" ca="1" si="1"/>
        <v>9.9655172413182017E-3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input_397100!A$2</f>
        <v>397100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IFERROR(VLOOKUP(B26,input_397100!L:R,7,FALSE),VLOOKUP(tables_397100!C26,input_397100!A:H,8,FALSE))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input_397100!A$2</f>
        <v>397100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IFERROR(VLOOKUP(B27,input_397100!L:R,7,FALSE),VLOOKUP(tables_397100!C27,input_397100!A:H,8,FALSE))</f>
        <v>260100</v>
      </c>
      <c r="P27" s="46">
        <f t="shared" ca="1" si="1"/>
        <v>9.9655172413182017E-3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input_397100!A$2</f>
        <v>397100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IFERROR(VLOOKUP(B28,input_397100!L:R,7,FALSE),VLOOKUP(tables_397100!C28,input_397100!A:H,8,FALSE))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input_397100!A$2</f>
        <v>397100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IFERROR(VLOOKUP(B29,input_397100!L:R,7,FALSE),VLOOKUP(tables_397100!C29,input_397100!A:H,8,FALSE))</f>
        <v>260100</v>
      </c>
      <c r="P29" s="46">
        <f t="shared" ca="1" si="1"/>
        <v>9.9655172413182017E-3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input_397100!A$2</f>
        <v>397100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IFERROR(VLOOKUP(B30,input_397100!L:R,7,FALSE),VLOOKUP(tables_397100!C30,input_397100!A:H,8,FALSE))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input_397100!A$2</f>
        <v>397100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IFERROR(VLOOKUP(B31,input_397100!L:R,7,FALSE),VLOOKUP(tables_397100!C31,input_397100!A:H,8,FALSE))</f>
        <v>260100</v>
      </c>
      <c r="P31" s="46">
        <f t="shared" ca="1" si="1"/>
        <v>9.9655172413182017E-3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input_397100!A$2</f>
        <v>397100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IFERROR(VLOOKUP(B32,input_397100!L:R,7,FALSE),VLOOKUP(tables_397100!C32,input_397100!A:H,8,FALSE))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input_397100!A$2</f>
        <v>397100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IFERROR(VLOOKUP(B33,input_397100!L:R,7,FALSE),VLOOKUP(tables_397100!C33,input_397100!A:H,8,FALSE))</f>
        <v>260100</v>
      </c>
      <c r="P33" s="46">
        <f t="shared" ca="1" si="1"/>
        <v>9.9655172413182017E-3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input_397100!A$2</f>
        <v>397100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IFERROR(VLOOKUP(B34,input_397100!L:R,7,FALSE),VLOOKUP(tables_397100!C34,input_397100!A:H,8,FALSE))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input_397100!A$2</f>
        <v>397100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IFERROR(VLOOKUP(B35,input_397100!L:R,7,FALSE),VLOOKUP(tables_397100!C35,input_397100!A:H,8,FALSE))</f>
        <v>260100</v>
      </c>
      <c r="P35" s="46">
        <f t="shared" ca="1" si="1"/>
        <v>9.9655172413182017E-3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input_397100!A$2</f>
        <v>397100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IFERROR(VLOOKUP(B36,input_397100!L:R,7,FALSE),VLOOKUP(tables_397100!C36,input_397100!A:H,8,FALSE))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input_397100!A$2</f>
        <v>397100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IFERROR(VLOOKUP(B37,input_397100!L:R,7,FALSE),VLOOKUP(tables_397100!C37,input_397100!A:H,8,FALSE))</f>
        <v>260100</v>
      </c>
      <c r="P37" s="46">
        <f t="shared" ca="1" si="1"/>
        <v>9.9655172413182017E-3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input_397100!A$2</f>
        <v>397100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IFERROR(VLOOKUP(B38,input_397100!L:R,7,FALSE),VLOOKUP(tables_397100!C38,input_397100!A:H,8,FALSE))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input_397100!A$2</f>
        <v>397100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IFERROR(VLOOKUP(B39,input_397100!L:R,7,FALSE),VLOOKUP(tables_397100!C39,input_397100!A:H,8,FALSE))</f>
        <v>260100</v>
      </c>
      <c r="P39" s="46">
        <f t="shared" ca="1" si="1"/>
        <v>9.9655172413182017E-3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input_397100!A$2</f>
        <v>397100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IFERROR(VLOOKUP(B40,input_397100!L:R,7,FALSE),VLOOKUP(tables_397100!C40,input_397100!A:H,8,FALSE))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input_397100!A$2</f>
        <v>397100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IFERROR(VLOOKUP(B41,input_397100!L:R,7,FALSE),VLOOKUP(tables_397100!C41,input_397100!A:H,8,FALSE))</f>
        <v>260100</v>
      </c>
      <c r="P41" s="46">
        <f t="shared" ca="1" si="1"/>
        <v>9.9655172413182017E-3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input_397100!A$2</f>
        <v>397100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IFERROR(VLOOKUP(B42,input_397100!L:R,7,FALSE),VLOOKUP(tables_397100!C42,input_397100!A:H,8,FALSE))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input_397100!A$2</f>
        <v>397100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IFERROR(VLOOKUP(B43,input_397100!L:R,7,FALSE),VLOOKUP(tables_397100!C43,input_397100!A:H,8,FALSE))</f>
        <v>234090</v>
      </c>
      <c r="P43" s="46">
        <f t="shared" ca="1" si="1"/>
        <v>8.9689655171863811E-3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input_397100!A$2</f>
        <v>397100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IFERROR(VLOOKUP(B44,input_397100!L:R,7,FALSE),VLOOKUP(tables_397100!C44,input_397100!A:H,8,FALSE))</f>
        <v>12705.885</v>
      </c>
      <c r="P44" s="46">
        <f t="shared" ca="1" si="1"/>
        <v>4.8681551723839413E-4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input_397100!A$2</f>
        <v>397100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IFERROR(VLOOKUP(B45,input_397100!L:R,7,FALSE),VLOOKUP(tables_397100!C45,input_397100!A:H,8,FALSE))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input_397100!A$2</f>
        <v>397100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IFERROR(VLOOKUP(B46,input_397100!L:R,7,FALSE),VLOOKUP(tables_397100!C46,input_397100!A:H,8,FALSE))</f>
        <v>234090</v>
      </c>
      <c r="P46" s="46">
        <f t="shared" ca="1" si="1"/>
        <v>8.9689655171863811E-3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input_397100!A$2</f>
        <v>397100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IFERROR(VLOOKUP(B47,input_397100!L:R,7,FALSE),VLOOKUP(tables_397100!C47,input_397100!A:H,8,FALSE))</f>
        <v>12705.885</v>
      </c>
      <c r="P47" s="46">
        <f t="shared" ca="1" si="1"/>
        <v>4.8681551723839413E-4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input_397100!A$2</f>
        <v>397100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IFERROR(VLOOKUP(B48,input_397100!L:R,7,FALSE),VLOOKUP(tables_397100!C48,input_397100!A:H,8,FALSE))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input_397100!A$2</f>
        <v>397100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IFERROR(VLOOKUP(B49,input_397100!L:R,7,FALSE),VLOOKUP(tables_397100!C49,input_397100!A:H,8,FALSE))</f>
        <v>234090</v>
      </c>
      <c r="P49" s="46">
        <f t="shared" ca="1" si="1"/>
        <v>8.9689655171863811E-3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input_397100!A$2</f>
        <v>397100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IFERROR(VLOOKUP(B50,input_397100!L:R,7,FALSE),VLOOKUP(tables_397100!C50,input_397100!A:H,8,FALSE))</f>
        <v>12705.885</v>
      </c>
      <c r="P50" s="46">
        <f t="shared" ca="1" si="1"/>
        <v>4.8681551723839413E-4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input_397100!A$2</f>
        <v>397100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IFERROR(VLOOKUP(B51,input_397100!L:R,7,FALSE),VLOOKUP(tables_397100!C51,input_397100!A:H,8,FALSE))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input_397100!A$2</f>
        <v>397100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IFERROR(VLOOKUP(B52,input_397100!L:R,7,FALSE),VLOOKUP(tables_397100!C52,input_397100!A:H,8,FALSE))</f>
        <v>248465.43208</v>
      </c>
      <c r="P52" s="46">
        <f t="shared" ca="1" si="1"/>
        <v>9.5197483554971801E-3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input_397100!A$2</f>
        <v>397100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IFERROR(VLOOKUP(B53,input_397100!L:R,7,FALSE),VLOOKUP(tables_397100!C53,input_397100!A:H,8,FALSE))</f>
        <v>12705.885</v>
      </c>
      <c r="P53" s="46">
        <f t="shared" ca="1" si="1"/>
        <v>4.8681551723839413E-4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input_397100!A$2</f>
        <v>397100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IFERROR(VLOOKUP(B54,input_397100!L:R,7,FALSE),VLOOKUP(tables_397100!C54,input_397100!A:H,8,FALSE))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input_397100!A$2</f>
        <v>397100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IFERROR(VLOOKUP(B55,input_397100!L:R,7,FALSE),VLOOKUP(tables_397100!C55,input_397100!A:H,8,FALSE))</f>
        <v>248465.43208</v>
      </c>
      <c r="P55" s="46">
        <f t="shared" ca="1" si="1"/>
        <v>9.5197483554971801E-3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input_397100!A$2</f>
        <v>397100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IFERROR(VLOOKUP(B56,input_397100!L:R,7,FALSE),VLOOKUP(tables_397100!C56,input_397100!A:H,8,FALSE))</f>
        <v>12705.885</v>
      </c>
      <c r="P56" s="46">
        <f t="shared" ca="1" si="1"/>
        <v>4.8681551723839413E-4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input_397100!A$2</f>
        <v>397100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IFERROR(VLOOKUP(B57,input_397100!L:R,7,FALSE),VLOOKUP(tables_397100!C57,input_397100!A:H,8,FALSE))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input_397100!A$2</f>
        <v>397100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IFERROR(VLOOKUP(B58,input_397100!L:R,7,FALSE),VLOOKUP(tables_397100!C58,input_397100!A:H,8,FALSE))</f>
        <v>248465.43208</v>
      </c>
      <c r="P58" s="46">
        <f t="shared" ca="1" si="1"/>
        <v>9.5197483554971801E-3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input_397100!A$2</f>
        <v>397100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IFERROR(VLOOKUP(B59,input_397100!L:R,7,FALSE),VLOOKUP(tables_397100!C59,input_397100!A:H,8,FALSE))</f>
        <v>12705.885</v>
      </c>
      <c r="P59" s="46">
        <f t="shared" ca="1" si="1"/>
        <v>4.8681551723839413E-4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input_397100!A$2</f>
        <v>397100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IFERROR(VLOOKUP(B60,input_397100!L:R,7,FALSE),VLOOKUP(tables_397100!C60,input_397100!A:H,8,FALSE))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input_397100!A$2</f>
        <v>397100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IFERROR(VLOOKUP(B61,input_397100!L:R,7,FALSE),VLOOKUP(tables_397100!C61,input_397100!A:H,8,FALSE))</f>
        <v>248465.43208</v>
      </c>
      <c r="P61" s="46">
        <f t="shared" ca="1" si="1"/>
        <v>9.5197483554971801E-3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input_397100!A$2</f>
        <v>397100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IFERROR(VLOOKUP(B62,input_397100!L:R,7,FALSE),VLOOKUP(tables_397100!C62,input_397100!A:H,8,FALSE))</f>
        <v>12705.885</v>
      </c>
      <c r="P62" s="46">
        <f t="shared" ca="1" si="1"/>
        <v>4.8681551723839413E-4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input_397100!A$2</f>
        <v>397100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IFERROR(VLOOKUP(B63,input_397100!L:R,7,FALSE),VLOOKUP(tables_397100!C63,input_397100!A:H,8,FALSE))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input_397100!A$2</f>
        <v>397100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IFERROR(VLOOKUP(B64,input_397100!L:R,7,FALSE),VLOOKUP(tables_397100!C64,input_397100!A:H,8,FALSE))</f>
        <v>248465.43208</v>
      </c>
      <c r="P64" s="46">
        <f t="shared" ca="1" si="1"/>
        <v>9.5197483554971801E-3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input_397100!A$2</f>
        <v>397100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IFERROR(VLOOKUP(B65,input_397100!L:R,7,FALSE),VLOOKUP(tables_397100!C65,input_397100!A:H,8,FALSE))</f>
        <v>12705.885</v>
      </c>
      <c r="P65" s="46">
        <f t="shared" ca="1" si="1"/>
        <v>4.8681551723839413E-4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input_397100!A$2</f>
        <v>397100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IFERROR(VLOOKUP(B66,input_397100!L:R,7,FALSE),VLOOKUP(tables_397100!C66,input_397100!A:H,8,FALSE))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input_397100!A$2</f>
        <v>397100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IFERROR(VLOOKUP(B67,input_397100!L:R,7,FALSE),VLOOKUP(tables_397100!C67,input_397100!A:H,8,FALSE))</f>
        <v>248465.43208</v>
      </c>
      <c r="P67" s="46">
        <f t="shared" ca="1" si="4"/>
        <v>9.5197483554971801E-3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input_397100!A$2</f>
        <v>397100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IFERROR(VLOOKUP(B68,input_397100!L:R,7,FALSE),VLOOKUP(tables_397100!C68,input_397100!A:H,8,FALSE))</f>
        <v>12705.885</v>
      </c>
      <c r="P68" s="46">
        <f t="shared" ca="1" si="4"/>
        <v>4.8681551723839413E-4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input_397100!A$2</f>
        <v>397100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IFERROR(VLOOKUP(B69,input_397100!L:R,7,FALSE),VLOOKUP(tables_397100!C69,input_397100!A:H,8,FALSE))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input_397100!A$2</f>
        <v>397100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IFERROR(VLOOKUP(B70,input_397100!L:R,7,FALSE),VLOOKUP(tables_397100!C70,input_397100!A:H,8,FALSE))</f>
        <v>248465.43208</v>
      </c>
      <c r="P70" s="46">
        <f t="shared" ca="1" si="4"/>
        <v>9.5197483554971801E-3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input_397100!A$2</f>
        <v>397100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IFERROR(VLOOKUP(B71,input_397100!L:R,7,FALSE),VLOOKUP(tables_397100!C71,input_397100!A:H,8,FALSE))</f>
        <v>12705.885</v>
      </c>
      <c r="P71" s="46">
        <f t="shared" ca="1" si="4"/>
        <v>4.8681551723839413E-4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input_397100!A$2</f>
        <v>397100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IFERROR(VLOOKUP(B72,input_397100!L:R,7,FALSE),VLOOKUP(tables_397100!C72,input_397100!A:H,8,FALSE))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input_397100!A$2</f>
        <v>397100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IFERROR(VLOOKUP(B73,input_397100!L:R,7,FALSE),VLOOKUP(tables_397100!C73,input_397100!A:H,8,FALSE))</f>
        <v>248465.43208</v>
      </c>
      <c r="P73" s="46">
        <f t="shared" ca="1" si="4"/>
        <v>9.5197483554971801E-3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input_397100!A$2</f>
        <v>397100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IFERROR(VLOOKUP(B74,input_397100!L:R,7,FALSE),VLOOKUP(tables_397100!C74,input_397100!A:H,8,FALSE))</f>
        <v>12705.885</v>
      </c>
      <c r="P74" s="46">
        <f t="shared" ca="1" si="4"/>
        <v>4.8681551723839413E-4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input_397100!A$2</f>
        <v>397100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IFERROR(VLOOKUP(B75,input_397100!L:R,7,FALSE),VLOOKUP(tables_397100!C75,input_397100!A:H,8,FALSE))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input_397100!A$2</f>
        <v>397100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IFERROR(VLOOKUP(B76,input_397100!L:R,7,FALSE),VLOOKUP(tables_397100!C76,input_397100!A:H,8,FALSE))</f>
        <v>248465.43208</v>
      </c>
      <c r="P76" s="46">
        <f t="shared" ca="1" si="4"/>
        <v>9.5197483554971801E-3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input_397100!A$2</f>
        <v>397100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IFERROR(VLOOKUP(B77,input_397100!L:R,7,FALSE),VLOOKUP(tables_397100!C77,input_397100!A:H,8,FALSE))</f>
        <v>12705.885</v>
      </c>
      <c r="P77" s="46">
        <f t="shared" ca="1" si="4"/>
        <v>4.8681551723839413E-4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input_397100!A$2</f>
        <v>397100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IFERROR(VLOOKUP(B78,input_397100!L:R,7,FALSE),VLOOKUP(tables_397100!C78,input_397100!A:H,8,FALSE))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input_397100!A$2</f>
        <v>397100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IFERROR(VLOOKUP(B79,input_397100!L:R,7,FALSE),VLOOKUP(tables_397100!C79,input_397100!A:H,8,FALSE))</f>
        <v>248465.43208</v>
      </c>
      <c r="P79" s="46">
        <f t="shared" ca="1" si="4"/>
        <v>9.5197483554971801E-3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input_397100!A$2</f>
        <v>397100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IFERROR(VLOOKUP(B80,input_397100!L:R,7,FALSE),VLOOKUP(tables_397100!C80,input_397100!A:H,8,FALSE))</f>
        <v>12705.885</v>
      </c>
      <c r="P80" s="46">
        <f t="shared" ca="1" si="4"/>
        <v>4.8681551723839413E-4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input_397100!A$2</f>
        <v>397100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IFERROR(VLOOKUP(B81,input_397100!L:R,7,FALSE),VLOOKUP(tables_397100!C81,input_397100!A:H,8,FALSE))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input_397100!A$2</f>
        <v>397100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IFERROR(VLOOKUP(B82,input_397100!L:R,7,FALSE),VLOOKUP(tables_397100!C82,input_397100!A:H,8,FALSE))</f>
        <v>248465.43208</v>
      </c>
      <c r="P82" s="46">
        <f t="shared" ca="1" si="4"/>
        <v>9.5197483554971801E-3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input_397100!A$2</f>
        <v>397100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IFERROR(VLOOKUP(B83,input_397100!L:R,7,FALSE),VLOOKUP(tables_397100!C83,input_397100!A:H,8,FALSE))</f>
        <v>12705.885</v>
      </c>
      <c r="P83" s="46">
        <f t="shared" ca="1" si="4"/>
        <v>4.8681551723839413E-4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input_397100!A$2</f>
        <v>397100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IFERROR(VLOOKUP(B84,input_397100!L:R,7,FALSE),VLOOKUP(tables_397100!C84,input_397100!A:H,8,FALSE))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input_397100!A$2</f>
        <v>397100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IFERROR(VLOOKUP(B85,input_397100!L:R,7,FALSE),VLOOKUP(tables_397100!C85,input_397100!A:H,8,FALSE))</f>
        <v>248465.43208</v>
      </c>
      <c r="P85" s="46">
        <f t="shared" ca="1" si="4"/>
        <v>9.5197483554971801E-3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input_397100!A$2</f>
        <v>397100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IFERROR(VLOOKUP(B86,input_397100!L:R,7,FALSE),VLOOKUP(tables_397100!C86,input_397100!A:H,8,FALSE))</f>
        <v>12705.885</v>
      </c>
      <c r="P86" s="46">
        <f t="shared" ca="1" si="4"/>
        <v>4.8681551723839413E-4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input_397100!A$2</f>
        <v>397100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IFERROR(VLOOKUP(B87,input_397100!L:R,7,FALSE),VLOOKUP(tables_397100!C87,input_397100!A:H,8,FALSE))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input_397100!A$2</f>
        <v>397100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IFERROR(VLOOKUP(B88,input_397100!L:R,7,FALSE),VLOOKUP(tables_397100!C88,input_397100!A:H,8,FALSE))</f>
        <v>248465.43208</v>
      </c>
      <c r="P88" s="46">
        <f t="shared" ca="1" si="4"/>
        <v>9.5197483554971801E-3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input_397100!A$2</f>
        <v>397100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IFERROR(VLOOKUP(B89,input_397100!L:R,7,FALSE),VLOOKUP(tables_397100!C89,input_397100!A:H,8,FALSE))</f>
        <v>12705.885</v>
      </c>
      <c r="P89" s="46">
        <f t="shared" ca="1" si="4"/>
        <v>4.8681551723839413E-4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input_397100!A$2</f>
        <v>397100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IFERROR(VLOOKUP(B90,input_397100!L:R,7,FALSE),VLOOKUP(tables_397100!C90,input_397100!A:H,8,FALSE))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input_397100!A$2</f>
        <v>397100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IFERROR(VLOOKUP(B91,input_397100!L:R,7,FALSE),VLOOKUP(tables_397100!C91,input_397100!A:H,8,FALSE))</f>
        <v>248465.43208</v>
      </c>
      <c r="P91" s="46">
        <f t="shared" ca="1" si="4"/>
        <v>9.5197483554971801E-3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input_397100!A$2</f>
        <v>397100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IFERROR(VLOOKUP(B92,input_397100!L:R,7,FALSE),VLOOKUP(tables_397100!C92,input_397100!A:H,8,FALSE))</f>
        <v>12705.885</v>
      </c>
      <c r="P92" s="46">
        <f t="shared" ca="1" si="4"/>
        <v>4.8681551723839413E-4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input_397100!A$2</f>
        <v>397100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IFERROR(VLOOKUP(B93,input_397100!L:R,7,FALSE),VLOOKUP(tables_397100!C93,input_397100!A:H,8,FALSE))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input_397100!A$2</f>
        <v>397100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IFERROR(VLOOKUP(B94,input_397100!L:R,7,FALSE),VLOOKUP(tables_397100!C94,input_397100!A:H,8,FALSE))</f>
        <v>248465.43208</v>
      </c>
      <c r="P94" s="46">
        <f t="shared" ca="1" si="4"/>
        <v>9.5197483554971801E-3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input_397100!A$2</f>
        <v>397100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IFERROR(VLOOKUP(B95,input_397100!L:R,7,FALSE),VLOOKUP(tables_397100!C95,input_397100!A:H,8,FALSE))</f>
        <v>12705.885</v>
      </c>
      <c r="P95" s="46">
        <f t="shared" ca="1" si="4"/>
        <v>4.8681551723839413E-4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input_397100!A$2</f>
        <v>397100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IFERROR(VLOOKUP(B96,input_397100!L:R,7,FALSE),VLOOKUP(tables_397100!C96,input_397100!A:H,8,FALSE))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input_397100!A$2</f>
        <v>397100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IFERROR(VLOOKUP(B97,input_397100!L:R,7,FALSE),VLOOKUP(tables_397100!C97,input_397100!A:H,8,FALSE))</f>
        <v>248465.43208</v>
      </c>
      <c r="P97" s="46">
        <f t="shared" ca="1" si="4"/>
        <v>9.5197483554971801E-3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input_397100!A$2</f>
        <v>397100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IFERROR(VLOOKUP(B98,input_397100!L:R,7,FALSE),VLOOKUP(tables_397100!C98,input_397100!A:H,8,FALSE))</f>
        <v>12705.885</v>
      </c>
      <c r="P98" s="46">
        <f t="shared" ca="1" si="4"/>
        <v>4.8681551723839413E-4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input_397100!A$2</f>
        <v>397100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IFERROR(VLOOKUP(B99,input_397100!L:R,7,FALSE),VLOOKUP(tables_397100!C99,input_397100!A:H,8,FALSE))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input_397100!A$2</f>
        <v>397100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IFERROR(VLOOKUP(B100,input_397100!L:R,7,FALSE),VLOOKUP(tables_397100!C100,input_397100!A:H,8,FALSE))</f>
        <v>248465.43208</v>
      </c>
      <c r="P100" s="46">
        <f t="shared" ca="1" si="4"/>
        <v>9.5197483554971801E-3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input_397100!A$2</f>
        <v>397100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IFERROR(VLOOKUP(B101,input_397100!L:R,7,FALSE),VLOOKUP(tables_397100!C101,input_397100!A:H,8,FALSE))</f>
        <v>12705.885</v>
      </c>
      <c r="P101" s="46">
        <f t="shared" ca="1" si="4"/>
        <v>4.8681551723839413E-4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input_397100!A$2</f>
        <v>397100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IFERROR(VLOOKUP(B102,input_397100!L:R,7,FALSE),VLOOKUP(tables_397100!C102,input_397100!A:H,8,FALSE))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input_397100!A$2</f>
        <v>397100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IFERROR(VLOOKUP(B103,input_397100!L:R,7,FALSE),VLOOKUP(tables_397100!C103,input_397100!A:H,8,FALSE))</f>
        <v>248465.43208</v>
      </c>
      <c r="P103" s="46">
        <f t="shared" ca="1" si="4"/>
        <v>9.5197483554971801E-3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input_397100!A$2</f>
        <v>397100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IFERROR(VLOOKUP(B104,input_397100!L:R,7,FALSE),VLOOKUP(tables_397100!C104,input_397100!A:H,8,FALSE))</f>
        <v>12705.885</v>
      </c>
      <c r="P104" s="46">
        <f t="shared" ca="1" si="4"/>
        <v>4.8681551723839413E-4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input_397100!A$2</f>
        <v>397100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IFERROR(VLOOKUP(B105,input_397100!L:R,7,FALSE),VLOOKUP(tables_397100!C105,input_397100!A:H,8,FALSE))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input_397100!A$2</f>
        <v>397100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IFERROR(VLOOKUP(B106,input_397100!L:R,7,FALSE),VLOOKUP(tables_397100!C106,input_397100!A:H,8,FALSE))</f>
        <v>248465.43208</v>
      </c>
      <c r="P106" s="46">
        <f t="shared" ca="1" si="4"/>
        <v>9.5197483554971801E-3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input_397100!A$2</f>
        <v>397100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IFERROR(VLOOKUP(B107,input_397100!L:R,7,FALSE),VLOOKUP(tables_397100!C107,input_397100!A:H,8,FALSE))</f>
        <v>12705.885</v>
      </c>
      <c r="P107" s="46">
        <f t="shared" ca="1" si="4"/>
        <v>4.8681551723839413E-4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input_397100!A$2</f>
        <v>397100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IFERROR(VLOOKUP(B108,input_397100!L:R,7,FALSE),VLOOKUP(tables_397100!C108,input_397100!A:H,8,FALSE))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input_397100!A$2</f>
        <v>397100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IFERROR(VLOOKUP(B109,input_397100!L:R,7,FALSE),VLOOKUP(tables_397100!C109,input_397100!A:H,8,FALSE))</f>
        <v>248465.43208</v>
      </c>
      <c r="P109" s="46">
        <f t="shared" ca="1" si="4"/>
        <v>9.5197483554971801E-3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input_397100!A$2</f>
        <v>397100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IFERROR(VLOOKUP(B110,input_397100!L:R,7,FALSE),VLOOKUP(tables_397100!C110,input_397100!A:H,8,FALSE))</f>
        <v>12705.885</v>
      </c>
      <c r="P110" s="46">
        <f t="shared" ca="1" si="4"/>
        <v>4.8681551723839413E-4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input_397100!A$2</f>
        <v>397100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IFERROR(VLOOKUP(B111,input_397100!L:R,7,FALSE),VLOOKUP(tables_397100!C111,input_397100!A:H,8,FALSE))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input_397100!A$2</f>
        <v>397100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IFERROR(VLOOKUP(B112,input_397100!L:R,7,FALSE),VLOOKUP(tables_397100!C112,input_397100!A:H,8,FALSE))</f>
        <v>234090</v>
      </c>
      <c r="P112" s="46">
        <f t="shared" ca="1" si="4"/>
        <v>8.9689655171863811E-3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input_397100!A$2</f>
        <v>397100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IFERROR(VLOOKUP(B113,input_397100!L:R,7,FALSE),VLOOKUP(tables_397100!C113,input_397100!A:H,8,FALSE))</f>
        <v>12705.885</v>
      </c>
      <c r="P113" s="46">
        <f t="shared" ca="1" si="4"/>
        <v>4.8681551723839413E-4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input_397100!A$2</f>
        <v>397100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IFERROR(VLOOKUP(B114,input_397100!L:R,7,FALSE),VLOOKUP(tables_397100!C114,input_397100!A:H,8,FALSE))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input_397100!A$2</f>
        <v>397100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IFERROR(VLOOKUP(B115,input_397100!L:R,7,FALSE),VLOOKUP(tables_397100!C115,input_397100!A:H,8,FALSE))</f>
        <v>248465.43208</v>
      </c>
      <c r="P115" s="46">
        <f t="shared" ca="1" si="4"/>
        <v>9.5197483554971801E-3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input_397100!A$2</f>
        <v>397100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IFERROR(VLOOKUP(B116,input_397100!L:R,7,FALSE),VLOOKUP(tables_397100!C116,input_397100!A:H,8,FALSE))</f>
        <v>12705.885</v>
      </c>
      <c r="P116" s="46">
        <f t="shared" ca="1" si="4"/>
        <v>4.8681551723839413E-4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input_397100!A$2</f>
        <v>397100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IFERROR(VLOOKUP(B117,input_397100!L:R,7,FALSE),VLOOKUP(tables_397100!C117,input_397100!A:H,8,FALSE))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input_397100!A$2</f>
        <v>397100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IFERROR(VLOOKUP(B118,input_397100!L:R,7,FALSE),VLOOKUP(tables_397100!C118,input_397100!A:H,8,FALSE))</f>
        <v>248465.43208</v>
      </c>
      <c r="P118" s="46">
        <f t="shared" ca="1" si="4"/>
        <v>9.5197483554971801E-3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input_397100!A$2</f>
        <v>397100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IFERROR(VLOOKUP(B119,input_397100!L:R,7,FALSE),VLOOKUP(tables_397100!C119,input_397100!A:H,8,FALSE))</f>
        <v>12705.885</v>
      </c>
      <c r="P119" s="46">
        <f t="shared" ca="1" si="4"/>
        <v>4.8681551723839413E-4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input_397100!A$2</f>
        <v>397100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IFERROR(VLOOKUP(B120,input_397100!L:R,7,FALSE),VLOOKUP(tables_397100!C120,input_397100!A:H,8,FALSE))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input_397100!A$2</f>
        <v>397100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IFERROR(VLOOKUP(B121,input_397100!L:R,7,FALSE),VLOOKUP(tables_397100!C121,input_397100!A:H,8,FALSE))</f>
        <v>248465.43208</v>
      </c>
      <c r="P121" s="46">
        <f t="shared" ca="1" si="4"/>
        <v>9.5197483554971801E-3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input_397100!A$2</f>
        <v>397100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IFERROR(VLOOKUP(B122,input_397100!L:R,7,FALSE),VLOOKUP(tables_397100!C122,input_397100!A:H,8,FALSE))</f>
        <v>12705.885</v>
      </c>
      <c r="P122" s="46">
        <f t="shared" ca="1" si="4"/>
        <v>4.8681551723839413E-4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input_397100!A$2</f>
        <v>397100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IFERROR(VLOOKUP(B123,input_397100!L:R,7,FALSE),VLOOKUP(tables_397100!C123,input_397100!A:H,8,FALSE))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input_397100!A$2</f>
        <v>397100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IFERROR(VLOOKUP(B124,input_397100!L:R,7,FALSE),VLOOKUP(tables_397100!C124,input_397100!A:H,8,FALSE))</f>
        <v>248465.43208</v>
      </c>
      <c r="P124" s="46">
        <f t="shared" ca="1" si="4"/>
        <v>9.5197483554971801E-3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input_397100!A$2</f>
        <v>397100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IFERROR(VLOOKUP(B125,input_397100!L:R,7,FALSE),VLOOKUP(tables_397100!C125,input_397100!A:H,8,FALSE))</f>
        <v>12705.885</v>
      </c>
      <c r="P125" s="46">
        <f t="shared" ca="1" si="4"/>
        <v>4.8681551723839413E-4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input_397100!A$2</f>
        <v>397100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IFERROR(VLOOKUP(B126,input_397100!L:R,7,FALSE),VLOOKUP(tables_397100!C126,input_397100!A:H,8,FALSE))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input_397100!A$2</f>
        <v>397100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IFERROR(VLOOKUP(B127,input_397100!L:R,7,FALSE),VLOOKUP(tables_397100!C127,input_397100!A:H,8,FALSE))</f>
        <v>248465.43208</v>
      </c>
      <c r="P127" s="46">
        <f t="shared" ca="1" si="4"/>
        <v>9.5197483554971801E-3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input_397100!A$2</f>
        <v>397100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IFERROR(VLOOKUP(B128,input_397100!L:R,7,FALSE),VLOOKUP(tables_397100!C128,input_397100!A:H,8,FALSE))</f>
        <v>12705.885</v>
      </c>
      <c r="P128" s="46">
        <f t="shared" ca="1" si="4"/>
        <v>4.8681551723839413E-4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input_397100!A$2</f>
        <v>397100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IFERROR(VLOOKUP(B129,input_397100!L:R,7,FALSE),VLOOKUP(tables_397100!C129,input_397100!A:H,8,FALSE))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input_397100!A$2</f>
        <v>397100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IFERROR(VLOOKUP(B130,input_397100!L:R,7,FALSE),VLOOKUP(tables_397100!C130,input_397100!A:H,8,FALSE))</f>
        <v>248465.43208</v>
      </c>
      <c r="P130" s="46">
        <f t="shared" ref="P130:P193" ca="1" si="7">O130/SUM(O:O)</f>
        <v>9.5197483554971801E-3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input_397100!A$2</f>
        <v>397100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IFERROR(VLOOKUP(B131,input_397100!L:R,7,FALSE),VLOOKUP(tables_397100!C131,input_397100!A:H,8,FALSE))</f>
        <v>12705.885</v>
      </c>
      <c r="P131" s="46">
        <f t="shared" ca="1" si="7"/>
        <v>4.8681551723839413E-4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input_397100!A$2</f>
        <v>397100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IFERROR(VLOOKUP(B132,input_397100!L:R,7,FALSE),VLOOKUP(tables_397100!C132,input_397100!A:H,8,FALSE))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input_397100!A$2</f>
        <v>397100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IFERROR(VLOOKUP(B133,input_397100!L:R,7,FALSE),VLOOKUP(tables_397100!C133,input_397100!A:H,8,FALSE))</f>
        <v>248465.43208</v>
      </c>
      <c r="P133" s="46">
        <f t="shared" ca="1" si="7"/>
        <v>9.5197483554971801E-3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input_397100!A$2</f>
        <v>397100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IFERROR(VLOOKUP(B134,input_397100!L:R,7,FALSE),VLOOKUP(tables_397100!C134,input_397100!A:H,8,FALSE))</f>
        <v>12705.885</v>
      </c>
      <c r="P134" s="46">
        <f t="shared" ca="1" si="7"/>
        <v>4.8681551723839413E-4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input_397100!A$2</f>
        <v>397100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IFERROR(VLOOKUP(B135,input_397100!L:R,7,FALSE),VLOOKUP(tables_397100!C135,input_397100!A:H,8,FALSE))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input_397100!A$2</f>
        <v>397100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IFERROR(VLOOKUP(B136,input_397100!L:R,7,FALSE),VLOOKUP(tables_397100!C136,input_397100!A:H,8,FALSE))</f>
        <v>248465.43208</v>
      </c>
      <c r="P136" s="46">
        <f t="shared" ca="1" si="7"/>
        <v>9.5197483554971801E-3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input_397100!A$2</f>
        <v>397100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IFERROR(VLOOKUP(B137,input_397100!L:R,7,FALSE),VLOOKUP(tables_397100!C137,input_397100!A:H,8,FALSE))</f>
        <v>12705.885</v>
      </c>
      <c r="P137" s="46">
        <f t="shared" ca="1" si="7"/>
        <v>4.8681551723839413E-4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input_397100!A$2</f>
        <v>397100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IFERROR(VLOOKUP(B138,input_397100!L:R,7,FALSE),VLOOKUP(tables_397100!C138,input_397100!A:H,8,FALSE))</f>
        <v>1566</v>
      </c>
      <c r="P138" s="46">
        <f t="shared" ca="1" si="7"/>
        <v>5.9999999999632078E-5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input_397100!A$2</f>
        <v>397100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IFERROR(VLOOKUP(B139,input_397100!L:R,7,FALSE),VLOOKUP(tables_397100!C139,input_397100!A:H,8,FALSE))</f>
        <v>84.998999999999995</v>
      </c>
      <c r="P139" s="46">
        <f t="shared" ca="1" si="7"/>
        <v>3.2566666666466966E-6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input_397100!A$2</f>
        <v>397100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IFERROR(VLOOKUP(B140,input_397100!L:R,7,FALSE),VLOOKUP(tables_397100!C140,input_397100!A:H,8,FALSE))</f>
        <v>1566</v>
      </c>
      <c r="P140" s="46">
        <f t="shared" ca="1" si="7"/>
        <v>5.9999999999632078E-5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input_397100!A$2</f>
        <v>397100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IFERROR(VLOOKUP(B141,input_397100!L:R,7,FALSE),VLOOKUP(tables_397100!C141,input_397100!A:H,8,FALSE))</f>
        <v>84.998999999999995</v>
      </c>
      <c r="P141" s="46">
        <f t="shared" ca="1" si="7"/>
        <v>3.2566666666466966E-6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input_397100!A$2</f>
        <v>397100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IFERROR(VLOOKUP(B142,input_397100!L:R,7,FALSE),VLOOKUP(tables_397100!C142,input_397100!A:H,8,FALSE))</f>
        <v>1566</v>
      </c>
      <c r="P142" s="46">
        <f t="shared" ca="1" si="7"/>
        <v>5.9999999999632078E-5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input_397100!A$2</f>
        <v>397100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IFERROR(VLOOKUP(B143,input_397100!L:R,7,FALSE),VLOOKUP(tables_397100!C143,input_397100!A:H,8,FALSE))</f>
        <v>84.998999999999995</v>
      </c>
      <c r="P143" s="46">
        <f t="shared" ca="1" si="7"/>
        <v>3.2566666666466966E-6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input_397100!A$2</f>
        <v>397100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IFERROR(VLOOKUP(B144,input_397100!L:R,7,FALSE),VLOOKUP(tables_397100!C144,input_397100!A:H,8,FALSE))</f>
        <v>1566</v>
      </c>
      <c r="P144" s="46">
        <f t="shared" ca="1" si="7"/>
        <v>5.9999999999632078E-5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input_397100!A$2</f>
        <v>397100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IFERROR(VLOOKUP(B145,input_397100!L:R,7,FALSE),VLOOKUP(tables_397100!C145,input_397100!A:H,8,FALSE))</f>
        <v>84.998999999999995</v>
      </c>
      <c r="P145" s="46">
        <f t="shared" ca="1" si="7"/>
        <v>3.2566666666466966E-6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input_397100!A$2</f>
        <v>397100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IFERROR(VLOOKUP(B146,input_397100!L:R,7,FALSE),VLOOKUP(tables_397100!C146,input_397100!A:H,8,FALSE))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input_397100!A$2</f>
        <v>397100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IFERROR(VLOOKUP(B147,input_397100!L:R,7,FALSE),VLOOKUP(tables_397100!C147,input_397100!A:H,8,FALSE))</f>
        <v>248465.43208</v>
      </c>
      <c r="P147" s="46">
        <f t="shared" ca="1" si="7"/>
        <v>9.5197483554971801E-3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input_397100!A$2</f>
        <v>397100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IFERROR(VLOOKUP(B148,input_397100!L:R,7,FALSE),VLOOKUP(tables_397100!C148,input_397100!A:H,8,FALSE))</f>
        <v>12705.885</v>
      </c>
      <c r="P148" s="46">
        <f t="shared" ca="1" si="7"/>
        <v>4.8681551723839413E-4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input_397100!A$2</f>
        <v>397100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IFERROR(VLOOKUP(B149,input_397100!L:R,7,FALSE),VLOOKUP(tables_397100!C149,input_397100!A:H,8,FALSE))</f>
        <v>1566</v>
      </c>
      <c r="P149" s="46">
        <f t="shared" ca="1" si="7"/>
        <v>5.9999999999632078E-5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input_397100!A$2</f>
        <v>397100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IFERROR(VLOOKUP(B150,input_397100!L:R,7,FALSE),VLOOKUP(tables_397100!C150,input_397100!A:H,8,FALSE))</f>
        <v>84.998999999999995</v>
      </c>
      <c r="P150" s="46">
        <f t="shared" ca="1" si="7"/>
        <v>3.2566666666466966E-6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input_397100!A$2</f>
        <v>397100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IFERROR(VLOOKUP(B151,input_397100!L:R,7,FALSE),VLOOKUP(tables_397100!C151,input_397100!A:H,8,FALSE))</f>
        <v>1566</v>
      </c>
      <c r="P151" s="46">
        <f t="shared" ca="1" si="7"/>
        <v>5.9999999999632078E-5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input_397100!A$2</f>
        <v>397100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IFERROR(VLOOKUP(B152,input_397100!L:R,7,FALSE),VLOOKUP(tables_397100!C152,input_397100!A:H,8,FALSE))</f>
        <v>84.998999999999995</v>
      </c>
      <c r="P152" s="46">
        <f t="shared" ca="1" si="7"/>
        <v>3.2566666666466966E-6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input_397100!A$2</f>
        <v>397100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IFERROR(VLOOKUP(B153,input_397100!L:R,7,FALSE),VLOOKUP(tables_397100!C153,input_397100!A:H,8,FALSE))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input_397100!A$2</f>
        <v>397100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IFERROR(VLOOKUP(B154,input_397100!L:R,7,FALSE),VLOOKUP(tables_397100!C154,input_397100!A:H,8,FALSE))</f>
        <v>248465.43208</v>
      </c>
      <c r="P154" s="46">
        <f t="shared" ca="1" si="7"/>
        <v>9.5197483554971801E-3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input_397100!A$2</f>
        <v>397100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IFERROR(VLOOKUP(B155,input_397100!L:R,7,FALSE),VLOOKUP(tables_397100!C155,input_397100!A:H,8,FALSE))</f>
        <v>12705.885</v>
      </c>
      <c r="P155" s="46">
        <f t="shared" ca="1" si="7"/>
        <v>4.8681551723839413E-4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input_397100!A$2</f>
        <v>397100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IFERROR(VLOOKUP(B156,input_397100!L:R,7,FALSE),VLOOKUP(tables_397100!C156,input_397100!A:H,8,FALSE))</f>
        <v>1566</v>
      </c>
      <c r="P156" s="46">
        <f t="shared" ca="1" si="7"/>
        <v>5.9999999999632078E-5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input_397100!A$2</f>
        <v>397100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IFERROR(VLOOKUP(B157,input_397100!L:R,7,FALSE),VLOOKUP(tables_397100!C157,input_397100!A:H,8,FALSE))</f>
        <v>84.998999999999995</v>
      </c>
      <c r="P157" s="46">
        <f t="shared" ca="1" si="7"/>
        <v>3.2566666666466966E-6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input_397100!A$2</f>
        <v>397100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IFERROR(VLOOKUP(B158,input_397100!L:R,7,FALSE),VLOOKUP(tables_397100!C158,input_397100!A:H,8,FALSE))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input_397100!A$2</f>
        <v>397100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IFERROR(VLOOKUP(B159,input_397100!L:R,7,FALSE),VLOOKUP(tables_397100!C159,input_397100!A:H,8,FALSE))</f>
        <v>248465.43208</v>
      </c>
      <c r="P159" s="46">
        <f t="shared" ca="1" si="7"/>
        <v>9.5197483554971801E-3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input_397100!A$2</f>
        <v>397100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IFERROR(VLOOKUP(B160,input_397100!L:R,7,FALSE),VLOOKUP(tables_397100!C160,input_397100!A:H,8,FALSE))</f>
        <v>12705.885</v>
      </c>
      <c r="P160" s="46">
        <f t="shared" ca="1" si="7"/>
        <v>4.8681551723839413E-4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input_397100!A$2</f>
        <v>397100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IFERROR(VLOOKUP(B161,input_397100!L:R,7,FALSE),VLOOKUP(tables_397100!C161,input_397100!A:H,8,FALSE))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input_397100!A$2</f>
        <v>397100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IFERROR(VLOOKUP(B162,input_397100!L:R,7,FALSE),VLOOKUP(tables_397100!C162,input_397100!A:H,8,FALSE))</f>
        <v>248465.43208</v>
      </c>
      <c r="P162" s="46">
        <f t="shared" ca="1" si="7"/>
        <v>9.5197483554971801E-3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input_397100!A$2</f>
        <v>397100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IFERROR(VLOOKUP(B163,input_397100!L:R,7,FALSE),VLOOKUP(tables_397100!C163,input_397100!A:H,8,FALSE))</f>
        <v>12705.885</v>
      </c>
      <c r="P163" s="46">
        <f t="shared" ca="1" si="7"/>
        <v>4.8681551723839413E-4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input_397100!A$2</f>
        <v>397100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IFERROR(VLOOKUP(B164,input_397100!L:R,7,FALSE),VLOOKUP(tables_397100!C164,input_397100!A:H,8,FALSE))</f>
        <v>1566</v>
      </c>
      <c r="P164" s="46">
        <f t="shared" ca="1" si="7"/>
        <v>5.9999999999632078E-5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input_397100!A$2</f>
        <v>397100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IFERROR(VLOOKUP(B165,input_397100!L:R,7,FALSE),VLOOKUP(tables_397100!C165,input_397100!A:H,8,FALSE))</f>
        <v>84.998999999999995</v>
      </c>
      <c r="P165" s="46">
        <f t="shared" ca="1" si="7"/>
        <v>3.2566666666466966E-6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input_397100!A$2</f>
        <v>397100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IFERROR(VLOOKUP(B166,input_397100!L:R,7,FALSE),VLOOKUP(tables_397100!C166,input_397100!A:H,8,FALSE))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input_397100!A$2</f>
        <v>397100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IFERROR(VLOOKUP(B167,input_397100!L:R,7,FALSE),VLOOKUP(tables_397100!C167,input_397100!A:H,8,FALSE))</f>
        <v>248465.43208</v>
      </c>
      <c r="P167" s="46">
        <f t="shared" ca="1" si="7"/>
        <v>9.5197483554971801E-3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input_397100!A$2</f>
        <v>397100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IFERROR(VLOOKUP(B168,input_397100!L:R,7,FALSE),VLOOKUP(tables_397100!C168,input_397100!A:H,8,FALSE))</f>
        <v>12705.885</v>
      </c>
      <c r="P168" s="46">
        <f t="shared" ca="1" si="7"/>
        <v>4.8681551723839413E-4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input_397100!A$2</f>
        <v>397100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IFERROR(VLOOKUP(B169,input_397100!L:R,7,FALSE),VLOOKUP(tables_397100!C169,input_397100!A:H,8,FALSE))</f>
        <v>1566</v>
      </c>
      <c r="P169" s="46">
        <f t="shared" ca="1" si="7"/>
        <v>5.9999999999632078E-5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input_397100!A$2</f>
        <v>397100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IFERROR(VLOOKUP(B170,input_397100!L:R,7,FALSE),VLOOKUP(tables_397100!C170,input_397100!A:H,8,FALSE))</f>
        <v>84.998999999999995</v>
      </c>
      <c r="P170" s="46">
        <f t="shared" ca="1" si="7"/>
        <v>3.2566666666466966E-6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input_397100!A$2</f>
        <v>397100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IFERROR(VLOOKUP(B171,input_397100!L:R,7,FALSE),VLOOKUP(tables_397100!C171,input_397100!A:H,8,FALSE))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input_397100!A$2</f>
        <v>397100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IFERROR(VLOOKUP(B172,input_397100!L:R,7,FALSE),VLOOKUP(tables_397100!C172,input_397100!A:H,8,FALSE))</f>
        <v>248465.43208</v>
      </c>
      <c r="P172" s="46">
        <f t="shared" ca="1" si="7"/>
        <v>9.5197483554971801E-3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input_397100!A$2</f>
        <v>397100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IFERROR(VLOOKUP(B173,input_397100!L:R,7,FALSE),VLOOKUP(tables_397100!C173,input_397100!A:H,8,FALSE))</f>
        <v>12705.885</v>
      </c>
      <c r="P173" s="46">
        <f t="shared" ca="1" si="7"/>
        <v>4.8681551723839413E-4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input_397100!A$2</f>
        <v>397100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IFERROR(VLOOKUP(B174,input_397100!L:R,7,FALSE),VLOOKUP(tables_397100!C174,input_397100!A:H,8,FALSE))</f>
        <v>1566</v>
      </c>
      <c r="P174" s="46">
        <f t="shared" ca="1" si="7"/>
        <v>5.9999999999632078E-5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input_397100!A$2</f>
        <v>397100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IFERROR(VLOOKUP(B175,input_397100!L:R,7,FALSE),VLOOKUP(tables_397100!C175,input_397100!A:H,8,FALSE))</f>
        <v>84.998999999999995</v>
      </c>
      <c r="P175" s="46">
        <f t="shared" ca="1" si="7"/>
        <v>3.2566666666466966E-6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input_397100!A$2</f>
        <v>397100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IFERROR(VLOOKUP(B176,input_397100!L:R,7,FALSE),VLOOKUP(tables_397100!C176,input_397100!A:H,8,FALSE))</f>
        <v>1566</v>
      </c>
      <c r="P176" s="46">
        <f t="shared" ca="1" si="7"/>
        <v>5.9999999999632078E-5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input_397100!A$2</f>
        <v>397100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IFERROR(VLOOKUP(B177,input_397100!L:R,7,FALSE),VLOOKUP(tables_397100!C177,input_397100!A:H,8,FALSE))</f>
        <v>84.998999999999995</v>
      </c>
      <c r="P177" s="46">
        <f t="shared" ca="1" si="7"/>
        <v>3.2566666666466966E-6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input_397100!A$2</f>
        <v>397100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IFERROR(VLOOKUP(B178,input_397100!L:R,7,FALSE),VLOOKUP(tables_397100!C178,input_397100!A:H,8,FALSE))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input_397100!A$2</f>
        <v>397100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IFERROR(VLOOKUP(B179,input_397100!L:R,7,FALSE),VLOOKUP(tables_397100!C179,input_397100!A:H,8,FALSE))</f>
        <v>248465.43208</v>
      </c>
      <c r="P179" s="46">
        <f t="shared" ca="1" si="7"/>
        <v>9.5197483554971801E-3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input_397100!A$2</f>
        <v>397100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IFERROR(VLOOKUP(B180,input_397100!L:R,7,FALSE),VLOOKUP(tables_397100!C180,input_397100!A:H,8,FALSE))</f>
        <v>12705.885</v>
      </c>
      <c r="P180" s="46">
        <f t="shared" ca="1" si="7"/>
        <v>4.8681551723839413E-4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input_397100!A$2</f>
        <v>397100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IFERROR(VLOOKUP(B181,input_397100!L:R,7,FALSE),VLOOKUP(tables_397100!C181,input_397100!A:H,8,FALSE))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input_397100!A$2</f>
        <v>397100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IFERROR(VLOOKUP(B182,input_397100!L:R,7,FALSE),VLOOKUP(tables_397100!C182,input_397100!A:H,8,FALSE))</f>
        <v>248465.43208</v>
      </c>
      <c r="P182" s="46">
        <f t="shared" ca="1" si="7"/>
        <v>9.5197483554971801E-3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input_397100!A$2</f>
        <v>397100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IFERROR(VLOOKUP(B183,input_397100!L:R,7,FALSE),VLOOKUP(tables_397100!C183,input_397100!A:H,8,FALSE))</f>
        <v>12705.885</v>
      </c>
      <c r="P183" s="46">
        <f t="shared" ca="1" si="7"/>
        <v>4.8681551723839413E-4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input_397100!A$2</f>
        <v>397100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IFERROR(VLOOKUP(B184,input_397100!L:R,7,FALSE),VLOOKUP(tables_397100!C184,input_397100!A:H,8,FALSE))</f>
        <v>1566</v>
      </c>
      <c r="P184" s="46">
        <f t="shared" ca="1" si="7"/>
        <v>5.9999999999632078E-5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input_397100!A$2</f>
        <v>397100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IFERROR(VLOOKUP(B185,input_397100!L:R,7,FALSE),VLOOKUP(tables_397100!C185,input_397100!A:H,8,FALSE))</f>
        <v>84.998999999999995</v>
      </c>
      <c r="P185" s="46">
        <f t="shared" ca="1" si="7"/>
        <v>3.2566666666466966E-6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input_397100!A$2</f>
        <v>397100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IFERROR(VLOOKUP(B186,input_397100!L:R,7,FALSE),VLOOKUP(tables_397100!C186,input_397100!A:H,8,FALSE))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input_397100!A$2</f>
        <v>397100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IFERROR(VLOOKUP(B187,input_397100!L:R,7,FALSE),VLOOKUP(tables_397100!C187,input_397100!A:H,8,FALSE))</f>
        <v>248465.43208</v>
      </c>
      <c r="P187" s="46">
        <f t="shared" ca="1" si="7"/>
        <v>9.5197483554971801E-3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input_397100!A$2</f>
        <v>397100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IFERROR(VLOOKUP(B188,input_397100!L:R,7,FALSE),VLOOKUP(tables_397100!C188,input_397100!A:H,8,FALSE))</f>
        <v>12705.885</v>
      </c>
      <c r="P188" s="46">
        <f t="shared" ca="1" si="7"/>
        <v>4.8681551723839413E-4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input_397100!A$2</f>
        <v>397100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IFERROR(VLOOKUP(B189,input_397100!L:R,7,FALSE),VLOOKUP(tables_397100!C189,input_397100!A:H,8,FALSE))</f>
        <v>1566</v>
      </c>
      <c r="P189" s="46">
        <f t="shared" ca="1" si="7"/>
        <v>5.9999999999632078E-5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input_397100!A$2</f>
        <v>397100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IFERROR(VLOOKUP(B190,input_397100!L:R,7,FALSE),VLOOKUP(tables_397100!C190,input_397100!A:H,8,FALSE))</f>
        <v>84.998999999999995</v>
      </c>
      <c r="P190" s="46">
        <f t="shared" ca="1" si="7"/>
        <v>3.2566666666466966E-6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input_397100!A$2</f>
        <v>397100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IFERROR(VLOOKUP(B191,input_397100!L:R,7,FALSE),VLOOKUP(tables_397100!C191,input_397100!A:H,8,FALSE))</f>
        <v>1566</v>
      </c>
      <c r="P191" s="46">
        <f t="shared" ca="1" si="7"/>
        <v>5.9999999999632078E-5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input_397100!A$2</f>
        <v>397100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IFERROR(VLOOKUP(B192,input_397100!L:R,7,FALSE),VLOOKUP(tables_397100!C192,input_397100!A:H,8,FALSE))</f>
        <v>84.998999999999995</v>
      </c>
      <c r="P192" s="46">
        <f t="shared" ca="1" si="7"/>
        <v>3.2566666666466966E-6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input_397100!A$2</f>
        <v>397100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IFERROR(VLOOKUP(B193,input_397100!L:R,7,FALSE),VLOOKUP(tables_397100!C193,input_397100!A:H,8,FALSE))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input_397100!A$2</f>
        <v>397100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IFERROR(VLOOKUP(B194,input_397100!L:R,7,FALSE),VLOOKUP(tables_397100!C194,input_397100!A:H,8,FALSE))</f>
        <v>248465.43208</v>
      </c>
      <c r="P194" s="46">
        <f t="shared" ref="P194:P257" ca="1" si="10">O194/SUM(O:O)</f>
        <v>9.5197483554971801E-3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input_397100!A$2</f>
        <v>397100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IFERROR(VLOOKUP(B195,input_397100!L:R,7,FALSE),VLOOKUP(tables_397100!C195,input_397100!A:H,8,FALSE))</f>
        <v>12705.885</v>
      </c>
      <c r="P195" s="46">
        <f t="shared" ca="1" si="10"/>
        <v>4.8681551723839413E-4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input_397100!A$2</f>
        <v>397100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IFERROR(VLOOKUP(B196,input_397100!L:R,7,FALSE),VLOOKUP(tables_397100!C196,input_397100!A:H,8,FALSE))</f>
        <v>1566</v>
      </c>
      <c r="P196" s="46">
        <f t="shared" ca="1" si="10"/>
        <v>5.9999999999632078E-5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input_397100!A$2</f>
        <v>397100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IFERROR(VLOOKUP(B197,input_397100!L:R,7,FALSE),VLOOKUP(tables_397100!C197,input_397100!A:H,8,FALSE))</f>
        <v>84.998999999999995</v>
      </c>
      <c r="P197" s="46">
        <f t="shared" ca="1" si="10"/>
        <v>3.2566666666466966E-6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input_397100!A$2</f>
        <v>397100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IFERROR(VLOOKUP(B198,input_397100!L:R,7,FALSE),VLOOKUP(tables_397100!C198,input_397100!A:H,8,FALSE))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input_397100!A$2</f>
        <v>397100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IFERROR(VLOOKUP(B199,input_397100!L:R,7,FALSE),VLOOKUP(tables_397100!C199,input_397100!A:H,8,FALSE))</f>
        <v>248465.43208</v>
      </c>
      <c r="P199" s="46">
        <f t="shared" ca="1" si="10"/>
        <v>9.5197483554971801E-3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input_397100!A$2</f>
        <v>397100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IFERROR(VLOOKUP(B200,input_397100!L:R,7,FALSE),VLOOKUP(tables_397100!C200,input_397100!A:H,8,FALSE))</f>
        <v>12705.885</v>
      </c>
      <c r="P200" s="46">
        <f t="shared" ca="1" si="10"/>
        <v>4.8681551723839413E-4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input_397100!A$2</f>
        <v>397100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IFERROR(VLOOKUP(B201,input_397100!L:R,7,FALSE),VLOOKUP(tables_397100!C201,input_397100!A:H,8,FALSE))</f>
        <v>1566</v>
      </c>
      <c r="P201" s="46">
        <f t="shared" ca="1" si="10"/>
        <v>5.9999999999632078E-5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input_397100!A$2</f>
        <v>397100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IFERROR(VLOOKUP(B202,input_397100!L:R,7,FALSE),VLOOKUP(tables_397100!C202,input_397100!A:H,8,FALSE))</f>
        <v>84.998999999999995</v>
      </c>
      <c r="P202" s="46">
        <f t="shared" ca="1" si="10"/>
        <v>3.2566666666466966E-6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input_397100!A$2</f>
        <v>397100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IFERROR(VLOOKUP(B203,input_397100!L:R,7,FALSE),VLOOKUP(tables_397100!C203,input_397100!A:H,8,FALSE))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input_397100!A$2</f>
        <v>397100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IFERROR(VLOOKUP(B204,input_397100!L:R,7,FALSE),VLOOKUP(tables_397100!C204,input_397100!A:H,8,FALSE))</f>
        <v>248465.43208</v>
      </c>
      <c r="P204" s="46">
        <f t="shared" ca="1" si="10"/>
        <v>9.5197483554971801E-3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input_397100!A$2</f>
        <v>397100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IFERROR(VLOOKUP(B205,input_397100!L:R,7,FALSE),VLOOKUP(tables_397100!C205,input_397100!A:H,8,FALSE))</f>
        <v>12705.885</v>
      </c>
      <c r="P205" s="46">
        <f t="shared" ca="1" si="10"/>
        <v>4.8681551723839413E-4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input_397100!A$2</f>
        <v>397100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IFERROR(VLOOKUP(B206,input_397100!L:R,7,FALSE),VLOOKUP(tables_397100!C206,input_397100!A:H,8,FALSE))</f>
        <v>1566</v>
      </c>
      <c r="P206" s="46">
        <f t="shared" ca="1" si="10"/>
        <v>5.9999999999632078E-5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input_397100!A$2</f>
        <v>397100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IFERROR(VLOOKUP(B207,input_397100!L:R,7,FALSE),VLOOKUP(tables_397100!C207,input_397100!A:H,8,FALSE))</f>
        <v>84.998999999999995</v>
      </c>
      <c r="P207" s="46">
        <f t="shared" ca="1" si="10"/>
        <v>3.2566666666466966E-6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input_397100!A$2</f>
        <v>397100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IFERROR(VLOOKUP(B208,input_397100!L:R,7,FALSE),VLOOKUP(tables_397100!C208,input_397100!A:H,8,FALSE))</f>
        <v>1566</v>
      </c>
      <c r="P208" s="46">
        <f t="shared" ca="1" si="10"/>
        <v>5.9999999999632078E-5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input_397100!A$2</f>
        <v>397100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IFERROR(VLOOKUP(B209,input_397100!L:R,7,FALSE),VLOOKUP(tables_397100!C209,input_397100!A:H,8,FALSE))</f>
        <v>84.998999999999995</v>
      </c>
      <c r="P209" s="46">
        <f t="shared" ca="1" si="10"/>
        <v>3.2566666666466966E-6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input_397100!A$2</f>
        <v>397100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IFERROR(VLOOKUP(B210,input_397100!L:R,7,FALSE),VLOOKUP(tables_397100!C210,input_397100!A:H,8,FALSE))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input_397100!A$2</f>
        <v>397100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IFERROR(VLOOKUP(B211,input_397100!L:R,7,FALSE),VLOOKUP(tables_397100!C211,input_397100!A:H,8,FALSE))</f>
        <v>248465.43208</v>
      </c>
      <c r="P211" s="46">
        <f t="shared" ca="1" si="10"/>
        <v>9.5197483554971801E-3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input_397100!A$2</f>
        <v>397100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IFERROR(VLOOKUP(B212,input_397100!L:R,7,FALSE),VLOOKUP(tables_397100!C212,input_397100!A:H,8,FALSE))</f>
        <v>12705.885</v>
      </c>
      <c r="P212" s="46">
        <f t="shared" ca="1" si="10"/>
        <v>4.8681551723839413E-4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input_397100!A$2</f>
        <v>397100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IFERROR(VLOOKUP(B213,input_397100!L:R,7,FALSE),VLOOKUP(tables_397100!C213,input_397100!A:H,8,FALSE))</f>
        <v>1566</v>
      </c>
      <c r="P213" s="46">
        <f t="shared" ca="1" si="10"/>
        <v>5.9999999999632078E-5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input_397100!A$2</f>
        <v>397100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IFERROR(VLOOKUP(B214,input_397100!L:R,7,FALSE),VLOOKUP(tables_397100!C214,input_397100!A:H,8,FALSE))</f>
        <v>84.998999999999995</v>
      </c>
      <c r="P214" s="46">
        <f t="shared" ca="1" si="10"/>
        <v>3.2566666666466966E-6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input_397100!A$2</f>
        <v>397100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IFERROR(VLOOKUP(B215,input_397100!L:R,7,FALSE),VLOOKUP(tables_397100!C215,input_397100!A:H,8,FALSE))</f>
        <v>1566</v>
      </c>
      <c r="P215" s="46">
        <f t="shared" ca="1" si="10"/>
        <v>5.9999999999632078E-5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input_397100!A$2</f>
        <v>397100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IFERROR(VLOOKUP(B216,input_397100!L:R,7,FALSE),VLOOKUP(tables_397100!C216,input_397100!A:H,8,FALSE))</f>
        <v>84.998999999999995</v>
      </c>
      <c r="P216" s="46">
        <f t="shared" ca="1" si="10"/>
        <v>3.2566666666466966E-6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input_397100!A$2</f>
        <v>397100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IFERROR(VLOOKUP(B217,input_397100!L:R,7,FALSE),VLOOKUP(tables_397100!C217,input_397100!A:H,8,FALSE))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input_397100!A$2</f>
        <v>397100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IFERROR(VLOOKUP(B218,input_397100!L:R,7,FALSE),VLOOKUP(tables_397100!C218,input_397100!A:H,8,FALSE))</f>
        <v>248465.43208</v>
      </c>
      <c r="P218" s="46">
        <f t="shared" ca="1" si="10"/>
        <v>9.5197483554971801E-3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input_397100!A$2</f>
        <v>397100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IFERROR(VLOOKUP(B219,input_397100!L:R,7,FALSE),VLOOKUP(tables_397100!C219,input_397100!A:H,8,FALSE))</f>
        <v>12705.885</v>
      </c>
      <c r="P219" s="46">
        <f t="shared" ca="1" si="10"/>
        <v>4.8681551723839413E-4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input_397100!A$2</f>
        <v>397100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IFERROR(VLOOKUP(B220,input_397100!L:R,7,FALSE),VLOOKUP(tables_397100!C220,input_397100!A:H,8,FALSE))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input_397100!A$2</f>
        <v>397100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IFERROR(VLOOKUP(B221,input_397100!L:R,7,FALSE),VLOOKUP(tables_397100!C221,input_397100!A:H,8,FALSE))</f>
        <v>248465.43208</v>
      </c>
      <c r="P221" s="46">
        <f t="shared" ca="1" si="10"/>
        <v>9.5197483554971801E-3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input_397100!A$2</f>
        <v>397100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IFERROR(VLOOKUP(B222,input_397100!L:R,7,FALSE),VLOOKUP(tables_397100!C222,input_397100!A:H,8,FALSE))</f>
        <v>12705.885</v>
      </c>
      <c r="P222" s="46">
        <f t="shared" ca="1" si="10"/>
        <v>4.8681551723839413E-4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input_397100!A$2</f>
        <v>397100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IFERROR(VLOOKUP(B223,input_397100!L:R,7,FALSE),VLOOKUP(tables_397100!C223,input_397100!A:H,8,FALSE))</f>
        <v>1566</v>
      </c>
      <c r="P223" s="46">
        <f t="shared" ca="1" si="10"/>
        <v>5.9999999999632078E-5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input_397100!A$2</f>
        <v>397100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IFERROR(VLOOKUP(B224,input_397100!L:R,7,FALSE),VLOOKUP(tables_397100!C224,input_397100!A:H,8,FALSE))</f>
        <v>84.998999999999995</v>
      </c>
      <c r="P224" s="46">
        <f t="shared" ca="1" si="10"/>
        <v>3.2566666666466966E-6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input_397100!A$2</f>
        <v>397100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IFERROR(VLOOKUP(B225,input_397100!L:R,7,FALSE),VLOOKUP(tables_397100!C225,input_397100!A:H,8,FALSE))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input_397100!A$2</f>
        <v>397100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IFERROR(VLOOKUP(B226,input_397100!L:R,7,FALSE),VLOOKUP(tables_397100!C226,input_397100!A:H,8,FALSE))</f>
        <v>248465.43208</v>
      </c>
      <c r="P226" s="46">
        <f t="shared" ca="1" si="10"/>
        <v>9.5197483554971801E-3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input_397100!A$2</f>
        <v>397100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IFERROR(VLOOKUP(B227,input_397100!L:R,7,FALSE),VLOOKUP(tables_397100!C227,input_397100!A:H,8,FALSE))</f>
        <v>12705.885</v>
      </c>
      <c r="P227" s="46">
        <f t="shared" ca="1" si="10"/>
        <v>4.8681551723839413E-4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input_397100!A$2</f>
        <v>397100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IFERROR(VLOOKUP(B228,input_397100!L:R,7,FALSE),VLOOKUP(tables_397100!C228,input_397100!A:H,8,FALSE))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input_397100!A$2</f>
        <v>397100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IFERROR(VLOOKUP(B229,input_397100!L:R,7,FALSE),VLOOKUP(tables_397100!C229,input_397100!A:H,8,FALSE))</f>
        <v>248465.43208</v>
      </c>
      <c r="P229" s="46">
        <f t="shared" ca="1" si="10"/>
        <v>9.5197483554971801E-3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input_397100!A$2</f>
        <v>397100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IFERROR(VLOOKUP(B230,input_397100!L:R,7,FALSE),VLOOKUP(tables_397100!C230,input_397100!A:H,8,FALSE))</f>
        <v>12705.885</v>
      </c>
      <c r="P230" s="46">
        <f t="shared" ca="1" si="10"/>
        <v>4.8681551723839413E-4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input_397100!A$2</f>
        <v>397100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IFERROR(VLOOKUP(B231,input_397100!L:R,7,FALSE),VLOOKUP(tables_397100!C231,input_397100!A:H,8,FALSE))</f>
        <v>1566</v>
      </c>
      <c r="P231" s="46">
        <f t="shared" ca="1" si="10"/>
        <v>5.9999999999632078E-5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input_397100!A$2</f>
        <v>397100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IFERROR(VLOOKUP(B232,input_397100!L:R,7,FALSE),VLOOKUP(tables_397100!C232,input_397100!A:H,8,FALSE))</f>
        <v>84.998999999999995</v>
      </c>
      <c r="P232" s="46">
        <f t="shared" ca="1" si="10"/>
        <v>3.2566666666466966E-6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input_397100!A$2</f>
        <v>397100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IFERROR(VLOOKUP(B233,input_397100!L:R,7,FALSE),VLOOKUP(tables_397100!C233,input_397100!A:H,8,FALSE))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input_397100!A$2</f>
        <v>397100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IFERROR(VLOOKUP(B234,input_397100!L:R,7,FALSE),VLOOKUP(tables_397100!C234,input_397100!A:H,8,FALSE))</f>
        <v>248465.43208</v>
      </c>
      <c r="P234" s="46">
        <f t="shared" ca="1" si="10"/>
        <v>9.5197483554971801E-3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input_397100!A$2</f>
        <v>397100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IFERROR(VLOOKUP(B235,input_397100!L:R,7,FALSE),VLOOKUP(tables_397100!C235,input_397100!A:H,8,FALSE))</f>
        <v>12705.885</v>
      </c>
      <c r="P235" s="46">
        <f t="shared" ca="1" si="10"/>
        <v>4.8681551723839413E-4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input_397100!A$2</f>
        <v>397100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IFERROR(VLOOKUP(B236,input_397100!L:R,7,FALSE),VLOOKUP(tables_397100!C236,input_397100!A:H,8,FALSE))</f>
        <v>1566</v>
      </c>
      <c r="P236" s="46">
        <f t="shared" ca="1" si="10"/>
        <v>5.9999999999632078E-5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input_397100!A$2</f>
        <v>397100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IFERROR(VLOOKUP(B237,input_397100!L:R,7,FALSE),VLOOKUP(tables_397100!C237,input_397100!A:H,8,FALSE))</f>
        <v>84.998999999999995</v>
      </c>
      <c r="P237" s="46">
        <f t="shared" ca="1" si="10"/>
        <v>3.2566666666466966E-6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input_397100!A$2</f>
        <v>397100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IFERROR(VLOOKUP(B238,input_397100!L:R,7,FALSE),VLOOKUP(tables_397100!C238,input_397100!A:H,8,FALSE))</f>
        <v>1566</v>
      </c>
      <c r="P238" s="46">
        <f t="shared" ca="1" si="10"/>
        <v>5.9999999999632078E-5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input_397100!A$2</f>
        <v>397100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IFERROR(VLOOKUP(B239,input_397100!L:R,7,FALSE),VLOOKUP(tables_397100!C239,input_397100!A:H,8,FALSE))</f>
        <v>84.998999999999995</v>
      </c>
      <c r="P239" s="46">
        <f t="shared" ca="1" si="10"/>
        <v>3.2566666666466966E-6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input_397100!A$2</f>
        <v>397100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IFERROR(VLOOKUP(B240,input_397100!L:R,7,FALSE),VLOOKUP(tables_397100!C240,input_397100!A:H,8,FALSE))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input_397100!A$2</f>
        <v>397100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IFERROR(VLOOKUP(B241,input_397100!L:R,7,FALSE),VLOOKUP(tables_397100!C241,input_397100!A:H,8,FALSE))</f>
        <v>248465.43208</v>
      </c>
      <c r="P241" s="46">
        <f t="shared" ca="1" si="10"/>
        <v>9.5197483554971801E-3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input_397100!A$2</f>
        <v>397100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IFERROR(VLOOKUP(B242,input_397100!L:R,7,FALSE),VLOOKUP(tables_397100!C242,input_397100!A:H,8,FALSE))</f>
        <v>12705.885</v>
      </c>
      <c r="P242" s="46">
        <f t="shared" ca="1" si="10"/>
        <v>4.8681551723839413E-4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input_397100!A$2</f>
        <v>397100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IFERROR(VLOOKUP(B243,input_397100!L:R,7,FALSE),VLOOKUP(tables_397100!C243,input_397100!A:H,8,FALSE))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input_397100!A$2</f>
        <v>397100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IFERROR(VLOOKUP(B244,input_397100!L:R,7,FALSE),VLOOKUP(tables_397100!C244,input_397100!A:H,8,FALSE))</f>
        <v>248465.43208</v>
      </c>
      <c r="P244" s="46">
        <f t="shared" ca="1" si="10"/>
        <v>9.5197483554971801E-3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input_397100!A$2</f>
        <v>397100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IFERROR(VLOOKUP(B245,input_397100!L:R,7,FALSE),VLOOKUP(tables_397100!C245,input_397100!A:H,8,FALSE))</f>
        <v>12705.885</v>
      </c>
      <c r="P245" s="46">
        <f t="shared" ca="1" si="10"/>
        <v>4.8681551723839413E-4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input_397100!A$2</f>
        <v>397100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IFERROR(VLOOKUP(B246,input_397100!L:R,7,FALSE),VLOOKUP(tables_397100!C246,input_397100!A:H,8,FALSE))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input_397100!A$2</f>
        <v>397100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IFERROR(VLOOKUP(B247,input_397100!L:R,7,FALSE),VLOOKUP(tables_397100!C247,input_397100!A:H,8,FALSE))</f>
        <v>248465.43208</v>
      </c>
      <c r="P247" s="46">
        <f t="shared" ca="1" si="10"/>
        <v>9.5197483554971801E-3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input_397100!A$2</f>
        <v>397100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IFERROR(VLOOKUP(B248,input_397100!L:R,7,FALSE),VLOOKUP(tables_397100!C248,input_397100!A:H,8,FALSE))</f>
        <v>12705.885</v>
      </c>
      <c r="P248" s="46">
        <f t="shared" ca="1" si="10"/>
        <v>4.8681551723839413E-4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input_397100!A$2</f>
        <v>397100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IFERROR(VLOOKUP(B249,input_397100!L:R,7,FALSE),VLOOKUP(tables_397100!C249,input_397100!A:H,8,FALSE))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input_397100!A$2</f>
        <v>397100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IFERROR(VLOOKUP(B250,input_397100!L:R,7,FALSE),VLOOKUP(tables_397100!C250,input_397100!A:H,8,FALSE))</f>
        <v>248465.43208</v>
      </c>
      <c r="P250" s="46">
        <f t="shared" ca="1" si="10"/>
        <v>9.5197483554971801E-3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input_397100!A$2</f>
        <v>397100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IFERROR(VLOOKUP(B251,input_397100!L:R,7,FALSE),VLOOKUP(tables_397100!C251,input_397100!A:H,8,FALSE))</f>
        <v>12705.885</v>
      </c>
      <c r="P251" s="46">
        <f t="shared" ca="1" si="10"/>
        <v>4.8681551723839413E-4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input_397100!A$2</f>
        <v>397100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IFERROR(VLOOKUP(B252,input_397100!L:R,7,FALSE),VLOOKUP(tables_397100!C252,input_397100!A:H,8,FALSE))</f>
        <v>1566</v>
      </c>
      <c r="P252" s="46">
        <f t="shared" ca="1" si="10"/>
        <v>5.9999999999632078E-5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input_397100!A$2</f>
        <v>397100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IFERROR(VLOOKUP(B253,input_397100!L:R,7,FALSE),VLOOKUP(tables_397100!C253,input_397100!A:H,8,FALSE))</f>
        <v>84.998999999999995</v>
      </c>
      <c r="P253" s="46">
        <f t="shared" ca="1" si="10"/>
        <v>3.2566666666466966E-6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input_397100!A$2</f>
        <v>397100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IFERROR(VLOOKUP(B254,input_397100!L:R,7,FALSE),VLOOKUP(tables_397100!C254,input_397100!A:H,8,FALSE))</f>
        <v>1566</v>
      </c>
      <c r="P254" s="46">
        <f t="shared" ca="1" si="10"/>
        <v>5.9999999999632078E-5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input_397100!A$2</f>
        <v>397100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IFERROR(VLOOKUP(B255,input_397100!L:R,7,FALSE),VLOOKUP(tables_397100!C255,input_397100!A:H,8,FALSE))</f>
        <v>84.998999999999995</v>
      </c>
      <c r="P255" s="46">
        <f t="shared" ca="1" si="10"/>
        <v>3.2566666666466966E-6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input_397100!A$2</f>
        <v>397100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IFERROR(VLOOKUP(B256,input_397100!L:R,7,FALSE),VLOOKUP(tables_397100!C256,input_397100!A:H,8,FALSE))</f>
        <v>211782.23018000001</v>
      </c>
      <c r="P256" s="46">
        <f t="shared" ca="1" si="10"/>
        <v>8.1142616926705505E-3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input_397100!A$2</f>
        <v>397100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IFERROR(VLOOKUP(B257,input_397100!L:R,7,FALSE),VLOOKUP(tables_397100!C257,input_397100!A:H,8,FALSE))</f>
        <v>48317.769820000001</v>
      </c>
      <c r="P257" s="46">
        <f t="shared" ca="1" si="10"/>
        <v>1.8512555486476518E-3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input_397100!A$2</f>
        <v>397100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IFERROR(VLOOKUP(B258,input_397100!L:R,7,FALSE),VLOOKUP(tables_397100!C258,input_397100!A:H,8,FALSE))</f>
        <v>211782.23018000001</v>
      </c>
      <c r="P258" s="46">
        <f t="shared" ref="P258:P294" ca="1" si="13">O258/SUM(O:O)</f>
        <v>8.1142616926705505E-3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input_397100!A$2</f>
        <v>397100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IFERROR(VLOOKUP(B259,input_397100!L:R,7,FALSE),VLOOKUP(tables_397100!C259,input_397100!A:H,8,FALSE))</f>
        <v>48317.769820000001</v>
      </c>
      <c r="P259" s="46">
        <f t="shared" ca="1" si="13"/>
        <v>1.8512555486476518E-3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input_397100!A$2</f>
        <v>397100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IFERROR(VLOOKUP(B260,input_397100!L:R,7,FALSE),VLOOKUP(tables_397100!C260,input_397100!A:H,8,FALSE))</f>
        <v>1740</v>
      </c>
      <c r="P260" s="46">
        <f t="shared" ca="1" si="13"/>
        <v>6.6666666666257871E-5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input_397100!A$2</f>
        <v>397100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IFERROR(VLOOKUP(B261,input_397100!L:R,7,FALSE),VLOOKUP(tables_397100!C261,input_397100!A:H,8,FALSE))</f>
        <v>1740</v>
      </c>
      <c r="P261" s="46">
        <f t="shared" ca="1" si="13"/>
        <v>6.6666666666257871E-5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input_397100!A$2</f>
        <v>397100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IFERROR(VLOOKUP(B262,input_397100!L:R,7,FALSE),VLOOKUP(tables_397100!C262,input_397100!A:H,8,FALSE))</f>
        <v>1566</v>
      </c>
      <c r="P262" s="46">
        <f t="shared" ca="1" si="13"/>
        <v>5.9999999999632078E-5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input_397100!A$2</f>
        <v>397100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IFERROR(VLOOKUP(B263,input_397100!L:R,7,FALSE),VLOOKUP(tables_397100!C263,input_397100!A:H,8,FALSE))</f>
        <v>84.998999999999995</v>
      </c>
      <c r="P263" s="46">
        <f t="shared" ca="1" si="13"/>
        <v>3.2566666666466966E-6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input_397100!A$2</f>
        <v>397100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IFERROR(VLOOKUP(B264,input_397100!L:R,7,FALSE),VLOOKUP(tables_397100!C264,input_397100!A:H,8,FALSE))</f>
        <v>1566</v>
      </c>
      <c r="P264" s="46">
        <f t="shared" ca="1" si="13"/>
        <v>5.9999999999632078E-5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input_397100!A$2</f>
        <v>397100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IFERROR(VLOOKUP(B265,input_397100!L:R,7,FALSE),VLOOKUP(tables_397100!C265,input_397100!A:H,8,FALSE))</f>
        <v>84.998999999999995</v>
      </c>
      <c r="P265" s="46">
        <f t="shared" ca="1" si="13"/>
        <v>3.2566666666466966E-6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input_397100!A$2</f>
        <v>397100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IFERROR(VLOOKUP(B266,input_397100!L:R,7,FALSE),VLOOKUP(tables_397100!C266,input_397100!A:H,8,FALSE))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input_397100!A$2</f>
        <v>397100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IFERROR(VLOOKUP(B267,input_397100!L:R,7,FALSE),VLOOKUP(tables_397100!C267,input_397100!A:H,8,FALSE))</f>
        <v>248465.43208</v>
      </c>
      <c r="P267" s="46">
        <f t="shared" ca="1" si="13"/>
        <v>9.5197483554971801E-3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input_397100!A$2</f>
        <v>397100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IFERROR(VLOOKUP(B268,input_397100!L:R,7,FALSE),VLOOKUP(tables_397100!C268,input_397100!A:H,8,FALSE))</f>
        <v>12705.885</v>
      </c>
      <c r="P268" s="46">
        <f t="shared" ca="1" si="13"/>
        <v>4.8681551723839413E-4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input_397100!A$2</f>
        <v>397100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IFERROR(VLOOKUP(B269,input_397100!L:R,7,FALSE),VLOOKUP(tables_397100!C269,input_397100!A:H,8,FALSE))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input_397100!A$2</f>
        <v>397100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IFERROR(VLOOKUP(B270,input_397100!L:R,7,FALSE),VLOOKUP(tables_397100!C270,input_397100!A:H,8,FALSE))</f>
        <v>248465.43208</v>
      </c>
      <c r="P270" s="46">
        <f t="shared" ca="1" si="13"/>
        <v>9.5197483554971801E-3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input_397100!A$2</f>
        <v>397100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IFERROR(VLOOKUP(B271,input_397100!L:R,7,FALSE),VLOOKUP(tables_397100!C271,input_397100!A:H,8,FALSE))</f>
        <v>12705.885</v>
      </c>
      <c r="P271" s="46">
        <f t="shared" ca="1" si="13"/>
        <v>4.8681551723839413E-4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input_397100!A$2</f>
        <v>397100</v>
      </c>
      <c r="B272" s="82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IFERROR(VLOOKUP(B272,input_397100!L:R,7,FALSE),VLOOKUP(tables_397100!C272,input_397100!A:H,8,FALSE))</f>
        <v>1740</v>
      </c>
      <c r="P272" s="46">
        <f t="shared" ca="1" si="13"/>
        <v>6.6666666666257871E-5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input_397100!A$2</f>
        <v>397100</v>
      </c>
      <c r="B273" s="82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IFERROR(VLOOKUP(B273,input_397100!L:R,7,FALSE),VLOOKUP(tables_397100!C273,input_397100!A:H,8,FALSE))</f>
        <v>1740</v>
      </c>
      <c r="P273" s="46">
        <f t="shared" ca="1" si="13"/>
        <v>6.6666666666257871E-5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input_397100!A$2</f>
        <v>397100</v>
      </c>
      <c r="B274" s="82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IFERROR(VLOOKUP(B274,input_397100!L:R,7,FALSE),VLOOKUP(tables_397100!C274,input_397100!A:H,8,FALSE))</f>
        <v>211782.23018000001</v>
      </c>
      <c r="P274" s="46">
        <f t="shared" ca="1" si="13"/>
        <v>8.1142616926705505E-3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input_397100!A$2</f>
        <v>397100</v>
      </c>
      <c r="B275" s="82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IFERROR(VLOOKUP(B275,input_397100!L:R,7,FALSE),VLOOKUP(tables_397100!C275,input_397100!A:H,8,FALSE))</f>
        <v>48317.769820000001</v>
      </c>
      <c r="P275" s="46">
        <f t="shared" ca="1" si="13"/>
        <v>1.8512555486476518E-3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input_397100!A$2</f>
        <v>397100</v>
      </c>
      <c r="B276" s="82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IFERROR(VLOOKUP(B276,input_397100!L:R,7,FALSE),VLOOKUP(tables_397100!C276,input_397100!A:H,8,FALSE))</f>
        <v>211782.23018000001</v>
      </c>
      <c r="P276" s="46">
        <f t="shared" ca="1" si="13"/>
        <v>8.1142616926705505E-3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input_397100!A$2</f>
        <v>397100</v>
      </c>
      <c r="B277" s="82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IFERROR(VLOOKUP(B277,input_397100!L:R,7,FALSE),VLOOKUP(tables_397100!C277,input_397100!A:H,8,FALSE))</f>
        <v>48317.769820000001</v>
      </c>
      <c r="P277" s="46">
        <f t="shared" ca="1" si="13"/>
        <v>1.8512555486476518E-3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input_397100!A$2</f>
        <v>397100</v>
      </c>
      <c r="B278" s="82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IFERROR(VLOOKUP(B278,input_397100!L:R,7,FALSE),VLOOKUP(tables_397100!C278,input_397100!A:H,8,FALSE))</f>
        <v>211782.23018000001</v>
      </c>
      <c r="P278" s="46">
        <f t="shared" ca="1" si="13"/>
        <v>8.1142616926705505E-3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input_397100!A$2</f>
        <v>397100</v>
      </c>
      <c r="B279" s="82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IFERROR(VLOOKUP(B279,input_397100!L:R,7,FALSE),VLOOKUP(tables_397100!C279,input_397100!A:H,8,FALSE))</f>
        <v>48317.769820000001</v>
      </c>
      <c r="P279" s="46">
        <f t="shared" ca="1" si="13"/>
        <v>1.8512555486476518E-3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input_397100!A$2</f>
        <v>397100</v>
      </c>
      <c r="B280" s="82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IFERROR(VLOOKUP(B280,input_397100!L:R,7,FALSE),VLOOKUP(tables_397100!C280,input_397100!A:H,8,FALSE))</f>
        <v>211782.23018000001</v>
      </c>
      <c r="P280" s="46">
        <f t="shared" ca="1" si="13"/>
        <v>8.1142616926705505E-3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input_397100!A$2</f>
        <v>397100</v>
      </c>
      <c r="B281" s="82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IFERROR(VLOOKUP(B281,input_397100!L:R,7,FALSE),VLOOKUP(tables_397100!C281,input_397100!A:H,8,FALSE))</f>
        <v>48317.769820000001</v>
      </c>
      <c r="P281" s="46">
        <f t="shared" ca="1" si="13"/>
        <v>1.8512555486476518E-3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input_397100!A$2</f>
        <v>397100</v>
      </c>
      <c r="B282" s="82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IFERROR(VLOOKUP(B282,input_397100!L:R,7,FALSE),VLOOKUP(tables_397100!C282,input_397100!A:H,8,FALSE))</f>
        <v>1740</v>
      </c>
      <c r="P282" s="46">
        <f t="shared" ca="1" si="13"/>
        <v>6.6666666666257871E-5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input_397100!A$2</f>
        <v>397100</v>
      </c>
      <c r="B283" s="82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IFERROR(VLOOKUP(B283,input_397100!L:R,7,FALSE),VLOOKUP(tables_397100!C283,input_397100!A:H,8,FALSE))</f>
        <v>1740</v>
      </c>
      <c r="P283" s="46">
        <f t="shared" ca="1" si="13"/>
        <v>6.6666666666257871E-5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input_397100!A$2</f>
        <v>397100</v>
      </c>
      <c r="B284" s="92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IFERROR(VLOOKUP(B284,input_397100!L:R,7,FALSE),VLOOKUP(tables_397100!C284,input_397100!A:H,8,FALSE))</f>
        <v>1740</v>
      </c>
      <c r="P284" s="46">
        <f t="shared" ca="1" si="13"/>
        <v>6.6666666666257871E-5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input_397100!A$2</f>
        <v>397100</v>
      </c>
      <c r="B285" s="92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IFERROR(VLOOKUP(B285,input_397100!L:R,7,FALSE),VLOOKUP(tables_397100!C285,input_397100!A:H,8,FALSE))</f>
        <v>1740</v>
      </c>
      <c r="P285" s="46">
        <f t="shared" ca="1" si="13"/>
        <v>6.6666666666257871E-5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input_397100!A$2</f>
        <v>397100</v>
      </c>
      <c r="B286" s="92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IFERROR(VLOOKUP(B286,input_397100!L:R,7,FALSE),VLOOKUP(tables_397100!C286,input_397100!A:H,8,FALSE))</f>
        <v>211782.23018000001</v>
      </c>
      <c r="P286" s="46">
        <f t="shared" ca="1" si="13"/>
        <v>8.1142616926705505E-3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input_397100!A$2</f>
        <v>397100</v>
      </c>
      <c r="B287" s="92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IFERROR(VLOOKUP(B287,input_397100!L:R,7,FALSE),VLOOKUP(tables_397100!C287,input_397100!A:H,8,FALSE))</f>
        <v>48317.769820000001</v>
      </c>
      <c r="P287" s="46">
        <f t="shared" ca="1" si="13"/>
        <v>1.8512555486476518E-3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input_397100!A$2</f>
        <v>397100</v>
      </c>
      <c r="B288" s="92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IFERROR(VLOOKUP(B288,input_397100!L:R,7,FALSE),VLOOKUP(tables_397100!C288,input_397100!A:H,8,FALSE))</f>
        <v>211782.23018000001</v>
      </c>
      <c r="P288" s="46">
        <f t="shared" ca="1" si="13"/>
        <v>8.1142616926705505E-3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input_397100!A$2</f>
        <v>397100</v>
      </c>
      <c r="B289" s="92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IFERROR(VLOOKUP(B289,input_397100!L:R,7,FALSE),VLOOKUP(tables_397100!C289,input_397100!A:H,8,FALSE))</f>
        <v>48317.769820000001</v>
      </c>
      <c r="P289" s="46">
        <f t="shared" ca="1" si="13"/>
        <v>1.8512555486476518E-3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input_397100!A$2</f>
        <v>397100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IFERROR(VLOOKUP(B290,input_397100!L:R,7,FALSE),VLOOKUP(tables_397100!C290,input_397100!A:H,8,FALSE))</f>
        <v>1740</v>
      </c>
      <c r="P290" s="46">
        <f t="shared" ca="1" si="13"/>
        <v>6.6666666666257871E-5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input_397100!A$2</f>
        <v>397100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IFERROR(VLOOKUP(B291,input_397100!L:R,7,FALSE),VLOOKUP(tables_397100!C291,input_397100!A:H,8,FALSE))</f>
        <v>211782.23018000001</v>
      </c>
      <c r="P291" s="46">
        <f t="shared" ca="1" si="13"/>
        <v>8.1142616926705505E-3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input_397100!A$2</f>
        <v>397100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IFERROR(VLOOKUP(B292,input_397100!L:R,7,FALSE),VLOOKUP(tables_397100!C292,input_397100!A:H,8,FALSE))</f>
        <v>48317.769820000001</v>
      </c>
      <c r="P292" s="46">
        <f t="shared" ca="1" si="13"/>
        <v>1.8512555486476518E-3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input_397100!A$2</f>
        <v>397100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IFERROR(VLOOKUP(B293,input_397100!L:R,7,FALSE),VLOOKUP(tables_397100!C293,input_397100!A:H,8,FALSE))</f>
        <v>1740</v>
      </c>
      <c r="P293" s="46">
        <f t="shared" ca="1" si="13"/>
        <v>6.6666666666257871E-5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input_397100!A$2</f>
        <v>397100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IFERROR(VLOOKUP(B294,input_397100!L:R,7,FALSE),VLOOKUP(tables_397100!C294,input_397100!A:H,8,FALSE))</f>
        <v>1740</v>
      </c>
      <c r="P294" s="46">
        <f t="shared" ca="1" si="13"/>
        <v>6.6666666666257871E-5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input_397100!A$2</f>
        <v>397100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IFERROR(VLOOKUP(B295,input_397100!L:R,7,FALSE),VLOOKUP(tables_397100!C295,input_397100!A:H,8,FALSE))</f>
        <v>1740</v>
      </c>
      <c r="P295" s="46">
        <f t="shared" ref="P295:P299" ca="1" si="20">O295/SUM(O:O)</f>
        <v>6.6666666666257871E-5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input_397100!A$2</f>
        <v>397100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IFERROR(VLOOKUP(B296,input_397100!L:R,7,FALSE),VLOOKUP(tables_397100!C296,input_397100!A:H,8,FALSE))</f>
        <v>1740</v>
      </c>
      <c r="P296" s="46">
        <f t="shared" ca="1" si="20"/>
        <v>6.6666666666257871E-5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input_397100!A$2</f>
        <v>397100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IFERROR(VLOOKUP(B297,input_397100!L:R,7,FALSE),VLOOKUP(tables_397100!C297,input_397100!A:H,8,FALSE))</f>
        <v>211782.23018000001</v>
      </c>
      <c r="P297" s="46">
        <f t="shared" ca="1" si="20"/>
        <v>8.1142616926705505E-3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input_397100!A$2</f>
        <v>397100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IFERROR(VLOOKUP(B298,input_397100!L:R,7,FALSE),VLOOKUP(tables_397100!C298,input_397100!A:H,8,FALSE))</f>
        <v>48317.769820000001</v>
      </c>
      <c r="P298" s="46">
        <f t="shared" ca="1" si="20"/>
        <v>1.8512555486476518E-3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input_397100!A$2</f>
        <v>397100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IFERROR(VLOOKUP(B299,input_397100!L:R,7,FALSE),VLOOKUP(tables_397100!C299,input_397100!A:H,8,FALSE))</f>
        <v>1740</v>
      </c>
      <c r="P299" s="46">
        <f t="shared" ca="1" si="20"/>
        <v>6.6666666666257871E-5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input_397100!A$2</f>
        <v>397100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IFERROR(VLOOKUP(B300,input_397100!L:R,7,FALSE),VLOOKUP(tables_397100!C300,input_397100!A:H,8,FALSE))</f>
        <v>211782.23018000001</v>
      </c>
      <c r="P300" s="46">
        <f t="shared" ref="P300:P304" ca="1" si="22">O300/SUM(O:O)</f>
        <v>8.1142616926705505E-3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input_397100!A$2</f>
        <v>397100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IFERROR(VLOOKUP(B301,input_397100!L:R,7,FALSE),VLOOKUP(tables_397100!C301,input_397100!A:H,8,FALSE))</f>
        <v>48317.769820000001</v>
      </c>
      <c r="P301" s="46">
        <f t="shared" ca="1" si="22"/>
        <v>1.8512555486476518E-3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input_397100!A$2</f>
        <v>397100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IFERROR(VLOOKUP(B302,input_397100!L:R,7,FALSE),VLOOKUP(tables_397100!C302,input_397100!A:H,8,FALSE))</f>
        <v>1740</v>
      </c>
      <c r="P302" s="46">
        <f t="shared" ca="1" si="22"/>
        <v>6.6666666666257871E-5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input_397100!A$2</f>
        <v>397100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IFERROR(VLOOKUP(B303,input_397100!L:R,7,FALSE),VLOOKUP(tables_397100!C303,input_397100!A:H,8,FALSE))</f>
        <v>1740</v>
      </c>
      <c r="P303" s="46">
        <f t="shared" ca="1" si="22"/>
        <v>6.6666666666257871E-5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input_397100!A$2</f>
        <v>397100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IFERROR(VLOOKUP(B304,input_397100!L:R,7,FALSE),VLOOKUP(tables_397100!C304,input_397100!A:H,8,FALSE))</f>
        <v>1740</v>
      </c>
      <c r="P304" s="46">
        <f t="shared" ca="1" si="22"/>
        <v>6.6666666666257871E-5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input_397100!A$2</f>
        <v>397100</v>
      </c>
      <c r="B305" s="5">
        <v>1067</v>
      </c>
      <c r="C305" s="7" t="str">
        <f t="shared" ref="C305:C309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>IFERROR(VLOOKUP(B305,input_397100!L:R,7,FALSE),VLOOKUP(tables_397100!C305,input_397100!A:H,8,FALSE))</f>
        <v>2057985</v>
      </c>
      <c r="P305" s="46">
        <f t="shared" ref="P305:P309" ca="1" si="24">O305/SUM(O:O)</f>
        <v>7.8849999999516487E-2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input_397100!A$2</f>
        <v>397100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>IFERROR(VLOOKUP(B306,input_397100!L:R,7,FALSE),VLOOKUP(tables_397100!C306,input_397100!A:H,8,FALSE))</f>
        <v>108315</v>
      </c>
      <c r="P306" s="46">
        <f t="shared" ca="1" si="24"/>
        <v>4.1499999999745525E-3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input_397100!A$2</f>
        <v>397100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IFERROR(VLOOKUP(B307,input_397100!L:R,7,FALSE),VLOOKUP(tables_397100!C307,input_397100!A:H,8,FALSE))</f>
        <v>469799.99999999994</v>
      </c>
      <c r="P307" s="46">
        <f t="shared" ca="1" si="24"/>
        <v>1.7999999999889622E-2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input_397100!A$2</f>
        <v>397100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>IFERROR(VLOOKUP(B308,input_397100!L:R,7,FALSE),VLOOKUP(tables_397100!C308,input_397100!A:H,8,FALSE))</f>
        <v>287100</v>
      </c>
      <c r="P308" s="46">
        <f t="shared" ca="1" si="24"/>
        <v>1.0999999999932548E-2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input_397100!A$2</f>
        <v>397100</v>
      </c>
      <c r="B309" s="5">
        <v>1074</v>
      </c>
      <c r="C309" s="7" t="str">
        <f t="shared" si="23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>IFERROR(VLOOKUP(B309,input_397100!L:R,7,FALSE),VLOOKUP(tables_397100!C309,input_397100!A:H,8,FALSE))</f>
        <v>469799.99999999994</v>
      </c>
      <c r="P309" s="46">
        <f t="shared" ca="1" si="24"/>
        <v>1.7999999999889622E-2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6" sqref="D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input_397100!A$2</f>
        <v>397100</v>
      </c>
      <c r="B2" s="5">
        <v>1067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ウシュムガル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dragon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input_397100!A$2</f>
        <v>397100</v>
      </c>
      <c r="B3" s="5">
        <v>1068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想母の羽龍 ウシュムガル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input_397100!A$2</f>
        <v>397100</v>
      </c>
      <c r="B4" s="5">
        <v>1069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イシュタル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input_397100!A$2</f>
        <v>397100</v>
      </c>
      <c r="B5" s="5">
        <v>1072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エンキドゥ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input_397100!A$2</f>
        <v>397100</v>
      </c>
      <c r="B6" s="5">
        <v>1074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マルドゥク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technical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/>
      <c r="B2" s="79"/>
      <c r="C2" s="80"/>
      <c r="D2" s="80"/>
      <c r="E2" s="80"/>
      <c r="F2" s="80"/>
      <c r="G2" s="1"/>
      <c r="H2" s="1"/>
      <c r="I2" s="1"/>
      <c r="J2" s="1"/>
      <c r="K2" s="1"/>
      <c r="L2" s="1"/>
      <c r="M2" s="1"/>
      <c r="N2" s="80"/>
      <c r="O2" s="80"/>
      <c r="P2" s="80"/>
      <c r="Q2" s="81"/>
    </row>
    <row r="3" spans="1:17" ht="21" customHeight="1" x14ac:dyDescent="0.15">
      <c r="A3" s="79"/>
      <c r="B3" s="79"/>
      <c r="G3" s="87"/>
      <c r="H3" s="87"/>
      <c r="I3" s="87"/>
      <c r="J3" s="87"/>
      <c r="K3" s="87"/>
      <c r="L3" s="87"/>
      <c r="M3" s="87"/>
      <c r="N3" s="80"/>
      <c r="O3" s="80"/>
      <c r="P3" s="80"/>
      <c r="Q3" s="81"/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input_397010</vt:lpstr>
      <vt:lpstr>tables_397010</vt:lpstr>
      <vt:lpstr>input_397100</vt:lpstr>
      <vt:lpstr>tables_397100</vt:lpstr>
      <vt:lpstr>tables_settle_397100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2016-08-31T07:26:19Z</dcterms:modified>
</cp:coreProperties>
</file>