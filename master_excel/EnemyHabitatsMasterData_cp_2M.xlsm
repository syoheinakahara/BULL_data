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17" codeName="{00000000-0000-0000-0000-000000000000}"/>
  <workbookPr codeName="ThisWorkbook" autoCompressPictures="0"/>
  <bookViews>
    <workbookView xWindow="1120" yWindow="1120" windowWidth="25720" windowHeight="14940" tabRatio="804" activeTab="3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stage_hints" sheetId="19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enemy_skills!$A$1:$I$1</definedName>
    <definedName name="_xlnm._FilterDatabase" localSheetId="7" hidden="1">stage_hints!$B$1:$L$2</definedName>
    <definedName name="Excel_BuiltIn__FilterDatabase_6_1" localSheetId="4">[1]unit_skills!#REF!</definedName>
    <definedName name="Excel_BuiltIn__FilterDatabase_6_1" localSheetId="6">[1]unit_skills!#REF!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19" l="1"/>
  <c r="N2" i="19"/>
  <c r="B3" i="19"/>
  <c r="G3" i="19"/>
  <c r="F3" i="19"/>
  <c r="D3" i="19"/>
  <c r="C3" i="19"/>
  <c r="A25" i="9"/>
  <c r="A26" i="9"/>
  <c r="A27" i="9"/>
  <c r="A28" i="9"/>
  <c r="A29" i="9"/>
  <c r="A19" i="9"/>
  <c r="A20" i="9"/>
  <c r="A21" i="9"/>
  <c r="A22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23" i="9"/>
  <c r="A24" i="9"/>
  <c r="K17" i="11"/>
  <c r="J17" i="11"/>
  <c r="K16" i="11"/>
  <c r="J16" i="11"/>
  <c r="K18" i="11"/>
  <c r="J18" i="11"/>
  <c r="O20" i="9"/>
  <c r="N20" i="9"/>
  <c r="M20" i="9"/>
  <c r="L20" i="9"/>
  <c r="K20" i="9"/>
  <c r="J20" i="9"/>
  <c r="I20" i="9"/>
  <c r="H20" i="9"/>
  <c r="G20" i="9"/>
  <c r="E20" i="9"/>
  <c r="D20" i="9"/>
  <c r="O19" i="9"/>
  <c r="N19" i="9"/>
  <c r="M19" i="9"/>
  <c r="L19" i="9"/>
  <c r="K19" i="9"/>
  <c r="J19" i="9"/>
  <c r="I19" i="9"/>
  <c r="H19" i="9"/>
  <c r="G19" i="9"/>
  <c r="E19" i="9"/>
  <c r="D19" i="9"/>
  <c r="O21" i="9"/>
  <c r="N21" i="9"/>
  <c r="M21" i="9"/>
  <c r="L21" i="9"/>
  <c r="K21" i="9"/>
  <c r="J21" i="9"/>
  <c r="I21" i="9"/>
  <c r="H21" i="9"/>
  <c r="G21" i="9"/>
  <c r="E21" i="9"/>
  <c r="D21" i="9"/>
  <c r="K3" i="11"/>
  <c r="J3" i="11"/>
  <c r="K5" i="11"/>
  <c r="O4" i="9"/>
  <c r="N4" i="9"/>
  <c r="M4" i="9"/>
  <c r="L4" i="9"/>
  <c r="K4" i="9"/>
  <c r="J4" i="9"/>
  <c r="I4" i="9"/>
  <c r="H4" i="9"/>
  <c r="G4" i="9"/>
  <c r="E4" i="9"/>
  <c r="D4" i="9"/>
  <c r="J5" i="11"/>
  <c r="O5" i="9"/>
  <c r="N5" i="9"/>
  <c r="M5" i="9"/>
  <c r="L5" i="9"/>
  <c r="K5" i="9"/>
  <c r="J5" i="9"/>
  <c r="I5" i="9"/>
  <c r="H5" i="9"/>
  <c r="G5" i="9"/>
  <c r="E5" i="9"/>
  <c r="D5" i="9"/>
  <c r="O26" i="9"/>
  <c r="N26" i="9"/>
  <c r="M26" i="9"/>
  <c r="L26" i="9"/>
  <c r="K26" i="9"/>
  <c r="J26" i="9"/>
  <c r="I26" i="9"/>
  <c r="H26" i="9"/>
  <c r="G26" i="9"/>
  <c r="E26" i="9"/>
  <c r="D26" i="9"/>
  <c r="K26" i="11"/>
  <c r="J26" i="11"/>
  <c r="O29" i="9"/>
  <c r="N29" i="9"/>
  <c r="M29" i="9"/>
  <c r="L29" i="9"/>
  <c r="K29" i="9"/>
  <c r="J29" i="9"/>
  <c r="I29" i="9"/>
  <c r="H29" i="9"/>
  <c r="G29" i="9"/>
  <c r="E29" i="9"/>
  <c r="D29" i="9"/>
  <c r="J25" i="11"/>
  <c r="J12" i="11"/>
  <c r="O16" i="9"/>
  <c r="N16" i="9"/>
  <c r="M16" i="9"/>
  <c r="L16" i="9"/>
  <c r="K16" i="9"/>
  <c r="J16" i="9"/>
  <c r="I16" i="9"/>
  <c r="H16" i="9"/>
  <c r="G16" i="9"/>
  <c r="E16" i="9"/>
  <c r="D16" i="9"/>
  <c r="K12" i="11"/>
  <c r="K4" i="11"/>
  <c r="K6" i="11"/>
  <c r="K7" i="11"/>
  <c r="K8" i="11"/>
  <c r="K9" i="11"/>
  <c r="K10" i="11"/>
  <c r="K11" i="11"/>
  <c r="K13" i="11"/>
  <c r="K14" i="11"/>
  <c r="K15" i="11"/>
  <c r="K19" i="11"/>
  <c r="K20" i="11"/>
  <c r="K21" i="11"/>
  <c r="K22" i="11"/>
  <c r="K23" i="11"/>
  <c r="K24" i="11"/>
  <c r="K25" i="11"/>
  <c r="K2" i="11"/>
  <c r="J24" i="11"/>
  <c r="J23" i="11"/>
  <c r="J22" i="11"/>
  <c r="J21" i="11"/>
  <c r="J20" i="11"/>
  <c r="J19" i="11"/>
  <c r="J15" i="11"/>
  <c r="J14" i="11"/>
  <c r="J13" i="11"/>
  <c r="J11" i="11"/>
  <c r="J10" i="11"/>
  <c r="J9" i="11"/>
  <c r="J8" i="11"/>
  <c r="J7" i="11"/>
  <c r="J6" i="11"/>
  <c r="J4" i="11"/>
  <c r="O12" i="9"/>
  <c r="N12" i="9"/>
  <c r="M12" i="9"/>
  <c r="L12" i="9"/>
  <c r="K12" i="9"/>
  <c r="J12" i="9"/>
  <c r="I12" i="9"/>
  <c r="H12" i="9"/>
  <c r="G12" i="9"/>
  <c r="E12" i="9"/>
  <c r="D12" i="9"/>
  <c r="O28" i="9"/>
  <c r="N28" i="9"/>
  <c r="M28" i="9"/>
  <c r="L28" i="9"/>
  <c r="K28" i="9"/>
  <c r="J28" i="9"/>
  <c r="I28" i="9"/>
  <c r="H28" i="9"/>
  <c r="G28" i="9"/>
  <c r="E28" i="9"/>
  <c r="D28" i="9"/>
  <c r="O27" i="9"/>
  <c r="N27" i="9"/>
  <c r="M27" i="9"/>
  <c r="L27" i="9"/>
  <c r="K27" i="9"/>
  <c r="J27" i="9"/>
  <c r="I27" i="9"/>
  <c r="H27" i="9"/>
  <c r="G27" i="9"/>
  <c r="E27" i="9"/>
  <c r="D27" i="9"/>
  <c r="O25" i="9"/>
  <c r="N25" i="9"/>
  <c r="M25" i="9"/>
  <c r="L25" i="9"/>
  <c r="K25" i="9"/>
  <c r="J25" i="9"/>
  <c r="I25" i="9"/>
  <c r="H25" i="9"/>
  <c r="G25" i="9"/>
  <c r="E25" i="9"/>
  <c r="D25" i="9"/>
  <c r="O24" i="9"/>
  <c r="N24" i="9"/>
  <c r="M24" i="9"/>
  <c r="L24" i="9"/>
  <c r="K24" i="9"/>
  <c r="J24" i="9"/>
  <c r="I24" i="9"/>
  <c r="H24" i="9"/>
  <c r="G24" i="9"/>
  <c r="E24" i="9"/>
  <c r="D24" i="9"/>
  <c r="O23" i="9"/>
  <c r="N23" i="9"/>
  <c r="M23" i="9"/>
  <c r="L23" i="9"/>
  <c r="K23" i="9"/>
  <c r="J23" i="9"/>
  <c r="I23" i="9"/>
  <c r="H23" i="9"/>
  <c r="G23" i="9"/>
  <c r="E23" i="9"/>
  <c r="D23" i="9"/>
  <c r="O22" i="9"/>
  <c r="N22" i="9"/>
  <c r="M22" i="9"/>
  <c r="L22" i="9"/>
  <c r="K22" i="9"/>
  <c r="J22" i="9"/>
  <c r="I22" i="9"/>
  <c r="H22" i="9"/>
  <c r="G22" i="9"/>
  <c r="E22" i="9"/>
  <c r="D22" i="9"/>
  <c r="O18" i="9"/>
  <c r="N18" i="9"/>
  <c r="M18" i="9"/>
  <c r="L18" i="9"/>
  <c r="K18" i="9"/>
  <c r="J18" i="9"/>
  <c r="I18" i="9"/>
  <c r="H18" i="9"/>
  <c r="G18" i="9"/>
  <c r="E18" i="9"/>
  <c r="D18" i="9"/>
  <c r="O17" i="9"/>
  <c r="N17" i="9"/>
  <c r="M17" i="9"/>
  <c r="L17" i="9"/>
  <c r="J17" i="9"/>
  <c r="I17" i="9"/>
  <c r="H17" i="9"/>
  <c r="G17" i="9"/>
  <c r="E17" i="9"/>
  <c r="D17" i="9"/>
  <c r="O15" i="9"/>
  <c r="N15" i="9"/>
  <c r="M15" i="9"/>
  <c r="L15" i="9"/>
  <c r="K15" i="9"/>
  <c r="J15" i="9"/>
  <c r="I15" i="9"/>
  <c r="H15" i="9"/>
  <c r="G15" i="9"/>
  <c r="E15" i="9"/>
  <c r="D15" i="9"/>
  <c r="O14" i="9"/>
  <c r="N14" i="9"/>
  <c r="M14" i="9"/>
  <c r="L14" i="9"/>
  <c r="K14" i="9"/>
  <c r="J14" i="9"/>
  <c r="I14" i="9"/>
  <c r="H14" i="9"/>
  <c r="G14" i="9"/>
  <c r="E14" i="9"/>
  <c r="D14" i="9"/>
  <c r="O13" i="9"/>
  <c r="N13" i="9"/>
  <c r="M13" i="9"/>
  <c r="L13" i="9"/>
  <c r="K13" i="9"/>
  <c r="J13" i="9"/>
  <c r="I13" i="9"/>
  <c r="H13" i="9"/>
  <c r="G13" i="9"/>
  <c r="E13" i="9"/>
  <c r="D13" i="9"/>
  <c r="O11" i="9"/>
  <c r="N11" i="9"/>
  <c r="M11" i="9"/>
  <c r="L11" i="9"/>
  <c r="K11" i="9"/>
  <c r="J11" i="9"/>
  <c r="I11" i="9"/>
  <c r="H11" i="9"/>
  <c r="G11" i="9"/>
  <c r="E11" i="9"/>
  <c r="D11" i="9"/>
  <c r="O10" i="9"/>
  <c r="N10" i="9"/>
  <c r="M10" i="9"/>
  <c r="L10" i="9"/>
  <c r="K10" i="9"/>
  <c r="J10" i="9"/>
  <c r="I10" i="9"/>
  <c r="H10" i="9"/>
  <c r="G10" i="9"/>
  <c r="E10" i="9"/>
  <c r="D10" i="9"/>
  <c r="O9" i="9"/>
  <c r="N9" i="9"/>
  <c r="M9" i="9"/>
  <c r="L9" i="9"/>
  <c r="K9" i="9"/>
  <c r="J9" i="9"/>
  <c r="I9" i="9"/>
  <c r="H9" i="9"/>
  <c r="G9" i="9"/>
  <c r="E9" i="9"/>
  <c r="D9" i="9"/>
  <c r="J2" i="11"/>
  <c r="O8" i="9"/>
  <c r="N8" i="9"/>
  <c r="M8" i="9"/>
  <c r="L8" i="9"/>
  <c r="K8" i="9"/>
  <c r="J8" i="9"/>
  <c r="I8" i="9"/>
  <c r="H8" i="9"/>
  <c r="G8" i="9"/>
  <c r="E8" i="9"/>
  <c r="D8" i="9"/>
  <c r="O7" i="9"/>
  <c r="N7" i="9"/>
  <c r="M7" i="9"/>
  <c r="L7" i="9"/>
  <c r="K7" i="9"/>
  <c r="J7" i="9"/>
  <c r="I7" i="9"/>
  <c r="H7" i="9"/>
  <c r="G7" i="9"/>
  <c r="E7" i="9"/>
  <c r="D7" i="9"/>
  <c r="O6" i="9"/>
  <c r="N6" i="9"/>
  <c r="M6" i="9"/>
  <c r="L6" i="9"/>
  <c r="K6" i="9"/>
  <c r="J6" i="9"/>
  <c r="I6" i="9"/>
  <c r="H6" i="9"/>
  <c r="G6" i="9"/>
  <c r="E6" i="9"/>
  <c r="D6" i="9"/>
  <c r="O3" i="9"/>
  <c r="N3" i="9"/>
  <c r="M3" i="9"/>
  <c r="L3" i="9"/>
  <c r="K3" i="9"/>
  <c r="J3" i="9"/>
  <c r="I3" i="9"/>
  <c r="H3" i="9"/>
  <c r="G3" i="9"/>
  <c r="E3" i="9"/>
  <c r="D3" i="9"/>
  <c r="E2" i="9"/>
  <c r="W5" i="7"/>
  <c r="W4" i="7"/>
  <c r="W3" i="7"/>
  <c r="W2" i="7"/>
  <c r="Y5" i="7"/>
  <c r="R5" i="7"/>
  <c r="Q5" i="7"/>
  <c r="P5" i="7"/>
  <c r="O5" i="7"/>
  <c r="N5" i="7"/>
  <c r="H5" i="7"/>
  <c r="G2" i="2"/>
  <c r="A2" i="2"/>
  <c r="G3" i="2"/>
  <c r="A3" i="2"/>
  <c r="G4" i="2"/>
  <c r="A4" i="2"/>
  <c r="J5" i="7"/>
  <c r="I5" i="7"/>
  <c r="D5" i="7"/>
  <c r="F5" i="7"/>
  <c r="E5" i="7"/>
  <c r="A5" i="7"/>
  <c r="Y4" i="7"/>
  <c r="R4" i="7"/>
  <c r="Q4" i="7"/>
  <c r="P4" i="7"/>
  <c r="O4" i="7"/>
  <c r="N4" i="7"/>
  <c r="H4" i="7"/>
  <c r="J4" i="7"/>
  <c r="I4" i="7"/>
  <c r="D4" i="7"/>
  <c r="F4" i="7"/>
  <c r="E4" i="7"/>
  <c r="A4" i="7"/>
  <c r="Y3" i="7"/>
  <c r="R3" i="7"/>
  <c r="Q3" i="7"/>
  <c r="P3" i="7"/>
  <c r="O3" i="7"/>
  <c r="N3" i="7"/>
  <c r="H3" i="7"/>
  <c r="J3" i="7"/>
  <c r="I3" i="7"/>
  <c r="D3" i="7"/>
  <c r="F3" i="7"/>
  <c r="E3" i="7"/>
  <c r="A3" i="7"/>
  <c r="AC6" i="1"/>
  <c r="AC7" i="1"/>
  <c r="AC8" i="1"/>
  <c r="AC9" i="1"/>
  <c r="AD9" i="1"/>
  <c r="AG9" i="1"/>
  <c r="AE9" i="1"/>
  <c r="AA9" i="1"/>
  <c r="V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G8" i="1"/>
  <c r="AE8" i="1"/>
  <c r="AA8" i="1"/>
  <c r="V8" i="1"/>
  <c r="Q8" i="1"/>
  <c r="P8" i="1"/>
  <c r="O8" i="1"/>
  <c r="N8" i="1"/>
  <c r="M8" i="1"/>
  <c r="H8" i="1"/>
  <c r="J8" i="1"/>
  <c r="I8" i="1"/>
  <c r="D8" i="1"/>
  <c r="F8" i="1"/>
  <c r="E8" i="1"/>
  <c r="A8" i="1"/>
  <c r="AD7" i="1"/>
  <c r="AG7" i="1"/>
  <c r="AE7" i="1"/>
  <c r="AA7" i="1"/>
  <c r="V7" i="1"/>
  <c r="Q7" i="1"/>
  <c r="P7" i="1"/>
  <c r="O7" i="1"/>
  <c r="N7" i="1"/>
  <c r="M7" i="1"/>
  <c r="H7" i="1"/>
  <c r="J7" i="1"/>
  <c r="I7" i="1"/>
  <c r="D7" i="1"/>
  <c r="F7" i="1"/>
  <c r="E7" i="1"/>
  <c r="A7" i="1"/>
  <c r="AB11" i="1"/>
  <c r="AD11" i="1"/>
  <c r="AG11" i="1"/>
  <c r="AE11" i="1"/>
  <c r="AC11" i="1"/>
  <c r="AA11" i="1"/>
  <c r="V11" i="1"/>
  <c r="Q11" i="1"/>
  <c r="P11" i="1"/>
  <c r="O11" i="1"/>
  <c r="N11" i="1"/>
  <c r="M11" i="1"/>
  <c r="H11" i="1"/>
  <c r="J11" i="1"/>
  <c r="I11" i="1"/>
  <c r="D11" i="1"/>
  <c r="F11" i="1"/>
  <c r="E11" i="1"/>
  <c r="A11" i="1"/>
  <c r="AD6" i="1"/>
  <c r="AG6" i="1"/>
  <c r="AE6" i="1"/>
  <c r="AA6" i="1"/>
  <c r="V6" i="1"/>
  <c r="Q6" i="1"/>
  <c r="P6" i="1"/>
  <c r="O6" i="1"/>
  <c r="N6" i="1"/>
  <c r="M6" i="1"/>
  <c r="H6" i="1"/>
  <c r="J6" i="1"/>
  <c r="I6" i="1"/>
  <c r="D6" i="1"/>
  <c r="F6" i="1"/>
  <c r="E6" i="1"/>
  <c r="A6" i="1"/>
  <c r="AB10" i="1"/>
  <c r="AD10" i="1"/>
  <c r="AG10" i="1"/>
  <c r="AE10" i="1"/>
  <c r="AC10" i="1"/>
  <c r="AA10" i="1"/>
  <c r="V10" i="1"/>
  <c r="Q10" i="1"/>
  <c r="P10" i="1"/>
  <c r="O10" i="1"/>
  <c r="N10" i="1"/>
  <c r="M10" i="1"/>
  <c r="H10" i="1"/>
  <c r="J10" i="1"/>
  <c r="I10" i="1"/>
  <c r="D10" i="1"/>
  <c r="F10" i="1"/>
  <c r="E10" i="1"/>
  <c r="A10" i="1"/>
  <c r="AB5" i="1"/>
  <c r="AD5" i="1"/>
  <c r="AG5" i="1"/>
  <c r="AE5" i="1"/>
  <c r="AC5" i="1"/>
  <c r="AA5" i="1"/>
  <c r="V5" i="1"/>
  <c r="Q5" i="1"/>
  <c r="P5" i="1"/>
  <c r="O5" i="1"/>
  <c r="N5" i="1"/>
  <c r="M5" i="1"/>
  <c r="H5" i="1"/>
  <c r="J5" i="1"/>
  <c r="I5" i="1"/>
  <c r="D5" i="1"/>
  <c r="F5" i="1"/>
  <c r="E5" i="1"/>
  <c r="A5" i="1"/>
  <c r="AB4" i="1"/>
  <c r="AD4" i="1"/>
  <c r="AG4" i="1"/>
  <c r="AE4" i="1"/>
  <c r="AC4" i="1"/>
  <c r="AA4" i="1"/>
  <c r="V4" i="1"/>
  <c r="Q4" i="1"/>
  <c r="P4" i="1"/>
  <c r="O4" i="1"/>
  <c r="N4" i="1"/>
  <c r="M4" i="1"/>
  <c r="H4" i="1"/>
  <c r="J4" i="1"/>
  <c r="I4" i="1"/>
  <c r="D4" i="1"/>
  <c r="F4" i="1"/>
  <c r="E4" i="1"/>
  <c r="A4" i="1"/>
  <c r="AB3" i="1"/>
  <c r="AD3" i="1"/>
  <c r="AG3" i="1"/>
  <c r="AE3" i="1"/>
  <c r="AC3" i="1"/>
  <c r="AA3" i="1"/>
  <c r="V3" i="1"/>
  <c r="Q3" i="1"/>
  <c r="P3" i="1"/>
  <c r="O3" i="1"/>
  <c r="N3" i="1"/>
  <c r="M3" i="1"/>
  <c r="H3" i="1"/>
  <c r="J3" i="1"/>
  <c r="I3" i="1"/>
  <c r="D3" i="1"/>
  <c r="F3" i="1"/>
  <c r="E3" i="1"/>
  <c r="A3" i="1"/>
  <c r="V2" i="1"/>
  <c r="H4" i="2"/>
  <c r="E4" i="2"/>
  <c r="D4" i="2"/>
  <c r="H2" i="1"/>
  <c r="B4" i="2"/>
  <c r="H3" i="2"/>
  <c r="E3" i="2"/>
  <c r="D3" i="2"/>
  <c r="B3" i="2"/>
  <c r="C11" i="16"/>
  <c r="E11" i="16"/>
  <c r="C10" i="16"/>
  <c r="B2" i="19"/>
  <c r="G2" i="19"/>
  <c r="F2" i="19"/>
  <c r="D2" i="19"/>
  <c r="C2" i="19"/>
  <c r="E10" i="16"/>
  <c r="O2" i="9"/>
  <c r="N2" i="9"/>
  <c r="M2" i="9"/>
  <c r="L2" i="9"/>
  <c r="K2" i="9"/>
  <c r="J2" i="9"/>
  <c r="I2" i="9"/>
  <c r="H2" i="9"/>
  <c r="G2" i="9"/>
  <c r="D2" i="9"/>
  <c r="Y2" i="7"/>
  <c r="C4" i="16"/>
  <c r="C5" i="16"/>
  <c r="C6" i="16"/>
  <c r="C7" i="16"/>
  <c r="C8" i="16"/>
  <c r="C9" i="16"/>
  <c r="C3" i="16"/>
  <c r="E9" i="16"/>
  <c r="R2" i="7"/>
  <c r="Q2" i="7"/>
  <c r="P2" i="7"/>
  <c r="O2" i="7"/>
  <c r="N2" i="7"/>
  <c r="AB2" i="1"/>
  <c r="AE2" i="1"/>
  <c r="AD2" i="1"/>
  <c r="AC2" i="1"/>
  <c r="AA2" i="1"/>
  <c r="Q2" i="1"/>
  <c r="P2" i="1"/>
  <c r="O2" i="1"/>
  <c r="N2" i="1"/>
  <c r="M2" i="1"/>
  <c r="AG2" i="1"/>
  <c r="H2" i="7"/>
  <c r="J2" i="7"/>
  <c r="E8" i="16"/>
  <c r="E7" i="16"/>
  <c r="E6" i="16"/>
  <c r="E5" i="16"/>
  <c r="E4" i="16"/>
  <c r="E3" i="16"/>
  <c r="E2" i="16"/>
  <c r="A2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<sst xmlns="http://schemas.openxmlformats.org/spreadsheetml/2006/main" count="516" uniqueCount="284">
  <si>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</si>
  <si>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</si>
  <si>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</si>
  <si>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</si>
  <si>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</si>
  <si>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</si>
  <si>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</si>
  <si>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</si>
  <si>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</si>
  <si>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</si>
  <si>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</si>
  <si>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</si>
  <si>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</si>
  <si>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</si>
  <si>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</si>
  <si>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</si>
  <si>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</si>
  <si>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</si>
  <si>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</si>
  <si>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</si>
  <si>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</si>
  <si>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</si>
  <si>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</si>
  <si>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</si>
  <si>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</si>
  <si>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</si>
  <si>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</si>
  <si>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</si>
  <si>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</si>
  <si>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</si>
  <si>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</si>
  <si>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</si>
  <si>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</si>
  <si>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</si>
  <si>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</si>
  <si>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</si>
  <si>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</si>
  <si>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</si>
  <si>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</si>
  <si>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</si>
  <si>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</si>
  <si>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</si>
  <si>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</si>
  <si>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</si>
  <si>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</si>
  <si>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</si>
  <si>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</si>
  <si>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</si>
  <si>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</si>
  <si>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</si>
  <si>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</si>
  <si>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</si>
  <si>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</si>
  <si>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</si>
  <si>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</si>
  <si>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</si>
  <si>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</si>
  <si>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</si>
  <si>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</si>
  <si>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</si>
  <si>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</si>
  <si>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</si>
  <si>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</si>
  <si>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</si>
  <si>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</si>
  <si>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</si>
  <si>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</si>
  <si>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</si>
  <si>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</si>
  <si>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</si>
  <si>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</si>
  <si>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</si>
  <si>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</si>
  <si>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</si>
  <si>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</si>
  <si>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</si>
  <si>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</si>
  <si>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</si>
  <si>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</si>
  <si>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</si>
  <si>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</si>
  <si>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</si>
  <si>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</si>
  <si>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</si>
  <si>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</si>
  <si>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</si>
  <si>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</si>
  <si>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</si>
  <si>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</si>
  <si>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</si>
  <si>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</si>
  <si>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</si>
  <si>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</si>
  <si>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</si>
  <si>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</si>
  <si>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</si>
  <si>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</si>
  <si>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</si>
  <si>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</si>
  <si>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</si>
  <si>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</si>
  <si>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</si>
  <si>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</si>
  <si>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</si>
  <si>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</si>
  <si>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</si>
  <si>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</si>
  <si>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</si>
  <si>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</si>
  <si>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</si>
  <si>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</si>
  <si>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</si>
  <si>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</si>
  <si>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</si>
  <si>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</si>
  <si>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</si>
  <si>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</si>
  <si>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</si>
  <si>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</si>
  <si>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</si>
  <si>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</si>
  <si>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</si>
  <si>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</si>
  <si>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</si>
  <si>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</si>
  <si>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</si>
  <si>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</si>
  <si>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</si>
  <si>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</si>
  <si>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</si>
  <si>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</si>
  <si>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quest_id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</si>
  <si>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</si>
  <si>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</si>
  <si>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</si>
  <si>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</si>
  <si>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</si>
  <si>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</si>
  <si>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</si>
  <si>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</si>
  <si>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</si>
  <si>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</si>
  <si>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</si>
  <si>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</si>
  <si>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</si>
  <si>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</si>
  <si>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</si>
  <si>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</si>
  <si>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</si>
  <si>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</si>
  <si>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</si>
  <si>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</si>
  <si>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</si>
  <si>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</si>
  <si>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</si>
  <si>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</si>
  <si>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</si>
  <si>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</si>
  <si>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</si>
  <si>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</si>
  <si>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</si>
  <si>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</si>
  <si>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</si>
  <si>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</si>
  <si>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</si>
  <si>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</si>
  <si>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hint_id</t>
    <phoneticPr fontId="5"/>
  </si>
  <si>
    <t>filename</t>
    <phoneticPr fontId="5"/>
  </si>
  <si>
    <t>ja</t>
    <phoneticPr fontId="5"/>
  </si>
  <si>
    <t>complete</t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</si>
  <si>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</si>
  <si>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</si>
  <si>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</si>
  <si>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</si>
  <si>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</si>
  <si>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</si>
  <si>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t>NULL</t>
    <phoneticPr fontId="5"/>
  </si>
  <si>
    <t>2M</t>
    <phoneticPr fontId="5"/>
  </si>
  <si>
    <t>stage_hints</t>
    <phoneticPr fontId="5"/>
  </si>
  <si>
    <t>stage_hints_data_</t>
    <phoneticPr fontId="5"/>
  </si>
  <si>
    <t>old</t>
    <phoneticPr fontId="5"/>
  </si>
  <si>
    <t>[effect:nothing]</t>
    <phoneticPr fontId="5"/>
  </si>
  <si>
    <t>null</t>
    <phoneticPr fontId="5"/>
  </si>
  <si>
    <t>１２３４５６７８９０１２３４５６７８９０</t>
    <phoneticPr fontId="5"/>
  </si>
  <si>
    <t>ミリオンダックが あらわれた！</t>
  </si>
  <si>
    <t>でも、タダじゃつかまらないグヮ</t>
  </si>
  <si>
    <t>逃げるミリオンダックを 追いかけよう！</t>
    <rPh sb="0" eb="1">
      <t>ニ</t>
    </rPh>
    <rPh sb="12" eb="13">
      <t>オ</t>
    </rPh>
    <phoneticPr fontId="1"/>
  </si>
  <si>
    <t>ALICEの世界は お祭り騒ぎだ！</t>
  </si>
  <si>
    <t>ミリオンダックは
俺のもんだぜ！</t>
    <rPh sb="9" eb="10">
      <t>オレ</t>
    </rPh>
    <phoneticPr fontId="1"/>
  </si>
  <si>
    <t>ミリオンダックは
いただきニャ！</t>
  </si>
  <si>
    <t>みんなが ミリオンダックを 狙っている！</t>
    <rPh sb="14" eb="15">
      <t>ネラ</t>
    </rPh>
    <phoneticPr fontId="1"/>
  </si>
  <si>
    <t>ミリオンダックは
渡さないニャ！</t>
    <rPh sb="9" eb="10">
      <t>ワタ</t>
    </rPh>
    <phoneticPr fontId="1"/>
  </si>
  <si>
    <t>ここまでおいで グヮ！</t>
  </si>
  <si>
    <t>浮かれるな…家畜ども！</t>
    <rPh sb="0" eb="1">
      <t>ウ</t>
    </rPh>
    <rPh sb="6" eb="8">
      <t>カチク</t>
    </rPh>
    <phoneticPr fontId="1"/>
  </si>
  <si>
    <t>こざかしい力、封じてやったわ</t>
    <rPh sb="5" eb="6">
      <t>チカラ</t>
    </rPh>
    <rPh sb="7" eb="8">
      <t>フウ</t>
    </rPh>
    <phoneticPr fontId="1"/>
  </si>
  <si>
    <t>ハッキングで あらゆる機能が狂っている！</t>
  </si>
  <si>
    <t>グリフォンたちに 号令をかけた！</t>
    <rPh sb="9" eb="11">
      <t>ゴウレイ</t>
    </rPh>
    <phoneticPr fontId="1"/>
  </si>
  <si>
    <t>家畜が…目障りだ！</t>
    <rPh sb="0" eb="2">
      <t>カチク</t>
    </rPh>
    <rPh sb="4" eb="6">
      <t>メザワ</t>
    </rPh>
    <phoneticPr fontId="1"/>
  </si>
  <si>
    <t>ミリオンダックは 深手を負った！</t>
    <rPh sb="9" eb="11">
      <t>フカデ</t>
    </rPh>
    <rPh sb="12" eb="13">
      <t>オ</t>
    </rPh>
    <phoneticPr fontId="1"/>
  </si>
  <si>
    <t>くっ…家畜ごときに 不覚を取るとは…</t>
    <rPh sb="3" eb="5">
      <t>カチク</t>
    </rPh>
    <rPh sb="10" eb="12">
      <t>フカク</t>
    </rPh>
    <rPh sb="13" eb="14">
      <t>ト</t>
    </rPh>
    <phoneticPr fontId="1"/>
  </si>
  <si>
    <t>アザゼルを倒す 絶好のチャンスだ！</t>
    <rPh sb="5" eb="6">
      <t>タオ</t>
    </rPh>
    <rPh sb="8" eb="10">
      <t>ゼッコウ</t>
    </rPh>
    <phoneticPr fontId="1"/>
  </si>
  <si>
    <t>次のターン 必殺の大ダメージ攻撃！</t>
    <rPh sb="0" eb="1">
      <t>ツギ</t>
    </rPh>
    <rPh sb="6" eb="8">
      <t>ヒッサツ</t>
    </rPh>
    <rPh sb="9" eb="10">
      <t>ダイ</t>
    </rPh>
    <rPh sb="14" eb="16">
      <t>コウゲキ</t>
    </rPh>
    <phoneticPr fontId="1"/>
  </si>
  <si>
    <t>クェーッ！？</t>
  </si>
  <si>
    <t>何者かが グリフォンを吹き飛ばした！</t>
    <rPh sb="0" eb="2">
      <t>ナニモノ</t>
    </rPh>
    <rPh sb="11" eb="12">
      <t>フ</t>
    </rPh>
    <rPh sb="13" eb="14">
      <t>ト</t>
    </rPh>
    <phoneticPr fontId="1"/>
  </si>
  <si>
    <t>大丈夫グヮ！？</t>
    <rPh sb="0" eb="3">
      <t>ダイジョウブ</t>
    </rPh>
    <phoneticPr fontId="1"/>
  </si>
  <si>
    <t>ミリオンダックが 助けに来た！</t>
    <rPh sb="9" eb="10">
      <t>タス</t>
    </rPh>
    <rPh sb="12" eb="13">
      <t>キ</t>
    </rPh>
    <phoneticPr fontId="1"/>
  </si>
  <si>
    <t>攻撃力が 元に戻った！</t>
    <rPh sb="0" eb="3">
      <t>コウゲキリョク</t>
    </rPh>
    <rPh sb="5" eb="6">
      <t>モト</t>
    </rPh>
    <rPh sb="7" eb="8">
      <t>モド</t>
    </rPh>
    <phoneticPr fontId="1"/>
  </si>
  <si>
    <t>あの世で 悔いるがいい！</t>
    <rPh sb="2" eb="3">
      <t>ヨ</t>
    </rPh>
    <rPh sb="5" eb="6">
      <t>ク</t>
    </rPh>
    <phoneticPr fontId="1"/>
  </si>
  <si>
    <t>痛恨の一撃！</t>
    <rPh sb="0" eb="2">
      <t>ツウコン</t>
    </rPh>
    <rPh sb="3" eb="5">
      <t>イチゲキ</t>
    </rPh>
    <phoneticPr fontId="5"/>
  </si>
  <si>
    <t>49が死んだ時</t>
    <rPh sb="3" eb="4">
      <t>シ</t>
    </rPh>
    <rPh sb="6" eb="7">
      <t>トキ</t>
    </rPh>
    <phoneticPr fontId="5"/>
  </si>
  <si>
    <t>13が死んだ時</t>
    <rPh sb="3" eb="4">
      <t>シ</t>
    </rPh>
    <rPh sb="6" eb="7">
      <t>トキ</t>
    </rPh>
    <phoneticPr fontId="5"/>
  </si>
  <si>
    <t>開幕</t>
    <rPh sb="0" eb="2">
      <t>カイマク</t>
    </rPh>
    <phoneticPr fontId="5"/>
  </si>
  <si>
    <t>何度でも</t>
    <rPh sb="0" eb="2">
      <t>ナンド</t>
    </rPh>
    <phoneticPr fontId="5"/>
  </si>
  <si>
    <t>初回のみ</t>
    <rPh sb="0" eb="2">
      <t>ショカイ</t>
    </rPh>
    <phoneticPr fontId="5"/>
  </si>
  <si>
    <t>1回のみ</t>
    <rPh sb="1" eb="2">
      <t>カイ</t>
    </rPh>
    <phoneticPr fontId="5"/>
  </si>
  <si>
    <t>備考</t>
    <rPh sb="0" eb="2">
      <t>ビコウ</t>
    </rPh>
    <phoneticPr fontId="5"/>
  </si>
  <si>
    <t>備考</t>
    <rPh sb="0" eb="2">
      <t>ビコウ</t>
    </rPh>
    <phoneticPr fontId="5"/>
  </si>
  <si>
    <t>null</t>
    <phoneticPr fontId="5"/>
  </si>
  <si>
    <t>null</t>
    <phoneticPr fontId="5"/>
  </si>
  <si>
    <t>[effect:fix_speed, target:myself, turn:1][effect:fix_speed, target:enemy_exp, turn:2]</t>
    <phoneticPr fontId="5"/>
  </si>
  <si>
    <t>[effect:suicide, val:1, dead_type:escape, target:myself][effect:suicide, val:1, dead_type:suicide, target:enemy_animal]</t>
    <phoneticPr fontId="5"/>
  </si>
  <si>
    <t>[effect:suicide, val:1, dead_type:escape, target:myself][effect:suicide, val:1, dead_type:suicide, target:enemy_human]</t>
    <phoneticPr fontId="5"/>
  </si>
  <si>
    <t>ライバルユニットを 先に倒そう！</t>
    <rPh sb="10" eb="11">
      <t>サキ</t>
    </rPh>
    <rPh sb="12" eb="13">
      <t>タオ</t>
    </rPh>
    <phoneticPr fontId="1"/>
  </si>
  <si>
    <t>左右のユニットを タップして狙おう！</t>
    <rPh sb="0" eb="2">
      <t>サユウ</t>
    </rPh>
    <rPh sb="14" eb="15">
      <t>ネラ</t>
    </rPh>
    <phoneticPr fontId="1"/>
  </si>
  <si>
    <t>かわりに、その玉で遊ぶがいい</t>
    <rPh sb="7" eb="8">
      <t>タマ</t>
    </rPh>
    <rPh sb="9" eb="10">
      <t>アソ</t>
    </rPh>
    <phoneticPr fontId="1"/>
  </si>
  <si>
    <t>時限式ダメージパネルが カウントダウン！</t>
    <rPh sb="0" eb="3">
      <t>ジゲンシキ</t>
    </rPh>
    <phoneticPr fontId="5"/>
  </si>
  <si>
    <t>null</t>
    <phoneticPr fontId="5"/>
  </si>
  <si>
    <t>[effect:suicide, val:1, dead_type:suicide, target:enemy_unknown]</t>
    <phoneticPr fontId="5"/>
  </si>
  <si>
    <t>[effect:enhance_enemy, target:enemy_unknown, turn:-1, status:attack, val:1, calc:mul, animation:enemy_enhance_attack][effect:fix_speed, target:myself, turn:2]</t>
    <phoneticPr fontId="5"/>
  </si>
  <si>
    <t>[effect:suicide, val:1, dead_type:escape, target:enemy_all][effect:hungup, target:unit_all, turn:-1, rate:1]</t>
    <phoneticPr fontId="5"/>
  </si>
  <si>
    <t>[effect:fix_speed, target:myself, turn:1][effect:degrade_crash, target:unit_all, count:50, special:50, turn:-1]</t>
    <phoneticPr fontId="5"/>
  </si>
  <si>
    <t>414が死んだ時</t>
    <rPh sb="4" eb="5">
      <t>シ</t>
    </rPh>
    <rPh sb="7" eb="8">
      <t>トキ</t>
    </rPh>
    <phoneticPr fontId="5"/>
  </si>
  <si>
    <t>null</t>
    <phoneticPr fontId="5"/>
  </si>
  <si>
    <t>null</t>
    <phoneticPr fontId="5"/>
  </si>
  <si>
    <t>[effect:fix_speed, target:myself, turn:3]</t>
    <phoneticPr fontId="5"/>
  </si>
  <si>
    <t>[effect:heal, target:enemy_exp, val:1, animation:enemy_heal][effect:fix_speed, target:myself, turn:3]</t>
    <phoneticPr fontId="5"/>
  </si>
  <si>
    <t>[effect:fix_speed, target:myself, turn:3]</t>
    <phoneticPr fontId="5"/>
  </si>
  <si>
    <t>[effect:heal, target:enemy_exp, val:1, animation:enemy_heal][effect:fix_speed, target:myself, turn:3]</t>
    <phoneticPr fontId="5"/>
  </si>
  <si>
    <t>[effect:fix_speed, target:myself, turn:1]</t>
    <phoneticPr fontId="5"/>
  </si>
  <si>
    <t>[effect:fix_speed, target:myself, turn:3]</t>
    <phoneticPr fontId="5"/>
  </si>
  <si>
    <t>296が死んだ時</t>
    <rPh sb="4" eb="5">
      <t>シ</t>
    </rPh>
    <rPh sb="7" eb="8">
      <t>トキ</t>
    </rPh>
    <phoneticPr fontId="5"/>
  </si>
  <si>
    <t>ミリオンダックは力尽き 消えていった…</t>
    <rPh sb="8" eb="10">
      <t>チカラツ</t>
    </rPh>
    <rPh sb="12" eb="13">
      <t>キ</t>
    </rPh>
    <phoneticPr fontId="1"/>
  </si>
  <si>
    <t>これで
攻撃できるグヮ！</t>
    <rPh sb="4" eb="6">
      <t>コウゲキ</t>
    </rPh>
    <phoneticPr fontId="1"/>
  </si>
  <si>
    <t>ハッキングを
解除するグヮ！</t>
    <rPh sb="7" eb="9">
      <t>カイジョ</t>
    </rPh>
    <phoneticPr fontId="1"/>
  </si>
  <si>
    <t>[effect:suicide, val:1, dead_type:suicide, target:enemy_all]</t>
    <phoneticPr fontId="5"/>
  </si>
  <si>
    <t>ミリオンダックは 最後の力を振り絞った…</t>
    <rPh sb="9" eb="11">
      <t>サイゴ</t>
    </rPh>
    <rPh sb="12" eb="13">
      <t>チカラ</t>
    </rPh>
    <rPh sb="14" eb="15">
      <t>フ</t>
    </rPh>
    <rPh sb="16" eb="17">
      <t>シボ</t>
    </rPh>
    <phoneticPr fontId="1"/>
  </si>
  <si>
    <t>ミリオンダックは ゴソゴソしている</t>
    <phoneticPr fontId="1"/>
  </si>
  <si>
    <t>[effect:nothing]</t>
    <phoneticPr fontId="5"/>
  </si>
  <si>
    <t>これも みんなのおかげだグヮ</t>
    <phoneticPr fontId="1"/>
  </si>
  <si>
    <t>ミリオンダックは 感謝している</t>
    <rPh sb="9" eb="11">
      <t>カンシャ</t>
    </rPh>
    <phoneticPr fontId="5"/>
  </si>
  <si>
    <t>[effect:suicide, val:0.99, dead_type:suicide, target:enemy_unknown]</t>
    <phoneticPr fontId="5"/>
  </si>
  <si>
    <t>HP50%以上で、1回のみ</t>
    <rPh sb="5" eb="7">
      <t>イジョウ</t>
    </rPh>
    <rPh sb="10" eb="11">
      <t>カイ</t>
    </rPh>
    <phoneticPr fontId="5"/>
  </si>
  <si>
    <t>…味方を 手にかけるとは…</t>
    <rPh sb="1" eb="3">
      <t>ミカタ</t>
    </rPh>
    <rPh sb="5" eb="6">
      <t>テ</t>
    </rPh>
    <phoneticPr fontId="1"/>
  </si>
  <si>
    <t>イテテ！ これも みんなのおかげだグヮ</t>
    <phoneticPr fontId="1"/>
  </si>
  <si>
    <t>null</t>
    <phoneticPr fontId="5"/>
  </si>
  <si>
    <t>つかまえたいなら
ライバルを減らすグヮ</t>
    <rPh sb="14" eb="15">
      <t>ヘ</t>
    </rPh>
    <phoneticPr fontId="1"/>
  </si>
  <si>
    <t>[effect:spread, val:999.9]</t>
    <phoneticPr fontId="5"/>
  </si>
  <si>
    <t>415が死んだ時</t>
    <rPh sb="4" eb="5">
      <t>シ</t>
    </rPh>
    <rPh sb="7" eb="8">
      <t>トキ</t>
    </rPh>
    <phoneticPr fontId="5"/>
  </si>
  <si>
    <t>416が死んだ時</t>
    <rPh sb="4" eb="5">
      <t>シ</t>
    </rPh>
    <rPh sb="7" eb="8">
      <t>トキ</t>
    </rPh>
    <phoneticPr fontId="5"/>
  </si>
  <si>
    <t>417が死んだ時</t>
    <rPh sb="4" eb="5">
      <t>シ</t>
    </rPh>
    <rPh sb="7" eb="8">
      <t>トキ</t>
    </rPh>
    <phoneticPr fontId="5"/>
  </si>
  <si>
    <t>ハートの女王の手先
アザゼルが襲来した！</t>
    <rPh sb="4" eb="6">
      <t>ジョオウ</t>
    </rPh>
    <rPh sb="7" eb="9">
      <t>テサキ</t>
    </rPh>
    <rPh sb="15" eb="17">
      <t>シュウライ</t>
    </rPh>
    <phoneticPr fontId="1"/>
  </si>
  <si>
    <t>[effect:fix_speed, target:myself, turn:1][effect:fix_speed, target:enemy_unknown, turn:4][effect:degrade_unit, target:unit_all, turn:-1, status:attack, val:1, calc:mul][effect:force_change_block, new_block:block_blue, target:block_all, color:block_blue, count:0, val:0.0][effect:dis_panel, target:block_blue, turn:5][effect:dis_panel, target:block_heart, turn:4][effect:change_block, new_block:time_bomb, target:block_all, color:block_green, count:5, val:0.15][effect:change_panel_ratio, block_type:green, turn:3, val:0.0][effect:degrade_fever, val:1000.0]</t>
    <phoneticPr fontId="5"/>
  </si>
  <si>
    <t>ALICEの平和…
頼んだグヮ…</t>
    <rPh sb="6" eb="8">
      <t>ヘイワ</t>
    </rPh>
    <rPh sb="10" eb="11">
      <t>タノ</t>
    </rPh>
    <phoneticPr fontId="1"/>
  </si>
  <si>
    <t>skip</t>
    <phoneticPr fontId="5"/>
  </si>
  <si>
    <t>failure</t>
  </si>
  <si>
    <t>ミリオンダックは 大事な仲間</t>
    <rPh sb="9" eb="11">
      <t>ダイジ</t>
    </rPh>
    <rPh sb="12" eb="14">
      <t>ナカマ</t>
    </rPh>
    <phoneticPr fontId="5"/>
  </si>
  <si>
    <t>ミリオンダックと 協力しましょう
敵ユニットをタップすれば
ミリオンダックを攻撃せずに
敵にダメージを与えることができます</t>
    <rPh sb="9" eb="11">
      <t>キョウリョク</t>
    </rPh>
    <rPh sb="18" eb="19">
      <t>テキ</t>
    </rPh>
    <rPh sb="39" eb="41">
      <t>コウゲキ</t>
    </rPh>
    <rPh sb="45" eb="46">
      <t>テキ</t>
    </rPh>
    <rPh sb="52" eb="53">
      <t>アタ</t>
    </rPh>
    <phoneticPr fontId="5"/>
  </si>
  <si>
    <t>感謝のカタチ</t>
    <rPh sb="0" eb="2">
      <t>カンシャ</t>
    </rPh>
    <phoneticPr fontId="5"/>
  </si>
  <si>
    <t>…何をする気だ？</t>
    <rPh sb="1" eb="2">
      <t>ナニ</t>
    </rPh>
    <rPh sb="5" eb="6">
      <t>キ</t>
    </rPh>
    <phoneticPr fontId="1"/>
  </si>
  <si>
    <t>200万ダウンロード
うれしいぜ！</t>
    <rPh sb="3" eb="4">
      <t>マン</t>
    </rPh>
    <phoneticPr fontId="1"/>
  </si>
  <si>
    <t>[effect:fix_speed, target:myself, turn:2][effect:enhance_enemy, target:myself, turn:-1, status:attack, val:1, calc:mul, animation:enemy_enhance_attack][effect:heal, target:myself, val:1, animation:enemy_heal][effect:degrade_unit, target:unit_all, turn:-1, status:attack, val:1, calc:mul]</t>
    <phoneticPr fontId="5"/>
  </si>
  <si>
    <t>HP50%以下で、1回のみ</t>
    <rPh sb="5" eb="7">
      <t>イカ</t>
    </rPh>
    <rPh sb="10" eb="11">
      <t>カイ</t>
    </rPh>
    <phoneticPr fontId="5"/>
  </si>
  <si>
    <t>HP50%以下で、何度でも</t>
    <rPh sb="5" eb="7">
      <t>イカ</t>
    </rPh>
    <rPh sb="9" eb="11">
      <t>ナンド</t>
    </rPh>
    <phoneticPr fontId="5"/>
  </si>
  <si>
    <t>null</t>
    <phoneticPr fontId="5"/>
  </si>
  <si>
    <t>かかれ！我が下僕たちよ！</t>
    <rPh sb="4" eb="5">
      <t>ワ</t>
    </rPh>
    <rPh sb="6" eb="8">
      <t>シモベ</t>
    </rPh>
    <phoneticPr fontId="1"/>
  </si>
  <si>
    <t>200万ダウンロード ありがとうグヮッ！</t>
    <rPh sb="3" eb="4">
      <t>マン</t>
    </rPh>
    <phoneticPr fontId="1"/>
  </si>
  <si>
    <t>痛がりながらも 感謝している</t>
    <rPh sb="0" eb="1">
      <t>イタ</t>
    </rPh>
    <rPh sb="8" eb="10">
      <t>カンシャ</t>
    </rPh>
    <phoneticPr fontId="5"/>
  </si>
  <si>
    <t>[effect:enhance_unit, target:unit_all, turn:-1, status:attack, val:1, calc:mul, animation:enhance_unit_all_attack02][effect:heal, target:myself, val:0.4][effect:fix_speed, target:myself, turn:2]</t>
    <phoneticPr fontId="5"/>
  </si>
  <si>
    <t>ALICEに嬉しいことが起こると
姿を現す ミリオンダック
全てのクラファーに感謝を伝えるため
常に全力を尽くしています</t>
    <rPh sb="6" eb="7">
      <t>ウレ</t>
    </rPh>
    <rPh sb="12" eb="13">
      <t>オ</t>
    </rPh>
    <rPh sb="17" eb="18">
      <t>スガタ</t>
    </rPh>
    <rPh sb="19" eb="20">
      <t>アラワ</t>
    </rPh>
    <rPh sb="31" eb="32">
      <t>スベ</t>
    </rPh>
    <rPh sb="40" eb="42">
      <t>カンシャ</t>
    </rPh>
    <rPh sb="43" eb="44">
      <t>ツタ</t>
    </rPh>
    <rPh sb="49" eb="50">
      <t>ツネ</t>
    </rPh>
    <rPh sb="51" eb="53">
      <t>ゼンリョク</t>
    </rPh>
    <rPh sb="54" eb="55">
      <t>ツ</t>
    </rPh>
    <phoneticPr fontId="5"/>
  </si>
  <si>
    <t>[effect:change_attribute, target:myself, color:red, turn:-1][effect:suicide, val:0.8, dead_type:suicide, target:enemy_all][effect:force_change_block, new_block:block_heart, target:block_all, color:block_heart, count:0, val:0.0][effect:fix_speed, target:myself, turn:1]</t>
    <phoneticPr fontId="5"/>
  </si>
  <si>
    <t>[effect:change_attribute, target:myself, color:green, turn:-1][effect:suicide, val:0.8, dead_type:suicide, target:enemy_all][effect:force_change_block, new_block:block_heart, target:block_all, color:block_heart, count:0, val:0.0][effect:fix_speed, target:myself, turn:1]</t>
    <phoneticPr fontId="5"/>
  </si>
  <si>
    <t>[effect:change_attribute, target:myself, color:blue, turn:-1][effect:suicide, val:0.8, dead_type:suicide, target:enemy_all][effect:force_change_block, new_block:block_heart, target:block_all, color:block_heart, count:0, val:0.0][effect:fix_speed, target:myself, turn:1]</t>
    <phoneticPr fontId="5"/>
  </si>
  <si>
    <t>[effect:change_attribute, target:myself, color:yellow, turn:-1][effect:suicide, val:0.8, dead_type:suicide, target:enemy_all][effect:force_change_block, new_block:block_heart, target:block_all, color:block_heart, count:0, val:0.0][effect:fix_speed, target:myself, turn:1]</t>
    <phoneticPr fontId="5"/>
  </si>
  <si>
    <t>アザゼルをタップして 狙おう！</t>
    <rPh sb="11" eb="12">
      <t>ネラ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</si>
</sst>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2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1082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4" borderId="12" applyNumberFormat="0" applyAlignment="0" applyProtection="0"/>
    <xf numFmtId="0" fontId="33" fillId="15" borderId="0" applyNumberFormat="0" applyBorder="0" applyAlignment="0" applyProtection="0"/>
    <xf numFmtId="0" fontId="34" fillId="16" borderId="13" applyNumberFormat="0" applyAlignment="0" applyProtection="0"/>
    <xf numFmtId="0" fontId="35" fillId="0" borderId="0" applyNumberFormat="0" applyFill="0" applyBorder="0" applyAlignment="0" applyProtection="0"/>
    <xf numFmtId="0" fontId="36" fillId="17" borderId="0" applyNumberFormat="0" applyBorder="0" applyAlignment="0" applyProtection="0"/>
    <xf numFmtId="0" fontId="37" fillId="18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6" borderId="0" applyNumberFormat="0" applyBorder="0" applyAlignment="0" applyProtection="0"/>
    <xf numFmtId="0" fontId="42" fillId="15" borderId="0" applyNumberFormat="0" applyBorder="0" applyAlignment="0" applyProtection="0"/>
    <xf numFmtId="0" fontId="42" fillId="19" borderId="0" applyNumberFormat="0" applyBorder="0" applyAlignment="0" applyProtection="0"/>
    <xf numFmtId="0" fontId="42" fillId="16" borderId="0" applyNumberFormat="0" applyBorder="0" applyAlignment="0" applyProtection="0"/>
    <xf numFmtId="0" fontId="42" fillId="20" borderId="0" applyNumberFormat="0" applyBorder="0" applyAlignment="0" applyProtection="0"/>
    <xf numFmtId="0" fontId="42" fillId="14" borderId="0" applyNumberFormat="0" applyBorder="0" applyAlignment="0" applyProtection="0"/>
    <xf numFmtId="0" fontId="42" fillId="16" borderId="0" applyNumberFormat="0" applyBorder="0" applyAlignment="0" applyProtection="0"/>
    <xf numFmtId="0" fontId="42" fillId="21" borderId="0" applyNumberFormat="0" applyBorder="0" applyAlignment="0" applyProtection="0"/>
    <xf numFmtId="0" fontId="42" fillId="19" borderId="0" applyNumberFormat="0" applyBorder="0" applyAlignment="0" applyProtection="0"/>
    <xf numFmtId="0" fontId="42" fillId="16" borderId="0" applyNumberFormat="0" applyBorder="0" applyAlignment="0" applyProtection="0"/>
    <xf numFmtId="0" fontId="42" fillId="22" borderId="0" applyNumberFormat="0" applyBorder="0" applyAlignment="0" applyProtection="0"/>
    <xf numFmtId="0" fontId="42" fillId="1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9" borderId="0" applyNumberFormat="0" applyBorder="0" applyAlignment="0" applyProtection="0"/>
    <xf numFmtId="0" fontId="43" fillId="16" borderId="0" applyNumberFormat="0" applyBorder="0" applyAlignment="0" applyProtection="0"/>
    <xf numFmtId="0" fontId="43" fillId="23" borderId="0" applyNumberFormat="0" applyBorder="0" applyAlignment="0" applyProtection="0"/>
    <xf numFmtId="0" fontId="43" fillId="15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3" borderId="0" applyNumberFormat="0" applyBorder="0" applyAlignment="0" applyProtection="0"/>
    <xf numFmtId="0" fontId="43" fillId="24" borderId="0" applyNumberFormat="0" applyBorder="0" applyAlignment="0" applyProtection="0"/>
    <xf numFmtId="0" fontId="43" fillId="19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4" fillId="26" borderId="0" applyNumberFormat="0" applyBorder="0" applyAlignment="0" applyProtection="0"/>
    <xf numFmtId="0" fontId="33" fillId="15" borderId="0" applyNumberFormat="0" applyBorder="0" applyAlignment="0" applyProtection="0"/>
    <xf numFmtId="0" fontId="45" fillId="0" borderId="18" applyNumberFormat="0" applyFill="0" applyAlignment="0" applyProtection="0"/>
    <xf numFmtId="0" fontId="46" fillId="16" borderId="19" applyNumberFormat="0" applyAlignment="0" applyProtection="0"/>
    <xf numFmtId="0" fontId="46" fillId="27" borderId="19" applyNumberFormat="0" applyAlignment="0" applyProtection="0"/>
    <xf numFmtId="0" fontId="34" fillId="15" borderId="13" applyNumberFormat="0" applyAlignment="0" applyProtection="0"/>
    <xf numFmtId="0" fontId="47" fillId="0" borderId="20" applyNumberFormat="0" applyFill="0" applyAlignment="0" applyProtection="0"/>
    <xf numFmtId="0" fontId="48" fillId="27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92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6" borderId="7" xfId="614" applyFont="1" applyFill="1" applyBorder="1" applyAlignment="1">
      <alignment horizontal="left"/>
    </xf>
    <xf numFmtId="0" fontId="0" fillId="6" borderId="7" xfId="615" applyFont="1" applyFill="1" applyBorder="1"/>
    <xf numFmtId="0" fontId="0" fillId="0" borderId="7" xfId="615" applyFont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27" fillId="0" borderId="7" xfId="0" applyFont="1" applyFill="1" applyBorder="1"/>
    <xf numFmtId="0" fontId="28" fillId="0" borderId="7" xfId="0" applyFont="1" applyFill="1" applyBorder="1"/>
    <xf numFmtId="0" fontId="30" fillId="0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13" borderId="7" xfId="0" applyFont="1" applyFill="1" applyBorder="1" applyAlignment="1">
      <alignment horizontal="center"/>
    </xf>
    <xf numFmtId="0" fontId="29" fillId="3" borderId="7" xfId="0" applyFont="1" applyFill="1" applyBorder="1" applyAlignment="1">
      <alignment vertical="center"/>
    </xf>
    <xf numFmtId="0" fontId="29" fillId="0" borderId="7" xfId="0" applyFont="1" applyFill="1" applyBorder="1" applyAlignment="1">
      <alignment vertical="center"/>
    </xf>
    <xf numFmtId="56" fontId="16" fillId="28" borderId="7" xfId="0" applyNumberFormat="1" applyFont="1" applyFill="1" applyBorder="1" applyAlignment="1">
      <alignment horizontal="center"/>
    </xf>
    <xf numFmtId="0" fontId="16" fillId="28" borderId="7" xfId="11" applyFont="1" applyFill="1" applyBorder="1" applyAlignment="1">
      <alignment horizontal="left"/>
    </xf>
    <xf numFmtId="0" fontId="16" fillId="28" borderId="7" xfId="0" applyFont="1" applyFill="1" applyBorder="1" applyAlignment="1">
      <alignment horizontal="center"/>
    </xf>
    <xf numFmtId="0" fontId="2" fillId="28" borderId="7" xfId="615" applyFill="1" applyBorder="1"/>
    <xf numFmtId="0" fontId="0" fillId="28" borderId="7" xfId="615" applyFont="1" applyFill="1" applyBorder="1"/>
    <xf numFmtId="0" fontId="0" fillId="28" borderId="7" xfId="0" applyFill="1" applyBorder="1"/>
    <xf numFmtId="0" fontId="2" fillId="3" borderId="7" xfId="615" applyFill="1" applyBorder="1"/>
    <xf numFmtId="0" fontId="4" fillId="13" borderId="1" xfId="0" applyFont="1" applyFill="1" applyBorder="1" applyAlignment="1">
      <alignment vertical="center"/>
    </xf>
    <xf numFmtId="49" fontId="0" fillId="0" borderId="0" xfId="0" applyNumberFormat="1"/>
    <xf numFmtId="38" fontId="16" fillId="0" borderId="7" xfId="628" applyFont="1" applyFill="1" applyBorder="1" applyAlignment="1">
      <alignment wrapText="1"/>
    </xf>
  </cellXfs>
  <cellStyles count="1082">
    <cellStyle name="" xfId="629"/>
    <cellStyle name="_" xfId="630"/>
    <cellStyle name="__" xfId="631"/>
    <cellStyle name="__÷" xfId="632"/>
    <cellStyle name="«¢" xfId="633"/>
    <cellStyle name="`FbN Z" xfId="634"/>
    <cellStyle name="^Cg" xfId="635"/>
    <cellStyle name="©oµ 1" xfId="636"/>
    <cellStyle name="©oµ 2" xfId="637"/>
    <cellStyle name="©oµ 3" xfId="638"/>
    <cellStyle name="©oµ 4" xfId="639"/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à¾¶" xfId="658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Ç¢" xfId="665"/>
    <cellStyle name="Ê" xfId="666"/>
    <cellStyle name="Excel Built-in Normal" xfId="428"/>
    <cellStyle name="N Z" xfId="667"/>
    <cellStyle name="o_" xfId="668"/>
    <cellStyle name="oÍ" xfId="669"/>
    <cellStyle name="üÍ" xfId="670"/>
    <cellStyle name="v" xfId="671"/>
    <cellStyle name="vZ" xfId="672"/>
    <cellStyle name="x¶" xfId="673"/>
    <cellStyle name="x÷" xfId="674"/>
    <cellStyle name="ýo_ 1" xfId="67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桁区切り 2" xfId="429"/>
    <cellStyle name="桁区切り 2 2" xfId="628"/>
    <cellStyle name="青字強調" xfId="430"/>
    <cellStyle name="赤字強調" xfId="431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無題1" xfId="43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3.xml"/><Relationship Id="rId12" Type="http://schemas.openxmlformats.org/officeDocument/2006/relationships/externalLink" Target="externalLinks/externalLink4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externalLink" Target="externalLinks/externalLink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12001</v>
          </cell>
        </row>
        <row r="77">
          <cell r="A77">
            <v>12002</v>
          </cell>
        </row>
        <row r="78">
          <cell r="A78">
            <v>12003</v>
          </cell>
        </row>
        <row r="79">
          <cell r="A79">
            <v>12004</v>
          </cell>
        </row>
        <row r="80">
          <cell r="A80">
            <v>13001</v>
          </cell>
        </row>
        <row r="81">
          <cell r="A81">
            <v>14001</v>
          </cell>
        </row>
        <row r="82">
          <cell r="A82">
            <v>14002</v>
          </cell>
        </row>
        <row r="83">
          <cell r="A83">
            <v>14003</v>
          </cell>
        </row>
        <row r="84">
          <cell r="A84">
            <v>14004</v>
          </cell>
        </row>
        <row r="85">
          <cell r="A85">
            <v>14005</v>
          </cell>
        </row>
        <row r="86">
          <cell r="A86">
            <v>14006</v>
          </cell>
        </row>
        <row r="87">
          <cell r="A87">
            <v>20001</v>
          </cell>
        </row>
        <row r="88">
          <cell r="A88">
            <v>20002</v>
          </cell>
        </row>
        <row r="89">
          <cell r="A89">
            <v>20003</v>
          </cell>
        </row>
        <row r="90">
          <cell r="A90">
            <v>20004</v>
          </cell>
        </row>
        <row r="91">
          <cell r="A91">
            <v>20005</v>
          </cell>
        </row>
        <row r="92">
          <cell r="A92">
            <v>20006</v>
          </cell>
        </row>
        <row r="93">
          <cell r="A93">
            <v>20007</v>
          </cell>
        </row>
        <row r="94">
          <cell r="A94">
            <v>20008</v>
          </cell>
        </row>
        <row r="95">
          <cell r="A95">
            <v>20009</v>
          </cell>
        </row>
        <row r="96">
          <cell r="A96">
            <v>20010</v>
          </cell>
        </row>
        <row r="97">
          <cell r="A97">
            <v>20011</v>
          </cell>
        </row>
        <row r="98">
          <cell r="A98">
            <v>20012</v>
          </cell>
        </row>
        <row r="99">
          <cell r="A99">
            <v>30001</v>
          </cell>
        </row>
        <row r="100">
          <cell r="A100">
            <v>30002</v>
          </cell>
        </row>
        <row r="101">
          <cell r="A101">
            <v>30003</v>
          </cell>
        </row>
        <row r="102">
          <cell r="A102">
            <v>30004</v>
          </cell>
        </row>
        <row r="103">
          <cell r="A103">
            <v>30005</v>
          </cell>
        </row>
        <row r="104">
          <cell r="A104">
            <v>30006</v>
          </cell>
        </row>
        <row r="105">
          <cell r="A105">
            <v>30007</v>
          </cell>
        </row>
        <row r="106">
          <cell r="A106">
            <v>30008</v>
          </cell>
        </row>
        <row r="107">
          <cell r="A107">
            <v>30009</v>
          </cell>
        </row>
        <row r="108">
          <cell r="A108">
            <v>30010</v>
          </cell>
        </row>
        <row r="109">
          <cell r="A109">
            <v>30011</v>
          </cell>
        </row>
        <row r="110">
          <cell r="A110">
            <v>30012</v>
          </cell>
        </row>
        <row r="111">
          <cell r="A111">
            <v>30013</v>
          </cell>
        </row>
        <row r="112">
          <cell r="A112">
            <v>30014</v>
          </cell>
        </row>
        <row r="113">
          <cell r="A113">
            <v>30015</v>
          </cell>
        </row>
        <row r="114">
          <cell r="A114">
            <v>30016</v>
          </cell>
        </row>
        <row r="115">
          <cell r="A115">
            <v>30017</v>
          </cell>
        </row>
        <row r="116">
          <cell r="A116">
            <v>30018</v>
          </cell>
        </row>
        <row r="117">
          <cell r="A117">
            <v>30019</v>
          </cell>
        </row>
        <row r="118">
          <cell r="A118">
            <v>30020</v>
          </cell>
        </row>
        <row r="119">
          <cell r="A119">
            <v>30021</v>
          </cell>
        </row>
        <row r="120">
          <cell r="A120">
            <v>30022</v>
          </cell>
        </row>
        <row r="121">
          <cell r="A121">
            <v>30023</v>
          </cell>
        </row>
        <row r="122">
          <cell r="A122">
            <v>30024</v>
          </cell>
        </row>
        <row r="123">
          <cell r="A123">
            <v>30025</v>
          </cell>
        </row>
        <row r="124">
          <cell r="A124">
            <v>30026</v>
          </cell>
        </row>
        <row r="125">
          <cell r="A125">
            <v>30027</v>
          </cell>
        </row>
        <row r="126">
          <cell r="A126">
            <v>39001</v>
          </cell>
        </row>
        <row r="127">
          <cell r="A127">
            <v>40001</v>
          </cell>
        </row>
        <row r="128">
          <cell r="A128">
            <v>40002</v>
          </cell>
        </row>
        <row r="129">
          <cell r="A129">
            <v>40003</v>
          </cell>
        </row>
        <row r="130">
          <cell r="A130">
            <v>40004</v>
          </cell>
        </row>
        <row r="131">
          <cell r="A131">
            <v>40005</v>
          </cell>
        </row>
        <row r="132">
          <cell r="A132">
            <v>40006</v>
          </cell>
        </row>
        <row r="133">
          <cell r="A133">
            <v>40007</v>
          </cell>
        </row>
        <row r="134">
          <cell r="A134">
            <v>40008</v>
          </cell>
        </row>
        <row r="135">
          <cell r="A135">
            <v>40009</v>
          </cell>
        </row>
        <row r="136">
          <cell r="A136">
            <v>40010</v>
          </cell>
        </row>
        <row r="137">
          <cell r="A137">
            <v>40011</v>
          </cell>
        </row>
        <row r="138">
          <cell r="A138">
            <v>49001</v>
          </cell>
        </row>
        <row r="139">
          <cell r="A139">
            <v>50001</v>
          </cell>
        </row>
        <row r="140">
          <cell r="A140">
            <v>50002</v>
          </cell>
        </row>
        <row r="141">
          <cell r="A141">
            <v>65535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11002_1</v>
          </cell>
        </row>
        <row r="200">
          <cell r="A200" t="str">
            <v>11002_2</v>
          </cell>
        </row>
        <row r="201">
          <cell r="A201" t="str">
            <v>11002_3</v>
          </cell>
        </row>
        <row r="202">
          <cell r="A202" t="str">
            <v>11003_1</v>
          </cell>
        </row>
        <row r="203">
          <cell r="A203" t="str">
            <v>11003_2</v>
          </cell>
        </row>
        <row r="204">
          <cell r="A204" t="str">
            <v>11003_3</v>
          </cell>
        </row>
        <row r="205">
          <cell r="A205" t="str">
            <v>11004_1</v>
          </cell>
        </row>
        <row r="206">
          <cell r="A206" t="str">
            <v>11004_2</v>
          </cell>
        </row>
        <row r="207">
          <cell r="A207" t="str">
            <v>11004_3</v>
          </cell>
        </row>
        <row r="208">
          <cell r="A208" t="str">
            <v>11005_1</v>
          </cell>
        </row>
        <row r="209">
          <cell r="A209" t="str">
            <v>11005_2</v>
          </cell>
        </row>
        <row r="210">
          <cell r="A210" t="str">
            <v>11005_3</v>
          </cell>
        </row>
        <row r="211">
          <cell r="A211" t="str">
            <v>11005_4</v>
          </cell>
        </row>
        <row r="212">
          <cell r="A212" t="str">
            <v>11006_1</v>
          </cell>
        </row>
        <row r="213">
          <cell r="A213" t="str">
            <v>11006_2</v>
          </cell>
        </row>
        <row r="214">
          <cell r="A214" t="str">
            <v>11006_3</v>
          </cell>
        </row>
        <row r="215">
          <cell r="A215" t="str">
            <v>11101_1</v>
          </cell>
        </row>
        <row r="216">
          <cell r="A216" t="str">
            <v>11101_2</v>
          </cell>
        </row>
        <row r="217">
          <cell r="A217" t="str">
            <v>11101_3</v>
          </cell>
        </row>
        <row r="218">
          <cell r="A218" t="str">
            <v>11102_1</v>
          </cell>
        </row>
        <row r="219">
          <cell r="A219" t="str">
            <v>11102_2</v>
          </cell>
        </row>
        <row r="220">
          <cell r="A220" t="str">
            <v>11102_3</v>
          </cell>
        </row>
        <row r="221">
          <cell r="A221" t="str">
            <v>11103_1</v>
          </cell>
        </row>
        <row r="222">
          <cell r="A222" t="str">
            <v>11103_2</v>
          </cell>
        </row>
        <row r="223">
          <cell r="A223" t="str">
            <v>11103_3</v>
          </cell>
        </row>
        <row r="224">
          <cell r="A224" t="str">
            <v>11104_1</v>
          </cell>
        </row>
        <row r="225">
          <cell r="A225" t="str">
            <v>11104_2</v>
          </cell>
        </row>
        <row r="226">
          <cell r="A226" t="str">
            <v>11104_3</v>
          </cell>
        </row>
        <row r="227">
          <cell r="A227" t="str">
            <v>11105_1</v>
          </cell>
        </row>
        <row r="228">
          <cell r="A228" t="str">
            <v>11105_2</v>
          </cell>
        </row>
        <row r="229">
          <cell r="A229" t="str">
            <v>11105_3</v>
          </cell>
        </row>
        <row r="230">
          <cell r="A230" t="str">
            <v>11105_4</v>
          </cell>
        </row>
        <row r="231">
          <cell r="A231" t="str">
            <v>11106_1</v>
          </cell>
        </row>
        <row r="232">
          <cell r="A232" t="str">
            <v>11106_2</v>
          </cell>
        </row>
        <row r="233">
          <cell r="A233" t="str">
            <v>11106_3</v>
          </cell>
        </row>
        <row r="234">
          <cell r="A234" t="str">
            <v>11206_1</v>
          </cell>
        </row>
        <row r="235">
          <cell r="A235" t="str">
            <v>11206_2</v>
          </cell>
        </row>
        <row r="236">
          <cell r="A236" t="str">
            <v>11206_3</v>
          </cell>
        </row>
        <row r="237">
          <cell r="A237" t="str">
            <v>11016_1</v>
          </cell>
        </row>
        <row r="238">
          <cell r="A238" t="str">
            <v>11207_1</v>
          </cell>
        </row>
        <row r="239">
          <cell r="A239" t="str">
            <v>11207_2</v>
          </cell>
        </row>
        <row r="240">
          <cell r="A240" t="str">
            <v>11208_1</v>
          </cell>
        </row>
        <row r="241">
          <cell r="A241" t="str">
            <v>11208_2</v>
          </cell>
        </row>
        <row r="242">
          <cell r="A242" t="str">
            <v>11209_1</v>
          </cell>
        </row>
        <row r="243">
          <cell r="A243" t="str">
            <v>11209_2</v>
          </cell>
        </row>
        <row r="244">
          <cell r="A244" t="str">
            <v>11210_1</v>
          </cell>
        </row>
        <row r="245">
          <cell r="A245" t="str">
            <v>11210_2</v>
          </cell>
        </row>
        <row r="246">
          <cell r="A246" t="str">
            <v>11210_3</v>
          </cell>
        </row>
        <row r="247">
          <cell r="A247" t="str">
            <v>11210_4</v>
          </cell>
        </row>
        <row r="248">
          <cell r="A248" t="str">
            <v>11211_1</v>
          </cell>
        </row>
        <row r="249">
          <cell r="A249" t="str">
            <v>11211_2</v>
          </cell>
        </row>
        <row r="250">
          <cell r="A250" t="str">
            <v>11211_3</v>
          </cell>
        </row>
        <row r="251">
          <cell r="A251" t="str">
            <v>11211_4</v>
          </cell>
        </row>
        <row r="252">
          <cell r="A252" t="str">
            <v>11212_1</v>
          </cell>
        </row>
        <row r="253">
          <cell r="A253" t="str">
            <v>11213_1</v>
          </cell>
        </row>
        <row r="254">
          <cell r="A254" t="str">
            <v>11214_1</v>
          </cell>
        </row>
        <row r="255">
          <cell r="A255" t="str">
            <v>11214_2</v>
          </cell>
        </row>
        <row r="256">
          <cell r="A256" t="str">
            <v>11214_3</v>
          </cell>
        </row>
        <row r="257">
          <cell r="A257" t="str">
            <v>11215_1</v>
          </cell>
        </row>
        <row r="258">
          <cell r="A258" t="str">
            <v>11216_1</v>
          </cell>
        </row>
        <row r="259">
          <cell r="A259" t="str">
            <v>11217_1</v>
          </cell>
        </row>
        <row r="260">
          <cell r="A260" t="str">
            <v>11218_1</v>
          </cell>
        </row>
        <row r="261">
          <cell r="A261" t="str">
            <v>11219_1</v>
          </cell>
        </row>
        <row r="262">
          <cell r="A262" t="str">
            <v>12001_1</v>
          </cell>
        </row>
        <row r="263">
          <cell r="A263" t="str">
            <v>12001_2</v>
          </cell>
        </row>
        <row r="264">
          <cell r="A264" t="str">
            <v>12001_3</v>
          </cell>
        </row>
        <row r="265">
          <cell r="A265" t="str">
            <v>12002_3</v>
          </cell>
        </row>
        <row r="266">
          <cell r="A266" t="str">
            <v>12002_2</v>
          </cell>
        </row>
        <row r="267">
          <cell r="A267" t="str">
            <v>12002_1</v>
          </cell>
        </row>
        <row r="268">
          <cell r="A268" t="str">
            <v>12003_1</v>
          </cell>
        </row>
        <row r="269">
          <cell r="A269" t="str">
            <v>12003_2</v>
          </cell>
        </row>
        <row r="270">
          <cell r="A270" t="str">
            <v>12003_3</v>
          </cell>
        </row>
        <row r="271">
          <cell r="A271" t="str">
            <v>12003_4</v>
          </cell>
        </row>
        <row r="272">
          <cell r="A272" t="str">
            <v>12004_1</v>
          </cell>
        </row>
        <row r="273">
          <cell r="A273" t="str">
            <v>13001_1</v>
          </cell>
        </row>
        <row r="274">
          <cell r="A274" t="str">
            <v>13001_2</v>
          </cell>
        </row>
        <row r="275">
          <cell r="A275" t="str">
            <v>13001_3</v>
          </cell>
        </row>
        <row r="276">
          <cell r="A276" t="str">
            <v>13001_4</v>
          </cell>
        </row>
        <row r="277">
          <cell r="A277" t="str">
            <v>13001_5</v>
          </cell>
        </row>
        <row r="278">
          <cell r="A278" t="str">
            <v>13001_6</v>
          </cell>
        </row>
        <row r="279">
          <cell r="A279" t="str">
            <v>13001_7</v>
          </cell>
        </row>
        <row r="280">
          <cell r="A280" t="str">
            <v>13001_8</v>
          </cell>
        </row>
        <row r="281">
          <cell r="A281" t="str">
            <v>13001_9</v>
          </cell>
        </row>
        <row r="282">
          <cell r="A282" t="str">
            <v>13001_10</v>
          </cell>
        </row>
        <row r="283">
          <cell r="A283" t="str">
            <v>13001_11</v>
          </cell>
        </row>
        <row r="284">
          <cell r="A284" t="str">
            <v>13001_12</v>
          </cell>
        </row>
        <row r="285">
          <cell r="A285" t="str">
            <v>13001_13</v>
          </cell>
        </row>
        <row r="286">
          <cell r="A286" t="str">
            <v>13001_14</v>
          </cell>
        </row>
        <row r="287">
          <cell r="A287" t="str">
            <v>13001_15</v>
          </cell>
        </row>
        <row r="288">
          <cell r="A288" t="str">
            <v>13001_16</v>
          </cell>
        </row>
        <row r="289">
          <cell r="A289" t="str">
            <v>13001_17</v>
          </cell>
        </row>
        <row r="290">
          <cell r="A290" t="str">
            <v>13001_18</v>
          </cell>
        </row>
        <row r="291">
          <cell r="A291" t="str">
            <v>13001_19</v>
          </cell>
        </row>
        <row r="292">
          <cell r="A292" t="str">
            <v>13001_20</v>
          </cell>
        </row>
        <row r="293">
          <cell r="A293" t="str">
            <v>13001_21</v>
          </cell>
        </row>
        <row r="294">
          <cell r="A294" t="str">
            <v>13001_22</v>
          </cell>
        </row>
        <row r="295">
          <cell r="A295" t="str">
            <v>13001_23</v>
          </cell>
        </row>
        <row r="296">
          <cell r="A296" t="str">
            <v>13001_24</v>
          </cell>
        </row>
        <row r="297">
          <cell r="A297" t="str">
            <v>13001_25</v>
          </cell>
        </row>
        <row r="298">
          <cell r="A298" t="str">
            <v>14001_1</v>
          </cell>
        </row>
        <row r="299">
          <cell r="A299" t="str">
            <v>14001_2</v>
          </cell>
        </row>
        <row r="300">
          <cell r="A300" t="str">
            <v>14001_3</v>
          </cell>
        </row>
        <row r="301">
          <cell r="A301" t="str">
            <v>14001_4</v>
          </cell>
        </row>
        <row r="302">
          <cell r="A302" t="str">
            <v>14002_1</v>
          </cell>
        </row>
        <row r="303">
          <cell r="A303" t="str">
            <v>14003_1</v>
          </cell>
        </row>
        <row r="304">
          <cell r="A304" t="str">
            <v>14004_1</v>
          </cell>
        </row>
        <row r="305">
          <cell r="A305" t="str">
            <v>14004_2</v>
          </cell>
        </row>
        <row r="306">
          <cell r="A306" t="str">
            <v>14004_3</v>
          </cell>
        </row>
        <row r="307">
          <cell r="A307" t="str">
            <v>14004_4</v>
          </cell>
        </row>
        <row r="308">
          <cell r="A308" t="str">
            <v>14005_1</v>
          </cell>
        </row>
        <row r="309">
          <cell r="A309" t="str">
            <v>14006_1</v>
          </cell>
        </row>
        <row r="310">
          <cell r="A310" t="str">
            <v>20001_1</v>
          </cell>
        </row>
        <row r="311">
          <cell r="A311" t="str">
            <v>20001_2</v>
          </cell>
        </row>
        <row r="312">
          <cell r="A312" t="str">
            <v>20001_3</v>
          </cell>
        </row>
        <row r="313">
          <cell r="A313" t="str">
            <v>20002_1</v>
          </cell>
        </row>
        <row r="314">
          <cell r="A314" t="str">
            <v>20002_2</v>
          </cell>
        </row>
        <row r="315">
          <cell r="A315" t="str">
            <v>20002_3</v>
          </cell>
        </row>
        <row r="316">
          <cell r="A316" t="str">
            <v>20003_1</v>
          </cell>
        </row>
        <row r="317">
          <cell r="A317" t="str">
            <v>20003_2</v>
          </cell>
        </row>
        <row r="318">
          <cell r="A318" t="str">
            <v>20003_3</v>
          </cell>
        </row>
        <row r="319">
          <cell r="A319" t="str">
            <v>20004_1</v>
          </cell>
        </row>
        <row r="320">
          <cell r="A320" t="str">
            <v>20004_2</v>
          </cell>
        </row>
        <row r="321">
          <cell r="A321" t="str">
            <v>20004_3</v>
          </cell>
        </row>
        <row r="322">
          <cell r="A322" t="str">
            <v>20005_1</v>
          </cell>
        </row>
        <row r="323">
          <cell r="A323" t="str">
            <v>20005_2</v>
          </cell>
        </row>
        <row r="324">
          <cell r="A324" t="str">
            <v>20005_3</v>
          </cell>
        </row>
        <row r="325">
          <cell r="A325" t="str">
            <v>20006_1</v>
          </cell>
        </row>
        <row r="326">
          <cell r="A326" t="str">
            <v>20006_2</v>
          </cell>
        </row>
        <row r="327">
          <cell r="A327" t="str">
            <v>20006_3</v>
          </cell>
        </row>
        <row r="328">
          <cell r="A328" t="str">
            <v>20007_1</v>
          </cell>
        </row>
        <row r="329">
          <cell r="A329" t="str">
            <v>20007_2</v>
          </cell>
        </row>
        <row r="330">
          <cell r="A330" t="str">
            <v>20007_3</v>
          </cell>
        </row>
        <row r="331">
          <cell r="A331" t="str">
            <v>20008_1</v>
          </cell>
        </row>
        <row r="332">
          <cell r="A332" t="str">
            <v>20008_2</v>
          </cell>
        </row>
        <row r="333">
          <cell r="A333" t="str">
            <v>20008_3</v>
          </cell>
        </row>
        <row r="334">
          <cell r="A334" t="str">
            <v>20009_1</v>
          </cell>
        </row>
        <row r="335">
          <cell r="A335" t="str">
            <v>20009_2</v>
          </cell>
        </row>
        <row r="336">
          <cell r="A336" t="str">
            <v>20009_3</v>
          </cell>
        </row>
        <row r="337">
          <cell r="A337" t="str">
            <v>20010_1</v>
          </cell>
        </row>
        <row r="338">
          <cell r="A338" t="str">
            <v>20010_2</v>
          </cell>
        </row>
        <row r="339">
          <cell r="A339" t="str">
            <v>20010_3</v>
          </cell>
        </row>
        <row r="340">
          <cell r="A340" t="str">
            <v>20011_1</v>
          </cell>
        </row>
        <row r="341">
          <cell r="A341" t="str">
            <v>20011_2</v>
          </cell>
        </row>
        <row r="342">
          <cell r="A342" t="str">
            <v>20011_3</v>
          </cell>
        </row>
        <row r="343">
          <cell r="A343" t="str">
            <v>20012_1</v>
          </cell>
        </row>
        <row r="344">
          <cell r="A344" t="str">
            <v>20012_2</v>
          </cell>
        </row>
        <row r="345">
          <cell r="A345" t="str">
            <v>20012_3</v>
          </cell>
        </row>
        <row r="346">
          <cell r="A346" t="str">
            <v>30001_1</v>
          </cell>
        </row>
        <row r="347">
          <cell r="A347" t="str">
            <v>30001_2</v>
          </cell>
        </row>
        <row r="348">
          <cell r="A348" t="str">
            <v>30001_3</v>
          </cell>
        </row>
        <row r="349">
          <cell r="A349" t="str">
            <v>30002_1</v>
          </cell>
        </row>
        <row r="350">
          <cell r="A350" t="str">
            <v>30002_2</v>
          </cell>
        </row>
        <row r="351">
          <cell r="A351" t="str">
            <v>30002_3</v>
          </cell>
        </row>
        <row r="352">
          <cell r="A352" t="str">
            <v>30003_1</v>
          </cell>
        </row>
        <row r="353">
          <cell r="A353" t="str">
            <v>30003_2</v>
          </cell>
        </row>
        <row r="354">
          <cell r="A354" t="str">
            <v>30003_3</v>
          </cell>
        </row>
        <row r="355">
          <cell r="A355" t="str">
            <v>30004_1</v>
          </cell>
        </row>
        <row r="356">
          <cell r="A356" t="str">
            <v>30004_2</v>
          </cell>
        </row>
        <row r="357">
          <cell r="A357" t="str">
            <v>30004_3</v>
          </cell>
        </row>
        <row r="358">
          <cell r="A358" t="str">
            <v>30005_1</v>
          </cell>
        </row>
        <row r="359">
          <cell r="A359" t="str">
            <v>30005_2</v>
          </cell>
        </row>
        <row r="360">
          <cell r="A360" t="str">
            <v>30005_3</v>
          </cell>
        </row>
        <row r="361">
          <cell r="A361" t="str">
            <v>30006_1</v>
          </cell>
        </row>
        <row r="362">
          <cell r="A362" t="str">
            <v>30006_2</v>
          </cell>
        </row>
        <row r="363">
          <cell r="A363" t="str">
            <v>30006_3</v>
          </cell>
        </row>
        <row r="364">
          <cell r="A364" t="str">
            <v>30007_1</v>
          </cell>
        </row>
        <row r="365">
          <cell r="A365" t="str">
            <v>30007_2</v>
          </cell>
        </row>
        <row r="366">
          <cell r="A366" t="str">
            <v>30007_3</v>
          </cell>
        </row>
        <row r="367">
          <cell r="A367" t="str">
            <v>30008_1</v>
          </cell>
        </row>
        <row r="368">
          <cell r="A368" t="str">
            <v>30008_2</v>
          </cell>
        </row>
        <row r="369">
          <cell r="A369" t="str">
            <v>30008_3</v>
          </cell>
        </row>
        <row r="370">
          <cell r="A370" t="str">
            <v>30009_3</v>
          </cell>
        </row>
        <row r="371">
          <cell r="A371" t="str">
            <v>30009_1</v>
          </cell>
        </row>
        <row r="372">
          <cell r="A372" t="str">
            <v>30009_2</v>
          </cell>
        </row>
        <row r="373">
          <cell r="A373" t="str">
            <v>30010_1</v>
          </cell>
        </row>
        <row r="374">
          <cell r="A374" t="str">
            <v>30010_2</v>
          </cell>
        </row>
        <row r="375">
          <cell r="A375" t="str">
            <v>30010_3</v>
          </cell>
        </row>
        <row r="376">
          <cell r="A376" t="str">
            <v>30011_1</v>
          </cell>
        </row>
        <row r="377">
          <cell r="A377" t="str">
            <v>30011_2</v>
          </cell>
        </row>
        <row r="378">
          <cell r="A378" t="str">
            <v>30011_3</v>
          </cell>
        </row>
        <row r="379">
          <cell r="A379" t="str">
            <v>30012_1</v>
          </cell>
        </row>
        <row r="380">
          <cell r="A380" t="str">
            <v>30012_2</v>
          </cell>
        </row>
        <row r="381">
          <cell r="A381" t="str">
            <v>30012_3</v>
          </cell>
        </row>
        <row r="382">
          <cell r="A382" t="str">
            <v>30013_1</v>
          </cell>
        </row>
        <row r="383">
          <cell r="A383" t="str">
            <v>30013_2</v>
          </cell>
        </row>
        <row r="384">
          <cell r="A384" t="str">
            <v>30014_1</v>
          </cell>
        </row>
        <row r="385">
          <cell r="A385" t="str">
            <v>30014_2</v>
          </cell>
        </row>
        <row r="386">
          <cell r="A386" t="str">
            <v>30015_1</v>
          </cell>
        </row>
        <row r="387">
          <cell r="A387" t="str">
            <v>30015_2</v>
          </cell>
        </row>
        <row r="388">
          <cell r="A388" t="str">
            <v>30016_1</v>
          </cell>
        </row>
        <row r="389">
          <cell r="A389" t="str">
            <v>30016_2</v>
          </cell>
        </row>
        <row r="390">
          <cell r="A390" t="str">
            <v>30017_1</v>
          </cell>
        </row>
        <row r="391">
          <cell r="A391" t="str">
            <v>30017_2</v>
          </cell>
        </row>
        <row r="392">
          <cell r="A392" t="str">
            <v>30018_1</v>
          </cell>
        </row>
        <row r="393">
          <cell r="A393" t="str">
            <v>30018_2</v>
          </cell>
        </row>
        <row r="394">
          <cell r="A394" t="str">
            <v>30019_1</v>
          </cell>
        </row>
        <row r="395">
          <cell r="A395" t="str">
            <v>30019_2</v>
          </cell>
        </row>
        <row r="396">
          <cell r="A396" t="str">
            <v>30020_1</v>
          </cell>
        </row>
        <row r="397">
          <cell r="A397" t="str">
            <v>30020_2</v>
          </cell>
        </row>
        <row r="398">
          <cell r="A398" t="str">
            <v>30021_1</v>
          </cell>
        </row>
        <row r="399">
          <cell r="A399" t="str">
            <v>30021_2</v>
          </cell>
        </row>
        <row r="400">
          <cell r="A400" t="str">
            <v>30021_3</v>
          </cell>
        </row>
        <row r="401">
          <cell r="A401" t="str">
            <v>30022_1</v>
          </cell>
        </row>
        <row r="402">
          <cell r="A402" t="str">
            <v>30022_2</v>
          </cell>
        </row>
        <row r="403">
          <cell r="A403" t="str">
            <v>30023_1</v>
          </cell>
        </row>
        <row r="404">
          <cell r="A404" t="str">
            <v>30023_2</v>
          </cell>
        </row>
        <row r="405">
          <cell r="A405" t="str">
            <v>30023_3</v>
          </cell>
        </row>
        <row r="406">
          <cell r="A406" t="str">
            <v>30024_1</v>
          </cell>
        </row>
        <row r="407">
          <cell r="A407" t="str">
            <v>30024_2</v>
          </cell>
        </row>
        <row r="408">
          <cell r="A408" t="str">
            <v>30024_3</v>
          </cell>
        </row>
        <row r="409">
          <cell r="A409" t="str">
            <v>30025_1</v>
          </cell>
        </row>
        <row r="410">
          <cell r="A410" t="str">
            <v>30025_2</v>
          </cell>
        </row>
        <row r="411">
          <cell r="A411" t="str">
            <v>30025_3</v>
          </cell>
        </row>
        <row r="412">
          <cell r="A412" t="str">
            <v>30026_1</v>
          </cell>
        </row>
        <row r="413">
          <cell r="A413" t="str">
            <v>30026_2</v>
          </cell>
        </row>
        <row r="414">
          <cell r="A414" t="str">
            <v>30026_3</v>
          </cell>
        </row>
        <row r="415">
          <cell r="A415" t="str">
            <v>30027_1</v>
          </cell>
        </row>
        <row r="416">
          <cell r="A416" t="str">
            <v>30027_2</v>
          </cell>
        </row>
        <row r="417">
          <cell r="A417" t="str">
            <v>30027_3</v>
          </cell>
        </row>
        <row r="418">
          <cell r="A418" t="str">
            <v>39001_1</v>
          </cell>
        </row>
        <row r="419">
          <cell r="A419" t="str">
            <v>39001_2</v>
          </cell>
        </row>
        <row r="420">
          <cell r="A420" t="str">
            <v>39001_3</v>
          </cell>
        </row>
        <row r="421">
          <cell r="A421" t="str">
            <v>39001_4</v>
          </cell>
        </row>
        <row r="422">
          <cell r="A422" t="str">
            <v>39001_5</v>
          </cell>
        </row>
        <row r="423">
          <cell r="A423" t="str">
            <v>40001_1</v>
          </cell>
        </row>
        <row r="424">
          <cell r="A424" t="str">
            <v>40002_1</v>
          </cell>
        </row>
        <row r="425">
          <cell r="A425" t="str">
            <v>40002_2</v>
          </cell>
        </row>
        <row r="426">
          <cell r="A426" t="str">
            <v>40002_3</v>
          </cell>
        </row>
        <row r="427">
          <cell r="A427" t="str">
            <v>40003_1</v>
          </cell>
        </row>
        <row r="428">
          <cell r="A428" t="str">
            <v>40004_1</v>
          </cell>
        </row>
        <row r="429">
          <cell r="A429" t="str">
            <v>40005_1</v>
          </cell>
        </row>
        <row r="430">
          <cell r="A430" t="str">
            <v>40006_1</v>
          </cell>
        </row>
        <row r="431">
          <cell r="A431" t="str">
            <v>40007_1</v>
          </cell>
        </row>
        <row r="432">
          <cell r="A432" t="str">
            <v>40008_1</v>
          </cell>
        </row>
        <row r="433">
          <cell r="A433" t="str">
            <v>40009_1</v>
          </cell>
        </row>
        <row r="434">
          <cell r="A434" t="str">
            <v>40010_1</v>
          </cell>
        </row>
        <row r="435">
          <cell r="A435" t="str">
            <v>40011_1</v>
          </cell>
        </row>
        <row r="436">
          <cell r="A436" t="str">
            <v>49001_1</v>
          </cell>
        </row>
        <row r="437">
          <cell r="A437" t="str">
            <v>50001_1</v>
          </cell>
        </row>
        <row r="438">
          <cell r="A438" t="str">
            <v>50002_1</v>
          </cell>
        </row>
        <row r="439">
          <cell r="A439" t="str">
            <v>65535_1</v>
          </cell>
        </row>
        <row r="440">
          <cell r="A440" t="str">
            <v>65535_2</v>
          </cell>
        </row>
        <row r="441">
          <cell r="A441" t="str">
            <v>65535_3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1"/>
  <sheetViews>
    <sheetView workbookViewId="0">
      <selection activeCell="A10" sqref="A10"/>
    </sheetView>
  </sheetViews>
  <sheetFormatPr baseColWidth="12" defaultRowHeight="18" x14ac:dyDescent="0"/>
  <cols>
    <col min="2" max="2" width="18" customWidth="1"/>
    <col min="5" max="5" width="26.83203125" bestFit="1" customWidth="1"/>
    <col min="6" max="6" width="22.1640625" bestFit="1" customWidth="1"/>
  </cols>
  <sheetData>
    <row r="1" spans="1:30">
      <c r="A1" s="59" t="s">
        <v>130</v>
      </c>
      <c r="B1" s="54" t="s">
        <v>100</v>
      </c>
      <c r="C1" s="54" t="s">
        <v>101</v>
      </c>
      <c r="D1" s="54" t="s">
        <v>102</v>
      </c>
      <c r="E1" s="54" t="s">
        <v>103</v>
      </c>
      <c r="F1" s="54" t="s">
        <v>104</v>
      </c>
      <c r="G1" s="54" t="s">
        <v>105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</row>
    <row r="2" spans="1:30">
      <c r="A2" s="60" t="s">
        <v>180</v>
      </c>
      <c r="B2" s="56" t="s">
        <v>106</v>
      </c>
      <c r="C2" s="62" t="s">
        <v>177</v>
      </c>
      <c r="D2" s="56" t="s">
        <v>107</v>
      </c>
      <c r="E2" s="68" t="str">
        <f>B2&amp;C2&amp;D2</f>
        <v>floors_2M.tmp</v>
      </c>
      <c r="F2" s="56" t="s">
        <v>108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</row>
    <row r="3" spans="1:30">
      <c r="A3" s="60" t="s">
        <v>180</v>
      </c>
      <c r="B3" s="56" t="s">
        <v>109</v>
      </c>
      <c r="C3" s="68" t="str">
        <f>C$2</f>
        <v>2M</v>
      </c>
      <c r="D3" s="56" t="s">
        <v>107</v>
      </c>
      <c r="E3" s="68" t="str">
        <f>B3&amp;C3&amp;D3</f>
        <v>enemy_habitats_2M.tmp</v>
      </c>
      <c r="F3" s="56" t="s">
        <v>110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151</v>
      </c>
    </row>
    <row r="4" spans="1:30">
      <c r="A4" s="60" t="s">
        <v>180</v>
      </c>
      <c r="B4" s="56" t="s">
        <v>111</v>
      </c>
      <c r="C4" s="68" t="str">
        <f t="shared" ref="C4:C11" si="0">C$2</f>
        <v>2M</v>
      </c>
      <c r="D4" s="56" t="s">
        <v>107</v>
      </c>
      <c r="E4" s="68" t="str">
        <f>B4&amp;C4&amp;D4</f>
        <v>enemy_habitat_S_2M.tmp</v>
      </c>
      <c r="F4" s="56" t="s">
        <v>112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</row>
    <row r="5" spans="1:30">
      <c r="A5" s="60" t="s">
        <v>180</v>
      </c>
      <c r="B5" s="56" t="s">
        <v>113</v>
      </c>
      <c r="C5" s="68" t="str">
        <f t="shared" si="0"/>
        <v>2M</v>
      </c>
      <c r="D5" s="56" t="s">
        <v>107</v>
      </c>
      <c r="E5" s="68" t="str">
        <f>B5&amp;C5&amp;D5</f>
        <v>enemy_skill_sets_2M.tmp</v>
      </c>
      <c r="F5" s="56" t="s">
        <v>114</v>
      </c>
      <c r="G5" s="58" t="s">
        <v>22</v>
      </c>
      <c r="H5" s="58" t="s">
        <v>99</v>
      </c>
      <c r="I5" s="58" t="s">
        <v>94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</row>
    <row r="6" spans="1:30">
      <c r="A6" s="60" t="s">
        <v>180</v>
      </c>
      <c r="B6" s="56" t="s">
        <v>115</v>
      </c>
      <c r="C6" s="68" t="str">
        <f t="shared" si="0"/>
        <v>2M</v>
      </c>
      <c r="D6" s="56" t="s">
        <v>116</v>
      </c>
      <c r="E6" s="68" t="str">
        <f t="shared" ref="E6:E10" si="1">B6&amp;C6&amp;D6</f>
        <v>enemy_skills_tmp_2M.tmp</v>
      </c>
      <c r="F6" s="56" t="s">
        <v>90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</row>
    <row r="7" spans="1:30">
      <c r="A7" s="60" t="s">
        <v>180</v>
      </c>
      <c r="B7" s="56" t="s">
        <v>117</v>
      </c>
      <c r="C7" s="68" t="str">
        <f t="shared" si="0"/>
        <v>2M</v>
      </c>
      <c r="D7" s="56" t="s">
        <v>107</v>
      </c>
      <c r="E7" s="68" t="str">
        <f>B7&amp;C7&amp;D7</f>
        <v>enemy_skills_i18n_2M.tmp</v>
      </c>
      <c r="F7" s="56" t="s">
        <v>118</v>
      </c>
      <c r="G7" s="57" t="s">
        <v>79</v>
      </c>
      <c r="H7" s="57" t="s">
        <v>91</v>
      </c>
      <c r="I7" s="57" t="s">
        <v>92</v>
      </c>
      <c r="J7" s="57" t="s">
        <v>93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</row>
    <row r="8" spans="1:30">
      <c r="A8" s="60" t="s">
        <v>180</v>
      </c>
      <c r="B8" s="56" t="s">
        <v>119</v>
      </c>
      <c r="C8" s="68" t="str">
        <f t="shared" si="0"/>
        <v>2M</v>
      </c>
      <c r="D8" s="56" t="s">
        <v>120</v>
      </c>
      <c r="E8" s="68" t="str">
        <f t="shared" si="1"/>
        <v>enemy_skill_triggers_2M.tmp</v>
      </c>
      <c r="F8" s="56" t="s">
        <v>121</v>
      </c>
      <c r="G8" s="57" t="s">
        <v>94</v>
      </c>
      <c r="H8" s="57" t="s">
        <v>95</v>
      </c>
      <c r="I8" s="57" t="s">
        <v>96</v>
      </c>
      <c r="J8" s="57" t="s">
        <v>97</v>
      </c>
      <c r="K8" s="57" t="s">
        <v>122</v>
      </c>
      <c r="L8" s="57" t="s">
        <v>98</v>
      </c>
      <c r="M8" s="57" t="s">
        <v>123</v>
      </c>
      <c r="N8" s="57" t="s">
        <v>124</v>
      </c>
      <c r="O8" s="57" t="s">
        <v>125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</row>
    <row r="9" spans="1:30">
      <c r="A9" s="60" t="s">
        <v>263</v>
      </c>
      <c r="B9" s="65" t="s">
        <v>150</v>
      </c>
      <c r="C9" s="68" t="str">
        <f t="shared" si="0"/>
        <v>2M</v>
      </c>
      <c r="D9" s="65" t="s">
        <v>144</v>
      </c>
      <c r="E9" s="88" t="str">
        <f t="shared" si="1"/>
        <v>stage_bug_bonuses_2M.tmp</v>
      </c>
      <c r="F9" s="65" t="s">
        <v>145</v>
      </c>
      <c r="G9" s="63" t="s">
        <v>131</v>
      </c>
      <c r="H9" s="63" t="s">
        <v>146</v>
      </c>
      <c r="I9" s="63" t="s">
        <v>147</v>
      </c>
      <c r="J9" s="64" t="s">
        <v>148</v>
      </c>
      <c r="K9" s="63" t="s">
        <v>149</v>
      </c>
      <c r="L9" s="63" t="s">
        <v>132</v>
      </c>
      <c r="M9" s="63" t="s">
        <v>133</v>
      </c>
      <c r="N9" s="63" t="s">
        <v>134</v>
      </c>
      <c r="O9" s="63" t="s">
        <v>135</v>
      </c>
      <c r="P9" s="63" t="s">
        <v>136</v>
      </c>
      <c r="Q9" s="63" t="s">
        <v>137</v>
      </c>
      <c r="R9" s="63" t="s">
        <v>138</v>
      </c>
      <c r="S9" s="63" t="s">
        <v>139</v>
      </c>
      <c r="T9" s="63" t="s">
        <v>140</v>
      </c>
      <c r="U9" s="63" t="s">
        <v>141</v>
      </c>
      <c r="V9" s="63" t="s">
        <v>142</v>
      </c>
      <c r="W9" s="63" t="s">
        <v>143</v>
      </c>
    </row>
    <row r="10" spans="1:30" s="71" customFormat="1">
      <c r="A10" s="60" t="s">
        <v>180</v>
      </c>
      <c r="B10" s="65" t="s">
        <v>179</v>
      </c>
      <c r="C10" s="68" t="str">
        <f>C$2</f>
        <v>2M</v>
      </c>
      <c r="D10" s="65" t="s">
        <v>153</v>
      </c>
      <c r="E10" s="88" t="str">
        <f t="shared" si="1"/>
        <v>stage_hints_data_2M.tmp</v>
      </c>
      <c r="F10" s="65" t="s">
        <v>178</v>
      </c>
      <c r="G10" s="69" t="s">
        <v>154</v>
      </c>
      <c r="H10" s="69" t="s">
        <v>146</v>
      </c>
      <c r="I10" s="70" t="s">
        <v>155</v>
      </c>
      <c r="J10" s="64" t="s">
        <v>156</v>
      </c>
      <c r="K10" s="64" t="s">
        <v>157</v>
      </c>
    </row>
    <row r="11" spans="1:30" s="71" customFormat="1">
      <c r="A11" s="60" t="s">
        <v>180</v>
      </c>
      <c r="B11" s="65" t="s">
        <v>170</v>
      </c>
      <c r="C11" s="68" t="str">
        <f t="shared" si="0"/>
        <v>2M</v>
      </c>
      <c r="D11" s="65" t="s">
        <v>144</v>
      </c>
      <c r="E11" s="88" t="str">
        <f t="shared" ref="E11" si="2">B11&amp;C11&amp;D11</f>
        <v>stage_hints_i18n_2M.tmp</v>
      </c>
      <c r="F11" s="65" t="s">
        <v>178</v>
      </c>
      <c r="G11" s="82" t="s">
        <v>171</v>
      </c>
      <c r="H11" s="83" t="s">
        <v>172</v>
      </c>
      <c r="I11" s="84" t="s">
        <v>173</v>
      </c>
      <c r="J11" s="85" t="s">
        <v>174</v>
      </c>
      <c r="K11" s="86" t="s">
        <v>175</v>
      </c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4"/>
  <sheetViews>
    <sheetView showGridLines="0" workbookViewId="0">
      <pane ySplit="1" topLeftCell="A2" activePane="bottomLeft" state="frozen"/>
      <selection activeCell="V2" sqref="V2:X34"/>
      <selection pane="bottomLeft"/>
    </sheetView>
  </sheetViews>
  <sheetFormatPr baseColWidth="12" defaultColWidth="13" defaultRowHeight="21" customHeight="1" outlineLevelCol="1" x14ac:dyDescent="0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>
      <c r="A2" s="16" t="str">
        <f>G2&amp;"-"&amp;I2</f>
        <v>11219_1-1</v>
      </c>
      <c r="B2" s="16" t="str">
        <f>IF(COUNTIF(enemy_habitats!$H:$H,A2),"OK","NG")</f>
        <v>OK</v>
      </c>
      <c r="C2" s="7">
        <v>11219</v>
      </c>
      <c r="D2" s="11" t="str">
        <f ca="1">VLOOKUP($C2,OFFSET([2]quests!$A$1,0,0,COUNTA([2]quests!$A:$A),MATCH(D$1,[2]quests!$1:$1,0)-MATCH($C$1,[2]quests!$1:$1,0)+1),MATCH(D$1,[2]quests!$1:$1,0)-MATCH($C$1,[2]quests!$1:$1,0)+1,FALSE)</f>
        <v>200万DL記念★特別クエスト</v>
      </c>
      <c r="E2" s="18" t="str">
        <f ca="1">VLOOKUP($C2,OFFSET([2]quests!$A$1,0,0,COUNTA([2]quests!$A:$A),MATCH(E$1,[2]quests!$1:$1,0)-MATCH($C$1,[2]quests!$1:$1,0)+1),MATCH(E$1,[2]quests!$1:$1,0)-MATCH($C$1,[2]quests!$1:$1,0)+1,FALSE)</f>
        <v>200万DL記念★特別クエスト</v>
      </c>
      <c r="F2" s="21">
        <v>1</v>
      </c>
      <c r="G2" s="23" t="str">
        <f>C2&amp;"_"&amp;F2</f>
        <v>11219_1</v>
      </c>
      <c r="H2" s="15" t="str">
        <f ca="1">VLOOKUP($G2,OFFSET([2]stages!$A$1,0,0,COUNTA([2]stages!$A:$A),MATCH(H$1,[2]stages!$2:$2,0)-MATCH($G$1,[2]stages!$2:$2,0)+1),MATCH(H$1,[2]stages!$2:$2,0)-MATCH($G$1,[2]stages!$2:$2,0)+1,FALSE)</f>
        <v>ミリオンダックより愛を込めて 2</v>
      </c>
      <c r="I2" s="21">
        <v>1</v>
      </c>
      <c r="J2" s="12">
        <v>20</v>
      </c>
      <c r="K2" s="12">
        <v>20</v>
      </c>
    </row>
    <row r="3" spans="1:11" ht="21" customHeight="1">
      <c r="A3" s="16" t="str">
        <f>G3&amp;"-"&amp;I3</f>
        <v>11219_1-2</v>
      </c>
      <c r="B3" s="16" t="str">
        <f>IF(COUNTIF(enemy_habitats!$H:$H,A3),"OK","NG")</f>
        <v>OK</v>
      </c>
      <c r="C3" s="7">
        <v>11219</v>
      </c>
      <c r="D3" s="11" t="str">
        <f ca="1">VLOOKUP($C3,OFFSET([2]quests!$A$1,0,0,COUNTA([2]quests!$A:$A),MATCH(D$1,[2]quests!$1:$1,0)-MATCH($C$1,[2]quests!$1:$1,0)+1),MATCH(D$1,[2]quests!$1:$1,0)-MATCH($C$1,[2]quests!$1:$1,0)+1,FALSE)</f>
        <v>200万DL記念★特別クエスト</v>
      </c>
      <c r="E3" s="18" t="str">
        <f ca="1">VLOOKUP($C3,OFFSET([2]quests!$A$1,0,0,COUNTA([2]quests!$A:$A),MATCH(E$1,[2]quests!$1:$1,0)-MATCH($C$1,[2]quests!$1:$1,0)+1),MATCH(E$1,[2]quests!$1:$1,0)-MATCH($C$1,[2]quests!$1:$1,0)+1,FALSE)</f>
        <v>200万DL記念★特別クエスト</v>
      </c>
      <c r="F3" s="21">
        <v>1</v>
      </c>
      <c r="G3" s="23" t="str">
        <f>C3&amp;"_"&amp;F3</f>
        <v>11219_1</v>
      </c>
      <c r="H3" s="15" t="str">
        <f ca="1">VLOOKUP($G3,OFFSET([2]stages!$A$1,0,0,COUNTA([2]stages!$A:$A),MATCH(H$1,[2]stages!$2:$2,0)-MATCH($G$1,[2]stages!$2:$2,0)+1),MATCH(H$1,[2]stages!$2:$2,0)-MATCH($G$1,[2]stages!$2:$2,0)+1,FALSE)</f>
        <v>ミリオンダックより愛を込めて 2</v>
      </c>
      <c r="I3" s="21">
        <v>2</v>
      </c>
      <c r="J3" s="12">
        <v>50</v>
      </c>
      <c r="K3" s="12">
        <v>50</v>
      </c>
    </row>
    <row r="4" spans="1:11" ht="21" customHeight="1">
      <c r="A4" s="16" t="str">
        <f>G4&amp;"-"&amp;I4</f>
        <v>11219_1-3</v>
      </c>
      <c r="B4" s="16" t="str">
        <f>IF(COUNTIF(enemy_habitats!$H:$H,A4),"OK","NG")</f>
        <v>OK</v>
      </c>
      <c r="C4" s="7">
        <v>11219</v>
      </c>
      <c r="D4" s="11" t="str">
        <f ca="1">VLOOKUP($C4,OFFSET([2]quests!$A$1,0,0,COUNTA([2]quests!$A:$A),MATCH(D$1,[2]quests!$1:$1,0)-MATCH($C$1,[2]quests!$1:$1,0)+1),MATCH(D$1,[2]quests!$1:$1,0)-MATCH($C$1,[2]quests!$1:$1,0)+1,FALSE)</f>
        <v>200万DL記念★特別クエスト</v>
      </c>
      <c r="E4" s="18" t="str">
        <f ca="1">VLOOKUP($C4,OFFSET([2]quests!$A$1,0,0,COUNTA([2]quests!$A:$A),MATCH(E$1,[2]quests!$1:$1,0)-MATCH($C$1,[2]quests!$1:$1,0)+1),MATCH(E$1,[2]quests!$1:$1,0)-MATCH($C$1,[2]quests!$1:$1,0)+1,FALSE)</f>
        <v>200万DL記念★特別クエスト</v>
      </c>
      <c r="F4" s="21">
        <v>1</v>
      </c>
      <c r="G4" s="23" t="str">
        <f>C4&amp;"_"&amp;F4</f>
        <v>11219_1</v>
      </c>
      <c r="H4" s="15" t="str">
        <f ca="1">VLOOKUP($G4,OFFSET([2]stages!$A$1,0,0,COUNTA([2]stages!$A:$A),MATCH(H$1,[2]stages!$2:$2,0)-MATCH($G$1,[2]stages!$2:$2,0)+1),MATCH(H$1,[2]stages!$2:$2,0)-MATCH($G$1,[2]stages!$2:$2,0)+1,FALSE)</f>
        <v>ミリオンダックより愛を込めて 2</v>
      </c>
      <c r="I4" s="21">
        <v>3</v>
      </c>
      <c r="J4" s="12">
        <v>60</v>
      </c>
      <c r="K4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1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Y6" sqref="Y6:Y9"/>
    </sheetView>
  </sheetViews>
  <sheetFormatPr baseColWidth="12" defaultColWidth="13" defaultRowHeight="21" customHeight="1" outlineLevelCol="1" x14ac:dyDescent="0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6.6640625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152</v>
      </c>
    </row>
    <row r="2" spans="1:40" ht="21" customHeight="1">
      <c r="A2" s="16" t="str">
        <f t="shared" ref="A2:A11" ca="1" si="0">B2&amp;"_"&amp;C2&amp;"-"&amp;G2&amp;"/"&amp;L2&amp;"&lt;lv"&amp;R2&amp;"&gt;s"&amp;AA2</f>
        <v>11219_1-1/414&lt;lv1&gt;s3</v>
      </c>
      <c r="B2" s="22">
        <v>11219</v>
      </c>
      <c r="C2" s="21">
        <v>1</v>
      </c>
      <c r="D2" s="2" t="str">
        <f t="shared" ref="D2:D11" si="1">B2&amp;"_"&amp;C2</f>
        <v>11219_1</v>
      </c>
      <c r="E2" s="4" t="str">
        <f ca="1">VLOOKUP($B2,OFFSET([2]quests!$A$1,0,0,COUNTA([2]quests!$A:$A),MATCH(E$1,[2]quests!$1:$1,0)-MATCH($B$1,[2]quests!$1:$1,0)+1),MATCH(E$1,[2]quests!$1:$1,0)-MATCH($B$1,[2]quests!$1:$1,0)+1,FALSE)</f>
        <v>200万DL記念★特別クエスト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ミリオンダックより愛を込めて 2</v>
      </c>
      <c r="G2" s="21">
        <v>1</v>
      </c>
      <c r="H2" s="15" t="str">
        <f t="shared" ref="H2:H11" si="2">B2&amp;"_"&amp;C2&amp;"-"&amp;G2</f>
        <v>11219_1-1</v>
      </c>
      <c r="I2" s="4">
        <f ca="1">VLOOKUP($H2,OFFSET(floors!$A$1,0,0,COUNTA(floors!$A:$A),MATCH(I$1,floors!$1:$1,0)-MATCH($H$1,floors!$1:$1,0)+1),MATCH(I$1,floors!$1:$1,0)-MATCH($H$1,floors!$1:$1,0)+1,FALSE)</f>
        <v>20</v>
      </c>
      <c r="J2" s="4">
        <f ca="1">VLOOKUP($H2,OFFSET(floors!$A$1,0,0,COUNTA(floors!$A:$A),MATCH(J$1,floors!$1:$1,0)-MATCH($H$1,floors!$1:$1,0)+1),MATCH(J$1,floors!$1:$1,0)-MATCH($H$1,floors!$1:$1,0)+1,FALSE)</f>
        <v>20</v>
      </c>
      <c r="K2" s="38" t="s">
        <v>53</v>
      </c>
      <c r="L2" s="20">
        <v>414</v>
      </c>
      <c r="M2" s="17" t="str">
        <f ca="1">VLOOKUP($L2,OFFSET([3]enemies!$A$1,0,0,COUNTA([3]enemies!$A:$A),MATCH(M$1,[3]enemies!$1:$1,0)-MATCH($L$1,[3]enemies!$1:$1,0)+1),MATCH(M$1,[3]enemies!$1:$1,0)-MATCH($L$1,[3]enemies!$1:$1,0)+1,FALSE)</f>
        <v>炎のミリオンダック 2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Material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20</v>
      </c>
      <c r="R2" s="5">
        <v>1</v>
      </c>
      <c r="S2" s="25">
        <v>1</v>
      </c>
      <c r="T2" s="25">
        <v>1</v>
      </c>
      <c r="U2" s="5">
        <v>65355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ミリオンダックが あらわれた！</v>
      </c>
      <c r="W2" s="61">
        <v>112191100</v>
      </c>
      <c r="X2" s="6">
        <v>1</v>
      </c>
      <c r="Y2" s="6">
        <v>0</v>
      </c>
      <c r="Z2" s="6">
        <v>0</v>
      </c>
      <c r="AA2" s="17">
        <f ca="1">VLOOKUP($L2,OFFSET([3]enemies!$A$1,0,0,COUNTA([3]enemies!$A:$A),MATCH(AA$1,[3]enemies!$1:$1,0)-MATCH($L$1,[3]enemies!$1:$1,0)+1),MATCH(AA$1,[3]enemies!$1:$1,0)-MATCH($L$1,[3]enemies!$1:$1,0)+1,FALSE)</f>
        <v>3</v>
      </c>
      <c r="AB2" s="24">
        <f>L2</f>
        <v>414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炎のミリオンダック 2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6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" s="7">
        <v>1</v>
      </c>
      <c r="AG2" s="24">
        <f t="shared" ref="AG2:AG11" ca="1" si="3">AD2</f>
        <v>6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6">
        <v>1</v>
      </c>
    </row>
    <row r="3" spans="1:40" ht="21" customHeight="1">
      <c r="A3" s="16" t="str">
        <f t="shared" ca="1" si="0"/>
        <v>11219_1-2/49&lt;lv1&gt;s2</v>
      </c>
      <c r="B3" s="22">
        <v>11219</v>
      </c>
      <c r="C3" s="21">
        <v>1</v>
      </c>
      <c r="D3" s="2" t="str">
        <f t="shared" si="1"/>
        <v>11219_1</v>
      </c>
      <c r="E3" s="4" t="str">
        <f ca="1">VLOOKUP($B3,OFFSET([2]quests!$A$1,0,0,COUNTA([2]quests!$A:$A),MATCH(E$1,[2]quests!$1:$1,0)-MATCH($B$1,[2]quests!$1:$1,0)+1),MATCH(E$1,[2]quests!$1:$1,0)-MATCH($B$1,[2]quests!$1:$1,0)+1,FALSE)</f>
        <v>200万DL記念★特別クエスト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ミリオンダックより愛を込めて 2</v>
      </c>
      <c r="G3" s="21">
        <v>2</v>
      </c>
      <c r="H3" s="15" t="str">
        <f t="shared" si="2"/>
        <v>11219_1-2</v>
      </c>
      <c r="I3" s="4">
        <f ca="1">VLOOKUP($H3,OFFSET(floors!$A$1,0,0,COUNTA(floors!$A:$A),MATCH(I$1,floors!$1:$1,0)-MATCH($H$1,floors!$1:$1,0)+1),MATCH(I$1,floors!$1:$1,0)-MATCH($H$1,floors!$1:$1,0)+1,FALSE)</f>
        <v>50</v>
      </c>
      <c r="J3" s="4">
        <f ca="1">VLOOKUP($H3,OFFSET(floors!$A$1,0,0,COUNTA(floors!$A:$A),MATCH(J$1,floors!$1:$1,0)-MATCH($H$1,floors!$1:$1,0)+1),MATCH(J$1,floors!$1:$1,0)-MATCH($H$1,floors!$1:$1,0)+1,FALSE)</f>
        <v>50</v>
      </c>
      <c r="K3" s="38" t="s">
        <v>53</v>
      </c>
      <c r="L3" s="20">
        <v>49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ヨシタカ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1</v>
      </c>
      <c r="S3" s="25">
        <v>1</v>
      </c>
      <c r="T3" s="25">
        <v>1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ALICEの世界は お祭り騒ぎだ！</v>
      </c>
      <c r="W3" s="61">
        <v>112191200</v>
      </c>
      <c r="X3" s="6">
        <v>1</v>
      </c>
      <c r="Y3" s="6">
        <v>0</v>
      </c>
      <c r="Z3" s="6">
        <v>2</v>
      </c>
      <c r="AA3" s="17">
        <f ca="1">VLOOKUP($L3,OFFSET([3]enemies!$A$1,0,0,COUNTA([3]enemies!$A:$A),MATCH(AA$1,[3]enemies!$1:$1,0)-MATCH($L$1,[3]enemies!$1:$1,0)+1),MATCH(AA$1,[3]enemies!$1:$1,0)-MATCH($L$1,[3]enemies!$1:$1,0)+1,FALSE)</f>
        <v>2</v>
      </c>
      <c r="AB3" s="24">
        <f>L3</f>
        <v>49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ヨシタカ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2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Drop1N</v>
      </c>
      <c r="AF3" s="7">
        <v>1</v>
      </c>
      <c r="AG3" s="24">
        <f t="shared" ca="1" si="3"/>
        <v>2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6">
        <v>1</v>
      </c>
    </row>
    <row r="4" spans="1:40" ht="21" customHeight="1">
      <c r="A4" s="16" t="str">
        <f t="shared" ca="1" si="0"/>
        <v>11219_1-2/414&lt;lv1&gt;s3</v>
      </c>
      <c r="B4" s="22">
        <v>11219</v>
      </c>
      <c r="C4" s="21">
        <v>1</v>
      </c>
      <c r="D4" s="2" t="str">
        <f t="shared" si="1"/>
        <v>11219_1</v>
      </c>
      <c r="E4" s="4" t="str">
        <f ca="1">VLOOKUP($B4,OFFSET([2]quests!$A$1,0,0,COUNTA([2]quests!$A:$A),MATCH(E$1,[2]quests!$1:$1,0)-MATCH($B$1,[2]quests!$1:$1,0)+1),MATCH(E$1,[2]quests!$1:$1,0)-MATCH($B$1,[2]quests!$1:$1,0)+1,FALSE)</f>
        <v>200万DL記念★特別クエスト</v>
      </c>
      <c r="F4" s="4" t="str">
        <f ca="1">VLOOKUP($D4,OFFSET([2]stages!$A$1,0,0,COUNTA([2]stages!$A:$A),MATCH(F$1,[2]stages!$2:$2,0)-MATCH($D$1,[2]stages!$2:$2,0)+1),MATCH(F$1,[2]stages!$2:$2,0)-MATCH($D$1,[2]stages!$2:$2,0)+1,FALSE)</f>
        <v>ミリオンダックより愛を込めて 2</v>
      </c>
      <c r="G4" s="21">
        <v>2</v>
      </c>
      <c r="H4" s="15" t="str">
        <f t="shared" si="2"/>
        <v>11219_1-2</v>
      </c>
      <c r="I4" s="4">
        <f ca="1">VLOOKUP($H4,OFFSET(floors!$A$1,0,0,COUNTA(floors!$A:$A),MATCH(I$1,floors!$1:$1,0)-MATCH($H$1,floors!$1:$1,0)+1),MATCH(I$1,floors!$1:$1,0)-MATCH($H$1,floors!$1:$1,0)+1,FALSE)</f>
        <v>50</v>
      </c>
      <c r="J4" s="4">
        <f ca="1">VLOOKUP($H4,OFFSET(floors!$A$1,0,0,COUNTA(floors!$A:$A),MATCH(J$1,floors!$1:$1,0)-MATCH($H$1,floors!$1:$1,0)+1),MATCH(J$1,floors!$1:$1,0)-MATCH($H$1,floors!$1:$1,0)+1,FALSE)</f>
        <v>50</v>
      </c>
      <c r="K4" s="38" t="s">
        <v>53</v>
      </c>
      <c r="L4" s="20">
        <v>414</v>
      </c>
      <c r="M4" s="17" t="str">
        <f ca="1">VLOOKUP($L4,OFFSET([3]enemies!$A$1,0,0,COUNTA([3]enemies!$A:$A),MATCH(M$1,[3]enemies!$1:$1,0)-MATCH($L$1,[3]enemies!$1:$1,0)+1),MATCH(M$1,[3]enemies!$1:$1,0)-MATCH($L$1,[3]enemies!$1:$1,0)+1,FALSE)</f>
        <v>炎のミリオンダック 2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Material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1</v>
      </c>
      <c r="S4" s="25">
        <v>1</v>
      </c>
      <c r="T4" s="25">
        <v>1</v>
      </c>
      <c r="U4" s="5">
        <v>65355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逃げるミリオンダックを 追いかけよう！</v>
      </c>
      <c r="W4" s="61">
        <v>112191220</v>
      </c>
      <c r="X4" s="6">
        <v>1</v>
      </c>
      <c r="Y4" s="6">
        <v>0</v>
      </c>
      <c r="Z4" s="6">
        <v>1</v>
      </c>
      <c r="AA4" s="17">
        <f ca="1">VLOOKUP($L4,OFFSET([3]enemies!$A$1,0,0,COUNTA([3]enemies!$A:$A),MATCH(AA$1,[3]enemies!$1:$1,0)-MATCH($L$1,[3]enemies!$1:$1,0)+1),MATCH(AA$1,[3]enemies!$1:$1,0)-MATCH($L$1,[3]enemies!$1:$1,0)+1,FALSE)</f>
        <v>3</v>
      </c>
      <c r="AB4" s="24">
        <f>L4</f>
        <v>414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炎のミリオンダック 2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6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" s="7">
        <v>1</v>
      </c>
      <c r="AG4" s="24">
        <f t="shared" ca="1" si="3"/>
        <v>6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6">
        <v>1</v>
      </c>
    </row>
    <row r="5" spans="1:40" ht="21" customHeight="1">
      <c r="A5" s="16" t="str">
        <f t="shared" ca="1" si="0"/>
        <v>11219_1-2/13&lt;lv1&gt;s2</v>
      </c>
      <c r="B5" s="22">
        <v>11219</v>
      </c>
      <c r="C5" s="21">
        <v>1</v>
      </c>
      <c r="D5" s="2" t="str">
        <f t="shared" si="1"/>
        <v>11219_1</v>
      </c>
      <c r="E5" s="4" t="str">
        <f ca="1">VLOOKUP($B5,OFFSET([2]quests!$A$1,0,0,COUNTA([2]quests!$A:$A),MATCH(E$1,[2]quests!$1:$1,0)-MATCH($B$1,[2]quests!$1:$1,0)+1),MATCH(E$1,[2]quests!$1:$1,0)-MATCH($B$1,[2]quests!$1:$1,0)+1,FALSE)</f>
        <v>200万DL記念★特別クエスト</v>
      </c>
      <c r="F5" s="4" t="str">
        <f ca="1">VLOOKUP($D5,OFFSET([2]stages!$A$1,0,0,COUNTA([2]stages!$A:$A),MATCH(F$1,[2]stages!$2:$2,0)-MATCH($D$1,[2]stages!$2:$2,0)+1),MATCH(F$1,[2]stages!$2:$2,0)-MATCH($D$1,[2]stages!$2:$2,0)+1,FALSE)</f>
        <v>ミリオンダックより愛を込めて 2</v>
      </c>
      <c r="G5" s="21">
        <v>2</v>
      </c>
      <c r="H5" s="15" t="str">
        <f t="shared" si="2"/>
        <v>11219_1-2</v>
      </c>
      <c r="I5" s="4">
        <f ca="1">VLOOKUP($H5,OFFSET(floors!$A$1,0,0,COUNTA(floors!$A:$A),MATCH(I$1,floors!$1:$1,0)-MATCH($H$1,floors!$1:$1,0)+1),MATCH(I$1,floors!$1:$1,0)-MATCH($H$1,floors!$1:$1,0)+1,FALSE)</f>
        <v>50</v>
      </c>
      <c r="J5" s="4">
        <f ca="1">VLOOKUP($H5,OFFSET(floors!$A$1,0,0,COUNTA(floors!$A:$A),MATCH(J$1,floors!$1:$1,0)-MATCH($H$1,floors!$1:$1,0)+1),MATCH(J$1,floors!$1:$1,0)-MATCH($H$1,floors!$1:$1,0)+1,FALSE)</f>
        <v>50</v>
      </c>
      <c r="K5" s="38" t="s">
        <v>53</v>
      </c>
      <c r="L5" s="20">
        <v>13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ミミ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Drop1W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1</v>
      </c>
      <c r="S5" s="25">
        <v>1</v>
      </c>
      <c r="T5" s="25">
        <v>1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みんなが ミリオンダックを 狙っている！</v>
      </c>
      <c r="W5" s="61">
        <v>112191210</v>
      </c>
      <c r="X5" s="6">
        <v>1</v>
      </c>
      <c r="Y5" s="6">
        <v>0</v>
      </c>
      <c r="Z5" s="6">
        <v>0</v>
      </c>
      <c r="AA5" s="17">
        <f ca="1">VLOOKUP($L5,OFFSET([3]enemies!$A$1,0,0,COUNTA([3]enemies!$A:$A),MATCH(AA$1,[3]enemies!$1:$1,0)-MATCH($L$1,[3]enemies!$1:$1,0)+1),MATCH(AA$1,[3]enemies!$1:$1,0)-MATCH($L$1,[3]enemies!$1:$1,0)+1,FALSE)</f>
        <v>2</v>
      </c>
      <c r="AB5" s="24">
        <f>L5</f>
        <v>13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ミミ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1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Drop1W</v>
      </c>
      <c r="AF5" s="7">
        <v>1</v>
      </c>
      <c r="AG5" s="24">
        <f t="shared" ca="1" si="3"/>
        <v>1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6">
        <v>1</v>
      </c>
    </row>
    <row r="6" spans="1:40" ht="21" customHeight="1">
      <c r="A6" s="16" t="str">
        <f t="shared" ca="1" si="0"/>
        <v>11219_1-3/357&lt;lv2&gt;s3</v>
      </c>
      <c r="B6" s="22">
        <v>11219</v>
      </c>
      <c r="C6" s="21">
        <v>1</v>
      </c>
      <c r="D6" s="2" t="str">
        <f t="shared" si="1"/>
        <v>11219_1</v>
      </c>
      <c r="E6" s="4" t="str">
        <f ca="1">VLOOKUP($B6,OFFSET([2]quests!$A$1,0,0,COUNTA([2]quests!$A:$A),MATCH(E$1,[2]quests!$1:$1,0)-MATCH($B$1,[2]quests!$1:$1,0)+1),MATCH(E$1,[2]quests!$1:$1,0)-MATCH($B$1,[2]quests!$1:$1,0)+1,FALSE)</f>
        <v>200万DL記念★特別クエスト</v>
      </c>
      <c r="F6" s="4" t="str">
        <f ca="1">VLOOKUP($D6,OFFSET([2]stages!$A$1,0,0,COUNTA([2]stages!$A:$A),MATCH(F$1,[2]stages!$2:$2,0)-MATCH($D$1,[2]stages!$2:$2,0)+1),MATCH(F$1,[2]stages!$2:$2,0)-MATCH($D$1,[2]stages!$2:$2,0)+1,FALSE)</f>
        <v>ミリオンダックより愛を込めて 2</v>
      </c>
      <c r="G6" s="21">
        <v>3</v>
      </c>
      <c r="H6" s="15" t="str">
        <f t="shared" si="2"/>
        <v>11219_1-3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1</v>
      </c>
      <c r="L6" s="20">
        <v>357</v>
      </c>
      <c r="M6" s="17" t="str">
        <f ca="1">VLOOKUP($L6,OFFSET([3]enemies!$A$1,0,0,COUNTA([3]enemies!$A:$A),MATCH(M$1,[3]enemies!$1:$1,0)-MATCH($L$1,[3]enemies!$1:$1,0)+1),MATCH(M$1,[3]enemies!$1:$1,0)-MATCH($L$1,[3]enemies!$1:$1,0)+1,FALSE)</f>
        <v>千風のグリフォン</v>
      </c>
      <c r="N6" s="1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Material</v>
      </c>
      <c r="P6" s="17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2</v>
      </c>
      <c r="S6" s="25">
        <v>10</v>
      </c>
      <c r="T6" s="25">
        <v>1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何者かが グリフォンを吹き飛ばした！</v>
      </c>
      <c r="W6" s="61">
        <v>112191310</v>
      </c>
      <c r="X6" s="6">
        <v>0</v>
      </c>
      <c r="Y6" s="6">
        <v>25</v>
      </c>
      <c r="Z6" s="6">
        <v>2</v>
      </c>
      <c r="AA6" s="17">
        <f ca="1">VLOOKUP($L6,OFFSET([3]enemies!$A$1,0,0,COUNTA([3]enemies!$A:$A),MATCH(AA$1,[3]enemies!$1:$1,0)-MATCH($L$1,[3]enemies!$1:$1,0)+1),MATCH(AA$1,[3]enemies!$1:$1,0)-MATCH($L$1,[3]enemies!$1:$1,0)+1,FALSE)</f>
        <v>3</v>
      </c>
      <c r="AB6" s="89">
        <v>414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炎のミリオンダック 2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6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6" s="7">
        <v>1</v>
      </c>
      <c r="AG6" s="24">
        <f t="shared" ca="1" si="3"/>
        <v>6</v>
      </c>
      <c r="AH6" s="8">
        <v>100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6">
        <v>1</v>
      </c>
    </row>
    <row r="7" spans="1:40" ht="21" customHeight="1">
      <c r="A7" s="16" t="str">
        <f t="shared" ca="1" si="0"/>
        <v>11219_1-3/357&lt;lv3&gt;s3</v>
      </c>
      <c r="B7" s="22">
        <v>11219</v>
      </c>
      <c r="C7" s="21">
        <v>1</v>
      </c>
      <c r="D7" s="2" t="str">
        <f t="shared" si="1"/>
        <v>11219_1</v>
      </c>
      <c r="E7" s="4" t="str">
        <f ca="1">VLOOKUP($B7,OFFSET([2]quests!$A$1,0,0,COUNTA([2]quests!$A:$A),MATCH(E$1,[2]quests!$1:$1,0)-MATCH($B$1,[2]quests!$1:$1,0)+1),MATCH(E$1,[2]quests!$1:$1,0)-MATCH($B$1,[2]quests!$1:$1,0)+1,FALSE)</f>
        <v>200万DL記念★特別クエスト</v>
      </c>
      <c r="F7" s="4" t="str">
        <f ca="1">VLOOKUP($D7,OFFSET([2]stages!$A$1,0,0,COUNTA([2]stages!$A:$A),MATCH(F$1,[2]stages!$2:$2,0)-MATCH($D$1,[2]stages!$2:$2,0)+1),MATCH(F$1,[2]stages!$2:$2,0)-MATCH($D$1,[2]stages!$2:$2,0)+1,FALSE)</f>
        <v>ミリオンダックより愛を込めて 2</v>
      </c>
      <c r="G7" s="21">
        <v>3</v>
      </c>
      <c r="H7" s="15" t="str">
        <f t="shared" si="2"/>
        <v>11219_1-3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2</v>
      </c>
      <c r="L7" s="20">
        <v>357</v>
      </c>
      <c r="M7" s="17" t="str">
        <f ca="1">VLOOKUP($L7,OFFSET([3]enemies!$A$1,0,0,COUNTA([3]enemies!$A:$A),MATCH(M$1,[3]enemies!$1:$1,0)-MATCH($L$1,[3]enemies!$1:$1,0)+1),MATCH(M$1,[3]enemies!$1:$1,0)-MATCH($L$1,[3]enemies!$1:$1,0)+1,FALSE)</f>
        <v>千風のグリフォン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Material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3</v>
      </c>
      <c r="S7" s="25">
        <v>10</v>
      </c>
      <c r="T7" s="25">
        <v>1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何者かが グリフォンを吹き飛ばした！</v>
      </c>
      <c r="W7" s="61">
        <v>112191310</v>
      </c>
      <c r="X7" s="6">
        <v>0</v>
      </c>
      <c r="Y7" s="6">
        <v>25</v>
      </c>
      <c r="Z7" s="6">
        <v>2</v>
      </c>
      <c r="AA7" s="17">
        <f ca="1">VLOOKUP($L7,OFFSET([3]enemies!$A$1,0,0,COUNTA([3]enemies!$A:$A),MATCH(AA$1,[3]enemies!$1:$1,0)-MATCH($L$1,[3]enemies!$1:$1,0)+1),MATCH(AA$1,[3]enemies!$1:$1,0)-MATCH($L$1,[3]enemies!$1:$1,0)+1,FALSE)</f>
        <v>3</v>
      </c>
      <c r="AB7" s="89">
        <v>415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森のミリオンダック 2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6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" s="7">
        <v>1</v>
      </c>
      <c r="AG7" s="24">
        <f t="shared" ca="1" si="3"/>
        <v>6</v>
      </c>
      <c r="AH7" s="8">
        <v>100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6">
        <v>1</v>
      </c>
    </row>
    <row r="8" spans="1:40" ht="21" customHeight="1">
      <c r="A8" s="16" t="str">
        <f t="shared" ca="1" si="0"/>
        <v>11219_1-3/357&lt;lv4&gt;s3</v>
      </c>
      <c r="B8" s="22">
        <v>11219</v>
      </c>
      <c r="C8" s="21">
        <v>1</v>
      </c>
      <c r="D8" s="2" t="str">
        <f t="shared" si="1"/>
        <v>11219_1</v>
      </c>
      <c r="E8" s="4" t="str">
        <f ca="1">VLOOKUP($B8,OFFSET([2]quests!$A$1,0,0,COUNTA([2]quests!$A:$A),MATCH(E$1,[2]quests!$1:$1,0)-MATCH($B$1,[2]quests!$1:$1,0)+1),MATCH(E$1,[2]quests!$1:$1,0)-MATCH($B$1,[2]quests!$1:$1,0)+1,FALSE)</f>
        <v>200万DL記念★特別クエスト</v>
      </c>
      <c r="F8" s="4" t="str">
        <f ca="1">VLOOKUP($D8,OFFSET([2]stages!$A$1,0,0,COUNTA([2]stages!$A:$A),MATCH(F$1,[2]stages!$2:$2,0)-MATCH($D$1,[2]stages!$2:$2,0)+1),MATCH(F$1,[2]stages!$2:$2,0)-MATCH($D$1,[2]stages!$2:$2,0)+1,FALSE)</f>
        <v>ミリオンダックより愛を込めて 2</v>
      </c>
      <c r="G8" s="21">
        <v>3</v>
      </c>
      <c r="H8" s="15" t="str">
        <f t="shared" si="2"/>
        <v>11219_1-3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3</v>
      </c>
      <c r="L8" s="20">
        <v>357</v>
      </c>
      <c r="M8" s="17" t="str">
        <f ca="1">VLOOKUP($L8,OFFSET([3]enemies!$A$1,0,0,COUNTA([3]enemies!$A:$A),MATCH(M$1,[3]enemies!$1:$1,0)-MATCH($L$1,[3]enemies!$1:$1,0)+1),MATCH(M$1,[3]enemies!$1:$1,0)-MATCH($L$1,[3]enemies!$1:$1,0)+1,FALSE)</f>
        <v>千風のグリフォン</v>
      </c>
      <c r="N8" s="17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Material</v>
      </c>
      <c r="P8" s="17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4</v>
      </c>
      <c r="S8" s="25">
        <v>10</v>
      </c>
      <c r="T8" s="25">
        <v>1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何者かが グリフォンを吹き飛ばした！</v>
      </c>
      <c r="W8" s="61">
        <v>112191310</v>
      </c>
      <c r="X8" s="6">
        <v>0</v>
      </c>
      <c r="Y8" s="6">
        <v>25</v>
      </c>
      <c r="Z8" s="6">
        <v>2</v>
      </c>
      <c r="AA8" s="17">
        <f ca="1">VLOOKUP($L8,OFFSET([3]enemies!$A$1,0,0,COUNTA([3]enemies!$A:$A),MATCH(AA$1,[3]enemies!$1:$1,0)-MATCH($L$1,[3]enemies!$1:$1,0)+1),MATCH(AA$1,[3]enemies!$1:$1,0)-MATCH($L$1,[3]enemies!$1:$1,0)+1,FALSE)</f>
        <v>3</v>
      </c>
      <c r="AB8" s="89">
        <v>416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水のミリオンダック 2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6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8" s="7">
        <v>1</v>
      </c>
      <c r="AG8" s="24">
        <f t="shared" ca="1" si="3"/>
        <v>6</v>
      </c>
      <c r="AH8" s="8">
        <v>100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6">
        <v>1</v>
      </c>
    </row>
    <row r="9" spans="1:40" ht="21" customHeight="1">
      <c r="A9" s="16" t="str">
        <f t="shared" ca="1" si="0"/>
        <v>11219_1-3/357&lt;lv5&gt;s3</v>
      </c>
      <c r="B9" s="22">
        <v>11219</v>
      </c>
      <c r="C9" s="21">
        <v>1</v>
      </c>
      <c r="D9" s="2" t="str">
        <f t="shared" si="1"/>
        <v>11219_1</v>
      </c>
      <c r="E9" s="4" t="str">
        <f ca="1">VLOOKUP($B9,OFFSET([2]quests!$A$1,0,0,COUNTA([2]quests!$A:$A),MATCH(E$1,[2]quests!$1:$1,0)-MATCH($B$1,[2]quests!$1:$1,0)+1),MATCH(E$1,[2]quests!$1:$1,0)-MATCH($B$1,[2]quests!$1:$1,0)+1,FALSE)</f>
        <v>200万DL記念★特別クエスト</v>
      </c>
      <c r="F9" s="4" t="str">
        <f ca="1">VLOOKUP($D9,OFFSET([2]stages!$A$1,0,0,COUNTA([2]stages!$A:$A),MATCH(F$1,[2]stages!$2:$2,0)-MATCH($D$1,[2]stages!$2:$2,0)+1),MATCH(F$1,[2]stages!$2:$2,0)-MATCH($D$1,[2]stages!$2:$2,0)+1,FALSE)</f>
        <v>ミリオンダックより愛を込めて 2</v>
      </c>
      <c r="G9" s="21">
        <v>3</v>
      </c>
      <c r="H9" s="15" t="str">
        <f t="shared" si="2"/>
        <v>11219_1-3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4</v>
      </c>
      <c r="L9" s="20">
        <v>357</v>
      </c>
      <c r="M9" s="17" t="str">
        <f ca="1">VLOOKUP($L9,OFFSET([3]enemies!$A$1,0,0,COUNTA([3]enemies!$A:$A),MATCH(M$1,[3]enemies!$1:$1,0)-MATCH($L$1,[3]enemies!$1:$1,0)+1),MATCH(M$1,[3]enemies!$1:$1,0)-MATCH($L$1,[3]enemies!$1:$1,0)+1,FALSE)</f>
        <v>千風のグリフォン</v>
      </c>
      <c r="N9" s="17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Material</v>
      </c>
      <c r="P9" s="17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5</v>
      </c>
      <c r="S9" s="25">
        <v>10</v>
      </c>
      <c r="T9" s="25">
        <v>1</v>
      </c>
      <c r="U9" s="5">
        <v>0</v>
      </c>
      <c r="V9" s="4" t="str">
        <f ca="1">VLOOKUP($W9,OFFSET(enemy_skill_sets!$B$1,0,0,COUNTA(enemy_skill_sets!$B:$B),MATCH(M$1,enemy_skill_sets!$1:$1,0)-MATCH($W$1,enemy_skill_sets!$1:$1,0)+2),MATCH(M$1,enemy_skill_sets!$1:$1,0)-MATCH($W$1,enemy_skill_sets!$1:$1,0)+2,FALSE)</f>
        <v>何者かが グリフォンを吹き飛ばした！</v>
      </c>
      <c r="W9" s="61">
        <v>112191310</v>
      </c>
      <c r="X9" s="6">
        <v>0</v>
      </c>
      <c r="Y9" s="6">
        <v>25</v>
      </c>
      <c r="Z9" s="6">
        <v>2</v>
      </c>
      <c r="AA9" s="17">
        <f ca="1">VLOOKUP($L9,OFFSET([3]enemies!$A$1,0,0,COUNTA([3]enemies!$A:$A),MATCH(AA$1,[3]enemies!$1:$1,0)-MATCH($L$1,[3]enemies!$1:$1,0)+1),MATCH(AA$1,[3]enemies!$1:$1,0)-MATCH($L$1,[3]enemies!$1:$1,0)+1,FALSE)</f>
        <v>3</v>
      </c>
      <c r="AB9" s="89">
        <v>417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雷のミリオンダック 2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6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9" s="7">
        <v>1</v>
      </c>
      <c r="AG9" s="24">
        <f t="shared" ca="1" si="3"/>
        <v>6</v>
      </c>
      <c r="AH9" s="8">
        <v>100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6">
        <v>1</v>
      </c>
    </row>
    <row r="10" spans="1:40" ht="21" customHeight="1">
      <c r="A10" s="16" t="str">
        <f t="shared" ca="1" si="0"/>
        <v>11219_1-3/296&lt;lv1&gt;s2</v>
      </c>
      <c r="B10" s="22">
        <v>11219</v>
      </c>
      <c r="C10" s="21">
        <v>1</v>
      </c>
      <c r="D10" s="2" t="str">
        <f t="shared" si="1"/>
        <v>11219_1</v>
      </c>
      <c r="E10" s="4" t="str">
        <f ca="1">VLOOKUP($B10,OFFSET([2]quests!$A$1,0,0,COUNTA([2]quests!$A:$A),MATCH(E$1,[2]quests!$1:$1,0)-MATCH($B$1,[2]quests!$1:$1,0)+1),MATCH(E$1,[2]quests!$1:$1,0)-MATCH($B$1,[2]quests!$1:$1,0)+1,FALSE)</f>
        <v>200万DL記念★特別クエスト</v>
      </c>
      <c r="F10" s="4" t="str">
        <f ca="1">VLOOKUP($D10,OFFSET([2]stages!$A$1,0,0,COUNTA([2]stages!$A:$A),MATCH(F$1,[2]stages!$2:$2,0)-MATCH($D$1,[2]stages!$2:$2,0)+1),MATCH(F$1,[2]stages!$2:$2,0)-MATCH($D$1,[2]stages!$2:$2,0)+1,FALSE)</f>
        <v>ミリオンダックより愛を込めて 2</v>
      </c>
      <c r="G10" s="21">
        <v>3</v>
      </c>
      <c r="H10" s="15" t="str">
        <f t="shared" si="2"/>
        <v>11219_1-3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53</v>
      </c>
      <c r="L10" s="20">
        <v>296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アザゼル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PremiumS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god</v>
      </c>
      <c r="Q10" s="17">
        <f ca="1">VLOOKUP($L10,OFFSET([3]enemies!$A$1,0,0,COUNTA([3]enemies!$A:$A),MATCH(Q$1,[3]enemies!$1:$1,0)-MATCH($L$1,[3]enemies!$1:$1,0)+1),MATCH(Q$1,[3]enemies!$1:$1,0)-MATCH($L$1,[3]enemies!$1:$1,0)+1,FALSE)</f>
        <v>30</v>
      </c>
      <c r="R10" s="5">
        <v>1</v>
      </c>
      <c r="S10" s="25">
        <v>1</v>
      </c>
      <c r="T10" s="25">
        <v>1</v>
      </c>
      <c r="U10" s="5">
        <v>0</v>
      </c>
      <c r="V10" s="4" t="str">
        <f ca="1">VLOOKUP($W10,OFFSET(enemy_skill_sets!$B$1,0,0,COUNTA(enemy_skill_sets!$B:$B),MATCH(M$1,enemy_skill_sets!$1:$1,0)-MATCH($W$1,enemy_skill_sets!$1:$1,0)+2),MATCH(M$1,enemy_skill_sets!$1:$1,0)-MATCH($W$1,enemy_skill_sets!$1:$1,0)+2,FALSE)</f>
        <v>ハートの女王の手先_x000D_アザゼルが襲来した！</v>
      </c>
      <c r="W10" s="61">
        <v>112191300</v>
      </c>
      <c r="X10" s="6">
        <v>1</v>
      </c>
      <c r="Y10" s="6">
        <v>0</v>
      </c>
      <c r="Z10" s="6">
        <v>1</v>
      </c>
      <c r="AA10" s="17">
        <f ca="1">VLOOKUP($L10,OFFSET([3]enemies!$A$1,0,0,COUNTA([3]enemies!$A:$A),MATCH(AA$1,[3]enemies!$1:$1,0)-MATCH($L$1,[3]enemies!$1:$1,0)+1),MATCH(AA$1,[3]enemies!$1:$1,0)-MATCH($L$1,[3]enemies!$1:$1,0)+1,FALSE)</f>
        <v>2</v>
      </c>
      <c r="AB10" s="24">
        <f>L10</f>
        <v>296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アザゼル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4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0" s="7">
        <v>1</v>
      </c>
      <c r="AG10" s="24">
        <f t="shared" ca="1" si="3"/>
        <v>4</v>
      </c>
      <c r="AH10" s="8">
        <v>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66">
        <v>1</v>
      </c>
    </row>
    <row r="11" spans="1:40" ht="21" customHeight="1">
      <c r="A11" s="16" t="str">
        <f t="shared" ca="1" si="0"/>
        <v>11219_1-3/357&lt;lv1&gt;s3</v>
      </c>
      <c r="B11" s="22">
        <v>11219</v>
      </c>
      <c r="C11" s="21">
        <v>1</v>
      </c>
      <c r="D11" s="2" t="str">
        <f t="shared" si="1"/>
        <v>11219_1</v>
      </c>
      <c r="E11" s="4" t="str">
        <f ca="1">VLOOKUP($B11,OFFSET([2]quests!$A$1,0,0,COUNTA([2]quests!$A:$A),MATCH(E$1,[2]quests!$1:$1,0)-MATCH($B$1,[2]quests!$1:$1,0)+1),MATCH(E$1,[2]quests!$1:$1,0)-MATCH($B$1,[2]quests!$1:$1,0)+1,FALSE)</f>
        <v>200万DL記念★特別クエスト</v>
      </c>
      <c r="F11" s="4" t="str">
        <f ca="1">VLOOKUP($D11,OFFSET([2]stages!$A$1,0,0,COUNTA([2]stages!$A:$A),MATCH(F$1,[2]stages!$2:$2,0)-MATCH($D$1,[2]stages!$2:$2,0)+1),MATCH(F$1,[2]stages!$2:$2,0)-MATCH($D$1,[2]stages!$2:$2,0)+1,FALSE)</f>
        <v>ミリオンダックより愛を込めて 2</v>
      </c>
      <c r="G11" s="21">
        <v>3</v>
      </c>
      <c r="H11" s="15" t="str">
        <f t="shared" si="2"/>
        <v>11219_1-3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 t="s">
        <v>53</v>
      </c>
      <c r="L11" s="20">
        <v>357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千風のグリフォン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Material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unknown</v>
      </c>
      <c r="Q11" s="17">
        <f ca="1">VLOOKUP($L11,OFFSET([3]enemies!$A$1,0,0,COUNTA([3]enemies!$A:$A),MATCH(Q$1,[3]enemies!$1:$1,0)-MATCH($L$1,[3]enemies!$1:$1,0)+1),MATCH(Q$1,[3]enemies!$1:$1,0)-MATCH($L$1,[3]enemies!$1:$1,0)+1,FALSE)</f>
        <v>15</v>
      </c>
      <c r="R11" s="5">
        <v>1</v>
      </c>
      <c r="S11" s="25">
        <v>3</v>
      </c>
      <c r="T11" s="25">
        <v>1</v>
      </c>
      <c r="U11" s="5">
        <v>0</v>
      </c>
      <c r="V11" s="4" t="e">
        <f ca="1">VLOOKUP($W11,OFFSET(enemy_skill_sets!$B$1,0,0,COUNTA(enemy_skill_sets!$B:$B),MATCH(M$1,enemy_skill_sets!$1:$1,0)-MATCH($W$1,enemy_skill_sets!$1:$1,0)+2),MATCH(M$1,enemy_skill_sets!$1:$1,0)-MATCH($W$1,enemy_skill_sets!$1:$1,0)+2,FALSE)</f>
        <v>#N/A</v>
      </c>
      <c r="W11" s="61">
        <v>0</v>
      </c>
      <c r="X11" s="6">
        <v>1</v>
      </c>
      <c r="Y11" s="6">
        <v>0</v>
      </c>
      <c r="Z11" s="6">
        <v>0</v>
      </c>
      <c r="AA11" s="17">
        <f ca="1">VLOOKUP($L11,OFFSET([3]enemies!$A$1,0,0,COUNTA([3]enemies!$A:$A),MATCH(AA$1,[3]enemies!$1:$1,0)-MATCH($L$1,[3]enemies!$1:$1,0)+1),MATCH(AA$1,[3]enemies!$1:$1,0)-MATCH($L$1,[3]enemies!$1:$1,0)+1,FALSE)</f>
        <v>3</v>
      </c>
      <c r="AB11" s="24">
        <f>L11</f>
        <v>357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千風のグリフォン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5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1" s="7">
        <v>1</v>
      </c>
      <c r="AG11" s="24">
        <f t="shared" ca="1" si="3"/>
        <v>5</v>
      </c>
      <c r="AH11" s="8">
        <v>0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  <c r="AN11" s="66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5"/>
  <sheetViews>
    <sheetView showGridLines="0" tabSelected="1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X2" sqref="X2:X5"/>
    </sheetView>
  </sheetViews>
  <sheetFormatPr baseColWidth="12" defaultColWidth="13" defaultRowHeight="21" customHeight="1" outlineLevelCol="1" x14ac:dyDescent="0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.5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129</v>
      </c>
      <c r="X1" s="29" t="s">
        <v>128</v>
      </c>
      <c r="Y1" s="28" t="s">
        <v>8</v>
      </c>
    </row>
    <row r="2" spans="1:25" ht="21" customHeight="1">
      <c r="A2" s="16" t="str">
        <f>B2&amp;"_"&amp;C2&amp;"-"&amp;G2&amp;"/"&amp;M2&amp;"&lt;lv"&amp;S2&amp;"&gt;sq"&amp;K2&amp;"st"&amp;L2</f>
        <v>11219_1-3/414&lt;lv1&gt;sq1st2</v>
      </c>
      <c r="B2" s="22">
        <v>11219</v>
      </c>
      <c r="C2" s="21">
        <v>1</v>
      </c>
      <c r="D2" s="2" t="str">
        <f>B2&amp;"_"&amp;C2</f>
        <v>11219_1</v>
      </c>
      <c r="E2" s="4" t="str">
        <f ca="1">VLOOKUP($B2,OFFSET([2]quests!$A$1,0,0,COUNTA([2]quests!$A:$A),MATCH(E$1,[2]quests!$1:$1,0)-MATCH($B$1,[2]quests!$1:$1,0)+1),MATCH(E$1,[2]quests!$1:$1,0)-MATCH($B$1,[2]quests!$1:$1,0)+1,FALSE)</f>
        <v>200万DL記念★特別クエスト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ミリオンダックより愛を込めて 2</v>
      </c>
      <c r="G2" s="21">
        <v>3</v>
      </c>
      <c r="H2" s="15" t="str">
        <f>B2&amp;"_"&amp;C2&amp;"-"&amp;G2</f>
        <v>11219_1-3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414</v>
      </c>
      <c r="N2" s="17" t="str">
        <f ca="1">VLOOKUP($M2,OFFSET([3]enemies!$A$1,0,0,COUNTA([3]enemies!$A:$A),MATCH(N$1,[3]enemies!$1:$1,0)-MATCH($M$1,[3]enemies!$1:$1,0)+1),MATCH(N$1,[3]enemies!$1:$1,0)-MATCH($M$1,[3]enemies!$1:$1,0)+1,FALSE)</f>
        <v>炎のミリオンダック 2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Material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20</v>
      </c>
      <c r="S2" s="5">
        <v>1</v>
      </c>
      <c r="T2" s="25">
        <v>0.8</v>
      </c>
      <c r="U2" s="25">
        <v>1</v>
      </c>
      <c r="V2" s="5">
        <v>65355</v>
      </c>
      <c r="W2" s="4" t="str">
        <f ca="1">VLOOKUP($X2,OFFSET(enemy_skill_sets!$B$1,0,0,COUNTA(enemy_skill_sets!$B:$B),MATCH(N$1,enemy_skill_sets!$1:$1,0)-MATCH($X$1,enemy_skill_sets!$1:$1,0)+2),MATCH(N$1,enemy_skill_sets!$1:$1,0)-MATCH($X$1,enemy_skill_sets!$1:$1,0)+2,FALSE)</f>
        <v>ミリオンダックが 助けに来た！</v>
      </c>
      <c r="X2" s="47">
        <v>112191320</v>
      </c>
      <c r="Y2" s="67">
        <f ca="1">VLOOKUP($M2,OFFSET([3]enemies!$A$1,0,0,COUNTA([3]enemies!$A:$A),MATCH(Y$1,[3]enemies!$1:$1,0)-MATCH($M$1,[3]enemies!$1:$1,0)+1),MATCH(Y$1,[3]enemies!$1:$1,0)-MATCH($M$1,[3]enemies!$1:$1,0)+1,FALSE)</f>
        <v>3</v>
      </c>
    </row>
    <row r="3" spans="1:25" ht="21" customHeight="1">
      <c r="A3" s="16" t="str">
        <f>B3&amp;"_"&amp;C3&amp;"-"&amp;G3&amp;"/"&amp;M3&amp;"&lt;lv"&amp;S3&amp;"&gt;sq"&amp;K3&amp;"st"&amp;L3</f>
        <v>11219_1-3/415&lt;lv1&gt;sq2st2</v>
      </c>
      <c r="B3" s="22">
        <v>11219</v>
      </c>
      <c r="C3" s="21">
        <v>1</v>
      </c>
      <c r="D3" s="2" t="str">
        <f>B3&amp;"_"&amp;C3</f>
        <v>11219_1</v>
      </c>
      <c r="E3" s="4" t="str">
        <f ca="1">VLOOKUP($B3,OFFSET([2]quests!$A$1,0,0,COUNTA([2]quests!$A:$A),MATCH(E$1,[2]quests!$1:$1,0)-MATCH($B$1,[2]quests!$1:$1,0)+1),MATCH(E$1,[2]quests!$1:$1,0)-MATCH($B$1,[2]quests!$1:$1,0)+1,FALSE)</f>
        <v>200万DL記念★特別クエスト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ミリオンダックより愛を込めて 2</v>
      </c>
      <c r="G3" s="21">
        <v>3</v>
      </c>
      <c r="H3" s="15" t="str">
        <f>B3&amp;"_"&amp;C3&amp;"-"&amp;G3</f>
        <v>11219_1-3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415</v>
      </c>
      <c r="N3" s="17" t="str">
        <f ca="1">VLOOKUP($M3,OFFSET([3]enemies!$A$1,0,0,COUNTA([3]enemies!$A:$A),MATCH(N$1,[3]enemies!$1:$1,0)-MATCH($M$1,[3]enemies!$1:$1,0)+1),MATCH(N$1,[3]enemies!$1:$1,0)-MATCH($M$1,[3]enemies!$1:$1,0)+1,FALSE)</f>
        <v>森のミリオンダック 2</v>
      </c>
      <c r="O3" s="17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Material</v>
      </c>
      <c r="Q3" s="17" t="str">
        <f ca="1">VLOOKUP($M3,OFFSET([3]enemies!$A$1,0,0,COUNTA([3]enemies!$A:$A),MATCH(Q$1,[3]enemies!$1:$1,0)-MATCH($M$1,[3]enemies!$1:$1,0)+1),MATCH(Q$1,[3]enemies!$1:$1,0)-MATCH($M$1,[3]enemies!$1:$1,0)+1,FALSE)</f>
        <v>unknown</v>
      </c>
      <c r="R3" s="17">
        <f ca="1">VLOOKUP($M3,OFFSET([3]enemies!$A$1,0,0,COUNTA([3]enemies!$A:$A),MATCH(R$1,[3]enemies!$1:$1,0)-MATCH($M$1,[3]enemies!$1:$1,0)+1),MATCH(R$1,[3]enemies!$1:$1,0)-MATCH($M$1,[3]enemies!$1:$1,0)+1,FALSE)</f>
        <v>20</v>
      </c>
      <c r="S3" s="5">
        <v>1</v>
      </c>
      <c r="T3" s="25">
        <v>0.8</v>
      </c>
      <c r="U3" s="25">
        <v>1</v>
      </c>
      <c r="V3" s="5">
        <v>65355</v>
      </c>
      <c r="W3" s="4" t="str">
        <f ca="1">VLOOKUP($X3,OFFSET(enemy_skill_sets!$B$1,0,0,COUNTA(enemy_skill_sets!$B:$B),MATCH(N$1,enemy_skill_sets!$1:$1,0)-MATCH($X$1,enemy_skill_sets!$1:$1,0)+2),MATCH(N$1,enemy_skill_sets!$1:$1,0)-MATCH($X$1,enemy_skill_sets!$1:$1,0)+2,FALSE)</f>
        <v>ミリオンダックが 助けに来た！</v>
      </c>
      <c r="X3" s="47">
        <v>112191320</v>
      </c>
      <c r="Y3" s="67">
        <f ca="1">VLOOKUP($M3,OFFSET([3]enemies!$A$1,0,0,COUNTA([3]enemies!$A:$A),MATCH(Y$1,[3]enemies!$1:$1,0)-MATCH($M$1,[3]enemies!$1:$1,0)+1),MATCH(Y$1,[3]enemies!$1:$1,0)-MATCH($M$1,[3]enemies!$1:$1,0)+1,FALSE)</f>
        <v>3</v>
      </c>
    </row>
    <row r="4" spans="1:25" ht="21" customHeight="1">
      <c r="A4" s="16" t="str">
        <f>B4&amp;"_"&amp;C4&amp;"-"&amp;G4&amp;"/"&amp;M4&amp;"&lt;lv"&amp;S4&amp;"&gt;sq"&amp;K4&amp;"st"&amp;L4</f>
        <v>11219_1-3/416&lt;lv1&gt;sq3st2</v>
      </c>
      <c r="B4" s="22">
        <v>11219</v>
      </c>
      <c r="C4" s="21">
        <v>1</v>
      </c>
      <c r="D4" s="2" t="str">
        <f>B4&amp;"_"&amp;C4</f>
        <v>11219_1</v>
      </c>
      <c r="E4" s="4" t="str">
        <f ca="1">VLOOKUP($B4,OFFSET([2]quests!$A$1,0,0,COUNTA([2]quests!$A:$A),MATCH(E$1,[2]quests!$1:$1,0)-MATCH($B$1,[2]quests!$1:$1,0)+1),MATCH(E$1,[2]quests!$1:$1,0)-MATCH($B$1,[2]quests!$1:$1,0)+1,FALSE)</f>
        <v>200万DL記念★特別クエスト</v>
      </c>
      <c r="F4" s="4" t="str">
        <f ca="1">VLOOKUP($D4,OFFSET([2]stages!$A$1,0,0,COUNTA([2]stages!$A:$A),MATCH(F$1,[2]stages!$2:$2,0)-MATCH($D$1,[2]stages!$2:$2,0)+1),MATCH(F$1,[2]stages!$2:$2,0)-MATCH($D$1,[2]stages!$2:$2,0)+1,FALSE)</f>
        <v>ミリオンダックより愛を込めて 2</v>
      </c>
      <c r="G4" s="21">
        <v>3</v>
      </c>
      <c r="H4" s="15" t="str">
        <f>B4&amp;"_"&amp;C4&amp;"-"&amp;G4</f>
        <v>11219_1-3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3</v>
      </c>
      <c r="L4" s="38">
        <v>2</v>
      </c>
      <c r="M4" s="20">
        <v>416</v>
      </c>
      <c r="N4" s="17" t="str">
        <f ca="1">VLOOKUP($M4,OFFSET([3]enemies!$A$1,0,0,COUNTA([3]enemies!$A:$A),MATCH(N$1,[3]enemies!$1:$1,0)-MATCH($M$1,[3]enemies!$1:$1,0)+1),MATCH(N$1,[3]enemies!$1:$1,0)-MATCH($M$1,[3]enemies!$1:$1,0)+1,FALSE)</f>
        <v>水のミリオンダック 2</v>
      </c>
      <c r="O4" s="17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Material</v>
      </c>
      <c r="Q4" s="17" t="str">
        <f ca="1">VLOOKUP($M4,OFFSET([3]enemies!$A$1,0,0,COUNTA([3]enemies!$A:$A),MATCH(Q$1,[3]enemies!$1:$1,0)-MATCH($M$1,[3]enemies!$1:$1,0)+1),MATCH(Q$1,[3]enemies!$1:$1,0)-MATCH($M$1,[3]enemies!$1:$1,0)+1,FALSE)</f>
        <v>unknown</v>
      </c>
      <c r="R4" s="17">
        <f ca="1">VLOOKUP($M4,OFFSET([3]enemies!$A$1,0,0,COUNTA([3]enemies!$A:$A),MATCH(R$1,[3]enemies!$1:$1,0)-MATCH($M$1,[3]enemies!$1:$1,0)+1),MATCH(R$1,[3]enemies!$1:$1,0)-MATCH($M$1,[3]enemies!$1:$1,0)+1,FALSE)</f>
        <v>20</v>
      </c>
      <c r="S4" s="5">
        <v>1</v>
      </c>
      <c r="T4" s="25">
        <v>0.8</v>
      </c>
      <c r="U4" s="25">
        <v>1</v>
      </c>
      <c r="V4" s="5">
        <v>65355</v>
      </c>
      <c r="W4" s="4" t="str">
        <f ca="1">VLOOKUP($X4,OFFSET(enemy_skill_sets!$B$1,0,0,COUNTA(enemy_skill_sets!$B:$B),MATCH(N$1,enemy_skill_sets!$1:$1,0)-MATCH($X$1,enemy_skill_sets!$1:$1,0)+2),MATCH(N$1,enemy_skill_sets!$1:$1,0)-MATCH($X$1,enemy_skill_sets!$1:$1,0)+2,FALSE)</f>
        <v>ミリオンダックが 助けに来た！</v>
      </c>
      <c r="X4" s="47">
        <v>112191320</v>
      </c>
      <c r="Y4" s="67">
        <f ca="1">VLOOKUP($M4,OFFSET([3]enemies!$A$1,0,0,COUNTA([3]enemies!$A:$A),MATCH(Y$1,[3]enemies!$1:$1,0)-MATCH($M$1,[3]enemies!$1:$1,0)+1),MATCH(Y$1,[3]enemies!$1:$1,0)-MATCH($M$1,[3]enemies!$1:$1,0)+1,FALSE)</f>
        <v>3</v>
      </c>
    </row>
    <row r="5" spans="1:25" ht="21" customHeight="1">
      <c r="A5" s="16" t="str">
        <f>B5&amp;"_"&amp;C5&amp;"-"&amp;G5&amp;"/"&amp;M5&amp;"&lt;lv"&amp;S5&amp;"&gt;sq"&amp;K5&amp;"st"&amp;L5</f>
        <v>11219_1-3/417&lt;lv1&gt;sq4st2</v>
      </c>
      <c r="B5" s="22">
        <v>11219</v>
      </c>
      <c r="C5" s="21">
        <v>1</v>
      </c>
      <c r="D5" s="2" t="str">
        <f>B5&amp;"_"&amp;C5</f>
        <v>11219_1</v>
      </c>
      <c r="E5" s="4" t="str">
        <f ca="1">VLOOKUP($B5,OFFSET([2]quests!$A$1,0,0,COUNTA([2]quests!$A:$A),MATCH(E$1,[2]quests!$1:$1,0)-MATCH($B$1,[2]quests!$1:$1,0)+1),MATCH(E$1,[2]quests!$1:$1,0)-MATCH($B$1,[2]quests!$1:$1,0)+1,FALSE)</f>
        <v>200万DL記念★特別クエスト</v>
      </c>
      <c r="F5" s="4" t="str">
        <f ca="1">VLOOKUP($D5,OFFSET([2]stages!$A$1,0,0,COUNTA([2]stages!$A:$A),MATCH(F$1,[2]stages!$2:$2,0)-MATCH($D$1,[2]stages!$2:$2,0)+1),MATCH(F$1,[2]stages!$2:$2,0)-MATCH($D$1,[2]stages!$2:$2,0)+1,FALSE)</f>
        <v>ミリオンダックより愛を込めて 2</v>
      </c>
      <c r="G5" s="21">
        <v>3</v>
      </c>
      <c r="H5" s="15" t="str">
        <f>B5&amp;"_"&amp;C5&amp;"-"&amp;G5</f>
        <v>11219_1-3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4</v>
      </c>
      <c r="L5" s="38">
        <v>2</v>
      </c>
      <c r="M5" s="20">
        <v>417</v>
      </c>
      <c r="N5" s="17" t="str">
        <f ca="1">VLOOKUP($M5,OFFSET([3]enemies!$A$1,0,0,COUNTA([3]enemies!$A:$A),MATCH(N$1,[3]enemies!$1:$1,0)-MATCH($M$1,[3]enemies!$1:$1,0)+1),MATCH(N$1,[3]enemies!$1:$1,0)-MATCH($M$1,[3]enemies!$1:$1,0)+1,FALSE)</f>
        <v>雷のミリオンダック 2</v>
      </c>
      <c r="O5" s="17" t="str">
        <f ca="1">VLOOKUP($M5,OFFSET([3]enemies!$A$1,0,0,COUNTA([3]enemies!$A:$A),MATCH(O$1,[3]enemies!$1:$1,0)-MATCH($M$1,[3]enemies!$1:$1,0)+1),MATCH(O$1,[3]enemies!$1:$1,0)-MATCH($M$1,[3]enemies!$1:$1,0)+1,FALSE)</f>
        <v>yellow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Material</v>
      </c>
      <c r="Q5" s="17" t="str">
        <f ca="1">VLOOKUP($M5,OFFSET([3]enemies!$A$1,0,0,COUNTA([3]enemies!$A:$A),MATCH(Q$1,[3]enemies!$1:$1,0)-MATCH($M$1,[3]enemies!$1:$1,0)+1),MATCH(Q$1,[3]enemies!$1:$1,0)-MATCH($M$1,[3]enemies!$1:$1,0)+1,FALSE)</f>
        <v>unknown</v>
      </c>
      <c r="R5" s="17">
        <f ca="1">VLOOKUP($M5,OFFSET([3]enemies!$A$1,0,0,COUNTA([3]enemies!$A:$A),MATCH(R$1,[3]enemies!$1:$1,0)-MATCH($M$1,[3]enemies!$1:$1,0)+1),MATCH(R$1,[3]enemies!$1:$1,0)-MATCH($M$1,[3]enemies!$1:$1,0)+1,FALSE)</f>
        <v>20</v>
      </c>
      <c r="S5" s="5">
        <v>1</v>
      </c>
      <c r="T5" s="25">
        <v>0.8</v>
      </c>
      <c r="U5" s="25">
        <v>1</v>
      </c>
      <c r="V5" s="5">
        <v>65355</v>
      </c>
      <c r="W5" s="4" t="str">
        <f ca="1">VLOOKUP($X5,OFFSET(enemy_skill_sets!$B$1,0,0,COUNTA(enemy_skill_sets!$B:$B),MATCH(N$1,enemy_skill_sets!$1:$1,0)-MATCH($X$1,enemy_skill_sets!$1:$1,0)+2),MATCH(N$1,enemy_skill_sets!$1:$1,0)-MATCH($X$1,enemy_skill_sets!$1:$1,0)+2,FALSE)</f>
        <v>ミリオンダックが 助けに来た！</v>
      </c>
      <c r="X5" s="47">
        <v>112191320</v>
      </c>
      <c r="Y5" s="67">
        <f ca="1">VLOOKUP($M5,OFFSET([3]enemies!$A$1,0,0,COUNTA([3]enemies!$A:$A),MATCH(Y$1,[3]enemies!$1:$1,0)-MATCH($M$1,[3]enemies!$1:$1,0)+1),MATCH(Y$1,[3]enemies!$1:$1,0)-MATCH($M$1,[3]enemies!$1:$1,0)+1,FALSE)</f>
        <v>3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9"/>
  <sheetViews>
    <sheetView showGridLines="0" zoomScale="75" zoomScaleNormal="75" zoomScalePageLayoutView="75" workbookViewId="0">
      <pane xSplit="5" ySplit="1" topLeftCell="F14" activePane="bottomRight" state="frozen"/>
      <selection pane="topRight"/>
      <selection pane="bottomLeft"/>
      <selection pane="bottomRight" activeCell="B25" sqref="B25"/>
    </sheetView>
  </sheetViews>
  <sheetFormatPr baseColWidth="12" defaultColWidth="12.83203125" defaultRowHeight="21" customHeight="1" outlineLevelCol="1" x14ac:dyDescent="0"/>
  <cols>
    <col min="1" max="1" width="11.33203125" style="39" bestFit="1" customWidth="1"/>
    <col min="2" max="2" width="10.5" style="49" bestFit="1" customWidth="1"/>
    <col min="3" max="3" width="13.1640625" style="49" customWidth="1"/>
    <col min="4" max="4" width="31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215</v>
      </c>
    </row>
    <row r="2" spans="1:18" ht="21" customHeight="1">
      <c r="A2" s="39" t="str">
        <f t="shared" ref="A2" si="0">B2&amp;"_"&amp;C2</f>
        <v>112191100_112191100</v>
      </c>
      <c r="B2" s="47">
        <v>112191100</v>
      </c>
      <c r="C2" s="47">
        <v>112191100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200万ダウンロード ありがとうグヮッ！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ミリオンダックが あらわれた！</v>
      </c>
      <c r="F2" s="47">
        <v>112190000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2" s="47"/>
      <c r="Q2" s="47"/>
      <c r="R2" s="47" t="s">
        <v>211</v>
      </c>
    </row>
    <row r="3" spans="1:18" ht="21" customHeight="1">
      <c r="A3" s="39" t="str">
        <f t="shared" ref="A3:A6" si="1">B3&amp;"_"&amp;C3</f>
        <v>112191100_112191101</v>
      </c>
      <c r="B3" s="47">
        <v>112191100</v>
      </c>
      <c r="C3" s="47">
        <v>112191101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これも みんなのおかげだグヮ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ミリオンダックは 感謝している</v>
      </c>
      <c r="F3" s="47">
        <v>112190001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100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 t="s">
        <v>214</v>
      </c>
    </row>
    <row r="4" spans="1:18" ht="21" customHeight="1">
      <c r="A4" s="39" t="str">
        <f t="shared" ref="A4" si="2">B4&amp;"_"&amp;C4</f>
        <v>112191100_112191102</v>
      </c>
      <c r="B4" s="47">
        <v>112191100</v>
      </c>
      <c r="C4" s="47">
        <v>112191102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イテテ！ これも みんなのおかげだグヮ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痛がりながらも 感謝している</v>
      </c>
      <c r="F4" s="47">
        <v>112190002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99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 t="s">
        <v>214</v>
      </c>
    </row>
    <row r="5" spans="1:18" ht="21" customHeight="1">
      <c r="A5" s="39" t="str">
        <f t="shared" ref="A5" si="3">B5&amp;"_"&amp;C5</f>
        <v>112191100_112191103</v>
      </c>
      <c r="B5" s="47">
        <v>112191100</v>
      </c>
      <c r="C5" s="47">
        <v>112191103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でも、タダじゃつかまらないグヮ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逃げるミリオンダックを 追いかけよう！</v>
      </c>
      <c r="F5" s="47">
        <v>112190003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 t="s">
        <v>212</v>
      </c>
    </row>
    <row r="6" spans="1:18" ht="21" customHeight="1">
      <c r="A6" s="39" t="str">
        <f t="shared" si="1"/>
        <v>112191200_112191200</v>
      </c>
      <c r="B6" s="47">
        <v>112191200</v>
      </c>
      <c r="C6" s="47">
        <v>112191200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200万ダウンロード_x000D_うれしいぜ！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ALICEの世界は お祭り騒ぎだ！</v>
      </c>
      <c r="F6" s="47">
        <v>112190000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6" s="47"/>
      <c r="Q6" s="47"/>
      <c r="R6" s="47" t="s">
        <v>211</v>
      </c>
    </row>
    <row r="7" spans="1:18" ht="21" customHeight="1">
      <c r="A7" s="39" t="str">
        <f t="shared" ref="A7:A10" si="4">B7&amp;"_"&amp;C7</f>
        <v>112191200_112191201</v>
      </c>
      <c r="B7" s="47">
        <v>112191200</v>
      </c>
      <c r="C7" s="47">
        <v>112191201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ミリオンダックは_x000D_俺のもんだぜ！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ライバルユニットを 先に倒そう！</v>
      </c>
      <c r="F7" s="47">
        <v>112190003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 t="s">
        <v>212</v>
      </c>
    </row>
    <row r="8" spans="1:18" ht="21" customHeight="1">
      <c r="A8" s="39" t="str">
        <f t="shared" si="4"/>
        <v>112191210_112191210</v>
      </c>
      <c r="B8" s="47">
        <v>112191210</v>
      </c>
      <c r="C8" s="47">
        <v>112191210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ミリオンダックは_x000D_いただきニャ！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みんなが ミリオンダックを 狙っている！</v>
      </c>
      <c r="F8" s="47">
        <v>112190000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8" s="47"/>
      <c r="Q8" s="47"/>
      <c r="R8" s="47" t="s">
        <v>211</v>
      </c>
    </row>
    <row r="9" spans="1:18" ht="21" customHeight="1">
      <c r="A9" s="39" t="str">
        <f t="shared" si="4"/>
        <v>112191210_112191211</v>
      </c>
      <c r="B9" s="47">
        <v>112191210</v>
      </c>
      <c r="C9" s="47">
        <v>112191211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ミリオンダックは_x000D_渡さないニャ！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ライバルユニットを 先に倒そう！</v>
      </c>
      <c r="F9" s="47">
        <v>112190003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 t="s">
        <v>212</v>
      </c>
    </row>
    <row r="10" spans="1:18" ht="21" customHeight="1">
      <c r="A10" s="39" t="str">
        <f t="shared" si="4"/>
        <v>112191220_112191220</v>
      </c>
      <c r="B10" s="47">
        <v>112191220</v>
      </c>
      <c r="C10" s="47">
        <v>112191220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ここまでおいで グヮ！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逃げるミリオンダックを 追いかけよう！</v>
      </c>
      <c r="F10" s="47">
        <v>112191220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13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 t="s">
        <v>210</v>
      </c>
    </row>
    <row r="11" spans="1:18" ht="21" customHeight="1">
      <c r="A11" s="39" t="str">
        <f t="shared" ref="A11:A21" si="5">B11&amp;"_"&amp;C11</f>
        <v>112191220_112191221</v>
      </c>
      <c r="B11" s="47">
        <v>112191220</v>
      </c>
      <c r="C11" s="47">
        <v>112191221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ここまでおいで グヮ！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逃げるミリオンダックを 追いかけよう！</v>
      </c>
      <c r="F11" s="47">
        <v>112191221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49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 t="s">
        <v>209</v>
      </c>
    </row>
    <row r="12" spans="1:18" ht="21" customHeight="1">
      <c r="A12" s="39" t="str">
        <f t="shared" ref="A12" si="6">B12&amp;"_"&amp;C12</f>
        <v>112191220_112191222</v>
      </c>
      <c r="B12" s="47">
        <v>112191220</v>
      </c>
      <c r="C12" s="47">
        <v>112191222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つかまえたいなら_x000D_ライバルを減らすグヮ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左右のユニットを タップして狙おう！</v>
      </c>
      <c r="F12" s="47">
        <v>112191222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 t="s">
        <v>212</v>
      </c>
    </row>
    <row r="13" spans="1:18" ht="21" customHeight="1">
      <c r="A13" s="39" t="str">
        <f t="shared" si="5"/>
        <v>112191300_112191300</v>
      </c>
      <c r="B13" s="47">
        <v>112191300</v>
      </c>
      <c r="C13" s="47">
        <v>112191300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浮かれるな…家畜ども！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ハートの女王の手先_x000D_アザゼルが襲来した！</v>
      </c>
      <c r="F13" s="47">
        <v>112191300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13" s="47"/>
      <c r="Q13" s="47"/>
      <c r="R13" s="47" t="s">
        <v>211</v>
      </c>
    </row>
    <row r="14" spans="1:18" ht="21" customHeight="1">
      <c r="A14" s="39" t="str">
        <f t="shared" si="5"/>
        <v>112191300_112191301</v>
      </c>
      <c r="B14" s="47">
        <v>112191300</v>
      </c>
      <c r="C14" s="47">
        <v>112191301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こざかしい力、封じてやったわ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ハッキングで あらゆる機能が狂っている！</v>
      </c>
      <c r="F14" s="47">
        <v>112191301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 t="s">
        <v>214</v>
      </c>
    </row>
    <row r="15" spans="1:18" ht="21" customHeight="1">
      <c r="A15" s="39" t="str">
        <f t="shared" si="5"/>
        <v>112191300_112191302</v>
      </c>
      <c r="B15" s="47">
        <v>112191300</v>
      </c>
      <c r="C15" s="47">
        <v>112191302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かわりに、その玉で遊ぶがいい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時限式ダメージパネルが カウントダウン！</v>
      </c>
      <c r="F15" s="47">
        <v>112191302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 t="s">
        <v>214</v>
      </c>
    </row>
    <row r="16" spans="1:18" ht="21" customHeight="1">
      <c r="A16" s="39" t="str">
        <f t="shared" ref="A16" si="7">B16&amp;"_"&amp;C16</f>
        <v>112191300_112191303</v>
      </c>
      <c r="B16" s="47">
        <v>112191300</v>
      </c>
      <c r="C16" s="47">
        <v>112191303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かかれ！我が下僕たちよ！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グリフォンたちに 号令をかけた！</v>
      </c>
      <c r="F16" s="47">
        <v>112191303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 t="s">
        <v>214</v>
      </c>
    </row>
    <row r="17" spans="1:18" ht="21" customHeight="1">
      <c r="A17" s="39" t="str">
        <f t="shared" si="5"/>
        <v>112191300_112191304</v>
      </c>
      <c r="B17" s="47">
        <v>112191300</v>
      </c>
      <c r="C17" s="47">
        <v>112191304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…何をする気だ？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アザゼルをタップして 狙おう！</v>
      </c>
      <c r="F17" s="47">
        <v>112191304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7" s="48">
        <v>6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 t="s">
        <v>271</v>
      </c>
    </row>
    <row r="18" spans="1:18" ht="21" customHeight="1">
      <c r="A18" s="39" t="str">
        <f t="shared" si="5"/>
        <v>112191300_112191306</v>
      </c>
      <c r="B18" s="47">
        <v>112191300</v>
      </c>
      <c r="C18" s="47">
        <v>112191306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くっ…家畜ごときに 不覚を取るとは…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アザゼルを倒す 絶好のチャンスだ！</v>
      </c>
      <c r="F18" s="47">
        <v>112191306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 t="s">
        <v>272</v>
      </c>
    </row>
    <row r="19" spans="1:18" ht="21" customHeight="1">
      <c r="A19" s="39" t="str">
        <f t="shared" ref="A19:A20" si="8">B19&amp;"_"&amp;C19</f>
        <v>112191300_112191307</v>
      </c>
      <c r="B19" s="47">
        <v>112191300</v>
      </c>
      <c r="C19" s="47">
        <v>112191307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…味方を 手にかけるとは…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次のターン 必殺の大ダメージ攻撃！</v>
      </c>
      <c r="F19" s="47">
        <v>112191414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414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 t="s">
        <v>231</v>
      </c>
    </row>
    <row r="20" spans="1:18" ht="21" customHeight="1">
      <c r="A20" s="39" t="str">
        <f t="shared" si="8"/>
        <v>112191300_112191307</v>
      </c>
      <c r="B20" s="47">
        <v>112191300</v>
      </c>
      <c r="C20" s="47">
        <v>112191307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…味方を 手にかけるとは…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次のターン 必殺の大ダメージ攻撃！</v>
      </c>
      <c r="F20" s="47">
        <v>112191415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415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 t="s">
        <v>257</v>
      </c>
    </row>
    <row r="21" spans="1:18" ht="21" customHeight="1">
      <c r="A21" s="39" t="str">
        <f t="shared" si="5"/>
        <v>112191300_112191307</v>
      </c>
      <c r="B21" s="47">
        <v>112191300</v>
      </c>
      <c r="C21" s="47">
        <v>112191307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…味方を 手にかけるとは…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次のターン 必殺の大ダメージ攻撃！</v>
      </c>
      <c r="F21" s="47">
        <v>112191416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416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 t="s">
        <v>258</v>
      </c>
    </row>
    <row r="22" spans="1:18" ht="21" customHeight="1">
      <c r="A22" s="39" t="str">
        <f t="shared" ref="A22:A27" si="9">B22&amp;"_"&amp;C22</f>
        <v>112191300_112191307</v>
      </c>
      <c r="B22" s="47">
        <v>112191300</v>
      </c>
      <c r="C22" s="47">
        <v>112191307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…味方を 手にかけるとは…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次のターン 必殺の大ダメージ攻撃！</v>
      </c>
      <c r="F22" s="47">
        <v>112191417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417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 t="s">
        <v>259</v>
      </c>
    </row>
    <row r="23" spans="1:18" ht="21" customHeight="1">
      <c r="A23" s="39" t="str">
        <f t="shared" si="9"/>
        <v>112191300_112191308</v>
      </c>
      <c r="B23" s="47">
        <v>112191300</v>
      </c>
      <c r="C23" s="47">
        <v>112191308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あの世で 悔いるがいい！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痛恨の一撃！</v>
      </c>
      <c r="F23" s="47">
        <v>112191308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 t="s">
        <v>251</v>
      </c>
    </row>
    <row r="24" spans="1:18" ht="21" customHeight="1">
      <c r="A24" s="39" t="str">
        <f t="shared" si="9"/>
        <v>112191310_112191310</v>
      </c>
      <c r="B24" s="47">
        <v>112191310</v>
      </c>
      <c r="C24" s="47">
        <v>112191310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クェーッ！？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何者かが グリフォンを吹き飛ばした！</v>
      </c>
      <c r="F24" s="47">
        <v>112191310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 t="s">
        <v>213</v>
      </c>
    </row>
    <row r="25" spans="1:18" ht="21" customHeight="1">
      <c r="A25" s="39" t="str">
        <f t="shared" si="9"/>
        <v>112191320_112191320</v>
      </c>
      <c r="B25" s="47">
        <v>112191320</v>
      </c>
      <c r="C25" s="47">
        <v>112191320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大丈夫グヮ！？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ミリオンダックが 助けに来た！</v>
      </c>
      <c r="F25" s="47">
        <v>112191320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25" s="47"/>
      <c r="Q25" s="47"/>
      <c r="R25" s="47" t="s">
        <v>211</v>
      </c>
    </row>
    <row r="26" spans="1:18" ht="21" customHeight="1">
      <c r="A26" s="39" t="str">
        <f t="shared" ref="A26" si="10">B26&amp;"_"&amp;C26</f>
        <v>112191320_112191321</v>
      </c>
      <c r="B26" s="47">
        <v>112191320</v>
      </c>
      <c r="C26" s="47">
        <v>112191321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ハッキングを_x000D_解除するグヮ！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ミリオンダックは ゴソゴソしている</v>
      </c>
      <c r="F26" s="47">
        <v>112191321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 t="s">
        <v>211</v>
      </c>
    </row>
    <row r="27" spans="1:18" ht="21" customHeight="1">
      <c r="A27" s="39" t="str">
        <f t="shared" si="9"/>
        <v>112191320_112191322</v>
      </c>
      <c r="B27" s="47">
        <v>112191320</v>
      </c>
      <c r="C27" s="47">
        <v>112191322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これで_x000D_攻撃できるグヮ！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攻撃力が 元に戻った！</v>
      </c>
      <c r="F27" s="47">
        <v>112191322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 t="s">
        <v>214</v>
      </c>
    </row>
    <row r="28" spans="1:18" ht="21" customHeight="1">
      <c r="A28" s="39" t="str">
        <f t="shared" ref="A28" si="11">B28&amp;"_"&amp;C28</f>
        <v>112191320_112191323</v>
      </c>
      <c r="B28" s="47">
        <v>112191320</v>
      </c>
      <c r="C28" s="47">
        <v>112191323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ALICEの平和…_x000D_頼んだグヮ…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ミリオンダックは 最後の力を振り絞った…</v>
      </c>
      <c r="F28" s="47">
        <v>112191323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 t="s">
        <v>214</v>
      </c>
    </row>
    <row r="29" spans="1:18" ht="21" customHeight="1">
      <c r="A29" s="39" t="str">
        <f t="shared" ref="A29" si="12">B29&amp;"_"&amp;C29</f>
        <v>112191320_112191324</v>
      </c>
      <c r="B29" s="47">
        <v>112191320</v>
      </c>
      <c r="C29" s="47">
        <v>112191324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ALICEの平和…_x000D_頼んだグヮ…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ミリオンダックは力尽き 消えていった…</v>
      </c>
      <c r="F29" s="47">
        <v>112191324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296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 t="s">
        <v>240</v>
      </c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I30"/>
  <sheetViews>
    <sheetView showGridLines="0" zoomScale="75" zoomScaleNormal="75" zoomScalePageLayoutView="75" workbookViewId="0">
      <pane ySplit="1" topLeftCell="A12" activePane="bottomLeft" state="frozenSplit"/>
      <selection pane="bottomLeft" activeCell="F18" sqref="F18"/>
    </sheetView>
  </sheetViews>
  <sheetFormatPr baseColWidth="12" defaultColWidth="12.83203125" defaultRowHeight="21" customHeight="1" x14ac:dyDescent="0"/>
  <cols>
    <col min="1" max="1" width="12.83203125" style="49"/>
    <col min="2" max="2" width="67.1640625" style="49" customWidth="1"/>
    <col min="3" max="3" width="14" style="49" bestFit="1" customWidth="1"/>
    <col min="4" max="4" width="12.83203125" style="49"/>
    <col min="5" max="5" width="29.5" style="49" bestFit="1" customWidth="1"/>
    <col min="6" max="6" width="44.1640625" style="49" bestFit="1" customWidth="1"/>
    <col min="7" max="8" width="12.83203125" style="49"/>
    <col min="9" max="9" width="44.5" style="49" customWidth="1"/>
    <col min="10" max="16384" width="12.83203125" style="49"/>
  </cols>
  <sheetData>
    <row r="1" spans="1:9" ht="21" customHeight="1">
      <c r="A1" s="40" t="s">
        <v>79</v>
      </c>
      <c r="B1" s="40" t="s">
        <v>80</v>
      </c>
      <c r="C1" s="40" t="s">
        <v>81</v>
      </c>
      <c r="D1" s="40" t="s">
        <v>126</v>
      </c>
      <c r="E1" s="40" t="s">
        <v>82</v>
      </c>
      <c r="F1" s="40" t="s">
        <v>83</v>
      </c>
      <c r="G1" s="41" t="s">
        <v>76</v>
      </c>
      <c r="H1" s="41" t="s">
        <v>77</v>
      </c>
      <c r="I1" s="41" t="s">
        <v>78</v>
      </c>
    </row>
    <row r="2" spans="1:9" ht="21" customHeight="1">
      <c r="A2" s="47">
        <v>112191100</v>
      </c>
      <c r="B2" s="47" t="s">
        <v>230</v>
      </c>
      <c r="C2" s="50">
        <v>3</v>
      </c>
      <c r="D2" s="50" t="s">
        <v>127</v>
      </c>
      <c r="E2" s="51" t="s">
        <v>275</v>
      </c>
      <c r="F2" s="51" t="s">
        <v>184</v>
      </c>
      <c r="G2" s="50"/>
      <c r="H2" s="52"/>
      <c r="I2" s="50"/>
    </row>
    <row r="3" spans="1:9" ht="21" customHeight="1">
      <c r="A3" s="47">
        <v>112191101</v>
      </c>
      <c r="B3" s="47" t="s">
        <v>247</v>
      </c>
      <c r="C3" s="50">
        <v>3</v>
      </c>
      <c r="D3" s="50" t="s">
        <v>127</v>
      </c>
      <c r="E3" s="51" t="s">
        <v>248</v>
      </c>
      <c r="F3" s="51" t="s">
        <v>249</v>
      </c>
      <c r="G3" s="50"/>
      <c r="H3" s="52"/>
      <c r="I3" s="50"/>
    </row>
    <row r="4" spans="1:9" ht="21" customHeight="1">
      <c r="A4" s="47">
        <v>112191102</v>
      </c>
      <c r="B4" s="47" t="s">
        <v>247</v>
      </c>
      <c r="C4" s="50">
        <v>3</v>
      </c>
      <c r="D4" s="50" t="s">
        <v>127</v>
      </c>
      <c r="E4" s="51" t="s">
        <v>253</v>
      </c>
      <c r="F4" s="51" t="s">
        <v>276</v>
      </c>
      <c r="G4" s="50"/>
      <c r="H4" s="52"/>
      <c r="I4" s="50"/>
    </row>
    <row r="5" spans="1:9" ht="21" customHeight="1">
      <c r="A5" s="47">
        <v>112191103</v>
      </c>
      <c r="B5" s="47" t="s">
        <v>229</v>
      </c>
      <c r="C5" s="50">
        <v>3</v>
      </c>
      <c r="D5" s="50" t="s">
        <v>127</v>
      </c>
      <c r="E5" s="51" t="s">
        <v>185</v>
      </c>
      <c r="F5" s="51" t="s">
        <v>186</v>
      </c>
      <c r="G5" s="50"/>
      <c r="H5" s="52"/>
      <c r="I5" s="50"/>
    </row>
    <row r="6" spans="1:9" ht="35" customHeight="1">
      <c r="A6" s="47">
        <v>112191200</v>
      </c>
      <c r="B6" s="47" t="s">
        <v>219</v>
      </c>
      <c r="C6" s="50">
        <v>3</v>
      </c>
      <c r="D6" s="50" t="s">
        <v>127</v>
      </c>
      <c r="E6" s="51" t="s">
        <v>269</v>
      </c>
      <c r="F6" s="51" t="s">
        <v>187</v>
      </c>
      <c r="G6" s="50"/>
      <c r="H6" s="52"/>
      <c r="I6" s="50"/>
    </row>
    <row r="7" spans="1:9" ht="35" customHeight="1">
      <c r="A7" s="47">
        <v>112191201</v>
      </c>
      <c r="B7" s="47" t="s">
        <v>235</v>
      </c>
      <c r="C7" s="50">
        <v>3</v>
      </c>
      <c r="D7" s="50" t="s">
        <v>127</v>
      </c>
      <c r="E7" s="51" t="s">
        <v>188</v>
      </c>
      <c r="F7" s="51" t="s">
        <v>222</v>
      </c>
      <c r="G7" s="50"/>
      <c r="H7" s="52"/>
      <c r="I7" s="50"/>
    </row>
    <row r="8" spans="1:9" ht="35" customHeight="1">
      <c r="A8" s="47">
        <v>112191210</v>
      </c>
      <c r="B8" s="47" t="s">
        <v>234</v>
      </c>
      <c r="C8" s="50">
        <v>3</v>
      </c>
      <c r="D8" s="50" t="s">
        <v>127</v>
      </c>
      <c r="E8" s="51" t="s">
        <v>189</v>
      </c>
      <c r="F8" s="51" t="s">
        <v>190</v>
      </c>
      <c r="G8" s="50"/>
      <c r="H8" s="52"/>
      <c r="I8" s="50"/>
    </row>
    <row r="9" spans="1:9" ht="35" customHeight="1">
      <c r="A9" s="47">
        <v>112191211</v>
      </c>
      <c r="B9" s="47" t="s">
        <v>237</v>
      </c>
      <c r="C9" s="50">
        <v>3</v>
      </c>
      <c r="D9" s="50" t="s">
        <v>127</v>
      </c>
      <c r="E9" s="51" t="s">
        <v>191</v>
      </c>
      <c r="F9" s="51" t="s">
        <v>222</v>
      </c>
      <c r="G9" s="50"/>
      <c r="H9" s="52"/>
      <c r="I9" s="50"/>
    </row>
    <row r="10" spans="1:9" ht="21" customHeight="1">
      <c r="A10" s="47">
        <v>112191220</v>
      </c>
      <c r="B10" s="47" t="s">
        <v>221</v>
      </c>
      <c r="C10" s="50">
        <v>3</v>
      </c>
      <c r="D10" s="50" t="s">
        <v>127</v>
      </c>
      <c r="E10" s="51" t="s">
        <v>192</v>
      </c>
      <c r="F10" s="51" t="s">
        <v>186</v>
      </c>
      <c r="G10" s="50"/>
      <c r="H10" s="52"/>
      <c r="I10" s="50"/>
    </row>
    <row r="11" spans="1:9" ht="21" customHeight="1">
      <c r="A11" s="47">
        <v>112191221</v>
      </c>
      <c r="B11" s="47" t="s">
        <v>220</v>
      </c>
      <c r="C11" s="50">
        <v>3</v>
      </c>
      <c r="D11" s="50" t="s">
        <v>127</v>
      </c>
      <c r="E11" s="51" t="s">
        <v>192</v>
      </c>
      <c r="F11" s="51" t="s">
        <v>186</v>
      </c>
      <c r="G11" s="50"/>
      <c r="H11" s="52"/>
      <c r="I11" s="50"/>
    </row>
    <row r="12" spans="1:9" ht="30" customHeight="1">
      <c r="A12" s="47">
        <v>112191222</v>
      </c>
      <c r="B12" s="47" t="s">
        <v>236</v>
      </c>
      <c r="C12" s="50">
        <v>3</v>
      </c>
      <c r="D12" s="50" t="s">
        <v>127</v>
      </c>
      <c r="E12" s="51" t="s">
        <v>255</v>
      </c>
      <c r="F12" s="51" t="s">
        <v>223</v>
      </c>
      <c r="G12" s="50"/>
      <c r="H12" s="52"/>
      <c r="I12" s="50"/>
    </row>
    <row r="13" spans="1:9" ht="33" customHeight="1">
      <c r="A13" s="47">
        <v>112191300</v>
      </c>
      <c r="B13" s="47" t="s">
        <v>261</v>
      </c>
      <c r="C13" s="50">
        <v>3</v>
      </c>
      <c r="D13" s="50" t="s">
        <v>127</v>
      </c>
      <c r="E13" s="51" t="s">
        <v>193</v>
      </c>
      <c r="F13" s="51" t="s">
        <v>260</v>
      </c>
      <c r="G13" s="50"/>
      <c r="H13" s="52"/>
      <c r="I13" s="50"/>
    </row>
    <row r="14" spans="1:9" ht="21" customHeight="1">
      <c r="A14" s="47">
        <v>112191301</v>
      </c>
      <c r="B14" s="47" t="s">
        <v>181</v>
      </c>
      <c r="C14" s="50">
        <v>3</v>
      </c>
      <c r="D14" s="50" t="s">
        <v>127</v>
      </c>
      <c r="E14" s="51" t="s">
        <v>194</v>
      </c>
      <c r="F14" s="51" t="s">
        <v>195</v>
      </c>
      <c r="G14" s="50"/>
      <c r="H14" s="52"/>
      <c r="I14" s="50"/>
    </row>
    <row r="15" spans="1:9" ht="21" customHeight="1">
      <c r="A15" s="47">
        <v>112191302</v>
      </c>
      <c r="B15" s="47" t="s">
        <v>181</v>
      </c>
      <c r="C15" s="50">
        <v>3</v>
      </c>
      <c r="D15" s="50" t="s">
        <v>127</v>
      </c>
      <c r="E15" s="51" t="s">
        <v>224</v>
      </c>
      <c r="F15" s="51" t="s">
        <v>225</v>
      </c>
      <c r="G15" s="50"/>
      <c r="H15" s="52"/>
      <c r="I15" s="50"/>
    </row>
    <row r="16" spans="1:9" ht="35" customHeight="1">
      <c r="A16" s="47">
        <v>112191303</v>
      </c>
      <c r="B16" s="47" t="s">
        <v>228</v>
      </c>
      <c r="C16" s="50">
        <v>3</v>
      </c>
      <c r="D16" s="50" t="s">
        <v>127</v>
      </c>
      <c r="E16" s="51" t="s">
        <v>274</v>
      </c>
      <c r="F16" s="51" t="s">
        <v>196</v>
      </c>
      <c r="G16" s="50"/>
      <c r="H16" s="52"/>
      <c r="I16" s="50"/>
    </row>
    <row r="17" spans="1:9" ht="35" customHeight="1">
      <c r="A17" s="47">
        <v>112191304</v>
      </c>
      <c r="B17" s="47" t="s">
        <v>238</v>
      </c>
      <c r="C17" s="50">
        <v>3</v>
      </c>
      <c r="D17" s="50" t="s">
        <v>127</v>
      </c>
      <c r="E17" s="51" t="s">
        <v>268</v>
      </c>
      <c r="F17" s="51" t="s">
        <v>283</v>
      </c>
      <c r="G17" s="50"/>
      <c r="H17" s="52"/>
      <c r="I17" s="50"/>
    </row>
    <row r="18" spans="1:9" ht="35" customHeight="1">
      <c r="A18" s="47">
        <v>112191305</v>
      </c>
      <c r="B18" s="47" t="s">
        <v>250</v>
      </c>
      <c r="C18" s="50">
        <v>3</v>
      </c>
      <c r="D18" s="50" t="s">
        <v>127</v>
      </c>
      <c r="E18" s="51" t="s">
        <v>197</v>
      </c>
      <c r="F18" s="51" t="s">
        <v>198</v>
      </c>
      <c r="G18" s="50"/>
      <c r="H18" s="52"/>
      <c r="I18" s="50"/>
    </row>
    <row r="19" spans="1:9" ht="35" customHeight="1">
      <c r="A19" s="47">
        <v>112191306</v>
      </c>
      <c r="B19" s="47" t="s">
        <v>239</v>
      </c>
      <c r="C19" s="50">
        <v>3</v>
      </c>
      <c r="D19" s="50" t="s">
        <v>127</v>
      </c>
      <c r="E19" s="51" t="s">
        <v>199</v>
      </c>
      <c r="F19" s="51" t="s">
        <v>200</v>
      </c>
      <c r="G19" s="50"/>
      <c r="H19" s="52"/>
      <c r="I19" s="50"/>
    </row>
    <row r="20" spans="1:9" ht="21" customHeight="1">
      <c r="A20" s="47">
        <v>112191307</v>
      </c>
      <c r="B20" s="47" t="s">
        <v>270</v>
      </c>
      <c r="C20" s="50">
        <v>3</v>
      </c>
      <c r="D20" s="50" t="s">
        <v>127</v>
      </c>
      <c r="E20" s="51" t="s">
        <v>252</v>
      </c>
      <c r="F20" s="51" t="s">
        <v>201</v>
      </c>
      <c r="G20" s="50"/>
      <c r="H20" s="52"/>
      <c r="I20" s="50"/>
    </row>
    <row r="21" spans="1:9" ht="21" customHeight="1">
      <c r="A21" s="47">
        <v>112191308</v>
      </c>
      <c r="B21" s="47" t="s">
        <v>256</v>
      </c>
      <c r="C21" s="50">
        <v>3</v>
      </c>
      <c r="D21" s="50" t="s">
        <v>127</v>
      </c>
      <c r="E21" s="51" t="s">
        <v>207</v>
      </c>
      <c r="F21" s="51" t="s">
        <v>208</v>
      </c>
      <c r="G21" s="50"/>
      <c r="H21" s="52"/>
      <c r="I21" s="50"/>
    </row>
    <row r="22" spans="1:9" ht="21" customHeight="1">
      <c r="A22" s="47">
        <v>112191310</v>
      </c>
      <c r="B22" s="47" t="s">
        <v>227</v>
      </c>
      <c r="C22" s="50">
        <v>3</v>
      </c>
      <c r="D22" s="50" t="s">
        <v>127</v>
      </c>
      <c r="E22" s="51" t="s">
        <v>202</v>
      </c>
      <c r="F22" s="51" t="s">
        <v>203</v>
      </c>
      <c r="G22" s="50"/>
      <c r="H22" s="52"/>
      <c r="I22" s="50"/>
    </row>
    <row r="23" spans="1:9" ht="35" customHeight="1">
      <c r="A23" s="47">
        <v>112191414</v>
      </c>
      <c r="B23" s="47" t="s">
        <v>279</v>
      </c>
      <c r="C23" s="50">
        <v>3</v>
      </c>
      <c r="D23" s="50" t="s">
        <v>127</v>
      </c>
      <c r="E23" s="51" t="s">
        <v>204</v>
      </c>
      <c r="F23" s="51" t="s">
        <v>205</v>
      </c>
      <c r="G23" s="50"/>
      <c r="H23" s="52"/>
      <c r="I23" s="50"/>
    </row>
    <row r="24" spans="1:9" ht="35" customHeight="1">
      <c r="A24" s="47">
        <v>112191415</v>
      </c>
      <c r="B24" s="47" t="s">
        <v>280</v>
      </c>
      <c r="C24" s="50">
        <v>3</v>
      </c>
      <c r="D24" s="50" t="s">
        <v>127</v>
      </c>
      <c r="E24" s="51" t="s">
        <v>204</v>
      </c>
      <c r="F24" s="51" t="s">
        <v>205</v>
      </c>
      <c r="G24" s="50"/>
      <c r="H24" s="52"/>
      <c r="I24" s="50"/>
    </row>
    <row r="25" spans="1:9" ht="35" customHeight="1">
      <c r="A25" s="47">
        <v>112191416</v>
      </c>
      <c r="B25" s="47" t="s">
        <v>281</v>
      </c>
      <c r="C25" s="50">
        <v>3</v>
      </c>
      <c r="D25" s="50" t="s">
        <v>127</v>
      </c>
      <c r="E25" s="51" t="s">
        <v>204</v>
      </c>
      <c r="F25" s="51" t="s">
        <v>205</v>
      </c>
      <c r="G25" s="50"/>
      <c r="H25" s="52"/>
      <c r="I25" s="50"/>
    </row>
    <row r="26" spans="1:9" ht="35" customHeight="1">
      <c r="A26" s="47">
        <v>112191320</v>
      </c>
      <c r="B26" s="47" t="s">
        <v>282</v>
      </c>
      <c r="C26" s="50">
        <v>3</v>
      </c>
      <c r="D26" s="50" t="s">
        <v>127</v>
      </c>
      <c r="E26" s="51" t="s">
        <v>204</v>
      </c>
      <c r="F26" s="51" t="s">
        <v>205</v>
      </c>
      <c r="G26" s="50"/>
      <c r="H26" s="52"/>
      <c r="I26" s="50"/>
    </row>
    <row r="27" spans="1:9" ht="30" customHeight="1">
      <c r="A27" s="47">
        <v>112191321</v>
      </c>
      <c r="B27" s="47" t="s">
        <v>181</v>
      </c>
      <c r="C27" s="50">
        <v>3</v>
      </c>
      <c r="D27" s="50" t="s">
        <v>127</v>
      </c>
      <c r="E27" s="51" t="s">
        <v>243</v>
      </c>
      <c r="F27" s="51" t="s">
        <v>246</v>
      </c>
      <c r="G27" s="50"/>
      <c r="H27" s="52"/>
      <c r="I27" s="50"/>
    </row>
    <row r="28" spans="1:9" ht="30" customHeight="1">
      <c r="A28" s="47">
        <v>112191322</v>
      </c>
      <c r="B28" s="47" t="s">
        <v>277</v>
      </c>
      <c r="C28" s="50">
        <v>3</v>
      </c>
      <c r="D28" s="50" t="s">
        <v>127</v>
      </c>
      <c r="E28" s="51" t="s">
        <v>242</v>
      </c>
      <c r="F28" s="51" t="s">
        <v>206</v>
      </c>
      <c r="G28" s="50"/>
      <c r="H28" s="52"/>
      <c r="I28" s="50"/>
    </row>
    <row r="29" spans="1:9" ht="30" customHeight="1">
      <c r="A29" s="47">
        <v>112191323</v>
      </c>
      <c r="B29" s="47" t="s">
        <v>244</v>
      </c>
      <c r="C29" s="50">
        <v>3</v>
      </c>
      <c r="D29" s="50" t="s">
        <v>127</v>
      </c>
      <c r="E29" s="51" t="s">
        <v>262</v>
      </c>
      <c r="F29" s="51" t="s">
        <v>245</v>
      </c>
      <c r="G29" s="50"/>
      <c r="H29" s="52"/>
      <c r="I29" s="50"/>
    </row>
    <row r="30" spans="1:9" ht="30" customHeight="1">
      <c r="A30" s="47">
        <v>112191324</v>
      </c>
      <c r="B30" s="47" t="s">
        <v>227</v>
      </c>
      <c r="C30" s="50">
        <v>3</v>
      </c>
      <c r="D30" s="50" t="s">
        <v>127</v>
      </c>
      <c r="E30" s="51" t="s">
        <v>262</v>
      </c>
      <c r="F30" s="51" t="s">
        <v>241</v>
      </c>
      <c r="G30" s="50"/>
      <c r="H30" s="52"/>
      <c r="I30" s="50"/>
    </row>
  </sheetData>
  <autoFilter ref="A1:I1"/>
  <phoneticPr fontId="5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6"/>
  <sheetViews>
    <sheetView showGridLines="0" zoomScale="75" zoomScaleNormal="75" zoomScalePageLayoutView="75" workbookViewId="0">
      <pane ySplit="1" topLeftCell="A2" activePane="bottomLeft" state="frozenSplit"/>
      <selection pane="bottomLeft" activeCell="E4" sqref="E4"/>
    </sheetView>
  </sheetViews>
  <sheetFormatPr baseColWidth="12" defaultColWidth="12.83203125" defaultRowHeight="21" customHeight="1" x14ac:dyDescent="0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18.1640625" style="45" bestFit="1" customWidth="1"/>
    <col min="12" max="16384" width="12.83203125" style="45"/>
  </cols>
  <sheetData>
    <row r="1" spans="1:11" ht="21" customHeight="1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41" t="s">
        <v>216</v>
      </c>
    </row>
    <row r="2" spans="1:11" ht="21" customHeight="1">
      <c r="A2" s="47">
        <v>112190000</v>
      </c>
      <c r="B2" s="47">
        <v>1</v>
      </c>
      <c r="C2" s="47">
        <v>3</v>
      </c>
      <c r="D2" s="47">
        <v>0</v>
      </c>
      <c r="E2" s="47" t="s">
        <v>182</v>
      </c>
      <c r="F2" s="47" t="s">
        <v>89</v>
      </c>
      <c r="G2" s="47">
        <v>1</v>
      </c>
      <c r="H2" s="47" t="s">
        <v>89</v>
      </c>
      <c r="I2" s="47" t="s">
        <v>89</v>
      </c>
      <c r="J2" s="48">
        <f t="shared" ref="J2:J3" si="0">D2</f>
        <v>0</v>
      </c>
      <c r="K2" s="48" t="str">
        <f ca="1">VLOOKUP($A2,OFFSET(enemy_skill_sets!$F$1,0,0,COUNTA(enemy_skill_sets!$A:$A),MATCH(K$1,enemy_skill_sets!$1:$1,0)-MATCH($A$1,enemy_skill_sets!$1:$1,0)+1),MATCH(K$1,enemy_skill_sets!$1:$1,0)-MATCH($A$1,enemy_skill_sets!$1:$1,0)+1,FALSE)</f>
        <v>開幕</v>
      </c>
    </row>
    <row r="3" spans="1:11" ht="21" customHeight="1">
      <c r="A3" s="47">
        <v>112190001</v>
      </c>
      <c r="B3" s="47">
        <v>0</v>
      </c>
      <c r="C3" s="47">
        <v>2</v>
      </c>
      <c r="D3" s="47">
        <v>100</v>
      </c>
      <c r="E3" s="47" t="s">
        <v>254</v>
      </c>
      <c r="F3" s="47">
        <v>100</v>
      </c>
      <c r="G3" s="47">
        <v>1</v>
      </c>
      <c r="H3" s="47" t="s">
        <v>53</v>
      </c>
      <c r="I3" s="47" t="s">
        <v>53</v>
      </c>
      <c r="J3" s="48">
        <f t="shared" si="0"/>
        <v>100</v>
      </c>
      <c r="K3" s="48" t="str">
        <f ca="1">VLOOKUP($A3,OFFSET(enemy_skill_sets!$F$1,0,0,COUNTA(enemy_skill_sets!$A:$A),MATCH(K$1,enemy_skill_sets!$1:$1,0)-MATCH($A$1,enemy_skill_sets!$1:$1,0)+1),MATCH(K$1,enemy_skill_sets!$1:$1,0)-MATCH($A$1,enemy_skill_sets!$1:$1,0)+1,FALSE)</f>
        <v>1回のみ</v>
      </c>
    </row>
    <row r="4" spans="1:11" ht="21" customHeight="1">
      <c r="A4" s="47">
        <v>112190002</v>
      </c>
      <c r="B4" s="47">
        <v>0</v>
      </c>
      <c r="C4" s="47">
        <v>2</v>
      </c>
      <c r="D4" s="47">
        <v>100</v>
      </c>
      <c r="E4" s="47">
        <v>99</v>
      </c>
      <c r="F4" s="47" t="s">
        <v>89</v>
      </c>
      <c r="G4" s="47">
        <v>1</v>
      </c>
      <c r="H4" s="47" t="s">
        <v>89</v>
      </c>
      <c r="I4" s="47" t="s">
        <v>89</v>
      </c>
      <c r="J4" s="48">
        <f t="shared" ref="J4:J6" si="1">D4</f>
        <v>100</v>
      </c>
      <c r="K4" s="48" t="str">
        <f ca="1">VLOOKUP($A4,OFFSET(enemy_skill_sets!$F$1,0,0,COUNTA(enemy_skill_sets!$A:$A),MATCH(K$1,enemy_skill_sets!$1:$1,0)-MATCH($A$1,enemy_skill_sets!$1:$1,0)+1),MATCH(K$1,enemy_skill_sets!$1:$1,0)-MATCH($A$1,enemy_skill_sets!$1:$1,0)+1,FALSE)</f>
        <v>1回のみ</v>
      </c>
    </row>
    <row r="5" spans="1:11" ht="21" customHeight="1">
      <c r="A5" s="47">
        <v>112190003</v>
      </c>
      <c r="B5" s="47">
        <v>0</v>
      </c>
      <c r="C5" s="47">
        <v>1</v>
      </c>
      <c r="D5" s="47">
        <v>100</v>
      </c>
      <c r="E5" s="47" t="s">
        <v>182</v>
      </c>
      <c r="F5" s="47" t="s">
        <v>53</v>
      </c>
      <c r="G5" s="47" t="s">
        <v>226</v>
      </c>
      <c r="H5" s="47" t="s">
        <v>53</v>
      </c>
      <c r="I5" s="47" t="s">
        <v>53</v>
      </c>
      <c r="J5" s="48">
        <f t="shared" ref="J5" si="2">D5</f>
        <v>100</v>
      </c>
      <c r="K5" s="48" t="str">
        <f ca="1">VLOOKUP($A5,OFFSET(enemy_skill_sets!$F$1,0,0,COUNTA(enemy_skill_sets!$A:$A),MATCH(K$1,enemy_skill_sets!$1:$1,0)-MATCH($A$1,enemy_skill_sets!$1:$1,0)+1),MATCH(K$1,enemy_skill_sets!$1:$1,0)-MATCH($A$1,enemy_skill_sets!$1:$1,0)+1,FALSE)</f>
        <v>何度でも</v>
      </c>
    </row>
    <row r="6" spans="1:11" ht="21" customHeight="1">
      <c r="A6" s="47">
        <v>112191220</v>
      </c>
      <c r="B6" s="47">
        <v>0</v>
      </c>
      <c r="C6" s="47">
        <v>2</v>
      </c>
      <c r="D6" s="47">
        <v>100</v>
      </c>
      <c r="E6" s="47" t="s">
        <v>182</v>
      </c>
      <c r="F6" s="47" t="s">
        <v>89</v>
      </c>
      <c r="G6" s="47">
        <v>1</v>
      </c>
      <c r="H6" s="47" t="s">
        <v>89</v>
      </c>
      <c r="I6" s="47">
        <v>13</v>
      </c>
      <c r="J6" s="48">
        <f t="shared" si="1"/>
        <v>100</v>
      </c>
      <c r="K6" s="48" t="str">
        <f ca="1">VLOOKUP($A6,OFFSET(enemy_skill_sets!$F$1,0,0,COUNTA(enemy_skill_sets!$A:$A),MATCH(K$1,enemy_skill_sets!$1:$1,0)-MATCH($A$1,enemy_skill_sets!$1:$1,0)+1),MATCH(K$1,enemy_skill_sets!$1:$1,0)-MATCH($A$1,enemy_skill_sets!$1:$1,0)+1,FALSE)</f>
        <v>13が死んだ時</v>
      </c>
    </row>
    <row r="7" spans="1:11" ht="21" customHeight="1">
      <c r="A7" s="47">
        <v>112191221</v>
      </c>
      <c r="B7" s="47">
        <v>0</v>
      </c>
      <c r="C7" s="47">
        <v>2</v>
      </c>
      <c r="D7" s="47">
        <v>100</v>
      </c>
      <c r="E7" s="47" t="s">
        <v>182</v>
      </c>
      <c r="F7" s="47" t="s">
        <v>89</v>
      </c>
      <c r="G7" s="47">
        <v>1</v>
      </c>
      <c r="H7" s="47" t="s">
        <v>89</v>
      </c>
      <c r="I7" s="47">
        <v>49</v>
      </c>
      <c r="J7" s="48">
        <f t="shared" ref="J7:J10" si="3">D7</f>
        <v>100</v>
      </c>
      <c r="K7" s="48" t="str">
        <f ca="1">VLOOKUP($A7,OFFSET(enemy_skill_sets!$F$1,0,0,COUNTA(enemy_skill_sets!$A:$A),MATCH(K$1,enemy_skill_sets!$1:$1,0)-MATCH($A$1,enemy_skill_sets!$1:$1,0)+1),MATCH(K$1,enemy_skill_sets!$1:$1,0)-MATCH($A$1,enemy_skill_sets!$1:$1,0)+1,FALSE)</f>
        <v>49が死んだ時</v>
      </c>
    </row>
    <row r="8" spans="1:11" ht="21" customHeight="1">
      <c r="A8" s="47">
        <v>112191222</v>
      </c>
      <c r="B8" s="47">
        <v>0</v>
      </c>
      <c r="C8" s="47">
        <v>1</v>
      </c>
      <c r="D8" s="47">
        <v>100</v>
      </c>
      <c r="E8" s="47" t="s">
        <v>182</v>
      </c>
      <c r="F8" s="47" t="s">
        <v>89</v>
      </c>
      <c r="G8" s="47" t="s">
        <v>217</v>
      </c>
      <c r="H8" s="47" t="s">
        <v>89</v>
      </c>
      <c r="I8" s="47" t="s">
        <v>89</v>
      </c>
      <c r="J8" s="48">
        <f t="shared" si="3"/>
        <v>100</v>
      </c>
      <c r="K8" s="48" t="str">
        <f ca="1">VLOOKUP($A8,OFFSET(enemy_skill_sets!$F$1,0,0,COUNTA(enemy_skill_sets!$A:$A),MATCH(K$1,enemy_skill_sets!$1:$1,0)-MATCH($A$1,enemy_skill_sets!$1:$1,0)+1),MATCH(K$1,enemy_skill_sets!$1:$1,0)-MATCH($A$1,enemy_skill_sets!$1:$1,0)+1,FALSE)</f>
        <v>何度でも</v>
      </c>
    </row>
    <row r="9" spans="1:11" ht="21" customHeight="1">
      <c r="A9" s="47">
        <v>112191300</v>
      </c>
      <c r="B9" s="47">
        <v>1</v>
      </c>
      <c r="C9" s="47">
        <v>9</v>
      </c>
      <c r="D9" s="47">
        <v>0</v>
      </c>
      <c r="E9" s="47" t="s">
        <v>182</v>
      </c>
      <c r="F9" s="47" t="s">
        <v>89</v>
      </c>
      <c r="G9" s="47">
        <v>1</v>
      </c>
      <c r="H9" s="47" t="s">
        <v>89</v>
      </c>
      <c r="I9" s="47" t="s">
        <v>89</v>
      </c>
      <c r="J9" s="48">
        <f t="shared" si="3"/>
        <v>0</v>
      </c>
      <c r="K9" s="48" t="str">
        <f ca="1">VLOOKUP($A9,OFFSET(enemy_skill_sets!$F$1,0,0,COUNTA(enemy_skill_sets!$A:$A),MATCH(K$1,enemy_skill_sets!$1:$1,0)-MATCH($A$1,enemy_skill_sets!$1:$1,0)+1),MATCH(K$1,enemy_skill_sets!$1:$1,0)-MATCH($A$1,enemy_skill_sets!$1:$1,0)+1,FALSE)</f>
        <v>開幕</v>
      </c>
    </row>
    <row r="10" spans="1:11" ht="21" customHeight="1">
      <c r="A10" s="47">
        <v>112191301</v>
      </c>
      <c r="B10" s="47">
        <v>0</v>
      </c>
      <c r="C10" s="47">
        <v>8</v>
      </c>
      <c r="D10" s="47">
        <v>100</v>
      </c>
      <c r="E10" s="47" t="s">
        <v>182</v>
      </c>
      <c r="F10" s="47" t="s">
        <v>89</v>
      </c>
      <c r="G10" s="47">
        <v>1</v>
      </c>
      <c r="H10" s="47" t="s">
        <v>89</v>
      </c>
      <c r="I10" s="47" t="s">
        <v>89</v>
      </c>
      <c r="J10" s="48">
        <f t="shared" si="3"/>
        <v>100</v>
      </c>
      <c r="K10" s="48" t="str">
        <f ca="1">VLOOKUP($A10,OFFSET(enemy_skill_sets!$F$1,0,0,COUNTA(enemy_skill_sets!$A:$A),MATCH(K$1,enemy_skill_sets!$1:$1,0)-MATCH($A$1,enemy_skill_sets!$1:$1,0)+1),MATCH(K$1,enemy_skill_sets!$1:$1,0)-MATCH($A$1,enemy_skill_sets!$1:$1,0)+1,FALSE)</f>
        <v>1回のみ</v>
      </c>
    </row>
    <row r="11" spans="1:11" ht="21" customHeight="1">
      <c r="A11" s="47">
        <v>112191302</v>
      </c>
      <c r="B11" s="47">
        <v>0</v>
      </c>
      <c r="C11" s="47">
        <v>7</v>
      </c>
      <c r="D11" s="47">
        <v>100</v>
      </c>
      <c r="E11" s="47" t="s">
        <v>182</v>
      </c>
      <c r="F11" s="47" t="s">
        <v>89</v>
      </c>
      <c r="G11" s="47">
        <v>1</v>
      </c>
      <c r="H11" s="47" t="s">
        <v>89</v>
      </c>
      <c r="I11" s="47" t="s">
        <v>89</v>
      </c>
      <c r="J11" s="48">
        <f t="shared" ref="J11:J22" si="4">D11</f>
        <v>100</v>
      </c>
      <c r="K11" s="48" t="str">
        <f ca="1">VLOOKUP($A11,OFFSET(enemy_skill_sets!$F$1,0,0,COUNTA(enemy_skill_sets!$A:$A),MATCH(K$1,enemy_skill_sets!$1:$1,0)-MATCH($A$1,enemy_skill_sets!$1:$1,0)+1),MATCH(K$1,enemy_skill_sets!$1:$1,0)-MATCH($A$1,enemy_skill_sets!$1:$1,0)+1,FALSE)</f>
        <v>1回のみ</v>
      </c>
    </row>
    <row r="12" spans="1:11" ht="21" customHeight="1">
      <c r="A12" s="47">
        <v>112191303</v>
      </c>
      <c r="B12" s="47">
        <v>0</v>
      </c>
      <c r="C12" s="47">
        <v>6</v>
      </c>
      <c r="D12" s="47">
        <v>100</v>
      </c>
      <c r="E12" s="47" t="s">
        <v>53</v>
      </c>
      <c r="F12" s="47" t="s">
        <v>53</v>
      </c>
      <c r="G12" s="47">
        <v>1</v>
      </c>
      <c r="H12" s="47" t="s">
        <v>53</v>
      </c>
      <c r="I12" s="47" t="s">
        <v>53</v>
      </c>
      <c r="J12" s="48">
        <f t="shared" ref="J12" si="5">D12</f>
        <v>100</v>
      </c>
      <c r="K12" s="48" t="str">
        <f ca="1">VLOOKUP($A12,OFFSET(enemy_skill_sets!$F$1,0,0,COUNTA(enemy_skill_sets!$A:$A),MATCH(K$1,enemy_skill_sets!$1:$1,0)-MATCH($A$1,enemy_skill_sets!$1:$1,0)+1),MATCH(K$1,enemy_skill_sets!$1:$1,0)-MATCH($A$1,enemy_skill_sets!$1:$1,0)+1,FALSE)</f>
        <v>1回のみ</v>
      </c>
    </row>
    <row r="13" spans="1:11" ht="21" customHeight="1">
      <c r="A13" s="47">
        <v>112191304</v>
      </c>
      <c r="B13" s="47">
        <v>0</v>
      </c>
      <c r="C13" s="47">
        <v>4</v>
      </c>
      <c r="D13" s="47">
        <v>100</v>
      </c>
      <c r="E13" s="47">
        <v>50</v>
      </c>
      <c r="F13" s="47" t="s">
        <v>273</v>
      </c>
      <c r="G13" s="47">
        <v>1</v>
      </c>
      <c r="H13" s="47" t="s">
        <v>89</v>
      </c>
      <c r="I13" s="47" t="s">
        <v>89</v>
      </c>
      <c r="J13" s="48">
        <f t="shared" si="4"/>
        <v>100</v>
      </c>
      <c r="K13" s="48" t="str">
        <f ca="1">VLOOKUP($A13,OFFSET(enemy_skill_sets!$F$1,0,0,COUNTA(enemy_skill_sets!$A:$A),MATCH(K$1,enemy_skill_sets!$1:$1,0)-MATCH($A$1,enemy_skill_sets!$1:$1,0)+1),MATCH(K$1,enemy_skill_sets!$1:$1,0)-MATCH($A$1,enemy_skill_sets!$1:$1,0)+1,FALSE)</f>
        <v>HP50%以下で、1回のみ</v>
      </c>
    </row>
    <row r="14" spans="1:11" ht="21" customHeight="1">
      <c r="A14" s="47">
        <v>112191305</v>
      </c>
      <c r="B14" s="47">
        <v>0</v>
      </c>
      <c r="C14" s="47">
        <v>3</v>
      </c>
      <c r="D14" s="47">
        <v>100</v>
      </c>
      <c r="E14" s="47">
        <v>50</v>
      </c>
      <c r="F14" s="47" t="s">
        <v>273</v>
      </c>
      <c r="G14" s="47">
        <v>1</v>
      </c>
      <c r="H14" s="47" t="s">
        <v>89</v>
      </c>
      <c r="I14" s="47" t="s">
        <v>89</v>
      </c>
      <c r="J14" s="48">
        <f t="shared" si="4"/>
        <v>100</v>
      </c>
      <c r="K14" s="48" t="e">
        <f ca="1">VLOOKUP($A14,OFFSET(enemy_skill_sets!$F$1,0,0,COUNTA(enemy_skill_sets!$A:$A),MATCH(K$1,enemy_skill_sets!$1:$1,0)-MATCH($A$1,enemy_skill_sets!$1:$1,0)+1),MATCH(K$1,enemy_skill_sets!$1:$1,0)-MATCH($A$1,enemy_skill_sets!$1:$1,0)+1,FALSE)</f>
        <v>#N/A</v>
      </c>
    </row>
    <row r="15" spans="1:11" ht="21" customHeight="1">
      <c r="A15" s="47">
        <v>112191306</v>
      </c>
      <c r="B15" s="47">
        <v>0</v>
      </c>
      <c r="C15" s="47">
        <v>2</v>
      </c>
      <c r="D15" s="47">
        <v>100</v>
      </c>
      <c r="E15" s="47">
        <v>50</v>
      </c>
      <c r="F15" s="47" t="s">
        <v>273</v>
      </c>
      <c r="G15" s="47" t="s">
        <v>218</v>
      </c>
      <c r="H15" s="47" t="s">
        <v>89</v>
      </c>
      <c r="I15" s="47" t="s">
        <v>89</v>
      </c>
      <c r="J15" s="48">
        <f t="shared" si="4"/>
        <v>100</v>
      </c>
      <c r="K15" s="48" t="str">
        <f ca="1">VLOOKUP($A15,OFFSET(enemy_skill_sets!$F$1,0,0,COUNTA(enemy_skill_sets!$A:$A),MATCH(K$1,enemy_skill_sets!$1:$1,0)-MATCH($A$1,enemy_skill_sets!$1:$1,0)+1),MATCH(K$1,enemy_skill_sets!$1:$1,0)-MATCH($A$1,enemy_skill_sets!$1:$1,0)+1,FALSE)</f>
        <v>HP50%以下で、何度でも</v>
      </c>
    </row>
    <row r="16" spans="1:11" ht="21" customHeight="1">
      <c r="A16" s="47">
        <v>112191414</v>
      </c>
      <c r="B16" s="47">
        <v>0</v>
      </c>
      <c r="C16" s="47">
        <v>5</v>
      </c>
      <c r="D16" s="47">
        <v>100</v>
      </c>
      <c r="E16" s="47" t="s">
        <v>232</v>
      </c>
      <c r="F16" s="47" t="s">
        <v>53</v>
      </c>
      <c r="G16" s="47">
        <v>1</v>
      </c>
      <c r="H16" s="47" t="s">
        <v>53</v>
      </c>
      <c r="I16" s="47">
        <v>414</v>
      </c>
      <c r="J16" s="48">
        <f t="shared" si="4"/>
        <v>100</v>
      </c>
      <c r="K16" s="48" t="str">
        <f ca="1">VLOOKUP($A16,OFFSET(enemy_skill_sets!$F$1,0,0,COUNTA(enemy_skill_sets!$A:$A),MATCH(K$1,enemy_skill_sets!$1:$1,0)-MATCH($A$1,enemy_skill_sets!$1:$1,0)+1),MATCH(K$1,enemy_skill_sets!$1:$1,0)-MATCH($A$1,enemy_skill_sets!$1:$1,0)+1,FALSE)</f>
        <v>414が死んだ時</v>
      </c>
    </row>
    <row r="17" spans="1:11" ht="21" customHeight="1">
      <c r="A17" s="47">
        <v>112191415</v>
      </c>
      <c r="B17" s="47">
        <v>0</v>
      </c>
      <c r="C17" s="47">
        <v>5</v>
      </c>
      <c r="D17" s="47">
        <v>100</v>
      </c>
      <c r="E17" s="47" t="s">
        <v>232</v>
      </c>
      <c r="F17" s="47" t="s">
        <v>53</v>
      </c>
      <c r="G17" s="47">
        <v>1</v>
      </c>
      <c r="H17" s="47" t="s">
        <v>53</v>
      </c>
      <c r="I17" s="47">
        <v>415</v>
      </c>
      <c r="J17" s="48">
        <f t="shared" ref="J17" si="6">D17</f>
        <v>100</v>
      </c>
      <c r="K17" s="48" t="str">
        <f ca="1">VLOOKUP($A17,OFFSET(enemy_skill_sets!$F$1,0,0,COUNTA(enemy_skill_sets!$A:$A),MATCH(K$1,enemy_skill_sets!$1:$1,0)-MATCH($A$1,enemy_skill_sets!$1:$1,0)+1),MATCH(K$1,enemy_skill_sets!$1:$1,0)-MATCH($A$1,enemy_skill_sets!$1:$1,0)+1,FALSE)</f>
        <v>415が死んだ時</v>
      </c>
    </row>
    <row r="18" spans="1:11" ht="21" customHeight="1">
      <c r="A18" s="47">
        <v>112191416</v>
      </c>
      <c r="B18" s="47">
        <v>0</v>
      </c>
      <c r="C18" s="47">
        <v>5</v>
      </c>
      <c r="D18" s="47">
        <v>100</v>
      </c>
      <c r="E18" s="47" t="s">
        <v>232</v>
      </c>
      <c r="F18" s="47" t="s">
        <v>53</v>
      </c>
      <c r="G18" s="47">
        <v>1</v>
      </c>
      <c r="H18" s="47" t="s">
        <v>53</v>
      </c>
      <c r="I18" s="47">
        <v>416</v>
      </c>
      <c r="J18" s="48">
        <f t="shared" ref="J18" si="7">D18</f>
        <v>100</v>
      </c>
      <c r="K18" s="48" t="str">
        <f ca="1">VLOOKUP($A18,OFFSET(enemy_skill_sets!$F$1,0,0,COUNTA(enemy_skill_sets!$A:$A),MATCH(K$1,enemy_skill_sets!$1:$1,0)-MATCH($A$1,enemy_skill_sets!$1:$1,0)+1),MATCH(K$1,enemy_skill_sets!$1:$1,0)-MATCH($A$1,enemy_skill_sets!$1:$1,0)+1,FALSE)</f>
        <v>416が死んだ時</v>
      </c>
    </row>
    <row r="19" spans="1:11" ht="21" customHeight="1">
      <c r="A19" s="47">
        <v>112191417</v>
      </c>
      <c r="B19" s="47">
        <v>0</v>
      </c>
      <c r="C19" s="47">
        <v>5</v>
      </c>
      <c r="D19" s="47">
        <v>100</v>
      </c>
      <c r="E19" s="47" t="s">
        <v>232</v>
      </c>
      <c r="F19" s="47" t="s">
        <v>89</v>
      </c>
      <c r="G19" s="47">
        <v>1</v>
      </c>
      <c r="H19" s="47" t="s">
        <v>89</v>
      </c>
      <c r="I19" s="47">
        <v>417</v>
      </c>
      <c r="J19" s="48">
        <f t="shared" si="4"/>
        <v>100</v>
      </c>
      <c r="K19" s="48" t="str">
        <f ca="1">VLOOKUP($A19,OFFSET(enemy_skill_sets!$F$1,0,0,COUNTA(enemy_skill_sets!$A:$A),MATCH(K$1,enemy_skill_sets!$1:$1,0)-MATCH($A$1,enemy_skill_sets!$1:$1,0)+1),MATCH(K$1,enemy_skill_sets!$1:$1,0)-MATCH($A$1,enemy_skill_sets!$1:$1,0)+1,FALSE)</f>
        <v>417が死んだ時</v>
      </c>
    </row>
    <row r="20" spans="1:11" ht="21" customHeight="1">
      <c r="A20" s="47">
        <v>112191308</v>
      </c>
      <c r="B20" s="47">
        <v>0</v>
      </c>
      <c r="C20" s="47">
        <v>1</v>
      </c>
      <c r="D20" s="47">
        <v>100</v>
      </c>
      <c r="E20" s="47" t="s">
        <v>233</v>
      </c>
      <c r="F20" s="47">
        <v>50</v>
      </c>
      <c r="G20" s="47">
        <v>1</v>
      </c>
      <c r="H20" s="47" t="s">
        <v>89</v>
      </c>
      <c r="I20" s="47" t="s">
        <v>89</v>
      </c>
      <c r="J20" s="48">
        <f t="shared" si="4"/>
        <v>100</v>
      </c>
      <c r="K20" s="48" t="str">
        <f ca="1">VLOOKUP($A20,OFFSET(enemy_skill_sets!$F$1,0,0,COUNTA(enemy_skill_sets!$A:$A),MATCH(K$1,enemy_skill_sets!$1:$1,0)-MATCH($A$1,enemy_skill_sets!$1:$1,0)+1),MATCH(K$1,enemy_skill_sets!$1:$1,0)-MATCH($A$1,enemy_skill_sets!$1:$1,0)+1,FALSE)</f>
        <v>HP50%以上で、1回のみ</v>
      </c>
    </row>
    <row r="21" spans="1:11" ht="21" customHeight="1">
      <c r="A21" s="47">
        <v>112191310</v>
      </c>
      <c r="B21" s="47">
        <v>0</v>
      </c>
      <c r="C21" s="47" t="s">
        <v>88</v>
      </c>
      <c r="D21" s="47">
        <v>100</v>
      </c>
      <c r="E21" s="47" t="s">
        <v>182</v>
      </c>
      <c r="F21" s="47" t="s">
        <v>89</v>
      </c>
      <c r="G21" s="47">
        <v>1</v>
      </c>
      <c r="H21" s="47" t="s">
        <v>89</v>
      </c>
      <c r="I21" s="47" t="s">
        <v>89</v>
      </c>
      <c r="J21" s="48">
        <f t="shared" si="4"/>
        <v>100</v>
      </c>
      <c r="K21" s="48" t="str">
        <f ca="1">VLOOKUP($A21,OFFSET(enemy_skill_sets!$F$1,0,0,COUNTA(enemy_skill_sets!$A:$A),MATCH(K$1,enemy_skill_sets!$1:$1,0)-MATCH($A$1,enemy_skill_sets!$1:$1,0)+1),MATCH(K$1,enemy_skill_sets!$1:$1,0)-MATCH($A$1,enemy_skill_sets!$1:$1,0)+1,FALSE)</f>
        <v>初回のみ</v>
      </c>
    </row>
    <row r="22" spans="1:11" ht="21" customHeight="1">
      <c r="A22" s="47">
        <v>112191320</v>
      </c>
      <c r="B22" s="47">
        <v>1</v>
      </c>
      <c r="C22" s="47">
        <v>5</v>
      </c>
      <c r="D22" s="47">
        <v>0</v>
      </c>
      <c r="E22" s="47" t="s">
        <v>182</v>
      </c>
      <c r="F22" s="47" t="s">
        <v>89</v>
      </c>
      <c r="G22" s="47">
        <v>1</v>
      </c>
      <c r="H22" s="47" t="s">
        <v>89</v>
      </c>
      <c r="I22" s="47" t="s">
        <v>89</v>
      </c>
      <c r="J22" s="48">
        <f t="shared" si="4"/>
        <v>0</v>
      </c>
      <c r="K22" s="48" t="str">
        <f ca="1">VLOOKUP($A22,OFFSET(enemy_skill_sets!$F$1,0,0,COUNTA(enemy_skill_sets!$A:$A),MATCH(K$1,enemy_skill_sets!$1:$1,0)-MATCH($A$1,enemy_skill_sets!$1:$1,0)+1),MATCH(K$1,enemy_skill_sets!$1:$1,0)-MATCH($A$1,enemy_skill_sets!$1:$1,0)+1,FALSE)</f>
        <v>開幕</v>
      </c>
    </row>
    <row r="23" spans="1:11" ht="21" customHeight="1">
      <c r="A23" s="47">
        <v>112191321</v>
      </c>
      <c r="B23" s="47">
        <v>0</v>
      </c>
      <c r="C23" s="47">
        <v>4</v>
      </c>
      <c r="D23" s="47">
        <v>100</v>
      </c>
      <c r="E23" s="47" t="s">
        <v>182</v>
      </c>
      <c r="F23" s="47" t="s">
        <v>89</v>
      </c>
      <c r="G23" s="47">
        <v>1</v>
      </c>
      <c r="H23" s="47" t="s">
        <v>89</v>
      </c>
      <c r="I23" s="47" t="s">
        <v>89</v>
      </c>
      <c r="J23" s="48">
        <f t="shared" ref="J23:J25" si="8">D23</f>
        <v>100</v>
      </c>
      <c r="K23" s="48" t="str">
        <f ca="1">VLOOKUP($A23,OFFSET(enemy_skill_sets!$F$1,0,0,COUNTA(enemy_skill_sets!$A:$A),MATCH(K$1,enemy_skill_sets!$1:$1,0)-MATCH($A$1,enemy_skill_sets!$1:$1,0)+1),MATCH(K$1,enemy_skill_sets!$1:$1,0)-MATCH($A$1,enemy_skill_sets!$1:$1,0)+1,FALSE)</f>
        <v>開幕</v>
      </c>
    </row>
    <row r="24" spans="1:11" ht="21" customHeight="1">
      <c r="A24" s="47">
        <v>112191322</v>
      </c>
      <c r="B24" s="47">
        <v>0</v>
      </c>
      <c r="C24" s="47">
        <v>3</v>
      </c>
      <c r="D24" s="47">
        <v>100</v>
      </c>
      <c r="E24" s="47" t="s">
        <v>182</v>
      </c>
      <c r="F24" s="47" t="s">
        <v>89</v>
      </c>
      <c r="G24" s="47">
        <v>1</v>
      </c>
      <c r="H24" s="47" t="s">
        <v>89</v>
      </c>
      <c r="I24" s="47" t="s">
        <v>89</v>
      </c>
      <c r="J24" s="48">
        <f t="shared" si="8"/>
        <v>100</v>
      </c>
      <c r="K24" s="48" t="str">
        <f ca="1">VLOOKUP($A24,OFFSET(enemy_skill_sets!$F$1,0,0,COUNTA(enemy_skill_sets!$A:$A),MATCH(K$1,enemy_skill_sets!$1:$1,0)-MATCH($A$1,enemy_skill_sets!$1:$1,0)+1),MATCH(K$1,enemy_skill_sets!$1:$1,0)-MATCH($A$1,enemy_skill_sets!$1:$1,0)+1,FALSE)</f>
        <v>1回のみ</v>
      </c>
    </row>
    <row r="25" spans="1:11" ht="21" customHeight="1">
      <c r="A25" s="47">
        <v>112191323</v>
      </c>
      <c r="B25" s="47">
        <v>0</v>
      </c>
      <c r="C25" s="47">
        <v>2</v>
      </c>
      <c r="D25" s="47">
        <v>100</v>
      </c>
      <c r="E25" s="47" t="s">
        <v>182</v>
      </c>
      <c r="F25" s="47" t="s">
        <v>89</v>
      </c>
      <c r="G25" s="47">
        <v>1</v>
      </c>
      <c r="H25" s="47" t="s">
        <v>89</v>
      </c>
      <c r="I25" s="47" t="s">
        <v>89</v>
      </c>
      <c r="J25" s="48">
        <f t="shared" si="8"/>
        <v>100</v>
      </c>
      <c r="K25" s="48" t="str">
        <f ca="1">VLOOKUP($A25,OFFSET(enemy_skill_sets!$F$1,0,0,COUNTA(enemy_skill_sets!$A:$A),MATCH(K$1,enemy_skill_sets!$1:$1,0)-MATCH($A$1,enemy_skill_sets!$1:$1,0)+1),MATCH(K$1,enemy_skill_sets!$1:$1,0)-MATCH($A$1,enemy_skill_sets!$1:$1,0)+1,FALSE)</f>
        <v>1回のみ</v>
      </c>
    </row>
    <row r="26" spans="1:11" ht="21" customHeight="1">
      <c r="A26" s="47">
        <v>112191324</v>
      </c>
      <c r="B26" s="47">
        <v>0</v>
      </c>
      <c r="C26" s="47">
        <v>1</v>
      </c>
      <c r="D26" s="47">
        <v>100</v>
      </c>
      <c r="E26" s="47" t="s">
        <v>182</v>
      </c>
      <c r="F26" s="47" t="s">
        <v>53</v>
      </c>
      <c r="G26" s="47">
        <v>1</v>
      </c>
      <c r="H26" s="47" t="s">
        <v>53</v>
      </c>
      <c r="I26" s="47">
        <v>296</v>
      </c>
      <c r="J26" s="48">
        <f t="shared" ref="J26" si="9">D26</f>
        <v>100</v>
      </c>
      <c r="K26" s="48" t="str">
        <f ca="1">VLOOKUP($A26,OFFSET(enemy_skill_sets!$F$1,0,0,COUNTA(enemy_skill_sets!$A:$A),MATCH(K$1,enemy_skill_sets!$1:$1,0)-MATCH($A$1,enemy_skill_sets!$1:$1,0)+1),MATCH(K$1,enemy_skill_sets!$1:$1,0)-MATCH($A$1,enemy_skill_sets!$1:$1,0)+1,FALSE)</f>
        <v>296が死んだ時</v>
      </c>
    </row>
  </sheetData>
  <autoFilter ref="A1:G1"/>
  <phoneticPr fontId="5"/>
  <printOptions gridLines="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N4"/>
  <sheetViews>
    <sheetView showGridLines="0" workbookViewId="0">
      <pane ySplit="1" topLeftCell="A2" activePane="bottomLeft" state="frozen"/>
      <selection pane="bottomLeft" activeCell="L3" sqref="L3"/>
    </sheetView>
  </sheetViews>
  <sheetFormatPr baseColWidth="12" defaultColWidth="13" defaultRowHeight="18" outlineLevelCol="1" x14ac:dyDescent="0"/>
  <cols>
    <col min="1" max="1" width="13" style="7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0" width="11.1640625" customWidth="1"/>
    <col min="11" max="12" width="28.83203125" bestFit="1" customWidth="1"/>
  </cols>
  <sheetData>
    <row r="1" spans="1:14">
      <c r="A1" s="72" t="s">
        <v>160</v>
      </c>
      <c r="B1" s="69" t="s">
        <v>161</v>
      </c>
      <c r="C1" s="73" t="s">
        <v>162</v>
      </c>
      <c r="D1" s="73" t="s">
        <v>33</v>
      </c>
      <c r="E1" s="69" t="s">
        <v>163</v>
      </c>
      <c r="F1" s="73" t="s">
        <v>164</v>
      </c>
      <c r="G1" s="73" t="s">
        <v>33</v>
      </c>
      <c r="H1" s="69" t="s">
        <v>165</v>
      </c>
      <c r="I1" s="79" t="s">
        <v>166</v>
      </c>
      <c r="J1" s="84" t="s">
        <v>126</v>
      </c>
      <c r="K1" s="84" t="s">
        <v>159</v>
      </c>
      <c r="L1" s="82" t="s">
        <v>158</v>
      </c>
      <c r="M1" s="87" t="s">
        <v>167</v>
      </c>
    </row>
    <row r="2" spans="1:14" ht="68">
      <c r="A2" s="74" t="s">
        <v>169</v>
      </c>
      <c r="B2" s="75">
        <f>floors!$C$2</f>
        <v>11219</v>
      </c>
      <c r="C2" s="80" t="str">
        <f ca="1">VLOOKUP($B2,OFFSET([2]quests!$A$1,0,0,COUNTA([2]quests!$A:$A),MATCH(C$1,[2]quests!$1:$1,0)-MATCH($B$1,[2]quests!$1:$1,0)+1),MATCH(C$1,[2]quests!$1:$1,0)-MATCH($B$1,[2]quests!$1:$1,0)+1,FALSE)</f>
        <v>200万DL記念★特別クエスト</v>
      </c>
      <c r="D2" s="80" t="str">
        <f ca="1">VLOOKUP($B2,OFFSET([2]quests!$A$1,0,0,COUNTA([2]quests!$A:$A),MATCH(D$1,[2]quests!$1:$1,0)-MATCH($B$1,[2]quests!$1:$1,0)+1),MATCH(D$1,[2]quests!$1:$1,0)-MATCH($B$1,[2]quests!$1:$1,0)+1,FALSE)</f>
        <v>200万DL記念★特別クエスト</v>
      </c>
      <c r="E2" s="77">
        <v>1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ミリオンダックより愛を込めて 2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200万DL記念★特別クエスト</v>
      </c>
      <c r="H2" s="81">
        <v>0</v>
      </c>
      <c r="I2" s="56">
        <v>112191</v>
      </c>
      <c r="J2" s="76" t="s">
        <v>168</v>
      </c>
      <c r="K2" s="77" t="s">
        <v>267</v>
      </c>
      <c r="L2" s="91" t="s">
        <v>278</v>
      </c>
      <c r="M2" s="56" t="s">
        <v>176</v>
      </c>
      <c r="N2">
        <f>LEN(L2)</f>
        <v>61</v>
      </c>
    </row>
    <row r="3" spans="1:14" ht="68">
      <c r="A3" s="74" t="s">
        <v>264</v>
      </c>
      <c r="B3" s="75">
        <f>floors!$C$2</f>
        <v>11219</v>
      </c>
      <c r="C3" s="80" t="str">
        <f ca="1">VLOOKUP($B3,OFFSET([2]quests!$A$1,0,0,COUNTA([2]quests!$A:$A),MATCH(C$1,[2]quests!$1:$1,0)-MATCH($B$1,[2]quests!$1:$1,0)+1),MATCH(C$1,[2]quests!$1:$1,0)-MATCH($B$1,[2]quests!$1:$1,0)+1,FALSE)</f>
        <v>200万DL記念★特別クエスト</v>
      </c>
      <c r="D3" s="80" t="str">
        <f ca="1">VLOOKUP($B3,OFFSET([2]quests!$A$1,0,0,COUNTA([2]quests!$A:$A),MATCH(D$1,[2]quests!$1:$1,0)-MATCH($B$1,[2]quests!$1:$1,0)+1),MATCH(D$1,[2]quests!$1:$1,0)-MATCH($B$1,[2]quests!$1:$1,0)+1,FALSE)</f>
        <v>200万DL記念★特別クエスト</v>
      </c>
      <c r="E3" s="77">
        <v>1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ミリオンダックより愛を込めて 2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200万DL記念★特別クエスト</v>
      </c>
      <c r="H3" s="81">
        <v>0</v>
      </c>
      <c r="I3" s="56">
        <v>112192</v>
      </c>
      <c r="J3" s="76" t="s">
        <v>168</v>
      </c>
      <c r="K3" s="77" t="s">
        <v>265</v>
      </c>
      <c r="L3" s="91" t="s">
        <v>266</v>
      </c>
      <c r="M3" s="56" t="s">
        <v>176</v>
      </c>
      <c r="N3">
        <f>LEN(L3)</f>
        <v>62</v>
      </c>
    </row>
    <row r="4" spans="1:14">
      <c r="K4" s="90" t="s">
        <v>183</v>
      </c>
      <c r="L4" s="90" t="s">
        <v>183</v>
      </c>
    </row>
  </sheetData>
  <phoneticPr fontId="5"/>
  <dataValidations count="1">
    <dataValidation type="list" allowBlank="1" showInputMessage="1" showErrorMessage="1" sqref="A2:A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stage_hints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吉澤 曜祐</cp:lastModifiedBy>
  <dcterms:created xsi:type="dcterms:W3CDTF">2015-01-30T13:36:44Z</dcterms:created>
  <dcterms:modified xsi:type="dcterms:W3CDTF">2016-02-19T07:55:36Z</dcterms:modified>
</cp:coreProperties>
</file>