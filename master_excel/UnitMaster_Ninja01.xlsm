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460" windowWidth="24420" windowHeight="1500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11" i="57" l="1"/>
  <c r="E11" i="57"/>
  <c r="B11" i="57"/>
  <c r="F10" i="57"/>
  <c r="E10" i="57"/>
  <c r="B10" i="57"/>
  <c r="F8" i="57"/>
  <c r="E8" i="57"/>
  <c r="B8" i="57"/>
  <c r="D19" i="54"/>
  <c r="E19" i="54"/>
  <c r="D20" i="54"/>
  <c r="E20" i="54"/>
  <c r="D21" i="54"/>
  <c r="E21" i="54"/>
  <c r="D22" i="54"/>
  <c r="E22" i="54"/>
  <c r="D23" i="54"/>
  <c r="E23" i="54"/>
  <c r="D24" i="54"/>
  <c r="E24" i="54"/>
  <c r="D25" i="54"/>
  <c r="E25" i="54"/>
  <c r="D26" i="54"/>
  <c r="E26" i="54"/>
  <c r="D27" i="54"/>
  <c r="E27" i="54"/>
  <c r="D28" i="54"/>
  <c r="E28" i="54"/>
  <c r="D29" i="54"/>
  <c r="E29" i="54"/>
  <c r="D30" i="54"/>
  <c r="E30" i="54"/>
  <c r="D31" i="54"/>
  <c r="E31" i="54"/>
  <c r="D32" i="54"/>
  <c r="E32" i="54"/>
  <c r="D33" i="54"/>
  <c r="E33" i="54"/>
  <c r="D34" i="54"/>
  <c r="E34" i="54"/>
  <c r="D35" i="54"/>
  <c r="E35" i="54"/>
  <c r="D36" i="54"/>
  <c r="E36" i="54"/>
  <c r="D37" i="54"/>
  <c r="E37" i="54"/>
  <c r="D38" i="54"/>
  <c r="E38" i="54"/>
  <c r="D39" i="54"/>
  <c r="E39" i="54"/>
  <c r="D40" i="54"/>
  <c r="E40" i="54"/>
  <c r="D41" i="54"/>
  <c r="E41" i="54"/>
  <c r="D42" i="54"/>
  <c r="E42" i="54"/>
  <c r="D43" i="54"/>
  <c r="E43" i="54"/>
  <c r="D44" i="54"/>
  <c r="E44" i="54"/>
  <c r="D45" i="54"/>
  <c r="E45" i="54"/>
  <c r="D46" i="54"/>
  <c r="E46" i="54"/>
  <c r="D47" i="54"/>
  <c r="E47" i="54"/>
  <c r="D48" i="54"/>
  <c r="E48" i="54"/>
  <c r="D49" i="54"/>
  <c r="E49" i="54"/>
  <c r="D50" i="54"/>
  <c r="E50" i="54"/>
  <c r="D51" i="54"/>
  <c r="E51" i="54"/>
  <c r="D52" i="54"/>
  <c r="E52" i="54"/>
  <c r="D53" i="54"/>
  <c r="E53" i="54"/>
  <c r="D54" i="54"/>
  <c r="E54" i="54"/>
  <c r="D55" i="54"/>
  <c r="E55" i="54"/>
  <c r="D56" i="54"/>
  <c r="E56" i="54"/>
  <c r="D57" i="54"/>
  <c r="E57" i="54"/>
  <c r="D58" i="54"/>
  <c r="E58" i="54"/>
  <c r="D59" i="54"/>
  <c r="E59" i="54"/>
  <c r="D60" i="54"/>
  <c r="E60" i="54"/>
  <c r="D61" i="54"/>
  <c r="E61" i="54"/>
  <c r="D62" i="54"/>
  <c r="E62" i="54"/>
  <c r="D63" i="54"/>
  <c r="E63" i="54"/>
  <c r="D64" i="54"/>
  <c r="E64" i="54"/>
  <c r="D65" i="54"/>
  <c r="E65" i="54"/>
  <c r="D66" i="54"/>
  <c r="E66" i="54"/>
  <c r="D67" i="54"/>
  <c r="E67" i="54"/>
  <c r="D68" i="54"/>
  <c r="E68" i="54"/>
  <c r="D69" i="54"/>
  <c r="E69" i="54"/>
  <c r="B19" i="54"/>
  <c r="B20" i="54"/>
  <c r="B21" i="54"/>
  <c r="B22" i="54"/>
  <c r="B23" i="54"/>
  <c r="B24" i="54"/>
  <c r="B25" i="54"/>
  <c r="B26" i="54"/>
  <c r="B27" i="54"/>
  <c r="B28" i="54"/>
  <c r="B29" i="54"/>
  <c r="B30" i="54"/>
  <c r="B31" i="54"/>
  <c r="B32" i="54"/>
  <c r="B33" i="54"/>
  <c r="B34" i="54"/>
  <c r="B35" i="54"/>
  <c r="B36" i="54"/>
  <c r="B37" i="54"/>
  <c r="B38" i="54"/>
  <c r="B39" i="54"/>
  <c r="B40" i="54"/>
  <c r="B41" i="54"/>
  <c r="B42" i="54"/>
  <c r="B43" i="54"/>
  <c r="B44" i="54"/>
  <c r="B45" i="54"/>
  <c r="B46" i="54"/>
  <c r="B47" i="54"/>
  <c r="B48" i="54"/>
  <c r="B49" i="54"/>
  <c r="B50" i="54"/>
  <c r="B51" i="54"/>
  <c r="B52" i="54"/>
  <c r="B53" i="54"/>
  <c r="B54" i="54"/>
  <c r="B55" i="54"/>
  <c r="B56" i="54"/>
  <c r="B57" i="54"/>
  <c r="B58" i="54"/>
  <c r="B59" i="54"/>
  <c r="B60" i="54"/>
  <c r="B61" i="54"/>
  <c r="B62" i="54"/>
  <c r="B63" i="54"/>
  <c r="B64" i="54"/>
  <c r="B65" i="54"/>
  <c r="B66" i="54"/>
  <c r="B67" i="54"/>
  <c r="B68" i="54"/>
  <c r="B69" i="54"/>
  <c r="J36" i="3"/>
  <c r="H36" i="3"/>
  <c r="C36" i="3"/>
  <c r="F36" i="3"/>
  <c r="E36" i="3"/>
  <c r="D36" i="3"/>
  <c r="A36" i="3"/>
  <c r="J35" i="3"/>
  <c r="H35" i="3"/>
  <c r="C35" i="3"/>
  <c r="F35" i="3"/>
  <c r="E35" i="3"/>
  <c r="D35" i="3"/>
  <c r="A35" i="3"/>
  <c r="J34" i="3"/>
  <c r="H34" i="3"/>
  <c r="C34" i="3"/>
  <c r="F34" i="3"/>
  <c r="E34" i="3"/>
  <c r="D34" i="3"/>
  <c r="A34" i="3"/>
  <c r="J33" i="3"/>
  <c r="H33" i="3"/>
  <c r="C33" i="3"/>
  <c r="F33" i="3"/>
  <c r="E33" i="3"/>
  <c r="D33" i="3"/>
  <c r="A33" i="3"/>
  <c r="G9" i="58"/>
  <c r="U9" i="58"/>
  <c r="S9" i="58"/>
  <c r="T9" i="58"/>
  <c r="R9" i="58"/>
  <c r="P9" i="58"/>
  <c r="O9" i="58"/>
  <c r="N9" i="58"/>
  <c r="M9" i="58"/>
  <c r="L9" i="58"/>
  <c r="J9" i="58"/>
  <c r="K9" i="58"/>
  <c r="I9" i="58"/>
  <c r="H9" i="58"/>
  <c r="F9" i="58"/>
  <c r="E9" i="58"/>
  <c r="D9" i="58"/>
  <c r="C9" i="58"/>
  <c r="B9" i="58"/>
  <c r="H17" i="53"/>
  <c r="G17" i="53"/>
  <c r="E17" i="53"/>
  <c r="H16" i="53"/>
  <c r="G16" i="53"/>
  <c r="E16" i="53"/>
  <c r="K17" i="52"/>
  <c r="J17" i="52"/>
  <c r="H17" i="52"/>
  <c r="E17" i="52"/>
  <c r="K16" i="52"/>
  <c r="J16" i="52"/>
  <c r="H16" i="52"/>
  <c r="E16" i="52"/>
  <c r="H17" i="23"/>
  <c r="BR17" i="23"/>
  <c r="G17" i="23"/>
  <c r="BC17" i="23"/>
  <c r="BD17" i="23"/>
  <c r="Q17" i="23"/>
  <c r="V17" i="23"/>
  <c r="W17" i="23"/>
  <c r="AD17" i="23"/>
  <c r="I17" i="23"/>
  <c r="M17" i="23"/>
  <c r="BN17" i="23"/>
  <c r="U17" i="23"/>
  <c r="AC17" i="23"/>
  <c r="L17" i="23"/>
  <c r="BM17" i="23"/>
  <c r="T17" i="23"/>
  <c r="AB17" i="23"/>
  <c r="K17" i="23"/>
  <c r="BL17" i="23"/>
  <c r="S17" i="23"/>
  <c r="AA17" i="23"/>
  <c r="J17" i="23"/>
  <c r="BK17" i="23"/>
  <c r="H12" i="23"/>
  <c r="G12" i="23"/>
  <c r="BC12" i="23"/>
  <c r="H16" i="23"/>
  <c r="G16" i="23"/>
  <c r="BC16" i="23"/>
  <c r="BE17" i="23"/>
  <c r="BJ17" i="23"/>
  <c r="BI17" i="23"/>
  <c r="BH17" i="23"/>
  <c r="BG17" i="23"/>
  <c r="I12" i="23"/>
  <c r="J12" i="23"/>
  <c r="I16" i="23"/>
  <c r="J16" i="23"/>
  <c r="BF17" i="23"/>
  <c r="AX17" i="23"/>
  <c r="AW17" i="23"/>
  <c r="AV17" i="23"/>
  <c r="AU17" i="23"/>
  <c r="AS17" i="23"/>
  <c r="AR17" i="23"/>
  <c r="AQ17" i="23"/>
  <c r="AN17" i="23"/>
  <c r="AM17" i="23"/>
  <c r="AL17" i="23"/>
  <c r="AK17" i="23"/>
  <c r="AI17" i="23"/>
  <c r="AH17" i="23"/>
  <c r="AF17" i="23"/>
  <c r="Y17" i="23"/>
  <c r="Z17" i="23"/>
  <c r="X17" i="23"/>
  <c r="R17" i="23"/>
  <c r="P17" i="23"/>
  <c r="O17" i="23"/>
  <c r="N17" i="23"/>
  <c r="F17" i="23"/>
  <c r="E17" i="23"/>
  <c r="D17" i="23"/>
  <c r="C17" i="23"/>
  <c r="B17" i="23"/>
  <c r="BR16" i="23"/>
  <c r="BD16" i="23"/>
  <c r="Q16" i="23"/>
  <c r="V16" i="23"/>
  <c r="W16" i="23"/>
  <c r="AD16" i="23"/>
  <c r="M16" i="23"/>
  <c r="BN16" i="23"/>
  <c r="U16" i="23"/>
  <c r="AC16" i="23"/>
  <c r="L16" i="23"/>
  <c r="BM16" i="23"/>
  <c r="T16" i="23"/>
  <c r="AB16" i="23"/>
  <c r="K16" i="23"/>
  <c r="BL16" i="23"/>
  <c r="S16" i="23"/>
  <c r="AA16" i="23"/>
  <c r="BK16" i="23"/>
  <c r="BE16" i="23"/>
  <c r="BJ16" i="23"/>
  <c r="BI16" i="23"/>
  <c r="BH16" i="23"/>
  <c r="BG16" i="23"/>
  <c r="BF16" i="23"/>
  <c r="AX16" i="23"/>
  <c r="AW16" i="23"/>
  <c r="AV16" i="23"/>
  <c r="AU16" i="23"/>
  <c r="AS16" i="23"/>
  <c r="AR16" i="23"/>
  <c r="AQ16" i="23"/>
  <c r="AN16" i="23"/>
  <c r="AM16" i="23"/>
  <c r="AL16" i="23"/>
  <c r="AK16" i="23"/>
  <c r="AI16" i="23"/>
  <c r="AH16" i="23"/>
  <c r="AF16" i="23"/>
  <c r="Y16" i="23"/>
  <c r="Z16" i="23"/>
  <c r="X16" i="23"/>
  <c r="R16" i="23"/>
  <c r="P16" i="23"/>
  <c r="O16" i="23"/>
  <c r="N16" i="23"/>
  <c r="F16" i="23"/>
  <c r="E16" i="23"/>
  <c r="D16" i="23"/>
  <c r="C16" i="23"/>
  <c r="B16" i="23"/>
  <c r="F9" i="57"/>
  <c r="E9" i="57"/>
  <c r="B9" i="57"/>
  <c r="F7" i="57"/>
  <c r="E7" i="57"/>
  <c r="B7" i="57"/>
  <c r="F6" i="57"/>
  <c r="E6" i="57"/>
  <c r="B6" i="57"/>
  <c r="F5" i="57"/>
  <c r="E5" i="57"/>
  <c r="B5" i="57"/>
  <c r="G2" i="58"/>
  <c r="U2" i="58"/>
  <c r="F4" i="57"/>
  <c r="E4" i="57"/>
  <c r="B4" i="57"/>
  <c r="H3" i="23"/>
  <c r="BR3" i="23"/>
  <c r="H4" i="23"/>
  <c r="BR4" i="23"/>
  <c r="H5" i="23"/>
  <c r="BR5" i="23"/>
  <c r="H6" i="23"/>
  <c r="BR6" i="23"/>
  <c r="H7" i="23"/>
  <c r="BR7" i="23"/>
  <c r="H8" i="23"/>
  <c r="BR8" i="23"/>
  <c r="H9" i="23"/>
  <c r="BR9" i="23"/>
  <c r="H10" i="23"/>
  <c r="BR10" i="23"/>
  <c r="H11" i="23"/>
  <c r="BR11" i="23"/>
  <c r="BR12" i="23"/>
  <c r="H13" i="23"/>
  <c r="BR13" i="23"/>
  <c r="H14" i="23"/>
  <c r="BR14" i="23"/>
  <c r="H15" i="23"/>
  <c r="BR15" i="23"/>
  <c r="H2" i="23"/>
  <c r="BR2" i="23"/>
  <c r="J32" i="3"/>
  <c r="H32" i="3"/>
  <c r="C32" i="3"/>
  <c r="F32" i="3"/>
  <c r="E32" i="3"/>
  <c r="D32" i="3"/>
  <c r="A32" i="3"/>
  <c r="J31" i="3"/>
  <c r="H31" i="3"/>
  <c r="C31" i="3"/>
  <c r="F31" i="3"/>
  <c r="E31" i="3"/>
  <c r="D31" i="3"/>
  <c r="A31" i="3"/>
  <c r="J30" i="3"/>
  <c r="H30" i="3"/>
  <c r="C30" i="3"/>
  <c r="F30" i="3"/>
  <c r="E30" i="3"/>
  <c r="D30" i="3"/>
  <c r="A30" i="3"/>
  <c r="J29" i="3"/>
  <c r="H29" i="3"/>
  <c r="C29" i="3"/>
  <c r="F29" i="3"/>
  <c r="E29" i="3"/>
  <c r="D29" i="3"/>
  <c r="A29" i="3"/>
  <c r="J28" i="3"/>
  <c r="H28" i="3"/>
  <c r="C28" i="3"/>
  <c r="F28" i="3"/>
  <c r="E28" i="3"/>
  <c r="D28" i="3"/>
  <c r="A28" i="3"/>
  <c r="J27" i="3"/>
  <c r="H27" i="3"/>
  <c r="C27" i="3"/>
  <c r="F27" i="3"/>
  <c r="E27" i="3"/>
  <c r="D27" i="3"/>
  <c r="A27" i="3"/>
  <c r="J26" i="3"/>
  <c r="H26" i="3"/>
  <c r="C26" i="3"/>
  <c r="F26" i="3"/>
  <c r="E26" i="3"/>
  <c r="D26" i="3"/>
  <c r="A26" i="3"/>
  <c r="J25" i="3"/>
  <c r="H25" i="3"/>
  <c r="C25" i="3"/>
  <c r="F25" i="3"/>
  <c r="E25" i="3"/>
  <c r="D25" i="3"/>
  <c r="A25" i="3"/>
  <c r="J24" i="3"/>
  <c r="H24" i="3"/>
  <c r="C24" i="3"/>
  <c r="F24" i="3"/>
  <c r="E24" i="3"/>
  <c r="D24" i="3"/>
  <c r="A24" i="3"/>
  <c r="J23" i="3"/>
  <c r="H23" i="3"/>
  <c r="C23" i="3"/>
  <c r="F23" i="3"/>
  <c r="E23" i="3"/>
  <c r="D23" i="3"/>
  <c r="A23" i="3"/>
  <c r="J22" i="3"/>
  <c r="H22" i="3"/>
  <c r="C22" i="3"/>
  <c r="F22" i="3"/>
  <c r="E22" i="3"/>
  <c r="D22" i="3"/>
  <c r="A22" i="3"/>
  <c r="J21" i="3"/>
  <c r="H21" i="3"/>
  <c r="C21" i="3"/>
  <c r="F21" i="3"/>
  <c r="E21" i="3"/>
  <c r="D21" i="3"/>
  <c r="A21" i="3"/>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G8" i="58"/>
  <c r="U8" i="58"/>
  <c r="S8" i="58"/>
  <c r="T8" i="58"/>
  <c r="R8" i="58"/>
  <c r="P8" i="58"/>
  <c r="O8" i="58"/>
  <c r="N8" i="58"/>
  <c r="M8" i="58"/>
  <c r="L8" i="58"/>
  <c r="J8" i="58"/>
  <c r="K8" i="58"/>
  <c r="I8" i="58"/>
  <c r="H8" i="58"/>
  <c r="F8" i="58"/>
  <c r="E8" i="58"/>
  <c r="D8" i="58"/>
  <c r="C8" i="58"/>
  <c r="B8" i="58"/>
  <c r="G7" i="58"/>
  <c r="U7" i="58"/>
  <c r="S7" i="58"/>
  <c r="T7" i="58"/>
  <c r="R7" i="58"/>
  <c r="P7" i="58"/>
  <c r="O7" i="58"/>
  <c r="N7" i="58"/>
  <c r="M7" i="58"/>
  <c r="L7" i="58"/>
  <c r="J7" i="58"/>
  <c r="K7" i="58"/>
  <c r="I7" i="58"/>
  <c r="H7" i="58"/>
  <c r="F7" i="58"/>
  <c r="E7" i="58"/>
  <c r="D7" i="58"/>
  <c r="C7" i="58"/>
  <c r="B7" i="58"/>
  <c r="G6" i="58"/>
  <c r="U6" i="58"/>
  <c r="S6" i="58"/>
  <c r="T6" i="58"/>
  <c r="R6" i="58"/>
  <c r="P6" i="58"/>
  <c r="O6" i="58"/>
  <c r="N6" i="58"/>
  <c r="M6" i="58"/>
  <c r="L6" i="58"/>
  <c r="J6" i="58"/>
  <c r="K6" i="58"/>
  <c r="I6" i="58"/>
  <c r="H6" i="58"/>
  <c r="F6" i="58"/>
  <c r="E6" i="58"/>
  <c r="D6" i="58"/>
  <c r="C6" i="58"/>
  <c r="B6" i="58"/>
  <c r="G5" i="58"/>
  <c r="U5"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D3" i="54"/>
  <c r="E3" i="54"/>
  <c r="D4" i="54"/>
  <c r="E4" i="54"/>
  <c r="D5" i="54"/>
  <c r="E5" i="54"/>
  <c r="D6" i="54"/>
  <c r="E6" i="54"/>
  <c r="D7" i="54"/>
  <c r="E7" i="54"/>
  <c r="D8" i="54"/>
  <c r="E8" i="54"/>
  <c r="D9" i="54"/>
  <c r="E9" i="54"/>
  <c r="D10" i="54"/>
  <c r="E10" i="54"/>
  <c r="D11" i="54"/>
  <c r="E11" i="54"/>
  <c r="D12" i="54"/>
  <c r="E12" i="54"/>
  <c r="D13" i="54"/>
  <c r="E13" i="54"/>
  <c r="D14" i="54"/>
  <c r="E14" i="54"/>
  <c r="D15" i="54"/>
  <c r="E15" i="54"/>
  <c r="D16" i="54"/>
  <c r="E16" i="54"/>
  <c r="D17" i="54"/>
  <c r="E17" i="54"/>
  <c r="D18" i="54"/>
  <c r="E18" i="54"/>
  <c r="H15" i="53"/>
  <c r="G15" i="53"/>
  <c r="E15" i="53"/>
  <c r="H14" i="53"/>
  <c r="G14" i="53"/>
  <c r="E14" i="53"/>
  <c r="H13" i="53"/>
  <c r="G13" i="53"/>
  <c r="E13" i="53"/>
  <c r="H12" i="53"/>
  <c r="G12" i="53"/>
  <c r="E12" i="53"/>
  <c r="H11" i="53"/>
  <c r="G11" i="53"/>
  <c r="E11" i="53"/>
  <c r="H10" i="53"/>
  <c r="G10" i="53"/>
  <c r="E10" i="53"/>
  <c r="H9" i="53"/>
  <c r="G9" i="53"/>
  <c r="E9" i="53"/>
  <c r="H8" i="53"/>
  <c r="G8" i="53"/>
  <c r="E8" i="53"/>
  <c r="H7" i="53"/>
  <c r="G7" i="53"/>
  <c r="E7" i="53"/>
  <c r="H6" i="53"/>
  <c r="G6" i="53"/>
  <c r="E6" i="53"/>
  <c r="K15" i="52"/>
  <c r="J15" i="52"/>
  <c r="H15" i="52"/>
  <c r="E15" i="52"/>
  <c r="K14" i="52"/>
  <c r="J14" i="52"/>
  <c r="H14" i="52"/>
  <c r="E14" i="52"/>
  <c r="K13" i="52"/>
  <c r="J13" i="52"/>
  <c r="H13" i="52"/>
  <c r="E13" i="52"/>
  <c r="K12" i="52"/>
  <c r="J12" i="52"/>
  <c r="H12" i="52"/>
  <c r="E12" i="52"/>
  <c r="K11" i="52"/>
  <c r="J11" i="52"/>
  <c r="H11" i="52"/>
  <c r="E11" i="52"/>
  <c r="K10" i="52"/>
  <c r="J10" i="52"/>
  <c r="H10" i="52"/>
  <c r="E10" i="52"/>
  <c r="K9" i="52"/>
  <c r="J9" i="52"/>
  <c r="H9" i="52"/>
  <c r="E9" i="52"/>
  <c r="K8" i="52"/>
  <c r="J8" i="52"/>
  <c r="H8" i="52"/>
  <c r="E8" i="52"/>
  <c r="K7" i="52"/>
  <c r="J7" i="52"/>
  <c r="H7" i="52"/>
  <c r="E7" i="52"/>
  <c r="K6" i="52"/>
  <c r="J6" i="52"/>
  <c r="H6" i="52"/>
  <c r="E6" i="52"/>
  <c r="G15" i="23"/>
  <c r="BC15" i="23"/>
  <c r="BD15" i="23"/>
  <c r="Q15" i="23"/>
  <c r="V15" i="23"/>
  <c r="W15" i="23"/>
  <c r="AD15" i="23"/>
  <c r="I15" i="23"/>
  <c r="M15" i="23"/>
  <c r="BN15" i="23"/>
  <c r="U15" i="23"/>
  <c r="AC15" i="23"/>
  <c r="L15" i="23"/>
  <c r="BM15" i="23"/>
  <c r="T15" i="23"/>
  <c r="AB15" i="23"/>
  <c r="K15" i="23"/>
  <c r="BL15" i="23"/>
  <c r="S15" i="23"/>
  <c r="AA15" i="23"/>
  <c r="J15" i="23"/>
  <c r="BK15" i="23"/>
  <c r="G14" i="23"/>
  <c r="BC14" i="23"/>
  <c r="BE15" i="23"/>
  <c r="BJ15" i="23"/>
  <c r="BI15" i="23"/>
  <c r="BH15" i="23"/>
  <c r="BG15" i="23"/>
  <c r="I14" i="23"/>
  <c r="J14" i="23"/>
  <c r="BF15" i="23"/>
  <c r="AX15" i="23"/>
  <c r="AW15" i="23"/>
  <c r="AV15" i="23"/>
  <c r="AU15" i="23"/>
  <c r="AS15" i="23"/>
  <c r="AR15" i="23"/>
  <c r="AQ15" i="23"/>
  <c r="AN15" i="23"/>
  <c r="AM15" i="23"/>
  <c r="AL15" i="23"/>
  <c r="AK15" i="23"/>
  <c r="AI15" i="23"/>
  <c r="AH15" i="23"/>
  <c r="AF15" i="23"/>
  <c r="Y15" i="23"/>
  <c r="Z15" i="23"/>
  <c r="X15" i="23"/>
  <c r="R15" i="23"/>
  <c r="P15" i="23"/>
  <c r="O15" i="23"/>
  <c r="G9" i="13"/>
  <c r="N15" i="23"/>
  <c r="F15" i="23"/>
  <c r="E15" i="23"/>
  <c r="D15" i="23"/>
  <c r="C15" i="23"/>
  <c r="B15"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G13" i="23"/>
  <c r="BC13" i="23"/>
  <c r="BD13" i="23"/>
  <c r="Q13" i="23"/>
  <c r="V13" i="23"/>
  <c r="W13" i="23"/>
  <c r="AD13" i="23"/>
  <c r="I13" i="23"/>
  <c r="M13" i="23"/>
  <c r="BN13" i="23"/>
  <c r="U13" i="23"/>
  <c r="AC13" i="23"/>
  <c r="L13" i="23"/>
  <c r="BM13" i="23"/>
  <c r="T13" i="23"/>
  <c r="AB13" i="23"/>
  <c r="K13" i="23"/>
  <c r="BL13" i="23"/>
  <c r="S13" i="23"/>
  <c r="AA13" i="23"/>
  <c r="J13" i="23"/>
  <c r="BK13" i="23"/>
  <c r="BE13" i="23"/>
  <c r="BJ13" i="23"/>
  <c r="BI13" i="23"/>
  <c r="BH13" i="23"/>
  <c r="BG13" i="23"/>
  <c r="BF13" i="23"/>
  <c r="AX13" i="23"/>
  <c r="AW13" i="23"/>
  <c r="AV13" i="23"/>
  <c r="AU13" i="23"/>
  <c r="AS13" i="23"/>
  <c r="AR13" i="23"/>
  <c r="AQ13" i="23"/>
  <c r="AN13" i="23"/>
  <c r="AM13" i="23"/>
  <c r="AL13" i="23"/>
  <c r="AK13" i="23"/>
  <c r="AI13" i="23"/>
  <c r="AH13" i="23"/>
  <c r="AF13" i="23"/>
  <c r="Y13" i="23"/>
  <c r="Z13" i="23"/>
  <c r="X13" i="23"/>
  <c r="R13" i="23"/>
  <c r="P13" i="23"/>
  <c r="O13" i="23"/>
  <c r="N13" i="23"/>
  <c r="F13" i="23"/>
  <c r="E13" i="23"/>
  <c r="D13" i="23"/>
  <c r="C13" i="23"/>
  <c r="B13"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G11" i="23"/>
  <c r="BC11" i="23"/>
  <c r="BD11" i="23"/>
  <c r="Q11" i="23"/>
  <c r="V11" i="23"/>
  <c r="W11" i="23"/>
  <c r="AD11" i="23"/>
  <c r="I11" i="23"/>
  <c r="M11" i="23"/>
  <c r="BN11" i="23"/>
  <c r="U11" i="23"/>
  <c r="AC11" i="23"/>
  <c r="L11" i="23"/>
  <c r="BM11" i="23"/>
  <c r="T11" i="23"/>
  <c r="AB11" i="23"/>
  <c r="K11" i="23"/>
  <c r="BL11" i="23"/>
  <c r="S11" i="23"/>
  <c r="AA11" i="23"/>
  <c r="J11" i="23"/>
  <c r="BK11" i="23"/>
  <c r="G10" i="23"/>
  <c r="BC10" i="23"/>
  <c r="BE11" i="23"/>
  <c r="BJ11" i="23"/>
  <c r="BI11" i="23"/>
  <c r="BH11" i="23"/>
  <c r="BG11" i="23"/>
  <c r="I10" i="23"/>
  <c r="J10" i="23"/>
  <c r="BF11" i="23"/>
  <c r="AX11" i="23"/>
  <c r="AW11" i="23"/>
  <c r="AV11" i="23"/>
  <c r="AU11" i="23"/>
  <c r="AS11" i="23"/>
  <c r="AR11" i="23"/>
  <c r="AQ11" i="23"/>
  <c r="AN11" i="23"/>
  <c r="AM11" i="23"/>
  <c r="AL11" i="23"/>
  <c r="AK11" i="23"/>
  <c r="AI11" i="23"/>
  <c r="AH11" i="23"/>
  <c r="AF11" i="23"/>
  <c r="Y11" i="23"/>
  <c r="Z11" i="23"/>
  <c r="X11" i="23"/>
  <c r="R11" i="23"/>
  <c r="P11" i="23"/>
  <c r="O11" i="23"/>
  <c r="G3" i="13"/>
  <c r="N11" i="23"/>
  <c r="F11" i="23"/>
  <c r="E11" i="23"/>
  <c r="D11" i="23"/>
  <c r="C11" i="23"/>
  <c r="B11"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G9" i="23"/>
  <c r="BC9" i="23"/>
  <c r="BD9" i="23"/>
  <c r="Q9" i="23"/>
  <c r="V9" i="23"/>
  <c r="W9" i="23"/>
  <c r="AD9" i="23"/>
  <c r="I9" i="23"/>
  <c r="M9" i="23"/>
  <c r="BN9" i="23"/>
  <c r="U9" i="23"/>
  <c r="AC9" i="23"/>
  <c r="L9" i="23"/>
  <c r="BM9" i="23"/>
  <c r="T9" i="23"/>
  <c r="AB9" i="23"/>
  <c r="K9" i="23"/>
  <c r="BL9" i="23"/>
  <c r="S9" i="23"/>
  <c r="AA9" i="23"/>
  <c r="J9" i="23"/>
  <c r="BK9"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G4" i="13"/>
  <c r="N9" i="23"/>
  <c r="F9" i="23"/>
  <c r="E9" i="23"/>
  <c r="D9" i="23"/>
  <c r="C9" i="23"/>
  <c r="B9"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G7" i="23"/>
  <c r="BC7" i="23"/>
  <c r="BD7" i="23"/>
  <c r="Q7" i="23"/>
  <c r="V7" i="23"/>
  <c r="W7" i="23"/>
  <c r="AD7" i="23"/>
  <c r="I7" i="23"/>
  <c r="M7" i="23"/>
  <c r="BN7" i="23"/>
  <c r="U7" i="23"/>
  <c r="AC7" i="23"/>
  <c r="L7" i="23"/>
  <c r="BM7" i="23"/>
  <c r="T7" i="23"/>
  <c r="AB7" i="23"/>
  <c r="K7" i="23"/>
  <c r="BL7" i="23"/>
  <c r="S7" i="23"/>
  <c r="AA7" i="23"/>
  <c r="J7" i="23"/>
  <c r="BK7" i="23"/>
  <c r="G4" i="23"/>
  <c r="BC4" i="23"/>
  <c r="G6" i="23"/>
  <c r="BC6" i="23"/>
  <c r="BE7" i="23"/>
  <c r="BJ7" i="23"/>
  <c r="BI7" i="23"/>
  <c r="BH7" i="23"/>
  <c r="BG7" i="23"/>
  <c r="I4" i="23"/>
  <c r="J4" i="23"/>
  <c r="I6" i="23"/>
  <c r="J6"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F3" i="57"/>
  <c r="E3" i="57"/>
  <c r="B3" i="57"/>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3" i="58"/>
  <c r="U3" i="58"/>
  <c r="S3" i="58"/>
  <c r="T3" i="58"/>
  <c r="R3" i="58"/>
  <c r="P3" i="58"/>
  <c r="O3" i="58"/>
  <c r="N3" i="58"/>
  <c r="M3" i="58"/>
  <c r="L3" i="58"/>
  <c r="J3" i="58"/>
  <c r="K3" i="58"/>
  <c r="I3" i="58"/>
  <c r="H3" i="58"/>
  <c r="F3" i="58"/>
  <c r="E3" i="58"/>
  <c r="D3" i="58"/>
  <c r="C3" i="58"/>
  <c r="B3" i="58"/>
  <c r="B18" i="54"/>
  <c r="B17" i="54"/>
  <c r="B16" i="54"/>
  <c r="B15" i="54"/>
  <c r="B14" i="54"/>
  <c r="B13" i="54"/>
  <c r="B12" i="54"/>
  <c r="B11" i="54"/>
  <c r="H5" i="53"/>
  <c r="G5" i="53"/>
  <c r="E5" i="53"/>
  <c r="H4" i="53"/>
  <c r="G4" i="53"/>
  <c r="E4" i="53"/>
  <c r="K5" i="52"/>
  <c r="J5" i="52"/>
  <c r="H5" i="52"/>
  <c r="E5" i="52"/>
  <c r="K4" i="52"/>
  <c r="J4" i="52"/>
  <c r="H4" i="52"/>
  <c r="E4" i="52"/>
  <c r="G5" i="23"/>
  <c r="BC5" i="23"/>
  <c r="BD5" i="23"/>
  <c r="Q5" i="23"/>
  <c r="V5" i="23"/>
  <c r="W5" i="23"/>
  <c r="AD5" i="23"/>
  <c r="I5" i="23"/>
  <c r="M5" i="23"/>
  <c r="BN5" i="23"/>
  <c r="U5" i="23"/>
  <c r="AC5" i="23"/>
  <c r="L5" i="23"/>
  <c r="BM5" i="23"/>
  <c r="T5" i="23"/>
  <c r="AB5" i="23"/>
  <c r="K5" i="23"/>
  <c r="BL5" i="23"/>
  <c r="S5" i="23"/>
  <c r="AA5" i="23"/>
  <c r="J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G10" i="13"/>
  <c r="N5" i="23"/>
  <c r="F5" i="23"/>
  <c r="E5" i="23"/>
  <c r="D5" i="23"/>
  <c r="C5" i="23"/>
  <c r="B5"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E2" i="54"/>
  <c r="B10" i="54"/>
  <c r="B4" i="54"/>
  <c r="B9" i="54"/>
  <c r="B8" i="54"/>
  <c r="B7" i="54"/>
  <c r="B6" i="54"/>
  <c r="B3" i="54"/>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B2" i="23"/>
  <c r="B3" i="2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<sst xmlns="http://schemas.openxmlformats.org/spreadsheetml/2006/main" count="1301" uniqueCount="478">
  <si>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</si>
  <si>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</si>
  <si>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</si>
  <si>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</si>
  <si>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</si>
  <si>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</si>
  <si>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</si>
  <si>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</si>
  <si>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</si>
  <si>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</si>
  <si>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</si>
  <si>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</si>
  <si>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</si>
  <si>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</si>
  <si>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</si>
  <si>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</si>
  <si>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</si>
  <si>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</si>
  <si>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</si>
  <si>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</si>
  <si>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</si>
  <si>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</si>
  <si>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</si>
  <si>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</si>
  <si>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</si>
  <si>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</si>
  <si>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</si>
  <si>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</si>
  <si>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</si>
  <si>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</si>
  <si>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</si>
  <si>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</si>
  <si>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</si>
  <si>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</si>
  <si>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</si>
  <si>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</si>
  <si>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</si>
  <si>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</si>
  <si>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</si>
  <si>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</si>
  <si>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</si>
  <si>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</si>
  <si>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</si>
  <si>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</si>
  <si>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</si>
  <si>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</si>
  <si>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</si>
  <si>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</si>
  <si>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</si>
  <si>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</si>
  <si>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</si>
  <si>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</si>
  <si>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</si>
  <si>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</si>
  <si>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</si>
  <si>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</si>
  <si>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</si>
  <si>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</si>
  <si>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</si>
  <si>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</si>
  <si>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</si>
  <si>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</si>
  <si>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</si>
  <si>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</si>
  <si>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</si>
  <si>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</si>
  <si>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</si>
  <si>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</si>
  <si>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</si>
  <si>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</si>
  <si>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</si>
  <si>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</si>
  <si>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</si>
  <si>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</si>
  <si>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</si>
  <si>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</si>
  <si>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</si>
  <si>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</si>
  <si>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</si>
  <si>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</si>
  <si>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</si>
  <si>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</si>
  <si>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</si>
  <si>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</si>
  <si>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</si>
  <si>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</si>
  <si>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</si>
  <si>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</si>
  <si>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</si>
  <si>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</si>
  <si>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</si>
  <si>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</si>
  <si>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</si>
  <si>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</si>
  <si>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</si>
  <si>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</si>
  <si>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</si>
  <si>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</si>
  <si>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</si>
  <si>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</si>
  <si>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</si>
  <si>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</si>
  <si>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</si>
  <si>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</si>
  <si>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</si>
  <si>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</si>
  <si>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</si>
  <si>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</si>
  <si>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</si>
  <si>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</si>
  <si>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</si>
  <si>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</si>
  <si>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</si>
  <si>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</si>
  <si>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</si>
  <si>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</si>
  <si>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</si>
  <si>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</si>
  <si>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</si>
  <si>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</si>
  <si>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</si>
  <si>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</si>
  <si>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</si>
  <si>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</si>
  <si>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</si>
  <si>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</si>
  <si>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</si>
  <si>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</si>
  <si>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</si>
  <si>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</si>
  <si>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</si>
  <si>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</si>
  <si>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</si>
  <si>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</si>
  <si>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</si>
  <si>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</si>
  <si>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</si>
  <si>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</si>
  <si>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</si>
  <si>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</si>
  <si>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</si>
  <si>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</si>
  <si>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</si>
  <si>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</si>
  <si>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</si>
  <si>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</si>
  <si>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</si>
  <si>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</si>
  <si>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</si>
  <si>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</si>
  <si>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</si>
  <si>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</si>
  <si>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</si>
  <si>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</si>
  <si>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</si>
  <si>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</si>
  <si>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</si>
  <si>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</si>
  <si>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</si>
  <si>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</si>
  <si>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</si>
  <si>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</si>
  <si>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</si>
  <si>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</si>
  <si>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</si>
  <si>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</si>
  <si>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</si>
  <si>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</si>
  <si>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</si>
  <si>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</si>
  <si>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</si>
  <si>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</si>
  <si>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</si>
  <si>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</si>
  <si>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</si>
  <si>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</si>
  <si>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</si>
  <si>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</si>
  <si>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</si>
  <si>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</si>
  <si>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</si>
  <si>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</si>
  <si>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</si>
  <si>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</si>
  <si>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</si>
  <si>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</si>
  <si>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</si>
  <si>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</si>
  <si>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</si>
  <si>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</si>
  <si>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</si>
  <si>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</si>
  <si>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</si>
  <si>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</si>
  <si>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</si>
  <si>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</si>
  <si>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</si>
  <si>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</si>
  <si>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</si>
  <si>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</si>
  <si>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</si>
  <si>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</si>
  <si>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</si>
  <si>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</si>
  <si>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</si>
  <si>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</si>
  <si>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</si>
  <si>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</si>
  <si>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</si>
  <si>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</si>
  <si>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</si>
  <si>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</si>
  <si>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</si>
  <si>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</si>
  <si>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</si>
  <si>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</si>
  <si>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</si>
  <si>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</si>
  <si>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</si>
  <si>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</si>
  <si>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</si>
  <si>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</si>
  <si>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</si>
  <si>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</si>
  <si>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</si>
  <si>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</si>
  <si>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</si>
  <si>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</si>
  <si>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</si>
  <si>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</si>
  <si>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</si>
  <si>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</si>
  <si>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</si>
  <si>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</si>
  <si>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</si>
  <si>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</si>
  <si>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</si>
  <si>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</si>
  <si>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</si>
  <si>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</si>
  <si>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</si>
  <si>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</si>
  <si>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</si>
  <si>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</si>
  <si>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</si>
  <si>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</si>
  <si>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</si>
  <si>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</si>
  <si>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</si>
  <si>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</si>
  <si>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</si>
  <si>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</si>
  <si>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</si>
  <si>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</si>
  <si>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</si>
  <si>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</si>
  <si>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</si>
  <si>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</si>
  <si>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</si>
  <si>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</si>
  <si>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</si>
  <si>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</si>
  <si>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</si>
  <si>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</si>
  <si>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</si>
  <si>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</si>
  <si>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</si>
  <si>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</si>
  <si>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</si>
  <si>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</si>
  <si>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</si>
  <si>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</si>
  <si>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</si>
  <si>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</si>
  <si>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</si>
  <si>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</si>
  <si>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</si>
  <si>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</si>
  <si>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</si>
  <si>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</si>
  <si>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</si>
  <si>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</si>
  <si>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</si>
  <si>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</si>
  <si>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</si>
  <si>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</si>
  <si>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</si>
  <si>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</si>
  <si>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</si>
  <si>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</si>
  <si>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</si>
  <si>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</si>
  <si>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</si>
  <si>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</si>
  <si>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</si>
  <si>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</si>
  <si>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</si>
  <si>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</si>
  <si>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</si>
  <si>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</si>
  <si>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</si>
  <si>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</si>
  <si>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</si>
  <si>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</si>
  <si>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</si>
  <si>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</si>
  <si>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</si>
  <si>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</si>
  <si>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</si>
  <si>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</si>
  <si>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</si>
  <si>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</si>
  <si>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</si>
  <si>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</si>
  <si>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</si>
  <si>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</si>
  <si>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Ninja01</t>
  </si>
  <si>
    <t>Ninja01</t>
    <phoneticPr fontId="22"/>
  </si>
  <si>
    <t>[effect:damage, target:enemy_one, color:red, val:2.25, animation:damage_one_red04]</t>
    <phoneticPr fontId="22"/>
  </si>
  <si>
    <t>1体に特大ダメージ</t>
    <phoneticPr fontId="22"/>
  </si>
  <si>
    <t>1</t>
    <phoneticPr fontId="22"/>
  </si>
  <si>
    <t>old</t>
  </si>
  <si>
    <t>sell_ghosts</t>
  </si>
  <si>
    <t>sell_ghosts</t>
    <phoneticPr fontId="10"/>
  </si>
  <si>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</si>
  <si>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</si>
  <si>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</si>
  <si>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</si>
  <si>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</si>
  <si>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</si>
  <si>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</si>
  <si>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</si>
  <si>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</si>
  <si>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</si>
  <si>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</si>
  <si>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</si>
  <si>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</si>
  <si>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</si>
  <si>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</si>
  <si>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</si>
  <si>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</si>
  <si>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</si>
  <si>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</si>
  <si>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</si>
  <si>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[effect:damage, target:enemy_one, color:yellow, val:2.25, animation:damage_one_yellow04]</t>
    <phoneticPr fontId="22"/>
  </si>
  <si>
    <t>[effect:damage, target:enemy_one, color:yellow, val:2.5, animation:damage_one_yellow04]</t>
    <phoneticPr fontId="22"/>
  </si>
  <si>
    <t>1体に特大ダメージ</t>
    <phoneticPr fontId="22"/>
  </si>
  <si>
    <t>1体に超大ダメージ</t>
    <phoneticPr fontId="22"/>
  </si>
  <si>
    <t>15</t>
    <phoneticPr fontId="22"/>
  </si>
  <si>
    <t>[effect:damage, target:enemy_one, color:red, val:2.5, animation:damage_one_red04]</t>
    <phoneticPr fontId="22"/>
  </si>
  <si>
    <t>[effect:damage_hp, target:enemy_one, color:blue, val:1.125, animation:damage_one_blue04]</t>
    <phoneticPr fontId="22"/>
  </si>
  <si>
    <t>30</t>
    <phoneticPr fontId="22"/>
  </si>
  <si>
    <t>[effect:damage, target:enemy_one, color:blue, val:2.25, animation:damage_one_blue04],[effect:enhance_unit, target:unit_all, turn:1, status:heal, val:0.015, calc:mul, animation:enhance_unit_all_heal01_unit01]</t>
    <phoneticPr fontId="22"/>
  </si>
  <si>
    <t>[effect:damage_anti_tribe, target:enemy_one, tribe:machine, val1:3.75, val2:1, animation:damage_one_green04],[effect:heal_ratio, val:0.3, animation:heal03_unit01]</t>
    <phoneticPr fontId="22"/>
  </si>
  <si>
    <t>[effect:damage_anti_tribe, target:enemy_one, tribe:machine, val1:3.375, val2:1, animation:damage_one_green04],[effect:heal_ratio, val:0.3, animation:heal03_unit01]</t>
    <phoneticPr fontId="22"/>
  </si>
  <si>
    <t>1体に大ダメージ</t>
    <phoneticPr fontId="22"/>
  </si>
  <si>
    <t>[effect:damage, target:enemy_one, color:red, val:2, animation:damage_one_red03]</t>
    <phoneticPr fontId="22"/>
  </si>
  <si>
    <t>赤パネルを黄パネルに、青パネルを最大5個黄パネルに変換する</t>
    <phoneticPr fontId="22"/>
  </si>
  <si>
    <t>赤・青パネルを黄パネルに変換する</t>
    <phoneticPr fontId="22"/>
  </si>
  <si>
    <t>[effect:force_change_block, new_block:block_yellow, target:block_red, count:0, val:0, animation:change_block],[effect:force_change_block, new_block:block_yellow, target:block_blue, count:5, val:0, animation:change_block]</t>
    <phoneticPr fontId="22"/>
  </si>
  <si>
    <t>[effect:force_change_block, new_block:block_yellow, target:block_red, count:0, val:0, animation:change_block],[effect:force_change_block, new_block:block_yellow, target:block_blue, count:0, val:0, animation:change_block]</t>
    <phoneticPr fontId="22"/>
  </si>
  <si>
    <t>[effect:damage, target:enemy_one, color:yellow, val:2, animation:damage_one_yellow03]</t>
    <phoneticPr fontId="22"/>
  </si>
  <si>
    <t>[effect:damage, target:enemy_one, color:yellow, val:2.25, animation:damage_one_yellow04]</t>
    <phoneticPr fontId="22"/>
  </si>
  <si>
    <t>1体に大ダメージ</t>
    <phoneticPr fontId="22"/>
  </si>
  <si>
    <t>コード・ブレイズ・シャドウ</t>
    <phoneticPr fontId="22"/>
  </si>
  <si>
    <t>コード・シャドウ</t>
    <phoneticPr fontId="22"/>
  </si>
  <si>
    <t>アルキミコ・ソーシャルワーク</t>
    <phoneticPr fontId="22"/>
  </si>
  <si>
    <t>シノビミコ・ソーシャルハック</t>
    <phoneticPr fontId="22"/>
  </si>
  <si>
    <t>イントルーダー・IGA</t>
    <phoneticPr fontId="22"/>
  </si>
  <si>
    <t>インヴェイダー・SP-IGA</t>
    <phoneticPr fontId="22"/>
  </si>
  <si>
    <t>半兵衛ちゃんマカリトオル！</t>
    <phoneticPr fontId="22"/>
  </si>
  <si>
    <t>半兵衛ちゃんブッタギル！</t>
    <phoneticPr fontId="22"/>
  </si>
  <si>
    <t>ニュー・ワールド・オーダー</t>
    <phoneticPr fontId="22"/>
  </si>
  <si>
    <t>ニュー・ワールド・スクローラ</t>
    <phoneticPr fontId="22"/>
  </si>
  <si>
    <t>ネネノオシオキ</t>
    <phoneticPr fontId="22"/>
  </si>
  <si>
    <t>ネネノオシオキ・フルスイング</t>
    <phoneticPr fontId="22"/>
  </si>
  <si>
    <t>ディスコード＋10</t>
    <phoneticPr fontId="22"/>
  </si>
  <si>
    <t>ディサイファ＋10</t>
    <phoneticPr fontId="22"/>
  </si>
  <si>
    <t>チャセン・スターリング</t>
    <phoneticPr fontId="22"/>
  </si>
  <si>
    <t>チャセン・スター・ジャミング</t>
    <phoneticPr fontId="22"/>
  </si>
  <si>
    <t>モンキー・クラック</t>
    <phoneticPr fontId="22"/>
  </si>
  <si>
    <t>ステルス・モンキー・クラック</t>
    <phoneticPr fontId="22"/>
  </si>
  <si>
    <t>サイレント・ハニーポット</t>
    <phoneticPr fontId="22"/>
  </si>
  <si>
    <t>リヴェンジング・ハニーポット</t>
    <phoneticPr fontId="22"/>
  </si>
  <si>
    <t>アンガーダブル・ストライク</t>
    <phoneticPr fontId="22"/>
  </si>
  <si>
    <t>ブリリアント・ストラテジ</t>
    <phoneticPr fontId="22"/>
  </si>
  <si>
    <t>バウンス・ウィズ・ドラゴンズ</t>
    <phoneticPr fontId="22"/>
  </si>
  <si>
    <t>ドラゴンズ・グランドスラム</t>
    <phoneticPr fontId="22"/>
  </si>
  <si>
    <t>DH・HDスラッガー</t>
    <phoneticPr fontId="22"/>
  </si>
  <si>
    <t>ホウロク・ハックボム</t>
    <phoneticPr fontId="22"/>
  </si>
  <si>
    <t>バックエンド・ウィズ</t>
    <phoneticPr fontId="22"/>
  </si>
  <si>
    <t>バックエンド・エキスパート</t>
    <phoneticPr fontId="22"/>
  </si>
  <si>
    <t>ハッ…オレは影でいいんだよ</t>
    <phoneticPr fontId="22"/>
  </si>
  <si>
    <t>giza</t>
  </si>
  <si>
    <t>これはオレの専売特許だぜ？</t>
  </si>
  <si>
    <t>朝飯前ってやつだぜ…！</t>
  </si>
  <si>
    <t>kumo</t>
  </si>
  <si>
    <t>安く見られたもんだぜ…</t>
  </si>
  <si>
    <t>追いつけるわけねぇさ…</t>
  </si>
  <si>
    <t>気づいた時には地獄だぜ</t>
  </si>
  <si>
    <t>信玄様…必ずや成功させます</t>
  </si>
  <si>
    <t>情報はもう揃いましたから…</t>
  </si>
  <si>
    <t>観察させてもらいました</t>
  </si>
  <si>
    <t>えぇ…全て記録済みです</t>
  </si>
  <si>
    <t>ご名答…罠です</t>
  </si>
  <si>
    <t>潜入はここまでです…！</t>
  </si>
  <si>
    <t>…侵入成功…任務を開始する</t>
  </si>
  <si>
    <t>…問題ない…排除する</t>
  </si>
  <si>
    <t>…こいつの出番か</t>
  </si>
  <si>
    <t>…開放してもらう
 …手荒くいくぞ</t>
  </si>
  <si>
    <t>…目障りだ</t>
  </si>
  <si>
    <t>…全兵装起動</t>
  </si>
  <si>
    <t>うんうん♪キミたち邪魔だｗ</t>
  </si>
  <si>
    <t>ムダな抵抗乙〜♪</t>
  </si>
  <si>
    <t>頭のデキが違うよん♪</t>
  </si>
  <si>
    <t>ビックリドッキリ作戦！</t>
  </si>
  <si>
    <t>懲りない子は嫌いだぞ♪</t>
  </si>
  <si>
    <t>ひとつのミスもないよ♪</t>
  </si>
  <si>
    <t>俺の天下はここから始まる！</t>
  </si>
  <si>
    <t>時代は変わるんだぜ…！</t>
  </si>
  <si>
    <t>新時代の幕開けだぜ！</t>
  </si>
  <si>
    <t>目に焼き付けとけよ！？</t>
  </si>
  <si>
    <t>オレの世界は規則無しだ</t>
  </si>
  <si>
    <t>天に昇る準備はできたぜ</t>
  </si>
  <si>
    <t>だれに断って暴れてんのさ…</t>
  </si>
  <si>
    <t>堪忍袋の緒が切れたわよ…</t>
  </si>
  <si>
    <t>物理破壊が一番早い！</t>
  </si>
  <si>
    <t>サヨナラ場外よ！！</t>
  </si>
  <si>
    <t>代打、わたし！！</t>
  </si>
  <si>
    <t>俺がやる！皆さがっていろ！</t>
  </si>
  <si>
    <t>俺の信念に挑むというのか！</t>
  </si>
  <si>
    <t>参ろう！勝利を我らに！</t>
  </si>
  <si>
    <t>心配するな…俺が護る！</t>
  </si>
  <si>
    <t>俺はただ突っ切るのみ！</t>
  </si>
  <si>
    <t>いまこそ…禁を破る！</t>
  </si>
  <si>
    <t>茶の心を教えてしんぜよう</t>
  </si>
  <si>
    <t>心に濁りがあるようですな</t>
  </si>
  <si>
    <t>私は裏方が似合いですな</t>
  </si>
  <si>
    <t>やれやれ…無茶が過ぎる</t>
  </si>
  <si>
    <t>喝！百年早い！！</t>
  </si>
  <si>
    <t>[effect:force_change_block, new_block:crash, target:block_all, ignore01:crash, ignore02:crack_bomb, count:1, val:36, animation:change_block]</t>
    <phoneticPr fontId="22"/>
  </si>
  <si>
    <t>[effect:force_change_block, new_block:block_blue, target:damage, count:0, val:0, animation:change_block],[effect:force_change_block, new_block:block_red, target:block_yellow, count:0, val:0, animation:change_block],[effect:enhance_unit, target:unit_blue, turn:1, status:action, val:1, calc:add, animation:enhance_unit_one_action01]</t>
    <phoneticPr fontId="22"/>
  </si>
  <si>
    <t>[effect:force_change_block, new_block:block_blue, target:damage, count:0, val:0, animation:change_block],[effect:force_change_block, new_block:block_red, target:block_yellow, count:0, val:0, animation:change_block],[effect:enhance_unit, target:unit_blue, turn:1, status:action, val:1, calc:add, animation:enhance_unit_one_action01],[effect:crash_condition, target:unit_blue, turn:1, val:-4, animation:crash_panel_reduce04]</t>
    <phoneticPr fontId="22"/>
  </si>
  <si>
    <t>ダメージパネルを青パネルに、黄パネルを赤パネルに変換+1ターン青属性のタップ回数を1増やす</t>
    <phoneticPr fontId="22"/>
  </si>
  <si>
    <t>ダメージパネルを青パネルに、黄パネルを赤パネルに変換+1ターン青属性のタップ回数を1増やし、Cパネル生成短縮(効果特大)</t>
    <phoneticPr fontId="22"/>
  </si>
  <si>
    <t>自身のHPの最大値に比例して1体に特大ダメージ</t>
    <phoneticPr fontId="22"/>
  </si>
  <si>
    <t>[effect:force_change_block, new_block:block_red, target:block_yellow, count:0, val:0, animation:change_block],[effect:force_change_block, new_block:block_red, target:damage, count:0, val:0, animation:change_block],[effect:enhance_unit, target:unit_red, turn:1, status:action, val:1, calc:add, animation:enhance_unit_one_action01]</t>
    <phoneticPr fontId="22"/>
  </si>
  <si>
    <t>[effect:force_change_block, new_block:block_red, target:block_yellow, count:0, val:0, animation:change_block],[effect:force_change_block, new_block:block_red, target:damage, count:0, val:0, animation:change_block],[effect:enhance_unit, target:unit_all, turn:2, status:defense, val:1080, calc:add, animation:enhance_unit_all_defense04_unit01],[effect:enhance_unit, target:unit_red, turn:2, status:action, val:1, calc:add, animation:enhance_unit_one_action01]</t>
    <phoneticPr fontId="22"/>
  </si>
  <si>
    <t>[effect:force_change_block, new_block:crash, target:block_yellow, count:7, val:8, animation:change_block],[effect:force_change_block, new_block:block_heart, target:damage, count:0, val:0, animation:change_block],[effect:enhance_unit, target:unit_all, turn:2, status:heal, val:0.45, calc:mul, animation:enhance_unit_all_heal04_unit01]</t>
    <phoneticPr fontId="22"/>
  </si>
  <si>
    <t>黄・ダメージパネルを赤パネルに変換+2ターン全ユニットの防御力特大UPし、赤属性ユニットのタップ回数を1増やす</t>
    <phoneticPr fontId="22"/>
  </si>
  <si>
    <t>黄・ダメージパネルを赤パネルに変換+1ターン赤属性ユニットのタップ回数を1増やす</t>
    <phoneticPr fontId="22"/>
  </si>
  <si>
    <t>ハート無効解除し、お邪魔パネルを青ボムパネル(大)に変換+HPを6000回復</t>
    <phoneticPr fontId="22"/>
  </si>
  <si>
    <t>[effect:force_change_block, new_block:crash, target:block_yellow, count:7, val:8, animation:change_block],[effect:force_change_block, new_block:block_heart, target:damage, count:0, val:0, animation:change_block],[effect:regenerate, turn:2, val:0.6, animation:heal_unit],[effect:enhance_unit, target:unit_all, turn:2, status:heal, val:0.45, calc:mul, animation:enhance_unit_all_heal04_unit01]</t>
    <phoneticPr fontId="22"/>
  </si>
  <si>
    <t>ランダムでパネルを最大1個SCパネル(特大)に変換</t>
    <phoneticPr fontId="22"/>
  </si>
  <si>
    <t>ランダムで黄パネルを最大7個Cパネルに、ダメージパネルをハートパネルに変換+2ターン全ユニットの回復力を特大UP</t>
    <rPh sb="10" eb="12">
      <t>サイダ</t>
    </rPh>
    <rPh sb="13" eb="14">
      <t>k</t>
    </rPh>
    <phoneticPr fontId="22"/>
  </si>
  <si>
    <t>1体に特大ダメージ+
1ターン全ユニットの回復力小UP</t>
    <rPh sb="15" eb="16">
      <t>ゼンユn</t>
    </rPh>
    <phoneticPr fontId="22"/>
  </si>
  <si>
    <t>1体に特大ダメージ+
1ターン全ユニットの回復力小UP</t>
    <phoneticPr fontId="22"/>
  </si>
  <si>
    <t>[effect:cure, bad_status:dis_heart, animation:cure01],[effect:force_change_block, new_block:crack_bomb, target:jammer, color:blue, count:0, val:24, animation:change_block],[effect:heal_fix, val:6000, animation:heal03_unit01]</t>
    <phoneticPr fontId="22"/>
  </si>
  <si>
    <t>[effect:cure, bad_status:dis_heart, animation:cure01],[effect:force_change_block, new_block:crack_bomb, target:jammer, color:blue, count:0, val:24, animation:change_block],[effect:force_change_block, new_block:block_heart, target:block_blue, count:0, val:0, animation:change_block],[effect:heal_fix, val:6000, animation:heal03_unit01]</t>
    <phoneticPr fontId="22"/>
  </si>
  <si>
    <t>ハート無効解除し、お邪魔パネルを青ボムパネル(大)に、青パネルをハートパネルに変換+HPを6000回復</t>
    <phoneticPr fontId="22"/>
  </si>
  <si>
    <t>ランダムで黄パネルを最大7個Cパネル、ダメージパネルをハートパネルに変換+2ターンHPを回復し、全ユニットの回復力特大UP</t>
    <phoneticPr fontId="22"/>
  </si>
  <si>
    <t>1体にダメージ
種族マシンに効果特大+HP大回復</t>
    <phoneticPr fontId="22"/>
  </si>
  <si>
    <t>1体にダメージ
種族マシンに効果超大+HP大回復</t>
    <phoneticPr fontId="22"/>
  </si>
  <si>
    <t>[effect:force_change_block, new_block:crack_bomb, target:block_blue, color:block_red, count:0, val:12, animation:change_block],[effect:enhance_unit, target:unit_red, turn:1, status:attack, val:0.21, calc:mul, animation:enhance_unit_all_attack04],[effect:crash_condition, target:unit_samurai/unit_human/or, turn:1, val:-4, animation:crash_panel_reduce04]</t>
    <phoneticPr fontId="22"/>
  </si>
  <si>
    <t>青パネルを赤ボムパネル変換+1ターン赤属性ユニットの攻撃力特大UPし、種族サムライ・ヒューマンのCP生成短縮(効果特大)</t>
    <phoneticPr fontId="22"/>
  </si>
  <si>
    <t>緑・青・ダメージパネルを赤ボム変換+2ターン赤属性ユニットの攻撃力超大UPし、種族サムライ・ヒューマンのCP生成短縮超大</t>
    <rPh sb="58" eb="60">
      <t>チョウダイ</t>
    </rPh>
    <phoneticPr fontId="22"/>
  </si>
  <si>
    <t>[effect:force_change_block, new_block:crack_bomb, target:block_green, color:block_red, count:0, val:12, animation:change_block],[effect:force_change_block, new_block:crack_bomb, target:block_blue, color:block_red, count:0, val:12, animation:change_block],[effect:force_change_block, new_block:crack_bomb, target:damage, color:red, count:0, val:12, animation:change_block],[effect:enhance_unit, target:unit_red, turn:2, status:attack, val:0.25, calc:mul, animation:enhance_unit_all_attack04],[effect:crash_condition, target:unit_samurai/unit_human/or, turn:2, val:-6, animation:crash_panel_reduce04]</t>
    <phoneticPr fontId="22"/>
  </si>
  <si>
    <t>[effect:force_change_block, new_block:crash, target:block_yellow, count:0, val:6, animation:change_block],[effect:change_panel_ratio, turn:1, block_type:red, val:0.1],[effect:change_panel_ratio, turn:1, block_type:blue, val:0.1, animation:block_incidence04]</t>
    <phoneticPr fontId="22"/>
  </si>
  <si>
    <t>[effect:force_change_block, new_block:crash, target:block_yellow, count:0, val:6, animation:change_block],[effect:change_panel_ratio, turn:3, block_type:red, val:0.1],[effect:change_panel_ratio, turn:3, block_type:blue, val:0.1, animation:block_incidence04]</t>
    <phoneticPr fontId="22"/>
  </si>
  <si>
    <t>黄パネルをCパネルに変換+1ターン赤・青パネルの出現率をDOWN</t>
    <phoneticPr fontId="22"/>
  </si>
  <si>
    <t>黄パネルをCパネルに変換+3ターン赤・青パネルの出現率をDOWN</t>
    <phoneticPr fontId="22"/>
  </si>
  <si>
    <t>[effect:damage, target:enemy_one, color:green, val:2, animation:damage_one_green03]</t>
    <phoneticPr fontId="22"/>
  </si>
  <si>
    <t>[effect:damage, target:enemy_one, color:green, val:2.25, animation:damage_one_green04]</t>
    <phoneticPr fontId="22"/>
  </si>
  <si>
    <t>1体に大ダメージ</t>
    <phoneticPr fontId="22"/>
  </si>
  <si>
    <t>シャドウ・ディストーション</t>
    <phoneticPr fontId="22"/>
  </si>
  <si>
    <t>シャドウ・インキュベーション</t>
    <phoneticPr fontId="22"/>
  </si>
  <si>
    <t>[effect:force_change_block, new_block:crash, target:block_all, ignore01:crash, ignore02:crack_bomb, count:2, val:36, animation:change_block],[effect:force_change_block, new_block:crash, target:damage, count:10, val:6, animation:change_block],[effect:heal_fix, val:5500, animation:heal03_unit01],[effect:enhance_unit, target:unit_yellow/unit_green/or, turn:1, status:action, val:1, calc:add, animation:enhance_unit_one_action01]</t>
    <phoneticPr fontId="22"/>
  </si>
  <si>
    <t>ランダムで最大2個SCP(特大)に、ダメージパネルを最大10個CPに変換+HP5500回復+1ターン黄・緑属性のタップ回数を1増加</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</si>
</sst>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cellXfs>
  <cellStyles count="458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赤字強調" xfId="4"/>
    <cellStyle name="青字強調" xfId="3"/>
  </cellStyles>
  <dxfs count="6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19" sqref="B19"/>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321</v>
      </c>
      <c r="B2" s="105" t="s">
        <v>129</v>
      </c>
      <c r="C2" s="162" t="s">
        <v>317</v>
      </c>
      <c r="D2" s="105" t="s">
        <v>128</v>
      </c>
      <c r="E2" s="104" t="str">
        <f>B2&amp;C2&amp;D2</f>
        <v>units_Ninja01.tmp</v>
      </c>
      <c r="F2" s="105" t="s">
        <v>124</v>
      </c>
      <c r="G2" s="59" t="s">
        <v>17</v>
      </c>
      <c r="H2" s="60" t="s">
        <v>96</v>
      </c>
      <c r="I2" s="60" t="s">
        <v>1</v>
      </c>
      <c r="J2" s="60" t="s">
        <v>3</v>
      </c>
      <c r="K2" s="60" t="s">
        <v>2</v>
      </c>
      <c r="L2" s="60" t="s">
        <v>98</v>
      </c>
      <c r="M2" s="60" t="s">
        <v>20</v>
      </c>
      <c r="N2" s="60" t="s">
        <v>103</v>
      </c>
      <c r="O2" s="60" t="s">
        <v>101</v>
      </c>
      <c r="P2" s="60" t="s">
        <v>39</v>
      </c>
      <c r="Q2" s="60" t="s">
        <v>57</v>
      </c>
      <c r="R2" s="105" t="s">
        <v>322</v>
      </c>
      <c r="S2" s="105"/>
      <c r="T2" s="105"/>
      <c r="U2" s="105"/>
      <c r="V2" s="105"/>
      <c r="W2" s="105"/>
    </row>
    <row r="3" spans="1:29" x14ac:dyDescent="0.15">
      <c r="A3" s="105" t="s">
        <v>321</v>
      </c>
      <c r="B3" s="105" t="s">
        <v>293</v>
      </c>
      <c r="C3" s="162" t="s">
        <v>317</v>
      </c>
      <c r="D3" s="105" t="s">
        <v>128</v>
      </c>
      <c r="E3" s="104" t="str">
        <f>B3&amp;C3&amp;D3</f>
        <v>fork_awake_units_Ninja01.tmp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321</v>
      </c>
      <c r="B4" s="105" t="s">
        <v>130</v>
      </c>
      <c r="C4" s="162" t="s">
        <v>316</v>
      </c>
      <c r="D4" s="105" t="s">
        <v>128</v>
      </c>
      <c r="E4" s="104" t="str">
        <f>B4&amp;C4&amp;D4</f>
        <v>awake_materials_Ninja01.tmp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321</v>
      </c>
      <c r="B5" s="105" t="s">
        <v>292</v>
      </c>
      <c r="C5" s="162" t="s">
        <v>316</v>
      </c>
      <c r="D5" s="105" t="s">
        <v>128</v>
      </c>
      <c r="E5" s="104" t="str">
        <f>B5&amp;C5&amp;D5</f>
        <v>fork_awake_materials_Ninja01.tmp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321</v>
      </c>
      <c r="B6" s="105" t="s">
        <v>131</v>
      </c>
      <c r="C6" s="162" t="s">
        <v>316</v>
      </c>
      <c r="D6" s="105" t="s">
        <v>132</v>
      </c>
      <c r="E6" s="104" t="str">
        <f t="shared" ref="E6" si="0">B6&amp;C6&amp;D6</f>
        <v>unit_levels_calc_Ninja01.tmp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321</v>
      </c>
      <c r="B7" s="105" t="s">
        <v>143</v>
      </c>
      <c r="C7" s="162" t="s">
        <v>316</v>
      </c>
      <c r="D7" s="105" t="s">
        <v>144</v>
      </c>
      <c r="E7" s="104" t="str">
        <f>B7&amp;C7&amp;D7</f>
        <v>unit_skills_data_Ninja01.tmp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321</v>
      </c>
      <c r="B8" s="105" t="s">
        <v>149</v>
      </c>
      <c r="C8" s="162" t="s">
        <v>316</v>
      </c>
      <c r="D8" s="105" t="s">
        <v>128</v>
      </c>
      <c r="E8" s="104" t="str">
        <f>B8&amp;C8&amp;D8</f>
        <v>unit_skills_i18n_Ninja01.tmp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321</v>
      </c>
      <c r="B9" s="105" t="s">
        <v>153</v>
      </c>
      <c r="C9" s="162" t="s">
        <v>316</v>
      </c>
      <c r="D9" s="105" t="s">
        <v>154</v>
      </c>
      <c r="E9" s="104" t="str">
        <f>B9&amp;C9&amp;D9</f>
        <v>crash_skills_data_Ninja01.tmp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321</v>
      </c>
      <c r="B10" s="105" t="s">
        <v>157</v>
      </c>
      <c r="C10" s="162" t="s">
        <v>316</v>
      </c>
      <c r="D10" s="105" t="s">
        <v>158</v>
      </c>
      <c r="E10" s="104" t="str">
        <f t="shared" ref="E10" si="1">B10&amp;C10&amp;D10</f>
        <v>crash_skills_i18n_Ninja01.tmp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321</v>
      </c>
      <c r="B11" s="108" t="s">
        <v>135</v>
      </c>
      <c r="C11" s="162" t="s">
        <v>316</v>
      </c>
      <c r="D11" s="105" t="s">
        <v>158</v>
      </c>
      <c r="E11" s="104" t="str">
        <f t="shared" ref="E11:E12" si="2">B11&amp;C11&amp;D11</f>
        <v>unit_serifs_data_Ninja01.tmp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321</v>
      </c>
      <c r="B12" s="108" t="s">
        <v>136</v>
      </c>
      <c r="C12" s="162" t="s">
        <v>316</v>
      </c>
      <c r="D12" s="105" t="s">
        <v>158</v>
      </c>
      <c r="E12" s="104" t="str">
        <f t="shared" si="2"/>
        <v>unit_serifs_i18n_Ninja01.tmp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321</v>
      </c>
      <c r="B13" s="105" t="s">
        <v>315</v>
      </c>
      <c r="C13" s="162" t="s">
        <v>316</v>
      </c>
      <c r="D13" s="105" t="s">
        <v>253</v>
      </c>
      <c r="E13" s="104" t="str">
        <f>B13&amp;C13&amp;D13</f>
        <v>abilities_tmp_Ninja01.tmp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321</v>
      </c>
      <c r="B14" s="105" t="s">
        <v>258</v>
      </c>
      <c r="C14" s="162" t="s">
        <v>316</v>
      </c>
      <c r="D14" s="105" t="s">
        <v>128</v>
      </c>
      <c r="E14" s="104" t="str">
        <f>B14&amp;C14&amp;D14</f>
        <v>abilities_i18n_Ninja01.tmp</v>
      </c>
      <c r="F14" s="105" t="s">
        <v>259</v>
      </c>
      <c r="G14" s="163" t="s">
        <v>255</v>
      </c>
      <c r="H14" s="163" t="s">
        <v>141</v>
      </c>
      <c r="I14" s="163" t="s">
        <v>260</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321</v>
      </c>
      <c r="B15" s="105" t="s">
        <v>261</v>
      </c>
      <c r="C15" s="162" t="s">
        <v>316</v>
      </c>
      <c r="D15" s="105" t="s">
        <v>128</v>
      </c>
      <c r="E15" s="104" t="str">
        <f>B15&amp;C15&amp;D15</f>
        <v>unit_abilities_Ninja01.tmp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7"/>
  <sheetViews>
    <sheetView showGridLines="0" zoomScale="85" workbookViewId="0">
      <pane xSplit="9" ySplit="1" topLeftCell="AY2" activePane="bottomRight" state="frozen"/>
      <selection pane="topRight" activeCell="J1" sqref="J1"/>
      <selection pane="bottomLeft" activeCell="A3" sqref="A3"/>
      <selection pane="bottomRight" activeCell="BK8" sqref="BK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11" t="s">
        <v>323</v>
      </c>
    </row>
    <row r="2" spans="1:70" ht="26" customHeight="1" x14ac:dyDescent="0.15">
      <c r="A2" s="186">
        <v>1244</v>
      </c>
      <c r="B2" s="53" t="str">
        <f ca="1">VLOOKUP($A2,OFFSET([1]characters!$A$1,0,0,COUNTA([1]characters!$A:$A),MATCH(B$1,[1]characters!$1:$1,0)-MATCH($A$1,[1]characters!$1:$1,0)+1),MATCH(B$1,[1]characters!$1:$1,0)-MATCH($A$1,[1]characters!$1:$1,0)+1,FALSE)</f>
        <v>猿飛佐助</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35</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v>1245</v>
      </c>
      <c r="AF2" s="58" t="str">
        <f ca="1">IF(AE2="NULL","",VLOOKUP($AE2,OFFSET([1]characters!$A$1,0,0,COUNTA([1]characters!$A:$A),MATCH(AF$1,[1]characters!$1:$1,0)-MATCH($A$1,[1]characters!$1:$1,0)+1),MATCH(AF$1,[1]characters!$1:$1,0)-MATCH($A$1,[1]characters!$1:$1,0)+1,FALSE))</f>
        <v>甲火の特殊忍 猿飛佐助</v>
      </c>
      <c r="AG2" s="187">
        <v>1244</v>
      </c>
      <c r="AH2" s="58" t="str">
        <f ca="1">VLOOKUP($AG2,OFFSET([1]characters!$A$1,0,0,COUNTA([1]characters!$A:$A),MATCH(AH$1,[1]characters!$1:$1,0)-MATCH($A$1,[1]characters!$1:$1,0)+1),MATCH(AH$1,[1]characters!$1:$1,0)-MATCH($A$1,[1]characters!$1:$1,0)+1,FALSE)</f>
        <v>猿飛佐助</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1244</v>
      </c>
      <c r="AQ2" s="53" t="str">
        <f ca="1">VLOOKUP($AP2,OFFSET(unit_skills!$A$1,0,0,COUNTA(unit_skills!$A:$A),MATCH(AQ$1,unit_skills!$1:$1,0)-MATCH($AP$1,unit_skills!$1:$1,0)+1),MATCH(AQ$1,unit_skills!$1:$1,0)-MATCH($AP$1,unit_skills!$1:$1,0)+1,FALSE)</f>
        <v>コード・シャドウ</v>
      </c>
      <c r="AR2" s="53" t="str">
        <f ca="1">VLOOKUP($AP2,OFFSET(unit_skills!$A$1,0,0,COUNTA(unit_skills!$A:$A),MATCH(AR$1,unit_skills!$1:$1,0)-MATCH($AP$1,unit_skills!$1:$1,0)+1),MATCH(AR$1,unit_skills!$1:$1,0)-MATCH($AP$1,unit_skills!$1:$1,0)+1,FALSE)</f>
        <v>黄・ダメージパネルを赤パネルに変換+1ターン赤属性ユニットのタップ回数を1増やす</v>
      </c>
      <c r="AS2" s="53">
        <f ca="1">VLOOKUP($AP2,OFFSET(unit_skills!$A$1,0,0,COUNTA(unit_skills!$A:$A),MATCH(AS$1,unit_skills!$1:$1,0)-MATCH($AP$1,unit_skills!$1:$1,0)+1),MATCH(AS$1,unit_skills!$1:$1,0)-MATCH($AP$1,unit_skills!$1:$1,0)+1,FALSE)</f>
        <v>0</v>
      </c>
      <c r="AT2" s="63">
        <v>1244</v>
      </c>
      <c r="AU2" s="53" t="str">
        <f ca="1">VLOOKUP($AT2,OFFSET(crash_skills!$A$1,0,0,COUNTA(crash_skills!$A:$A),MATCH(AU$1,crash_skills!$1:$1,0)-MATCH($AT$1,crash_skills!$1:$1,0)+1),MATCH(AU$1,crash_skills!$1:$1,0)-MATCH($AT$1,crash_skills!$1:$1,0)+1,FALSE)</f>
        <v>モンキー・クラック</v>
      </c>
      <c r="AV2" s="53" t="str">
        <f ca="1">VLOOKUP($AT2,OFFSET(crash_skills!$A$1,0,0,COUNTA(crash_skills!$A:$A),MATCH(AV$1,crash_skills!$1:$1,0)-MATCH($AT$1,crash_skills!$1:$1,0)+1),MATCH(AV$1,crash_skills!$1:$1,0)-MATCH($AT$1,crash_skills!$1:$1,0)+1,FALSE)</f>
        <v>1体に大ダメージ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1.0900000000000001</v>
      </c>
      <c r="AZ2" s="64">
        <v>1.06</v>
      </c>
      <c r="BA2" s="64">
        <v>0</v>
      </c>
      <c r="BB2" s="64">
        <v>1.04</v>
      </c>
      <c r="BC2" s="10">
        <f ca="1">INDEX('RC6SV'!$A$1:$G$21,MATCH(H2,'RC6SV'!$A$1:$A$21,FALSE),MATCH(G2,'RC6SV'!$A$1:$G$1,FALSE))</f>
        <v>9500</v>
      </c>
      <c r="BD2" s="44">
        <f t="shared" ref="BD2" ca="1" si="2">ROUND(BC2*IF(AJ2=1,0.95,IF(AJ2=2,1,IF(AJ2,1.05,0))),0)</f>
        <v>9500</v>
      </c>
      <c r="BE2" s="10">
        <f t="shared" ref="BE2:BE17" ca="1" si="3">ROUND(IFERROR(INDIRECT(ADDRESS(MATCH($A2,$AE:$AE,0),MATCH($BC$1,$1:$1,0))),0),0)</f>
        <v>0</v>
      </c>
      <c r="BF2" s="10">
        <f t="shared" ref="BF2:BF17" ca="1" si="4">ROUND(IFERROR(INDIRECT(ADDRESS(MATCH($A2,$AE:$AE,0),10)),INDIRECT(ADDRESS(MATCH($A2,$A:$A,0),10))),0)</f>
        <v>1</v>
      </c>
      <c r="BG2" s="15">
        <f ca="1">IF($BE2&lt;=0,ROUND(BK2*0.5,0), ROUND($BE2*S2*AA2*J2*AY2*0.8*[1]ステータス!$B$2,0))</f>
        <v>2434</v>
      </c>
      <c r="BH2" s="15">
        <f ca="1">IF($BE2&lt;=0,ROUND(BL2*0.5,0), ROUND($BE2*T2*AB2*K2*AZ2*0.8*[1]ステータス!$C$2,0))</f>
        <v>2029</v>
      </c>
      <c r="BI2" s="15">
        <f ca="1">IF($BE2&lt;=0,ROUND(BM2*0.5,0), ROUND($BE2*U2*AC2*L2*BA2*0.8*[1]ステータス!$D$2,0))</f>
        <v>0</v>
      </c>
      <c r="BJ2" s="15">
        <f ca="1">IF($BE2&lt;=0,ROUND(BN2*0.5,0), ROUND($BE2*V2*AD2*M2*BB2*0.8*[1]ステータス!$E$2,0))</f>
        <v>868</v>
      </c>
      <c r="BK2" s="10">
        <f ca="1">ROUND(BD2*S2*AA2*J2*AY2*[1]ステータス!$B$2,0)</f>
        <v>4867</v>
      </c>
      <c r="BL2" s="10">
        <f ca="1">ROUND(BD2*T2*AB2*K2*AZ2*[1]ステータス!$C$2,0)</f>
        <v>4057</v>
      </c>
      <c r="BM2" s="10">
        <f ca="1">ROUND(BD2*U2*AC2*L2*BA2*[1]ステータス!$D$2,0)</f>
        <v>0</v>
      </c>
      <c r="BN2" s="10">
        <f ca="1">ROUND(BD2*V2*AD2*M2*BB2*[1]ステータス!$E$2,0)</f>
        <v>1735</v>
      </c>
      <c r="BO2" s="9">
        <v>0</v>
      </c>
      <c r="BP2" s="9">
        <v>1</v>
      </c>
      <c r="BQ2" s="36" t="s">
        <v>47</v>
      </c>
      <c r="BR2" s="11">
        <f ca="1">VLOOKUP(H2,ghosts_label!$A$2:$B$19,2,FALSE)</f>
        <v>5500</v>
      </c>
    </row>
    <row r="3" spans="1:70" ht="26" customHeight="1" x14ac:dyDescent="0.15">
      <c r="A3" s="186">
        <v>1245</v>
      </c>
      <c r="B3" s="53" t="str">
        <f ca="1">VLOOKUP($A3,OFFSET([1]characters!$A$1,0,0,COUNTA([1]characters!$A:$A),MATCH(B$1,[1]characters!$1:$1,0)-MATCH($A$1,[1]characters!$1:$1,0)+1),MATCH(B$1,[1]characters!$1:$1,0)-MATCH($A$1,[1]characters!$1:$1,0)+1,FALSE)</f>
        <v>甲火の特殊忍 猿飛佐助</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50</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0.94</v>
      </c>
      <c r="AB3" s="10">
        <f ca="1">VLOOKUP(W3,[1]character_tribe_i18n!$A:$H,5,FALSE)</f>
        <v>0.99</v>
      </c>
      <c r="AC3" s="10">
        <f ca="1">VLOOKUP(W3,[1]character_tribe_i18n!$A:$H,6,FALSE)</f>
        <v>1</v>
      </c>
      <c r="AD3" s="10">
        <f ca="1">VLOOKUP(W3,[1]character_tribe_i18n!$A:$H,7,FALSE)</f>
        <v>1.07</v>
      </c>
      <c r="AE3" s="187" t="s">
        <v>183</v>
      </c>
      <c r="AF3" s="58" t="str">
        <f ca="1">IF(AE3="NULL","",VLOOKUP($AE3,OFFSET([1]characters!$A$1,0,0,COUNTA([1]characters!$A:$A),MATCH(AF$1,[1]characters!$1:$1,0)-MATCH($A$1,[1]characters!$1:$1,0)+1),MATCH(AF$1,[1]characters!$1:$1,0)-MATCH($A$1,[1]characters!$1:$1,0)+1,FALSE))</f>
        <v/>
      </c>
      <c r="AG3" s="187">
        <v>1244</v>
      </c>
      <c r="AH3" s="58" t="str">
        <f ca="1">VLOOKUP($AG3,OFFSET([1]characters!$A$1,0,0,COUNTA([1]characters!$A:$A),MATCH(AH$1,[1]characters!$1:$1,0)-MATCH($A$1,[1]characters!$1:$1,0)+1),MATCH(AH$1,[1]characters!$1:$1,0)-MATCH($A$1,[1]characters!$1:$1,0)+1,FALSE)</f>
        <v>猿飛佐助</v>
      </c>
      <c r="AI3" s="10" t="str">
        <f>IF(AE3="NULL","NULL",VLOOKUP(G3,ビット!$A$2:$B$7,2))</f>
        <v>NULL</v>
      </c>
      <c r="AJ3" s="6">
        <v>2</v>
      </c>
      <c r="AK3" s="7" t="str">
        <f t="shared" ref="AK3:AK4" si="5">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1245</v>
      </c>
      <c r="AQ3" s="53" t="str">
        <f ca="1">VLOOKUP($AP3,OFFSET(unit_skills!$A$1,0,0,COUNTA(unit_skills!$A:$A),MATCH(AQ$1,unit_skills!$1:$1,0)-MATCH($AP$1,unit_skills!$1:$1,0)+1),MATCH(AQ$1,unit_skills!$1:$1,0)-MATCH($AP$1,unit_skills!$1:$1,0)+1,FALSE)</f>
        <v>コード・ブレイズ・シャドウ</v>
      </c>
      <c r="AR3" s="53" t="str">
        <f ca="1">VLOOKUP($AP3,OFFSET(unit_skills!$A$1,0,0,COUNTA(unit_skills!$A:$A),MATCH(AR$1,unit_skills!$1:$1,0)-MATCH($AP$1,unit_skills!$1:$1,0)+1),MATCH(AR$1,unit_skills!$1:$1,0)-MATCH($AP$1,unit_skills!$1:$1,0)+1,FALSE)</f>
        <v>黄・ダメージパネルを赤パネルに変換+2ターン全ユニットの防御力特大UPし、赤属性ユニットのタップ回数を1増やす</v>
      </c>
      <c r="AS3" s="53">
        <f ca="1">VLOOKUP($AP3,OFFSET(unit_skills!$A$1,0,0,COUNTA(unit_skills!$A:$A),MATCH(AS$1,unit_skills!$1:$1,0)-MATCH($AP$1,unit_skills!$1:$1,0)+1),MATCH(AS$1,unit_skills!$1:$1,0)-MATCH($AP$1,unit_skills!$1:$1,0)+1,FALSE)</f>
        <v>0</v>
      </c>
      <c r="AT3" s="63">
        <v>1245</v>
      </c>
      <c r="AU3" s="53" t="str">
        <f ca="1">VLOOKUP($AT3,OFFSET(crash_skills!$A$1,0,0,COUNTA(crash_skills!$A:$A),MATCH(AU$1,crash_skills!$1:$1,0)-MATCH($AT$1,crash_skills!$1:$1,0)+1),MATCH(AU$1,crash_skills!$1:$1,0)-MATCH($AT$1,crash_skills!$1:$1,0)+1,FALSE)</f>
        <v>ステルス・モンキー・クラック</v>
      </c>
      <c r="AV3" s="53" t="str">
        <f ca="1">VLOOKUP($AT3,OFFSET(crash_skills!$A$1,0,0,COUNTA(crash_skills!$A:$A),MATCH(AV$1,crash_skills!$1:$1,0)-MATCH($AT$1,crash_skills!$1:$1,0)+1),MATCH(AV$1,crash_skills!$1:$1,0)-MATCH($AT$1,crash_skills!$1:$1,0)+1,FALSE)</f>
        <v>1体に特大ダメージ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1.03</v>
      </c>
      <c r="AZ3" s="64">
        <v>1.02</v>
      </c>
      <c r="BA3" s="64">
        <v>0</v>
      </c>
      <c r="BB3" s="64">
        <v>1.04</v>
      </c>
      <c r="BC3" s="10">
        <f ca="1">INDEX('RC6SV'!$A$1:$G$21,MATCH(H3,'RC6SV'!$A$1:$A$21,FALSE),MATCH(G3,'RC6SV'!$A$1:$G$1,FALSE))</f>
        <v>13000</v>
      </c>
      <c r="BD3" s="44">
        <f t="shared" ref="BD3:BD4" ca="1" si="6">ROUND(BC3*IF(AJ3=1,0.95,IF(AJ3=2,1,IF(AJ3,1.05,0))),0)</f>
        <v>13000</v>
      </c>
      <c r="BE3" s="10">
        <f t="shared" ca="1" si="3"/>
        <v>9500</v>
      </c>
      <c r="BF3" s="10">
        <f t="shared" ca="1" si="4"/>
        <v>1</v>
      </c>
      <c r="BG3" s="15">
        <f ca="1">IF($BE3&lt;=0,ROUND(BK3*0.5,0), ROUND($BE3*S3*AA3*J3*AY3*0.8*[1]ステータス!$B$2,0))</f>
        <v>3679</v>
      </c>
      <c r="BH3" s="15">
        <f ca="1">IF($BE3&lt;=0,ROUND(BL3*0.5,0), ROUND($BE3*T3*AB3*K3*AZ3*0.8*[1]ステータス!$C$2,0))</f>
        <v>3123</v>
      </c>
      <c r="BI3" s="15">
        <f ca="1">IF($BE3&lt;=0,ROUND(BM3*0.5,0), ROUND($BE3*U3*AC3*L3*BA3*0.8*[1]ステータス!$D$2,0))</f>
        <v>0</v>
      </c>
      <c r="BJ3" s="15">
        <f ca="1">IF($BE3&lt;=0,ROUND(BN3*0.5,0), ROUND($BE3*V3*AD3*M3*BB3*0.8*[1]ステータス!$E$2,0))</f>
        <v>1388</v>
      </c>
      <c r="BK3" s="10">
        <f ca="1">ROUND(BD3*S3*AA3*J3*AY3*[1]ステータス!$B$2,0)</f>
        <v>6293</v>
      </c>
      <c r="BL3" s="10">
        <f ca="1">ROUND(BD3*T3*AB3*K3*AZ3*[1]ステータス!$C$2,0)</f>
        <v>5343</v>
      </c>
      <c r="BM3" s="10">
        <f ca="1">ROUND(BD3*U3*AC3*L3*BA3*[1]ステータス!$D$2,0)</f>
        <v>0</v>
      </c>
      <c r="BN3" s="10">
        <f ca="1">ROUND(BD3*V3*AD3*M3*BB3*[1]ステータス!$E$2,0)</f>
        <v>2375</v>
      </c>
      <c r="BO3" s="9">
        <v>0</v>
      </c>
      <c r="BP3" s="9">
        <v>1</v>
      </c>
      <c r="BQ3" s="9" t="s">
        <v>47</v>
      </c>
      <c r="BR3" s="11">
        <f ca="1">VLOOKUP(H3,ghosts_label!$A$2:$B$19,2,FALSE)</f>
        <v>5500</v>
      </c>
    </row>
    <row r="4" spans="1:70" ht="26" customHeight="1" x14ac:dyDescent="0.15">
      <c r="A4" s="186">
        <v>1246</v>
      </c>
      <c r="B4" s="53" t="str">
        <f ca="1">VLOOKUP($A4,OFFSET([1]characters!$A$1,0,0,COUNTA([1]characters!$A:$A),MATCH(B$1,[1]characters!$1:$1,0)-MATCH($A$1,[1]characters!$1:$1,0)+1),MATCH(B$1,[1]characters!$1:$1,0)-MATCH($A$1,[1]characters!$1:$1,0)+1,FALSE)</f>
        <v>望月千代女</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35</v>
      </c>
      <c r="O4" s="10">
        <f ca="1">INDEX(レベル!$A$1:$I$22,MATCH(H4,レベル!$A$1:$A$22,FALSE),MATCH(G4,レベル!$A$1:$I$1,FALSE))</f>
        <v>80</v>
      </c>
      <c r="P4" s="44">
        <f t="shared" ref="P4:P5" ca="1" si="7">IF(G4 &gt;= 6, 99,G4*15)</f>
        <v>75</v>
      </c>
      <c r="Q4" s="53" t="str">
        <f ca="1">VLOOKUP($A4,OFFSET([1]characters!$A$1,0,0,COUNTA([1]characters!$A:$A),MATCH(Q$1,[1]characters!$1:$1,0)-MATCH($A$1,[1]characters!$1:$1,0)+1),MATCH(Q$1,[1]characters!$1:$1,0)-MATCH($A$1,[1]characters!$1:$1,0)+1,FALSE)</f>
        <v>heal</v>
      </c>
      <c r="R4" s="5" t="str">
        <f ca="1">VLOOKUP(Q4,[1]character_type_i18n!$A:$H,3,FALSE)</f>
        <v>回復タイプ</v>
      </c>
      <c r="S4" s="10">
        <f ca="1">VLOOKUP(Q4,[1]character_type_i18n!$A:$H,4,FALSE)</f>
        <v>0.8</v>
      </c>
      <c r="T4" s="10">
        <f ca="1">VLOOKUP(Q4,[1]character_type_i18n!$A:$H,5,FALSE)</f>
        <v>0.78</v>
      </c>
      <c r="U4" s="10">
        <f ca="1">VLOOKUP(Q4,[1]character_type_i18n!$A:$H,6,FALSE)</f>
        <v>1</v>
      </c>
      <c r="V4" s="10">
        <f ca="1">VLOOKUP(Q4,[1]character_type_i18n!$A:$H,7,FALSE)</f>
        <v>1.42</v>
      </c>
      <c r="W4" s="53" t="str">
        <f ca="1">VLOOKUP($A4,OFFSET([1]characters!$A$1,0,0,COUNTA([1]characters!$A:$A),MATCH(W$1,[1]characters!$1:$1,0)-MATCH($A$1,[1]characters!$1:$1,0)+1),MATCH(W$1,[1]characters!$1:$1,0)-MATCH($A$1,[1]characters!$1:$1,0)+1,FALSE)</f>
        <v>human</v>
      </c>
      <c r="X4" s="5" t="str">
        <f ca="1">VLOOKUP(W4,[1]character_tribe_i18n!$A:$H,3,FALSE)</f>
        <v>ヒューマン</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0.94</v>
      </c>
      <c r="AB4" s="10">
        <f ca="1">VLOOKUP(W4,[1]character_tribe_i18n!$A:$H,5,FALSE)</f>
        <v>0.99</v>
      </c>
      <c r="AC4" s="10">
        <f ca="1">VLOOKUP(W4,[1]character_tribe_i18n!$A:$H,6,FALSE)</f>
        <v>1</v>
      </c>
      <c r="AD4" s="10">
        <f ca="1">VLOOKUP(W4,[1]character_tribe_i18n!$A:$H,7,FALSE)</f>
        <v>1.07</v>
      </c>
      <c r="AE4" s="187">
        <v>1247</v>
      </c>
      <c r="AF4" s="58" t="str">
        <f ca="1">IF(AE4="NULL","",VLOOKUP($AE4,OFFSET([1]characters!$A$1,0,0,COUNTA([1]characters!$A:$A),MATCH(AF$1,[1]characters!$1:$1,0)-MATCH($A$1,[1]characters!$1:$1,0)+1),MATCH(AF$1,[1]characters!$1:$1,0)-MATCH($A$1,[1]characters!$1:$1,0)+1,FALSE))</f>
        <v>潜情のくノ一 望月千代女</v>
      </c>
      <c r="AG4" s="187">
        <v>1246</v>
      </c>
      <c r="AH4" s="58" t="str">
        <f ca="1">VLOOKUP($AG4,OFFSET([1]characters!$A$1,0,0,COUNTA([1]characters!$A:$A),MATCH(AH$1,[1]characters!$1:$1,0)-MATCH($A$1,[1]characters!$1:$1,0)+1),MATCH(AH$1,[1]characters!$1:$1,0)-MATCH($A$1,[1]characters!$1:$1,0)+1,FALSE)</f>
        <v>望月千代女</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1246</v>
      </c>
      <c r="AQ4" s="53" t="str">
        <f ca="1">VLOOKUP($AP4,OFFSET(unit_skills!$A$1,0,0,COUNTA(unit_skills!$A:$A),MATCH(AQ$1,unit_skills!$1:$1,0)-MATCH($AP$1,unit_skills!$1:$1,0)+1),MATCH(AQ$1,unit_skills!$1:$1,0)-MATCH($AP$1,unit_skills!$1:$1,0)+1,FALSE)</f>
        <v>アルキミコ・ソーシャルワーク</v>
      </c>
      <c r="AR4" s="53" t="str">
        <f ca="1">VLOOKUP($AP4,OFFSET(unit_skills!$A$1,0,0,COUNTA(unit_skills!$A:$A),MATCH(AR$1,unit_skills!$1:$1,0)-MATCH($AP$1,unit_skills!$1:$1,0)+1),MATCH(AR$1,unit_skills!$1:$1,0)-MATCH($AP$1,unit_skills!$1:$1,0)+1,FALSE)</f>
        <v>ランダムで黄パネルを最大7個Cパネルに、ダメージパネルをハートパネルに変換+2ターン全ユニットの回復力を特大UP</v>
      </c>
      <c r="AS4" s="53">
        <f ca="1">VLOOKUP($AP4,OFFSET(unit_skills!$A$1,0,0,COUNTA(unit_skills!$A:$A),MATCH(AS$1,unit_skills!$1:$1,0)-MATCH($AP$1,unit_skills!$1:$1,0)+1),MATCH(AS$1,unit_skills!$1:$1,0)-MATCH($AP$1,unit_skills!$1:$1,0)+1,FALSE)</f>
        <v>0</v>
      </c>
      <c r="AT4" s="63">
        <v>1246</v>
      </c>
      <c r="AU4" s="53" t="str">
        <f ca="1">VLOOKUP($AT4,OFFSET(crash_skills!$A$1,0,0,COUNTA(crash_skills!$A:$A),MATCH(AU$1,crash_skills!$1:$1,0)-MATCH($AT$1,crash_skills!$1:$1,0)+1),MATCH(AU$1,crash_skills!$1:$1,0)-MATCH($AT$1,crash_skills!$1:$1,0)+1,FALSE)</f>
        <v>サイレント・ハニーポット</v>
      </c>
      <c r="AV4" s="53" t="str">
        <f ca="1">VLOOKUP($AT4,OFFSET(crash_skills!$A$1,0,0,COUNTA(crash_skills!$A:$A),MATCH(AV$1,crash_skills!$1:$1,0)-MATCH($AT$1,crash_skills!$1:$1,0)+1),MATCH(AV$1,crash_skills!$1:$1,0)-MATCH($AT$1,crash_skills!$1:$1,0)+1,FALSE)</f>
        <v>1体にダメージ_x000D_種族マシンに効果特大+HP大回復</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0.95</v>
      </c>
      <c r="AZ4" s="64">
        <v>1.36</v>
      </c>
      <c r="BA4" s="64">
        <v>0</v>
      </c>
      <c r="BB4" s="64">
        <v>0.85</v>
      </c>
      <c r="BC4" s="10">
        <f ca="1">INDEX('RC6SV'!$A$1:$G$21,MATCH(H4,'RC6SV'!$A$1:$A$21,FALSE),MATCH(G4,'RC6SV'!$A$1:$G$1,FALSE))</f>
        <v>9500</v>
      </c>
      <c r="BD4" s="44">
        <f t="shared" ca="1" si="6"/>
        <v>9500</v>
      </c>
      <c r="BE4" s="10">
        <f t="shared" ca="1" si="3"/>
        <v>0</v>
      </c>
      <c r="BF4" s="10">
        <f t="shared" ca="1" si="4"/>
        <v>1</v>
      </c>
      <c r="BG4" s="15">
        <f ca="1">IF($BE4&lt;=0,ROUND(BK4*0.5,0), ROUND($BE4*S4*AA4*J4*AY4*0.8*[1]ステータス!$B$2,0))</f>
        <v>1731</v>
      </c>
      <c r="BH4" s="15">
        <f ca="1">IF($BE4&lt;=0,ROUND(BL4*0.5,0), ROUND($BE4*T4*AB4*K4*AZ4*0.8*[1]ステータス!$C$2,0))</f>
        <v>1467</v>
      </c>
      <c r="BI4" s="15">
        <f ca="1">IF($BE4&lt;=0,ROUND(BM4*0.5,0), ROUND($BE4*U4*AC4*L4*BA4*0.8*[1]ステータス!$D$2,0))</f>
        <v>0</v>
      </c>
      <c r="BJ4" s="15">
        <f ca="1">IF($BE4&lt;=0,ROUND(BN4*0.5,0), ROUND($BE4*V4*AD4*M4*BB4*0.8*[1]ステータス!$E$2,0))</f>
        <v>1534</v>
      </c>
      <c r="BK4" s="10">
        <f ca="1">ROUND(BD4*S4*AA4*J4*AY4*[1]ステータス!$B$2,0)</f>
        <v>3461</v>
      </c>
      <c r="BL4" s="10">
        <f ca="1">ROUND(BD4*T4*AB4*K4*AZ4*[1]ステータス!$C$2,0)</f>
        <v>2933</v>
      </c>
      <c r="BM4" s="10">
        <f ca="1">ROUND(BD4*U4*AC4*L4*BA4*[1]ステータス!$D$2,0)</f>
        <v>0</v>
      </c>
      <c r="BN4" s="10">
        <f ca="1">ROUND(BD4*V4*AD4*M4*BB4*[1]ステータス!$E$2,0)</f>
        <v>3067</v>
      </c>
      <c r="BO4" s="9">
        <v>0</v>
      </c>
      <c r="BP4" s="9">
        <v>1</v>
      </c>
      <c r="BQ4" s="36" t="s">
        <v>47</v>
      </c>
      <c r="BR4" s="11">
        <f ca="1">VLOOKUP(H4,ghosts_label!$A$2:$B$19,2,FALSE)</f>
        <v>5500</v>
      </c>
    </row>
    <row r="5" spans="1:70" ht="26" customHeight="1" x14ac:dyDescent="0.15">
      <c r="A5" s="186">
        <v>1247</v>
      </c>
      <c r="B5" s="53" t="str">
        <f ca="1">VLOOKUP($A5,OFFSET([1]characters!$A$1,0,0,COUNTA([1]characters!$A:$A),MATCH(B$1,[1]characters!$1:$1,0)-MATCH($A$1,[1]characters!$1:$1,0)+1),MATCH(B$1,[1]characters!$1:$1,0)-MATCH($A$1,[1]characters!$1:$1,0)+1,FALSE)</f>
        <v>潜情のくノ一 望月千代女</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green</v>
      </c>
      <c r="J5" s="10">
        <f ca="1">VLOOKUP(I5,[1]属性!$A:$E,2,FALSE)</f>
        <v>1.02</v>
      </c>
      <c r="K5" s="10">
        <f ca="1">VLOOKUP(I5,[1]属性!$A:$E,3,FALSE)</f>
        <v>0.98</v>
      </c>
      <c r="L5" s="10">
        <f ca="1">VLOOKUP(I5,[1]属性!$A:$E,4,FALSE)</f>
        <v>1</v>
      </c>
      <c r="M5" s="10">
        <f ca="1">VLOOKUP(I5,[1]属性!$A:$E,5,FALSE)</f>
        <v>1</v>
      </c>
      <c r="N5" s="10">
        <f ca="1">INDEX(コスト!$A$1:$I$21,MATCH(H5,コスト!$A$1:$A$21,FALSE),MATCH(G5,コスト!$A$1:$I$1,FALSE))</f>
        <v>50</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heal</v>
      </c>
      <c r="R5" s="5" t="str">
        <f ca="1">VLOOKUP(Q5,[1]character_type_i18n!$A:$H,3,FALSE)</f>
        <v>回復タイプ</v>
      </c>
      <c r="S5" s="10">
        <f ca="1">VLOOKUP(Q5,[1]character_type_i18n!$A:$H,4,FALSE)</f>
        <v>0.8</v>
      </c>
      <c r="T5" s="10">
        <f ca="1">VLOOKUP(Q5,[1]character_type_i18n!$A:$H,5,FALSE)</f>
        <v>0.78</v>
      </c>
      <c r="U5" s="10">
        <f ca="1">VLOOKUP(Q5,[1]character_type_i18n!$A:$H,6,FALSE)</f>
        <v>1</v>
      </c>
      <c r="V5" s="10">
        <f ca="1">VLOOKUP(Q5,[1]character_type_i18n!$A:$H,7,FALSE)</f>
        <v>1.42</v>
      </c>
      <c r="W5" s="53" t="str">
        <f ca="1">VLOOKUP($A5,OFFSET([1]characters!$A$1,0,0,COUNTA([1]characters!$A:$A),MATCH(W$1,[1]characters!$1:$1,0)-MATCH($A$1,[1]characters!$1:$1,0)+1),MATCH(W$1,[1]characters!$1:$1,0)-MATCH($A$1,[1]characters!$1:$1,0)+1,FALSE)</f>
        <v>human</v>
      </c>
      <c r="X5" s="5" t="str">
        <f ca="1">VLOOKUP(W5,[1]character_tribe_i18n!$A:$H,3,FALSE)</f>
        <v>ヒューマン</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0.94</v>
      </c>
      <c r="AB5" s="10">
        <f ca="1">VLOOKUP(W5,[1]character_tribe_i18n!$A:$H,5,FALSE)</f>
        <v>0.99</v>
      </c>
      <c r="AC5" s="10">
        <f ca="1">VLOOKUP(W5,[1]character_tribe_i18n!$A:$H,6,FALSE)</f>
        <v>1</v>
      </c>
      <c r="AD5" s="10">
        <f ca="1">VLOOKUP(W5,[1]character_tribe_i18n!$A:$H,7,FALSE)</f>
        <v>1.07</v>
      </c>
      <c r="AE5" s="187" t="s">
        <v>183</v>
      </c>
      <c r="AF5" s="58" t="str">
        <f ca="1">IF(AE5="NULL","",VLOOKUP($AE5,OFFSET([1]characters!$A$1,0,0,COUNTA([1]characters!$A:$A),MATCH(AF$1,[1]characters!$1:$1,0)-MATCH($A$1,[1]characters!$1:$1,0)+1),MATCH(AF$1,[1]characters!$1:$1,0)-MATCH($A$1,[1]characters!$1:$1,0)+1,FALSE))</f>
        <v/>
      </c>
      <c r="AG5" s="187">
        <v>1246</v>
      </c>
      <c r="AH5" s="58" t="str">
        <f ca="1">VLOOKUP($AG5,OFFSET([1]characters!$A$1,0,0,COUNTA([1]characters!$A:$A),MATCH(AH$1,[1]characters!$1:$1,0)-MATCH($A$1,[1]characters!$1:$1,0)+1),MATCH(AH$1,[1]characters!$1:$1,0)-MATCH($A$1,[1]characters!$1:$1,0)+1,FALSE)</f>
        <v>望月千代女</v>
      </c>
      <c r="AI5" s="10" t="str">
        <f>IF(AE5="NULL","NULL",VLOOKUP(G5,ビット!$A$2:$B$7,2))</f>
        <v>NULL</v>
      </c>
      <c r="AJ5" s="6">
        <v>2</v>
      </c>
      <c r="AK5" s="7" t="str">
        <f t="shared" ref="AK5:AK6"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1247</v>
      </c>
      <c r="AQ5" s="53" t="str">
        <f ca="1">VLOOKUP($AP5,OFFSET(unit_skills!$A$1,0,0,COUNTA(unit_skills!$A:$A),MATCH(AQ$1,unit_skills!$1:$1,0)-MATCH($AP$1,unit_skills!$1:$1,0)+1),MATCH(AQ$1,unit_skills!$1:$1,0)-MATCH($AP$1,unit_skills!$1:$1,0)+1,FALSE)</f>
        <v>シノビミコ・ソーシャルハック</v>
      </c>
      <c r="AR5" s="53" t="str">
        <f ca="1">VLOOKUP($AP5,OFFSET(unit_skills!$A$1,0,0,COUNTA(unit_skills!$A:$A),MATCH(AR$1,unit_skills!$1:$1,0)-MATCH($AP$1,unit_skills!$1:$1,0)+1),MATCH(AR$1,unit_skills!$1:$1,0)-MATCH($AP$1,unit_skills!$1:$1,0)+1,FALSE)</f>
        <v>ランダムで黄パネルを最大7個Cパネル、ダメージパネルをハートパネルに変換+2ターンHPを回復し、全ユニットの回復力特大UP</v>
      </c>
      <c r="AS5" s="53">
        <f ca="1">VLOOKUP($AP5,OFFSET(unit_skills!$A$1,0,0,COUNTA(unit_skills!$A:$A),MATCH(AS$1,unit_skills!$1:$1,0)-MATCH($AP$1,unit_skills!$1:$1,0)+1),MATCH(AS$1,unit_skills!$1:$1,0)-MATCH($AP$1,unit_skills!$1:$1,0)+1,FALSE)</f>
        <v>0</v>
      </c>
      <c r="AT5" s="63">
        <v>1247</v>
      </c>
      <c r="AU5" s="53" t="str">
        <f ca="1">VLOOKUP($AT5,OFFSET(crash_skills!$A$1,0,0,COUNTA(crash_skills!$A:$A),MATCH(AU$1,crash_skills!$1:$1,0)-MATCH($AT$1,crash_skills!$1:$1,0)+1),MATCH(AU$1,crash_skills!$1:$1,0)-MATCH($AT$1,crash_skills!$1:$1,0)+1,FALSE)</f>
        <v>リヴェンジング・ハニーポット</v>
      </c>
      <c r="AV5" s="53" t="str">
        <f ca="1">VLOOKUP($AT5,OFFSET(crash_skills!$A$1,0,0,COUNTA(crash_skills!$A:$A),MATCH(AV$1,crash_skills!$1:$1,0)-MATCH($AT$1,crash_skills!$1:$1,0)+1),MATCH(AV$1,crash_skills!$1:$1,0)-MATCH($AT$1,crash_skills!$1:$1,0)+1,FALSE)</f>
        <v>1体にダメージ_x000D_種族マシンに効果超大+HP大回復</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0.95</v>
      </c>
      <c r="AZ5" s="64">
        <v>1.36</v>
      </c>
      <c r="BA5" s="64">
        <v>0</v>
      </c>
      <c r="BB5" s="64">
        <v>0.85</v>
      </c>
      <c r="BC5" s="10">
        <f ca="1">INDEX('RC6SV'!$A$1:$G$21,MATCH(H5,'RC6SV'!$A$1:$A$21,FALSE),MATCH(G5,'RC6SV'!$A$1:$G$1,FALSE))</f>
        <v>13000</v>
      </c>
      <c r="BD5" s="44">
        <f t="shared" ref="BD5:BD6" ca="1" si="9">ROUND(BC5*IF(AJ5=1,0.95,IF(AJ5=2,1,IF(AJ5,1.05,0))),0)</f>
        <v>13000</v>
      </c>
      <c r="BE5" s="10">
        <f t="shared" ca="1" si="3"/>
        <v>9500</v>
      </c>
      <c r="BF5" s="10">
        <f t="shared" ca="1" si="4"/>
        <v>1</v>
      </c>
      <c r="BG5" s="15">
        <f ca="1">IF($BE5&lt;=0,ROUND(BK5*0.5,0), ROUND($BE5*S5*AA5*J5*AY5*0.8*[1]ステータス!$B$2,0))</f>
        <v>2769</v>
      </c>
      <c r="BH5" s="15">
        <f ca="1">IF($BE5&lt;=0,ROUND(BL5*0.5,0), ROUND($BE5*T5*AB5*K5*AZ5*0.8*[1]ステータス!$C$2,0))</f>
        <v>2347</v>
      </c>
      <c r="BI5" s="15">
        <f ca="1">IF($BE5&lt;=0,ROUND(BM5*0.5,0), ROUND($BE5*U5*AC5*L5*BA5*0.8*[1]ステータス!$D$2,0))</f>
        <v>0</v>
      </c>
      <c r="BJ5" s="15">
        <f ca="1">IF($BE5&lt;=0,ROUND(BN5*0.5,0), ROUND($BE5*V5*AD5*M5*BB5*0.8*[1]ステータス!$E$2,0))</f>
        <v>2454</v>
      </c>
      <c r="BK5" s="10">
        <f ca="1">ROUND(BD5*S5*AA5*J5*AY5*[1]ステータス!$B$2,0)</f>
        <v>4736</v>
      </c>
      <c r="BL5" s="10">
        <f ca="1">ROUND(BD5*T5*AB5*K5*AZ5*[1]ステータス!$C$2,0)</f>
        <v>4014</v>
      </c>
      <c r="BM5" s="10">
        <f ca="1">ROUND(BD5*U5*AC5*L5*BA5*[1]ステータス!$D$2,0)</f>
        <v>0</v>
      </c>
      <c r="BN5" s="10">
        <f ca="1">ROUND(BD5*V5*AD5*M5*BB5*[1]ステータス!$E$2,0)</f>
        <v>4197</v>
      </c>
      <c r="BO5" s="9">
        <v>0</v>
      </c>
      <c r="BP5" s="9">
        <v>1</v>
      </c>
      <c r="BQ5" s="9" t="s">
        <v>47</v>
      </c>
      <c r="BR5" s="11">
        <f ca="1">VLOOKUP(H5,ghosts_label!$A$2:$B$19,2,FALSE)</f>
        <v>5500</v>
      </c>
    </row>
    <row r="6" spans="1:70" ht="26" customHeight="1" x14ac:dyDescent="0.15">
      <c r="A6" s="186">
        <v>1238</v>
      </c>
      <c r="B6" s="53" t="str">
        <f ca="1">VLOOKUP($A6,OFFSET([1]characters!$A$1,0,0,COUNTA([1]characters!$A:$A),MATCH(B$1,[1]characters!$1:$1,0)-MATCH($A$1,[1]characters!$1:$1,0)+1),MATCH(B$1,[1]characters!$1:$1,0)-MATCH($A$1,[1]characters!$1:$1,0)+1,FALSE)</f>
        <v>服部半蔵</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green</v>
      </c>
      <c r="J6" s="10">
        <f ca="1">VLOOKUP(I6,[1]属性!$A:$E,2,FALSE)</f>
        <v>1.02</v>
      </c>
      <c r="K6" s="10">
        <f ca="1">VLOOKUP(I6,[1]属性!$A:$E,3,FALSE)</f>
        <v>0.98</v>
      </c>
      <c r="L6" s="10">
        <f ca="1">VLOOKUP(I6,[1]属性!$A:$E,4,FALSE)</f>
        <v>1</v>
      </c>
      <c r="M6" s="10">
        <f ca="1">VLOOKUP(I6,[1]属性!$A:$E,5,FALSE)</f>
        <v>1</v>
      </c>
      <c r="N6" s="10">
        <f ca="1">INDEX(コスト!$A$1:$I$21,MATCH(H6,コスト!$A$1:$A$21,FALSE),MATCH(G6,コスト!$A$1:$I$1,FALSE))</f>
        <v>30</v>
      </c>
      <c r="O6" s="10">
        <f ca="1">INDEX(レベル!$A$1:$I$22,MATCH(H6,レベル!$A$1:$A$22,FALSE),MATCH(G6,レベル!$A$1:$I$1,FALSE))</f>
        <v>80</v>
      </c>
      <c r="P6" s="44">
        <f t="shared" ref="P6:P7" ca="1" si="10">IF(G6 &gt;= 6, 99,G6*15)</f>
        <v>75</v>
      </c>
      <c r="Q6" s="53" t="str">
        <f ca="1">VLOOKUP($A6,OFFSET([1]characters!$A$1,0,0,COUNTA([1]characters!$A:$A),MATCH(Q$1,[1]characters!$1:$1,0)-MATCH($A$1,[1]characters!$1:$1,0)+1),MATCH(Q$1,[1]characters!$1:$1,0)-MATCH($A$1,[1]characters!$1:$1,0)+1,FALSE)</f>
        <v>attack</v>
      </c>
      <c r="R6" s="5" t="str">
        <f ca="1">VLOOKUP(Q6,[1]character_type_i18n!$A:$H,3,FALSE)</f>
        <v>攻撃タイプ</v>
      </c>
      <c r="S6" s="10">
        <f ca="1">VLOOKUP(Q6,[1]character_type_i18n!$A:$H,4,FALSE)</f>
        <v>1</v>
      </c>
      <c r="T6" s="10">
        <f ca="1">VLOOKUP(Q6,[1]character_type_i18n!$A:$H,5,FALSE)</f>
        <v>1.33</v>
      </c>
      <c r="U6" s="10">
        <f ca="1">VLOOKUP(Q6,[1]character_type_i18n!$A:$H,6,FALSE)</f>
        <v>1</v>
      </c>
      <c r="V6" s="10">
        <f ca="1">VLOOKUP(Q6,[1]character_type_i18n!$A:$H,7,FALSE)</f>
        <v>0.67</v>
      </c>
      <c r="W6" s="53" t="str">
        <f ca="1">VLOOKUP($A6,OFFSET([1]characters!$A$1,0,0,COUNTA([1]characters!$A:$A),MATCH(W$1,[1]characters!$1:$1,0)-MATCH($A$1,[1]characters!$1:$1,0)+1),MATCH(W$1,[1]characters!$1:$1,0)-MATCH($A$1,[1]characters!$1:$1,0)+1,FALSE)</f>
        <v>unknown</v>
      </c>
      <c r="X6" s="5" t="str">
        <f ca="1">VLOOKUP(W6,[1]character_tribe_i18n!$A:$H,3,FALSE)</f>
        <v>Unknown</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1</v>
      </c>
      <c r="AB6" s="10">
        <f ca="1">VLOOKUP(W6,[1]character_tribe_i18n!$A:$H,5,FALSE)</f>
        <v>1</v>
      </c>
      <c r="AC6" s="10">
        <f ca="1">VLOOKUP(W6,[1]character_tribe_i18n!$A:$H,6,FALSE)</f>
        <v>1</v>
      </c>
      <c r="AD6" s="10">
        <f ca="1">VLOOKUP(W6,[1]character_tribe_i18n!$A:$H,7,FALSE)</f>
        <v>1</v>
      </c>
      <c r="AE6" s="187">
        <v>1239</v>
      </c>
      <c r="AF6" s="58" t="str">
        <f ca="1">IF(AE6="NULL","",VLOOKUP($AE6,OFFSET([1]characters!$A$1,0,0,COUNTA([1]characters!$A:$A),MATCH(AF$1,[1]characters!$1:$1,0)-MATCH($A$1,[1]characters!$1:$1,0)+1),MATCH(AF$1,[1]characters!$1:$1,0)-MATCH($A$1,[1]characters!$1:$1,0)+1,FALSE))</f>
        <v>音無の機密忍 服部半蔵</v>
      </c>
      <c r="AG6" s="187">
        <v>1238</v>
      </c>
      <c r="AH6" s="58" t="str">
        <f ca="1">VLOOKUP($AG6,OFFSET([1]characters!$A$1,0,0,COUNTA([1]characters!$A:$A),MATCH(AH$1,[1]characters!$1:$1,0)-MATCH($A$1,[1]characters!$1:$1,0)+1),MATCH(AH$1,[1]characters!$1:$1,0)-MATCH($A$1,[1]characters!$1:$1,0)+1,FALSE)</f>
        <v>服部半蔵</v>
      </c>
      <c r="AI6" s="10">
        <f ca="1">IF(AE6="NULL","NULL",VLOOKUP(G6,ビット!$A$2:$B$7,2))</f>
        <v>200000</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1238</v>
      </c>
      <c r="AQ6" s="53" t="str">
        <f ca="1">VLOOKUP($AP6,OFFSET(unit_skills!$A$1,0,0,COUNTA(unit_skills!$A:$A),MATCH(AQ$1,unit_skills!$1:$1,0)-MATCH($AP$1,unit_skills!$1:$1,0)+1),MATCH(AQ$1,unit_skills!$1:$1,0)-MATCH($AP$1,unit_skills!$1:$1,0)+1,FALSE)</f>
        <v>イントルーダー・IGA</v>
      </c>
      <c r="AR6" s="53" t="str">
        <f ca="1">VLOOKUP($AP6,OFFSET(unit_skills!$A$1,0,0,COUNTA(unit_skills!$A:$A),MATCH(AR$1,unit_skills!$1:$1,0)-MATCH($AP$1,unit_skills!$1:$1,0)+1),MATCH(AR$1,unit_skills!$1:$1,0)-MATCH($AP$1,unit_skills!$1:$1,0)+1,FALSE)</f>
        <v>黄パネルをCパネルに変換+1ターン赤・青パネルの出現率をDOWN</v>
      </c>
      <c r="AS6" s="53">
        <f ca="1">VLOOKUP($AP6,OFFSET(unit_skills!$A$1,0,0,COUNTA(unit_skills!$A:$A),MATCH(AS$1,unit_skills!$1:$1,0)-MATCH($AP$1,unit_skills!$1:$1,0)+1),MATCH(AS$1,unit_skills!$1:$1,0)-MATCH($AP$1,unit_skills!$1:$1,0)+1,FALSE)</f>
        <v>0</v>
      </c>
      <c r="AT6" s="63">
        <v>1238</v>
      </c>
      <c r="AU6" s="53" t="str">
        <f ca="1">VLOOKUP($AT6,OFFSET(crash_skills!$A$1,0,0,COUNTA(crash_skills!$A:$A),MATCH(AU$1,crash_skills!$1:$1,0)-MATCH($AT$1,crash_skills!$1:$1,0)+1),MATCH(AU$1,crash_skills!$1:$1,0)-MATCH($AT$1,crash_skills!$1:$1,0)+1,FALSE)</f>
        <v>シャドウ・インキュベーション</v>
      </c>
      <c r="AV6" s="53" t="str">
        <f ca="1">VLOOKUP($AT6,OFFSET(crash_skills!$A$1,0,0,COUNTA(crash_skills!$A:$A),MATCH(AV$1,crash_skills!$1:$1,0)-MATCH($AT$1,crash_skills!$1:$1,0)+1),MATCH(AV$1,crash_skills!$1:$1,0)-MATCH($AT$1,crash_skills!$1:$1,0)+1,FALSE)</f>
        <v>1体に大ダメージ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0.90810000000000002</v>
      </c>
      <c r="AZ6" s="64">
        <v>1.1854</v>
      </c>
      <c r="BA6" s="64">
        <v>0</v>
      </c>
      <c r="BB6" s="64">
        <v>1.004</v>
      </c>
      <c r="BC6" s="10">
        <f ca="1">INDEX('RC6SV'!$A$1:$G$21,MATCH(H6,'RC6SV'!$A$1:$A$21,FALSE),MATCH(G6,'RC6SV'!$A$1:$G$1,FALSE))</f>
        <v>9000</v>
      </c>
      <c r="BD6" s="44">
        <f t="shared" ca="1" si="9"/>
        <v>9000</v>
      </c>
      <c r="BE6" s="10">
        <f t="shared" ca="1" si="3"/>
        <v>0</v>
      </c>
      <c r="BF6" s="10">
        <f t="shared" ca="1" si="4"/>
        <v>1</v>
      </c>
      <c r="BG6" s="15">
        <f ca="1">IF($BE6&lt;=0,ROUND(BK6*0.5,0), ROUND($BE6*S6*AA6*J6*AY6*0.8*[1]ステータス!$B$2,0))</f>
        <v>2084</v>
      </c>
      <c r="BH6" s="15">
        <f ca="1">IF($BE6&lt;=0,ROUND(BL6*0.5,0), ROUND($BE6*T6*AB6*K6*AZ6*0.8*[1]ステータス!$C$2,0))</f>
        <v>2086</v>
      </c>
      <c r="BI6" s="15">
        <f ca="1">IF($BE6&lt;=0,ROUND(BM6*0.5,0), ROUND($BE6*U6*AC6*L6*BA6*0.8*[1]ステータス!$D$2,0))</f>
        <v>0</v>
      </c>
      <c r="BJ6" s="15">
        <f ca="1">IF($BE6&lt;=0,ROUND(BN6*0.5,0), ROUND($BE6*V6*AD6*M6*BB6*0.8*[1]ステータス!$E$2,0))</f>
        <v>757</v>
      </c>
      <c r="BK6" s="10">
        <f ca="1">ROUND(BD6*S6*AA6*J6*AY6*[1]ステータス!$B$2,0)</f>
        <v>4168</v>
      </c>
      <c r="BL6" s="10">
        <f ca="1">ROUND(BD6*T6*AB6*K6*AZ6*[1]ステータス!$C$2,0)</f>
        <v>4172</v>
      </c>
      <c r="BM6" s="10">
        <f ca="1">ROUND(BD6*U6*AC6*L6*BA6*[1]ステータス!$D$2,0)</f>
        <v>0</v>
      </c>
      <c r="BN6" s="10">
        <f ca="1">ROUND(BD6*V6*AD6*M6*BB6*[1]ステータス!$E$2,0)</f>
        <v>1514</v>
      </c>
      <c r="BO6" s="9">
        <v>0</v>
      </c>
      <c r="BP6" s="9">
        <v>1</v>
      </c>
      <c r="BQ6" s="36" t="s">
        <v>47</v>
      </c>
      <c r="BR6" s="11">
        <f ca="1">VLOOKUP(H6,ghosts_label!$A$2:$B$19,2,FALSE)</f>
        <v>1</v>
      </c>
    </row>
    <row r="7" spans="1:70" ht="26" customHeight="1" x14ac:dyDescent="0.15">
      <c r="A7" s="186">
        <v>1239</v>
      </c>
      <c r="B7" s="53" t="str">
        <f ca="1">VLOOKUP($A7,OFFSET([1]characters!$A$1,0,0,COUNTA([1]characters!$A:$A),MATCH(B$1,[1]characters!$1:$1,0)-MATCH($A$1,[1]characters!$1:$1,0)+1),MATCH(B$1,[1]characters!$1:$1,0)-MATCH($A$1,[1]characters!$1:$1,0)+1,FALSE)</f>
        <v>音無の機密忍 服部半蔵</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green</v>
      </c>
      <c r="J7" s="10">
        <f ca="1">VLOOKUP(I7,[1]属性!$A:$E,2,FALSE)</f>
        <v>1.02</v>
      </c>
      <c r="K7" s="10">
        <f ca="1">VLOOKUP(I7,[1]属性!$A:$E,3,FALSE)</f>
        <v>0.98</v>
      </c>
      <c r="L7" s="10">
        <f ca="1">VLOOKUP(I7,[1]属性!$A:$E,4,FALSE)</f>
        <v>1</v>
      </c>
      <c r="M7" s="10">
        <f ca="1">VLOOKUP(I7,[1]属性!$A:$E,5,FALSE)</f>
        <v>1</v>
      </c>
      <c r="N7" s="10">
        <f ca="1">INDEX(コスト!$A$1:$I$21,MATCH(H7,コスト!$A$1:$A$21,FALSE),MATCH(G7,コスト!$A$1:$I$1,FALSE))</f>
        <v>45</v>
      </c>
      <c r="O7" s="10">
        <f ca="1">INDEX(レベル!$A$1:$I$22,MATCH(H7,レベル!$A$1:$A$22,FALSE),MATCH(G7,レベル!$A$1:$I$1,FALSE))</f>
        <v>99</v>
      </c>
      <c r="P7" s="44">
        <f t="shared" ca="1" si="10"/>
        <v>99</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unknown</v>
      </c>
      <c r="X7" s="5" t="str">
        <f ca="1">VLOOKUP(W7,[1]character_tribe_i18n!$A:$H,3,FALSE)</f>
        <v>Unknown</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1</v>
      </c>
      <c r="AB7" s="10">
        <f ca="1">VLOOKUP(W7,[1]character_tribe_i18n!$A:$H,5,FALSE)</f>
        <v>1</v>
      </c>
      <c r="AC7" s="10">
        <f ca="1">VLOOKUP(W7,[1]character_tribe_i18n!$A:$H,6,FALSE)</f>
        <v>1</v>
      </c>
      <c r="AD7" s="10">
        <f ca="1">VLOOKUP(W7,[1]character_tribe_i18n!$A:$H,7,FALSE)</f>
        <v>1</v>
      </c>
      <c r="AE7" s="187" t="s">
        <v>183</v>
      </c>
      <c r="AF7" s="58" t="str">
        <f ca="1">IF(AE7="NULL","",VLOOKUP($AE7,OFFSET([1]characters!$A$1,0,0,COUNTA([1]characters!$A:$A),MATCH(AF$1,[1]characters!$1:$1,0)-MATCH($A$1,[1]characters!$1:$1,0)+1),MATCH(AF$1,[1]characters!$1:$1,0)-MATCH($A$1,[1]characters!$1:$1,0)+1,FALSE))</f>
        <v/>
      </c>
      <c r="AG7" s="187">
        <v>1238</v>
      </c>
      <c r="AH7" s="58" t="str">
        <f ca="1">VLOOKUP($AG7,OFFSET([1]characters!$A$1,0,0,COUNTA([1]characters!$A:$A),MATCH(AH$1,[1]characters!$1:$1,0)-MATCH($A$1,[1]characters!$1:$1,0)+1),MATCH(AH$1,[1]characters!$1:$1,0)-MATCH($A$1,[1]characters!$1:$1,0)+1,FALSE)</f>
        <v>服部半蔵</v>
      </c>
      <c r="AI7" s="10" t="str">
        <f>IF(AE7="NULL","NULL",VLOOKUP(G7,ビット!$A$2:$B$7,2))</f>
        <v>NULL</v>
      </c>
      <c r="AJ7" s="6">
        <v>2</v>
      </c>
      <c r="AK7" s="7" t="str">
        <f t="shared" ref="AK7:AK8" si="11">IF(AJ7=1,"早熟",IF(AJ7=2,"普通",IF(AJ7=3,"晩成","")))</f>
        <v>普通</v>
      </c>
      <c r="AL7" s="10" t="str">
        <f ca="1">INDEX(経験値!$A$1:$I$21,MATCH(H7,経験値!$A$1:$A$21,FALSE),MATCH(G7,経験値!$A$1:$I$1,FALSE))</f>
        <v>required_exp_250</v>
      </c>
      <c r="AM7" s="8">
        <f ca="1">VLOOKUP(G7,経験値!$A$28:$B$32,2)</f>
        <v>6400</v>
      </c>
      <c r="AN7" s="16">
        <f ca="1">VLOOKUP(G7,ビット!$G$2:$H$7,2)</f>
        <v>900</v>
      </c>
      <c r="AO7" s="41"/>
      <c r="AP7" s="63">
        <v>1239</v>
      </c>
      <c r="AQ7" s="53" t="str">
        <f ca="1">VLOOKUP($AP7,OFFSET(unit_skills!$A$1,0,0,COUNTA(unit_skills!$A:$A),MATCH(AQ$1,unit_skills!$1:$1,0)-MATCH($AP$1,unit_skills!$1:$1,0)+1),MATCH(AQ$1,unit_skills!$1:$1,0)-MATCH($AP$1,unit_skills!$1:$1,0)+1,FALSE)</f>
        <v>インヴェイダー・SP-IGA</v>
      </c>
      <c r="AR7" s="53" t="str">
        <f ca="1">VLOOKUP($AP7,OFFSET(unit_skills!$A$1,0,0,COUNTA(unit_skills!$A:$A),MATCH(AR$1,unit_skills!$1:$1,0)-MATCH($AP$1,unit_skills!$1:$1,0)+1),MATCH(AR$1,unit_skills!$1:$1,0)-MATCH($AP$1,unit_skills!$1:$1,0)+1,FALSE)</f>
        <v>黄パネルをCパネルに変換+3ターン赤・青パネルの出現率をDOWN</v>
      </c>
      <c r="AS7" s="53">
        <f ca="1">VLOOKUP($AP7,OFFSET(unit_skills!$A$1,0,0,COUNTA(unit_skills!$A:$A),MATCH(AS$1,unit_skills!$1:$1,0)-MATCH($AP$1,unit_skills!$1:$1,0)+1),MATCH(AS$1,unit_skills!$1:$1,0)-MATCH($AP$1,unit_skills!$1:$1,0)+1,FALSE)</f>
        <v>0</v>
      </c>
      <c r="AT7" s="63">
        <v>1239</v>
      </c>
      <c r="AU7" s="53" t="str">
        <f ca="1">VLOOKUP($AT7,OFFSET(crash_skills!$A$1,0,0,COUNTA(crash_skills!$A:$A),MATCH(AU$1,crash_skills!$1:$1,0)-MATCH($AT$1,crash_skills!$1:$1,0)+1),MATCH(AU$1,crash_skills!$1:$1,0)-MATCH($AT$1,crash_skills!$1:$1,0)+1,FALSE)</f>
        <v>シャドウ・ディストーション</v>
      </c>
      <c r="AV7" s="53" t="str">
        <f ca="1">VLOOKUP($AT7,OFFSET(crash_skills!$A$1,0,0,COUNTA(crash_skills!$A:$A),MATCH(AV$1,crash_skills!$1:$1,0)-MATCH($AT$1,crash_skills!$1:$1,0)+1),MATCH(AV$1,crash_skills!$1:$1,0)-MATCH($AT$1,crash_skills!$1:$1,0)+1,FALSE)</f>
        <v>1体に特大ダメージ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0.9798</v>
      </c>
      <c r="AZ7" s="64">
        <v>1.1854</v>
      </c>
      <c r="BA7" s="64">
        <v>0</v>
      </c>
      <c r="BB7" s="64">
        <v>1.004</v>
      </c>
      <c r="BC7" s="10">
        <f ca="1">INDEX('RC6SV'!$A$1:$G$21,MATCH(H7,'RC6SV'!$A$1:$A$21,FALSE),MATCH(G7,'RC6SV'!$A$1:$G$1,FALSE))</f>
        <v>12000</v>
      </c>
      <c r="BD7" s="44">
        <f t="shared" ref="BD7:BD8" ca="1" si="12">ROUND(BC7*IF(AJ7=1,0.95,IF(AJ7=2,1,IF(AJ7,1.05,0))),0)</f>
        <v>12000</v>
      </c>
      <c r="BE7" s="10">
        <f t="shared" ca="1" si="3"/>
        <v>9000</v>
      </c>
      <c r="BF7" s="10">
        <f t="shared" ca="1" si="4"/>
        <v>1</v>
      </c>
      <c r="BG7" s="15">
        <f ca="1">IF($BE7&lt;=0,ROUND(BK7*0.5,0), ROUND($BE7*S7*AA7*J7*AY7*0.8*[1]ステータス!$B$2,0))</f>
        <v>3598</v>
      </c>
      <c r="BH7" s="15">
        <f ca="1">IF($BE7&lt;=0,ROUND(BL7*0.5,0), ROUND($BE7*T7*AB7*K7*AZ7*0.8*[1]ステータス!$C$2,0))</f>
        <v>3337</v>
      </c>
      <c r="BI7" s="15">
        <f ca="1">IF($BE7&lt;=0,ROUND(BM7*0.5,0), ROUND($BE7*U7*AC7*L7*BA7*0.8*[1]ステータス!$D$2,0))</f>
        <v>0</v>
      </c>
      <c r="BJ7" s="15">
        <f ca="1">IF($BE7&lt;=0,ROUND(BN7*0.5,0), ROUND($BE7*V7*AD7*M7*BB7*0.8*[1]ステータス!$E$2,0))</f>
        <v>1211</v>
      </c>
      <c r="BK7" s="10">
        <f ca="1">ROUND(BD7*S7*AA7*J7*AY7*[1]ステータス!$B$2,0)</f>
        <v>5996</v>
      </c>
      <c r="BL7" s="10">
        <f ca="1">ROUND(BD7*T7*AB7*K7*AZ7*[1]ステータス!$C$2,0)</f>
        <v>5562</v>
      </c>
      <c r="BM7" s="10">
        <f ca="1">ROUND(BD7*U7*AC7*L7*BA7*[1]ステータス!$D$2,0)</f>
        <v>0</v>
      </c>
      <c r="BN7" s="10">
        <f ca="1">ROUND(BD7*V7*AD7*M7*BB7*[1]ステータス!$E$2,0)</f>
        <v>2018</v>
      </c>
      <c r="BO7" s="9">
        <v>0</v>
      </c>
      <c r="BP7" s="9">
        <v>1</v>
      </c>
      <c r="BQ7" s="9" t="s">
        <v>47</v>
      </c>
      <c r="BR7" s="11">
        <f ca="1">VLOOKUP(H7,ghosts_label!$A$2:$B$19,2,FALSE)</f>
        <v>1</v>
      </c>
    </row>
    <row r="8" spans="1:70" ht="26" customHeight="1" x14ac:dyDescent="0.15">
      <c r="A8" s="186">
        <v>1240</v>
      </c>
      <c r="B8" s="53" t="str">
        <f ca="1">VLOOKUP($A8,OFFSET([1]characters!$A$1,0,0,COUNTA([1]characters!$A:$A),MATCH(B$1,[1]characters!$1:$1,0)-MATCH($A$1,[1]characters!$1:$1,0)+1),MATCH(B$1,[1]characters!$1:$1,0)-MATCH($A$1,[1]characters!$1:$1,0)+1,FALSE)</f>
        <v>竹中半兵衛</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v>
      </c>
      <c r="I8" s="53" t="str">
        <f ca="1">VLOOKUP($A8,OFFSET([1]characters!$A$1,0,0,COUNTA([1]characters!$A:$A),MATCH(I$1,[1]characters!$1:$1,0)-MATCH($A$1,[1]characters!$1:$1,0)+1),MATCH(I$1,[1]characters!$1:$1,0)-MATCH($A$1,[1]characters!$1:$1,0)+1,FALSE)</f>
        <v>blue</v>
      </c>
      <c r="J8" s="10">
        <f ca="1">VLOOKUP(I8,[1]属性!$A:$E,2,FALSE)</f>
        <v>1</v>
      </c>
      <c r="K8" s="10">
        <f ca="1">VLOOKUP(I8,[1]属性!$A:$E,3,FALSE)</f>
        <v>0.98</v>
      </c>
      <c r="L8" s="10">
        <f ca="1">VLOOKUP(I8,[1]属性!$A:$E,4,FALSE)</f>
        <v>1</v>
      </c>
      <c r="M8" s="10">
        <f ca="1">VLOOKUP(I8,[1]属性!$A:$E,5,FALSE)</f>
        <v>1.02</v>
      </c>
      <c r="N8" s="10">
        <f ca="1">INDEX(コスト!$A$1:$I$21,MATCH(H8,コスト!$A$1:$A$21,FALSE),MATCH(G8,コスト!$A$1:$I$1,FALSE))</f>
        <v>30</v>
      </c>
      <c r="O8" s="10">
        <f ca="1">INDEX(レベル!$A$1:$I$22,MATCH(H8,レベル!$A$1:$A$22,FALSE),MATCH(G8,レベル!$A$1:$I$1,FALSE))</f>
        <v>80</v>
      </c>
      <c r="P8" s="44">
        <f t="shared" ref="P8:P11" ca="1" si="13">IF(G8 &gt;= 6, 99,G8*15)</f>
        <v>75</v>
      </c>
      <c r="Q8" s="53" t="str">
        <f ca="1">VLOOKUP($A8,OFFSET([1]characters!$A$1,0,0,COUNTA([1]characters!$A:$A),MATCH(Q$1,[1]characters!$1:$1,0)-MATCH($A$1,[1]characters!$1:$1,0)+1),MATCH(Q$1,[1]characters!$1:$1,0)-MATCH($A$1,[1]characters!$1:$1,0)+1,FALSE)</f>
        <v>hp</v>
      </c>
      <c r="R8" s="5" t="str">
        <f ca="1">VLOOKUP(Q8,[1]character_type_i18n!$A:$H,3,FALSE)</f>
        <v>体力タイプ</v>
      </c>
      <c r="S8" s="10">
        <f ca="1">VLOOKUP(Q8,[1]character_type_i18n!$A:$H,4,FALSE)</f>
        <v>1.45</v>
      </c>
      <c r="T8" s="10">
        <f ca="1">VLOOKUP(Q8,[1]character_type_i18n!$A:$H,5,FALSE)</f>
        <v>0.85</v>
      </c>
      <c r="U8" s="10">
        <f ca="1">VLOOKUP(Q8,[1]character_type_i18n!$A:$H,6,FALSE)</f>
        <v>1</v>
      </c>
      <c r="V8" s="10">
        <f ca="1">VLOOKUP(Q8,[1]character_type_i18n!$A:$H,7,FALSE)</f>
        <v>0.7</v>
      </c>
      <c r="W8" s="53" t="str">
        <f ca="1">VLOOKUP($A8,OFFSET([1]characters!$A$1,0,0,COUNTA([1]characters!$A:$A),MATCH(W$1,[1]characters!$1:$1,0)-MATCH($A$1,[1]characters!$1:$1,0)+1),MATCH(W$1,[1]characters!$1:$1,0)-MATCH($A$1,[1]characters!$1:$1,0)+1,FALSE)</f>
        <v>human</v>
      </c>
      <c r="X8" s="5" t="str">
        <f ca="1">VLOOKUP(W8,[1]character_tribe_i18n!$A:$H,3,FALSE)</f>
        <v>ヒューマン</v>
      </c>
      <c r="Y8" s="53" t="str">
        <f ca="1">VLOOKUP($A8,OFFSET([1]characters!$A$1,0,0,COUNTA([1]characters!$A:$A),MATCH(Y$1,[1]characters!$1:$1,0)-MATCH($A$1,[1]characters!$1:$1,0)+1),MATCH(Y$1,[1]characters!$1:$1,0)-MATCH($A$1,[1]characters!$1:$1,0)+1,FALSE)</f>
        <v>samurai</v>
      </c>
      <c r="Z8" s="5" t="str">
        <f ca="1">VLOOKUP(Y8,[1]character_tribe_i18n!$A:$H,3,FALSE)</f>
        <v>サムライ</v>
      </c>
      <c r="AA8" s="10">
        <f ca="1">VLOOKUP(W8,[1]character_tribe_i18n!$A:$H,4,FALSE)</f>
        <v>0.94</v>
      </c>
      <c r="AB8" s="10">
        <f ca="1">VLOOKUP(W8,[1]character_tribe_i18n!$A:$H,5,FALSE)</f>
        <v>0.99</v>
      </c>
      <c r="AC8" s="10">
        <f ca="1">VLOOKUP(W8,[1]character_tribe_i18n!$A:$H,6,FALSE)</f>
        <v>1</v>
      </c>
      <c r="AD8" s="10">
        <f ca="1">VLOOKUP(W8,[1]character_tribe_i18n!$A:$H,7,FALSE)</f>
        <v>1.07</v>
      </c>
      <c r="AE8" s="187">
        <v>1241</v>
      </c>
      <c r="AF8" s="58" t="str">
        <f ca="1">IF(AE8="NULL","",VLOOKUP($AE8,OFFSET([1]characters!$A$1,0,0,COUNTA([1]characters!$A:$A),MATCH(AF$1,[1]characters!$1:$1,0)-MATCH($A$1,[1]characters!$1:$1,0)+1),MATCH(AF$1,[1]characters!$1:$1,0)-MATCH($A$1,[1]characters!$1:$1,0)+1,FALSE))</f>
        <v>巧妙なる嬢舌 竹中半兵衛</v>
      </c>
      <c r="AG8" s="187">
        <v>1240</v>
      </c>
      <c r="AH8" s="58" t="str">
        <f ca="1">VLOOKUP($AG8,OFFSET([1]characters!$A$1,0,0,COUNTA([1]characters!$A:$A),MATCH(AH$1,[1]characters!$1:$1,0)-MATCH($A$1,[1]characters!$1:$1,0)+1),MATCH(AH$1,[1]characters!$1:$1,0)-MATCH($A$1,[1]characters!$1:$1,0)+1,FALSE)</f>
        <v>竹中半兵衛</v>
      </c>
      <c r="AI8" s="10">
        <f ca="1">IF(AE8="NULL","NULL",VLOOKUP(G8,ビット!$A$2:$B$7,2))</f>
        <v>200000</v>
      </c>
      <c r="AJ8" s="6">
        <v>2</v>
      </c>
      <c r="AK8" s="7" t="str">
        <f t="shared" si="11"/>
        <v>普通</v>
      </c>
      <c r="AL8" s="10" t="str">
        <f ca="1">INDEX(経験値!$A$1:$I$21,MATCH(H8,経験値!$A$1:$A$21,FALSE),MATCH(G8,経験値!$A$1:$I$1,FALSE))</f>
        <v>required_exp_200</v>
      </c>
      <c r="AM8" s="8">
        <f ca="1">VLOOKUP(G8,経験値!$A$28:$B$32,2)</f>
        <v>6400</v>
      </c>
      <c r="AN8" s="16">
        <f ca="1">VLOOKUP(G8,ビット!$G$2:$H$7,2)</f>
        <v>900</v>
      </c>
      <c r="AO8" s="41"/>
      <c r="AP8" s="63">
        <v>1240</v>
      </c>
      <c r="AQ8" s="53" t="str">
        <f ca="1">VLOOKUP($AP8,OFFSET(unit_skills!$A$1,0,0,COUNTA(unit_skills!$A:$A),MATCH(AQ$1,unit_skills!$1:$1,0)-MATCH($AP$1,unit_skills!$1:$1,0)+1),MATCH(AQ$1,unit_skills!$1:$1,0)-MATCH($AP$1,unit_skills!$1:$1,0)+1,FALSE)</f>
        <v>半兵衛ちゃんマカリトオル！</v>
      </c>
      <c r="AR8" s="53" t="str">
        <f ca="1">VLOOKUP($AP8,OFFSET(unit_skills!$A$1,0,0,COUNTA(unit_skills!$A:$A),MATCH(AR$1,unit_skills!$1:$1,0)-MATCH($AP$1,unit_skills!$1:$1,0)+1),MATCH(AR$1,unit_skills!$1:$1,0)-MATCH($AP$1,unit_skills!$1:$1,0)+1,FALSE)</f>
        <v>ダメージパネルを青パネルに、黄パネルを赤パネルに変換+1ターン青属性のタップ回数を1増やす</v>
      </c>
      <c r="AS8" s="53">
        <f ca="1">VLOOKUP($AP8,OFFSET(unit_skills!$A$1,0,0,COUNTA(unit_skills!$A:$A),MATCH(AS$1,unit_skills!$1:$1,0)-MATCH($AP$1,unit_skills!$1:$1,0)+1),MATCH(AS$1,unit_skills!$1:$1,0)-MATCH($AP$1,unit_skills!$1:$1,0)+1,FALSE)</f>
        <v>0</v>
      </c>
      <c r="AT8" s="63">
        <v>1240</v>
      </c>
      <c r="AU8" s="53" t="str">
        <f ca="1">VLOOKUP($AT8,OFFSET(crash_skills!$A$1,0,0,COUNTA(crash_skills!$A:$A),MATCH(AU$1,crash_skills!$1:$1,0)-MATCH($AT$1,crash_skills!$1:$1,0)+1),MATCH(AU$1,crash_skills!$1:$1,0)-MATCH($AT$1,crash_skills!$1:$1,0)+1,FALSE)</f>
        <v>ブリリアント・ストラテジ</v>
      </c>
      <c r="AV8" s="53" t="str">
        <f ca="1">VLOOKUP($AT8,OFFSET(crash_skills!$A$1,0,0,COUNTA(crash_skills!$A:$A),MATCH(AV$1,crash_skills!$1:$1,0)-MATCH($AT$1,crash_skills!$1:$1,0)+1),MATCH(AV$1,crash_skills!$1:$1,0)-MATCH($AT$1,crash_skills!$1:$1,0)+1,FALSE)</f>
        <v>自身のHPの最大値に比例して1体に特大ダメージ</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1.03</v>
      </c>
      <c r="AZ8" s="64">
        <v>1.03</v>
      </c>
      <c r="BA8" s="64">
        <v>0</v>
      </c>
      <c r="BB8" s="64">
        <v>0.94</v>
      </c>
      <c r="BC8" s="10">
        <f ca="1">INDEX('RC6SV'!$A$1:$G$21,MATCH(H8,'RC6SV'!$A$1:$A$21,FALSE),MATCH(G8,'RC6SV'!$A$1:$G$1,FALSE))</f>
        <v>9000</v>
      </c>
      <c r="BD8" s="44">
        <f t="shared" ca="1" si="12"/>
        <v>9000</v>
      </c>
      <c r="BE8" s="10">
        <f t="shared" ca="1" si="3"/>
        <v>0</v>
      </c>
      <c r="BF8" s="10">
        <f t="shared" ca="1" si="4"/>
        <v>1</v>
      </c>
      <c r="BG8" s="15">
        <f ca="1">IF($BE8&lt;=0,ROUND(BK8*0.5,0), ROUND($BE8*S8*AA8*J8*AY8*0.8*[1]ステータス!$B$2,0))</f>
        <v>3159</v>
      </c>
      <c r="BH8" s="15">
        <f ca="1">IF($BE8&lt;=0,ROUND(BL8*0.5,0), ROUND($BE8*T8*AB8*K8*AZ8*0.8*[1]ステータス!$C$2,0))</f>
        <v>1147</v>
      </c>
      <c r="BI8" s="15">
        <f ca="1">IF($BE8&lt;=0,ROUND(BM8*0.5,0), ROUND($BE8*U8*AC8*L8*BA8*0.8*[1]ステータス!$D$2,0))</f>
        <v>0</v>
      </c>
      <c r="BJ8" s="15">
        <f ca="1">IF($BE8&lt;=0,ROUND(BN8*0.5,0), ROUND($BE8*V8*AD8*M8*BB8*0.8*[1]ステータス!$E$2,0))</f>
        <v>808</v>
      </c>
      <c r="BK8" s="10">
        <f ca="1">ROUND(BD8*S8*AA8*J8*AY8*[1]ステータス!$B$2,0)</f>
        <v>6318</v>
      </c>
      <c r="BL8" s="10">
        <f ca="1">ROUND(BD8*T8*AB8*K8*AZ8*[1]ステータス!$C$2,0)</f>
        <v>2293</v>
      </c>
      <c r="BM8" s="10">
        <f ca="1">ROUND(BD8*U8*AC8*L8*BA8*[1]ステータス!$D$2,0)</f>
        <v>0</v>
      </c>
      <c r="BN8" s="10">
        <f ca="1">ROUND(BD8*V8*AD8*M8*BB8*[1]ステータス!$E$2,0)</f>
        <v>1616</v>
      </c>
      <c r="BO8" s="9">
        <v>0</v>
      </c>
      <c r="BP8" s="9">
        <v>1</v>
      </c>
      <c r="BQ8" s="36" t="s">
        <v>47</v>
      </c>
      <c r="BR8" s="11">
        <f ca="1">VLOOKUP(H8,ghosts_label!$A$2:$B$19,2,FALSE)</f>
        <v>1</v>
      </c>
    </row>
    <row r="9" spans="1:70" ht="26" customHeight="1" x14ac:dyDescent="0.15">
      <c r="A9" s="186">
        <v>1241</v>
      </c>
      <c r="B9" s="53" t="str">
        <f ca="1">VLOOKUP($A9,OFFSET([1]characters!$A$1,0,0,COUNTA([1]characters!$A:$A),MATCH(B$1,[1]characters!$1:$1,0)-MATCH($A$1,[1]characters!$1:$1,0)+1),MATCH(B$1,[1]characters!$1:$1,0)-MATCH($A$1,[1]characters!$1:$1,0)+1,FALSE)</f>
        <v>巧妙なる嬢舌 竹中半兵衛</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blue</v>
      </c>
      <c r="J9" s="10">
        <f ca="1">VLOOKUP(I9,[1]属性!$A:$E,2,FALSE)</f>
        <v>1</v>
      </c>
      <c r="K9" s="10">
        <f ca="1">VLOOKUP(I9,[1]属性!$A:$E,3,FALSE)</f>
        <v>0.98</v>
      </c>
      <c r="L9" s="10">
        <f ca="1">VLOOKUP(I9,[1]属性!$A:$E,4,FALSE)</f>
        <v>1</v>
      </c>
      <c r="M9" s="10">
        <f ca="1">VLOOKUP(I9,[1]属性!$A:$E,5,FALSE)</f>
        <v>1.02</v>
      </c>
      <c r="N9" s="10">
        <f ca="1">INDEX(コスト!$A$1:$I$21,MATCH(H9,コスト!$A$1:$A$21,FALSE),MATCH(G9,コスト!$A$1:$I$1,FALSE))</f>
        <v>45</v>
      </c>
      <c r="O9" s="10">
        <f ca="1">INDEX(レベル!$A$1:$I$22,MATCH(H9,レベル!$A$1:$A$22,FALSE),MATCH(G9,レベル!$A$1:$I$1,FALSE))</f>
        <v>99</v>
      </c>
      <c r="P9" s="44">
        <f t="shared" ca="1" si="13"/>
        <v>99</v>
      </c>
      <c r="Q9" s="53" t="str">
        <f ca="1">VLOOKUP($A9,OFFSET([1]characters!$A$1,0,0,COUNTA([1]characters!$A:$A),MATCH(Q$1,[1]characters!$1:$1,0)-MATCH($A$1,[1]characters!$1:$1,0)+1),MATCH(Q$1,[1]characters!$1:$1,0)-MATCH($A$1,[1]characters!$1:$1,0)+1,FALSE)</f>
        <v>hp</v>
      </c>
      <c r="R9" s="5" t="str">
        <f ca="1">VLOOKUP(Q9,[1]character_type_i18n!$A:$H,3,FALSE)</f>
        <v>体力タイプ</v>
      </c>
      <c r="S9" s="10">
        <f ca="1">VLOOKUP(Q9,[1]character_type_i18n!$A:$H,4,FALSE)</f>
        <v>1.45</v>
      </c>
      <c r="T9" s="10">
        <f ca="1">VLOOKUP(Q9,[1]character_type_i18n!$A:$H,5,FALSE)</f>
        <v>0.85</v>
      </c>
      <c r="U9" s="10">
        <f ca="1">VLOOKUP(Q9,[1]character_type_i18n!$A:$H,6,FALSE)</f>
        <v>1</v>
      </c>
      <c r="V9" s="10">
        <f ca="1">VLOOKUP(Q9,[1]character_type_i18n!$A:$H,7,FALSE)</f>
        <v>0.7</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samurai</v>
      </c>
      <c r="Z9" s="5" t="str">
        <f ca="1">VLOOKUP(Y9,[1]character_tribe_i18n!$A:$H,3,FALSE)</f>
        <v>サムライ</v>
      </c>
      <c r="AA9" s="10">
        <f ca="1">VLOOKUP(W9,[1]character_tribe_i18n!$A:$H,4,FALSE)</f>
        <v>0.94</v>
      </c>
      <c r="AB9" s="10">
        <f ca="1">VLOOKUP(W9,[1]character_tribe_i18n!$A:$H,5,FALSE)</f>
        <v>0.99</v>
      </c>
      <c r="AC9" s="10">
        <f ca="1">VLOOKUP(W9,[1]character_tribe_i18n!$A:$H,6,FALSE)</f>
        <v>1</v>
      </c>
      <c r="AD9" s="10">
        <f ca="1">VLOOKUP(W9,[1]character_tribe_i18n!$A:$H,7,FALSE)</f>
        <v>1.07</v>
      </c>
      <c r="AE9" s="187" t="s">
        <v>183</v>
      </c>
      <c r="AF9" s="58" t="str">
        <f ca="1">IF(AE9="NULL","",VLOOKUP($AE9,OFFSET([1]characters!$A$1,0,0,COUNTA([1]characters!$A:$A),MATCH(AF$1,[1]characters!$1:$1,0)-MATCH($A$1,[1]characters!$1:$1,0)+1),MATCH(AF$1,[1]characters!$1:$1,0)-MATCH($A$1,[1]characters!$1:$1,0)+1,FALSE))</f>
        <v/>
      </c>
      <c r="AG9" s="187">
        <v>1240</v>
      </c>
      <c r="AH9" s="58" t="str">
        <f ca="1">VLOOKUP($AG9,OFFSET([1]characters!$A$1,0,0,COUNTA([1]characters!$A:$A),MATCH(AH$1,[1]characters!$1:$1,0)-MATCH($A$1,[1]characters!$1:$1,0)+1),MATCH(AH$1,[1]characters!$1:$1,0)-MATCH($A$1,[1]characters!$1:$1,0)+1,FALSE)</f>
        <v>竹中半兵衛</v>
      </c>
      <c r="AI9" s="10" t="str">
        <f>IF(AE9="NULL","NULL",VLOOKUP(G9,ビット!$A$2:$B$7,2))</f>
        <v>NULL</v>
      </c>
      <c r="AJ9" s="6">
        <v>2</v>
      </c>
      <c r="AK9" s="7" t="str">
        <f t="shared" ref="AK9:AK12" si="14">IF(AJ9=1,"早熟",IF(AJ9=2,"普通",IF(AJ9=3,"晩成","")))</f>
        <v>普通</v>
      </c>
      <c r="AL9" s="10" t="str">
        <f ca="1">INDEX(経験値!$A$1:$I$21,MATCH(H9,経験値!$A$1:$A$21,FALSE),MATCH(G9,経験値!$A$1:$I$1,FALSE))</f>
        <v>required_exp_250</v>
      </c>
      <c r="AM9" s="8">
        <f ca="1">VLOOKUP(G9,経験値!$A$28:$B$32,2)</f>
        <v>6400</v>
      </c>
      <c r="AN9" s="16">
        <f ca="1">VLOOKUP(G9,ビット!$G$2:$H$7,2)</f>
        <v>900</v>
      </c>
      <c r="AO9" s="41"/>
      <c r="AP9" s="63">
        <v>1241</v>
      </c>
      <c r="AQ9" s="53" t="str">
        <f ca="1">VLOOKUP($AP9,OFFSET(unit_skills!$A$1,0,0,COUNTA(unit_skills!$A:$A),MATCH(AQ$1,unit_skills!$1:$1,0)-MATCH($AP$1,unit_skills!$1:$1,0)+1),MATCH(AQ$1,unit_skills!$1:$1,0)-MATCH($AP$1,unit_skills!$1:$1,0)+1,FALSE)</f>
        <v>半兵衛ちゃんブッタギル！</v>
      </c>
      <c r="AR9" s="53" t="str">
        <f ca="1">VLOOKUP($AP9,OFFSET(unit_skills!$A$1,0,0,COUNTA(unit_skills!$A:$A),MATCH(AR$1,unit_skills!$1:$1,0)-MATCH($AP$1,unit_skills!$1:$1,0)+1),MATCH(AR$1,unit_skills!$1:$1,0)-MATCH($AP$1,unit_skills!$1:$1,0)+1,FALSE)</f>
        <v>ダメージパネルを青パネルに、黄パネルを赤パネルに変換+1ターン青属性のタップ回数を1増やし、Cパネル生成短縮(効果特大)</v>
      </c>
      <c r="AS9" s="53">
        <f ca="1">VLOOKUP($AP9,OFFSET(unit_skills!$A$1,0,0,COUNTA(unit_skills!$A:$A),MATCH(AS$1,unit_skills!$1:$1,0)-MATCH($AP$1,unit_skills!$1:$1,0)+1),MATCH(AS$1,unit_skills!$1:$1,0)-MATCH($AP$1,unit_skills!$1:$1,0)+1,FALSE)</f>
        <v>0</v>
      </c>
      <c r="AT9" s="63">
        <v>1241</v>
      </c>
      <c r="AU9" s="53" t="str">
        <f ca="1">VLOOKUP($AT9,OFFSET(crash_skills!$A$1,0,0,COUNTA(crash_skills!$A:$A),MATCH(AU$1,crash_skills!$1:$1,0)-MATCH($AT$1,crash_skills!$1:$1,0)+1),MATCH(AU$1,crash_skills!$1:$1,0)-MATCH($AT$1,crash_skills!$1:$1,0)+1,FALSE)</f>
        <v>ブリリアント・ストラテジ</v>
      </c>
      <c r="AV9" s="53" t="str">
        <f ca="1">VLOOKUP($AT9,OFFSET(crash_skills!$A$1,0,0,COUNTA(crash_skills!$A:$A),MATCH(AV$1,crash_skills!$1:$1,0)-MATCH($AT$1,crash_skills!$1:$1,0)+1),MATCH(AV$1,crash_skills!$1:$1,0)-MATCH($AT$1,crash_skills!$1:$1,0)+1,FALSE)</f>
        <v>自身のHPの最大値に比例して1体に特大ダメージ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1.03</v>
      </c>
      <c r="AZ9" s="64">
        <v>1.03</v>
      </c>
      <c r="BA9" s="64">
        <v>0</v>
      </c>
      <c r="BB9" s="64">
        <v>0.94</v>
      </c>
      <c r="BC9" s="10">
        <f ca="1">INDEX('RC6SV'!$A$1:$G$21,MATCH(H9,'RC6SV'!$A$1:$A$21,FALSE),MATCH(G9,'RC6SV'!$A$1:$G$1,FALSE))</f>
        <v>12000</v>
      </c>
      <c r="BD9" s="44">
        <f t="shared" ref="BD9:BD12" ca="1" si="15">ROUND(BC9*IF(AJ9=1,0.95,IF(AJ9=2,1,IF(AJ9,1.05,0))),0)</f>
        <v>12000</v>
      </c>
      <c r="BE9" s="10">
        <f t="shared" ca="1" si="3"/>
        <v>9000</v>
      </c>
      <c r="BF9" s="10">
        <f t="shared" ca="1" si="4"/>
        <v>1</v>
      </c>
      <c r="BG9" s="15">
        <f ca="1">IF($BE9&lt;=0,ROUND(BK9*0.5,0), ROUND($BE9*S9*AA9*J9*AY9*0.8*[1]ステータス!$B$2,0))</f>
        <v>5054</v>
      </c>
      <c r="BH9" s="15">
        <f ca="1">IF($BE9&lt;=0,ROUND(BL9*0.5,0), ROUND($BE9*T9*AB9*K9*AZ9*0.8*[1]ステータス!$C$2,0))</f>
        <v>1835</v>
      </c>
      <c r="BI9" s="15">
        <f ca="1">IF($BE9&lt;=0,ROUND(BM9*0.5,0), ROUND($BE9*U9*AC9*L9*BA9*0.8*[1]ステータス!$D$2,0))</f>
        <v>0</v>
      </c>
      <c r="BJ9" s="15">
        <f ca="1">IF($BE9&lt;=0,ROUND(BN9*0.5,0), ROUND($BE9*V9*AD9*M9*BB9*0.8*[1]ステータス!$E$2,0))</f>
        <v>1293</v>
      </c>
      <c r="BK9" s="10">
        <f ca="1">ROUND(BD9*S9*AA9*J9*AY9*[1]ステータス!$B$2,0)</f>
        <v>8423</v>
      </c>
      <c r="BL9" s="10">
        <f ca="1">ROUND(BD9*T9*AB9*K9*AZ9*[1]ステータス!$C$2,0)</f>
        <v>3058</v>
      </c>
      <c r="BM9" s="10">
        <f ca="1">ROUND(BD9*U9*AC9*L9*BA9*[1]ステータス!$D$2,0)</f>
        <v>0</v>
      </c>
      <c r="BN9" s="10">
        <f ca="1">ROUND(BD9*V9*AD9*M9*BB9*[1]ステータス!$E$2,0)</f>
        <v>2154</v>
      </c>
      <c r="BO9" s="9">
        <v>0</v>
      </c>
      <c r="BP9" s="9">
        <v>1</v>
      </c>
      <c r="BQ9" s="9" t="s">
        <v>47</v>
      </c>
      <c r="BR9" s="11">
        <f ca="1">VLOOKUP(H9,ghosts_label!$A$2:$B$19,2,FALSE)</f>
        <v>1</v>
      </c>
    </row>
    <row r="10" spans="1:70" ht="26" customHeight="1" x14ac:dyDescent="0.15">
      <c r="A10" s="186">
        <v>1242</v>
      </c>
      <c r="B10" s="53" t="str">
        <f ca="1">VLOOKUP($A10,OFFSET([1]characters!$A$1,0,0,COUNTA([1]characters!$A:$A),MATCH(B$1,[1]characters!$1:$1,0)-MATCH($A$1,[1]characters!$1:$1,0)+1),MATCH(B$1,[1]characters!$1:$1,0)-MATCH($A$1,[1]characters!$1:$1,0)+1,FALSE)</f>
        <v>豊臣秀吉</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DropWizSS</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35</v>
      </c>
      <c r="O10" s="10">
        <f ca="1">INDEX(レベル!$A$1:$I$22,MATCH(H10,レベル!$A$1:$A$22,FALSE),MATCH(G10,レベル!$A$1:$I$1,FALSE))</f>
        <v>80</v>
      </c>
      <c r="P10" s="44">
        <f t="shared" ca="1" si="13"/>
        <v>75</v>
      </c>
      <c r="Q10" s="53" t="str">
        <f ca="1">VLOOKUP($A10,OFFSET([1]characters!$A$1,0,0,COUNTA([1]characters!$A:$A),MATCH(Q$1,[1]characters!$1:$1,0)-MATCH($A$1,[1]characters!$1:$1,0)+1),MATCH(Q$1,[1]characters!$1:$1,0)-MATCH($A$1,[1]characters!$1:$1,0)+1,FALSE)</f>
        <v>balance</v>
      </c>
      <c r="R10" s="5" t="str">
        <f ca="1">VLOOKUP(Q10,[1]character_type_i18n!$A:$H,3,FALSE)</f>
        <v>バランスタイプ</v>
      </c>
      <c r="S10" s="10">
        <f ca="1">VLOOKUP(Q10,[1]character_type_i18n!$A:$H,4,FALSE)</f>
        <v>1</v>
      </c>
      <c r="T10" s="10">
        <f ca="1">VLOOKUP(Q10,[1]character_type_i18n!$A:$H,5,FALSE)</f>
        <v>1</v>
      </c>
      <c r="U10" s="10">
        <f ca="1">VLOOKUP(Q10,[1]character_type_i18n!$A:$H,6,FALSE)</f>
        <v>1</v>
      </c>
      <c r="V10" s="10">
        <f ca="1">VLOOKUP(Q10,[1]character_type_i18n!$A:$H,7,FALSE)</f>
        <v>1</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samurai</v>
      </c>
      <c r="Z10" s="5" t="str">
        <f ca="1">VLOOKUP(Y10,[1]character_tribe_i18n!$A:$H,3,FALSE)</f>
        <v>サムライ</v>
      </c>
      <c r="AA10" s="10">
        <f ca="1">VLOOKUP(W10,[1]character_tribe_i18n!$A:$H,4,FALSE)</f>
        <v>0.94</v>
      </c>
      <c r="AB10" s="10">
        <f ca="1">VLOOKUP(W10,[1]character_tribe_i18n!$A:$H,5,FALSE)</f>
        <v>0.99</v>
      </c>
      <c r="AC10" s="10">
        <f ca="1">VLOOKUP(W10,[1]character_tribe_i18n!$A:$H,6,FALSE)</f>
        <v>1</v>
      </c>
      <c r="AD10" s="10">
        <f ca="1">VLOOKUP(W10,[1]character_tribe_i18n!$A:$H,7,FALSE)</f>
        <v>1.07</v>
      </c>
      <c r="AE10" s="187">
        <v>1243</v>
      </c>
      <c r="AF10" s="58" t="str">
        <f ca="1">IF(AE10="NULL","",VLOOKUP($AE10,OFFSET([1]characters!$A$1,0,0,COUNTA([1]characters!$A:$A),MATCH(AF$1,[1]characters!$1:$1,0)-MATCH($A$1,[1]characters!$1:$1,0)+1),MATCH(AF$1,[1]characters!$1:$1,0)-MATCH($A$1,[1]characters!$1:$1,0)+1,FALSE))</f>
        <v>新世覇の昇竜 豊臣秀吉</v>
      </c>
      <c r="AG10" s="187">
        <v>1242</v>
      </c>
      <c r="AH10" s="58" t="str">
        <f ca="1">VLOOKUP($AG10,OFFSET([1]characters!$A$1,0,0,COUNTA([1]characters!$A:$A),MATCH(AH$1,[1]characters!$1:$1,0)-MATCH($A$1,[1]characters!$1:$1,0)+1),MATCH(AH$1,[1]characters!$1:$1,0)-MATCH($A$1,[1]characters!$1:$1,0)+1,FALSE)</f>
        <v>豊臣秀吉</v>
      </c>
      <c r="AI10" s="10">
        <f ca="1">IF(AE10="NULL","NULL",VLOOKUP(G10,ビット!$A$2:$B$7,2))</f>
        <v>200000</v>
      </c>
      <c r="AJ10" s="6">
        <v>2</v>
      </c>
      <c r="AK10" s="7" t="str">
        <f t="shared" si="14"/>
        <v>普通</v>
      </c>
      <c r="AL10" s="10" t="str">
        <f ca="1">INDEX(経験値!$A$1:$I$21,MATCH(H10,経験値!$A$1:$A$21,FALSE),MATCH(G10,経験値!$A$1:$I$1,FALSE))</f>
        <v>required_exp_200</v>
      </c>
      <c r="AM10" s="8">
        <f ca="1">VLOOKUP(G10,経験値!$A$28:$B$32,2)</f>
        <v>6400</v>
      </c>
      <c r="AN10" s="16">
        <f ca="1">VLOOKUP(G10,ビット!$G$2:$H$7,2)</f>
        <v>900</v>
      </c>
      <c r="AO10" s="41"/>
      <c r="AP10" s="63">
        <v>1242</v>
      </c>
      <c r="AQ10" s="53" t="str">
        <f ca="1">VLOOKUP($AP10,OFFSET(unit_skills!$A$1,0,0,COUNTA(unit_skills!$A:$A),MATCH(AQ$1,unit_skills!$1:$1,0)-MATCH($AP$1,unit_skills!$1:$1,0)+1),MATCH(AQ$1,unit_skills!$1:$1,0)-MATCH($AP$1,unit_skills!$1:$1,0)+1,FALSE)</f>
        <v>ニュー・ワールド・オーダー</v>
      </c>
      <c r="AR10" s="53" t="str">
        <f ca="1">VLOOKUP($AP10,OFFSET(unit_skills!$A$1,0,0,COUNTA(unit_skills!$A:$A),MATCH(AR$1,unit_skills!$1:$1,0)-MATCH($AP$1,unit_skills!$1:$1,0)+1),MATCH(AR$1,unit_skills!$1:$1,0)-MATCH($AP$1,unit_skills!$1:$1,0)+1,FALSE)</f>
        <v>青パネルを赤ボムパネル変換+1ターン赤属性ユニットの攻撃力特大UPし、種族サムライ・ヒューマンのCP生成短縮(効果特大)</v>
      </c>
      <c r="AS10" s="53">
        <f ca="1">VLOOKUP($AP10,OFFSET(unit_skills!$A$1,0,0,COUNTA(unit_skills!$A:$A),MATCH(AS$1,unit_skills!$1:$1,0)-MATCH($AP$1,unit_skills!$1:$1,0)+1),MATCH(AS$1,unit_skills!$1:$1,0)-MATCH($AP$1,unit_skills!$1:$1,0)+1,FALSE)</f>
        <v>0</v>
      </c>
      <c r="AT10" s="63">
        <v>1242</v>
      </c>
      <c r="AU10" s="53" t="str">
        <f ca="1">VLOOKUP($AT10,OFFSET(crash_skills!$A$1,0,0,COUNTA(crash_skills!$A:$A),MATCH(AU$1,crash_skills!$1:$1,0)-MATCH($AT$1,crash_skills!$1:$1,0)+1),MATCH(AU$1,crash_skills!$1:$1,0)-MATCH($AT$1,crash_skills!$1:$1,0)+1,FALSE)</f>
        <v>バウンス・ウィズ・ドラゴンズ</v>
      </c>
      <c r="AV10" s="53" t="str">
        <f ca="1">VLOOKUP($AT10,OFFSET(crash_skills!$A$1,0,0,COUNTA(crash_skills!$A:$A),MATCH(AV$1,crash_skills!$1:$1,0)-MATCH($AT$1,crash_skills!$1:$1,0)+1),MATCH(AV$1,crash_skills!$1:$1,0)-MATCH($AT$1,crash_skills!$1:$1,0)+1,FALSE)</f>
        <v>1体に特大ダメージ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1.1779999999999999</v>
      </c>
      <c r="AZ10" s="64">
        <v>1.2729999999999999</v>
      </c>
      <c r="BA10" s="64">
        <v>0</v>
      </c>
      <c r="BB10" s="64">
        <v>1.04</v>
      </c>
      <c r="BC10" s="10">
        <f ca="1">INDEX('RC6SV'!$A$1:$G$21,MATCH(H10,'RC6SV'!$A$1:$A$21,FALSE),MATCH(G10,'RC6SV'!$A$1:$G$1,FALSE))</f>
        <v>9500</v>
      </c>
      <c r="BD10" s="44">
        <f t="shared" ca="1" si="15"/>
        <v>9500</v>
      </c>
      <c r="BE10" s="10">
        <f t="shared" ca="1" si="3"/>
        <v>0</v>
      </c>
      <c r="BF10" s="10">
        <f t="shared" ca="1" si="4"/>
        <v>1</v>
      </c>
      <c r="BG10" s="15">
        <f ca="1">IF($BE10&lt;=0,ROUND(BK10*0.5,0), ROUND($BE10*S10*AA10*J10*AY10*0.8*[1]ステータス!$B$2,0))</f>
        <v>2630</v>
      </c>
      <c r="BH10" s="15">
        <f ca="1">IF($BE10&lt;=0,ROUND(BL10*0.5,0), ROUND($BE10*T10*AB10*K10*AZ10*0.8*[1]ステータス!$C$2,0))</f>
        <v>1832</v>
      </c>
      <c r="BI10" s="15">
        <f ca="1">IF($BE10&lt;=0,ROUND(BM10*0.5,0), ROUND($BE10*U10*AC10*L10*BA10*0.8*[1]ステータス!$D$2,0))</f>
        <v>0</v>
      </c>
      <c r="BJ10" s="15">
        <f ca="1">IF($BE10&lt;=0,ROUND(BN10*0.5,0), ROUND($BE10*V10*AD10*M10*BB10*0.8*[1]ステータス!$E$2,0))</f>
        <v>1295</v>
      </c>
      <c r="BK10" s="10">
        <f ca="1">ROUND(BD10*S10*AA10*J10*AY10*[1]ステータス!$B$2,0)</f>
        <v>5260</v>
      </c>
      <c r="BL10" s="10">
        <f ca="1">ROUND(BD10*T10*AB10*K10*AZ10*[1]ステータス!$C$2,0)</f>
        <v>3664</v>
      </c>
      <c r="BM10" s="10">
        <f ca="1">ROUND(BD10*U10*AC10*L10*BA10*[1]ステータス!$D$2,0)</f>
        <v>0</v>
      </c>
      <c r="BN10" s="10">
        <f ca="1">ROUND(BD10*V10*AD10*M10*BB10*[1]ステータス!$E$2,0)</f>
        <v>2590</v>
      </c>
      <c r="BO10" s="9">
        <v>0</v>
      </c>
      <c r="BP10" s="9">
        <v>1</v>
      </c>
      <c r="BQ10" s="36" t="s">
        <v>47</v>
      </c>
      <c r="BR10" s="11">
        <f ca="1">VLOOKUP(H10,ghosts_label!$A$2:$B$19,2,FALSE)</f>
        <v>1</v>
      </c>
    </row>
    <row r="11" spans="1:70" ht="26" customHeight="1" x14ac:dyDescent="0.15">
      <c r="A11" s="186">
        <v>1243</v>
      </c>
      <c r="B11" s="53" t="str">
        <f ca="1">VLOOKUP($A11,OFFSET([1]characters!$A$1,0,0,COUNTA([1]characters!$A:$A),MATCH(B$1,[1]characters!$1:$1,0)-MATCH($A$1,[1]characters!$1:$1,0)+1),MATCH(B$1,[1]characters!$1:$1,0)-MATCH($A$1,[1]characters!$1:$1,0)+1,FALSE)</f>
        <v>新世覇の昇竜 豊臣秀吉</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DropWizSS</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50</v>
      </c>
      <c r="O11" s="10">
        <f ca="1">INDEX(レベル!$A$1:$I$22,MATCH(H11,レベル!$A$1:$A$22,FALSE),MATCH(G11,レベル!$A$1:$I$1,FALSE))</f>
        <v>99</v>
      </c>
      <c r="P11" s="44">
        <f t="shared" ca="1" si="13"/>
        <v>99</v>
      </c>
      <c r="Q11" s="53" t="str">
        <f ca="1">VLOOKUP($A11,OFFSET([1]characters!$A$1,0,0,COUNTA([1]characters!$A:$A),MATCH(Q$1,[1]characters!$1:$1,0)-MATCH($A$1,[1]characters!$1:$1,0)+1),MATCH(Q$1,[1]characters!$1:$1,0)-MATCH($A$1,[1]characters!$1:$1,0)+1,FALSE)</f>
        <v>balance</v>
      </c>
      <c r="R11" s="5" t="str">
        <f ca="1">VLOOKUP(Q11,[1]character_type_i18n!$A:$H,3,FALSE)</f>
        <v>バランスタイプ</v>
      </c>
      <c r="S11" s="10">
        <f ca="1">VLOOKUP(Q11,[1]character_type_i18n!$A:$H,4,FALSE)</f>
        <v>1</v>
      </c>
      <c r="T11" s="10">
        <f ca="1">VLOOKUP(Q11,[1]character_type_i18n!$A:$H,5,FALSE)</f>
        <v>1</v>
      </c>
      <c r="U11" s="10">
        <f ca="1">VLOOKUP(Q11,[1]character_type_i18n!$A:$H,6,FALSE)</f>
        <v>1</v>
      </c>
      <c r="V11" s="10">
        <f ca="1">VLOOKUP(Q11,[1]character_type_i18n!$A:$H,7,FALSE)</f>
        <v>1</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samurai</v>
      </c>
      <c r="Z11" s="5" t="str">
        <f ca="1">VLOOKUP(Y11,[1]character_tribe_i18n!$A:$H,3,FALSE)</f>
        <v>サムライ</v>
      </c>
      <c r="AA11" s="10">
        <f ca="1">VLOOKUP(W11,[1]character_tribe_i18n!$A:$H,4,FALSE)</f>
        <v>0.94</v>
      </c>
      <c r="AB11" s="10">
        <f ca="1">VLOOKUP(W11,[1]character_tribe_i18n!$A:$H,5,FALSE)</f>
        <v>0.99</v>
      </c>
      <c r="AC11" s="10">
        <f ca="1">VLOOKUP(W11,[1]character_tribe_i18n!$A:$H,6,FALSE)</f>
        <v>1</v>
      </c>
      <c r="AD11" s="10">
        <f ca="1">VLOOKUP(W11,[1]character_tribe_i18n!$A:$H,7,FALSE)</f>
        <v>1.07</v>
      </c>
      <c r="AE11" s="187" t="s">
        <v>183</v>
      </c>
      <c r="AF11" s="58" t="str">
        <f ca="1">IF(AE11="NULL","",VLOOKUP($AE11,OFFSET([1]characters!$A$1,0,0,COUNTA([1]characters!$A:$A),MATCH(AF$1,[1]characters!$1:$1,0)-MATCH($A$1,[1]characters!$1:$1,0)+1),MATCH(AF$1,[1]characters!$1:$1,0)-MATCH($A$1,[1]characters!$1:$1,0)+1,FALSE))</f>
        <v/>
      </c>
      <c r="AG11" s="187">
        <v>1242</v>
      </c>
      <c r="AH11" s="58" t="str">
        <f ca="1">VLOOKUP($AG11,OFFSET([1]characters!$A$1,0,0,COUNTA([1]characters!$A:$A),MATCH(AH$1,[1]characters!$1:$1,0)-MATCH($A$1,[1]characters!$1:$1,0)+1),MATCH(AH$1,[1]characters!$1:$1,0)-MATCH($A$1,[1]characters!$1:$1,0)+1,FALSE)</f>
        <v>豊臣秀吉</v>
      </c>
      <c r="AI11" s="10" t="str">
        <f>IF(AE11="NULL","NULL",VLOOKUP(G11,ビット!$A$2:$B$7,2))</f>
        <v>NULL</v>
      </c>
      <c r="AJ11" s="6">
        <v>2</v>
      </c>
      <c r="AK11" s="7" t="str">
        <f t="shared" si="14"/>
        <v>普通</v>
      </c>
      <c r="AL11" s="10" t="str">
        <f ca="1">INDEX(経験値!$A$1:$I$21,MATCH(H11,経験値!$A$1:$A$21,FALSE),MATCH(G11,経験値!$A$1:$I$1,FALSE))</f>
        <v>required_exp_250</v>
      </c>
      <c r="AM11" s="8">
        <f ca="1">VLOOKUP(G11,経験値!$A$28:$B$32,2)</f>
        <v>6400</v>
      </c>
      <c r="AN11" s="16">
        <f ca="1">VLOOKUP(G11,ビット!$G$2:$H$7,2)</f>
        <v>900</v>
      </c>
      <c r="AO11" s="41"/>
      <c r="AP11" s="63">
        <v>1243</v>
      </c>
      <c r="AQ11" s="53" t="str">
        <f ca="1">VLOOKUP($AP11,OFFSET(unit_skills!$A$1,0,0,COUNTA(unit_skills!$A:$A),MATCH(AQ$1,unit_skills!$1:$1,0)-MATCH($AP$1,unit_skills!$1:$1,0)+1),MATCH(AQ$1,unit_skills!$1:$1,0)-MATCH($AP$1,unit_skills!$1:$1,0)+1,FALSE)</f>
        <v>ニュー・ワールド・スクローラ</v>
      </c>
      <c r="AR11" s="53" t="str">
        <f ca="1">VLOOKUP($AP11,OFFSET(unit_skills!$A$1,0,0,COUNTA(unit_skills!$A:$A),MATCH(AR$1,unit_skills!$1:$1,0)-MATCH($AP$1,unit_skills!$1:$1,0)+1),MATCH(AR$1,unit_skills!$1:$1,0)-MATCH($AP$1,unit_skills!$1:$1,0)+1,FALSE)</f>
        <v>緑・青・ダメージパネルを赤ボム変換+2ターン赤属性ユニットの攻撃力超大UPし、種族サムライ・ヒューマンのCP生成短縮超大</v>
      </c>
      <c r="AS11" s="53">
        <f ca="1">VLOOKUP($AP11,OFFSET(unit_skills!$A$1,0,0,COUNTA(unit_skills!$A:$A),MATCH(AS$1,unit_skills!$1:$1,0)-MATCH($AP$1,unit_skills!$1:$1,0)+1),MATCH(AS$1,unit_skills!$1:$1,0)-MATCH($AP$1,unit_skills!$1:$1,0)+1,FALSE)</f>
        <v>0</v>
      </c>
      <c r="AT11" s="63">
        <v>1243</v>
      </c>
      <c r="AU11" s="53" t="str">
        <f ca="1">VLOOKUP($AT11,OFFSET(crash_skills!$A$1,0,0,COUNTA(crash_skills!$A:$A),MATCH(AU$1,crash_skills!$1:$1,0)-MATCH($AT$1,crash_skills!$1:$1,0)+1),MATCH(AU$1,crash_skills!$1:$1,0)-MATCH($AT$1,crash_skills!$1:$1,0)+1,FALSE)</f>
        <v>ドラゴンズ・グランドスラム</v>
      </c>
      <c r="AV11" s="53" t="str">
        <f ca="1">VLOOKUP($AT11,OFFSET(crash_skills!$A$1,0,0,COUNTA(crash_skills!$A:$A),MATCH(AV$1,crash_skills!$1:$1,0)-MATCH($AT$1,crash_skills!$1:$1,0)+1),MATCH(AV$1,crash_skills!$1:$1,0)-MATCH($AT$1,crash_skills!$1:$1,0)+1,FALSE)</f>
        <v>1体に超大ダメージ</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1.1779999999999999</v>
      </c>
      <c r="AZ11" s="64">
        <v>1.2729999999999999</v>
      </c>
      <c r="BA11" s="64">
        <v>0</v>
      </c>
      <c r="BB11" s="64">
        <v>1.04</v>
      </c>
      <c r="BC11" s="10">
        <f ca="1">INDEX('RC6SV'!$A$1:$G$21,MATCH(H11,'RC6SV'!$A$1:$A$21,FALSE),MATCH(G11,'RC6SV'!$A$1:$G$1,FALSE))</f>
        <v>13000</v>
      </c>
      <c r="BD11" s="44">
        <f t="shared" ca="1" si="15"/>
        <v>13000</v>
      </c>
      <c r="BE11" s="10">
        <f t="shared" ca="1" si="3"/>
        <v>9500</v>
      </c>
      <c r="BF11" s="10">
        <f t="shared" ca="1" si="4"/>
        <v>1</v>
      </c>
      <c r="BG11" s="15">
        <f ca="1">IF($BE11&lt;=0,ROUND(BK11*0.5,0), ROUND($BE11*S11*AA11*J11*AY11*0.8*[1]ステータス!$B$2,0))</f>
        <v>4208</v>
      </c>
      <c r="BH11" s="15">
        <f ca="1">IF($BE11&lt;=0,ROUND(BL11*0.5,0), ROUND($BE11*T11*AB11*K11*AZ11*0.8*[1]ステータス!$C$2,0))</f>
        <v>2931</v>
      </c>
      <c r="BI11" s="15">
        <f ca="1">IF($BE11&lt;=0,ROUND(BM11*0.5,0), ROUND($BE11*U11*AC11*L11*BA11*0.8*[1]ステータス!$D$2,0))</f>
        <v>0</v>
      </c>
      <c r="BJ11" s="15">
        <f ca="1">IF($BE11&lt;=0,ROUND(BN11*0.5,0), ROUND($BE11*V11*AD11*M11*BB11*0.8*[1]ステータス!$E$2,0))</f>
        <v>2072</v>
      </c>
      <c r="BK11" s="10">
        <f ca="1">ROUND(BD11*S11*AA11*J11*AY11*[1]ステータス!$B$2,0)</f>
        <v>7198</v>
      </c>
      <c r="BL11" s="10">
        <f ca="1">ROUND(BD11*T11*AB11*K11*AZ11*[1]ステータス!$C$2,0)</f>
        <v>5013</v>
      </c>
      <c r="BM11" s="10">
        <f ca="1">ROUND(BD11*U11*AC11*L11*BA11*[1]ステータス!$D$2,0)</f>
        <v>0</v>
      </c>
      <c r="BN11" s="10">
        <f ca="1">ROUND(BD11*V11*AD11*M11*BB11*[1]ステータス!$E$2,0)</f>
        <v>3544</v>
      </c>
      <c r="BO11" s="9">
        <v>0</v>
      </c>
      <c r="BP11" s="9">
        <v>1</v>
      </c>
      <c r="BQ11" s="9" t="s">
        <v>47</v>
      </c>
      <c r="BR11" s="11">
        <f ca="1">VLOOKUP(H11,ghosts_label!$A$2:$B$19,2,FALSE)</f>
        <v>1</v>
      </c>
    </row>
    <row r="12" spans="1:70" ht="26" customHeight="1" x14ac:dyDescent="0.15">
      <c r="A12" s="186">
        <v>1248</v>
      </c>
      <c r="B12" s="53" t="str">
        <f ca="1">VLOOKUP($A12,OFFSET([1]characters!$A$1,0,0,COUNTA([1]characters!$A:$A),MATCH(B$1,[1]characters!$1:$1,0)-MATCH($A$1,[1]characters!$1:$1,0)+1),MATCH(B$1,[1]characters!$1:$1,0)-MATCH($A$1,[1]characters!$1:$1,0)+1,FALSE)</f>
        <v>寧々</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4</v>
      </c>
      <c r="H12" s="53" t="str">
        <f ca="1">VLOOKUP($A12,OFFSET([1]characters!$A$1,0,0,COUNTA([1]characters!$A:$A),MATCH(H$1,[1]characters!$1:$1,0)-MATCH($A$1,[1]characters!$1:$1,0)+1),MATCH(H$1,[1]characters!$1:$1,0)-MATCH($A$1,[1]characters!$1:$1,0)+1,FALSE)</f>
        <v>PremiumS</v>
      </c>
      <c r="I12" s="53" t="str">
        <f ca="1">VLOOKUP($A12,OFFSET([1]characters!$A$1,0,0,COUNTA([1]characters!$A:$A),MATCH(I$1,[1]characters!$1:$1,0)-MATCH($A$1,[1]characters!$1:$1,0)+1),MATCH(I$1,[1]characters!$1:$1,0)-MATCH($A$1,[1]characters!$1:$1,0)+1,FALSE)</f>
        <v>blue</v>
      </c>
      <c r="J12" s="10">
        <f ca="1">VLOOKUP(I12,[1]属性!$A:$E,2,FALSE)</f>
        <v>1</v>
      </c>
      <c r="K12" s="10">
        <f ca="1">VLOOKUP(I12,[1]属性!$A:$E,3,FALSE)</f>
        <v>0.98</v>
      </c>
      <c r="L12" s="10">
        <f ca="1">VLOOKUP(I12,[1]属性!$A:$E,4,FALSE)</f>
        <v>1</v>
      </c>
      <c r="M12" s="10">
        <f ca="1">VLOOKUP(I12,[1]属性!$A:$E,5,FALSE)</f>
        <v>1.02</v>
      </c>
      <c r="N12" s="10">
        <f ca="1">INDEX(コスト!$A$1:$I$21,MATCH(H12,コスト!$A$1:$A$21,FALSE),MATCH(G12,コスト!$A$1:$I$1,FALSE))</f>
        <v>20</v>
      </c>
      <c r="O12" s="10">
        <f ca="1">INDEX(レベル!$A$1:$I$22,MATCH(H12,レベル!$A$1:$A$22,FALSE),MATCH(G12,レベル!$A$1:$I$1,FALSE))</f>
        <v>60</v>
      </c>
      <c r="P12" s="44">
        <f t="shared" ref="P12:P13" ca="1" si="16">IF(G12 &gt;= 6, 99,G12*15)</f>
        <v>60</v>
      </c>
      <c r="Q12" s="53" t="str">
        <f ca="1">VLOOKUP($A12,OFFSET([1]characters!$A$1,0,0,COUNTA([1]characters!$A:$A),MATCH(Q$1,[1]characters!$1:$1,0)-MATCH($A$1,[1]characters!$1:$1,0)+1),MATCH(Q$1,[1]characters!$1:$1,0)-MATCH($A$1,[1]characters!$1:$1,0)+1,FALSE)</f>
        <v>heal</v>
      </c>
      <c r="R12" s="5" t="str">
        <f ca="1">VLOOKUP(Q12,[1]character_type_i18n!$A:$H,3,FALSE)</f>
        <v>回復タイプ</v>
      </c>
      <c r="S12" s="10">
        <f ca="1">VLOOKUP(Q12,[1]character_type_i18n!$A:$H,4,FALSE)</f>
        <v>0.8</v>
      </c>
      <c r="T12" s="10">
        <f ca="1">VLOOKUP(Q12,[1]character_type_i18n!$A:$H,5,FALSE)</f>
        <v>0.78</v>
      </c>
      <c r="U12" s="10">
        <f ca="1">VLOOKUP(Q12,[1]character_type_i18n!$A:$H,6,FALSE)</f>
        <v>1</v>
      </c>
      <c r="V12" s="10">
        <f ca="1">VLOOKUP(Q12,[1]character_type_i18n!$A:$H,7,FALSE)</f>
        <v>1.42</v>
      </c>
      <c r="W12" s="53" t="str">
        <f ca="1">VLOOKUP($A12,OFFSET([1]characters!$A$1,0,0,COUNTA([1]characters!$A:$A),MATCH(W$1,[1]characters!$1:$1,0)-MATCH($A$1,[1]characters!$1:$1,0)+1),MATCH(W$1,[1]characters!$1:$1,0)-MATCH($A$1,[1]characters!$1:$1,0)+1,FALSE)</f>
        <v>human</v>
      </c>
      <c r="X12" s="5" t="str">
        <f ca="1">VLOOKUP(W12,[1]character_tribe_i18n!$A:$H,3,FALSE)</f>
        <v>ヒューマン</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0.94</v>
      </c>
      <c r="AB12" s="10">
        <f ca="1">VLOOKUP(W12,[1]character_tribe_i18n!$A:$H,5,FALSE)</f>
        <v>0.99</v>
      </c>
      <c r="AC12" s="10">
        <f ca="1">VLOOKUP(W12,[1]character_tribe_i18n!$A:$H,6,FALSE)</f>
        <v>1</v>
      </c>
      <c r="AD12" s="10">
        <f ca="1">VLOOKUP(W12,[1]character_tribe_i18n!$A:$H,7,FALSE)</f>
        <v>1.07</v>
      </c>
      <c r="AE12" s="187">
        <v>1249</v>
      </c>
      <c r="AF12" s="58" t="str">
        <f ca="1">IF(AE12="NULL","",VLOOKUP($AE12,OFFSET([1]characters!$A$1,0,0,COUNTA([1]characters!$A:$A),MATCH(AF$1,[1]characters!$1:$1,0)-MATCH($A$1,[1]characters!$1:$1,0)+1),MATCH(AF$1,[1]characters!$1:$1,0)-MATCH($A$1,[1]characters!$1:$1,0)+1,FALSE))</f>
        <v>君臨する姐御様 寧々</v>
      </c>
      <c r="AG12" s="187">
        <v>1248</v>
      </c>
      <c r="AH12" s="58" t="str">
        <f ca="1">VLOOKUP($AG12,OFFSET([1]characters!$A$1,0,0,COUNTA([1]characters!$A:$A),MATCH(AH$1,[1]characters!$1:$1,0)-MATCH($A$1,[1]characters!$1:$1,0)+1),MATCH(AH$1,[1]characters!$1:$1,0)-MATCH($A$1,[1]characters!$1:$1,0)+1,FALSE)</f>
        <v>寧々</v>
      </c>
      <c r="AI12" s="10">
        <f ca="1">IF(AE12="NULL","NULL",VLOOKUP(G12,ビット!$A$2:$B$7,2))</f>
        <v>50000</v>
      </c>
      <c r="AJ12" s="6">
        <v>2</v>
      </c>
      <c r="AK12" s="7" t="str">
        <f t="shared" si="14"/>
        <v>普通</v>
      </c>
      <c r="AL12" s="10" t="str">
        <f ca="1">INDEX(経験値!$A$1:$I$21,MATCH(H12,経験値!$A$1:$A$21,FALSE),MATCH(G12,経験値!$A$1:$I$1,FALSE))</f>
        <v>required_exp_200</v>
      </c>
      <c r="AM12" s="8">
        <f ca="1">VLOOKUP(G12,経験値!$A$28:$B$32,2)</f>
        <v>3400</v>
      </c>
      <c r="AN12" s="16">
        <f ca="1">VLOOKUP(G12,ビット!$G$2:$H$7,2)</f>
        <v>600</v>
      </c>
      <c r="AO12" s="41"/>
      <c r="AP12" s="63">
        <v>1248</v>
      </c>
      <c r="AQ12" s="53" t="str">
        <f ca="1">VLOOKUP($AP12,OFFSET(unit_skills!$A$1,0,0,COUNTA(unit_skills!$A:$A),MATCH(AQ$1,unit_skills!$1:$1,0)-MATCH($AP$1,unit_skills!$1:$1,0)+1),MATCH(AQ$1,unit_skills!$1:$1,0)-MATCH($AP$1,unit_skills!$1:$1,0)+1,FALSE)</f>
        <v>ネネノオシオキ</v>
      </c>
      <c r="AR12" s="53" t="str">
        <f ca="1">VLOOKUP($AP12,OFFSET(unit_skills!$A$1,0,0,COUNTA(unit_skills!$A:$A),MATCH(AR$1,unit_skills!$1:$1,0)-MATCH($AP$1,unit_skills!$1:$1,0)+1),MATCH(AR$1,unit_skills!$1:$1,0)-MATCH($AP$1,unit_skills!$1:$1,0)+1,FALSE)</f>
        <v>ハート無効解除し、お邪魔パネルを青ボムパネル(大)に変換+HPを6000回復</v>
      </c>
      <c r="AS12" s="53">
        <f ca="1">VLOOKUP($AP12,OFFSET(unit_skills!$A$1,0,0,COUNTA(unit_skills!$A:$A),MATCH(AS$1,unit_skills!$1:$1,0)-MATCH($AP$1,unit_skills!$1:$1,0)+1),MATCH(AS$1,unit_skills!$1:$1,0)-MATCH($AP$1,unit_skills!$1:$1,0)+1,FALSE)</f>
        <v>0</v>
      </c>
      <c r="AT12" s="63">
        <v>1248</v>
      </c>
      <c r="AU12" s="53" t="str">
        <f ca="1">VLOOKUP($AT12,OFFSET(crash_skills!$A$1,0,0,COUNTA(crash_skills!$A:$A),MATCH(AU$1,crash_skills!$1:$1,0)-MATCH($AT$1,crash_skills!$1:$1,0)+1),MATCH(AU$1,crash_skills!$1:$1,0)-MATCH($AT$1,crash_skills!$1:$1,0)+1,FALSE)</f>
        <v>DH・HDスラッガー</v>
      </c>
      <c r="AV12" s="53" t="str">
        <f ca="1">VLOOKUP($AT12,OFFSET(crash_skills!$A$1,0,0,COUNTA(crash_skills!$A:$A),MATCH(AV$1,crash_skills!$1:$1,0)-MATCH($AT$1,crash_skills!$1:$1,0)+1),MATCH(AV$1,crash_skills!$1:$1,0)-MATCH($AT$1,crash_skills!$1:$1,0)+1,FALSE)</f>
        <v>1体に特大ダメージ+_x000D_1ターン全ユニットの回復力小UP</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1.1100000000000001</v>
      </c>
      <c r="AZ12" s="64">
        <v>1.1599999999999999</v>
      </c>
      <c r="BA12" s="64">
        <v>0</v>
      </c>
      <c r="BB12" s="64">
        <v>1.054</v>
      </c>
      <c r="BC12" s="10">
        <f ca="1">INDEX('RC6SV'!$A$1:$G$21,MATCH(H12,'RC6SV'!$A$1:$A$21,FALSE),MATCH(G12,'RC6SV'!$A$1:$G$1,FALSE))</f>
        <v>7000</v>
      </c>
      <c r="BD12" s="44">
        <f t="shared" ca="1" si="15"/>
        <v>7000</v>
      </c>
      <c r="BE12" s="10">
        <f t="shared" ca="1" si="3"/>
        <v>0</v>
      </c>
      <c r="BF12" s="10">
        <f t="shared" ca="1" si="4"/>
        <v>1</v>
      </c>
      <c r="BG12" s="15">
        <f ca="1">IF($BE12&lt;=0,ROUND(BK12*0.5,0), ROUND($BE12*S12*AA12*J12*AY12*0.8*[1]ステータス!$B$2,0))</f>
        <v>1461</v>
      </c>
      <c r="BH12" s="15">
        <f ca="1">IF($BE12&lt;=0,ROUND(BL12*0.5,0), ROUND($BE12*T12*AB12*K12*AZ12*0.8*[1]ステータス!$C$2,0))</f>
        <v>922</v>
      </c>
      <c r="BI12" s="15">
        <f ca="1">IF($BE12&lt;=0,ROUND(BM12*0.5,0), ROUND($BE12*U12*AC12*L12*BA12*0.8*[1]ステータス!$D$2,0))</f>
        <v>0</v>
      </c>
      <c r="BJ12" s="15">
        <f ca="1">IF($BE12&lt;=0,ROUND(BN12*0.5,0), ROUND($BE12*V12*AD12*M12*BB12*0.8*[1]ステータス!$E$2,0))</f>
        <v>1430</v>
      </c>
      <c r="BK12" s="10">
        <f ca="1">ROUND(BD12*S12*AA12*J12*AY12*[1]ステータス!$B$2,0)</f>
        <v>2922</v>
      </c>
      <c r="BL12" s="10">
        <f ca="1">ROUND(BD12*T12*AB12*K12*AZ12*[1]ステータス!$C$2,0)</f>
        <v>1843</v>
      </c>
      <c r="BM12" s="10">
        <f ca="1">ROUND(BD12*U12*AC12*L12*BA12*[1]ステータス!$D$2,0)</f>
        <v>0</v>
      </c>
      <c r="BN12" s="10">
        <f ca="1">ROUND(BD12*V12*AD12*M12*BB12*[1]ステータス!$E$2,0)</f>
        <v>2859</v>
      </c>
      <c r="BO12" s="9">
        <v>0</v>
      </c>
      <c r="BP12" s="9">
        <v>1</v>
      </c>
      <c r="BQ12" s="36" t="s">
        <v>47</v>
      </c>
      <c r="BR12" s="11">
        <f ca="1">VLOOKUP(H12,ghosts_label!$A$2:$B$19,2,FALSE)</f>
        <v>700</v>
      </c>
    </row>
    <row r="13" spans="1:70" ht="26" customHeight="1" x14ac:dyDescent="0.15">
      <c r="A13" s="186">
        <v>1249</v>
      </c>
      <c r="B13" s="53" t="str">
        <f ca="1">VLOOKUP($A13,OFFSET([1]characters!$A$1,0,0,COUNTA([1]characters!$A:$A),MATCH(B$1,[1]characters!$1:$1,0)-MATCH($A$1,[1]characters!$1:$1,0)+1),MATCH(B$1,[1]characters!$1:$1,0)-MATCH($A$1,[1]characters!$1:$1,0)+1,FALSE)</f>
        <v>君臨する姐御様 寧々</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5</v>
      </c>
      <c r="H13" s="53" t="str">
        <f ca="1">VLOOKUP($A13,OFFSET([1]characters!$A$1,0,0,COUNTA([1]characters!$A:$A),MATCH(H$1,[1]characters!$1:$1,0)-MATCH($A$1,[1]characters!$1:$1,0)+1),MATCH(H$1,[1]characters!$1:$1,0)-MATCH($A$1,[1]characters!$1:$1,0)+1,FALSE)</f>
        <v>PremiumS</v>
      </c>
      <c r="I13" s="53" t="str">
        <f ca="1">VLOOKUP($A13,OFFSET([1]characters!$A$1,0,0,COUNTA([1]characters!$A:$A),MATCH(I$1,[1]characters!$1:$1,0)-MATCH($A$1,[1]characters!$1:$1,0)+1),MATCH(I$1,[1]characters!$1:$1,0)-MATCH($A$1,[1]characters!$1:$1,0)+1,FALSE)</f>
        <v>blue</v>
      </c>
      <c r="J13" s="10">
        <f ca="1">VLOOKUP(I13,[1]属性!$A:$E,2,FALSE)</f>
        <v>1</v>
      </c>
      <c r="K13" s="10">
        <f ca="1">VLOOKUP(I13,[1]属性!$A:$E,3,FALSE)</f>
        <v>0.98</v>
      </c>
      <c r="L13" s="10">
        <f ca="1">VLOOKUP(I13,[1]属性!$A:$E,4,FALSE)</f>
        <v>1</v>
      </c>
      <c r="M13" s="10">
        <f ca="1">VLOOKUP(I13,[1]属性!$A:$E,5,FALSE)</f>
        <v>1.02</v>
      </c>
      <c r="N13" s="10">
        <f ca="1">INDEX(コスト!$A$1:$I$21,MATCH(H13,コスト!$A$1:$A$21,FALSE),MATCH(G13,コスト!$A$1:$I$1,FALSE))</f>
        <v>30</v>
      </c>
      <c r="O13" s="10">
        <f ca="1">INDEX(レベル!$A$1:$I$22,MATCH(H13,レベル!$A$1:$A$22,FALSE),MATCH(G13,レベル!$A$1:$I$1,FALSE))</f>
        <v>80</v>
      </c>
      <c r="P13" s="44">
        <f t="shared" ca="1" si="16"/>
        <v>75</v>
      </c>
      <c r="Q13" s="53" t="str">
        <f ca="1">VLOOKUP($A13,OFFSET([1]characters!$A$1,0,0,COUNTA([1]characters!$A:$A),MATCH(Q$1,[1]characters!$1:$1,0)-MATCH($A$1,[1]characters!$1:$1,0)+1),MATCH(Q$1,[1]characters!$1:$1,0)-MATCH($A$1,[1]characters!$1:$1,0)+1,FALSE)</f>
        <v>heal</v>
      </c>
      <c r="R13" s="5" t="str">
        <f ca="1">VLOOKUP(Q13,[1]character_type_i18n!$A:$H,3,FALSE)</f>
        <v>回復タイプ</v>
      </c>
      <c r="S13" s="10">
        <f ca="1">VLOOKUP(Q13,[1]character_type_i18n!$A:$H,4,FALSE)</f>
        <v>0.8</v>
      </c>
      <c r="T13" s="10">
        <f ca="1">VLOOKUP(Q13,[1]character_type_i18n!$A:$H,5,FALSE)</f>
        <v>0.78</v>
      </c>
      <c r="U13" s="10">
        <f ca="1">VLOOKUP(Q13,[1]character_type_i18n!$A:$H,6,FALSE)</f>
        <v>1</v>
      </c>
      <c r="V13" s="10">
        <f ca="1">VLOOKUP(Q13,[1]character_type_i18n!$A:$H,7,FALSE)</f>
        <v>1.42</v>
      </c>
      <c r="W13" s="53" t="str">
        <f ca="1">VLOOKUP($A13,OFFSET([1]characters!$A$1,0,0,COUNTA([1]characters!$A:$A),MATCH(W$1,[1]characters!$1:$1,0)-MATCH($A$1,[1]characters!$1:$1,0)+1),MATCH(W$1,[1]characters!$1:$1,0)-MATCH($A$1,[1]characters!$1:$1,0)+1,FALSE)</f>
        <v>human</v>
      </c>
      <c r="X13" s="5" t="str">
        <f ca="1">VLOOKUP(W13,[1]character_tribe_i18n!$A:$H,3,FALSE)</f>
        <v>ヒューマン</v>
      </c>
      <c r="Y13" s="53" t="str">
        <f ca="1">VLOOKUP($A13,OFFSET([1]characters!$A$1,0,0,COUNTA([1]characters!$A:$A),MATCH(Y$1,[1]characters!$1:$1,0)-MATCH($A$1,[1]characters!$1:$1,0)+1),MATCH(Y$1,[1]characters!$1:$1,0)-MATCH($A$1,[1]characters!$1:$1,0)+1,FALSE)</f>
        <v>none</v>
      </c>
      <c r="Z13" s="5" t="str">
        <f ca="1">VLOOKUP(Y13,[1]character_tribe_i18n!$A:$H,3,FALSE)</f>
        <v>種族なし</v>
      </c>
      <c r="AA13" s="10">
        <f ca="1">VLOOKUP(W13,[1]character_tribe_i18n!$A:$H,4,FALSE)</f>
        <v>0.94</v>
      </c>
      <c r="AB13" s="10">
        <f ca="1">VLOOKUP(W13,[1]character_tribe_i18n!$A:$H,5,FALSE)</f>
        <v>0.99</v>
      </c>
      <c r="AC13" s="10">
        <f ca="1">VLOOKUP(W13,[1]character_tribe_i18n!$A:$H,6,FALSE)</f>
        <v>1</v>
      </c>
      <c r="AD13" s="10">
        <f ca="1">VLOOKUP(W13,[1]character_tribe_i18n!$A:$H,7,FALSE)</f>
        <v>1.07</v>
      </c>
      <c r="AE13" s="187" t="s">
        <v>183</v>
      </c>
      <c r="AF13" s="58" t="str">
        <f ca="1">IF(AE13="NULL","",VLOOKUP($AE13,OFFSET([1]characters!$A$1,0,0,COUNTA([1]characters!$A:$A),MATCH(AF$1,[1]characters!$1:$1,0)-MATCH($A$1,[1]characters!$1:$1,0)+1),MATCH(AF$1,[1]characters!$1:$1,0)-MATCH($A$1,[1]characters!$1:$1,0)+1,FALSE))</f>
        <v/>
      </c>
      <c r="AG13" s="187">
        <v>1248</v>
      </c>
      <c r="AH13" s="58" t="str">
        <f ca="1">VLOOKUP($AG13,OFFSET([1]characters!$A$1,0,0,COUNTA([1]characters!$A:$A),MATCH(AH$1,[1]characters!$1:$1,0)-MATCH($A$1,[1]characters!$1:$1,0)+1),MATCH(AH$1,[1]characters!$1:$1,0)-MATCH($A$1,[1]characters!$1:$1,0)+1,FALSE)</f>
        <v>寧々</v>
      </c>
      <c r="AI13" s="10" t="str">
        <f>IF(AE13="NULL","NULL",VLOOKUP(G13,ビット!$A$2:$B$7,2))</f>
        <v>NULL</v>
      </c>
      <c r="AJ13" s="6">
        <v>2</v>
      </c>
      <c r="AK13" s="7" t="str">
        <f t="shared" ref="AK13:AK14" si="17">IF(AJ13=1,"早熟",IF(AJ13=2,"普通",IF(AJ13=3,"晩成","")))</f>
        <v>普通</v>
      </c>
      <c r="AL13" s="10" t="str">
        <f ca="1">INDEX(経験値!$A$1:$I$21,MATCH(H13,経験値!$A$1:$A$21,FALSE),MATCH(G13,経験値!$A$1:$I$1,FALSE))</f>
        <v>required_exp_200</v>
      </c>
      <c r="AM13" s="8">
        <f ca="1">VLOOKUP(G13,経験値!$A$28:$B$32,2)</f>
        <v>6400</v>
      </c>
      <c r="AN13" s="16">
        <f ca="1">VLOOKUP(G13,ビット!$G$2:$H$7,2)</f>
        <v>900</v>
      </c>
      <c r="AO13" s="41"/>
      <c r="AP13" s="63">
        <v>1249</v>
      </c>
      <c r="AQ13" s="53" t="str">
        <f ca="1">VLOOKUP($AP13,OFFSET(unit_skills!$A$1,0,0,COUNTA(unit_skills!$A:$A),MATCH(AQ$1,unit_skills!$1:$1,0)-MATCH($AP$1,unit_skills!$1:$1,0)+1),MATCH(AQ$1,unit_skills!$1:$1,0)-MATCH($AP$1,unit_skills!$1:$1,0)+1,FALSE)</f>
        <v>ネネノオシオキ・フルスイング</v>
      </c>
      <c r="AR13" s="53" t="str">
        <f ca="1">VLOOKUP($AP13,OFFSET(unit_skills!$A$1,0,0,COUNTA(unit_skills!$A:$A),MATCH(AR$1,unit_skills!$1:$1,0)-MATCH($AP$1,unit_skills!$1:$1,0)+1),MATCH(AR$1,unit_skills!$1:$1,0)-MATCH($AP$1,unit_skills!$1:$1,0)+1,FALSE)</f>
        <v>ハート無効解除し、お邪魔パネルを青ボムパネル(大)に、青パネルをハートパネルに変換+HPを6000回復</v>
      </c>
      <c r="AS13" s="53">
        <f ca="1">VLOOKUP($AP13,OFFSET(unit_skills!$A$1,0,0,COUNTA(unit_skills!$A:$A),MATCH(AS$1,unit_skills!$1:$1,0)-MATCH($AP$1,unit_skills!$1:$1,0)+1),MATCH(AS$1,unit_skills!$1:$1,0)-MATCH($AP$1,unit_skills!$1:$1,0)+1,FALSE)</f>
        <v>0</v>
      </c>
      <c r="AT13" s="63">
        <v>1249</v>
      </c>
      <c r="AU13" s="53" t="str">
        <f ca="1">VLOOKUP($AT13,OFFSET(crash_skills!$A$1,0,0,COUNTA(crash_skills!$A:$A),MATCH(AU$1,crash_skills!$1:$1,0)-MATCH($AT$1,crash_skills!$1:$1,0)+1),MATCH(AU$1,crash_skills!$1:$1,0)-MATCH($AT$1,crash_skills!$1:$1,0)+1,FALSE)</f>
        <v>DH・HDスラッガー</v>
      </c>
      <c r="AV13" s="53" t="str">
        <f ca="1">VLOOKUP($AT13,OFFSET(crash_skills!$A$1,0,0,COUNTA(crash_skills!$A:$A),MATCH(AV$1,crash_skills!$1:$1,0)-MATCH($AT$1,crash_skills!$1:$1,0)+1),MATCH(AV$1,crash_skills!$1:$1,0)-MATCH($AT$1,crash_skills!$1:$1,0)+1,FALSE)</f>
        <v>1体に特大ダメージ+_x000D_1ターン全ユニットの回復力小UP</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1.1100000000000001</v>
      </c>
      <c r="AZ13" s="64">
        <v>1.1599999999999999</v>
      </c>
      <c r="BA13" s="64">
        <v>0</v>
      </c>
      <c r="BB13" s="64">
        <v>1.054</v>
      </c>
      <c r="BC13" s="10">
        <f ca="1">INDEX('RC6SV'!$A$1:$G$21,MATCH(H13,'RC6SV'!$A$1:$A$21,FALSE),MATCH(G13,'RC6SV'!$A$1:$G$1,FALSE))</f>
        <v>9000</v>
      </c>
      <c r="BD13" s="44">
        <f t="shared" ref="BD13:BD14" ca="1" si="18">ROUND(BC13*IF(AJ13=1,0.95,IF(AJ13=2,1,IF(AJ13,1.05,0))),0)</f>
        <v>9000</v>
      </c>
      <c r="BE13" s="10">
        <f t="shared" ca="1" si="3"/>
        <v>7000</v>
      </c>
      <c r="BF13" s="10">
        <f t="shared" ca="1" si="4"/>
        <v>1</v>
      </c>
      <c r="BG13" s="15">
        <f ca="1">IF($BE13&lt;=0,ROUND(BK13*0.5,0), ROUND($BE13*S13*AA13*J13*AY13*0.8*[1]ステータス!$B$2,0))</f>
        <v>2337</v>
      </c>
      <c r="BH13" s="15">
        <f ca="1">IF($BE13&lt;=0,ROUND(BL13*0.5,0), ROUND($BE13*T13*AB13*K13*AZ13*0.8*[1]ステータス!$C$2,0))</f>
        <v>1475</v>
      </c>
      <c r="BI13" s="15">
        <f ca="1">IF($BE13&lt;=0,ROUND(BM13*0.5,0), ROUND($BE13*U13*AC13*L13*BA13*0.8*[1]ステータス!$D$2,0))</f>
        <v>0</v>
      </c>
      <c r="BJ13" s="15">
        <f ca="1">IF($BE13&lt;=0,ROUND(BN13*0.5,0), ROUND($BE13*V13*AD13*M13*BB13*0.8*[1]ステータス!$E$2,0))</f>
        <v>2287</v>
      </c>
      <c r="BK13" s="10">
        <f ca="1">ROUND(BD13*S13*AA13*J13*AY13*[1]ステータス!$B$2,0)</f>
        <v>3756</v>
      </c>
      <c r="BL13" s="10">
        <f ca="1">ROUND(BD13*T13*AB13*K13*AZ13*[1]ステータス!$C$2,0)</f>
        <v>2370</v>
      </c>
      <c r="BM13" s="10">
        <f ca="1">ROUND(BD13*U13*AC13*L13*BA13*[1]ステータス!$D$2,0)</f>
        <v>0</v>
      </c>
      <c r="BN13" s="10">
        <f ca="1">ROUND(BD13*V13*AD13*M13*BB13*[1]ステータス!$E$2,0)</f>
        <v>3675</v>
      </c>
      <c r="BO13" s="9">
        <v>0</v>
      </c>
      <c r="BP13" s="9">
        <v>1</v>
      </c>
      <c r="BQ13" s="9" t="s">
        <v>47</v>
      </c>
      <c r="BR13" s="11">
        <f ca="1">VLOOKUP(H13,ghosts_label!$A$2:$B$19,2,FALSE)</f>
        <v>700</v>
      </c>
    </row>
    <row r="14" spans="1:70" ht="26" customHeight="1" x14ac:dyDescent="0.15">
      <c r="A14" s="186">
        <v>1250</v>
      </c>
      <c r="B14" s="53" t="str">
        <f ca="1">VLOOKUP($A14,OFFSET([1]characters!$A$1,0,0,COUNTA([1]characters!$A:$A),MATCH(B$1,[1]characters!$1:$1,0)-MATCH($A$1,[1]characters!$1:$1,0)+1),MATCH(B$1,[1]characters!$1:$1,0)-MATCH($A$1,[1]characters!$1:$1,0)+1,FALSE)</f>
        <v>真田幸村</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PremiumSSw</v>
      </c>
      <c r="I14" s="53" t="str">
        <f ca="1">VLOOKUP($A14,OFFSET([1]characters!$A$1,0,0,COUNTA([1]characters!$A:$A),MATCH(I$1,[1]characters!$1:$1,0)-MATCH($A$1,[1]characters!$1:$1,0)+1),MATCH(I$1,[1]characters!$1:$1,0)-MATCH($A$1,[1]characters!$1:$1,0)+1,FALSE)</f>
        <v>yellow</v>
      </c>
      <c r="J14" s="10">
        <f ca="1">VLOOKUP(I14,[1]属性!$A:$E,2,FALSE)</f>
        <v>0.98</v>
      </c>
      <c r="K14" s="10">
        <f ca="1">VLOOKUP(I14,[1]属性!$A:$E,3,FALSE)</f>
        <v>1.01</v>
      </c>
      <c r="L14" s="10">
        <f ca="1">VLOOKUP(I14,[1]属性!$A:$E,4,FALSE)</f>
        <v>1</v>
      </c>
      <c r="M14" s="10">
        <f ca="1">VLOOKUP(I14,[1]属性!$A:$E,5,FALSE)</f>
        <v>1.01</v>
      </c>
      <c r="N14" s="10">
        <f ca="1">INDEX(コスト!$A$1:$I$21,MATCH(H14,コスト!$A$1:$A$21,FALSE),MATCH(G14,コスト!$A$1:$I$1,FALSE))</f>
        <v>38</v>
      </c>
      <c r="O14" s="10">
        <f ca="1">INDEX(レベル!$A$1:$I$22,MATCH(H14,レベル!$A$1:$A$22,FALSE),MATCH(G14,レベル!$A$1:$I$1,FALSE))</f>
        <v>80</v>
      </c>
      <c r="P14" s="44">
        <f t="shared" ref="P14:P17" ca="1" si="19">IF(G14 &gt;= 6, 99,G14*15)</f>
        <v>75</v>
      </c>
      <c r="Q14" s="53" t="str">
        <f ca="1">VLOOKUP($A14,OFFSET([1]characters!$A$1,0,0,COUNTA([1]characters!$A:$A),MATCH(Q$1,[1]characters!$1:$1,0)-MATCH($A$1,[1]characters!$1:$1,0)+1),MATCH(Q$1,[1]characters!$1:$1,0)-MATCH($A$1,[1]characters!$1:$1,0)+1,FALSE)</f>
        <v>attack</v>
      </c>
      <c r="R14" s="5" t="str">
        <f ca="1">VLOOKUP(Q14,[1]character_type_i18n!$A:$H,3,FALSE)</f>
        <v>攻撃タイプ</v>
      </c>
      <c r="S14" s="10">
        <f ca="1">VLOOKUP(Q14,[1]character_type_i18n!$A:$H,4,FALSE)</f>
        <v>1</v>
      </c>
      <c r="T14" s="10">
        <f ca="1">VLOOKUP(Q14,[1]character_type_i18n!$A:$H,5,FALSE)</f>
        <v>1.33</v>
      </c>
      <c r="U14" s="10">
        <f ca="1">VLOOKUP(Q14,[1]character_type_i18n!$A:$H,6,FALSE)</f>
        <v>1</v>
      </c>
      <c r="V14" s="10">
        <f ca="1">VLOOKUP(Q14,[1]character_type_i18n!$A:$H,7,FALSE)</f>
        <v>0.67</v>
      </c>
      <c r="W14" s="53" t="str">
        <f ca="1">VLOOKUP($A14,OFFSET([1]characters!$A$1,0,0,COUNTA([1]characters!$A:$A),MATCH(W$1,[1]characters!$1:$1,0)-MATCH($A$1,[1]characters!$1:$1,0)+1),MATCH(W$1,[1]characters!$1:$1,0)-MATCH($A$1,[1]characters!$1:$1,0)+1,FALSE)</f>
        <v>human</v>
      </c>
      <c r="X14" s="5" t="str">
        <f ca="1">VLOOKUP(W14,[1]character_tribe_i18n!$A:$H,3,FALSE)</f>
        <v>ヒューマン</v>
      </c>
      <c r="Y14" s="53" t="str">
        <f ca="1">VLOOKUP($A14,OFFSET([1]characters!$A$1,0,0,COUNTA([1]characters!$A:$A),MATCH(Y$1,[1]characters!$1:$1,0)-MATCH($A$1,[1]characters!$1:$1,0)+1),MATCH(Y$1,[1]characters!$1:$1,0)-MATCH($A$1,[1]characters!$1:$1,0)+1,FALSE)</f>
        <v>samurai</v>
      </c>
      <c r="Z14" s="5" t="str">
        <f ca="1">VLOOKUP(Y14,[1]character_tribe_i18n!$A:$H,3,FALSE)</f>
        <v>サムライ</v>
      </c>
      <c r="AA14" s="10">
        <f ca="1">VLOOKUP(W14,[1]character_tribe_i18n!$A:$H,4,FALSE)</f>
        <v>0.94</v>
      </c>
      <c r="AB14" s="10">
        <f ca="1">VLOOKUP(W14,[1]character_tribe_i18n!$A:$H,5,FALSE)</f>
        <v>0.99</v>
      </c>
      <c r="AC14" s="10">
        <f ca="1">VLOOKUP(W14,[1]character_tribe_i18n!$A:$H,6,FALSE)</f>
        <v>1</v>
      </c>
      <c r="AD14" s="10">
        <f ca="1">VLOOKUP(W14,[1]character_tribe_i18n!$A:$H,7,FALSE)</f>
        <v>1.07</v>
      </c>
      <c r="AE14" s="187">
        <v>1251</v>
      </c>
      <c r="AF14" s="58" t="str">
        <f ca="1">IF(AE14="NULL","",VLOOKUP($AE14,OFFSET([1]characters!$A$1,0,0,COUNTA([1]characters!$A:$A),MATCH(AF$1,[1]characters!$1:$1,0)-MATCH($A$1,[1]characters!$1:$1,0)+1),MATCH(AF$1,[1]characters!$1:$1,0)-MATCH($A$1,[1]characters!$1:$1,0)+1,FALSE))</f>
        <v>錯槍の英勇 真田幸村</v>
      </c>
      <c r="AG14" s="187">
        <v>1250</v>
      </c>
      <c r="AH14" s="58" t="str">
        <f ca="1">VLOOKUP($AG14,OFFSET([1]characters!$A$1,0,0,COUNTA([1]characters!$A:$A),MATCH(AH$1,[1]characters!$1:$1,0)-MATCH($A$1,[1]characters!$1:$1,0)+1),MATCH(AH$1,[1]characters!$1:$1,0)-MATCH($A$1,[1]characters!$1:$1,0)+1,FALSE)</f>
        <v>真田幸村</v>
      </c>
      <c r="AI14" s="10">
        <f ca="1">IF(AE14="NULL","NULL",VLOOKUP(G14,ビット!$A$2:$B$7,2))</f>
        <v>200000</v>
      </c>
      <c r="AJ14" s="6">
        <v>2</v>
      </c>
      <c r="AK14" s="7" t="str">
        <f t="shared" si="17"/>
        <v>普通</v>
      </c>
      <c r="AL14" s="10" t="str">
        <f ca="1">INDEX(経験値!$A$1:$I$21,MATCH(H14,経験値!$A$1:$A$21,FALSE),MATCH(G14,経験値!$A$1:$I$1,FALSE))</f>
        <v>required_exp_200</v>
      </c>
      <c r="AM14" s="8">
        <f ca="1">VLOOKUP(G14,経験値!$A$28:$B$32,2)</f>
        <v>6400</v>
      </c>
      <c r="AN14" s="16">
        <f ca="1">VLOOKUP(G14,ビット!$G$2:$H$7,2)</f>
        <v>900</v>
      </c>
      <c r="AO14" s="41"/>
      <c r="AP14" s="63">
        <v>1250</v>
      </c>
      <c r="AQ14" s="53" t="str">
        <f ca="1">VLOOKUP($AP14,OFFSET(unit_skills!$A$1,0,0,COUNTA(unit_skills!$A:$A),MATCH(AQ$1,unit_skills!$1:$1,0)-MATCH($AP$1,unit_skills!$1:$1,0)+1),MATCH(AQ$1,unit_skills!$1:$1,0)-MATCH($AP$1,unit_skills!$1:$1,0)+1,FALSE)</f>
        <v>ディスコード＋10</v>
      </c>
      <c r="AR14" s="53" t="str">
        <f ca="1">VLOOKUP($AP14,OFFSET(unit_skills!$A$1,0,0,COUNTA(unit_skills!$A:$A),MATCH(AR$1,unit_skills!$1:$1,0)-MATCH($AP$1,unit_skills!$1:$1,0)+1),MATCH(AR$1,unit_skills!$1:$1,0)-MATCH($AP$1,unit_skills!$1:$1,0)+1,FALSE)</f>
        <v>ランダムでパネルを最大1個SCパネル(特大)に変換</v>
      </c>
      <c r="AS14" s="53">
        <f ca="1">VLOOKUP($AP14,OFFSET(unit_skills!$A$1,0,0,COUNTA(unit_skills!$A:$A),MATCH(AS$1,unit_skills!$1:$1,0)-MATCH($AP$1,unit_skills!$1:$1,0)+1),MATCH(AS$1,unit_skills!$1:$1,0)-MATCH($AP$1,unit_skills!$1:$1,0)+1,FALSE)</f>
        <v>0</v>
      </c>
      <c r="AT14" s="63">
        <v>1250</v>
      </c>
      <c r="AU14" s="53" t="str">
        <f ca="1">VLOOKUP($AT14,OFFSET(crash_skills!$A$1,0,0,COUNTA(crash_skills!$A:$A),MATCH(AU$1,crash_skills!$1:$1,0)-MATCH($AT$1,crash_skills!$1:$1,0)+1),MATCH(AU$1,crash_skills!$1:$1,0)-MATCH($AT$1,crash_skills!$1:$1,0)+1,FALSE)</f>
        <v>ホウロク・ハックボム</v>
      </c>
      <c r="AV14" s="53" t="str">
        <f ca="1">VLOOKUP($AT14,OFFSET(crash_skills!$A$1,0,0,COUNTA(crash_skills!$A:$A),MATCH(AV$1,crash_skills!$1:$1,0)-MATCH($AT$1,crash_skills!$1:$1,0)+1),MATCH(AV$1,crash_skills!$1:$1,0)-MATCH($AT$1,crash_skills!$1:$1,0)+1,FALSE)</f>
        <v>1体に特大ダメージ</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1.0900000000000001</v>
      </c>
      <c r="AZ14" s="64">
        <v>0.89800000000000002</v>
      </c>
      <c r="BA14" s="64">
        <v>0</v>
      </c>
      <c r="BB14" s="64">
        <v>1.03</v>
      </c>
      <c r="BC14" s="10">
        <f ca="1">INDEX('RC6SV'!$A$1:$G$21,MATCH(H14,'RC6SV'!$A$1:$A$21,FALSE),MATCH(G14,'RC6SV'!$A$1:$G$1,FALSE))</f>
        <v>10000</v>
      </c>
      <c r="BD14" s="44">
        <f t="shared" ca="1" si="18"/>
        <v>10000</v>
      </c>
      <c r="BE14" s="10">
        <f t="shared" ca="1" si="3"/>
        <v>0</v>
      </c>
      <c r="BF14" s="10">
        <f t="shared" ca="1" si="4"/>
        <v>1</v>
      </c>
      <c r="BG14" s="15">
        <f ca="1">IF($BE14&lt;=0,ROUND(BK14*0.5,0), ROUND($BE14*S14*AA14*J14*AY14*0.8*[1]ステータス!$B$2,0))</f>
        <v>2511</v>
      </c>
      <c r="BH14" s="15">
        <f ca="1">IF($BE14&lt;=0,ROUND(BL14*0.5,0), ROUND($BE14*T14*AB14*K14*AZ14*0.8*[1]ステータス!$C$2,0))</f>
        <v>1792</v>
      </c>
      <c r="BI14" s="15">
        <f ca="1">IF($BE14&lt;=0,ROUND(BM14*0.5,0), ROUND($BE14*U14*AC14*L14*BA14*0.8*[1]ステータス!$D$2,0))</f>
        <v>0</v>
      </c>
      <c r="BJ14" s="15">
        <f ca="1">IF($BE14&lt;=0,ROUND(BN14*0.5,0), ROUND($BE14*V14*AD14*M14*BB14*0.8*[1]ステータス!$E$2,0))</f>
        <v>932</v>
      </c>
      <c r="BK14" s="10">
        <f ca="1">ROUND(BD14*S14*AA14*J14*AY14*[1]ステータス!$B$2,0)</f>
        <v>5021</v>
      </c>
      <c r="BL14" s="10">
        <f ca="1">ROUND(BD14*T14*AB14*K14*AZ14*[1]ステータス!$C$2,0)</f>
        <v>3583</v>
      </c>
      <c r="BM14" s="10">
        <f ca="1">ROUND(BD14*U14*AC14*L14*BA14*[1]ステータス!$D$2,0)</f>
        <v>0</v>
      </c>
      <c r="BN14" s="10">
        <f ca="1">ROUND(BD14*V14*AD14*M14*BB14*[1]ステータス!$E$2,0)</f>
        <v>1864</v>
      </c>
      <c r="BO14" s="9">
        <v>0</v>
      </c>
      <c r="BP14" s="9">
        <v>1</v>
      </c>
      <c r="BQ14" s="36" t="s">
        <v>47</v>
      </c>
      <c r="BR14" s="11">
        <f ca="1">VLOOKUP(H14,ghosts_label!$A$2:$B$19,2,FALSE)</f>
        <v>6000</v>
      </c>
    </row>
    <row r="15" spans="1:70" ht="26" customHeight="1" x14ac:dyDescent="0.15">
      <c r="A15" s="186">
        <v>1251</v>
      </c>
      <c r="B15" s="53" t="str">
        <f ca="1">VLOOKUP($A15,OFFSET([1]characters!$A$1,0,0,COUNTA([1]characters!$A:$A),MATCH(B$1,[1]characters!$1:$1,0)-MATCH($A$1,[1]characters!$1:$1,0)+1),MATCH(B$1,[1]characters!$1:$1,0)-MATCH($A$1,[1]characters!$1:$1,0)+1,FALSE)</f>
        <v>錯槍の英勇 真田幸村</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PremiumSSw</v>
      </c>
      <c r="I15" s="53" t="str">
        <f ca="1">VLOOKUP($A15,OFFSET([1]characters!$A$1,0,0,COUNTA([1]characters!$A:$A),MATCH(I$1,[1]characters!$1:$1,0)-MATCH($A$1,[1]characters!$1:$1,0)+1),MATCH(I$1,[1]characters!$1:$1,0)-MATCH($A$1,[1]characters!$1:$1,0)+1,FALSE)</f>
        <v>yellow</v>
      </c>
      <c r="J15" s="10">
        <f ca="1">VLOOKUP(I15,[1]属性!$A:$E,2,FALSE)</f>
        <v>0.98</v>
      </c>
      <c r="K15" s="10">
        <f ca="1">VLOOKUP(I15,[1]属性!$A:$E,3,FALSE)</f>
        <v>1.01</v>
      </c>
      <c r="L15" s="10">
        <f ca="1">VLOOKUP(I15,[1]属性!$A:$E,4,FALSE)</f>
        <v>1</v>
      </c>
      <c r="M15" s="10">
        <f ca="1">VLOOKUP(I15,[1]属性!$A:$E,5,FALSE)</f>
        <v>1.01</v>
      </c>
      <c r="N15" s="10">
        <f ca="1">INDEX(コスト!$A$1:$I$21,MATCH(H15,コスト!$A$1:$A$21,FALSE),MATCH(G15,コスト!$A$1:$I$1,FALSE))</f>
        <v>53</v>
      </c>
      <c r="O15" s="10">
        <f ca="1">INDEX(レベル!$A$1:$I$22,MATCH(H15,レベル!$A$1:$A$22,FALSE),MATCH(G15,レベル!$A$1:$I$1,FALSE))</f>
        <v>99</v>
      </c>
      <c r="P15" s="44">
        <f t="shared" ca="1" si="19"/>
        <v>99</v>
      </c>
      <c r="Q15" s="53" t="str">
        <f ca="1">VLOOKUP($A15,OFFSET([1]characters!$A$1,0,0,COUNTA([1]characters!$A:$A),MATCH(Q$1,[1]characters!$1:$1,0)-MATCH($A$1,[1]characters!$1:$1,0)+1),MATCH(Q$1,[1]characters!$1:$1,0)-MATCH($A$1,[1]characters!$1:$1,0)+1,FALSE)</f>
        <v>attack</v>
      </c>
      <c r="R15" s="5" t="str">
        <f ca="1">VLOOKUP(Q15,[1]character_type_i18n!$A:$H,3,FALSE)</f>
        <v>攻撃タイプ</v>
      </c>
      <c r="S15" s="10">
        <f ca="1">VLOOKUP(Q15,[1]character_type_i18n!$A:$H,4,FALSE)</f>
        <v>1</v>
      </c>
      <c r="T15" s="10">
        <f ca="1">VLOOKUP(Q15,[1]character_type_i18n!$A:$H,5,FALSE)</f>
        <v>1.33</v>
      </c>
      <c r="U15" s="10">
        <f ca="1">VLOOKUP(Q15,[1]character_type_i18n!$A:$H,6,FALSE)</f>
        <v>1</v>
      </c>
      <c r="V15" s="10">
        <f ca="1">VLOOKUP(Q15,[1]character_type_i18n!$A:$H,7,FALSE)</f>
        <v>0.67</v>
      </c>
      <c r="W15" s="53" t="str">
        <f ca="1">VLOOKUP($A15,OFFSET([1]characters!$A$1,0,0,COUNTA([1]characters!$A:$A),MATCH(W$1,[1]characters!$1:$1,0)-MATCH($A$1,[1]characters!$1:$1,0)+1),MATCH(W$1,[1]characters!$1:$1,0)-MATCH($A$1,[1]characters!$1:$1,0)+1,FALSE)</f>
        <v>human</v>
      </c>
      <c r="X15" s="5" t="str">
        <f ca="1">VLOOKUP(W15,[1]character_tribe_i18n!$A:$H,3,FALSE)</f>
        <v>ヒューマン</v>
      </c>
      <c r="Y15" s="53" t="str">
        <f ca="1">VLOOKUP($A15,OFFSET([1]characters!$A$1,0,0,COUNTA([1]characters!$A:$A),MATCH(Y$1,[1]characters!$1:$1,0)-MATCH($A$1,[1]characters!$1:$1,0)+1),MATCH(Y$1,[1]characters!$1:$1,0)-MATCH($A$1,[1]characters!$1:$1,0)+1,FALSE)</f>
        <v>samurai</v>
      </c>
      <c r="Z15" s="5" t="str">
        <f ca="1">VLOOKUP(Y15,[1]character_tribe_i18n!$A:$H,3,FALSE)</f>
        <v>サムライ</v>
      </c>
      <c r="AA15" s="10">
        <f ca="1">VLOOKUP(W15,[1]character_tribe_i18n!$A:$H,4,FALSE)</f>
        <v>0.94</v>
      </c>
      <c r="AB15" s="10">
        <f ca="1">VLOOKUP(W15,[1]character_tribe_i18n!$A:$H,5,FALSE)</f>
        <v>0.99</v>
      </c>
      <c r="AC15" s="10">
        <f ca="1">VLOOKUP(W15,[1]character_tribe_i18n!$A:$H,6,FALSE)</f>
        <v>1</v>
      </c>
      <c r="AD15" s="10">
        <f ca="1">VLOOKUP(W15,[1]character_tribe_i18n!$A:$H,7,FALSE)</f>
        <v>1.07</v>
      </c>
      <c r="AE15" s="187" t="s">
        <v>183</v>
      </c>
      <c r="AF15" s="58" t="str">
        <f ca="1">IF(AE15="NULL","",VLOOKUP($AE15,OFFSET([1]characters!$A$1,0,0,COUNTA([1]characters!$A:$A),MATCH(AF$1,[1]characters!$1:$1,0)-MATCH($A$1,[1]characters!$1:$1,0)+1),MATCH(AF$1,[1]characters!$1:$1,0)-MATCH($A$1,[1]characters!$1:$1,0)+1,FALSE))</f>
        <v/>
      </c>
      <c r="AG15" s="187">
        <v>1250</v>
      </c>
      <c r="AH15" s="58" t="str">
        <f ca="1">VLOOKUP($AG15,OFFSET([1]characters!$A$1,0,0,COUNTA([1]characters!$A:$A),MATCH(AH$1,[1]characters!$1:$1,0)-MATCH($A$1,[1]characters!$1:$1,0)+1),MATCH(AH$1,[1]characters!$1:$1,0)-MATCH($A$1,[1]characters!$1:$1,0)+1,FALSE)</f>
        <v>真田幸村</v>
      </c>
      <c r="AI15" s="10" t="str">
        <f>IF(AE15="NULL","NULL",VLOOKUP(G15,ビット!$A$2:$B$7,2))</f>
        <v>NULL</v>
      </c>
      <c r="AJ15" s="6">
        <v>2</v>
      </c>
      <c r="AK15" s="7" t="str">
        <f t="shared" ref="AK15:AK17" si="20">IF(AJ15=1,"早熟",IF(AJ15=2,"普通",IF(AJ15=3,"晩成","")))</f>
        <v>普通</v>
      </c>
      <c r="AL15" s="10" t="str">
        <f ca="1">INDEX(経験値!$A$1:$I$21,MATCH(H15,経験値!$A$1:$A$21,FALSE),MATCH(G15,経験値!$A$1:$I$1,FALSE))</f>
        <v>required_exp_250</v>
      </c>
      <c r="AM15" s="8">
        <f ca="1">VLOOKUP(G15,経験値!$A$28:$B$32,2)</f>
        <v>6400</v>
      </c>
      <c r="AN15" s="16">
        <f ca="1">VLOOKUP(G15,ビット!$G$2:$H$7,2)</f>
        <v>900</v>
      </c>
      <c r="AO15" s="41"/>
      <c r="AP15" s="63">
        <v>1251</v>
      </c>
      <c r="AQ15" s="53" t="str">
        <f ca="1">VLOOKUP($AP15,OFFSET(unit_skills!$A$1,0,0,COUNTA(unit_skills!$A:$A),MATCH(AQ$1,unit_skills!$1:$1,0)-MATCH($AP$1,unit_skills!$1:$1,0)+1),MATCH(AQ$1,unit_skills!$1:$1,0)-MATCH($AP$1,unit_skills!$1:$1,0)+1,FALSE)</f>
        <v>ディサイファ＋10</v>
      </c>
      <c r="AR15" s="53" t="str">
        <f ca="1">VLOOKUP($AP15,OFFSET(unit_skills!$A$1,0,0,COUNTA(unit_skills!$A:$A),MATCH(AR$1,unit_skills!$1:$1,0)-MATCH($AP$1,unit_skills!$1:$1,0)+1),MATCH(AR$1,unit_skills!$1:$1,0)-MATCH($AP$1,unit_skills!$1:$1,0)+1,FALSE)</f>
        <v>ランダムで最大2個SCP(特大)に、ダメージパネルを最大10個CPに変換+HP5500回復+1ターン黄・緑属性のタップ回数を1増加</v>
      </c>
      <c r="AS15" s="53">
        <f ca="1">VLOOKUP($AP15,OFFSET(unit_skills!$A$1,0,0,COUNTA(unit_skills!$A:$A),MATCH(AS$1,unit_skills!$1:$1,0)-MATCH($AP$1,unit_skills!$1:$1,0)+1),MATCH(AS$1,unit_skills!$1:$1,0)-MATCH($AP$1,unit_skills!$1:$1,0)+1,FALSE)</f>
        <v>0</v>
      </c>
      <c r="AT15" s="63">
        <v>1251</v>
      </c>
      <c r="AU15" s="53" t="str">
        <f ca="1">VLOOKUP($AT15,OFFSET(crash_skills!$A$1,0,0,COUNTA(crash_skills!$A:$A),MATCH(AU$1,crash_skills!$1:$1,0)-MATCH($AT$1,crash_skills!$1:$1,0)+1),MATCH(AU$1,crash_skills!$1:$1,0)-MATCH($AT$1,crash_skills!$1:$1,0)+1,FALSE)</f>
        <v>アンガーダブル・ストライク</v>
      </c>
      <c r="AV15" s="53" t="str">
        <f ca="1">VLOOKUP($AT15,OFFSET(crash_skills!$A$1,0,0,COUNTA(crash_skills!$A:$A),MATCH(AV$1,crash_skills!$1:$1,0)-MATCH($AT$1,crash_skills!$1:$1,0)+1),MATCH(AV$1,crash_skills!$1:$1,0)-MATCH($AT$1,crash_skills!$1:$1,0)+1,FALSE)</f>
        <v>1体に超大ダメージ</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1.0900000000000001</v>
      </c>
      <c r="AZ15" s="64">
        <v>0.89800000000000002</v>
      </c>
      <c r="BA15" s="64">
        <v>0</v>
      </c>
      <c r="BB15" s="64">
        <v>1.03</v>
      </c>
      <c r="BC15" s="10">
        <f ca="1">INDEX('RC6SV'!$A$1:$G$21,MATCH(H15,'RC6SV'!$A$1:$A$21,FALSE),MATCH(G15,'RC6SV'!$A$1:$G$1,FALSE))</f>
        <v>14000</v>
      </c>
      <c r="BD15" s="44">
        <f t="shared" ref="BD15:BD17" ca="1" si="21">ROUND(BC15*IF(AJ15=1,0.95,IF(AJ15=2,1,IF(AJ15,1.05,0))),0)</f>
        <v>14000</v>
      </c>
      <c r="BE15" s="10">
        <f t="shared" ca="1" si="3"/>
        <v>10000</v>
      </c>
      <c r="BF15" s="10">
        <f t="shared" ca="1" si="4"/>
        <v>1</v>
      </c>
      <c r="BG15" s="15">
        <f ca="1">IF($BE15&lt;=0,ROUND(BK15*0.5,0), ROUND($BE15*S15*AA15*J15*AY15*0.8*[1]ステータス!$B$2,0))</f>
        <v>4016</v>
      </c>
      <c r="BH15" s="15">
        <f ca="1">IF($BE15&lt;=0,ROUND(BL15*0.5,0), ROUND($BE15*T15*AB15*K15*AZ15*0.8*[1]ステータス!$C$2,0))</f>
        <v>2866</v>
      </c>
      <c r="BI15" s="15">
        <f ca="1">IF($BE15&lt;=0,ROUND(BM15*0.5,0), ROUND($BE15*U15*AC15*L15*BA15*0.8*[1]ステータス!$D$2,0))</f>
        <v>0</v>
      </c>
      <c r="BJ15" s="15">
        <f ca="1">IF($BE15&lt;=0,ROUND(BN15*0.5,0), ROUND($BE15*V15*AD15*M15*BB15*0.8*[1]ステータス!$E$2,0))</f>
        <v>1492</v>
      </c>
      <c r="BK15" s="10">
        <f ca="1">ROUND(BD15*S15*AA15*J15*AY15*[1]ステータス!$B$2,0)</f>
        <v>7029</v>
      </c>
      <c r="BL15" s="10">
        <f ca="1">ROUND(BD15*T15*AB15*K15*AZ15*[1]ステータス!$C$2,0)</f>
        <v>5016</v>
      </c>
      <c r="BM15" s="10">
        <f ca="1">ROUND(BD15*U15*AC15*L15*BA15*[1]ステータス!$D$2,0)</f>
        <v>0</v>
      </c>
      <c r="BN15" s="10">
        <f ca="1">ROUND(BD15*V15*AD15*M15*BB15*[1]ステータス!$E$2,0)</f>
        <v>2610</v>
      </c>
      <c r="BO15" s="9">
        <v>0</v>
      </c>
      <c r="BP15" s="9">
        <v>1</v>
      </c>
      <c r="BQ15" s="9" t="s">
        <v>47</v>
      </c>
      <c r="BR15" s="11">
        <f ca="1">VLOOKUP(H15,ghosts_label!$A$2:$B$19,2,FALSE)</f>
        <v>6000</v>
      </c>
    </row>
    <row r="16" spans="1:70" ht="26" customHeight="1" x14ac:dyDescent="0.15">
      <c r="A16" s="186">
        <v>1236</v>
      </c>
      <c r="B16" s="53" t="str">
        <f ca="1">VLOOKUP($A16,OFFSET([1]characters!$A$1,0,0,COUNTA([1]characters!$A:$A),MATCH(B$1,[1]characters!$1:$1,0)-MATCH($A$1,[1]characters!$1:$1,0)+1),MATCH(B$1,[1]characters!$1:$1,0)-MATCH($A$1,[1]characters!$1:$1,0)+1,FALSE)</f>
        <v>千利休</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4</v>
      </c>
      <c r="H16" s="53" t="str">
        <f ca="1">VLOOKUP($A16,OFFSET([1]characters!$A$1,0,0,COUNTA([1]characters!$A:$A),MATCH(H$1,[1]characters!$1:$1,0)-MATCH($A$1,[1]characters!$1:$1,0)+1),MATCH(H$1,[1]characters!$1:$1,0)-MATCH($A$1,[1]characters!$1:$1,0)+1,FALSE)</f>
        <v>Drop2N</v>
      </c>
      <c r="I16" s="53" t="str">
        <f ca="1">VLOOKUP($A16,OFFSET([1]characters!$A$1,0,0,COUNTA([1]characters!$A:$A),MATCH(I$1,[1]characters!$1:$1,0)-MATCH($A$1,[1]characters!$1:$1,0)+1),MATCH(I$1,[1]characters!$1:$1,0)-MATCH($A$1,[1]characters!$1:$1,0)+1,FALSE)</f>
        <v>yellow</v>
      </c>
      <c r="J16" s="10">
        <f ca="1">VLOOKUP(I16,[1]属性!$A:$E,2,FALSE)</f>
        <v>0.98</v>
      </c>
      <c r="K16" s="10">
        <f ca="1">VLOOKUP(I16,[1]属性!$A:$E,3,FALSE)</f>
        <v>1.01</v>
      </c>
      <c r="L16" s="10">
        <f ca="1">VLOOKUP(I16,[1]属性!$A:$E,4,FALSE)</f>
        <v>1</v>
      </c>
      <c r="M16" s="10">
        <f ca="1">VLOOKUP(I16,[1]属性!$A:$E,5,FALSE)</f>
        <v>1.01</v>
      </c>
      <c r="N16" s="10">
        <f ca="1">INDEX(コスト!$A$1:$I$21,MATCH(H16,コスト!$A$1:$A$21,FALSE),MATCH(G16,コスト!$A$1:$I$1,FALSE))</f>
        <v>17</v>
      </c>
      <c r="O16" s="10">
        <f ca="1">INDEX(レベル!$A$1:$I$22,MATCH(H16,レベル!$A$1:$A$22,FALSE),MATCH(G16,レベル!$A$1:$I$1,FALSE))</f>
        <v>60</v>
      </c>
      <c r="P16" s="44">
        <f t="shared" ca="1" si="19"/>
        <v>60</v>
      </c>
      <c r="Q16" s="53" t="str">
        <f ca="1">VLOOKUP($A16,OFFSET([1]characters!$A$1,0,0,COUNTA([1]characters!$A:$A),MATCH(Q$1,[1]characters!$1:$1,0)-MATCH($A$1,[1]characters!$1:$1,0)+1),MATCH(Q$1,[1]characters!$1:$1,0)-MATCH($A$1,[1]characters!$1:$1,0)+1,FALSE)</f>
        <v>balance</v>
      </c>
      <c r="R16" s="5" t="str">
        <f ca="1">VLOOKUP(Q16,[1]character_type_i18n!$A:$H,3,FALSE)</f>
        <v>バランスタイプ</v>
      </c>
      <c r="S16" s="10">
        <f ca="1">VLOOKUP(Q16,[1]character_type_i18n!$A:$H,4,FALSE)</f>
        <v>1</v>
      </c>
      <c r="T16" s="10">
        <f ca="1">VLOOKUP(Q16,[1]character_type_i18n!$A:$H,5,FALSE)</f>
        <v>1</v>
      </c>
      <c r="U16" s="10">
        <f ca="1">VLOOKUP(Q16,[1]character_type_i18n!$A:$H,6,FALSE)</f>
        <v>1</v>
      </c>
      <c r="V16" s="10">
        <f ca="1">VLOOKUP(Q16,[1]character_type_i18n!$A:$H,7,FALSE)</f>
        <v>1</v>
      </c>
      <c r="W16" s="53" t="str">
        <f ca="1">VLOOKUP($A16,OFFSET([1]characters!$A$1,0,0,COUNTA([1]characters!$A:$A),MATCH(W$1,[1]characters!$1:$1,0)-MATCH($A$1,[1]characters!$1:$1,0)+1),MATCH(W$1,[1]characters!$1:$1,0)-MATCH($A$1,[1]characters!$1:$1,0)+1,FALSE)</f>
        <v>unknown</v>
      </c>
      <c r="X16" s="5" t="str">
        <f ca="1">VLOOKUP(W16,[1]character_tribe_i18n!$A:$H,3,FALSE)</f>
        <v>Unknown</v>
      </c>
      <c r="Y16" s="53" t="str">
        <f ca="1">VLOOKUP($A16,OFFSET([1]characters!$A$1,0,0,COUNTA([1]characters!$A:$A),MATCH(Y$1,[1]characters!$1:$1,0)-MATCH($A$1,[1]characters!$1:$1,0)+1),MATCH(Y$1,[1]characters!$1:$1,0)-MATCH($A$1,[1]characters!$1:$1,0)+1,FALSE)</f>
        <v>none</v>
      </c>
      <c r="Z16" s="5" t="str">
        <f ca="1">VLOOKUP(Y16,[1]character_tribe_i18n!$A:$H,3,FALSE)</f>
        <v>種族なし</v>
      </c>
      <c r="AA16" s="10">
        <f ca="1">VLOOKUP(W16,[1]character_tribe_i18n!$A:$H,4,FALSE)</f>
        <v>1</v>
      </c>
      <c r="AB16" s="10">
        <f ca="1">VLOOKUP(W16,[1]character_tribe_i18n!$A:$H,5,FALSE)</f>
        <v>1</v>
      </c>
      <c r="AC16" s="10">
        <f ca="1">VLOOKUP(W16,[1]character_tribe_i18n!$A:$H,6,FALSE)</f>
        <v>1</v>
      </c>
      <c r="AD16" s="10">
        <f ca="1">VLOOKUP(W16,[1]character_tribe_i18n!$A:$H,7,FALSE)</f>
        <v>1</v>
      </c>
      <c r="AE16" s="187">
        <v>1237</v>
      </c>
      <c r="AF16" s="58" t="str">
        <f ca="1">IF(AE16="NULL","",VLOOKUP($AE16,OFFSET([1]characters!$A$1,0,0,COUNTA([1]characters!$A:$A),MATCH(AF$1,[1]characters!$1:$1,0)-MATCH($A$1,[1]characters!$1:$1,0)+1),MATCH(AF$1,[1]characters!$1:$1,0)-MATCH($A$1,[1]characters!$1:$1,0)+1,FALSE))</f>
        <v>夢茶の目付役 千利休</v>
      </c>
      <c r="AG16" s="187">
        <v>1236</v>
      </c>
      <c r="AH16" s="58" t="str">
        <f ca="1">VLOOKUP($AG16,OFFSET([1]characters!$A$1,0,0,COUNTA([1]characters!$A:$A),MATCH(AH$1,[1]characters!$1:$1,0)-MATCH($A$1,[1]characters!$1:$1,0)+1),MATCH(AH$1,[1]characters!$1:$1,0)-MATCH($A$1,[1]characters!$1:$1,0)+1,FALSE)</f>
        <v>千利休</v>
      </c>
      <c r="AI16" s="10">
        <f ca="1">IF(AE16="NULL","NULL",VLOOKUP(G16,ビット!$A$2:$B$7,2))</f>
        <v>50000</v>
      </c>
      <c r="AJ16" s="6">
        <v>2</v>
      </c>
      <c r="AK16" s="7" t="str">
        <f t="shared" si="20"/>
        <v>普通</v>
      </c>
      <c r="AL16" s="10" t="str">
        <f ca="1">INDEX(経験値!$A$1:$I$21,MATCH(H16,経験値!$A$1:$A$21,FALSE),MATCH(G16,経験値!$A$1:$I$1,FALSE))</f>
        <v>required_exp_200</v>
      </c>
      <c r="AM16" s="8">
        <f ca="1">VLOOKUP(G16,経験値!$A$28:$B$32,2)</f>
        <v>3400</v>
      </c>
      <c r="AN16" s="16">
        <f ca="1">VLOOKUP(G16,ビット!$G$2:$H$7,2)</f>
        <v>600</v>
      </c>
      <c r="AO16" s="41"/>
      <c r="AP16" s="63">
        <v>1236</v>
      </c>
      <c r="AQ16" s="53" t="str">
        <f ca="1">VLOOKUP($AP16,OFFSET(unit_skills!$A$1,0,0,COUNTA(unit_skills!$A:$A),MATCH(AQ$1,unit_skills!$1:$1,0)-MATCH($AP$1,unit_skills!$1:$1,0)+1),MATCH(AQ$1,unit_skills!$1:$1,0)-MATCH($AP$1,unit_skills!$1:$1,0)+1,FALSE)</f>
        <v>チャセン・スターリング</v>
      </c>
      <c r="AR16" s="53" t="str">
        <f ca="1">VLOOKUP($AP16,OFFSET(unit_skills!$A$1,0,0,COUNTA(unit_skills!$A:$A),MATCH(AR$1,unit_skills!$1:$1,0)-MATCH($AP$1,unit_skills!$1:$1,0)+1),MATCH(AR$1,unit_skills!$1:$1,0)-MATCH($AP$1,unit_skills!$1:$1,0)+1,FALSE)</f>
        <v>赤パネルを黄パネルに、青パネルを最大5個黄パネルに変換する</v>
      </c>
      <c r="AS16" s="53">
        <f ca="1">VLOOKUP($AP16,OFFSET(unit_skills!$A$1,0,0,COUNTA(unit_skills!$A:$A),MATCH(AS$1,unit_skills!$1:$1,0)-MATCH($AP$1,unit_skills!$1:$1,0)+1),MATCH(AS$1,unit_skills!$1:$1,0)-MATCH($AP$1,unit_skills!$1:$1,0)+1,FALSE)</f>
        <v>0</v>
      </c>
      <c r="AT16" s="63">
        <v>1236</v>
      </c>
      <c r="AU16" s="53" t="str">
        <f ca="1">VLOOKUP($AT16,OFFSET(crash_skills!$A$1,0,0,COUNTA(crash_skills!$A:$A),MATCH(AU$1,crash_skills!$1:$1,0)-MATCH($AT$1,crash_skills!$1:$1,0)+1),MATCH(AU$1,crash_skills!$1:$1,0)-MATCH($AT$1,crash_skills!$1:$1,0)+1,FALSE)</f>
        <v>バックエンド・ウィズ</v>
      </c>
      <c r="AV16" s="53" t="str">
        <f ca="1">VLOOKUP($AT16,OFFSET(crash_skills!$A$1,0,0,COUNTA(crash_skills!$A:$A),MATCH(AV$1,crash_skills!$1:$1,0)-MATCH($AT$1,crash_skills!$1:$1,0)+1),MATCH(AV$1,crash_skills!$1:$1,0)-MATCH($AT$1,crash_skills!$1:$1,0)+1,FALSE)</f>
        <v>1体に大ダメージ</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3</v>
      </c>
      <c r="AY16" s="64">
        <v>1.21</v>
      </c>
      <c r="AZ16" s="64">
        <v>1.21</v>
      </c>
      <c r="BA16" s="64">
        <v>0</v>
      </c>
      <c r="BB16" s="64">
        <v>1.08</v>
      </c>
      <c r="BC16" s="10">
        <f ca="1">INDEX('RC6SV'!$A$1:$G$21,MATCH(H16,'RC6SV'!$A$1:$A$21,FALSE),MATCH(G16,'RC6SV'!$A$1:$G$1,FALSE))</f>
        <v>5800</v>
      </c>
      <c r="BD16" s="44">
        <f t="shared" ca="1" si="21"/>
        <v>5800</v>
      </c>
      <c r="BE16" s="10">
        <f t="shared" ca="1" si="3"/>
        <v>0</v>
      </c>
      <c r="BF16" s="10">
        <f t="shared" ca="1" si="4"/>
        <v>1</v>
      </c>
      <c r="BG16" s="15">
        <f ca="1">IF($BE16&lt;=0,ROUND(BK16*0.5,0), ROUND($BE16*S16*AA16*J16*AY16*0.8*[1]ステータス!$B$2,0))</f>
        <v>1720</v>
      </c>
      <c r="BH16" s="15">
        <f ca="1">IF($BE16&lt;=0,ROUND(BL16*0.5,0), ROUND($BE16*T16*AB16*K16*AZ16*0.8*[1]ステータス!$C$2,0))</f>
        <v>1063</v>
      </c>
      <c r="BI16" s="15">
        <f ca="1">IF($BE16&lt;=0,ROUND(BM16*0.5,0), ROUND($BE16*U16*AC16*L16*BA16*0.8*[1]ステータス!$D$2,0))</f>
        <v>0</v>
      </c>
      <c r="BJ16" s="15">
        <f ca="1">IF($BE16&lt;=0,ROUND(BN16*0.5,0), ROUND($BE16*V16*AD16*M16*BB16*0.8*[1]ステータス!$E$2,0))</f>
        <v>791</v>
      </c>
      <c r="BK16" s="10">
        <f ca="1">ROUND(BD16*S16*AA16*J16*AY16*[1]ステータス!$B$2,0)</f>
        <v>3439</v>
      </c>
      <c r="BL16" s="10">
        <f ca="1">ROUND(BD16*T16*AB16*K16*AZ16*[1]ステータス!$C$2,0)</f>
        <v>2126</v>
      </c>
      <c r="BM16" s="10">
        <f ca="1">ROUND(BD16*U16*AC16*L16*BA16*[1]ステータス!$D$2,0)</f>
        <v>0</v>
      </c>
      <c r="BN16" s="10">
        <f ca="1">ROUND(BD16*V16*AD16*M16*BB16*[1]ステータス!$E$2,0)</f>
        <v>1582</v>
      </c>
      <c r="BO16" s="9">
        <v>0</v>
      </c>
      <c r="BP16" s="9">
        <v>1</v>
      </c>
      <c r="BQ16" s="36" t="s">
        <v>47</v>
      </c>
      <c r="BR16" s="11">
        <f ca="1">VLOOKUP(H16,ghosts_label!$A$2:$B$19,2,FALSE)</f>
        <v>1</v>
      </c>
    </row>
    <row r="17" spans="1:70" ht="26" customHeight="1" x14ac:dyDescent="0.15">
      <c r="A17" s="186">
        <v>1237</v>
      </c>
      <c r="B17" s="53" t="str">
        <f ca="1">VLOOKUP($A17,OFFSET([1]characters!$A$1,0,0,COUNTA([1]characters!$A:$A),MATCH(B$1,[1]characters!$1:$1,0)-MATCH($A$1,[1]characters!$1:$1,0)+1),MATCH(B$1,[1]characters!$1:$1,0)-MATCH($A$1,[1]characters!$1:$1,0)+1,FALSE)</f>
        <v>夢茶の目付役 千利休</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5</v>
      </c>
      <c r="H17" s="53" t="str">
        <f ca="1">VLOOKUP($A17,OFFSET([1]characters!$A$1,0,0,COUNTA([1]characters!$A:$A),MATCH(H$1,[1]characters!$1:$1,0)-MATCH($A$1,[1]characters!$1:$1,0)+1),MATCH(H$1,[1]characters!$1:$1,0)-MATCH($A$1,[1]characters!$1:$1,0)+1,FALSE)</f>
        <v>Drop2N</v>
      </c>
      <c r="I17" s="53" t="str">
        <f ca="1">VLOOKUP($A17,OFFSET([1]characters!$A$1,0,0,COUNTA([1]characters!$A:$A),MATCH(I$1,[1]characters!$1:$1,0)-MATCH($A$1,[1]characters!$1:$1,0)+1),MATCH(I$1,[1]characters!$1:$1,0)-MATCH($A$1,[1]characters!$1:$1,0)+1,FALSE)</f>
        <v>yellow</v>
      </c>
      <c r="J17" s="10">
        <f ca="1">VLOOKUP(I17,[1]属性!$A:$E,2,FALSE)</f>
        <v>0.98</v>
      </c>
      <c r="K17" s="10">
        <f ca="1">VLOOKUP(I17,[1]属性!$A:$E,3,FALSE)</f>
        <v>1.01</v>
      </c>
      <c r="L17" s="10">
        <f ca="1">VLOOKUP(I17,[1]属性!$A:$E,4,FALSE)</f>
        <v>1</v>
      </c>
      <c r="M17" s="10">
        <f ca="1">VLOOKUP(I17,[1]属性!$A:$E,5,FALSE)</f>
        <v>1.01</v>
      </c>
      <c r="N17" s="10">
        <f ca="1">INDEX(コスト!$A$1:$I$21,MATCH(H17,コスト!$A$1:$A$21,FALSE),MATCH(G17,コスト!$A$1:$I$1,FALSE))</f>
        <v>26</v>
      </c>
      <c r="O17" s="10">
        <f ca="1">INDEX(レベル!$A$1:$I$22,MATCH(H17,レベル!$A$1:$A$22,FALSE),MATCH(G17,レベル!$A$1:$I$1,FALSE))</f>
        <v>80</v>
      </c>
      <c r="P17" s="44">
        <f t="shared" ca="1" si="19"/>
        <v>75</v>
      </c>
      <c r="Q17" s="53" t="str">
        <f ca="1">VLOOKUP($A17,OFFSET([1]characters!$A$1,0,0,COUNTA([1]characters!$A:$A),MATCH(Q$1,[1]characters!$1:$1,0)-MATCH($A$1,[1]characters!$1:$1,0)+1),MATCH(Q$1,[1]characters!$1:$1,0)-MATCH($A$1,[1]characters!$1:$1,0)+1,FALSE)</f>
        <v>balance</v>
      </c>
      <c r="R17" s="5" t="str">
        <f ca="1">VLOOKUP(Q17,[1]character_type_i18n!$A:$H,3,FALSE)</f>
        <v>バランスタイプ</v>
      </c>
      <c r="S17" s="10">
        <f ca="1">VLOOKUP(Q17,[1]character_type_i18n!$A:$H,4,FALSE)</f>
        <v>1</v>
      </c>
      <c r="T17" s="10">
        <f ca="1">VLOOKUP(Q17,[1]character_type_i18n!$A:$H,5,FALSE)</f>
        <v>1</v>
      </c>
      <c r="U17" s="10">
        <f ca="1">VLOOKUP(Q17,[1]character_type_i18n!$A:$H,6,FALSE)</f>
        <v>1</v>
      </c>
      <c r="V17" s="10">
        <f ca="1">VLOOKUP(Q17,[1]character_type_i18n!$A:$H,7,FALSE)</f>
        <v>1</v>
      </c>
      <c r="W17" s="53" t="str">
        <f ca="1">VLOOKUP($A17,OFFSET([1]characters!$A$1,0,0,COUNTA([1]characters!$A:$A),MATCH(W$1,[1]characters!$1:$1,0)-MATCH($A$1,[1]characters!$1:$1,0)+1),MATCH(W$1,[1]characters!$1:$1,0)-MATCH($A$1,[1]characters!$1:$1,0)+1,FALSE)</f>
        <v>unknown</v>
      </c>
      <c r="X17" s="5" t="str">
        <f ca="1">VLOOKUP(W17,[1]character_tribe_i18n!$A:$H,3,FALSE)</f>
        <v>Unknown</v>
      </c>
      <c r="Y17" s="53" t="str">
        <f ca="1">VLOOKUP($A17,OFFSET([1]characters!$A$1,0,0,COUNTA([1]characters!$A:$A),MATCH(Y$1,[1]characters!$1:$1,0)-MATCH($A$1,[1]characters!$1:$1,0)+1),MATCH(Y$1,[1]characters!$1:$1,0)-MATCH($A$1,[1]characters!$1:$1,0)+1,FALSE)</f>
        <v>none</v>
      </c>
      <c r="Z17" s="5" t="str">
        <f ca="1">VLOOKUP(Y17,[1]character_tribe_i18n!$A:$H,3,FALSE)</f>
        <v>種族なし</v>
      </c>
      <c r="AA17" s="10">
        <f ca="1">VLOOKUP(W17,[1]character_tribe_i18n!$A:$H,4,FALSE)</f>
        <v>1</v>
      </c>
      <c r="AB17" s="10">
        <f ca="1">VLOOKUP(W17,[1]character_tribe_i18n!$A:$H,5,FALSE)</f>
        <v>1</v>
      </c>
      <c r="AC17" s="10">
        <f ca="1">VLOOKUP(W17,[1]character_tribe_i18n!$A:$H,6,FALSE)</f>
        <v>1</v>
      </c>
      <c r="AD17" s="10">
        <f ca="1">VLOOKUP(W17,[1]character_tribe_i18n!$A:$H,7,FALSE)</f>
        <v>1</v>
      </c>
      <c r="AE17" s="187" t="s">
        <v>183</v>
      </c>
      <c r="AF17" s="58" t="str">
        <f ca="1">IF(AE17="NULL","",VLOOKUP($AE17,OFFSET([1]characters!$A$1,0,0,COUNTA([1]characters!$A:$A),MATCH(AF$1,[1]characters!$1:$1,0)-MATCH($A$1,[1]characters!$1:$1,0)+1),MATCH(AF$1,[1]characters!$1:$1,0)-MATCH($A$1,[1]characters!$1:$1,0)+1,FALSE))</f>
        <v/>
      </c>
      <c r="AG17" s="187">
        <v>1236</v>
      </c>
      <c r="AH17" s="58" t="str">
        <f ca="1">VLOOKUP($AG17,OFFSET([1]characters!$A$1,0,0,COUNTA([1]characters!$A:$A),MATCH(AH$1,[1]characters!$1:$1,0)-MATCH($A$1,[1]characters!$1:$1,0)+1),MATCH(AH$1,[1]characters!$1:$1,0)-MATCH($A$1,[1]characters!$1:$1,0)+1,FALSE)</f>
        <v>千利休</v>
      </c>
      <c r="AI17" s="10" t="str">
        <f>IF(AE17="NULL","NULL",VLOOKUP(G17,ビット!$A$2:$B$7,2))</f>
        <v>NULL</v>
      </c>
      <c r="AJ17" s="6">
        <v>2</v>
      </c>
      <c r="AK17" s="7" t="str">
        <f t="shared" si="20"/>
        <v>普通</v>
      </c>
      <c r="AL17" s="10" t="str">
        <f ca="1">INDEX(経験値!$A$1:$I$21,MATCH(H17,経験値!$A$1:$A$21,FALSE),MATCH(G17,経験値!$A$1:$I$1,FALSE))</f>
        <v>required_exp_200</v>
      </c>
      <c r="AM17" s="8">
        <f ca="1">VLOOKUP(G17,経験値!$A$28:$B$32,2)</f>
        <v>6400</v>
      </c>
      <c r="AN17" s="16">
        <f ca="1">VLOOKUP(G17,ビット!$G$2:$H$7,2)</f>
        <v>900</v>
      </c>
      <c r="AO17" s="41"/>
      <c r="AP17" s="63">
        <v>1237</v>
      </c>
      <c r="AQ17" s="53" t="str">
        <f ca="1">VLOOKUP($AP17,OFFSET(unit_skills!$A$1,0,0,COUNTA(unit_skills!$A:$A),MATCH(AQ$1,unit_skills!$1:$1,0)-MATCH($AP$1,unit_skills!$1:$1,0)+1),MATCH(AQ$1,unit_skills!$1:$1,0)-MATCH($AP$1,unit_skills!$1:$1,0)+1,FALSE)</f>
        <v>チャセン・スター・ジャミング</v>
      </c>
      <c r="AR17" s="53" t="str">
        <f ca="1">VLOOKUP($AP17,OFFSET(unit_skills!$A$1,0,0,COUNTA(unit_skills!$A:$A),MATCH(AR$1,unit_skills!$1:$1,0)-MATCH($AP$1,unit_skills!$1:$1,0)+1),MATCH(AR$1,unit_skills!$1:$1,0)-MATCH($AP$1,unit_skills!$1:$1,0)+1,FALSE)</f>
        <v>赤・青パネルを黄パネルに変換する</v>
      </c>
      <c r="AS17" s="53">
        <f ca="1">VLOOKUP($AP17,OFFSET(unit_skills!$A$1,0,0,COUNTA(unit_skills!$A:$A),MATCH(AS$1,unit_skills!$1:$1,0)-MATCH($AP$1,unit_skills!$1:$1,0)+1),MATCH(AS$1,unit_skills!$1:$1,0)-MATCH($AP$1,unit_skills!$1:$1,0)+1,FALSE)</f>
        <v>0</v>
      </c>
      <c r="AT17" s="63">
        <v>1237</v>
      </c>
      <c r="AU17" s="53" t="str">
        <f ca="1">VLOOKUP($AT17,OFFSET(crash_skills!$A$1,0,0,COUNTA(crash_skills!$A:$A),MATCH(AU$1,crash_skills!$1:$1,0)-MATCH($AT$1,crash_skills!$1:$1,0)+1),MATCH(AU$1,crash_skills!$1:$1,0)-MATCH($AT$1,crash_skills!$1:$1,0)+1,FALSE)</f>
        <v>バックエンド・エキスパート</v>
      </c>
      <c r="AV17" s="53" t="str">
        <f ca="1">VLOOKUP($AT17,OFFSET(crash_skills!$A$1,0,0,COUNTA(crash_skills!$A:$A),MATCH(AV$1,crash_skills!$1:$1,0)-MATCH($AT$1,crash_skills!$1:$1,0)+1),MATCH(AV$1,crash_skills!$1:$1,0)-MATCH($AT$1,crash_skills!$1:$1,0)+1,FALSE)</f>
        <v>1体に特大ダメージ</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3</v>
      </c>
      <c r="AY17" s="64">
        <v>1.21</v>
      </c>
      <c r="AZ17" s="64">
        <v>1.21</v>
      </c>
      <c r="BA17" s="64">
        <v>0</v>
      </c>
      <c r="BB17" s="64">
        <v>1.08</v>
      </c>
      <c r="BC17" s="10">
        <f ca="1">INDEX('RC6SV'!$A$1:$G$21,MATCH(H17,'RC6SV'!$A$1:$A$21,FALSE),MATCH(G17,'RC6SV'!$A$1:$G$1,FALSE))</f>
        <v>7600</v>
      </c>
      <c r="BD17" s="44">
        <f t="shared" ca="1" si="21"/>
        <v>7600</v>
      </c>
      <c r="BE17" s="10">
        <f t="shared" ca="1" si="3"/>
        <v>5800</v>
      </c>
      <c r="BF17" s="10">
        <f t="shared" ca="1" si="4"/>
        <v>1</v>
      </c>
      <c r="BG17" s="15">
        <f ca="1">IF($BE17&lt;=0,ROUND(BK17*0.5,0), ROUND($BE17*S17*AA17*J17*AY17*0.8*[1]ステータス!$B$2,0))</f>
        <v>2751</v>
      </c>
      <c r="BH17" s="15">
        <f ca="1">IF($BE17&lt;=0,ROUND(BL17*0.5,0), ROUND($BE17*T17*AB17*K17*AZ17*0.8*[1]ステータス!$C$2,0))</f>
        <v>1701</v>
      </c>
      <c r="BI17" s="15">
        <f ca="1">IF($BE17&lt;=0,ROUND(BM17*0.5,0), ROUND($BE17*U17*AC17*L17*BA17*0.8*[1]ステータス!$D$2,0))</f>
        <v>0</v>
      </c>
      <c r="BJ17" s="15">
        <f ca="1">IF($BE17&lt;=0,ROUND(BN17*0.5,0), ROUND($BE17*V17*AD17*M17*BB17*0.8*[1]ステータス!$E$2,0))</f>
        <v>1265</v>
      </c>
      <c r="BK17" s="10">
        <f ca="1">ROUND(BD17*S17*AA17*J17*AY17*[1]ステータス!$B$2,0)</f>
        <v>4506</v>
      </c>
      <c r="BL17" s="10">
        <f ca="1">ROUND(BD17*T17*AB17*K17*AZ17*[1]ステータス!$C$2,0)</f>
        <v>2786</v>
      </c>
      <c r="BM17" s="10">
        <f ca="1">ROUND(BD17*U17*AC17*L17*BA17*[1]ステータス!$D$2,0)</f>
        <v>0</v>
      </c>
      <c r="BN17" s="10">
        <f ca="1">ROUND(BD17*V17*AD17*M17*BB17*[1]ステータス!$E$2,0)</f>
        <v>2073</v>
      </c>
      <c r="BO17" s="9">
        <v>0</v>
      </c>
      <c r="BP17" s="9">
        <v>1</v>
      </c>
      <c r="BQ17" s="9" t="s">
        <v>47</v>
      </c>
      <c r="BR17" s="11">
        <f ca="1">VLOOKUP(H17,ghosts_label!$A$2:$B$19,2,FALSE)</f>
        <v>1</v>
      </c>
    </row>
  </sheetData>
  <autoFilter ref="A1:BQ1"/>
  <phoneticPr fontId="10"/>
  <conditionalFormatting sqref="BO1">
    <cfRule type="cellIs" dxfId="66" priority="120" stopIfTrue="1" operator="equal">
      <formula>1</formula>
    </cfRule>
  </conditionalFormatting>
  <conditionalFormatting sqref="BQ1">
    <cfRule type="cellIs" dxfId="6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7"/>
  <sheetViews>
    <sheetView showGridLines="0" workbookViewId="0">
      <pane xSplit="4" ySplit="1" topLeftCell="F2" activePane="bottomRight" state="frozen"/>
      <selection pane="topRight" activeCell="D1" sqref="D1"/>
      <selection pane="bottomLeft" activeCell="A2" sqref="A2"/>
      <selection pane="bottomRight" activeCell="D15" sqref="D15"/>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1244</v>
      </c>
      <c r="B2" s="129" t="s">
        <v>185</v>
      </c>
      <c r="C2" s="188" t="s">
        <v>365</v>
      </c>
      <c r="D2" s="188" t="s">
        <v>450</v>
      </c>
      <c r="E2" s="131">
        <f t="shared" ref="E2" si="0">LEN(D2)</f>
        <v>40</v>
      </c>
      <c r="F2" s="63">
        <v>12</v>
      </c>
      <c r="G2" s="113">
        <v>5</v>
      </c>
      <c r="H2" s="132">
        <f>2001</f>
        <v>2001</v>
      </c>
      <c r="I2" s="189" t="s">
        <v>446</v>
      </c>
      <c r="J2" s="53" t="str">
        <f ca="1">VLOOKUP($A2,OFFSET([1]characters!$A$1,0,0,COUNTA([1]characters!$A:$A),MATCH("name",[1]characters!$1:$1,0)-MATCH("character_id",[1]characters!$1:$1,0)+1),MATCH("name",[1]characters!$1:$1,0)-MATCH("character_id",[1]characters!$1:$1,0)+1,FALSE)</f>
        <v>猿飛佐助</v>
      </c>
      <c r="K2" s="133">
        <f>IFERROR(VLOOKUP(A2,[1]characters!$A:$R,18),0)</f>
        <v>3</v>
      </c>
      <c r="L2" s="134"/>
      <c r="M2" s="135"/>
      <c r="N2" s="135"/>
      <c r="O2" s="135"/>
      <c r="P2" s="135"/>
      <c r="Q2" s="135"/>
      <c r="R2" s="130"/>
      <c r="S2" s="136"/>
    </row>
    <row r="3" spans="1:19" ht="21" customHeight="1" x14ac:dyDescent="0.15">
      <c r="A3" s="186">
        <v>1245</v>
      </c>
      <c r="B3" s="129" t="s">
        <v>185</v>
      </c>
      <c r="C3" s="188" t="s">
        <v>364</v>
      </c>
      <c r="D3" s="188" t="s">
        <v>449</v>
      </c>
      <c r="E3" s="131">
        <f t="shared" ref="E3:E4" si="1">LEN(D3)</f>
        <v>55</v>
      </c>
      <c r="F3" s="63">
        <v>11</v>
      </c>
      <c r="G3" s="113">
        <v>5</v>
      </c>
      <c r="H3" s="132">
        <f>2001</f>
        <v>2001</v>
      </c>
      <c r="I3" s="189" t="s">
        <v>447</v>
      </c>
      <c r="J3" s="53" t="str">
        <f ca="1">VLOOKUP($A3,OFFSET([1]characters!$A$1,0,0,COUNTA([1]characters!$A:$A),MATCH("name",[1]characters!$1:$1,0)-MATCH("character_id",[1]characters!$1:$1,0)+1),MATCH("name",[1]characters!$1:$1,0)-MATCH("character_id",[1]characters!$1:$1,0)+1,FALSE)</f>
        <v>甲火の特殊忍 猿飛佐助</v>
      </c>
      <c r="K3" s="133">
        <f>IFERROR(VLOOKUP(A3,[1]characters!$A:$R,18),0)</f>
        <v>3</v>
      </c>
      <c r="L3" s="134"/>
      <c r="M3" s="135"/>
      <c r="N3" s="135"/>
      <c r="O3" s="135"/>
      <c r="P3" s="135"/>
      <c r="Q3" s="135"/>
      <c r="R3" s="130"/>
      <c r="S3" s="136"/>
    </row>
    <row r="4" spans="1:19" ht="21" customHeight="1" x14ac:dyDescent="0.15">
      <c r="A4" s="186">
        <v>1246</v>
      </c>
      <c r="B4" s="129" t="s">
        <v>185</v>
      </c>
      <c r="C4" s="188" t="s">
        <v>366</v>
      </c>
      <c r="D4" s="188" t="s">
        <v>454</v>
      </c>
      <c r="E4" s="131">
        <f t="shared" si="1"/>
        <v>56</v>
      </c>
      <c r="F4" s="63">
        <v>12</v>
      </c>
      <c r="G4" s="113">
        <v>5</v>
      </c>
      <c r="H4" s="132">
        <f>2001</f>
        <v>2001</v>
      </c>
      <c r="I4" s="189" t="s">
        <v>448</v>
      </c>
      <c r="J4" s="53" t="str">
        <f ca="1">VLOOKUP($A4,OFFSET([1]characters!$A$1,0,0,COUNTA([1]characters!$A:$A),MATCH("name",[1]characters!$1:$1,0)-MATCH("character_id",[1]characters!$1:$1,0)+1),MATCH("name",[1]characters!$1:$1,0)-MATCH("character_id",[1]characters!$1:$1,0)+1,FALSE)</f>
        <v>望月千代女</v>
      </c>
      <c r="K4" s="133">
        <f>IFERROR(VLOOKUP(A4,[1]characters!$A:$R,18),0)</f>
        <v>3</v>
      </c>
      <c r="L4" s="134"/>
      <c r="M4" s="135"/>
      <c r="N4" s="135"/>
      <c r="O4" s="135"/>
      <c r="P4" s="135"/>
      <c r="Q4" s="135"/>
      <c r="R4" s="130"/>
      <c r="S4" s="136"/>
    </row>
    <row r="5" spans="1:19" ht="21" customHeight="1" x14ac:dyDescent="0.15">
      <c r="A5" s="186">
        <v>1247</v>
      </c>
      <c r="B5" s="129" t="s">
        <v>185</v>
      </c>
      <c r="C5" s="188" t="s">
        <v>367</v>
      </c>
      <c r="D5" s="188" t="s">
        <v>460</v>
      </c>
      <c r="E5" s="131">
        <f t="shared" ref="E5:E6" si="2">LEN(D5)</f>
        <v>61</v>
      </c>
      <c r="F5" s="63">
        <v>11</v>
      </c>
      <c r="G5" s="113">
        <v>5</v>
      </c>
      <c r="H5" s="132">
        <f>2001</f>
        <v>2001</v>
      </c>
      <c r="I5" s="189" t="s">
        <v>452</v>
      </c>
      <c r="J5" s="53" t="str">
        <f ca="1">VLOOKUP($A5,OFFSET([1]characters!$A$1,0,0,COUNTA([1]characters!$A:$A),MATCH("name",[1]characters!$1:$1,0)-MATCH("character_id",[1]characters!$1:$1,0)+1),MATCH("name",[1]characters!$1:$1,0)-MATCH("character_id",[1]characters!$1:$1,0)+1,FALSE)</f>
        <v>潜情のくノ一 望月千代女</v>
      </c>
      <c r="K5" s="133">
        <f>IFERROR(VLOOKUP(A5,[1]characters!$A:$R,18),0)</f>
        <v>3</v>
      </c>
      <c r="L5" s="134"/>
      <c r="M5" s="135"/>
      <c r="N5" s="135"/>
      <c r="O5" s="135"/>
      <c r="P5" s="135"/>
      <c r="Q5" s="135"/>
      <c r="R5" s="130"/>
      <c r="S5" s="136"/>
    </row>
    <row r="6" spans="1:19" ht="21" customHeight="1" x14ac:dyDescent="0.15">
      <c r="A6" s="186">
        <v>1238</v>
      </c>
      <c r="B6" s="129" t="s">
        <v>185</v>
      </c>
      <c r="C6" s="188" t="s">
        <v>368</v>
      </c>
      <c r="D6" s="188" t="s">
        <v>469</v>
      </c>
      <c r="E6" s="131">
        <f t="shared" si="2"/>
        <v>32</v>
      </c>
      <c r="F6" s="63">
        <v>15</v>
      </c>
      <c r="G6" s="113">
        <v>7</v>
      </c>
      <c r="H6" s="132">
        <f>2001</f>
        <v>2001</v>
      </c>
      <c r="I6" s="189" t="s">
        <v>467</v>
      </c>
      <c r="J6" s="53" t="str">
        <f ca="1">VLOOKUP($A6,OFFSET([1]characters!$A$1,0,0,COUNTA([1]characters!$A:$A),MATCH("name",[1]characters!$1:$1,0)-MATCH("character_id",[1]characters!$1:$1,0)+1),MATCH("name",[1]characters!$1:$1,0)-MATCH("character_id",[1]characters!$1:$1,0)+1,FALSE)</f>
        <v>服部半蔵</v>
      </c>
      <c r="K6" s="133">
        <f>IFERROR(VLOOKUP(A6,[1]characters!$A:$R,18),0)</f>
        <v>3</v>
      </c>
      <c r="L6" s="134"/>
      <c r="M6" s="135"/>
      <c r="N6" s="135"/>
      <c r="O6" s="135"/>
      <c r="P6" s="135"/>
      <c r="Q6" s="135"/>
      <c r="R6" s="130"/>
      <c r="S6" s="136"/>
    </row>
    <row r="7" spans="1:19" ht="21" customHeight="1" x14ac:dyDescent="0.15">
      <c r="A7" s="186">
        <v>1239</v>
      </c>
      <c r="B7" s="129" t="s">
        <v>185</v>
      </c>
      <c r="C7" s="188" t="s">
        <v>369</v>
      </c>
      <c r="D7" s="188" t="s">
        <v>470</v>
      </c>
      <c r="E7" s="131">
        <f t="shared" ref="E7:E8" si="3">LEN(D7)</f>
        <v>32</v>
      </c>
      <c r="F7" s="63">
        <v>14</v>
      </c>
      <c r="G7" s="113">
        <v>7</v>
      </c>
      <c r="H7" s="132">
        <f>2001</f>
        <v>2001</v>
      </c>
      <c r="I7" s="189" t="s">
        <v>468</v>
      </c>
      <c r="J7" s="53" t="str">
        <f ca="1">VLOOKUP($A7,OFFSET([1]characters!$A$1,0,0,COUNTA([1]characters!$A:$A),MATCH("name",[1]characters!$1:$1,0)-MATCH("character_id",[1]characters!$1:$1,0)+1),MATCH("name",[1]characters!$1:$1,0)-MATCH("character_id",[1]characters!$1:$1,0)+1,FALSE)</f>
        <v>音無の機密忍 服部半蔵</v>
      </c>
      <c r="K7" s="133">
        <f>IFERROR(VLOOKUP(A7,[1]characters!$A:$R,18),0)</f>
        <v>3</v>
      </c>
      <c r="L7" s="134"/>
      <c r="M7" s="135"/>
      <c r="N7" s="135"/>
      <c r="O7" s="135"/>
      <c r="P7" s="135"/>
      <c r="Q7" s="135"/>
      <c r="R7" s="130"/>
      <c r="S7" s="136"/>
    </row>
    <row r="8" spans="1:19" ht="21" customHeight="1" x14ac:dyDescent="0.15">
      <c r="A8" s="186">
        <v>1240</v>
      </c>
      <c r="B8" s="129" t="s">
        <v>185</v>
      </c>
      <c r="C8" s="188" t="s">
        <v>370</v>
      </c>
      <c r="D8" s="188" t="s">
        <v>443</v>
      </c>
      <c r="E8" s="131">
        <f t="shared" si="3"/>
        <v>45</v>
      </c>
      <c r="F8" s="63">
        <v>14</v>
      </c>
      <c r="G8" s="113">
        <v>7</v>
      </c>
      <c r="H8" s="132">
        <f>2001</f>
        <v>2001</v>
      </c>
      <c r="I8" s="189" t="s">
        <v>441</v>
      </c>
      <c r="J8" s="53" t="str">
        <f ca="1">VLOOKUP($A8,OFFSET([1]characters!$A$1,0,0,COUNTA([1]characters!$A:$A),MATCH("name",[1]characters!$1:$1,0)-MATCH("character_id",[1]characters!$1:$1,0)+1),MATCH("name",[1]characters!$1:$1,0)-MATCH("character_id",[1]characters!$1:$1,0)+1,FALSE)</f>
        <v>竹中半兵衛</v>
      </c>
      <c r="K8" s="133">
        <f>IFERROR(VLOOKUP(A8,[1]characters!$A:$R,18),0)</f>
        <v>3</v>
      </c>
      <c r="L8" s="134"/>
      <c r="M8" s="135"/>
      <c r="N8" s="135"/>
      <c r="O8" s="135"/>
      <c r="P8" s="135"/>
      <c r="Q8" s="135"/>
      <c r="R8" s="130"/>
      <c r="S8" s="136"/>
    </row>
    <row r="9" spans="1:19" ht="21" customHeight="1" x14ac:dyDescent="0.15">
      <c r="A9" s="186">
        <v>1241</v>
      </c>
      <c r="B9" s="129" t="s">
        <v>185</v>
      </c>
      <c r="C9" s="188" t="s">
        <v>371</v>
      </c>
      <c r="D9" s="188" t="s">
        <v>444</v>
      </c>
      <c r="E9" s="131">
        <f t="shared" ref="E9:E14" si="4">LEN(D9)</f>
        <v>60</v>
      </c>
      <c r="F9" s="63">
        <v>13</v>
      </c>
      <c r="G9" s="113">
        <v>7</v>
      </c>
      <c r="H9" s="132">
        <f>2001</f>
        <v>2001</v>
      </c>
      <c r="I9" s="189" t="s">
        <v>442</v>
      </c>
      <c r="J9" s="53" t="str">
        <f ca="1">VLOOKUP($A9,OFFSET([1]characters!$A$1,0,0,COUNTA([1]characters!$A:$A),MATCH("name",[1]characters!$1:$1,0)-MATCH("character_id",[1]characters!$1:$1,0)+1),MATCH("name",[1]characters!$1:$1,0)-MATCH("character_id",[1]characters!$1:$1,0)+1,FALSE)</f>
        <v>巧妙なる嬢舌 竹中半兵衛</v>
      </c>
      <c r="K9" s="133">
        <f>IFERROR(VLOOKUP(A9,[1]characters!$A:$R,18),0)</f>
        <v>3</v>
      </c>
      <c r="L9" s="134"/>
      <c r="M9" s="135"/>
      <c r="N9" s="135"/>
      <c r="O9" s="135"/>
      <c r="P9" s="135"/>
      <c r="Q9" s="135"/>
      <c r="R9" s="130"/>
      <c r="S9" s="136"/>
    </row>
    <row r="10" spans="1:19" ht="21" customHeight="1" x14ac:dyDescent="0.15">
      <c r="A10" s="186">
        <v>1242</v>
      </c>
      <c r="B10" s="129" t="s">
        <v>185</v>
      </c>
      <c r="C10" s="188" t="s">
        <v>372</v>
      </c>
      <c r="D10" s="188" t="s">
        <v>464</v>
      </c>
      <c r="E10" s="131">
        <f t="shared" si="4"/>
        <v>60</v>
      </c>
      <c r="F10" s="63">
        <v>25</v>
      </c>
      <c r="G10" s="113">
        <v>17</v>
      </c>
      <c r="H10" s="132">
        <f>2001</f>
        <v>2001</v>
      </c>
      <c r="I10" s="189" t="s">
        <v>463</v>
      </c>
      <c r="J10" s="53" t="str">
        <f ca="1">VLOOKUP($A10,OFFSET([1]characters!$A$1,0,0,COUNTA([1]characters!$A:$A),MATCH("name",[1]characters!$1:$1,0)-MATCH("character_id",[1]characters!$1:$1,0)+1),MATCH("name",[1]characters!$1:$1,0)-MATCH("character_id",[1]characters!$1:$1,0)+1,FALSE)</f>
        <v>豊臣秀吉</v>
      </c>
      <c r="K10" s="133">
        <f>IFERROR(VLOOKUP(A10,[1]characters!$A:$R,18),0)</f>
        <v>3</v>
      </c>
      <c r="L10" s="134"/>
      <c r="M10" s="135"/>
      <c r="N10" s="135"/>
      <c r="O10" s="135"/>
      <c r="P10" s="135"/>
      <c r="Q10" s="135"/>
      <c r="R10" s="130"/>
      <c r="S10" s="136"/>
    </row>
    <row r="11" spans="1:19" ht="21" customHeight="1" x14ac:dyDescent="0.15">
      <c r="A11" s="186">
        <v>1243</v>
      </c>
      <c r="B11" s="129" t="s">
        <v>185</v>
      </c>
      <c r="C11" s="188" t="s">
        <v>373</v>
      </c>
      <c r="D11" s="188" t="s">
        <v>465</v>
      </c>
      <c r="E11" s="131">
        <f t="shared" si="4"/>
        <v>60</v>
      </c>
      <c r="F11" s="63">
        <v>24</v>
      </c>
      <c r="G11" s="113">
        <v>17</v>
      </c>
      <c r="H11" s="132">
        <f>2001</f>
        <v>2001</v>
      </c>
      <c r="I11" s="189" t="s">
        <v>466</v>
      </c>
      <c r="J11" s="53" t="str">
        <f ca="1">VLOOKUP($A11,OFFSET([1]characters!$A$1,0,0,COUNTA([1]characters!$A:$A),MATCH("name",[1]characters!$1:$1,0)-MATCH("character_id",[1]characters!$1:$1,0)+1),MATCH("name",[1]characters!$1:$1,0)-MATCH("character_id",[1]characters!$1:$1,0)+1,FALSE)</f>
        <v>新世覇の昇竜 豊臣秀吉</v>
      </c>
      <c r="K11" s="133">
        <f>IFERROR(VLOOKUP(A11,[1]characters!$A:$R,18),0)</f>
        <v>3</v>
      </c>
      <c r="L11" s="134"/>
      <c r="M11" s="135"/>
      <c r="N11" s="135"/>
      <c r="O11" s="135"/>
      <c r="P11" s="135"/>
      <c r="Q11" s="135"/>
      <c r="R11" s="130"/>
      <c r="S11" s="136"/>
    </row>
    <row r="12" spans="1:19" ht="21" customHeight="1" x14ac:dyDescent="0.15">
      <c r="A12" s="186">
        <v>1248</v>
      </c>
      <c r="B12" s="129" t="s">
        <v>185</v>
      </c>
      <c r="C12" s="188" t="s">
        <v>374</v>
      </c>
      <c r="D12" s="188" t="s">
        <v>451</v>
      </c>
      <c r="E12" s="131">
        <f t="shared" si="4"/>
        <v>38</v>
      </c>
      <c r="F12" s="63">
        <v>12</v>
      </c>
      <c r="G12" s="113">
        <v>5</v>
      </c>
      <c r="H12" s="132">
        <f>2001</f>
        <v>2001</v>
      </c>
      <c r="I12" s="189" t="s">
        <v>457</v>
      </c>
      <c r="J12" s="53" t="str">
        <f ca="1">VLOOKUP($A12,OFFSET([1]characters!$A$1,0,0,COUNTA([1]characters!$A:$A),MATCH("name",[1]characters!$1:$1,0)-MATCH("character_id",[1]characters!$1:$1,0)+1),MATCH("name",[1]characters!$1:$1,0)-MATCH("character_id",[1]characters!$1:$1,0)+1,FALSE)</f>
        <v>寧々</v>
      </c>
      <c r="K12" s="133">
        <f>IFERROR(VLOOKUP(A12,[1]characters!$A:$R,18),0)</f>
        <v>3</v>
      </c>
      <c r="L12" s="134"/>
      <c r="M12" s="135"/>
      <c r="N12" s="135"/>
      <c r="O12" s="135"/>
      <c r="P12" s="135"/>
      <c r="Q12" s="135"/>
      <c r="R12" s="130"/>
      <c r="S12" s="136"/>
    </row>
    <row r="13" spans="1:19" ht="21" customHeight="1" x14ac:dyDescent="0.15">
      <c r="A13" s="186">
        <v>1249</v>
      </c>
      <c r="B13" s="129" t="s">
        <v>185</v>
      </c>
      <c r="C13" s="188" t="s">
        <v>375</v>
      </c>
      <c r="D13" s="188" t="s">
        <v>459</v>
      </c>
      <c r="E13" s="131">
        <f t="shared" si="4"/>
        <v>51</v>
      </c>
      <c r="F13" s="63">
        <v>11</v>
      </c>
      <c r="G13" s="113">
        <v>5</v>
      </c>
      <c r="H13" s="132">
        <f>2001</f>
        <v>2001</v>
      </c>
      <c r="I13" s="189" t="s">
        <v>458</v>
      </c>
      <c r="J13" s="53" t="str">
        <f ca="1">VLOOKUP($A13,OFFSET([1]characters!$A$1,0,0,COUNTA([1]characters!$A:$A),MATCH("name",[1]characters!$1:$1,0)-MATCH("character_id",[1]characters!$1:$1,0)+1),MATCH("name",[1]characters!$1:$1,0)-MATCH("character_id",[1]characters!$1:$1,0)+1,FALSE)</f>
        <v>君臨する姐御様 寧々</v>
      </c>
      <c r="K13" s="133">
        <f>IFERROR(VLOOKUP(A13,[1]characters!$A:$R,18),0)</f>
        <v>3</v>
      </c>
      <c r="L13" s="134"/>
      <c r="M13" s="135"/>
      <c r="N13" s="135"/>
      <c r="O13" s="135"/>
      <c r="P13" s="135"/>
      <c r="Q13" s="135"/>
      <c r="R13" s="130"/>
      <c r="S13" s="136"/>
    </row>
    <row r="14" spans="1:19" ht="21" customHeight="1" x14ac:dyDescent="0.15">
      <c r="A14" s="186">
        <v>1250</v>
      </c>
      <c r="B14" s="129" t="s">
        <v>185</v>
      </c>
      <c r="C14" s="188" t="s">
        <v>376</v>
      </c>
      <c r="D14" s="188" t="s">
        <v>453</v>
      </c>
      <c r="E14" s="131">
        <f t="shared" si="4"/>
        <v>25</v>
      </c>
      <c r="F14" s="63">
        <v>12</v>
      </c>
      <c r="G14" s="113">
        <v>5</v>
      </c>
      <c r="H14" s="132">
        <f>2001</f>
        <v>2001</v>
      </c>
      <c r="I14" s="189" t="s">
        <v>440</v>
      </c>
      <c r="J14" s="53" t="str">
        <f ca="1">VLOOKUP($A14,OFFSET([1]characters!$A$1,0,0,COUNTA([1]characters!$A:$A),MATCH("name",[1]characters!$1:$1,0)-MATCH("character_id",[1]characters!$1:$1,0)+1),MATCH("name",[1]characters!$1:$1,0)-MATCH("character_id",[1]characters!$1:$1,0)+1,FALSE)</f>
        <v>真田幸村</v>
      </c>
      <c r="K14" s="133">
        <f>IFERROR(VLOOKUP(A14,[1]characters!$A:$R,18),0)</f>
        <v>3</v>
      </c>
      <c r="L14" s="134"/>
      <c r="M14" s="135"/>
      <c r="N14" s="135"/>
      <c r="O14" s="135"/>
      <c r="P14" s="135"/>
      <c r="Q14" s="135"/>
      <c r="R14" s="130"/>
      <c r="S14" s="136"/>
    </row>
    <row r="15" spans="1:19" ht="21" customHeight="1" x14ac:dyDescent="0.15">
      <c r="A15" s="186">
        <v>1251</v>
      </c>
      <c r="B15" s="129" t="s">
        <v>185</v>
      </c>
      <c r="C15" s="188" t="s">
        <v>377</v>
      </c>
      <c r="D15" s="188" t="s">
        <v>477</v>
      </c>
      <c r="E15" s="131">
        <f t="shared" ref="E15:E17" si="5">LEN(D15)</f>
        <v>65</v>
      </c>
      <c r="F15" s="63">
        <v>11</v>
      </c>
      <c r="G15" s="113">
        <v>5</v>
      </c>
      <c r="H15" s="132">
        <f>2001</f>
        <v>2001</v>
      </c>
      <c r="I15" s="189" t="s">
        <v>476</v>
      </c>
      <c r="J15" s="53" t="str">
        <f ca="1">VLOOKUP($A15,OFFSET([1]characters!$A$1,0,0,COUNTA([1]characters!$A:$A),MATCH("name",[1]characters!$1:$1,0)-MATCH("character_id",[1]characters!$1:$1,0)+1),MATCH("name",[1]characters!$1:$1,0)-MATCH("character_id",[1]characters!$1:$1,0)+1,FALSE)</f>
        <v>錯槍の英勇 真田幸村</v>
      </c>
      <c r="K15" s="133">
        <f>IFERROR(VLOOKUP(A15,[1]characters!$A:$R,18),0)</f>
        <v>3</v>
      </c>
      <c r="L15" s="134"/>
      <c r="M15" s="135"/>
      <c r="N15" s="135"/>
      <c r="O15" s="135"/>
      <c r="P15" s="135"/>
      <c r="Q15" s="135"/>
      <c r="R15" s="130"/>
      <c r="S15" s="136"/>
    </row>
    <row r="16" spans="1:19" ht="21" customHeight="1" x14ac:dyDescent="0.15">
      <c r="A16" s="186">
        <v>1236</v>
      </c>
      <c r="B16" s="129" t="s">
        <v>185</v>
      </c>
      <c r="C16" s="188" t="s">
        <v>378</v>
      </c>
      <c r="D16" s="188" t="s">
        <v>357</v>
      </c>
      <c r="E16" s="131">
        <f t="shared" si="5"/>
        <v>29</v>
      </c>
      <c r="F16" s="63">
        <v>11</v>
      </c>
      <c r="G16" s="113">
        <v>5</v>
      </c>
      <c r="H16" s="132">
        <f>2001</f>
        <v>2001</v>
      </c>
      <c r="I16" s="189" t="s">
        <v>359</v>
      </c>
      <c r="J16" s="53" t="str">
        <f ca="1">VLOOKUP($A16,OFFSET([1]characters!$A$1,0,0,COUNTA([1]characters!$A:$A),MATCH("name",[1]characters!$1:$1,0)-MATCH("character_id",[1]characters!$1:$1,0)+1),MATCH("name",[1]characters!$1:$1,0)-MATCH("character_id",[1]characters!$1:$1,0)+1,FALSE)</f>
        <v>千利休</v>
      </c>
      <c r="K16" s="133">
        <f>IFERROR(VLOOKUP(A16,[1]characters!$A:$R,18),0)</f>
        <v>3</v>
      </c>
      <c r="L16" s="134"/>
      <c r="M16" s="135"/>
      <c r="N16" s="135"/>
      <c r="O16" s="135"/>
      <c r="P16" s="135"/>
      <c r="Q16" s="135"/>
      <c r="R16" s="130"/>
      <c r="S16" s="136"/>
    </row>
    <row r="17" spans="1:19" ht="21" customHeight="1" x14ac:dyDescent="0.15">
      <c r="A17" s="186">
        <v>1237</v>
      </c>
      <c r="B17" s="129" t="s">
        <v>185</v>
      </c>
      <c r="C17" s="188" t="s">
        <v>379</v>
      </c>
      <c r="D17" s="188" t="s">
        <v>358</v>
      </c>
      <c r="E17" s="131">
        <f t="shared" si="5"/>
        <v>16</v>
      </c>
      <c r="F17" s="63">
        <v>10</v>
      </c>
      <c r="G17" s="113">
        <v>5</v>
      </c>
      <c r="H17" s="132">
        <f>2001</f>
        <v>2001</v>
      </c>
      <c r="I17" s="189" t="s">
        <v>360</v>
      </c>
      <c r="J17" s="53" t="str">
        <f ca="1">VLOOKUP($A17,OFFSET([1]characters!$A$1,0,0,COUNTA([1]characters!$A:$A),MATCH("name",[1]characters!$1:$1,0)-MATCH("character_id",[1]characters!$1:$1,0)+1),MATCH("name",[1]characters!$1:$1,0)-MATCH("character_id",[1]characters!$1:$1,0)+1,FALSE)</f>
        <v>夢茶の目付役 千利休</v>
      </c>
      <c r="K17" s="133">
        <f>IFERROR(VLOOKUP(A17,[1]characters!$A:$R,18),0)</f>
        <v>3</v>
      </c>
      <c r="L17" s="134"/>
      <c r="M17" s="135"/>
      <c r="N17" s="135"/>
      <c r="O17" s="135"/>
      <c r="P17" s="135"/>
      <c r="Q17" s="135"/>
      <c r="R17" s="130"/>
      <c r="S17" s="136"/>
    </row>
  </sheetData>
  <sheetProtection selectLockedCells="1" selectUnlockedCells="1"/>
  <autoFilter ref="A1:S1">
    <sortState ref="A2:T432">
      <sortCondition ref="A1:A432"/>
    </sortState>
  </autoFilter>
  <phoneticPr fontId="22"/>
  <conditionalFormatting sqref="E1 E18:E1048576">
    <cfRule type="cellIs" dxfId="64" priority="40" operator="greaterThan">
      <formula>41</formula>
    </cfRule>
  </conditionalFormatting>
  <conditionalFormatting sqref="E2">
    <cfRule type="cellIs" dxfId="63" priority="34" operator="greaterThan">
      <formula>41</formula>
    </cfRule>
  </conditionalFormatting>
  <conditionalFormatting sqref="E3">
    <cfRule type="cellIs" dxfId="62" priority="33" operator="greaterThan">
      <formula>41</formula>
    </cfRule>
  </conditionalFormatting>
  <conditionalFormatting sqref="E4">
    <cfRule type="cellIs" dxfId="61" priority="16" operator="greaterThan">
      <formula>41</formula>
    </cfRule>
  </conditionalFormatting>
  <conditionalFormatting sqref="E5">
    <cfRule type="cellIs" dxfId="60" priority="15" operator="greaterThan">
      <formula>41</formula>
    </cfRule>
  </conditionalFormatting>
  <conditionalFormatting sqref="E6">
    <cfRule type="cellIs" dxfId="59" priority="12" operator="greaterThan">
      <formula>41</formula>
    </cfRule>
  </conditionalFormatting>
  <conditionalFormatting sqref="E7">
    <cfRule type="cellIs" dxfId="58" priority="11" operator="greaterThan">
      <formula>41</formula>
    </cfRule>
  </conditionalFormatting>
  <conditionalFormatting sqref="E8">
    <cfRule type="cellIs" dxfId="57" priority="10" operator="greaterThan">
      <formula>41</formula>
    </cfRule>
  </conditionalFormatting>
  <conditionalFormatting sqref="E9">
    <cfRule type="cellIs" dxfId="56" priority="9" operator="greaterThan">
      <formula>41</formula>
    </cfRule>
  </conditionalFormatting>
  <conditionalFormatting sqref="E10">
    <cfRule type="cellIs" dxfId="55" priority="8" operator="greaterThan">
      <formula>41</formula>
    </cfRule>
  </conditionalFormatting>
  <conditionalFormatting sqref="E11">
    <cfRule type="cellIs" dxfId="54" priority="7" operator="greaterThan">
      <formula>41</formula>
    </cfRule>
  </conditionalFormatting>
  <conditionalFormatting sqref="E12">
    <cfRule type="cellIs" dxfId="53" priority="6" operator="greaterThan">
      <formula>41</formula>
    </cfRule>
  </conditionalFormatting>
  <conditionalFormatting sqref="E13">
    <cfRule type="cellIs" dxfId="52" priority="5" operator="greaterThan">
      <formula>41</formula>
    </cfRule>
  </conditionalFormatting>
  <conditionalFormatting sqref="E14">
    <cfRule type="cellIs" dxfId="51" priority="4" operator="greaterThan">
      <formula>41</formula>
    </cfRule>
  </conditionalFormatting>
  <conditionalFormatting sqref="E15">
    <cfRule type="cellIs" dxfId="50" priority="3" operator="greaterThan">
      <formula>41</formula>
    </cfRule>
  </conditionalFormatting>
  <conditionalFormatting sqref="E16">
    <cfRule type="cellIs" dxfId="49" priority="2" operator="greaterThan">
      <formula>41</formula>
    </cfRule>
  </conditionalFormatting>
  <conditionalFormatting sqref="E17">
    <cfRule type="cellIs" dxfId="48"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7"/>
  <sheetViews>
    <sheetView showGridLines="0" workbookViewId="0">
      <pane xSplit="4" ySplit="1" topLeftCell="E2" activePane="bottomRight" state="frozen"/>
      <selection pane="topRight" activeCell="D1" sqref="D1"/>
      <selection pane="bottomLeft" activeCell="A3" sqref="A3"/>
      <selection pane="bottomRight" activeCell="C23" sqref="C23"/>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1244</v>
      </c>
      <c r="B2" s="129" t="s">
        <v>186</v>
      </c>
      <c r="C2" s="188" t="s">
        <v>380</v>
      </c>
      <c r="D2" s="188" t="s">
        <v>355</v>
      </c>
      <c r="E2" s="131">
        <f t="shared" ref="E2" si="0">LEN(D2)</f>
        <v>8</v>
      </c>
      <c r="F2" s="190" t="s">
        <v>356</v>
      </c>
      <c r="G2" s="53" t="str">
        <f ca="1">VLOOKUP($A2,OFFSET([1]characters!$A$1,0,0,COUNTA([1]characters!$A:$A),MATCH("name",[1]characters!$1:$1,0)-MATCH("character_id",[1]characters!$1:$1,0)+1),MATCH("name",[1]characters!$1:$1,0)-MATCH("character_id",[1]characters!$1:$1,0)+1,FALSE)</f>
        <v>猿飛佐助</v>
      </c>
      <c r="H2" s="132">
        <f>IFERROR(VLOOKUP(A2,[1]characters!$A:$R,18),0)</f>
        <v>3</v>
      </c>
      <c r="I2" s="132"/>
      <c r="J2" s="137"/>
      <c r="K2" s="133">
        <v>1</v>
      </c>
      <c r="L2" s="134"/>
      <c r="M2" s="135"/>
      <c r="N2" s="135"/>
      <c r="O2" s="135"/>
      <c r="P2" s="135"/>
      <c r="Q2" s="135"/>
      <c r="R2" s="130"/>
      <c r="S2" s="136"/>
    </row>
    <row r="3" spans="1:19" ht="21" customHeight="1" x14ac:dyDescent="0.15">
      <c r="A3" s="186">
        <v>1245</v>
      </c>
      <c r="B3" s="129" t="s">
        <v>186</v>
      </c>
      <c r="C3" s="188" t="s">
        <v>381</v>
      </c>
      <c r="D3" s="188" t="s">
        <v>319</v>
      </c>
      <c r="E3" s="131">
        <f t="shared" ref="E3:E4" si="1">LEN(D3)</f>
        <v>9</v>
      </c>
      <c r="F3" s="190" t="s">
        <v>318</v>
      </c>
      <c r="G3" s="53" t="str">
        <f ca="1">VLOOKUP($A3,OFFSET([1]characters!$A$1,0,0,COUNTA([1]characters!$A:$A),MATCH("name",[1]characters!$1:$1,0)-MATCH("character_id",[1]characters!$1:$1,0)+1),MATCH("name",[1]characters!$1:$1,0)-MATCH("character_id",[1]characters!$1:$1,0)+1,FALSE)</f>
        <v>甲火の特殊忍 猿飛佐助</v>
      </c>
      <c r="H3" s="132">
        <f>IFERROR(VLOOKUP(A3,[1]characters!$A:$R,18),0)</f>
        <v>3</v>
      </c>
      <c r="I3" s="132"/>
      <c r="J3" s="137"/>
      <c r="K3" s="133">
        <v>1</v>
      </c>
      <c r="L3" s="134"/>
      <c r="M3" s="135"/>
      <c r="N3" s="135"/>
      <c r="O3" s="135"/>
      <c r="P3" s="135"/>
      <c r="Q3" s="135"/>
      <c r="R3" s="130"/>
      <c r="S3" s="136"/>
    </row>
    <row r="4" spans="1:19" ht="21" customHeight="1" x14ac:dyDescent="0.15">
      <c r="A4" s="186">
        <v>1246</v>
      </c>
      <c r="B4" s="129" t="s">
        <v>186</v>
      </c>
      <c r="C4" s="188" t="s">
        <v>382</v>
      </c>
      <c r="D4" s="188" t="s">
        <v>461</v>
      </c>
      <c r="E4" s="131">
        <f t="shared" si="1"/>
        <v>24</v>
      </c>
      <c r="F4" s="190" t="s">
        <v>354</v>
      </c>
      <c r="G4" s="53" t="str">
        <f ca="1">VLOOKUP($A4,OFFSET([1]characters!$A$1,0,0,COUNTA([1]characters!$A:$A),MATCH("name",[1]characters!$1:$1,0)-MATCH("character_id",[1]characters!$1:$1,0)+1),MATCH("name",[1]characters!$1:$1,0)-MATCH("character_id",[1]characters!$1:$1,0)+1,FALSE)</f>
        <v>望月千代女</v>
      </c>
      <c r="H4" s="132">
        <f>IFERROR(VLOOKUP(A4,[1]characters!$A:$R,18),0)</f>
        <v>3</v>
      </c>
      <c r="I4" s="132"/>
      <c r="J4" s="137"/>
      <c r="K4" s="133">
        <v>1</v>
      </c>
      <c r="L4" s="134"/>
      <c r="M4" s="135"/>
      <c r="N4" s="135"/>
      <c r="O4" s="135"/>
      <c r="P4" s="135"/>
      <c r="Q4" s="135"/>
      <c r="R4" s="130"/>
      <c r="S4" s="136"/>
    </row>
    <row r="5" spans="1:19" ht="21" customHeight="1" x14ac:dyDescent="0.15">
      <c r="A5" s="186">
        <v>1247</v>
      </c>
      <c r="B5" s="129" t="s">
        <v>186</v>
      </c>
      <c r="C5" s="188" t="s">
        <v>383</v>
      </c>
      <c r="D5" s="188" t="s">
        <v>462</v>
      </c>
      <c r="E5" s="131">
        <f t="shared" ref="E5:E6" si="2">LEN(D5)</f>
        <v>24</v>
      </c>
      <c r="F5" s="190" t="s">
        <v>353</v>
      </c>
      <c r="G5" s="53" t="str">
        <f ca="1">VLOOKUP($A5,OFFSET([1]characters!$A$1,0,0,COUNTA([1]characters!$A:$A),MATCH("name",[1]characters!$1:$1,0)-MATCH("character_id",[1]characters!$1:$1,0)+1),MATCH("name",[1]characters!$1:$1,0)-MATCH("character_id",[1]characters!$1:$1,0)+1,FALSE)</f>
        <v>潜情のくノ一 望月千代女</v>
      </c>
      <c r="H5" s="132">
        <f>IFERROR(VLOOKUP(A5,[1]characters!$A:$R,18),0)</f>
        <v>3</v>
      </c>
      <c r="I5" s="132"/>
      <c r="J5" s="137"/>
      <c r="K5" s="133">
        <v>1</v>
      </c>
      <c r="L5" s="134"/>
      <c r="M5" s="135"/>
      <c r="N5" s="135"/>
      <c r="O5" s="135"/>
      <c r="P5" s="135"/>
      <c r="Q5" s="135"/>
      <c r="R5" s="130"/>
      <c r="S5" s="136"/>
    </row>
    <row r="6" spans="1:19" ht="21" customHeight="1" x14ac:dyDescent="0.15">
      <c r="A6" s="186">
        <v>1238</v>
      </c>
      <c r="B6" s="129" t="s">
        <v>185</v>
      </c>
      <c r="C6" s="188" t="s">
        <v>475</v>
      </c>
      <c r="D6" s="188" t="s">
        <v>473</v>
      </c>
      <c r="E6" s="131">
        <f t="shared" si="2"/>
        <v>8</v>
      </c>
      <c r="F6" s="190" t="s">
        <v>471</v>
      </c>
      <c r="G6" s="53" t="str">
        <f ca="1">VLOOKUP($A6,OFFSET([1]characters!$A$1,0,0,COUNTA([1]characters!$A:$A),MATCH("name",[1]characters!$1:$1,0)-MATCH("character_id",[1]characters!$1:$1,0)+1),MATCH("name",[1]characters!$1:$1,0)-MATCH("character_id",[1]characters!$1:$1,0)+1,FALSE)</f>
        <v>服部半蔵</v>
      </c>
      <c r="H6" s="132">
        <f>IFERROR(VLOOKUP(A6,[1]characters!$A:$R,18),0)</f>
        <v>3</v>
      </c>
      <c r="I6" s="132"/>
      <c r="J6" s="137"/>
      <c r="K6" s="133">
        <v>1</v>
      </c>
      <c r="L6" s="134"/>
      <c r="M6" s="135"/>
      <c r="N6" s="135"/>
      <c r="O6" s="135"/>
      <c r="P6" s="135"/>
      <c r="Q6" s="135"/>
      <c r="R6" s="130"/>
      <c r="S6" s="136"/>
    </row>
    <row r="7" spans="1:19" ht="21" customHeight="1" x14ac:dyDescent="0.15">
      <c r="A7" s="186">
        <v>1239</v>
      </c>
      <c r="B7" s="129" t="s">
        <v>185</v>
      </c>
      <c r="C7" s="188" t="s">
        <v>474</v>
      </c>
      <c r="D7" s="188" t="s">
        <v>319</v>
      </c>
      <c r="E7" s="131">
        <f t="shared" ref="E7:E8" si="3">LEN(D7)</f>
        <v>9</v>
      </c>
      <c r="F7" s="190" t="s">
        <v>472</v>
      </c>
      <c r="G7" s="53" t="str">
        <f ca="1">VLOOKUP($A7,OFFSET([1]characters!$A$1,0,0,COUNTA([1]characters!$A:$A),MATCH("name",[1]characters!$1:$1,0)-MATCH("character_id",[1]characters!$1:$1,0)+1),MATCH("name",[1]characters!$1:$1,0)-MATCH("character_id",[1]characters!$1:$1,0)+1,FALSE)</f>
        <v>音無の機密忍 服部半蔵</v>
      </c>
      <c r="H7" s="132">
        <f>IFERROR(VLOOKUP(A7,[1]characters!$A:$R,18),0)</f>
        <v>3</v>
      </c>
      <c r="I7" s="132"/>
      <c r="J7" s="137"/>
      <c r="K7" s="133">
        <v>1</v>
      </c>
      <c r="L7" s="134"/>
      <c r="M7" s="135"/>
      <c r="N7" s="135"/>
      <c r="O7" s="135"/>
      <c r="P7" s="135"/>
      <c r="Q7" s="135"/>
      <c r="R7" s="130"/>
      <c r="S7" s="136"/>
    </row>
    <row r="8" spans="1:19" ht="21" customHeight="1" x14ac:dyDescent="0.15">
      <c r="A8" s="186">
        <v>1240</v>
      </c>
      <c r="B8" s="129" t="s">
        <v>185</v>
      </c>
      <c r="C8" s="188" t="s">
        <v>385</v>
      </c>
      <c r="D8" s="188" t="s">
        <v>445</v>
      </c>
      <c r="E8" s="131">
        <f t="shared" si="3"/>
        <v>23</v>
      </c>
      <c r="F8" s="190" t="s">
        <v>350</v>
      </c>
      <c r="G8" s="53" t="str">
        <f ca="1">VLOOKUP($A8,OFFSET([1]characters!$A$1,0,0,COUNTA([1]characters!$A:$A),MATCH("name",[1]characters!$1:$1,0)-MATCH("character_id",[1]characters!$1:$1,0)+1),MATCH("name",[1]characters!$1:$1,0)-MATCH("character_id",[1]characters!$1:$1,0)+1,FALSE)</f>
        <v>竹中半兵衛</v>
      </c>
      <c r="H8" s="132">
        <f>IFERROR(VLOOKUP(A8,[1]characters!$A:$R,18),0)</f>
        <v>3</v>
      </c>
      <c r="I8" s="132"/>
      <c r="J8" s="137"/>
      <c r="K8" s="133">
        <v>1</v>
      </c>
      <c r="L8" s="134"/>
      <c r="M8" s="135"/>
      <c r="N8" s="135"/>
      <c r="O8" s="135"/>
      <c r="P8" s="135"/>
      <c r="Q8" s="135"/>
      <c r="R8" s="130"/>
      <c r="S8" s="136"/>
    </row>
    <row r="9" spans="1:19" ht="21" customHeight="1" x14ac:dyDescent="0.15">
      <c r="A9" s="186">
        <v>1241</v>
      </c>
      <c r="B9" s="129" t="s">
        <v>185</v>
      </c>
      <c r="C9" s="188" t="s">
        <v>385</v>
      </c>
      <c r="D9" s="188" t="s">
        <v>445</v>
      </c>
      <c r="E9" s="131">
        <f t="shared" ref="E9:E12" si="4">LEN(D9)</f>
        <v>23</v>
      </c>
      <c r="F9" s="190" t="s">
        <v>350</v>
      </c>
      <c r="G9" s="53" t="str">
        <f ca="1">VLOOKUP($A9,OFFSET([1]characters!$A$1,0,0,COUNTA([1]characters!$A:$A),MATCH("name",[1]characters!$1:$1,0)-MATCH("character_id",[1]characters!$1:$1,0)+1),MATCH("name",[1]characters!$1:$1,0)-MATCH("character_id",[1]characters!$1:$1,0)+1,FALSE)</f>
        <v>巧妙なる嬢舌 竹中半兵衛</v>
      </c>
      <c r="H9" s="132">
        <f>IFERROR(VLOOKUP(A9,[1]characters!$A:$R,18),0)</f>
        <v>3</v>
      </c>
      <c r="I9" s="132"/>
      <c r="J9" s="137"/>
      <c r="K9" s="133">
        <v>1</v>
      </c>
      <c r="L9" s="134"/>
      <c r="M9" s="135"/>
      <c r="N9" s="135"/>
      <c r="O9" s="135"/>
      <c r="P9" s="135"/>
      <c r="Q9" s="135"/>
      <c r="R9" s="130"/>
      <c r="S9" s="136"/>
    </row>
    <row r="10" spans="1:19" ht="21" customHeight="1" x14ac:dyDescent="0.15">
      <c r="A10" s="186">
        <v>1242</v>
      </c>
      <c r="B10" s="129" t="s">
        <v>185</v>
      </c>
      <c r="C10" s="188" t="s">
        <v>386</v>
      </c>
      <c r="D10" s="188" t="s">
        <v>319</v>
      </c>
      <c r="E10" s="131">
        <f t="shared" si="4"/>
        <v>9</v>
      </c>
      <c r="F10" s="190" t="s">
        <v>318</v>
      </c>
      <c r="G10" s="53" t="str">
        <f ca="1">VLOOKUP($A10,OFFSET([1]characters!$A$1,0,0,COUNTA([1]characters!$A:$A),MATCH("name",[1]characters!$1:$1,0)-MATCH("character_id",[1]characters!$1:$1,0)+1),MATCH("name",[1]characters!$1:$1,0)-MATCH("character_id",[1]characters!$1:$1,0)+1,FALSE)</f>
        <v>豊臣秀吉</v>
      </c>
      <c r="H10" s="132">
        <f>IFERROR(VLOOKUP(A10,[1]characters!$A:$R,18),0)</f>
        <v>3</v>
      </c>
      <c r="I10" s="132"/>
      <c r="J10" s="137"/>
      <c r="K10" s="133">
        <v>1</v>
      </c>
      <c r="L10" s="134"/>
      <c r="M10" s="135"/>
      <c r="N10" s="135"/>
      <c r="O10" s="135"/>
      <c r="P10" s="135"/>
      <c r="Q10" s="135"/>
      <c r="R10" s="130"/>
      <c r="S10" s="136"/>
    </row>
    <row r="11" spans="1:19" ht="21" customHeight="1" x14ac:dyDescent="0.15">
      <c r="A11" s="186">
        <v>1243</v>
      </c>
      <c r="B11" s="129" t="s">
        <v>185</v>
      </c>
      <c r="C11" s="188" t="s">
        <v>387</v>
      </c>
      <c r="D11" s="188" t="s">
        <v>347</v>
      </c>
      <c r="E11" s="131">
        <f t="shared" si="4"/>
        <v>9</v>
      </c>
      <c r="F11" s="190" t="s">
        <v>349</v>
      </c>
      <c r="G11" s="53" t="str">
        <f ca="1">VLOOKUP($A11,OFFSET([1]characters!$A$1,0,0,COUNTA([1]characters!$A:$A),MATCH("name",[1]characters!$1:$1,0)-MATCH("character_id",[1]characters!$1:$1,0)+1),MATCH("name",[1]characters!$1:$1,0)-MATCH("character_id",[1]characters!$1:$1,0)+1,FALSE)</f>
        <v>新世覇の昇竜 豊臣秀吉</v>
      </c>
      <c r="H11" s="132">
        <f>IFERROR(VLOOKUP(A11,[1]characters!$A:$R,18),0)</f>
        <v>3</v>
      </c>
      <c r="I11" s="132"/>
      <c r="J11" s="137"/>
      <c r="K11" s="133">
        <v>1</v>
      </c>
      <c r="L11" s="134"/>
      <c r="M11" s="135"/>
      <c r="N11" s="135"/>
      <c r="O11" s="135"/>
      <c r="P11" s="135"/>
      <c r="Q11" s="135"/>
      <c r="R11" s="130"/>
      <c r="S11" s="136"/>
    </row>
    <row r="12" spans="1:19" ht="21" customHeight="1" x14ac:dyDescent="0.15">
      <c r="A12" s="186">
        <v>1248</v>
      </c>
      <c r="B12" s="129" t="s">
        <v>185</v>
      </c>
      <c r="C12" s="188" t="s">
        <v>388</v>
      </c>
      <c r="D12" s="188" t="s">
        <v>455</v>
      </c>
      <c r="E12" s="131">
        <f t="shared" si="4"/>
        <v>27</v>
      </c>
      <c r="F12" s="190" t="s">
        <v>352</v>
      </c>
      <c r="G12" s="53" t="str">
        <f ca="1">VLOOKUP($A12,OFFSET([1]characters!$A$1,0,0,COUNTA([1]characters!$A:$A),MATCH("name",[1]characters!$1:$1,0)-MATCH("character_id",[1]characters!$1:$1,0)+1),MATCH("name",[1]characters!$1:$1,0)-MATCH("character_id",[1]characters!$1:$1,0)+1,FALSE)</f>
        <v>寧々</v>
      </c>
      <c r="H12" s="132">
        <f>IFERROR(VLOOKUP(A12,[1]characters!$A:$R,18),0)</f>
        <v>3</v>
      </c>
      <c r="I12" s="132"/>
      <c r="J12" s="137"/>
      <c r="K12" s="133">
        <v>1</v>
      </c>
      <c r="L12" s="134"/>
      <c r="M12" s="135"/>
      <c r="N12" s="135"/>
      <c r="O12" s="135"/>
      <c r="P12" s="135"/>
      <c r="Q12" s="135"/>
      <c r="R12" s="130"/>
      <c r="S12" s="136"/>
    </row>
    <row r="13" spans="1:19" ht="21" customHeight="1" x14ac:dyDescent="0.15">
      <c r="A13" s="186">
        <v>1249</v>
      </c>
      <c r="B13" s="129" t="s">
        <v>185</v>
      </c>
      <c r="C13" s="188" t="s">
        <v>388</v>
      </c>
      <c r="D13" s="188" t="s">
        <v>456</v>
      </c>
      <c r="E13" s="131">
        <f t="shared" ref="E13:E14" si="5">LEN(D13)</f>
        <v>27</v>
      </c>
      <c r="F13" s="190" t="s">
        <v>352</v>
      </c>
      <c r="G13" s="53" t="str">
        <f ca="1">VLOOKUP($A13,OFFSET([1]characters!$A$1,0,0,COUNTA([1]characters!$A:$A),MATCH("name",[1]characters!$1:$1,0)-MATCH("character_id",[1]characters!$1:$1,0)+1),MATCH("name",[1]characters!$1:$1,0)-MATCH("character_id",[1]characters!$1:$1,0)+1,FALSE)</f>
        <v>君臨する姐御様 寧々</v>
      </c>
      <c r="H13" s="132">
        <f>IFERROR(VLOOKUP(A13,[1]characters!$A:$R,18),0)</f>
        <v>3</v>
      </c>
      <c r="I13" s="132"/>
      <c r="J13" s="137"/>
      <c r="K13" s="133">
        <v>1</v>
      </c>
      <c r="L13" s="134"/>
      <c r="M13" s="135"/>
      <c r="N13" s="135"/>
      <c r="O13" s="135"/>
      <c r="P13" s="135"/>
      <c r="Q13" s="135"/>
      <c r="R13" s="130"/>
      <c r="S13" s="136"/>
    </row>
    <row r="14" spans="1:19" ht="21" customHeight="1" x14ac:dyDescent="0.15">
      <c r="A14" s="186">
        <v>1250</v>
      </c>
      <c r="B14" s="129" t="s">
        <v>185</v>
      </c>
      <c r="C14" s="188" t="s">
        <v>389</v>
      </c>
      <c r="D14" s="188" t="s">
        <v>346</v>
      </c>
      <c r="E14" s="131">
        <f t="shared" si="5"/>
        <v>9</v>
      </c>
      <c r="F14" s="190" t="s">
        <v>344</v>
      </c>
      <c r="G14" s="53" t="str">
        <f ca="1">VLOOKUP($A14,OFFSET([1]characters!$A$1,0,0,COUNTA([1]characters!$A:$A),MATCH("name",[1]characters!$1:$1,0)-MATCH("character_id",[1]characters!$1:$1,0)+1),MATCH("name",[1]characters!$1:$1,0)-MATCH("character_id",[1]characters!$1:$1,0)+1,FALSE)</f>
        <v>真田幸村</v>
      </c>
      <c r="H14" s="132">
        <f>IFERROR(VLOOKUP(A14,[1]characters!$A:$R,18),0)</f>
        <v>3</v>
      </c>
      <c r="I14" s="132"/>
      <c r="J14" s="137"/>
      <c r="K14" s="133">
        <v>1</v>
      </c>
      <c r="L14" s="134"/>
      <c r="M14" s="135"/>
      <c r="N14" s="135"/>
      <c r="O14" s="135"/>
      <c r="P14" s="135"/>
      <c r="Q14" s="135"/>
      <c r="R14" s="130"/>
      <c r="S14" s="136"/>
    </row>
    <row r="15" spans="1:19" ht="21" customHeight="1" x14ac:dyDescent="0.15">
      <c r="A15" s="186">
        <v>1251</v>
      </c>
      <c r="B15" s="129" t="s">
        <v>185</v>
      </c>
      <c r="C15" s="188" t="s">
        <v>384</v>
      </c>
      <c r="D15" s="188" t="s">
        <v>347</v>
      </c>
      <c r="E15" s="131">
        <f t="shared" ref="E15:E17" si="6">LEN(D15)</f>
        <v>9</v>
      </c>
      <c r="F15" s="190" t="s">
        <v>345</v>
      </c>
      <c r="G15" s="53" t="str">
        <f ca="1">VLOOKUP($A15,OFFSET([1]characters!$A$1,0,0,COUNTA([1]characters!$A:$A),MATCH("name",[1]characters!$1:$1,0)-MATCH("character_id",[1]characters!$1:$1,0)+1),MATCH("name",[1]characters!$1:$1,0)-MATCH("character_id",[1]characters!$1:$1,0)+1,FALSE)</f>
        <v>錯槍の英勇 真田幸村</v>
      </c>
      <c r="H15" s="132">
        <f>IFERROR(VLOOKUP(A15,[1]characters!$A:$R,18),0)</f>
        <v>3</v>
      </c>
      <c r="I15" s="132"/>
      <c r="J15" s="137"/>
      <c r="K15" s="133">
        <v>1</v>
      </c>
      <c r="L15" s="134"/>
      <c r="M15" s="135"/>
      <c r="N15" s="135"/>
      <c r="O15" s="135"/>
      <c r="P15" s="135"/>
      <c r="Q15" s="135"/>
      <c r="R15" s="130"/>
      <c r="S15" s="136"/>
    </row>
    <row r="16" spans="1:19" ht="21" customHeight="1" x14ac:dyDescent="0.15">
      <c r="A16" s="186">
        <v>1236</v>
      </c>
      <c r="B16" s="129" t="s">
        <v>185</v>
      </c>
      <c r="C16" s="188" t="s">
        <v>390</v>
      </c>
      <c r="D16" s="188" t="s">
        <v>363</v>
      </c>
      <c r="E16" s="131">
        <f t="shared" si="6"/>
        <v>8</v>
      </c>
      <c r="F16" s="190" t="s">
        <v>361</v>
      </c>
      <c r="G16" s="53" t="str">
        <f ca="1">VLOOKUP($A16,OFFSET([1]characters!$A$1,0,0,COUNTA([1]characters!$A:$A),MATCH("name",[1]characters!$1:$1,0)-MATCH("character_id",[1]characters!$1:$1,0)+1),MATCH("name",[1]characters!$1:$1,0)-MATCH("character_id",[1]characters!$1:$1,0)+1,FALSE)</f>
        <v>千利休</v>
      </c>
      <c r="H16" s="132">
        <f>IFERROR(VLOOKUP(A16,[1]characters!$A:$R,18),0)</f>
        <v>3</v>
      </c>
      <c r="I16" s="132"/>
      <c r="J16" s="137"/>
      <c r="K16" s="133">
        <v>1</v>
      </c>
      <c r="L16" s="134"/>
      <c r="M16" s="135"/>
      <c r="N16" s="135"/>
      <c r="O16" s="135"/>
      <c r="P16" s="135"/>
      <c r="Q16" s="135"/>
      <c r="R16" s="130"/>
      <c r="S16" s="136"/>
    </row>
    <row r="17" spans="1:19" ht="21" customHeight="1" x14ac:dyDescent="0.15">
      <c r="A17" s="186">
        <v>1237</v>
      </c>
      <c r="B17" s="129" t="s">
        <v>185</v>
      </c>
      <c r="C17" s="188" t="s">
        <v>391</v>
      </c>
      <c r="D17" s="188" t="s">
        <v>346</v>
      </c>
      <c r="E17" s="131">
        <f t="shared" si="6"/>
        <v>9</v>
      </c>
      <c r="F17" s="190" t="s">
        <v>362</v>
      </c>
      <c r="G17" s="53" t="str">
        <f ca="1">VLOOKUP($A17,OFFSET([1]characters!$A$1,0,0,COUNTA([1]characters!$A:$A),MATCH("name",[1]characters!$1:$1,0)-MATCH("character_id",[1]characters!$1:$1,0)+1),MATCH("name",[1]characters!$1:$1,0)-MATCH("character_id",[1]characters!$1:$1,0)+1,FALSE)</f>
        <v>夢茶の目付役 千利休</v>
      </c>
      <c r="H17" s="132">
        <f>IFERROR(VLOOKUP(A17,[1]characters!$A:$R,18),0)</f>
        <v>3</v>
      </c>
      <c r="I17" s="132"/>
      <c r="J17" s="137"/>
      <c r="K17" s="133">
        <v>1</v>
      </c>
      <c r="L17" s="134"/>
      <c r="M17" s="135"/>
      <c r="N17" s="135"/>
      <c r="O17" s="135"/>
      <c r="P17" s="135"/>
      <c r="Q17" s="135"/>
      <c r="R17" s="130"/>
      <c r="S17" s="136"/>
    </row>
  </sheetData>
  <sheetProtection selectLockedCells="1" selectUnlockedCells="1"/>
  <autoFilter ref="A1:J1"/>
  <phoneticPr fontId="22"/>
  <conditionalFormatting sqref="E2">
    <cfRule type="cellIs" dxfId="47" priority="34" operator="greaterThan">
      <formula>41</formula>
    </cfRule>
  </conditionalFormatting>
  <conditionalFormatting sqref="E3">
    <cfRule type="cellIs" dxfId="46" priority="33" operator="greaterThan">
      <formula>41</formula>
    </cfRule>
  </conditionalFormatting>
  <conditionalFormatting sqref="E4">
    <cfRule type="cellIs" dxfId="45" priority="16" operator="greaterThan">
      <formula>41</formula>
    </cfRule>
  </conditionalFormatting>
  <conditionalFormatting sqref="E5">
    <cfRule type="cellIs" dxfId="44" priority="15" operator="greaterThan">
      <formula>41</formula>
    </cfRule>
  </conditionalFormatting>
  <conditionalFormatting sqref="E6">
    <cfRule type="cellIs" dxfId="43" priority="12" operator="greaterThan">
      <formula>41</formula>
    </cfRule>
  </conditionalFormatting>
  <conditionalFormatting sqref="E7">
    <cfRule type="cellIs" dxfId="42" priority="11" operator="greaterThan">
      <formula>41</formula>
    </cfRule>
  </conditionalFormatting>
  <conditionalFormatting sqref="E8">
    <cfRule type="cellIs" dxfId="41" priority="10" operator="greaterThan">
      <formula>41</formula>
    </cfRule>
  </conditionalFormatting>
  <conditionalFormatting sqref="E9">
    <cfRule type="cellIs" dxfId="40" priority="9" operator="greaterThan">
      <formula>41</formula>
    </cfRule>
  </conditionalFormatting>
  <conditionalFormatting sqref="E10">
    <cfRule type="cellIs" dxfId="39" priority="8" operator="greaterThan">
      <formula>41</formula>
    </cfRule>
  </conditionalFormatting>
  <conditionalFormatting sqref="E11">
    <cfRule type="cellIs" dxfId="38" priority="7" operator="greaterThan">
      <formula>41</formula>
    </cfRule>
  </conditionalFormatting>
  <conditionalFormatting sqref="E12">
    <cfRule type="cellIs" dxfId="37" priority="6" operator="greaterThan">
      <formula>41</formula>
    </cfRule>
  </conditionalFormatting>
  <conditionalFormatting sqref="E13">
    <cfRule type="cellIs" dxfId="36" priority="5" operator="greaterThan">
      <formula>41</formula>
    </cfRule>
  </conditionalFormatting>
  <conditionalFormatting sqref="E14">
    <cfRule type="cellIs" dxfId="35" priority="4" operator="greaterThan">
      <formula>41</formula>
    </cfRule>
  </conditionalFormatting>
  <conditionalFormatting sqref="E15">
    <cfRule type="cellIs" dxfId="34" priority="3" operator="greaterThan">
      <formula>41</formula>
    </cfRule>
  </conditionalFormatting>
  <conditionalFormatting sqref="E16">
    <cfRule type="cellIs" dxfId="33" priority="2" operator="greaterThan">
      <formula>41</formula>
    </cfRule>
  </conditionalFormatting>
  <conditionalFormatting sqref="E17">
    <cfRule type="cellIs" dxfId="32"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9"/>
  <sheetViews>
    <sheetView topLeftCell="A9" zoomScale="110" workbookViewId="0">
      <selection activeCell="F61" sqref="F6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1244</v>
      </c>
      <c r="B2" s="138" t="str">
        <f>VLOOKUP(A2,[1]characters!$A:$C,3,FALSE)</f>
        <v>猿飛佐助</v>
      </c>
      <c r="C2" s="105" t="s">
        <v>195</v>
      </c>
      <c r="D2" s="138" t="str">
        <f t="shared" ref="D2" si="0">A2&amp;C2</f>
        <v>1244skill</v>
      </c>
      <c r="E2" s="138" t="str">
        <f>A2&amp;+(COUNTIF(A2:A$87,A2)-1)</f>
        <v>12443</v>
      </c>
      <c r="F2" s="105" t="s">
        <v>197</v>
      </c>
      <c r="G2" s="162" t="s">
        <v>196</v>
      </c>
      <c r="H2" s="162" t="s">
        <v>392</v>
      </c>
    </row>
    <row r="3" spans="1:8" x14ac:dyDescent="0.15">
      <c r="A3" s="105">
        <v>1244</v>
      </c>
      <c r="B3" s="138" t="str">
        <f>VLOOKUP(A3,[1]characters!$A:$C,3,FALSE)</f>
        <v>猿飛佐助</v>
      </c>
      <c r="C3" s="105" t="s">
        <v>198</v>
      </c>
      <c r="D3" s="138" t="str">
        <f t="shared" ref="D3:D18" si="1">A3&amp;C3</f>
        <v>1244cskill</v>
      </c>
      <c r="E3" s="138" t="str">
        <f>A3&amp;+(COUNTIF(A3:A$87,A3)-1)</f>
        <v>12442</v>
      </c>
      <c r="F3" s="105" t="s">
        <v>186</v>
      </c>
      <c r="G3" s="162" t="s">
        <v>393</v>
      </c>
      <c r="H3" s="162" t="s">
        <v>395</v>
      </c>
    </row>
    <row r="4" spans="1:8" x14ac:dyDescent="0.15">
      <c r="A4" s="105">
        <v>1244</v>
      </c>
      <c r="B4" s="138" t="str">
        <f>VLOOKUP(A4,[1]characters!$A:$C,3,FALSE)</f>
        <v>猿飛佐助</v>
      </c>
      <c r="C4" s="105" t="s">
        <v>198</v>
      </c>
      <c r="D4" s="138" t="str">
        <f t="shared" si="1"/>
        <v>1244cskill</v>
      </c>
      <c r="E4" s="138" t="str">
        <f>A4&amp;+(COUNTIF(A4:A$87,A4)-1)</f>
        <v>12441</v>
      </c>
      <c r="F4" s="105" t="s">
        <v>186</v>
      </c>
      <c r="G4" s="162" t="s">
        <v>396</v>
      </c>
      <c r="H4" s="162" t="s">
        <v>397</v>
      </c>
    </row>
    <row r="5" spans="1:8" x14ac:dyDescent="0.15">
      <c r="A5" s="105">
        <v>1244</v>
      </c>
      <c r="B5" s="138" t="str">
        <f>VLOOKUP(A5,[1]characters!$A:$C,3,FALSE)</f>
        <v>猿飛佐助</v>
      </c>
      <c r="C5" s="105" t="s">
        <v>198</v>
      </c>
      <c r="D5" s="138" t="str">
        <f t="shared" si="1"/>
        <v>1244cskill</v>
      </c>
      <c r="E5" s="138" t="str">
        <f>A5&amp;+(COUNTIF(A5:A$87,A5)-1)</f>
        <v>12440</v>
      </c>
      <c r="F5" s="105" t="s">
        <v>197</v>
      </c>
      <c r="G5" s="162" t="s">
        <v>396</v>
      </c>
      <c r="H5" s="162" t="s">
        <v>398</v>
      </c>
    </row>
    <row r="6" spans="1:8" x14ac:dyDescent="0.15">
      <c r="A6" s="105">
        <v>1245</v>
      </c>
      <c r="B6" s="138" t="str">
        <f>VLOOKUP(A6,[1]characters!$A:$C,3,FALSE)</f>
        <v>甲火の特殊忍 猿飛佐助</v>
      </c>
      <c r="C6" s="105" t="s">
        <v>195</v>
      </c>
      <c r="D6" s="138" t="str">
        <f t="shared" si="1"/>
        <v>1245skill</v>
      </c>
      <c r="E6" s="138" t="str">
        <f>A6&amp;+(COUNTIF(A6:A$87,A6)-1)</f>
        <v>12454</v>
      </c>
      <c r="F6" s="105" t="s">
        <v>186</v>
      </c>
      <c r="G6" s="162" t="s">
        <v>393</v>
      </c>
      <c r="H6" s="162" t="s">
        <v>394</v>
      </c>
    </row>
    <row r="7" spans="1:8" x14ac:dyDescent="0.15">
      <c r="A7" s="105">
        <v>1245</v>
      </c>
      <c r="B7" s="138" t="str">
        <f>VLOOKUP(A7,[1]characters!$A:$C,3,FALSE)</f>
        <v>甲火の特殊忍 猿飛佐助</v>
      </c>
      <c r="C7" s="105" t="s">
        <v>198</v>
      </c>
      <c r="D7" s="138" t="str">
        <f t="shared" si="1"/>
        <v>1245cskill</v>
      </c>
      <c r="E7" s="138" t="str">
        <f>A7&amp;+(COUNTIF(A7:A$87,A7)-1)</f>
        <v>12453</v>
      </c>
      <c r="F7" s="105" t="s">
        <v>186</v>
      </c>
      <c r="G7" s="162" t="s">
        <v>393</v>
      </c>
      <c r="H7" s="162" t="s">
        <v>395</v>
      </c>
    </row>
    <row r="8" spans="1:8" x14ac:dyDescent="0.15">
      <c r="A8" s="105">
        <v>1245</v>
      </c>
      <c r="B8" s="138" t="str">
        <f>VLOOKUP(A8,[1]characters!$A:$C,3,FALSE)</f>
        <v>甲火の特殊忍 猿飛佐助</v>
      </c>
      <c r="C8" s="105" t="s">
        <v>198</v>
      </c>
      <c r="D8" s="138" t="str">
        <f t="shared" si="1"/>
        <v>1245cskill</v>
      </c>
      <c r="E8" s="138" t="str">
        <f>A8&amp;+(COUNTIF(A8:A$87,A8)-1)</f>
        <v>12452</v>
      </c>
      <c r="F8" s="105" t="s">
        <v>186</v>
      </c>
      <c r="G8" s="162" t="s">
        <v>396</v>
      </c>
      <c r="H8" s="162" t="s">
        <v>397</v>
      </c>
    </row>
    <row r="9" spans="1:8" x14ac:dyDescent="0.15">
      <c r="A9" s="105">
        <v>1245</v>
      </c>
      <c r="B9" s="138" t="str">
        <f>VLOOKUP(A9,[1]characters!$A:$C,3,FALSE)</f>
        <v>甲火の特殊忍 猿飛佐助</v>
      </c>
      <c r="C9" s="105" t="s">
        <v>198</v>
      </c>
      <c r="D9" s="138" t="str">
        <f t="shared" si="1"/>
        <v>1245cskill</v>
      </c>
      <c r="E9" s="138" t="str">
        <f>A9&amp;+(COUNTIF(A9:A$87,A9)-1)</f>
        <v>12451</v>
      </c>
      <c r="F9" s="105" t="s">
        <v>186</v>
      </c>
      <c r="G9" s="162" t="s">
        <v>396</v>
      </c>
      <c r="H9" s="162" t="s">
        <v>398</v>
      </c>
    </row>
    <row r="10" spans="1:8" x14ac:dyDescent="0.15">
      <c r="A10" s="105">
        <v>1245</v>
      </c>
      <c r="B10" s="138" t="str">
        <f>VLOOKUP(A10,[1]characters!$A:$C,3,FALSE)</f>
        <v>甲火の特殊忍 猿飛佐助</v>
      </c>
      <c r="C10" s="105" t="s">
        <v>198</v>
      </c>
      <c r="D10" s="138" t="str">
        <f t="shared" si="1"/>
        <v>1245cskill</v>
      </c>
      <c r="E10" s="138" t="str">
        <f>A10&amp;+(COUNTIF(A10:A$87,A10)-1)</f>
        <v>12450</v>
      </c>
      <c r="F10" s="105" t="s">
        <v>186</v>
      </c>
      <c r="G10" s="162" t="s">
        <v>393</v>
      </c>
      <c r="H10" s="162" t="s">
        <v>399</v>
      </c>
    </row>
    <row r="11" spans="1:8" x14ac:dyDescent="0.15">
      <c r="A11" s="105">
        <v>1246</v>
      </c>
      <c r="B11" s="138" t="str">
        <f>VLOOKUP(A11,[1]characters!$A:$C,3,FALSE)</f>
        <v>望月千代女</v>
      </c>
      <c r="C11" s="105" t="s">
        <v>195</v>
      </c>
      <c r="D11" s="138" t="str">
        <f t="shared" si="1"/>
        <v>1246skill</v>
      </c>
      <c r="E11" s="138" t="str">
        <f>A11&amp;+(COUNTIF(A11:A$87,A11)-1)</f>
        <v>12463</v>
      </c>
      <c r="F11" s="105" t="s">
        <v>186</v>
      </c>
      <c r="G11" s="162" t="s">
        <v>396</v>
      </c>
      <c r="H11" s="162" t="s">
        <v>400</v>
      </c>
    </row>
    <row r="12" spans="1:8" x14ac:dyDescent="0.15">
      <c r="A12" s="105">
        <v>1246</v>
      </c>
      <c r="B12" s="138" t="str">
        <f>VLOOKUP(A12,[1]characters!$A:$C,3,FALSE)</f>
        <v>望月千代女</v>
      </c>
      <c r="C12" s="105" t="s">
        <v>198</v>
      </c>
      <c r="D12" s="138" t="str">
        <f t="shared" si="1"/>
        <v>1246cskill</v>
      </c>
      <c r="E12" s="138" t="str">
        <f>A12&amp;+(COUNTIF(A12:A$87,A12)-1)</f>
        <v>12462</v>
      </c>
      <c r="F12" s="105" t="s">
        <v>186</v>
      </c>
      <c r="G12" s="162" t="s">
        <v>196</v>
      </c>
      <c r="H12" s="162" t="s">
        <v>402</v>
      </c>
    </row>
    <row r="13" spans="1:8" x14ac:dyDescent="0.15">
      <c r="A13" s="105">
        <v>1246</v>
      </c>
      <c r="B13" s="138" t="str">
        <f>VLOOKUP(A13,[1]characters!$A:$C,3,FALSE)</f>
        <v>望月千代女</v>
      </c>
      <c r="C13" s="105" t="s">
        <v>198</v>
      </c>
      <c r="D13" s="138" t="str">
        <f t="shared" si="1"/>
        <v>1246cskill</v>
      </c>
      <c r="E13" s="138" t="str">
        <f>A13&amp;+(COUNTIF(A13:A$87,A13)-1)</f>
        <v>12461</v>
      </c>
      <c r="F13" s="105" t="s">
        <v>186</v>
      </c>
      <c r="G13" s="162" t="s">
        <v>196</v>
      </c>
      <c r="H13" s="162" t="s">
        <v>403</v>
      </c>
    </row>
    <row r="14" spans="1:8" x14ac:dyDescent="0.15">
      <c r="A14" s="105">
        <v>1246</v>
      </c>
      <c r="B14" s="138" t="str">
        <f>VLOOKUP(A14,[1]characters!$A:$C,3,FALSE)</f>
        <v>望月千代女</v>
      </c>
      <c r="C14" s="105" t="s">
        <v>198</v>
      </c>
      <c r="D14" s="138" t="str">
        <f t="shared" si="1"/>
        <v>1246cskill</v>
      </c>
      <c r="E14" s="138" t="str">
        <f>A14&amp;+(COUNTIF(A14:A$87,A14)-1)</f>
        <v>12460</v>
      </c>
      <c r="F14" s="105" t="s">
        <v>186</v>
      </c>
      <c r="G14" s="162" t="s">
        <v>196</v>
      </c>
      <c r="H14" s="162" t="s">
        <v>404</v>
      </c>
    </row>
    <row r="15" spans="1:8" x14ac:dyDescent="0.15">
      <c r="A15" s="105">
        <v>1247</v>
      </c>
      <c r="B15" s="138" t="str">
        <f>VLOOKUP(A15,[1]characters!$A:$C,3,FALSE)</f>
        <v>潜情のくノ一 望月千代女</v>
      </c>
      <c r="C15" s="105" t="s">
        <v>195</v>
      </c>
      <c r="D15" s="138" t="str">
        <f t="shared" si="1"/>
        <v>1247skill</v>
      </c>
      <c r="E15" s="138" t="str">
        <f>A15&amp;+(COUNTIF(A15:A$87,A15)-1)</f>
        <v>12474</v>
      </c>
      <c r="F15" s="105" t="s">
        <v>186</v>
      </c>
      <c r="G15" s="162" t="s">
        <v>196</v>
      </c>
      <c r="H15" s="162" t="s">
        <v>401</v>
      </c>
    </row>
    <row r="16" spans="1:8" x14ac:dyDescent="0.15">
      <c r="A16" s="105">
        <v>1247</v>
      </c>
      <c r="B16" s="138" t="str">
        <f>VLOOKUP(A16,[1]characters!$A:$C,3,FALSE)</f>
        <v>潜情のくノ一 望月千代女</v>
      </c>
      <c r="C16" s="105" t="s">
        <v>198</v>
      </c>
      <c r="D16" s="138" t="str">
        <f t="shared" si="1"/>
        <v>1247cskill</v>
      </c>
      <c r="E16" s="138" t="str">
        <f>A16&amp;+(COUNTIF(A16:A$87,A16)-1)</f>
        <v>12473</v>
      </c>
      <c r="F16" s="105" t="s">
        <v>186</v>
      </c>
      <c r="G16" s="162" t="s">
        <v>196</v>
      </c>
      <c r="H16" s="162" t="s">
        <v>402</v>
      </c>
    </row>
    <row r="17" spans="1:8" x14ac:dyDescent="0.15">
      <c r="A17" s="105">
        <v>1247</v>
      </c>
      <c r="B17" s="138" t="str">
        <f>VLOOKUP(A17,[1]characters!$A:$C,3,FALSE)</f>
        <v>潜情のくノ一 望月千代女</v>
      </c>
      <c r="C17" s="105" t="s">
        <v>198</v>
      </c>
      <c r="D17" s="138" t="str">
        <f t="shared" si="1"/>
        <v>1247cskill</v>
      </c>
      <c r="E17" s="138" t="str">
        <f>A17&amp;+(COUNTIF(A17:A$87,A17)-1)</f>
        <v>12472</v>
      </c>
      <c r="F17" s="105" t="s">
        <v>186</v>
      </c>
      <c r="G17" s="162" t="s">
        <v>196</v>
      </c>
      <c r="H17" s="162" t="s">
        <v>403</v>
      </c>
    </row>
    <row r="18" spans="1:8" x14ac:dyDescent="0.15">
      <c r="A18" s="105">
        <v>1247</v>
      </c>
      <c r="B18" s="138" t="str">
        <f>VLOOKUP(A18,[1]characters!$A:$C,3,FALSE)</f>
        <v>潜情のくノ一 望月千代女</v>
      </c>
      <c r="C18" s="105" t="s">
        <v>198</v>
      </c>
      <c r="D18" s="138" t="str">
        <f t="shared" si="1"/>
        <v>1247cskill</v>
      </c>
      <c r="E18" s="138" t="str">
        <f>A18&amp;+(COUNTIF(A18:A$87,A18)-1)</f>
        <v>12471</v>
      </c>
      <c r="F18" s="105" t="s">
        <v>186</v>
      </c>
      <c r="G18" s="162" t="s">
        <v>196</v>
      </c>
      <c r="H18" s="162" t="s">
        <v>404</v>
      </c>
    </row>
    <row r="19" spans="1:8" x14ac:dyDescent="0.15">
      <c r="A19" s="105">
        <v>1247</v>
      </c>
      <c r="B19" s="138" t="str">
        <f>VLOOKUP(A19,[1]characters!$A:$C,3,FALSE)</f>
        <v>潜情のくノ一 望月千代女</v>
      </c>
      <c r="C19" s="105" t="s">
        <v>198</v>
      </c>
      <c r="D19" s="138" t="str">
        <f t="shared" ref="D19:D69" si="2">A19&amp;C19</f>
        <v>1247cskill</v>
      </c>
      <c r="E19" s="138" t="str">
        <f>A19&amp;+(COUNTIF(A19:A$87,A19)-1)</f>
        <v>12470</v>
      </c>
      <c r="F19" s="105" t="s">
        <v>186</v>
      </c>
      <c r="G19" s="162" t="s">
        <v>393</v>
      </c>
      <c r="H19" s="162" t="s">
        <v>405</v>
      </c>
    </row>
    <row r="20" spans="1:8" x14ac:dyDescent="0.15">
      <c r="A20" s="105">
        <v>1238</v>
      </c>
      <c r="B20" s="138" t="str">
        <f>VLOOKUP(A20,[1]characters!$A:$C,3,FALSE)</f>
        <v>服部半蔵</v>
      </c>
      <c r="C20" s="105" t="s">
        <v>195</v>
      </c>
      <c r="D20" s="138" t="str">
        <f t="shared" si="2"/>
        <v>1238skill</v>
      </c>
      <c r="E20" s="138" t="str">
        <f>A20&amp;+(COUNTIF(A20:A$87,A20)-1)</f>
        <v>12383</v>
      </c>
      <c r="F20" s="105" t="s">
        <v>185</v>
      </c>
      <c r="G20" s="162" t="s">
        <v>196</v>
      </c>
      <c r="H20" s="162" t="s">
        <v>406</v>
      </c>
    </row>
    <row r="21" spans="1:8" x14ac:dyDescent="0.15">
      <c r="A21" s="105">
        <v>1238</v>
      </c>
      <c r="B21" s="138" t="str">
        <f>VLOOKUP(A21,[1]characters!$A:$C,3,FALSE)</f>
        <v>服部半蔵</v>
      </c>
      <c r="C21" s="105" t="s">
        <v>198</v>
      </c>
      <c r="D21" s="138" t="str">
        <f t="shared" si="2"/>
        <v>1238cskill</v>
      </c>
      <c r="E21" s="138" t="str">
        <f>A21&amp;+(COUNTIF(A21:A$87,A21)-1)</f>
        <v>12382</v>
      </c>
      <c r="F21" s="105" t="s">
        <v>185</v>
      </c>
      <c r="G21" s="162" t="s">
        <v>396</v>
      </c>
      <c r="H21" s="162" t="s">
        <v>408</v>
      </c>
    </row>
    <row r="22" spans="1:8" x14ac:dyDescent="0.15">
      <c r="A22" s="105">
        <v>1238</v>
      </c>
      <c r="B22" s="138" t="str">
        <f>VLOOKUP(A22,[1]characters!$A:$C,3,FALSE)</f>
        <v>服部半蔵</v>
      </c>
      <c r="C22" s="105" t="s">
        <v>198</v>
      </c>
      <c r="D22" s="138" t="str">
        <f t="shared" si="2"/>
        <v>1238cskill</v>
      </c>
      <c r="E22" s="138" t="str">
        <f>A22&amp;+(COUNTIF(A22:A$87,A22)-1)</f>
        <v>12381</v>
      </c>
      <c r="F22" s="105" t="s">
        <v>185</v>
      </c>
      <c r="G22" s="162" t="s">
        <v>196</v>
      </c>
      <c r="H22" s="162" t="s">
        <v>409</v>
      </c>
    </row>
    <row r="23" spans="1:8" x14ac:dyDescent="0.15">
      <c r="A23" s="105">
        <v>1238</v>
      </c>
      <c r="B23" s="138" t="str">
        <f>VLOOKUP(A23,[1]characters!$A:$C,3,FALSE)</f>
        <v>服部半蔵</v>
      </c>
      <c r="C23" s="105" t="s">
        <v>198</v>
      </c>
      <c r="D23" s="138" t="str">
        <f t="shared" si="2"/>
        <v>1238cskill</v>
      </c>
      <c r="E23" s="138" t="str">
        <f>A23&amp;+(COUNTIF(A23:A$87,A23)-1)</f>
        <v>12380</v>
      </c>
      <c r="F23" s="105" t="s">
        <v>185</v>
      </c>
      <c r="G23" s="162" t="s">
        <v>396</v>
      </c>
      <c r="H23" s="162" t="s">
        <v>410</v>
      </c>
    </row>
    <row r="24" spans="1:8" x14ac:dyDescent="0.15">
      <c r="A24" s="105">
        <v>1239</v>
      </c>
      <c r="B24" s="138" t="str">
        <f>VLOOKUP(A24,[1]characters!$A:$C,3,FALSE)</f>
        <v>音無の機密忍 服部半蔵</v>
      </c>
      <c r="C24" s="105" t="s">
        <v>195</v>
      </c>
      <c r="D24" s="138" t="str">
        <f t="shared" si="2"/>
        <v>1239skill</v>
      </c>
      <c r="E24" s="138" t="str">
        <f>A24&amp;+(COUNTIF(A24:A$87,A24)-1)</f>
        <v>12394</v>
      </c>
      <c r="F24" s="105" t="s">
        <v>185</v>
      </c>
      <c r="G24" s="162" t="s">
        <v>196</v>
      </c>
      <c r="H24" s="162" t="s">
        <v>407</v>
      </c>
    </row>
    <row r="25" spans="1:8" x14ac:dyDescent="0.15">
      <c r="A25" s="105">
        <v>1239</v>
      </c>
      <c r="B25" s="138" t="str">
        <f>VLOOKUP(A25,[1]characters!$A:$C,3,FALSE)</f>
        <v>音無の機密忍 服部半蔵</v>
      </c>
      <c r="C25" s="105" t="s">
        <v>198</v>
      </c>
      <c r="D25" s="138" t="str">
        <f t="shared" si="2"/>
        <v>1239cskill</v>
      </c>
      <c r="E25" s="138" t="str">
        <f>A25&amp;+(COUNTIF(A25:A$87,A25)-1)</f>
        <v>12393</v>
      </c>
      <c r="F25" s="105" t="s">
        <v>185</v>
      </c>
      <c r="G25" s="162" t="s">
        <v>396</v>
      </c>
      <c r="H25" s="162" t="s">
        <v>408</v>
      </c>
    </row>
    <row r="26" spans="1:8" x14ac:dyDescent="0.15">
      <c r="A26" s="105">
        <v>1239</v>
      </c>
      <c r="B26" s="138" t="str">
        <f>VLOOKUP(A26,[1]characters!$A:$C,3,FALSE)</f>
        <v>音無の機密忍 服部半蔵</v>
      </c>
      <c r="C26" s="105" t="s">
        <v>198</v>
      </c>
      <c r="D26" s="138" t="str">
        <f t="shared" si="2"/>
        <v>1239cskill</v>
      </c>
      <c r="E26" s="138" t="str">
        <f>A26&amp;+(COUNTIF(A26:A$87,A26)-1)</f>
        <v>12392</v>
      </c>
      <c r="F26" s="105" t="s">
        <v>185</v>
      </c>
      <c r="G26" s="162" t="s">
        <v>196</v>
      </c>
      <c r="H26" s="162" t="s">
        <v>409</v>
      </c>
    </row>
    <row r="27" spans="1:8" x14ac:dyDescent="0.15">
      <c r="A27" s="105">
        <v>1239</v>
      </c>
      <c r="B27" s="138" t="str">
        <f>VLOOKUP(A27,[1]characters!$A:$C,3,FALSE)</f>
        <v>音無の機密忍 服部半蔵</v>
      </c>
      <c r="C27" s="105" t="s">
        <v>198</v>
      </c>
      <c r="D27" s="138" t="str">
        <f t="shared" si="2"/>
        <v>1239cskill</v>
      </c>
      <c r="E27" s="138" t="str">
        <f>A27&amp;+(COUNTIF(A27:A$87,A27)-1)</f>
        <v>12391</v>
      </c>
      <c r="F27" s="105" t="s">
        <v>185</v>
      </c>
      <c r="G27" s="162" t="s">
        <v>396</v>
      </c>
      <c r="H27" s="162" t="s">
        <v>410</v>
      </c>
    </row>
    <row r="28" spans="1:8" x14ac:dyDescent="0.15">
      <c r="A28" s="105">
        <v>1239</v>
      </c>
      <c r="B28" s="138" t="str">
        <f>VLOOKUP(A28,[1]characters!$A:$C,3,FALSE)</f>
        <v>音無の機密忍 服部半蔵</v>
      </c>
      <c r="C28" s="105" t="s">
        <v>198</v>
      </c>
      <c r="D28" s="138" t="str">
        <f t="shared" si="2"/>
        <v>1239cskill</v>
      </c>
      <c r="E28" s="138" t="str">
        <f>A28&amp;+(COUNTIF(A28:A$87,A28)-1)</f>
        <v>12390</v>
      </c>
      <c r="F28" s="105" t="s">
        <v>185</v>
      </c>
      <c r="G28" s="162" t="s">
        <v>393</v>
      </c>
      <c r="H28" s="162" t="s">
        <v>411</v>
      </c>
    </row>
    <row r="29" spans="1:8" x14ac:dyDescent="0.15">
      <c r="A29" s="105">
        <v>1240</v>
      </c>
      <c r="B29" s="138" t="str">
        <f>VLOOKUP(A29,[1]characters!$A:$C,3,FALSE)</f>
        <v>竹中半兵衛</v>
      </c>
      <c r="C29" s="105" t="s">
        <v>195</v>
      </c>
      <c r="D29" s="138" t="str">
        <f t="shared" si="2"/>
        <v>1240skill</v>
      </c>
      <c r="E29" s="138" t="str">
        <f>A29&amp;+(COUNTIF(A29:A$87,A29)-1)</f>
        <v>12403</v>
      </c>
      <c r="F29" s="105" t="s">
        <v>185</v>
      </c>
      <c r="G29" s="162" t="s">
        <v>196</v>
      </c>
      <c r="H29" s="162" t="s">
        <v>412</v>
      </c>
    </row>
    <row r="30" spans="1:8" x14ac:dyDescent="0.15">
      <c r="A30" s="105">
        <v>1240</v>
      </c>
      <c r="B30" s="138" t="str">
        <f>VLOOKUP(A30,[1]characters!$A:$C,3,FALSE)</f>
        <v>竹中半兵衛</v>
      </c>
      <c r="C30" s="105" t="s">
        <v>198</v>
      </c>
      <c r="D30" s="138" t="str">
        <f t="shared" si="2"/>
        <v>1240cskill</v>
      </c>
      <c r="E30" s="138" t="str">
        <f>A30&amp;+(COUNTIF(A30:A$87,A30)-1)</f>
        <v>12402</v>
      </c>
      <c r="F30" s="105" t="s">
        <v>185</v>
      </c>
      <c r="G30" s="162" t="s">
        <v>196</v>
      </c>
      <c r="H30" s="162" t="s">
        <v>414</v>
      </c>
    </row>
    <row r="31" spans="1:8" x14ac:dyDescent="0.15">
      <c r="A31" s="105">
        <v>1240</v>
      </c>
      <c r="B31" s="138" t="str">
        <f>VLOOKUP(A31,[1]characters!$A:$C,3,FALSE)</f>
        <v>竹中半兵衛</v>
      </c>
      <c r="C31" s="105" t="s">
        <v>198</v>
      </c>
      <c r="D31" s="138" t="str">
        <f t="shared" si="2"/>
        <v>1240cskill</v>
      </c>
      <c r="E31" s="138" t="str">
        <f>A31&amp;+(COUNTIF(A31:A$87,A31)-1)</f>
        <v>12401</v>
      </c>
      <c r="F31" s="105" t="s">
        <v>185</v>
      </c>
      <c r="G31" s="162" t="s">
        <v>393</v>
      </c>
      <c r="H31" s="162" t="s">
        <v>415</v>
      </c>
    </row>
    <row r="32" spans="1:8" x14ac:dyDescent="0.15">
      <c r="A32" s="105">
        <v>1240</v>
      </c>
      <c r="B32" s="138" t="str">
        <f>VLOOKUP(A32,[1]characters!$A:$C,3,FALSE)</f>
        <v>竹中半兵衛</v>
      </c>
      <c r="C32" s="105" t="s">
        <v>198</v>
      </c>
      <c r="D32" s="138" t="str">
        <f t="shared" si="2"/>
        <v>1240cskill</v>
      </c>
      <c r="E32" s="138" t="str">
        <f>A32&amp;+(COUNTIF(A32:A$87,A32)-1)</f>
        <v>12400</v>
      </c>
      <c r="F32" s="105" t="s">
        <v>185</v>
      </c>
      <c r="G32" s="162" t="s">
        <v>393</v>
      </c>
      <c r="H32" s="162" t="s">
        <v>416</v>
      </c>
    </row>
    <row r="33" spans="1:8" x14ac:dyDescent="0.15">
      <c r="A33" s="105">
        <v>1241</v>
      </c>
      <c r="B33" s="138" t="str">
        <f>VLOOKUP(A33,[1]characters!$A:$C,3,FALSE)</f>
        <v>巧妙なる嬢舌 竹中半兵衛</v>
      </c>
      <c r="C33" s="105" t="s">
        <v>195</v>
      </c>
      <c r="D33" s="138" t="str">
        <f t="shared" si="2"/>
        <v>1241skill</v>
      </c>
      <c r="E33" s="138" t="str">
        <f>A33&amp;+(COUNTIF(A33:A$87,A33)-1)</f>
        <v>12414</v>
      </c>
      <c r="F33" s="105" t="s">
        <v>185</v>
      </c>
      <c r="G33" s="162" t="s">
        <v>196</v>
      </c>
      <c r="H33" s="162" t="s">
        <v>413</v>
      </c>
    </row>
    <row r="34" spans="1:8" x14ac:dyDescent="0.15">
      <c r="A34" s="105">
        <v>1241</v>
      </c>
      <c r="B34" s="138" t="str">
        <f>VLOOKUP(A34,[1]characters!$A:$C,3,FALSE)</f>
        <v>巧妙なる嬢舌 竹中半兵衛</v>
      </c>
      <c r="C34" s="105" t="s">
        <v>198</v>
      </c>
      <c r="D34" s="138" t="str">
        <f t="shared" si="2"/>
        <v>1241cskill</v>
      </c>
      <c r="E34" s="138" t="str">
        <f>A34&amp;+(COUNTIF(A34:A$87,A34)-1)</f>
        <v>12413</v>
      </c>
      <c r="F34" s="105" t="s">
        <v>185</v>
      </c>
      <c r="G34" s="162" t="s">
        <v>196</v>
      </c>
      <c r="H34" s="162" t="s">
        <v>414</v>
      </c>
    </row>
    <row r="35" spans="1:8" x14ac:dyDescent="0.15">
      <c r="A35" s="105">
        <v>1241</v>
      </c>
      <c r="B35" s="138" t="str">
        <f>VLOOKUP(A35,[1]characters!$A:$C,3,FALSE)</f>
        <v>巧妙なる嬢舌 竹中半兵衛</v>
      </c>
      <c r="C35" s="105" t="s">
        <v>198</v>
      </c>
      <c r="D35" s="138" t="str">
        <f t="shared" si="2"/>
        <v>1241cskill</v>
      </c>
      <c r="E35" s="138" t="str">
        <f>A35&amp;+(COUNTIF(A35:A$87,A35)-1)</f>
        <v>12412</v>
      </c>
      <c r="F35" s="105" t="s">
        <v>185</v>
      </c>
      <c r="G35" s="162" t="s">
        <v>393</v>
      </c>
      <c r="H35" s="162" t="s">
        <v>415</v>
      </c>
    </row>
    <row r="36" spans="1:8" x14ac:dyDescent="0.15">
      <c r="A36" s="105">
        <v>1241</v>
      </c>
      <c r="B36" s="138" t="str">
        <f>VLOOKUP(A36,[1]characters!$A:$C,3,FALSE)</f>
        <v>巧妙なる嬢舌 竹中半兵衛</v>
      </c>
      <c r="C36" s="105" t="s">
        <v>198</v>
      </c>
      <c r="D36" s="138" t="str">
        <f t="shared" si="2"/>
        <v>1241cskill</v>
      </c>
      <c r="E36" s="138" t="str">
        <f>A36&amp;+(COUNTIF(A36:A$87,A36)-1)</f>
        <v>12411</v>
      </c>
      <c r="F36" s="105" t="s">
        <v>185</v>
      </c>
      <c r="G36" s="162" t="s">
        <v>393</v>
      </c>
      <c r="H36" s="162" t="s">
        <v>416</v>
      </c>
    </row>
    <row r="37" spans="1:8" x14ac:dyDescent="0.15">
      <c r="A37" s="105">
        <v>1241</v>
      </c>
      <c r="B37" s="138" t="str">
        <f>VLOOKUP(A37,[1]characters!$A:$C,3,FALSE)</f>
        <v>巧妙なる嬢舌 竹中半兵衛</v>
      </c>
      <c r="C37" s="105" t="s">
        <v>198</v>
      </c>
      <c r="D37" s="138" t="str">
        <f t="shared" si="2"/>
        <v>1241cskill</v>
      </c>
      <c r="E37" s="138" t="str">
        <f>A37&amp;+(COUNTIF(A37:A$87,A37)-1)</f>
        <v>12410</v>
      </c>
      <c r="F37" s="105" t="s">
        <v>185</v>
      </c>
      <c r="G37" s="162" t="s">
        <v>393</v>
      </c>
      <c r="H37" s="162" t="s">
        <v>417</v>
      </c>
    </row>
    <row r="38" spans="1:8" x14ac:dyDescent="0.15">
      <c r="A38" s="105">
        <v>1242</v>
      </c>
      <c r="B38" s="138" t="str">
        <f>VLOOKUP(A38,[1]characters!$A:$C,3,FALSE)</f>
        <v>豊臣秀吉</v>
      </c>
      <c r="C38" s="105" t="s">
        <v>195</v>
      </c>
      <c r="D38" s="138" t="str">
        <f t="shared" si="2"/>
        <v>1242skill</v>
      </c>
      <c r="E38" s="138" t="str">
        <f>A38&amp;+(COUNTIF(A38:A$87,A38)-1)</f>
        <v>12423</v>
      </c>
      <c r="F38" s="105" t="s">
        <v>185</v>
      </c>
      <c r="G38" s="162" t="s">
        <v>393</v>
      </c>
      <c r="H38" s="162" t="s">
        <v>418</v>
      </c>
    </row>
    <row r="39" spans="1:8" x14ac:dyDescent="0.15">
      <c r="A39" s="105">
        <v>1242</v>
      </c>
      <c r="B39" s="138" t="str">
        <f>VLOOKUP(A39,[1]characters!$A:$C,3,FALSE)</f>
        <v>豊臣秀吉</v>
      </c>
      <c r="C39" s="105" t="s">
        <v>198</v>
      </c>
      <c r="D39" s="138" t="str">
        <f t="shared" si="2"/>
        <v>1242cskill</v>
      </c>
      <c r="E39" s="138" t="str">
        <f>A39&amp;+(COUNTIF(A39:A$87,A39)-1)</f>
        <v>12422</v>
      </c>
      <c r="F39" s="105" t="s">
        <v>185</v>
      </c>
      <c r="G39" s="162" t="s">
        <v>393</v>
      </c>
      <c r="H39" s="162" t="s">
        <v>420</v>
      </c>
    </row>
    <row r="40" spans="1:8" x14ac:dyDescent="0.15">
      <c r="A40" s="105">
        <v>1242</v>
      </c>
      <c r="B40" s="138" t="str">
        <f>VLOOKUP(A40,[1]characters!$A:$C,3,FALSE)</f>
        <v>豊臣秀吉</v>
      </c>
      <c r="C40" s="105" t="s">
        <v>198</v>
      </c>
      <c r="D40" s="138" t="str">
        <f t="shared" si="2"/>
        <v>1242cskill</v>
      </c>
      <c r="E40" s="138" t="str">
        <f>A40&amp;+(COUNTIF(A40:A$87,A40)-1)</f>
        <v>12421</v>
      </c>
      <c r="F40" s="105" t="s">
        <v>185</v>
      </c>
      <c r="G40" s="162" t="s">
        <v>393</v>
      </c>
      <c r="H40" s="162" t="s">
        <v>421</v>
      </c>
    </row>
    <row r="41" spans="1:8" x14ac:dyDescent="0.15">
      <c r="A41" s="105">
        <v>1242</v>
      </c>
      <c r="B41" s="138" t="str">
        <f>VLOOKUP(A41,[1]characters!$A:$C,3,FALSE)</f>
        <v>豊臣秀吉</v>
      </c>
      <c r="C41" s="105" t="s">
        <v>198</v>
      </c>
      <c r="D41" s="138" t="str">
        <f t="shared" si="2"/>
        <v>1242cskill</v>
      </c>
      <c r="E41" s="138" t="str">
        <f>A41&amp;+(COUNTIF(A41:A$87,A41)-1)</f>
        <v>12420</v>
      </c>
      <c r="F41" s="105" t="s">
        <v>185</v>
      </c>
      <c r="G41" s="162" t="s">
        <v>393</v>
      </c>
      <c r="H41" s="162" t="s">
        <v>422</v>
      </c>
    </row>
    <row r="42" spans="1:8" x14ac:dyDescent="0.15">
      <c r="A42" s="105">
        <v>1243</v>
      </c>
      <c r="B42" s="138" t="str">
        <f>VLOOKUP(A42,[1]characters!$A:$C,3,FALSE)</f>
        <v>新世覇の昇竜 豊臣秀吉</v>
      </c>
      <c r="C42" s="105" t="s">
        <v>195</v>
      </c>
      <c r="D42" s="138" t="str">
        <f t="shared" si="2"/>
        <v>1243skill</v>
      </c>
      <c r="E42" s="138" t="str">
        <f>A42&amp;+(COUNTIF(A42:A$87,A42)-1)</f>
        <v>12434</v>
      </c>
      <c r="F42" s="105" t="s">
        <v>185</v>
      </c>
      <c r="G42" s="162" t="s">
        <v>393</v>
      </c>
      <c r="H42" s="162" t="s">
        <v>419</v>
      </c>
    </row>
    <row r="43" spans="1:8" x14ac:dyDescent="0.15">
      <c r="A43" s="105">
        <v>1243</v>
      </c>
      <c r="B43" s="138" t="str">
        <f>VLOOKUP(A43,[1]characters!$A:$C,3,FALSE)</f>
        <v>新世覇の昇竜 豊臣秀吉</v>
      </c>
      <c r="C43" s="105" t="s">
        <v>198</v>
      </c>
      <c r="D43" s="138" t="str">
        <f t="shared" si="2"/>
        <v>1243cskill</v>
      </c>
      <c r="E43" s="138" t="str">
        <f>A43&amp;+(COUNTIF(A43:A$87,A43)-1)</f>
        <v>12433</v>
      </c>
      <c r="F43" s="105" t="s">
        <v>185</v>
      </c>
      <c r="G43" s="162" t="s">
        <v>393</v>
      </c>
      <c r="H43" s="162" t="s">
        <v>420</v>
      </c>
    </row>
    <row r="44" spans="1:8" x14ac:dyDescent="0.15">
      <c r="A44" s="105">
        <v>1243</v>
      </c>
      <c r="B44" s="138" t="str">
        <f>VLOOKUP(A44,[1]characters!$A:$C,3,FALSE)</f>
        <v>新世覇の昇竜 豊臣秀吉</v>
      </c>
      <c r="C44" s="105" t="s">
        <v>198</v>
      </c>
      <c r="D44" s="138" t="str">
        <f t="shared" si="2"/>
        <v>1243cskill</v>
      </c>
      <c r="E44" s="138" t="str">
        <f>A44&amp;+(COUNTIF(A44:A$87,A44)-1)</f>
        <v>12432</v>
      </c>
      <c r="F44" s="105" t="s">
        <v>185</v>
      </c>
      <c r="G44" s="162" t="s">
        <v>393</v>
      </c>
      <c r="H44" s="162" t="s">
        <v>421</v>
      </c>
    </row>
    <row r="45" spans="1:8" x14ac:dyDescent="0.15">
      <c r="A45" s="105">
        <v>1243</v>
      </c>
      <c r="B45" s="138" t="str">
        <f>VLOOKUP(A45,[1]characters!$A:$C,3,FALSE)</f>
        <v>新世覇の昇竜 豊臣秀吉</v>
      </c>
      <c r="C45" s="105" t="s">
        <v>198</v>
      </c>
      <c r="D45" s="138" t="str">
        <f t="shared" si="2"/>
        <v>1243cskill</v>
      </c>
      <c r="E45" s="138" t="str">
        <f>A45&amp;+(COUNTIF(A45:A$87,A45)-1)</f>
        <v>12431</v>
      </c>
      <c r="F45" s="105" t="s">
        <v>185</v>
      </c>
      <c r="G45" s="162" t="s">
        <v>393</v>
      </c>
      <c r="H45" s="162" t="s">
        <v>422</v>
      </c>
    </row>
    <row r="46" spans="1:8" x14ac:dyDescent="0.15">
      <c r="A46" s="105">
        <v>1243</v>
      </c>
      <c r="B46" s="138" t="str">
        <f>VLOOKUP(A46,[1]characters!$A:$C,3,FALSE)</f>
        <v>新世覇の昇竜 豊臣秀吉</v>
      </c>
      <c r="C46" s="105" t="s">
        <v>198</v>
      </c>
      <c r="D46" s="138" t="str">
        <f t="shared" si="2"/>
        <v>1243cskill</v>
      </c>
      <c r="E46" s="138" t="str">
        <f>A46&amp;+(COUNTIF(A46:A$87,A46)-1)</f>
        <v>12430</v>
      </c>
      <c r="F46" s="105" t="s">
        <v>185</v>
      </c>
      <c r="G46" s="162" t="s">
        <v>393</v>
      </c>
      <c r="H46" s="162" t="s">
        <v>423</v>
      </c>
    </row>
    <row r="47" spans="1:8" x14ac:dyDescent="0.15">
      <c r="A47" s="105">
        <v>1248</v>
      </c>
      <c r="B47" s="138" t="str">
        <f>VLOOKUP(A47,[1]characters!$A:$C,3,FALSE)</f>
        <v>寧々</v>
      </c>
      <c r="C47" s="105" t="s">
        <v>195</v>
      </c>
      <c r="D47" s="138" t="str">
        <f t="shared" si="2"/>
        <v>1248skill</v>
      </c>
      <c r="E47" s="138" t="str">
        <f>A47&amp;+(COUNTIF(A47:A$87,A47)-1)</f>
        <v>12482</v>
      </c>
      <c r="F47" s="105" t="s">
        <v>185</v>
      </c>
      <c r="G47" s="162" t="s">
        <v>393</v>
      </c>
      <c r="H47" s="162" t="s">
        <v>424</v>
      </c>
    </row>
    <row r="48" spans="1:8" x14ac:dyDescent="0.15">
      <c r="A48" s="105">
        <v>1248</v>
      </c>
      <c r="B48" s="138" t="str">
        <f>VLOOKUP(A48,[1]characters!$A:$C,3,FALSE)</f>
        <v>寧々</v>
      </c>
      <c r="C48" s="105" t="s">
        <v>198</v>
      </c>
      <c r="D48" s="138" t="str">
        <f t="shared" si="2"/>
        <v>1248cskill</v>
      </c>
      <c r="E48" s="138" t="str">
        <f>A48&amp;+(COUNTIF(A48:A$87,A48)-1)</f>
        <v>12481</v>
      </c>
      <c r="F48" s="105" t="s">
        <v>185</v>
      </c>
      <c r="G48" s="162" t="s">
        <v>393</v>
      </c>
      <c r="H48" s="162" t="s">
        <v>426</v>
      </c>
    </row>
    <row r="49" spans="1:8" x14ac:dyDescent="0.15">
      <c r="A49" s="105">
        <v>1248</v>
      </c>
      <c r="B49" s="138" t="str">
        <f>VLOOKUP(A49,[1]characters!$A:$C,3,FALSE)</f>
        <v>寧々</v>
      </c>
      <c r="C49" s="105" t="s">
        <v>198</v>
      </c>
      <c r="D49" s="138" t="str">
        <f t="shared" si="2"/>
        <v>1248cskill</v>
      </c>
      <c r="E49" s="138" t="str">
        <f>A49&amp;+(COUNTIF(A49:A$87,A49)-1)</f>
        <v>12480</v>
      </c>
      <c r="F49" s="105" t="s">
        <v>185</v>
      </c>
      <c r="G49" s="162" t="s">
        <v>196</v>
      </c>
      <c r="H49" s="162" t="s">
        <v>427</v>
      </c>
    </row>
    <row r="50" spans="1:8" x14ac:dyDescent="0.15">
      <c r="A50" s="105">
        <v>1249</v>
      </c>
      <c r="B50" s="138" t="str">
        <f>VLOOKUP(A50,[1]characters!$A:$C,3,FALSE)</f>
        <v>君臨する姐御様 寧々</v>
      </c>
      <c r="C50" s="105" t="s">
        <v>195</v>
      </c>
      <c r="D50" s="138" t="str">
        <f t="shared" si="2"/>
        <v>1249skill</v>
      </c>
      <c r="E50" s="138" t="str">
        <f>A50&amp;+(COUNTIF(A50:A$87,A50)-1)</f>
        <v>12493</v>
      </c>
      <c r="F50" s="105" t="s">
        <v>185</v>
      </c>
      <c r="G50" s="162" t="s">
        <v>393</v>
      </c>
      <c r="H50" s="162" t="s">
        <v>425</v>
      </c>
    </row>
    <row r="51" spans="1:8" x14ac:dyDescent="0.15">
      <c r="A51" s="105">
        <v>1249</v>
      </c>
      <c r="B51" s="138" t="str">
        <f>VLOOKUP(A51,[1]characters!$A:$C,3,FALSE)</f>
        <v>君臨する姐御様 寧々</v>
      </c>
      <c r="C51" s="105" t="s">
        <v>198</v>
      </c>
      <c r="D51" s="138" t="str">
        <f t="shared" si="2"/>
        <v>1249cskill</v>
      </c>
      <c r="E51" s="138" t="str">
        <f>A51&amp;+(COUNTIF(A51:A$87,A51)-1)</f>
        <v>12492</v>
      </c>
      <c r="F51" s="105" t="s">
        <v>185</v>
      </c>
      <c r="G51" s="162" t="s">
        <v>393</v>
      </c>
      <c r="H51" s="162" t="s">
        <v>426</v>
      </c>
    </row>
    <row r="52" spans="1:8" x14ac:dyDescent="0.15">
      <c r="A52" s="105">
        <v>1249</v>
      </c>
      <c r="B52" s="138" t="str">
        <f>VLOOKUP(A52,[1]characters!$A:$C,3,FALSE)</f>
        <v>君臨する姐御様 寧々</v>
      </c>
      <c r="C52" s="105" t="s">
        <v>198</v>
      </c>
      <c r="D52" s="138" t="str">
        <f t="shared" si="2"/>
        <v>1249cskill</v>
      </c>
      <c r="E52" s="138" t="str">
        <f>A52&amp;+(COUNTIF(A52:A$87,A52)-1)</f>
        <v>12491</v>
      </c>
      <c r="F52" s="105" t="s">
        <v>185</v>
      </c>
      <c r="G52" s="162" t="s">
        <v>196</v>
      </c>
      <c r="H52" s="162" t="s">
        <v>427</v>
      </c>
    </row>
    <row r="53" spans="1:8" x14ac:dyDescent="0.15">
      <c r="A53" s="105">
        <v>1249</v>
      </c>
      <c r="B53" s="138" t="str">
        <f>VLOOKUP(A53,[1]characters!$A:$C,3,FALSE)</f>
        <v>君臨する姐御様 寧々</v>
      </c>
      <c r="C53" s="105" t="s">
        <v>198</v>
      </c>
      <c r="D53" s="138" t="str">
        <f t="shared" si="2"/>
        <v>1249cskill</v>
      </c>
      <c r="E53" s="138" t="str">
        <f>A53&amp;+(COUNTIF(A53:A$87,A53)-1)</f>
        <v>12490</v>
      </c>
      <c r="F53" s="105" t="s">
        <v>185</v>
      </c>
      <c r="G53" s="162" t="s">
        <v>393</v>
      </c>
      <c r="H53" s="162" t="s">
        <v>428</v>
      </c>
    </row>
    <row r="54" spans="1:8" x14ac:dyDescent="0.15">
      <c r="A54" s="105">
        <v>1250</v>
      </c>
      <c r="B54" s="138" t="str">
        <f>VLOOKUP(A54,[1]characters!$A:$C,3,FALSE)</f>
        <v>真田幸村</v>
      </c>
      <c r="C54" s="105" t="s">
        <v>195</v>
      </c>
      <c r="D54" s="138" t="str">
        <f t="shared" si="2"/>
        <v>1250skill</v>
      </c>
      <c r="E54" s="138" t="str">
        <f>A54&amp;+(COUNTIF(A54:A$87,A54)-1)</f>
        <v>12503</v>
      </c>
      <c r="F54" s="105" t="s">
        <v>185</v>
      </c>
      <c r="G54" s="162" t="s">
        <v>393</v>
      </c>
      <c r="H54" s="162" t="s">
        <v>429</v>
      </c>
    </row>
    <row r="55" spans="1:8" x14ac:dyDescent="0.15">
      <c r="A55" s="105">
        <v>1250</v>
      </c>
      <c r="B55" s="138" t="str">
        <f>VLOOKUP(A55,[1]characters!$A:$C,3,FALSE)</f>
        <v>真田幸村</v>
      </c>
      <c r="C55" s="105" t="s">
        <v>198</v>
      </c>
      <c r="D55" s="138" t="str">
        <f t="shared" si="2"/>
        <v>1250cskill</v>
      </c>
      <c r="E55" s="138" t="str">
        <f>A55&amp;+(COUNTIF(A55:A$87,A55)-1)</f>
        <v>12502</v>
      </c>
      <c r="F55" s="105" t="s">
        <v>185</v>
      </c>
      <c r="G55" s="162" t="s">
        <v>393</v>
      </c>
      <c r="H55" s="162" t="s">
        <v>431</v>
      </c>
    </row>
    <row r="56" spans="1:8" x14ac:dyDescent="0.15">
      <c r="A56" s="105">
        <v>1250</v>
      </c>
      <c r="B56" s="138" t="str">
        <f>VLOOKUP(A56,[1]characters!$A:$C,3,FALSE)</f>
        <v>真田幸村</v>
      </c>
      <c r="C56" s="105" t="s">
        <v>198</v>
      </c>
      <c r="D56" s="138" t="str">
        <f t="shared" si="2"/>
        <v>1250cskill</v>
      </c>
      <c r="E56" s="138" t="str">
        <f>A56&amp;+(COUNTIF(A56:A$87,A56)-1)</f>
        <v>12501</v>
      </c>
      <c r="F56" s="105" t="s">
        <v>185</v>
      </c>
      <c r="G56" s="162" t="s">
        <v>196</v>
      </c>
      <c r="H56" s="162" t="s">
        <v>432</v>
      </c>
    </row>
    <row r="57" spans="1:8" x14ac:dyDescent="0.15">
      <c r="A57" s="105">
        <v>1250</v>
      </c>
      <c r="B57" s="138" t="str">
        <f>VLOOKUP(A57,[1]characters!$A:$C,3,FALSE)</f>
        <v>真田幸村</v>
      </c>
      <c r="C57" s="105" t="s">
        <v>198</v>
      </c>
      <c r="D57" s="138" t="str">
        <f t="shared" si="2"/>
        <v>1250cskill</v>
      </c>
      <c r="E57" s="138" t="str">
        <f>A57&amp;+(COUNTIF(A57:A$87,A57)-1)</f>
        <v>12500</v>
      </c>
      <c r="F57" s="105" t="s">
        <v>185</v>
      </c>
      <c r="G57" s="162" t="s">
        <v>393</v>
      </c>
      <c r="H57" s="162" t="s">
        <v>433</v>
      </c>
    </row>
    <row r="58" spans="1:8" x14ac:dyDescent="0.15">
      <c r="A58" s="105">
        <v>1251</v>
      </c>
      <c r="B58" s="138" t="str">
        <f>VLOOKUP(A58,[1]characters!$A:$C,3,FALSE)</f>
        <v>錯槍の英勇 真田幸村</v>
      </c>
      <c r="C58" s="105" t="s">
        <v>195</v>
      </c>
      <c r="D58" s="138" t="str">
        <f t="shared" si="2"/>
        <v>1251skill</v>
      </c>
      <c r="E58" s="138" t="str">
        <f>A58&amp;+(COUNTIF(A58:A$87,A58)-1)</f>
        <v>12514</v>
      </c>
      <c r="F58" s="105" t="s">
        <v>185</v>
      </c>
      <c r="G58" s="162" t="s">
        <v>393</v>
      </c>
      <c r="H58" s="162" t="s">
        <v>430</v>
      </c>
    </row>
    <row r="59" spans="1:8" x14ac:dyDescent="0.15">
      <c r="A59" s="105">
        <v>1251</v>
      </c>
      <c r="B59" s="138" t="str">
        <f>VLOOKUP(A59,[1]characters!$A:$C,3,FALSE)</f>
        <v>錯槍の英勇 真田幸村</v>
      </c>
      <c r="C59" s="105" t="s">
        <v>198</v>
      </c>
      <c r="D59" s="138" t="str">
        <f t="shared" si="2"/>
        <v>1251cskill</v>
      </c>
      <c r="E59" s="138" t="str">
        <f>A59&amp;+(COUNTIF(A59:A$87,A59)-1)</f>
        <v>12513</v>
      </c>
      <c r="F59" s="105" t="s">
        <v>185</v>
      </c>
      <c r="G59" s="162" t="s">
        <v>393</v>
      </c>
      <c r="H59" s="162" t="s">
        <v>431</v>
      </c>
    </row>
    <row r="60" spans="1:8" x14ac:dyDescent="0.15">
      <c r="A60" s="105">
        <v>1251</v>
      </c>
      <c r="B60" s="138" t="str">
        <f>VLOOKUP(A60,[1]characters!$A:$C,3,FALSE)</f>
        <v>錯槍の英勇 真田幸村</v>
      </c>
      <c r="C60" s="105" t="s">
        <v>198</v>
      </c>
      <c r="D60" s="138" t="str">
        <f t="shared" si="2"/>
        <v>1251cskill</v>
      </c>
      <c r="E60" s="138" t="str">
        <f>A60&amp;+(COUNTIF(A60:A$87,A60)-1)</f>
        <v>12512</v>
      </c>
      <c r="F60" s="105" t="s">
        <v>185</v>
      </c>
      <c r="G60" s="162" t="s">
        <v>196</v>
      </c>
      <c r="H60" s="162" t="s">
        <v>432</v>
      </c>
    </row>
    <row r="61" spans="1:8" x14ac:dyDescent="0.15">
      <c r="A61" s="105">
        <v>1251</v>
      </c>
      <c r="B61" s="138" t="str">
        <f>VLOOKUP(A61,[1]characters!$A:$C,3,FALSE)</f>
        <v>錯槍の英勇 真田幸村</v>
      </c>
      <c r="C61" s="105" t="s">
        <v>198</v>
      </c>
      <c r="D61" s="138" t="str">
        <f t="shared" si="2"/>
        <v>1251cskill</v>
      </c>
      <c r="E61" s="138" t="str">
        <f>A61&amp;+(COUNTIF(A61:A$87,A61)-1)</f>
        <v>12511</v>
      </c>
      <c r="F61" s="105" t="s">
        <v>185</v>
      </c>
      <c r="G61" s="162" t="s">
        <v>393</v>
      </c>
      <c r="H61" s="162" t="s">
        <v>433</v>
      </c>
    </row>
    <row r="62" spans="1:8" x14ac:dyDescent="0.15">
      <c r="A62" s="105">
        <v>1251</v>
      </c>
      <c r="B62" s="138" t="str">
        <f>VLOOKUP(A62,[1]characters!$A:$C,3,FALSE)</f>
        <v>錯槍の英勇 真田幸村</v>
      </c>
      <c r="C62" s="105" t="s">
        <v>198</v>
      </c>
      <c r="D62" s="138" t="str">
        <f t="shared" si="2"/>
        <v>1251cskill</v>
      </c>
      <c r="E62" s="138" t="str">
        <f>A62&amp;+(COUNTIF(A62:A$87,A62)-1)</f>
        <v>12510</v>
      </c>
      <c r="F62" s="105" t="s">
        <v>185</v>
      </c>
      <c r="G62" s="162" t="s">
        <v>393</v>
      </c>
      <c r="H62" s="162" t="s">
        <v>434</v>
      </c>
    </row>
    <row r="63" spans="1:8" x14ac:dyDescent="0.15">
      <c r="A63" s="105">
        <v>1236</v>
      </c>
      <c r="B63" s="138" t="str">
        <f>VLOOKUP(A63,[1]characters!$A:$C,3,FALSE)</f>
        <v>千利休</v>
      </c>
      <c r="C63" s="105" t="s">
        <v>195</v>
      </c>
      <c r="D63" s="138" t="str">
        <f t="shared" si="2"/>
        <v>1236skill</v>
      </c>
      <c r="E63" s="138" t="str">
        <f>A63&amp;+(COUNTIF(A63:A$87,A63)-1)</f>
        <v>12362</v>
      </c>
      <c r="F63" s="105" t="s">
        <v>185</v>
      </c>
      <c r="G63" s="162" t="s">
        <v>196</v>
      </c>
      <c r="H63" s="162" t="s">
        <v>435</v>
      </c>
    </row>
    <row r="64" spans="1:8" x14ac:dyDescent="0.15">
      <c r="A64" s="105">
        <v>1236</v>
      </c>
      <c r="B64" s="138" t="str">
        <f>VLOOKUP(A64,[1]characters!$A:$C,3,FALSE)</f>
        <v>千利休</v>
      </c>
      <c r="C64" s="105" t="s">
        <v>198</v>
      </c>
      <c r="D64" s="138" t="str">
        <f t="shared" si="2"/>
        <v>1236cskill</v>
      </c>
      <c r="E64" s="138" t="str">
        <f>A64&amp;+(COUNTIF(A64:A$87,A64)-1)</f>
        <v>12361</v>
      </c>
      <c r="F64" s="105" t="s">
        <v>185</v>
      </c>
      <c r="G64" s="162" t="s">
        <v>196</v>
      </c>
      <c r="H64" s="162" t="s">
        <v>437</v>
      </c>
    </row>
    <row r="65" spans="1:8" x14ac:dyDescent="0.15">
      <c r="A65" s="105">
        <v>1236</v>
      </c>
      <c r="B65" s="138" t="str">
        <f>VLOOKUP(A65,[1]characters!$A:$C,3,FALSE)</f>
        <v>千利休</v>
      </c>
      <c r="C65" s="105" t="s">
        <v>198</v>
      </c>
      <c r="D65" s="138" t="str">
        <f t="shared" si="2"/>
        <v>1236cskill</v>
      </c>
      <c r="E65" s="138" t="str">
        <f>A65&amp;+(COUNTIF(A65:A$87,A65)-1)</f>
        <v>12360</v>
      </c>
      <c r="F65" s="105" t="s">
        <v>185</v>
      </c>
      <c r="G65" s="162" t="s">
        <v>196</v>
      </c>
      <c r="H65" s="162" t="s">
        <v>438</v>
      </c>
    </row>
    <row r="66" spans="1:8" x14ac:dyDescent="0.15">
      <c r="A66" s="105">
        <v>1237</v>
      </c>
      <c r="B66" s="138" t="str">
        <f>VLOOKUP(A66,[1]characters!$A:$C,3,FALSE)</f>
        <v>夢茶の目付役 千利休</v>
      </c>
      <c r="C66" s="105" t="s">
        <v>195</v>
      </c>
      <c r="D66" s="138" t="str">
        <f t="shared" si="2"/>
        <v>1237skill</v>
      </c>
      <c r="E66" s="138" t="str">
        <f>A66&amp;+(COUNTIF(A66:A$87,A66)-1)</f>
        <v>12373</v>
      </c>
      <c r="F66" s="105" t="s">
        <v>185</v>
      </c>
      <c r="G66" s="162" t="s">
        <v>393</v>
      </c>
      <c r="H66" s="162" t="s">
        <v>436</v>
      </c>
    </row>
    <row r="67" spans="1:8" x14ac:dyDescent="0.15">
      <c r="A67" s="105">
        <v>1237</v>
      </c>
      <c r="B67" s="138" t="str">
        <f>VLOOKUP(A67,[1]characters!$A:$C,3,FALSE)</f>
        <v>夢茶の目付役 千利休</v>
      </c>
      <c r="C67" s="105" t="s">
        <v>198</v>
      </c>
      <c r="D67" s="138" t="str">
        <f t="shared" si="2"/>
        <v>1237cskill</v>
      </c>
      <c r="E67" s="138" t="str">
        <f>A67&amp;+(COUNTIF(A67:A$87,A67)-1)</f>
        <v>12372</v>
      </c>
      <c r="F67" s="105" t="s">
        <v>185</v>
      </c>
      <c r="G67" s="162" t="s">
        <v>196</v>
      </c>
      <c r="H67" s="162" t="s">
        <v>437</v>
      </c>
    </row>
    <row r="68" spans="1:8" x14ac:dyDescent="0.15">
      <c r="A68" s="105">
        <v>1237</v>
      </c>
      <c r="B68" s="138" t="str">
        <f>VLOOKUP(A68,[1]characters!$A:$C,3,FALSE)</f>
        <v>夢茶の目付役 千利休</v>
      </c>
      <c r="C68" s="105" t="s">
        <v>198</v>
      </c>
      <c r="D68" s="138" t="str">
        <f t="shared" si="2"/>
        <v>1237cskill</v>
      </c>
      <c r="E68" s="138" t="str">
        <f>A68&amp;+(COUNTIF(A68:A$87,A68)-1)</f>
        <v>12371</v>
      </c>
      <c r="F68" s="105" t="s">
        <v>185</v>
      </c>
      <c r="G68" s="162" t="s">
        <v>196</v>
      </c>
      <c r="H68" s="162" t="s">
        <v>438</v>
      </c>
    </row>
    <row r="69" spans="1:8" x14ac:dyDescent="0.15">
      <c r="A69" s="105">
        <v>1237</v>
      </c>
      <c r="B69" s="138" t="str">
        <f>VLOOKUP(A69,[1]characters!$A:$C,3,FALSE)</f>
        <v>夢茶の目付役 千利休</v>
      </c>
      <c r="C69" s="105" t="s">
        <v>198</v>
      </c>
      <c r="D69" s="138" t="str">
        <f t="shared" si="2"/>
        <v>1237cskill</v>
      </c>
      <c r="E69" s="138" t="str">
        <f>A69&amp;+(COUNTIF(A69:A$87,A69)-1)</f>
        <v>12370</v>
      </c>
      <c r="F69" s="105" t="s">
        <v>185</v>
      </c>
      <c r="G69" s="162" t="s">
        <v>393</v>
      </c>
      <c r="H69" s="162" t="s">
        <v>439</v>
      </c>
    </row>
  </sheetData>
  <phoneticPr fontId="22"/>
  <dataValidations count="2">
    <dataValidation type="list" allowBlank="1" showInputMessage="1" showErrorMessage="1" sqref="G2:G69">
      <formula1>"maru,giza,kumo"</formula1>
    </dataValidation>
    <dataValidation type="list" allowBlank="1" showInputMessage="1" showErrorMessage="1" sqref="C2:C6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9"/>
  <sheetViews>
    <sheetView showGridLines="0" workbookViewId="0">
      <pane xSplit="9" ySplit="1" topLeftCell="P2" activePane="bottomRight" state="frozen"/>
      <selection pane="topRight" activeCell="J1" sqref="J1"/>
      <selection pane="bottomLeft" activeCell="A3" sqref="A3"/>
      <selection pane="bottomRight" activeCell="Q15" sqref="Q15"/>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1244</v>
      </c>
      <c r="B2" s="53" t="str">
        <f ca="1">VLOOKUP($A2,OFFSET([1]characters!$A$1,0,0,COUNTA([1]characters!$A:$A),MATCH(B$1,[1]characters!$1:$1,0)-MATCH($A$1,[1]characters!$1:$1,0)+1),MATCH(B$1,[1]characters!$1:$1,0)-MATCH($A$1,[1]characters!$1:$1,0)+1,FALSE)</f>
        <v>猿飛佐助</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1245</v>
      </c>
      <c r="R2" s="58" t="str">
        <f ca="1">IF(Q2="NULL","",VLOOKUP($Q2,OFFSET([1]characters!$A$1,0,0,COUNTA([1]characters!$A:$A),MATCH(R$1,[1]characters!$1:$1,0)-MATCH($A$1,[1]characters!$1:$1,0)+1),MATCH(R$1,[1]characters!$1:$1,0)-MATCH($A$1,[1]characters!$1:$1,0)+1,FALSE))</f>
        <v>甲火の特殊忍 猿飛佐助</v>
      </c>
      <c r="S2" s="5">
        <f t="shared" ref="S2:S8" ca="1" si="0">IF(ISNA(MATCH(A2,Q:Q,0)),A2,INDIRECT(ADDRESS(MATCH(A2,Q:Q,0),COLUMN())))</f>
        <v>1244</v>
      </c>
      <c r="T2" s="58" t="str">
        <f ca="1">VLOOKUP($S2,OFFSET([1]characters!$A$1,0,0,COUNTA([1]characters!$A:$A),MATCH(T$1,[1]characters!$1:$1,0)-MATCH($A$1,[1]characters!$1:$1,0)+1),MATCH(T$1,[1]characters!$1:$1,0)-MATCH($A$1,[1]characters!$1:$1,0)+1,FALSE)</f>
        <v>猿飛佐助</v>
      </c>
      <c r="U2" s="10">
        <f ca="1">IF(Q2="NULL","NULL",VLOOKUP(G2,[2]ビット!$A$2:$B$7,2))</f>
        <v>200000</v>
      </c>
    </row>
    <row r="3" spans="1:21" ht="21" customHeight="1" x14ac:dyDescent="0.15">
      <c r="A3" s="191">
        <v>1246</v>
      </c>
      <c r="B3" s="53" t="str">
        <f ca="1">VLOOKUP($A3,OFFSET([1]characters!$A$1,0,0,COUNTA([1]characters!$A:$A),MATCH(B$1,[1]characters!$1:$1,0)-MATCH($A$1,[1]characters!$1:$1,0)+1),MATCH(B$1,[1]characters!$1:$1,0)-MATCH($A$1,[1]characters!$1:$1,0)+1,FALSE)</f>
        <v>望月千代女</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1247</v>
      </c>
      <c r="R3" s="58" t="str">
        <f ca="1">IF(Q3="NULL","",VLOOKUP($Q3,OFFSET([1]characters!$A$1,0,0,COUNTA([1]characters!$A:$A),MATCH(R$1,[1]characters!$1:$1,0)-MATCH($A$1,[1]characters!$1:$1,0)+1),MATCH(R$1,[1]characters!$1:$1,0)-MATCH($A$1,[1]characters!$1:$1,0)+1,FALSE))</f>
        <v>潜情のくノ一 望月千代女</v>
      </c>
      <c r="S3" s="5">
        <f t="shared" ca="1" si="0"/>
        <v>1246</v>
      </c>
      <c r="T3" s="58" t="str">
        <f ca="1">VLOOKUP($S3,OFFSET([1]characters!$A$1,0,0,COUNTA([1]characters!$A:$A),MATCH(T$1,[1]characters!$1:$1,0)-MATCH($A$1,[1]characters!$1:$1,0)+1),MATCH(T$1,[1]characters!$1:$1,0)-MATCH($A$1,[1]characters!$1:$1,0)+1,FALSE)</f>
        <v>望月千代女</v>
      </c>
      <c r="U3" s="10">
        <f ca="1">IF(Q3="NULL","NULL",VLOOKUP(G3,[2]ビット!$A$2:$B$7,2))</f>
        <v>200000</v>
      </c>
    </row>
    <row r="4" spans="1:21" ht="21" customHeight="1" x14ac:dyDescent="0.15">
      <c r="A4" s="191">
        <v>1238</v>
      </c>
      <c r="B4" s="53" t="str">
        <f ca="1">VLOOKUP($A4,OFFSET([1]characters!$A$1,0,0,COUNTA([1]characters!$A:$A),MATCH(B$1,[1]characters!$1:$1,0)-MATCH($A$1,[1]characters!$1:$1,0)+1),MATCH(B$1,[1]characters!$1:$1,0)-MATCH($A$1,[1]characters!$1:$1,0)+1,FALSE)</f>
        <v>服部半蔵</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1239</v>
      </c>
      <c r="R4" s="58" t="str">
        <f ca="1">IF(Q4="NULL","",VLOOKUP($Q4,OFFSET([1]characters!$A$1,0,0,COUNTA([1]characters!$A:$A),MATCH(R$1,[1]characters!$1:$1,0)-MATCH($A$1,[1]characters!$1:$1,0)+1),MATCH(R$1,[1]characters!$1:$1,0)-MATCH($A$1,[1]characters!$1:$1,0)+1,FALSE))</f>
        <v>音無の機密忍 服部半蔵</v>
      </c>
      <c r="S4" s="5">
        <f t="shared" ca="1" si="0"/>
        <v>1238</v>
      </c>
      <c r="T4" s="58" t="str">
        <f ca="1">VLOOKUP($S4,OFFSET([1]characters!$A$1,0,0,COUNTA([1]characters!$A:$A),MATCH(T$1,[1]characters!$1:$1,0)-MATCH($A$1,[1]characters!$1:$1,0)+1),MATCH(T$1,[1]characters!$1:$1,0)-MATCH($A$1,[1]characters!$1:$1,0)+1,FALSE)</f>
        <v>服部半蔵</v>
      </c>
      <c r="U4" s="10">
        <f ca="1">IF(Q4="NULL","NULL",VLOOKUP(G4,[2]ビット!$A$2:$B$7,2))</f>
        <v>200000</v>
      </c>
    </row>
    <row r="5" spans="1:21" ht="21" customHeight="1" x14ac:dyDescent="0.15">
      <c r="A5" s="191">
        <v>1240</v>
      </c>
      <c r="B5" s="53" t="str">
        <f ca="1">VLOOKUP($A5,OFFSET([1]characters!$A$1,0,0,COUNTA([1]characters!$A:$A),MATCH(B$1,[1]characters!$1:$1,0)-MATCH($A$1,[1]characters!$1:$1,0)+1),MATCH(B$1,[1]characters!$1:$1,0)-MATCH($A$1,[1]characters!$1:$1,0)+1,FALSE)</f>
        <v>竹中半兵衛</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blue</v>
      </c>
      <c r="J5" s="53" t="str">
        <f ca="1">VLOOKUP($A5,OFFSET([1]characters!$A$1,0,0,COUNTA([1]characters!$A:$A),MATCH(J$1,[1]characters!$1:$1,0)-MATCH($A$1,[1]characters!$1:$1,0)+1),MATCH(J$1,[1]characters!$1:$1,0)-MATCH($A$1,[1]characters!$1:$1,0)+1,FALSE)</f>
        <v>samurai</v>
      </c>
      <c r="K5" s="5" t="str">
        <f ca="1">VLOOKUP(J5,[1]character_tribe_i18n!$A:$H,3,FALSE)</f>
        <v>サムライ</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1241</v>
      </c>
      <c r="R5" s="58" t="str">
        <f ca="1">IF(Q5="NULL","",VLOOKUP($Q5,OFFSET([1]characters!$A$1,0,0,COUNTA([1]characters!$A:$A),MATCH(R$1,[1]characters!$1:$1,0)-MATCH($A$1,[1]characters!$1:$1,0)+1),MATCH(R$1,[1]characters!$1:$1,0)-MATCH($A$1,[1]characters!$1:$1,0)+1,FALSE))</f>
        <v>巧妙なる嬢舌 竹中半兵衛</v>
      </c>
      <c r="S5" s="5">
        <f t="shared" ca="1" si="0"/>
        <v>1240</v>
      </c>
      <c r="T5" s="58" t="str">
        <f ca="1">VLOOKUP($S5,OFFSET([1]characters!$A$1,0,0,COUNTA([1]characters!$A:$A),MATCH(T$1,[1]characters!$1:$1,0)-MATCH($A$1,[1]characters!$1:$1,0)+1),MATCH(T$1,[1]characters!$1:$1,0)-MATCH($A$1,[1]characters!$1:$1,0)+1,FALSE)</f>
        <v>竹中半兵衛</v>
      </c>
      <c r="U5" s="10">
        <f ca="1">IF(Q5="NULL","NULL",VLOOKUP(G5,[2]ビット!$A$2:$B$7,2))</f>
        <v>200000</v>
      </c>
    </row>
    <row r="6" spans="1:21" ht="21" customHeight="1" x14ac:dyDescent="0.15">
      <c r="A6" s="191">
        <v>1242</v>
      </c>
      <c r="B6" s="53" t="str">
        <f ca="1">VLOOKUP($A6,OFFSET([1]characters!$A$1,0,0,COUNTA([1]characters!$A:$A),MATCH(B$1,[1]characters!$1:$1,0)-MATCH($A$1,[1]characters!$1:$1,0)+1),MATCH(B$1,[1]characters!$1:$1,0)-MATCH($A$1,[1]characters!$1:$1,0)+1,FALSE)</f>
        <v>豊臣秀吉</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DropWizSS</v>
      </c>
      <c r="I6" s="53" t="str">
        <f ca="1">VLOOKUP($A6,OFFSET([1]characters!$A$1,0,0,COUNTA([1]characters!$A:$A),MATCH(I$1,[1]characters!$1:$1,0)-MATCH($A$1,[1]characters!$1:$1,0)+1),MATCH(I$1,[1]characters!$1:$1,0)-MATCH($A$1,[1]characters!$1:$1,0)+1,FALSE)</f>
        <v>red</v>
      </c>
      <c r="J6" s="53" t="str">
        <f ca="1">VLOOKUP($A6,OFFSET([1]characters!$A$1,0,0,COUNTA([1]characters!$A:$A),MATCH(J$1,[1]characters!$1:$1,0)-MATCH($A$1,[1]characters!$1:$1,0)+1),MATCH(J$1,[1]characters!$1:$1,0)-MATCH($A$1,[1]characters!$1:$1,0)+1,FALSE)</f>
        <v>samurai</v>
      </c>
      <c r="K6" s="5" t="str">
        <f ca="1">VLOOKUP(J6,[1]character_tribe_i18n!$A:$H,3,FALSE)</f>
        <v>サムライ</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1243</v>
      </c>
      <c r="R6" s="58" t="str">
        <f ca="1">IF(Q6="NULL","",VLOOKUP($Q6,OFFSET([1]characters!$A$1,0,0,COUNTA([1]characters!$A:$A),MATCH(R$1,[1]characters!$1:$1,0)-MATCH($A$1,[1]characters!$1:$1,0)+1),MATCH(R$1,[1]characters!$1:$1,0)-MATCH($A$1,[1]characters!$1:$1,0)+1,FALSE))</f>
        <v>新世覇の昇竜 豊臣秀吉</v>
      </c>
      <c r="S6" s="5">
        <f t="shared" ca="1" si="0"/>
        <v>1242</v>
      </c>
      <c r="T6" s="58" t="str">
        <f ca="1">VLOOKUP($S6,OFFSET([1]characters!$A$1,0,0,COUNTA([1]characters!$A:$A),MATCH(T$1,[1]characters!$1:$1,0)-MATCH($A$1,[1]characters!$1:$1,0)+1),MATCH(T$1,[1]characters!$1:$1,0)-MATCH($A$1,[1]characters!$1:$1,0)+1,FALSE)</f>
        <v>豊臣秀吉</v>
      </c>
      <c r="U6" s="10">
        <f ca="1">IF(Q6="NULL","NULL",VLOOKUP(G6,[2]ビット!$A$2:$B$7,2))</f>
        <v>200000</v>
      </c>
    </row>
    <row r="7" spans="1:21" ht="21" customHeight="1" x14ac:dyDescent="0.15">
      <c r="A7" s="191">
        <v>1248</v>
      </c>
      <c r="B7" s="53" t="str">
        <f ca="1">VLOOKUP($A7,OFFSET([1]characters!$A$1,0,0,COUNTA([1]characters!$A:$A),MATCH(B$1,[1]characters!$1:$1,0)-MATCH($A$1,[1]characters!$1:$1,0)+1),MATCH(B$1,[1]characters!$1:$1,0)-MATCH($A$1,[1]characters!$1:$1,0)+1,FALSE)</f>
        <v>寧々</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4</v>
      </c>
      <c r="H7" s="53" t="str">
        <f ca="1">VLOOKUP($A7,OFFSET([1]characters!$A$1,0,0,COUNTA([1]characters!$A:$A),MATCH(H$1,[1]characters!$1:$1,0)-MATCH($A$1,[1]characters!$1:$1,0)+1),MATCH(H$1,[1]characters!$1:$1,0)-MATCH($A$1,[1]characters!$1:$1,0)+1,FALSE)</f>
        <v>PremiumS</v>
      </c>
      <c r="I7" s="53" t="str">
        <f ca="1">VLOOKUP($A7,OFFSET([1]characters!$A$1,0,0,COUNTA([1]characters!$A:$A),MATCH(I$1,[1]characters!$1:$1,0)-MATCH($A$1,[1]characters!$1:$1,0)+1),MATCH(I$1,[1]characters!$1:$1,0)-MATCH($A$1,[1]characters!$1:$1,0)+1,FALSE)</f>
        <v>blue</v>
      </c>
      <c r="J7" s="53" t="str">
        <f ca="1">VLOOKUP($A7,OFFSET([1]characters!$A$1,0,0,COUNTA([1]characters!$A:$A),MATCH(J$1,[1]characters!$1:$1,0)-MATCH($A$1,[1]characters!$1:$1,0)+1),MATCH(J$1,[1]characters!$1:$1,0)-MATCH($A$1,[1]characters!$1:$1,0)+1,FALSE)</f>
        <v>none</v>
      </c>
      <c r="K7" s="5" t="str">
        <f ca="1">VLOOKUP(J7,[1]character_tribe_i18n!$A:$H,3,FALSE)</f>
        <v>種族なし</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1249</v>
      </c>
      <c r="R7" s="58" t="str">
        <f ca="1">IF(Q7="NULL","",VLOOKUP($Q7,OFFSET([1]characters!$A$1,0,0,COUNTA([1]characters!$A:$A),MATCH(R$1,[1]characters!$1:$1,0)-MATCH($A$1,[1]characters!$1:$1,0)+1),MATCH(R$1,[1]characters!$1:$1,0)-MATCH($A$1,[1]characters!$1:$1,0)+1,FALSE))</f>
        <v>君臨する姐御様 寧々</v>
      </c>
      <c r="S7" s="5">
        <f t="shared" ca="1" si="0"/>
        <v>1248</v>
      </c>
      <c r="T7" s="58" t="str">
        <f ca="1">VLOOKUP($S7,OFFSET([1]characters!$A$1,0,0,COUNTA([1]characters!$A:$A),MATCH(T$1,[1]characters!$1:$1,0)-MATCH($A$1,[1]characters!$1:$1,0)+1),MATCH(T$1,[1]characters!$1:$1,0)-MATCH($A$1,[1]characters!$1:$1,0)+1,FALSE)</f>
        <v>寧々</v>
      </c>
      <c r="U7" s="10">
        <f ca="1">IF(Q7="NULL","NULL",VLOOKUP(G7,[2]ビット!$A$2:$B$7,2))</f>
        <v>50000</v>
      </c>
    </row>
    <row r="8" spans="1:21" ht="21" customHeight="1" x14ac:dyDescent="0.15">
      <c r="A8" s="191">
        <v>1250</v>
      </c>
      <c r="B8" s="53" t="str">
        <f ca="1">VLOOKUP($A8,OFFSET([1]characters!$A$1,0,0,COUNTA([1]characters!$A:$A),MATCH(B$1,[1]characters!$1:$1,0)-MATCH($A$1,[1]characters!$1:$1,0)+1),MATCH(B$1,[1]characters!$1:$1,0)-MATCH($A$1,[1]characters!$1:$1,0)+1,FALSE)</f>
        <v>真田幸村</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PremiumSSw</v>
      </c>
      <c r="I8" s="53" t="str">
        <f ca="1">VLOOKUP($A8,OFFSET([1]characters!$A$1,0,0,COUNTA([1]characters!$A:$A),MATCH(I$1,[1]characters!$1:$1,0)-MATCH($A$1,[1]characters!$1:$1,0)+1),MATCH(I$1,[1]characters!$1:$1,0)-MATCH($A$1,[1]characters!$1:$1,0)+1,FALSE)</f>
        <v>yellow</v>
      </c>
      <c r="J8" s="53" t="str">
        <f ca="1">VLOOKUP($A8,OFFSET([1]characters!$A$1,0,0,COUNTA([1]characters!$A:$A),MATCH(J$1,[1]characters!$1:$1,0)-MATCH($A$1,[1]characters!$1:$1,0)+1),MATCH(J$1,[1]characters!$1:$1,0)-MATCH($A$1,[1]characters!$1:$1,0)+1,FALSE)</f>
        <v>samurai</v>
      </c>
      <c r="K8" s="5" t="str">
        <f ca="1">VLOOKUP(J8,[1]character_tribe_i18n!$A:$H,3,FALSE)</f>
        <v>サムライ</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1251</v>
      </c>
      <c r="R8" s="58" t="str">
        <f ca="1">IF(Q8="NULL","",VLOOKUP($Q8,OFFSET([1]characters!$A$1,0,0,COUNTA([1]characters!$A:$A),MATCH(R$1,[1]characters!$1:$1,0)-MATCH($A$1,[1]characters!$1:$1,0)+1),MATCH(R$1,[1]characters!$1:$1,0)-MATCH($A$1,[1]characters!$1:$1,0)+1,FALSE))</f>
        <v>錯槍の英勇 真田幸村</v>
      </c>
      <c r="S8" s="5">
        <f t="shared" ca="1" si="0"/>
        <v>1250</v>
      </c>
      <c r="T8" s="58" t="str">
        <f ca="1">VLOOKUP($S8,OFFSET([1]characters!$A$1,0,0,COUNTA([1]characters!$A:$A),MATCH(T$1,[1]characters!$1:$1,0)-MATCH($A$1,[1]characters!$1:$1,0)+1),MATCH(T$1,[1]characters!$1:$1,0)-MATCH($A$1,[1]characters!$1:$1,0)+1,FALSE)</f>
        <v>真田幸村</v>
      </c>
      <c r="U8" s="10">
        <f ca="1">IF(Q8="NULL","NULL",VLOOKUP(G8,[2]ビット!$A$2:$B$7,2))</f>
        <v>200000</v>
      </c>
    </row>
    <row r="9" spans="1:21" ht="21" customHeight="1" x14ac:dyDescent="0.15">
      <c r="A9" s="191">
        <v>1236</v>
      </c>
      <c r="B9" s="53" t="str">
        <f ca="1">VLOOKUP($A9,OFFSET([1]characters!$A$1,0,0,COUNTA([1]characters!$A:$A),MATCH(B$1,[1]characters!$1:$1,0)-MATCH($A$1,[1]characters!$1:$1,0)+1),MATCH(B$1,[1]characters!$1:$1,0)-MATCH($A$1,[1]characters!$1:$1,0)+1,FALSE)</f>
        <v>千利休</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4</v>
      </c>
      <c r="H9" s="53" t="str">
        <f ca="1">VLOOKUP($A9,OFFSET([1]characters!$A$1,0,0,COUNTA([1]characters!$A:$A),MATCH(H$1,[1]characters!$1:$1,0)-MATCH($A$1,[1]characters!$1:$1,0)+1),MATCH(H$1,[1]characters!$1:$1,0)-MATCH($A$1,[1]characters!$1:$1,0)+1,FALSE)</f>
        <v>Drop2N</v>
      </c>
      <c r="I9" s="53" t="str">
        <f ca="1">VLOOKUP($A9,OFFSET([1]characters!$A$1,0,0,COUNTA([1]characters!$A:$A),MATCH(I$1,[1]characters!$1:$1,0)-MATCH($A$1,[1]characters!$1:$1,0)+1),MATCH(I$1,[1]characters!$1:$1,0)-MATCH($A$1,[1]characters!$1:$1,0)+1,FALSE)</f>
        <v>yellow</v>
      </c>
      <c r="J9" s="53" t="str">
        <f ca="1">VLOOKUP($A9,OFFSET([1]characters!$A$1,0,0,COUNTA([1]characters!$A:$A),MATCH(J$1,[1]characters!$1:$1,0)-MATCH($A$1,[1]characters!$1:$1,0)+1),MATCH(J$1,[1]characters!$1:$1,0)-MATCH($A$1,[1]characters!$1:$1,0)+1,FALSE)</f>
        <v>none</v>
      </c>
      <c r="K9" s="5" t="str">
        <f ca="1">VLOOKUP(J9,[1]character_tribe_i18n!$A:$H,3,FALSE)</f>
        <v>種族なし</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normal</v>
      </c>
      <c r="Q9" s="187">
        <v>1237</v>
      </c>
      <c r="R9" s="58" t="str">
        <f ca="1">IF(Q9="NULL","",VLOOKUP($Q9,OFFSET([1]characters!$A$1,0,0,COUNTA([1]characters!$A:$A),MATCH(R$1,[1]characters!$1:$1,0)-MATCH($A$1,[1]characters!$1:$1,0)+1),MATCH(R$1,[1]characters!$1:$1,0)-MATCH($A$1,[1]characters!$1:$1,0)+1,FALSE))</f>
        <v>夢茶の目付役 千利休</v>
      </c>
      <c r="S9" s="5">
        <f t="shared" ref="S9" ca="1" si="1">IF(ISNA(MATCH(A9,Q:Q,0)),A9,INDIRECT(ADDRESS(MATCH(A9,Q:Q,0),COLUMN())))</f>
        <v>1236</v>
      </c>
      <c r="T9" s="58" t="str">
        <f ca="1">VLOOKUP($S9,OFFSET([1]characters!$A$1,0,0,COUNTA([1]characters!$A:$A),MATCH(T$1,[1]characters!$1:$1,0)-MATCH($A$1,[1]characters!$1:$1,0)+1),MATCH(T$1,[1]characters!$1:$1,0)-MATCH($A$1,[1]characters!$1:$1,0)+1,FALSE)</f>
        <v>千利休</v>
      </c>
      <c r="U9" s="10">
        <f ca="1">IF(Q9="NULL","NULL",VLOOKUP(G9,[2]ビット!$A$2:$B$7,2))</f>
        <v>50000</v>
      </c>
    </row>
  </sheetData>
  <autoFilter ref="A1:U2"/>
  <phoneticPr fontId="22"/>
  <conditionalFormatting sqref="W1:W2 W10:W1048576">
    <cfRule type="cellIs" dxfId="31" priority="14" operator="equal">
      <formula>"FALSE"</formula>
    </cfRule>
  </conditionalFormatting>
  <conditionalFormatting sqref="W3">
    <cfRule type="cellIs" dxfId="30" priority="8" operator="equal">
      <formula>"FALSE"</formula>
    </cfRule>
  </conditionalFormatting>
  <conditionalFormatting sqref="W4">
    <cfRule type="cellIs" dxfId="29" priority="6" operator="equal">
      <formula>"FALSE"</formula>
    </cfRule>
  </conditionalFormatting>
  <conditionalFormatting sqref="W5">
    <cfRule type="cellIs" dxfId="28" priority="5" operator="equal">
      <formula>"FALSE"</formula>
    </cfRule>
  </conditionalFormatting>
  <conditionalFormatting sqref="W6">
    <cfRule type="cellIs" dxfId="27" priority="4" operator="equal">
      <formula>"FALSE"</formula>
    </cfRule>
  </conditionalFormatting>
  <conditionalFormatting sqref="W7">
    <cfRule type="cellIs" dxfId="26" priority="3" operator="equal">
      <formula>"FALSE"</formula>
    </cfRule>
  </conditionalFormatting>
  <conditionalFormatting sqref="W8">
    <cfRule type="cellIs" dxfId="25" priority="2" operator="equal">
      <formula>"FALSE"</formula>
    </cfRule>
  </conditionalFormatting>
  <conditionalFormatting sqref="W9">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36"/>
  <sheetViews>
    <sheetView showGridLines="0" topLeftCell="B1" workbookViewId="0">
      <pane ySplit="1" topLeftCell="A4" activePane="bottomLeft" state="frozen"/>
      <selection pane="bottomLeft" activeCell="M16" sqref="M16"/>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A11" si="0">B2&amp;"_"&amp;I2</f>
        <v>1244_103</v>
      </c>
      <c r="B2" s="195">
        <v>1244</v>
      </c>
      <c r="C2" s="178">
        <f t="shared" ref="C2:C32" si="1">B2</f>
        <v>1244</v>
      </c>
      <c r="D2" s="53" t="str">
        <f ca="1">VLOOKUP($C2,OFFSET([1]characters!$A$1,0,0,COUNTA([1]characters!$A:$A),MATCH(D$1,[1]characters!$1:$1,0)-MATCH($C$1,[1]characters!$1:$1,0)+1),MATCH(D$1,[1]characters!$1:$1,0)-MATCH($C$1,[1]characters!$1:$1,0)+1,FALSE)</f>
        <v>猿飛佐助</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v>
      </c>
      <c r="G2" s="195">
        <v>1245</v>
      </c>
      <c r="H2" s="53" t="str">
        <f ca="1">VLOOKUP($G2,OFFSET([1]characters!$A$1,0,0,COUNTA([1]characters!$A:$A),MATCH(H$1,[1]characters!$1:$1,0)-MATCH($C$1,[1]characters!$1:$1,0)+1),MATCH(H$1,[1]characters!$1:$1,0)-MATCH($C$1,[1]characters!$1:$1,0)+1,FALSE)</f>
        <v>甲火の特殊忍 猿飛佐助</v>
      </c>
      <c r="I2" s="194">
        <v>103</v>
      </c>
      <c r="J2" s="53" t="str">
        <f ca="1">VLOOKUP($I2,OFFSET([1]characters!$A$1,0,0,COUNTA([1]characters!$A:$A),MATCH(J$1,[1]characters!$1:$1,0)-MATCH($C$1,[1]characters!$1:$1,0)+1),MATCH(J$1,[1]characters!$1:$1,0)-MATCH($C$1,[1]characters!$1:$1,0)+1,FALSE)</f>
        <v>レッドキャタップ</v>
      </c>
      <c r="K2" s="192">
        <v>1</v>
      </c>
      <c r="L2" s="193">
        <v>1</v>
      </c>
      <c r="M2" s="193">
        <v>10</v>
      </c>
      <c r="N2" s="2" t="s">
        <v>290</v>
      </c>
    </row>
    <row r="3" spans="1:14" ht="21" customHeight="1" x14ac:dyDescent="0.15">
      <c r="A3" s="61" t="str">
        <f t="shared" si="0"/>
        <v>1244_104</v>
      </c>
      <c r="B3" s="195">
        <v>1244</v>
      </c>
      <c r="C3" s="178">
        <f t="shared" si="1"/>
        <v>1244</v>
      </c>
      <c r="D3" s="53" t="str">
        <f ca="1">VLOOKUP($C3,OFFSET([1]characters!$A$1,0,0,COUNTA([1]characters!$A:$A),MATCH(D$1,[1]characters!$1:$1,0)-MATCH($C$1,[1]characters!$1:$1,0)+1),MATCH(D$1,[1]characters!$1:$1,0)-MATCH($C$1,[1]characters!$1:$1,0)+1,FALSE)</f>
        <v>猿飛佐助</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v>
      </c>
      <c r="G3" s="195">
        <v>1245</v>
      </c>
      <c r="H3" s="53" t="str">
        <f ca="1">VLOOKUP($G3,OFFSET([1]characters!$A$1,0,0,COUNTA([1]characters!$A:$A),MATCH(H$1,[1]characters!$1:$1,0)-MATCH($C$1,[1]characters!$1:$1,0)+1),MATCH(H$1,[1]characters!$1:$1,0)-MATCH($C$1,[1]characters!$1:$1,0)+1,FALSE)</f>
        <v>甲火の特殊忍 猿飛佐助</v>
      </c>
      <c r="I3" s="194">
        <v>104</v>
      </c>
      <c r="J3" s="53" t="str">
        <f ca="1">VLOOKUP($I3,OFFSET([1]characters!$A$1,0,0,COUNTA([1]characters!$A:$A),MATCH(J$1,[1]characters!$1:$1,0)-MATCH($C$1,[1]characters!$1:$1,0)+1),MATCH(J$1,[1]characters!$1:$1,0)-MATCH($C$1,[1]characters!$1:$1,0)+1,FALSE)</f>
        <v>炎のマッドハッター</v>
      </c>
      <c r="K3" s="192">
        <v>1</v>
      </c>
      <c r="L3" s="193">
        <v>1</v>
      </c>
      <c r="M3" s="193">
        <v>10</v>
      </c>
      <c r="N3" s="2" t="s">
        <v>290</v>
      </c>
    </row>
    <row r="4" spans="1:14" ht="21" customHeight="1" x14ac:dyDescent="0.15">
      <c r="A4" s="61" t="str">
        <f t="shared" si="0"/>
        <v>1244_1236</v>
      </c>
      <c r="B4" s="195">
        <v>1244</v>
      </c>
      <c r="C4" s="178">
        <f t="shared" si="1"/>
        <v>1244</v>
      </c>
      <c r="D4" s="53" t="str">
        <f ca="1">VLOOKUP($C4,OFFSET([1]characters!$A$1,0,0,COUNTA([1]characters!$A:$A),MATCH(D$1,[1]characters!$1:$1,0)-MATCH($C$1,[1]characters!$1:$1,0)+1),MATCH(D$1,[1]characters!$1:$1,0)-MATCH($C$1,[1]characters!$1:$1,0)+1,FALSE)</f>
        <v>猿飛佐助</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v>
      </c>
      <c r="G4" s="195">
        <v>1245</v>
      </c>
      <c r="H4" s="53" t="str">
        <f ca="1">VLOOKUP($G4,OFFSET([1]characters!$A$1,0,0,COUNTA([1]characters!$A:$A),MATCH(H$1,[1]characters!$1:$1,0)-MATCH($C$1,[1]characters!$1:$1,0)+1),MATCH(H$1,[1]characters!$1:$1,0)-MATCH($C$1,[1]characters!$1:$1,0)+1,FALSE)</f>
        <v>甲火の特殊忍 猿飛佐助</v>
      </c>
      <c r="I4" s="194">
        <v>1236</v>
      </c>
      <c r="J4" s="53" t="str">
        <f ca="1">VLOOKUP($I4,OFFSET([1]characters!$A$1,0,0,COUNTA([1]characters!$A:$A),MATCH(J$1,[1]characters!$1:$1,0)-MATCH($C$1,[1]characters!$1:$1,0)+1),MATCH(J$1,[1]characters!$1:$1,0)-MATCH($C$1,[1]characters!$1:$1,0)+1,FALSE)</f>
        <v>千利休</v>
      </c>
      <c r="K4" s="192">
        <v>1</v>
      </c>
      <c r="L4" s="193">
        <v>1</v>
      </c>
      <c r="M4" s="193">
        <v>100</v>
      </c>
      <c r="N4" s="2" t="s">
        <v>290</v>
      </c>
    </row>
    <row r="5" spans="1:14" ht="21" customHeight="1" x14ac:dyDescent="0.15">
      <c r="A5" s="61" t="str">
        <f t="shared" si="0"/>
        <v>1244_262</v>
      </c>
      <c r="B5" s="195">
        <v>1244</v>
      </c>
      <c r="C5" s="178">
        <f t="shared" si="1"/>
        <v>1244</v>
      </c>
      <c r="D5" s="53" t="str">
        <f ca="1">VLOOKUP($C5,OFFSET([1]characters!$A$1,0,0,COUNTA([1]characters!$A:$A),MATCH(D$1,[1]characters!$1:$1,0)-MATCH($C$1,[1]characters!$1:$1,0)+1),MATCH(D$1,[1]characters!$1:$1,0)-MATCH($C$1,[1]characters!$1:$1,0)+1,FALSE)</f>
        <v>猿飛佐助</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v>
      </c>
      <c r="G5" s="195">
        <v>1245</v>
      </c>
      <c r="H5" s="53" t="str">
        <f ca="1">VLOOKUP($G5,OFFSET([1]characters!$A$1,0,0,COUNTA([1]characters!$A:$A),MATCH(H$1,[1]characters!$1:$1,0)-MATCH($C$1,[1]characters!$1:$1,0)+1),MATCH(H$1,[1]characters!$1:$1,0)-MATCH($C$1,[1]characters!$1:$1,0)+1,FALSE)</f>
        <v>甲火の特殊忍 猿飛佐助</v>
      </c>
      <c r="I5" s="194">
        <v>262</v>
      </c>
      <c r="J5" s="53" t="str">
        <f ca="1">VLOOKUP($I5,OFFSET([1]characters!$A$1,0,0,COUNTA([1]characters!$A:$A),MATCH(J$1,[1]characters!$1:$1,0)-MATCH($C$1,[1]characters!$1:$1,0)+1),MATCH(J$1,[1]characters!$1:$1,0)-MATCH($C$1,[1]characters!$1:$1,0)+1,FALSE)</f>
        <v>アシュリー</v>
      </c>
      <c r="K5" s="192">
        <v>1</v>
      </c>
      <c r="L5" s="193">
        <v>1</v>
      </c>
      <c r="M5" s="193">
        <v>100</v>
      </c>
      <c r="N5" s="2" t="s">
        <v>290</v>
      </c>
    </row>
    <row r="6" spans="1:14" ht="21" customHeight="1" x14ac:dyDescent="0.15">
      <c r="A6" s="61" t="str">
        <f t="shared" si="0"/>
        <v>1244_837</v>
      </c>
      <c r="B6" s="195">
        <v>1244</v>
      </c>
      <c r="C6" s="178">
        <f t="shared" si="1"/>
        <v>1244</v>
      </c>
      <c r="D6" s="53" t="str">
        <f ca="1">VLOOKUP($C6,OFFSET([1]characters!$A$1,0,0,COUNTA([1]characters!$A:$A),MATCH(D$1,[1]characters!$1:$1,0)-MATCH($C$1,[1]characters!$1:$1,0)+1),MATCH(D$1,[1]characters!$1:$1,0)-MATCH($C$1,[1]characters!$1:$1,0)+1,FALSE)</f>
        <v>猿飛佐助</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v>
      </c>
      <c r="G6" s="195">
        <v>1245</v>
      </c>
      <c r="H6" s="53" t="str">
        <f ca="1">VLOOKUP($G6,OFFSET([1]characters!$A$1,0,0,COUNTA([1]characters!$A:$A),MATCH(H$1,[1]characters!$1:$1,0)-MATCH($C$1,[1]characters!$1:$1,0)+1),MATCH(H$1,[1]characters!$1:$1,0)-MATCH($C$1,[1]characters!$1:$1,0)+1,FALSE)</f>
        <v>甲火の特殊忍 猿飛佐助</v>
      </c>
      <c r="I6" s="194">
        <v>837</v>
      </c>
      <c r="J6" s="53" t="str">
        <f ca="1">VLOOKUP($I6,OFFSET([1]characters!$A$1,0,0,COUNTA([1]characters!$A:$A),MATCH(J$1,[1]characters!$1:$1,0)-MATCH($C$1,[1]characters!$1:$1,0)+1),MATCH(J$1,[1]characters!$1:$1,0)-MATCH($C$1,[1]characters!$1:$1,0)+1,FALSE)</f>
        <v>リトルハンプティ</v>
      </c>
      <c r="K6" s="192">
        <v>1</v>
      </c>
      <c r="L6" s="193">
        <v>1</v>
      </c>
      <c r="M6" s="193">
        <v>1000</v>
      </c>
      <c r="N6" s="2" t="s">
        <v>290</v>
      </c>
    </row>
    <row r="7" spans="1:14" ht="21" customHeight="1" x14ac:dyDescent="0.15">
      <c r="A7" s="61" t="str">
        <f t="shared" si="0"/>
        <v>1246_107</v>
      </c>
      <c r="B7" s="195">
        <v>1246</v>
      </c>
      <c r="C7" s="178">
        <f t="shared" si="1"/>
        <v>1246</v>
      </c>
      <c r="D7" s="53" t="str">
        <f ca="1">VLOOKUP($C7,OFFSET([1]characters!$A$1,0,0,COUNTA([1]characters!$A:$A),MATCH(D$1,[1]characters!$1:$1,0)-MATCH($C$1,[1]characters!$1:$1,0)+1),MATCH(D$1,[1]characters!$1:$1,0)-MATCH($C$1,[1]characters!$1:$1,0)+1,FALSE)</f>
        <v>望月千代女</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v>
      </c>
      <c r="G7" s="195">
        <v>1247</v>
      </c>
      <c r="H7" s="53" t="str">
        <f ca="1">VLOOKUP($G7,OFFSET([1]characters!$A$1,0,0,COUNTA([1]characters!$A:$A),MATCH(H$1,[1]characters!$1:$1,0)-MATCH($C$1,[1]characters!$1:$1,0)+1),MATCH(H$1,[1]characters!$1:$1,0)-MATCH($C$1,[1]characters!$1:$1,0)+1,FALSE)</f>
        <v>潜情のくノ一 望月千代女</v>
      </c>
      <c r="I7" s="194">
        <v>107</v>
      </c>
      <c r="J7" s="53" t="str">
        <f ca="1">VLOOKUP($I7,OFFSET([1]characters!$A$1,0,0,COUNTA([1]characters!$A:$A),MATCH(J$1,[1]characters!$1:$1,0)-MATCH($C$1,[1]characters!$1:$1,0)+1),MATCH(J$1,[1]characters!$1:$1,0)-MATCH($C$1,[1]characters!$1:$1,0)+1,FALSE)</f>
        <v>グリーンキャタップ</v>
      </c>
      <c r="K7" s="192">
        <v>1</v>
      </c>
      <c r="L7" s="193">
        <v>1</v>
      </c>
      <c r="M7" s="193">
        <v>10</v>
      </c>
      <c r="N7" s="2" t="s">
        <v>290</v>
      </c>
    </row>
    <row r="8" spans="1:14" ht="21" customHeight="1" x14ac:dyDescent="0.15">
      <c r="A8" s="61" t="str">
        <f t="shared" si="0"/>
        <v>1246_108</v>
      </c>
      <c r="B8" s="195">
        <v>1246</v>
      </c>
      <c r="C8" s="178">
        <f t="shared" si="1"/>
        <v>1246</v>
      </c>
      <c r="D8" s="53" t="str">
        <f ca="1">VLOOKUP($C8,OFFSET([1]characters!$A$1,0,0,COUNTA([1]characters!$A:$A),MATCH(D$1,[1]characters!$1:$1,0)-MATCH($C$1,[1]characters!$1:$1,0)+1),MATCH(D$1,[1]characters!$1:$1,0)-MATCH($C$1,[1]characters!$1:$1,0)+1,FALSE)</f>
        <v>望月千代女</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v>
      </c>
      <c r="G8" s="195">
        <v>1247</v>
      </c>
      <c r="H8" s="53" t="str">
        <f ca="1">VLOOKUP($G8,OFFSET([1]characters!$A$1,0,0,COUNTA([1]characters!$A:$A),MATCH(H$1,[1]characters!$1:$1,0)-MATCH($C$1,[1]characters!$1:$1,0)+1),MATCH(H$1,[1]characters!$1:$1,0)-MATCH($C$1,[1]characters!$1:$1,0)+1,FALSE)</f>
        <v>潜情のくノ一 望月千代女</v>
      </c>
      <c r="I8" s="194">
        <v>108</v>
      </c>
      <c r="J8" s="53" t="str">
        <f ca="1">VLOOKUP($I8,OFFSET([1]characters!$A$1,0,0,COUNTA([1]characters!$A:$A),MATCH(J$1,[1]characters!$1:$1,0)-MATCH($C$1,[1]characters!$1:$1,0)+1),MATCH(J$1,[1]characters!$1:$1,0)-MATCH($C$1,[1]characters!$1:$1,0)+1,FALSE)</f>
        <v>森のマッドハッター</v>
      </c>
      <c r="K8" s="192">
        <v>1</v>
      </c>
      <c r="L8" s="193">
        <v>1</v>
      </c>
      <c r="M8" s="193">
        <v>10</v>
      </c>
      <c r="N8" s="2" t="s">
        <v>290</v>
      </c>
    </row>
    <row r="9" spans="1:14" ht="21" customHeight="1" x14ac:dyDescent="0.15">
      <c r="A9" s="61" t="str">
        <f t="shared" si="0"/>
        <v>1246_720</v>
      </c>
      <c r="B9" s="195">
        <v>1246</v>
      </c>
      <c r="C9" s="178">
        <f t="shared" si="1"/>
        <v>1246</v>
      </c>
      <c r="D9" s="53" t="str">
        <f ca="1">VLOOKUP($C9,OFFSET([1]characters!$A$1,0,0,COUNTA([1]characters!$A:$A),MATCH(D$1,[1]characters!$1:$1,0)-MATCH($C$1,[1]characters!$1:$1,0)+1),MATCH(D$1,[1]characters!$1:$1,0)-MATCH($C$1,[1]characters!$1:$1,0)+1,FALSE)</f>
        <v>望月千代女</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v>
      </c>
      <c r="G9" s="195">
        <v>1247</v>
      </c>
      <c r="H9" s="53" t="str">
        <f ca="1">VLOOKUP($G9,OFFSET([1]characters!$A$1,0,0,COUNTA([1]characters!$A:$A),MATCH(H$1,[1]characters!$1:$1,0)-MATCH($C$1,[1]characters!$1:$1,0)+1),MATCH(H$1,[1]characters!$1:$1,0)-MATCH($C$1,[1]characters!$1:$1,0)+1,FALSE)</f>
        <v>潜情のくノ一 望月千代女</v>
      </c>
      <c r="I9" s="194">
        <v>720</v>
      </c>
      <c r="J9" s="53" t="str">
        <f ca="1">VLOOKUP($I9,OFFSET([1]characters!$A$1,0,0,COUNTA([1]characters!$A:$A),MATCH(J$1,[1]characters!$1:$1,0)-MATCH($C$1,[1]characters!$1:$1,0)+1),MATCH(J$1,[1]characters!$1:$1,0)-MATCH($C$1,[1]characters!$1:$1,0)+1,FALSE)</f>
        <v>直江兼続</v>
      </c>
      <c r="K9" s="192">
        <v>1</v>
      </c>
      <c r="L9" s="193">
        <v>1</v>
      </c>
      <c r="M9" s="193">
        <v>100</v>
      </c>
      <c r="N9" s="2" t="s">
        <v>290</v>
      </c>
    </row>
    <row r="10" spans="1:14" ht="21" customHeight="1" x14ac:dyDescent="0.15">
      <c r="A10" s="61" t="str">
        <f t="shared" si="0"/>
        <v>1246_1236</v>
      </c>
      <c r="B10" s="195">
        <v>1246</v>
      </c>
      <c r="C10" s="178">
        <f t="shared" si="1"/>
        <v>1246</v>
      </c>
      <c r="D10" s="53" t="str">
        <f ca="1">VLOOKUP($C10,OFFSET([1]characters!$A$1,0,0,COUNTA([1]characters!$A:$A),MATCH(D$1,[1]characters!$1:$1,0)-MATCH($C$1,[1]characters!$1:$1,0)+1),MATCH(D$1,[1]characters!$1:$1,0)-MATCH($C$1,[1]characters!$1:$1,0)+1,FALSE)</f>
        <v>望月千代女</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PremiumSS</v>
      </c>
      <c r="G10" s="195">
        <v>1247</v>
      </c>
      <c r="H10" s="53" t="str">
        <f ca="1">VLOOKUP($G10,OFFSET([1]characters!$A$1,0,0,COUNTA([1]characters!$A:$A),MATCH(H$1,[1]characters!$1:$1,0)-MATCH($C$1,[1]characters!$1:$1,0)+1),MATCH(H$1,[1]characters!$1:$1,0)-MATCH($C$1,[1]characters!$1:$1,0)+1,FALSE)</f>
        <v>潜情のくノ一 望月千代女</v>
      </c>
      <c r="I10" s="194">
        <v>1236</v>
      </c>
      <c r="J10" s="53" t="str">
        <f ca="1">VLOOKUP($I10,OFFSET([1]characters!$A$1,0,0,COUNTA([1]characters!$A:$A),MATCH(J$1,[1]characters!$1:$1,0)-MATCH($C$1,[1]characters!$1:$1,0)+1),MATCH(J$1,[1]characters!$1:$1,0)-MATCH($C$1,[1]characters!$1:$1,0)+1,FALSE)</f>
        <v>千利休</v>
      </c>
      <c r="K10" s="192">
        <v>1</v>
      </c>
      <c r="L10" s="193">
        <v>1</v>
      </c>
      <c r="M10" s="193">
        <v>100</v>
      </c>
      <c r="N10" s="2" t="s">
        <v>290</v>
      </c>
    </row>
    <row r="11" spans="1:14" ht="21" customHeight="1" x14ac:dyDescent="0.15">
      <c r="A11" s="61" t="str">
        <f t="shared" si="0"/>
        <v>1246_837</v>
      </c>
      <c r="B11" s="195">
        <v>1246</v>
      </c>
      <c r="C11" s="178">
        <f t="shared" si="1"/>
        <v>1246</v>
      </c>
      <c r="D11" s="53" t="str">
        <f ca="1">VLOOKUP($C11,OFFSET([1]characters!$A$1,0,0,COUNTA([1]characters!$A:$A),MATCH(D$1,[1]characters!$1:$1,0)-MATCH($C$1,[1]characters!$1:$1,0)+1),MATCH(D$1,[1]characters!$1:$1,0)-MATCH($C$1,[1]characters!$1:$1,0)+1,FALSE)</f>
        <v>望月千代女</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PremiumSS</v>
      </c>
      <c r="G11" s="195">
        <v>1247</v>
      </c>
      <c r="H11" s="53" t="str">
        <f ca="1">VLOOKUP($G11,OFFSET([1]characters!$A$1,0,0,COUNTA([1]characters!$A:$A),MATCH(H$1,[1]characters!$1:$1,0)-MATCH($C$1,[1]characters!$1:$1,0)+1),MATCH(H$1,[1]characters!$1:$1,0)-MATCH($C$1,[1]characters!$1:$1,0)+1,FALSE)</f>
        <v>潜情のくノ一 望月千代女</v>
      </c>
      <c r="I11" s="194">
        <v>837</v>
      </c>
      <c r="J11" s="53" t="str">
        <f ca="1">VLOOKUP($I11,OFFSET([1]characters!$A$1,0,0,COUNTA([1]characters!$A:$A),MATCH(J$1,[1]characters!$1:$1,0)-MATCH($C$1,[1]characters!$1:$1,0)+1),MATCH(J$1,[1]characters!$1:$1,0)-MATCH($C$1,[1]characters!$1:$1,0)+1,FALSE)</f>
        <v>リトルハンプティ</v>
      </c>
      <c r="K11" s="192">
        <v>1</v>
      </c>
      <c r="L11" s="193">
        <v>1</v>
      </c>
      <c r="M11" s="193">
        <v>1000</v>
      </c>
      <c r="N11" s="2" t="s">
        <v>290</v>
      </c>
    </row>
    <row r="12" spans="1:14" ht="21" customHeight="1" x14ac:dyDescent="0.15">
      <c r="A12" s="61" t="str">
        <f t="shared" ref="A12:A19" si="2">B12&amp;"_"&amp;I12</f>
        <v>1238_108</v>
      </c>
      <c r="B12" s="195">
        <v>1238</v>
      </c>
      <c r="C12" s="178">
        <f t="shared" si="1"/>
        <v>1238</v>
      </c>
      <c r="D12" s="53" t="str">
        <f ca="1">VLOOKUP($C12,OFFSET([1]characters!$A$1,0,0,COUNTA([1]characters!$A:$A),MATCH(D$1,[1]characters!$1:$1,0)-MATCH($C$1,[1]characters!$1:$1,0)+1),MATCH(D$1,[1]characters!$1:$1,0)-MATCH($C$1,[1]characters!$1:$1,0)+1,FALSE)</f>
        <v>服部半蔵</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v>
      </c>
      <c r="G12" s="195">
        <v>1239</v>
      </c>
      <c r="H12" s="53" t="str">
        <f ca="1">VLOOKUP($G12,OFFSET([1]characters!$A$1,0,0,COUNTA([1]characters!$A:$A),MATCH(H$1,[1]characters!$1:$1,0)-MATCH($C$1,[1]characters!$1:$1,0)+1),MATCH(H$1,[1]characters!$1:$1,0)-MATCH($C$1,[1]characters!$1:$1,0)+1,FALSE)</f>
        <v>音無の機密忍 服部半蔵</v>
      </c>
      <c r="I12" s="194">
        <v>108</v>
      </c>
      <c r="J12" s="53" t="str">
        <f ca="1">VLOOKUP($I12,OFFSET([1]characters!$A$1,0,0,COUNTA([1]characters!$A:$A),MATCH(J$1,[1]characters!$1:$1,0)-MATCH($C$1,[1]characters!$1:$1,0)+1),MATCH(J$1,[1]characters!$1:$1,0)-MATCH($C$1,[1]characters!$1:$1,0)+1,FALSE)</f>
        <v>森のマッドハッター</v>
      </c>
      <c r="K12" s="192">
        <v>1</v>
      </c>
      <c r="L12" s="193">
        <v>1</v>
      </c>
      <c r="M12" s="193">
        <v>10</v>
      </c>
      <c r="N12" s="2" t="s">
        <v>290</v>
      </c>
    </row>
    <row r="13" spans="1:14" ht="21" customHeight="1" x14ac:dyDescent="0.15">
      <c r="A13" s="61" t="str">
        <f t="shared" si="2"/>
        <v>1238_837</v>
      </c>
      <c r="B13" s="195">
        <v>1238</v>
      </c>
      <c r="C13" s="178">
        <f t="shared" si="1"/>
        <v>1238</v>
      </c>
      <c r="D13" s="53" t="str">
        <f ca="1">VLOOKUP($C13,OFFSET([1]characters!$A$1,0,0,COUNTA([1]characters!$A:$A),MATCH(D$1,[1]characters!$1:$1,0)-MATCH($C$1,[1]characters!$1:$1,0)+1),MATCH(D$1,[1]characters!$1:$1,0)-MATCH($C$1,[1]characters!$1:$1,0)+1,FALSE)</f>
        <v>服部半蔵</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v>
      </c>
      <c r="G13" s="195">
        <v>1239</v>
      </c>
      <c r="H13" s="53" t="str">
        <f ca="1">VLOOKUP($G13,OFFSET([1]characters!$A$1,0,0,COUNTA([1]characters!$A:$A),MATCH(H$1,[1]characters!$1:$1,0)-MATCH($C$1,[1]characters!$1:$1,0)+1),MATCH(H$1,[1]characters!$1:$1,0)-MATCH($C$1,[1]characters!$1:$1,0)+1,FALSE)</f>
        <v>音無の機密忍 服部半蔵</v>
      </c>
      <c r="I13" s="194">
        <v>837</v>
      </c>
      <c r="J13" s="53" t="str">
        <f ca="1">VLOOKUP($I13,OFFSET([1]characters!$A$1,0,0,COUNTA([1]characters!$A:$A),MATCH(J$1,[1]characters!$1:$1,0)-MATCH($C$1,[1]characters!$1:$1,0)+1),MATCH(J$1,[1]characters!$1:$1,0)-MATCH($C$1,[1]characters!$1:$1,0)+1,FALSE)</f>
        <v>リトルハンプティ</v>
      </c>
      <c r="K13" s="192">
        <v>1</v>
      </c>
      <c r="L13" s="193">
        <v>1</v>
      </c>
      <c r="M13" s="193">
        <v>1000</v>
      </c>
      <c r="N13" s="2" t="s">
        <v>290</v>
      </c>
    </row>
    <row r="14" spans="1:14" ht="21" customHeight="1" x14ac:dyDescent="0.15">
      <c r="A14" s="61" t="str">
        <f t="shared" si="2"/>
        <v>1238_1216</v>
      </c>
      <c r="B14" s="195">
        <v>1238</v>
      </c>
      <c r="C14" s="178">
        <f t="shared" si="1"/>
        <v>1238</v>
      </c>
      <c r="D14" s="53" t="str">
        <f ca="1">VLOOKUP($C14,OFFSET([1]characters!$A$1,0,0,COUNTA([1]characters!$A:$A),MATCH(D$1,[1]characters!$1:$1,0)-MATCH($C$1,[1]characters!$1:$1,0)+1),MATCH(D$1,[1]characters!$1:$1,0)-MATCH($C$1,[1]characters!$1:$1,0)+1,FALSE)</f>
        <v>服部半蔵</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DropWizS</v>
      </c>
      <c r="G14" s="195">
        <v>1239</v>
      </c>
      <c r="H14" s="53" t="str">
        <f ca="1">VLOOKUP($G14,OFFSET([1]characters!$A$1,0,0,COUNTA([1]characters!$A:$A),MATCH(H$1,[1]characters!$1:$1,0)-MATCH($C$1,[1]characters!$1:$1,0)+1),MATCH(H$1,[1]characters!$1:$1,0)-MATCH($C$1,[1]characters!$1:$1,0)+1,FALSE)</f>
        <v>音無の機密忍 服部半蔵</v>
      </c>
      <c r="I14" s="194">
        <v>1216</v>
      </c>
      <c r="J14" s="53" t="str">
        <f ca="1">VLOOKUP($I14,OFFSET([1]characters!$A$1,0,0,COUNTA([1]characters!$A:$A),MATCH(J$1,[1]characters!$1:$1,0)-MATCH($C$1,[1]characters!$1:$1,0)+1),MATCH(J$1,[1]characters!$1:$1,0)-MATCH($C$1,[1]characters!$1:$1,0)+1,FALSE)</f>
        <v>梶井基次郎</v>
      </c>
      <c r="K14" s="192">
        <v>1</v>
      </c>
      <c r="L14" s="193">
        <v>2</v>
      </c>
      <c r="M14" s="193">
        <v>100</v>
      </c>
      <c r="N14" s="2" t="s">
        <v>290</v>
      </c>
    </row>
    <row r="15" spans="1:14" ht="21" customHeight="1" x14ac:dyDescent="0.15">
      <c r="A15" s="61" t="str">
        <f t="shared" si="2"/>
        <v>1238_1022</v>
      </c>
      <c r="B15" s="195">
        <v>1238</v>
      </c>
      <c r="C15" s="178">
        <f t="shared" si="1"/>
        <v>1238</v>
      </c>
      <c r="D15" s="53" t="str">
        <f ca="1">VLOOKUP($C15,OFFSET([1]characters!$A$1,0,0,COUNTA([1]characters!$A:$A),MATCH(D$1,[1]characters!$1:$1,0)-MATCH($C$1,[1]characters!$1:$1,0)+1),MATCH(D$1,[1]characters!$1:$1,0)-MATCH($C$1,[1]characters!$1:$1,0)+1,FALSE)</f>
        <v>服部半蔵</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DropWizS</v>
      </c>
      <c r="G15" s="195">
        <v>1239</v>
      </c>
      <c r="H15" s="53" t="str">
        <f ca="1">VLOOKUP($G15,OFFSET([1]characters!$A$1,0,0,COUNTA([1]characters!$A:$A),MATCH(H$1,[1]characters!$1:$1,0)-MATCH($C$1,[1]characters!$1:$1,0)+1),MATCH(H$1,[1]characters!$1:$1,0)-MATCH($C$1,[1]characters!$1:$1,0)+1,FALSE)</f>
        <v>音無の機密忍 服部半蔵</v>
      </c>
      <c r="I15" s="194">
        <v>1022</v>
      </c>
      <c r="J15" s="53" t="str">
        <f ca="1">VLOOKUP($I15,OFFSET([1]characters!$A$1,0,0,COUNTA([1]characters!$A:$A),MATCH(J$1,[1]characters!$1:$1,0)-MATCH($C$1,[1]characters!$1:$1,0)+1),MATCH(J$1,[1]characters!$1:$1,0)-MATCH($C$1,[1]characters!$1:$1,0)+1,FALSE)</f>
        <v>那須与一</v>
      </c>
      <c r="K15" s="192">
        <v>1</v>
      </c>
      <c r="L15" s="193">
        <v>3</v>
      </c>
      <c r="M15" s="193">
        <v>100</v>
      </c>
      <c r="N15" s="2" t="s">
        <v>290</v>
      </c>
    </row>
    <row r="16" spans="1:14" ht="21" customHeight="1" x14ac:dyDescent="0.15">
      <c r="A16" s="61" t="str">
        <f t="shared" si="2"/>
        <v>1240_112</v>
      </c>
      <c r="B16" s="195">
        <v>1240</v>
      </c>
      <c r="C16" s="178">
        <f t="shared" si="1"/>
        <v>1240</v>
      </c>
      <c r="D16" s="53" t="str">
        <f ca="1">VLOOKUP($C16,OFFSET([1]characters!$A$1,0,0,COUNTA([1]characters!$A:$A),MATCH(D$1,[1]characters!$1:$1,0)-MATCH($C$1,[1]characters!$1:$1,0)+1),MATCH(D$1,[1]characters!$1:$1,0)-MATCH($C$1,[1]characters!$1:$1,0)+1,FALSE)</f>
        <v>竹中半兵衛</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DropWizS</v>
      </c>
      <c r="G16" s="195">
        <v>1241</v>
      </c>
      <c r="H16" s="53" t="str">
        <f ca="1">VLOOKUP($G16,OFFSET([1]characters!$A$1,0,0,COUNTA([1]characters!$A:$A),MATCH(H$1,[1]characters!$1:$1,0)-MATCH($C$1,[1]characters!$1:$1,0)+1),MATCH(H$1,[1]characters!$1:$1,0)-MATCH($C$1,[1]characters!$1:$1,0)+1,FALSE)</f>
        <v>巧妙なる嬢舌 竹中半兵衛</v>
      </c>
      <c r="I16" s="194">
        <v>112</v>
      </c>
      <c r="J16" s="53" t="str">
        <f ca="1">VLOOKUP($I16,OFFSET([1]characters!$A$1,0,0,COUNTA([1]characters!$A:$A),MATCH(J$1,[1]characters!$1:$1,0)-MATCH($C$1,[1]characters!$1:$1,0)+1),MATCH(J$1,[1]characters!$1:$1,0)-MATCH($C$1,[1]characters!$1:$1,0)+1,FALSE)</f>
        <v>水のマッドハッター</v>
      </c>
      <c r="K16" s="192">
        <v>1</v>
      </c>
      <c r="L16" s="193">
        <v>1</v>
      </c>
      <c r="M16" s="193">
        <v>10</v>
      </c>
      <c r="N16" s="2" t="s">
        <v>290</v>
      </c>
    </row>
    <row r="17" spans="1:14" ht="21" customHeight="1" x14ac:dyDescent="0.15">
      <c r="A17" s="61" t="str">
        <f t="shared" si="2"/>
        <v>1240_1236</v>
      </c>
      <c r="B17" s="195">
        <v>1240</v>
      </c>
      <c r="C17" s="178">
        <f t="shared" si="1"/>
        <v>1240</v>
      </c>
      <c r="D17" s="53" t="str">
        <f ca="1">VLOOKUP($C17,OFFSET([1]characters!$A$1,0,0,COUNTA([1]characters!$A:$A),MATCH(D$1,[1]characters!$1:$1,0)-MATCH($C$1,[1]characters!$1:$1,0)+1),MATCH(D$1,[1]characters!$1:$1,0)-MATCH($C$1,[1]characters!$1:$1,0)+1,FALSE)</f>
        <v>竹中半兵衛</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DropWizS</v>
      </c>
      <c r="G17" s="195">
        <v>1241</v>
      </c>
      <c r="H17" s="53" t="str">
        <f ca="1">VLOOKUP($G17,OFFSET([1]characters!$A$1,0,0,COUNTA([1]characters!$A:$A),MATCH(H$1,[1]characters!$1:$1,0)-MATCH($C$1,[1]characters!$1:$1,0)+1),MATCH(H$1,[1]characters!$1:$1,0)-MATCH($C$1,[1]characters!$1:$1,0)+1,FALSE)</f>
        <v>巧妙なる嬢舌 竹中半兵衛</v>
      </c>
      <c r="I17" s="194">
        <v>1236</v>
      </c>
      <c r="J17" s="53" t="str">
        <f ca="1">VLOOKUP($I17,OFFSET([1]characters!$A$1,0,0,COUNTA([1]characters!$A:$A),MATCH(J$1,[1]characters!$1:$1,0)-MATCH($C$1,[1]characters!$1:$1,0)+1),MATCH(J$1,[1]characters!$1:$1,0)-MATCH($C$1,[1]characters!$1:$1,0)+1,FALSE)</f>
        <v>千利休</v>
      </c>
      <c r="K17" s="192">
        <v>1</v>
      </c>
      <c r="L17" s="193">
        <v>2</v>
      </c>
      <c r="M17" s="193">
        <v>100</v>
      </c>
      <c r="N17" s="2" t="s">
        <v>290</v>
      </c>
    </row>
    <row r="18" spans="1:14" ht="21" customHeight="1" x14ac:dyDescent="0.15">
      <c r="A18" s="61" t="str">
        <f t="shared" si="2"/>
        <v>1240_1059</v>
      </c>
      <c r="B18" s="195">
        <v>1240</v>
      </c>
      <c r="C18" s="178">
        <f t="shared" si="1"/>
        <v>1240</v>
      </c>
      <c r="D18" s="53" t="str">
        <f ca="1">VLOOKUP($C18,OFFSET([1]characters!$A$1,0,0,COUNTA([1]characters!$A:$A),MATCH(D$1,[1]characters!$1:$1,0)-MATCH($C$1,[1]characters!$1:$1,0)+1),MATCH(D$1,[1]characters!$1:$1,0)-MATCH($C$1,[1]characters!$1:$1,0)+1,FALSE)</f>
        <v>竹中半兵衛</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DropWizS</v>
      </c>
      <c r="G18" s="195">
        <v>1241</v>
      </c>
      <c r="H18" s="53" t="str">
        <f ca="1">VLOOKUP($G18,OFFSET([1]characters!$A$1,0,0,COUNTA([1]characters!$A:$A),MATCH(H$1,[1]characters!$1:$1,0)-MATCH($C$1,[1]characters!$1:$1,0)+1),MATCH(H$1,[1]characters!$1:$1,0)-MATCH($C$1,[1]characters!$1:$1,0)+1,FALSE)</f>
        <v>巧妙なる嬢舌 竹中半兵衛</v>
      </c>
      <c r="I18" s="194">
        <v>1059</v>
      </c>
      <c r="J18" s="53" t="str">
        <f ca="1">VLOOKUP($I18,OFFSET([1]characters!$A$1,0,0,COUNTA([1]characters!$A:$A),MATCH(J$1,[1]characters!$1:$1,0)-MATCH($C$1,[1]characters!$1:$1,0)+1),MATCH(J$1,[1]characters!$1:$1,0)-MATCH($C$1,[1]characters!$1:$1,0)+1,FALSE)</f>
        <v>パズズ</v>
      </c>
      <c r="K18" s="192">
        <v>1</v>
      </c>
      <c r="L18" s="193">
        <v>3</v>
      </c>
      <c r="M18" s="193">
        <v>100</v>
      </c>
      <c r="N18" s="2" t="s">
        <v>290</v>
      </c>
    </row>
    <row r="19" spans="1:14" ht="21" customHeight="1" x14ac:dyDescent="0.15">
      <c r="A19" s="61" t="str">
        <f t="shared" si="2"/>
        <v>1240_837</v>
      </c>
      <c r="B19" s="195">
        <v>1240</v>
      </c>
      <c r="C19" s="178">
        <f t="shared" si="1"/>
        <v>1240</v>
      </c>
      <c r="D19" s="53" t="str">
        <f ca="1">VLOOKUP($C19,OFFSET([1]characters!$A$1,0,0,COUNTA([1]characters!$A:$A),MATCH(D$1,[1]characters!$1:$1,0)-MATCH($C$1,[1]characters!$1:$1,0)+1),MATCH(D$1,[1]characters!$1:$1,0)-MATCH($C$1,[1]characters!$1:$1,0)+1,FALSE)</f>
        <v>竹中半兵衛</v>
      </c>
      <c r="E19" s="53">
        <f ca="1">VLOOKUP($C19,OFFSET([1]characters!$A$1,0,0,COUNTA([1]characters!$A:$A),MATCH(E$1,[1]characters!$1:$1,0)-MATCH($C$1,[1]characters!$1:$1,0)+1),MATCH(E$1,[1]characters!$1:$1,0)-MATCH($C$1,[1]characters!$1:$1,0)+1,FALSE)</f>
        <v>5</v>
      </c>
      <c r="F19" s="53" t="str">
        <f ca="1">VLOOKUP($C19,OFFSET([1]characters!$A$1,0,0,COUNTA([1]characters!$A:$A),MATCH(F$1,[1]characters!$1:$1,0)-MATCH($C$1,[1]characters!$1:$1,0)+1),MATCH(F$1,[1]characters!$1:$1,0)-MATCH($C$1,[1]characters!$1:$1,0)+1,FALSE)</f>
        <v>DropWizS</v>
      </c>
      <c r="G19" s="195">
        <v>1241</v>
      </c>
      <c r="H19" s="53" t="str">
        <f ca="1">VLOOKUP($G19,OFFSET([1]characters!$A$1,0,0,COUNTA([1]characters!$A:$A),MATCH(H$1,[1]characters!$1:$1,0)-MATCH($C$1,[1]characters!$1:$1,0)+1),MATCH(H$1,[1]characters!$1:$1,0)-MATCH($C$1,[1]characters!$1:$1,0)+1,FALSE)</f>
        <v>巧妙なる嬢舌 竹中半兵衛</v>
      </c>
      <c r="I19" s="194">
        <v>837</v>
      </c>
      <c r="J19" s="53" t="str">
        <f ca="1">VLOOKUP($I19,OFFSET([1]characters!$A$1,0,0,COUNTA([1]characters!$A:$A),MATCH(J$1,[1]characters!$1:$1,0)-MATCH($C$1,[1]characters!$1:$1,0)+1),MATCH(J$1,[1]characters!$1:$1,0)-MATCH($C$1,[1]characters!$1:$1,0)+1,FALSE)</f>
        <v>リトルハンプティ</v>
      </c>
      <c r="K19" s="192">
        <v>1</v>
      </c>
      <c r="L19" s="193">
        <v>1</v>
      </c>
      <c r="M19" s="193">
        <v>1000</v>
      </c>
      <c r="N19" s="2" t="s">
        <v>290</v>
      </c>
    </row>
    <row r="20" spans="1:14" ht="21" customHeight="1" x14ac:dyDescent="0.15">
      <c r="A20" s="61" t="str">
        <f t="shared" ref="A20:A32" si="3">B20&amp;"_"&amp;I20</f>
        <v>1242_1240</v>
      </c>
      <c r="B20" s="195">
        <v>1242</v>
      </c>
      <c r="C20" s="178">
        <f t="shared" si="1"/>
        <v>1242</v>
      </c>
      <c r="D20" s="53" t="str">
        <f ca="1">VLOOKUP($C20,OFFSET([1]characters!$A$1,0,0,COUNTA([1]characters!$A:$A),MATCH(D$1,[1]characters!$1:$1,0)-MATCH($C$1,[1]characters!$1:$1,0)+1),MATCH(D$1,[1]characters!$1:$1,0)-MATCH($C$1,[1]characters!$1:$1,0)+1,FALSE)</f>
        <v>豊臣秀吉</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DropWizSS</v>
      </c>
      <c r="G20" s="195">
        <v>1243</v>
      </c>
      <c r="H20" s="53" t="str">
        <f ca="1">VLOOKUP($G20,OFFSET([1]characters!$A$1,0,0,COUNTA([1]characters!$A:$A),MATCH(H$1,[1]characters!$1:$1,0)-MATCH($C$1,[1]characters!$1:$1,0)+1),MATCH(H$1,[1]characters!$1:$1,0)-MATCH($C$1,[1]characters!$1:$1,0)+1,FALSE)</f>
        <v>新世覇の昇竜 豊臣秀吉</v>
      </c>
      <c r="I20" s="194">
        <v>1240</v>
      </c>
      <c r="J20" s="53" t="str">
        <f ca="1">VLOOKUP($I20,OFFSET([1]characters!$A$1,0,0,COUNTA([1]characters!$A:$A),MATCH(J$1,[1]characters!$1:$1,0)-MATCH($C$1,[1]characters!$1:$1,0)+1),MATCH(J$1,[1]characters!$1:$1,0)-MATCH($C$1,[1]characters!$1:$1,0)+1,FALSE)</f>
        <v>竹中半兵衛</v>
      </c>
      <c r="K20" s="192">
        <v>1</v>
      </c>
      <c r="L20" s="193">
        <v>1</v>
      </c>
      <c r="M20" s="193">
        <v>100</v>
      </c>
      <c r="N20" s="2" t="s">
        <v>290</v>
      </c>
    </row>
    <row r="21" spans="1:14" ht="21" customHeight="1" x14ac:dyDescent="0.15">
      <c r="A21" s="61" t="str">
        <f t="shared" si="3"/>
        <v>1242_1202</v>
      </c>
      <c r="B21" s="195">
        <v>1242</v>
      </c>
      <c r="C21" s="178">
        <f t="shared" si="1"/>
        <v>1242</v>
      </c>
      <c r="D21" s="53" t="str">
        <f ca="1">VLOOKUP($C21,OFFSET([1]characters!$A$1,0,0,COUNTA([1]characters!$A:$A),MATCH(D$1,[1]characters!$1:$1,0)-MATCH($C$1,[1]characters!$1:$1,0)+1),MATCH(D$1,[1]characters!$1:$1,0)-MATCH($C$1,[1]characters!$1:$1,0)+1,FALSE)</f>
        <v>豊臣秀吉</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DropWizSS</v>
      </c>
      <c r="G21" s="195">
        <v>1243</v>
      </c>
      <c r="H21" s="53" t="str">
        <f ca="1">VLOOKUP($G21,OFFSET([1]characters!$A$1,0,0,COUNTA([1]characters!$A:$A),MATCH(H$1,[1]characters!$1:$1,0)-MATCH($C$1,[1]characters!$1:$1,0)+1),MATCH(H$1,[1]characters!$1:$1,0)-MATCH($C$1,[1]characters!$1:$1,0)+1,FALSE)</f>
        <v>新世覇の昇竜 豊臣秀吉</v>
      </c>
      <c r="I21" s="194">
        <v>1202</v>
      </c>
      <c r="J21" s="53" t="str">
        <f ca="1">VLOOKUP($I21,OFFSET([1]characters!$A$1,0,0,COUNTA([1]characters!$A:$A),MATCH(J$1,[1]characters!$1:$1,0)-MATCH($C$1,[1]characters!$1:$1,0)+1),MATCH(J$1,[1]characters!$1:$1,0)-MATCH($C$1,[1]characters!$1:$1,0)+1,FALSE)</f>
        <v>ウラヌス</v>
      </c>
      <c r="K21" s="192">
        <v>1</v>
      </c>
      <c r="L21" s="193">
        <v>1</v>
      </c>
      <c r="M21" s="193">
        <v>100</v>
      </c>
      <c r="N21" s="2" t="s">
        <v>290</v>
      </c>
    </row>
    <row r="22" spans="1:14" ht="21" customHeight="1" x14ac:dyDescent="0.15">
      <c r="A22" s="61" t="str">
        <f t="shared" si="3"/>
        <v>1242_278</v>
      </c>
      <c r="B22" s="195">
        <v>1242</v>
      </c>
      <c r="C22" s="178">
        <f t="shared" si="1"/>
        <v>1242</v>
      </c>
      <c r="D22" s="53" t="str">
        <f ca="1">VLOOKUP($C22,OFFSET([1]characters!$A$1,0,0,COUNTA([1]characters!$A:$A),MATCH(D$1,[1]characters!$1:$1,0)-MATCH($C$1,[1]characters!$1:$1,0)+1),MATCH(D$1,[1]characters!$1:$1,0)-MATCH($C$1,[1]characters!$1:$1,0)+1,FALSE)</f>
        <v>豊臣秀吉</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DropWizSS</v>
      </c>
      <c r="G22" s="195">
        <v>1243</v>
      </c>
      <c r="H22" s="53" t="str">
        <f ca="1">VLOOKUP($G22,OFFSET([1]characters!$A$1,0,0,COUNTA([1]characters!$A:$A),MATCH(H$1,[1]characters!$1:$1,0)-MATCH($C$1,[1]characters!$1:$1,0)+1),MATCH(H$1,[1]characters!$1:$1,0)-MATCH($C$1,[1]characters!$1:$1,0)+1,FALSE)</f>
        <v>新世覇の昇竜 豊臣秀吉</v>
      </c>
      <c r="I22" s="194">
        <v>278</v>
      </c>
      <c r="J22" s="53" t="str">
        <f ca="1">VLOOKUP($I22,OFFSET([1]characters!$A$1,0,0,COUNTA([1]characters!$A:$A),MATCH(J$1,[1]characters!$1:$1,0)-MATCH($C$1,[1]characters!$1:$1,0)+1),MATCH(J$1,[1]characters!$1:$1,0)-MATCH($C$1,[1]characters!$1:$1,0)+1,FALSE)</f>
        <v>アマテラス</v>
      </c>
      <c r="K22" s="192">
        <v>1</v>
      </c>
      <c r="L22" s="193">
        <v>1</v>
      </c>
      <c r="M22" s="193">
        <v>100</v>
      </c>
      <c r="N22" s="2" t="s">
        <v>290</v>
      </c>
    </row>
    <row r="23" spans="1:14" ht="21" customHeight="1" x14ac:dyDescent="0.15">
      <c r="A23" s="61" t="str">
        <f t="shared" si="3"/>
        <v>1242_575</v>
      </c>
      <c r="B23" s="195">
        <v>1242</v>
      </c>
      <c r="C23" s="178">
        <f t="shared" si="1"/>
        <v>1242</v>
      </c>
      <c r="D23" s="53" t="str">
        <f ca="1">VLOOKUP($C23,OFFSET([1]characters!$A$1,0,0,COUNTA([1]characters!$A:$A),MATCH(D$1,[1]characters!$1:$1,0)-MATCH($C$1,[1]characters!$1:$1,0)+1),MATCH(D$1,[1]characters!$1:$1,0)-MATCH($C$1,[1]characters!$1:$1,0)+1,FALSE)</f>
        <v>豊臣秀吉</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DropWizSS</v>
      </c>
      <c r="G23" s="195">
        <v>1243</v>
      </c>
      <c r="H23" s="53" t="str">
        <f ca="1">VLOOKUP($G23,OFFSET([1]characters!$A$1,0,0,COUNTA([1]characters!$A:$A),MATCH(H$1,[1]characters!$1:$1,0)-MATCH($C$1,[1]characters!$1:$1,0)+1),MATCH(H$1,[1]characters!$1:$1,0)-MATCH($C$1,[1]characters!$1:$1,0)+1,FALSE)</f>
        <v>新世覇の昇竜 豊臣秀吉</v>
      </c>
      <c r="I23" s="194">
        <v>575</v>
      </c>
      <c r="J23" s="53" t="str">
        <f ca="1">VLOOKUP($I23,OFFSET([1]characters!$A$1,0,0,COUNTA([1]characters!$A:$A),MATCH(J$1,[1]characters!$1:$1,0)-MATCH($C$1,[1]characters!$1:$1,0)+1),MATCH(J$1,[1]characters!$1:$1,0)-MATCH($C$1,[1]characters!$1:$1,0)+1,FALSE)</f>
        <v>フレイ</v>
      </c>
      <c r="K23" s="192">
        <v>1</v>
      </c>
      <c r="L23" s="193">
        <v>1</v>
      </c>
      <c r="M23" s="193">
        <v>100</v>
      </c>
      <c r="N23" s="2" t="s">
        <v>290</v>
      </c>
    </row>
    <row r="24" spans="1:14" ht="21" customHeight="1" x14ac:dyDescent="0.15">
      <c r="A24" s="61" t="str">
        <f t="shared" si="3"/>
        <v>1242_837</v>
      </c>
      <c r="B24" s="195">
        <v>1242</v>
      </c>
      <c r="C24" s="178">
        <f t="shared" si="1"/>
        <v>1242</v>
      </c>
      <c r="D24" s="53" t="str">
        <f ca="1">VLOOKUP($C24,OFFSET([1]characters!$A$1,0,0,COUNTA([1]characters!$A:$A),MATCH(D$1,[1]characters!$1:$1,0)-MATCH($C$1,[1]characters!$1:$1,0)+1),MATCH(D$1,[1]characters!$1:$1,0)-MATCH($C$1,[1]characters!$1:$1,0)+1,FALSE)</f>
        <v>豊臣秀吉</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DropWizSS</v>
      </c>
      <c r="G24" s="195">
        <v>1243</v>
      </c>
      <c r="H24" s="53" t="str">
        <f ca="1">VLOOKUP($G24,OFFSET([1]characters!$A$1,0,0,COUNTA([1]characters!$A:$A),MATCH(H$1,[1]characters!$1:$1,0)-MATCH($C$1,[1]characters!$1:$1,0)+1),MATCH(H$1,[1]characters!$1:$1,0)-MATCH($C$1,[1]characters!$1:$1,0)+1,FALSE)</f>
        <v>新世覇の昇竜 豊臣秀吉</v>
      </c>
      <c r="I24" s="194">
        <v>837</v>
      </c>
      <c r="J24" s="53" t="str">
        <f ca="1">VLOOKUP($I24,OFFSET([1]characters!$A$1,0,0,COUNTA([1]characters!$A:$A),MATCH(J$1,[1]characters!$1:$1,0)-MATCH($C$1,[1]characters!$1:$1,0)+1),MATCH(J$1,[1]characters!$1:$1,0)-MATCH($C$1,[1]characters!$1:$1,0)+1,FALSE)</f>
        <v>リトルハンプティ</v>
      </c>
      <c r="K24" s="192">
        <v>1</v>
      </c>
      <c r="L24" s="193">
        <v>1</v>
      </c>
      <c r="M24" s="193">
        <v>1000</v>
      </c>
      <c r="N24" s="2" t="s">
        <v>290</v>
      </c>
    </row>
    <row r="25" spans="1:14" ht="21" customHeight="1" x14ac:dyDescent="0.15">
      <c r="A25" s="61" t="str">
        <f t="shared" si="3"/>
        <v>1248_110</v>
      </c>
      <c r="B25" s="195">
        <v>1248</v>
      </c>
      <c r="C25" s="178">
        <f t="shared" si="1"/>
        <v>1248</v>
      </c>
      <c r="D25" s="53" t="str">
        <f ca="1">VLOOKUP($C25,OFFSET([1]characters!$A$1,0,0,COUNTA([1]characters!$A:$A),MATCH(D$1,[1]characters!$1:$1,0)-MATCH($C$1,[1]characters!$1:$1,0)+1),MATCH(D$1,[1]characters!$1:$1,0)-MATCH($C$1,[1]characters!$1:$1,0)+1,FALSE)</f>
        <v>寧々</v>
      </c>
      <c r="E25" s="53">
        <f ca="1">VLOOKUP($C25,OFFSET([1]characters!$A$1,0,0,COUNTA([1]characters!$A:$A),MATCH(E$1,[1]characters!$1:$1,0)-MATCH($C$1,[1]characters!$1:$1,0)+1),MATCH(E$1,[1]characters!$1:$1,0)-MATCH($C$1,[1]characters!$1:$1,0)+1,FALSE)</f>
        <v>4</v>
      </c>
      <c r="F25" s="53" t="str">
        <f ca="1">VLOOKUP($C25,OFFSET([1]characters!$A$1,0,0,COUNTA([1]characters!$A:$A),MATCH(F$1,[1]characters!$1:$1,0)-MATCH($C$1,[1]characters!$1:$1,0)+1),MATCH(F$1,[1]characters!$1:$1,0)-MATCH($C$1,[1]characters!$1:$1,0)+1,FALSE)</f>
        <v>PremiumS</v>
      </c>
      <c r="G25" s="195">
        <v>1249</v>
      </c>
      <c r="H25" s="53" t="str">
        <f ca="1">VLOOKUP($G25,OFFSET([1]characters!$A$1,0,0,COUNTA([1]characters!$A:$A),MATCH(H$1,[1]characters!$1:$1,0)-MATCH($C$1,[1]characters!$1:$1,0)+1),MATCH(H$1,[1]characters!$1:$1,0)-MATCH($C$1,[1]characters!$1:$1,0)+1,FALSE)</f>
        <v>君臨する姐御様 寧々</v>
      </c>
      <c r="I25" s="194">
        <v>110</v>
      </c>
      <c r="J25" s="53" t="str">
        <f ca="1">VLOOKUP($I25,OFFSET([1]characters!$A$1,0,0,COUNTA([1]characters!$A:$A),MATCH(J$1,[1]characters!$1:$1,0)-MATCH($C$1,[1]characters!$1:$1,0)+1),MATCH(J$1,[1]characters!$1:$1,0)-MATCH($C$1,[1]characters!$1:$1,0)+1,FALSE)</f>
        <v>ブルーラビット</v>
      </c>
      <c r="K25" s="192">
        <v>1</v>
      </c>
      <c r="L25" s="193">
        <v>1</v>
      </c>
      <c r="M25" s="193">
        <v>10</v>
      </c>
      <c r="N25" s="2" t="s">
        <v>290</v>
      </c>
    </row>
    <row r="26" spans="1:14" ht="21" customHeight="1" x14ac:dyDescent="0.15">
      <c r="A26" s="61" t="str">
        <f t="shared" si="3"/>
        <v>1248_111</v>
      </c>
      <c r="B26" s="195">
        <v>1248</v>
      </c>
      <c r="C26" s="178">
        <f t="shared" si="1"/>
        <v>1248</v>
      </c>
      <c r="D26" s="53" t="str">
        <f ca="1">VLOOKUP($C26,OFFSET([1]characters!$A$1,0,0,COUNTA([1]characters!$A:$A),MATCH(D$1,[1]characters!$1:$1,0)-MATCH($C$1,[1]characters!$1:$1,0)+1),MATCH(D$1,[1]characters!$1:$1,0)-MATCH($C$1,[1]characters!$1:$1,0)+1,FALSE)</f>
        <v>寧々</v>
      </c>
      <c r="E26" s="53">
        <f ca="1">VLOOKUP($C26,OFFSET([1]characters!$A$1,0,0,COUNTA([1]characters!$A:$A),MATCH(E$1,[1]characters!$1:$1,0)-MATCH($C$1,[1]characters!$1:$1,0)+1),MATCH(E$1,[1]characters!$1:$1,0)-MATCH($C$1,[1]characters!$1:$1,0)+1,FALSE)</f>
        <v>4</v>
      </c>
      <c r="F26" s="53" t="str">
        <f ca="1">VLOOKUP($C26,OFFSET([1]characters!$A$1,0,0,COUNTA([1]characters!$A:$A),MATCH(F$1,[1]characters!$1:$1,0)-MATCH($C$1,[1]characters!$1:$1,0)+1),MATCH(F$1,[1]characters!$1:$1,0)-MATCH($C$1,[1]characters!$1:$1,0)+1,FALSE)</f>
        <v>PremiumS</v>
      </c>
      <c r="G26" s="195">
        <v>1249</v>
      </c>
      <c r="H26" s="53" t="str">
        <f ca="1">VLOOKUP($G26,OFFSET([1]characters!$A$1,0,0,COUNTA([1]characters!$A:$A),MATCH(H$1,[1]characters!$1:$1,0)-MATCH($C$1,[1]characters!$1:$1,0)+1),MATCH(H$1,[1]characters!$1:$1,0)-MATCH($C$1,[1]characters!$1:$1,0)+1,FALSE)</f>
        <v>君臨する姐御様 寧々</v>
      </c>
      <c r="I26" s="194">
        <v>111</v>
      </c>
      <c r="J26" s="53" t="str">
        <f ca="1">VLOOKUP($I26,OFFSET([1]characters!$A$1,0,0,COUNTA([1]characters!$A:$A),MATCH(J$1,[1]characters!$1:$1,0)-MATCH($C$1,[1]characters!$1:$1,0)+1),MATCH(J$1,[1]characters!$1:$1,0)-MATCH($C$1,[1]characters!$1:$1,0)+1,FALSE)</f>
        <v>ブルーキャタップ</v>
      </c>
      <c r="K26" s="192">
        <v>2</v>
      </c>
      <c r="L26" s="193">
        <v>1</v>
      </c>
      <c r="M26" s="193">
        <v>10</v>
      </c>
      <c r="N26" s="2" t="s">
        <v>290</v>
      </c>
    </row>
    <row r="27" spans="1:14" ht="21" customHeight="1" x14ac:dyDescent="0.15">
      <c r="A27" s="61" t="str">
        <f t="shared" si="3"/>
        <v>1248_112</v>
      </c>
      <c r="B27" s="195">
        <v>1248</v>
      </c>
      <c r="C27" s="178">
        <f t="shared" si="1"/>
        <v>1248</v>
      </c>
      <c r="D27" s="53" t="str">
        <f ca="1">VLOOKUP($C27,OFFSET([1]characters!$A$1,0,0,COUNTA([1]characters!$A:$A),MATCH(D$1,[1]characters!$1:$1,0)-MATCH($C$1,[1]characters!$1:$1,0)+1),MATCH(D$1,[1]characters!$1:$1,0)-MATCH($C$1,[1]characters!$1:$1,0)+1,FALSE)</f>
        <v>寧々</v>
      </c>
      <c r="E27" s="53">
        <f ca="1">VLOOKUP($C27,OFFSET([1]characters!$A$1,0,0,COUNTA([1]characters!$A:$A),MATCH(E$1,[1]characters!$1:$1,0)-MATCH($C$1,[1]characters!$1:$1,0)+1),MATCH(E$1,[1]characters!$1:$1,0)-MATCH($C$1,[1]characters!$1:$1,0)+1,FALSE)</f>
        <v>4</v>
      </c>
      <c r="F27" s="53" t="str">
        <f ca="1">VLOOKUP($C27,OFFSET([1]characters!$A$1,0,0,COUNTA([1]characters!$A:$A),MATCH(F$1,[1]characters!$1:$1,0)-MATCH($C$1,[1]characters!$1:$1,0)+1),MATCH(F$1,[1]characters!$1:$1,0)-MATCH($C$1,[1]characters!$1:$1,0)+1,FALSE)</f>
        <v>PremiumS</v>
      </c>
      <c r="G27" s="195">
        <v>1249</v>
      </c>
      <c r="H27" s="53" t="str">
        <f ca="1">VLOOKUP($G27,OFFSET([1]characters!$A$1,0,0,COUNTA([1]characters!$A:$A),MATCH(H$1,[1]characters!$1:$1,0)-MATCH($C$1,[1]characters!$1:$1,0)+1),MATCH(H$1,[1]characters!$1:$1,0)-MATCH($C$1,[1]characters!$1:$1,0)+1,FALSE)</f>
        <v>君臨する姐御様 寧々</v>
      </c>
      <c r="I27" s="194">
        <v>112</v>
      </c>
      <c r="J27" s="53" t="str">
        <f ca="1">VLOOKUP($I27,OFFSET([1]characters!$A$1,0,0,COUNTA([1]characters!$A:$A),MATCH(J$1,[1]characters!$1:$1,0)-MATCH($C$1,[1]characters!$1:$1,0)+1),MATCH(J$1,[1]characters!$1:$1,0)-MATCH($C$1,[1]characters!$1:$1,0)+1,FALSE)</f>
        <v>水のマッドハッター</v>
      </c>
      <c r="K27" s="192">
        <v>2</v>
      </c>
      <c r="L27" s="193">
        <v>1</v>
      </c>
      <c r="M27" s="193">
        <v>10</v>
      </c>
      <c r="N27" s="2" t="s">
        <v>290</v>
      </c>
    </row>
    <row r="28" spans="1:14" ht="21" customHeight="1" x14ac:dyDescent="0.15">
      <c r="A28" s="61" t="str">
        <f t="shared" si="3"/>
        <v>1250_115</v>
      </c>
      <c r="B28" s="195">
        <v>1250</v>
      </c>
      <c r="C28" s="178">
        <f t="shared" si="1"/>
        <v>1250</v>
      </c>
      <c r="D28" s="53" t="str">
        <f ca="1">VLOOKUP($C28,OFFSET([1]characters!$A$1,0,0,COUNTA([1]characters!$A:$A),MATCH(D$1,[1]characters!$1:$1,0)-MATCH($C$1,[1]characters!$1:$1,0)+1),MATCH(D$1,[1]characters!$1:$1,0)-MATCH($C$1,[1]characters!$1:$1,0)+1,FALSE)</f>
        <v>真田幸村</v>
      </c>
      <c r="E28" s="53">
        <f ca="1">VLOOKUP($C28,OFFSET([1]characters!$A$1,0,0,COUNTA([1]characters!$A:$A),MATCH(E$1,[1]characters!$1:$1,0)-MATCH($C$1,[1]characters!$1:$1,0)+1),MATCH(E$1,[1]characters!$1:$1,0)-MATCH($C$1,[1]characters!$1:$1,0)+1,FALSE)</f>
        <v>5</v>
      </c>
      <c r="F28" s="53" t="str">
        <f ca="1">VLOOKUP($C28,OFFSET([1]characters!$A$1,0,0,COUNTA([1]characters!$A:$A),MATCH(F$1,[1]characters!$1:$1,0)-MATCH($C$1,[1]characters!$1:$1,0)+1),MATCH(F$1,[1]characters!$1:$1,0)-MATCH($C$1,[1]characters!$1:$1,0)+1,FALSE)</f>
        <v>PremiumSSw</v>
      </c>
      <c r="G28" s="195">
        <v>1251</v>
      </c>
      <c r="H28" s="53" t="str">
        <f ca="1">VLOOKUP($G28,OFFSET([1]characters!$A$1,0,0,COUNTA([1]characters!$A:$A),MATCH(H$1,[1]characters!$1:$1,0)-MATCH($C$1,[1]characters!$1:$1,0)+1),MATCH(H$1,[1]characters!$1:$1,0)-MATCH($C$1,[1]characters!$1:$1,0)+1,FALSE)</f>
        <v>錯槍の英勇 真田幸村</v>
      </c>
      <c r="I28" s="194">
        <v>115</v>
      </c>
      <c r="J28" s="53" t="str">
        <f ca="1">VLOOKUP($I28,OFFSET([1]characters!$A$1,0,0,COUNTA([1]characters!$A:$A),MATCH(J$1,[1]characters!$1:$1,0)-MATCH($C$1,[1]characters!$1:$1,0)+1),MATCH(J$1,[1]characters!$1:$1,0)-MATCH($C$1,[1]characters!$1:$1,0)+1,FALSE)</f>
        <v>イエローキャタップ</v>
      </c>
      <c r="K28" s="192">
        <v>1</v>
      </c>
      <c r="L28" s="193">
        <v>1</v>
      </c>
      <c r="M28" s="193">
        <v>10</v>
      </c>
      <c r="N28" s="2" t="s">
        <v>290</v>
      </c>
    </row>
    <row r="29" spans="1:14" ht="21" customHeight="1" x14ac:dyDescent="0.15">
      <c r="A29" s="61" t="str">
        <f t="shared" si="3"/>
        <v>1250_116</v>
      </c>
      <c r="B29" s="195">
        <v>1250</v>
      </c>
      <c r="C29" s="178">
        <f t="shared" si="1"/>
        <v>1250</v>
      </c>
      <c r="D29" s="53" t="str">
        <f ca="1">VLOOKUP($C29,OFFSET([1]characters!$A$1,0,0,COUNTA([1]characters!$A:$A),MATCH(D$1,[1]characters!$1:$1,0)-MATCH($C$1,[1]characters!$1:$1,0)+1),MATCH(D$1,[1]characters!$1:$1,0)-MATCH($C$1,[1]characters!$1:$1,0)+1,FALSE)</f>
        <v>真田幸村</v>
      </c>
      <c r="E29" s="53">
        <f ca="1">VLOOKUP($C29,OFFSET([1]characters!$A$1,0,0,COUNTA([1]characters!$A:$A),MATCH(E$1,[1]characters!$1:$1,0)-MATCH($C$1,[1]characters!$1:$1,0)+1),MATCH(E$1,[1]characters!$1:$1,0)-MATCH($C$1,[1]characters!$1:$1,0)+1,FALSE)</f>
        <v>5</v>
      </c>
      <c r="F29" s="53" t="str">
        <f ca="1">VLOOKUP($C29,OFFSET([1]characters!$A$1,0,0,COUNTA([1]characters!$A:$A),MATCH(F$1,[1]characters!$1:$1,0)-MATCH($C$1,[1]characters!$1:$1,0)+1),MATCH(F$1,[1]characters!$1:$1,0)-MATCH($C$1,[1]characters!$1:$1,0)+1,FALSE)</f>
        <v>PremiumSSw</v>
      </c>
      <c r="G29" s="195">
        <v>1251</v>
      </c>
      <c r="H29" s="53" t="str">
        <f ca="1">VLOOKUP($G29,OFFSET([1]characters!$A$1,0,0,COUNTA([1]characters!$A:$A),MATCH(H$1,[1]characters!$1:$1,0)-MATCH($C$1,[1]characters!$1:$1,0)+1),MATCH(H$1,[1]characters!$1:$1,0)-MATCH($C$1,[1]characters!$1:$1,0)+1,FALSE)</f>
        <v>錯槍の英勇 真田幸村</v>
      </c>
      <c r="I29" s="194">
        <v>116</v>
      </c>
      <c r="J29" s="53" t="str">
        <f ca="1">VLOOKUP($I29,OFFSET([1]characters!$A$1,0,0,COUNTA([1]characters!$A:$A),MATCH(J$1,[1]characters!$1:$1,0)-MATCH($C$1,[1]characters!$1:$1,0)+1),MATCH(J$1,[1]characters!$1:$1,0)-MATCH($C$1,[1]characters!$1:$1,0)+1,FALSE)</f>
        <v>雷のマッドハッター</v>
      </c>
      <c r="K29" s="192">
        <v>1</v>
      </c>
      <c r="L29" s="193">
        <v>1</v>
      </c>
      <c r="M29" s="193">
        <v>10</v>
      </c>
      <c r="N29" s="2" t="s">
        <v>290</v>
      </c>
    </row>
    <row r="30" spans="1:14" ht="21" customHeight="1" x14ac:dyDescent="0.15">
      <c r="A30" s="61" t="str">
        <f t="shared" si="3"/>
        <v>1250_837</v>
      </c>
      <c r="B30" s="195">
        <v>1250</v>
      </c>
      <c r="C30" s="178">
        <f t="shared" si="1"/>
        <v>1250</v>
      </c>
      <c r="D30" s="53" t="str">
        <f ca="1">VLOOKUP($C30,OFFSET([1]characters!$A$1,0,0,COUNTA([1]characters!$A:$A),MATCH(D$1,[1]characters!$1:$1,0)-MATCH($C$1,[1]characters!$1:$1,0)+1),MATCH(D$1,[1]characters!$1:$1,0)-MATCH($C$1,[1]characters!$1:$1,0)+1,FALSE)</f>
        <v>真田幸村</v>
      </c>
      <c r="E30" s="53">
        <f ca="1">VLOOKUP($C30,OFFSET([1]characters!$A$1,0,0,COUNTA([1]characters!$A:$A),MATCH(E$1,[1]characters!$1:$1,0)-MATCH($C$1,[1]characters!$1:$1,0)+1),MATCH(E$1,[1]characters!$1:$1,0)-MATCH($C$1,[1]characters!$1:$1,0)+1,FALSE)</f>
        <v>5</v>
      </c>
      <c r="F30" s="53" t="str">
        <f ca="1">VLOOKUP($C30,OFFSET([1]characters!$A$1,0,0,COUNTA([1]characters!$A:$A),MATCH(F$1,[1]characters!$1:$1,0)-MATCH($C$1,[1]characters!$1:$1,0)+1),MATCH(F$1,[1]characters!$1:$1,0)-MATCH($C$1,[1]characters!$1:$1,0)+1,FALSE)</f>
        <v>PremiumSSw</v>
      </c>
      <c r="G30" s="195">
        <v>1251</v>
      </c>
      <c r="H30" s="53" t="str">
        <f ca="1">VLOOKUP($G30,OFFSET([1]characters!$A$1,0,0,COUNTA([1]characters!$A:$A),MATCH(H$1,[1]characters!$1:$1,0)-MATCH($C$1,[1]characters!$1:$1,0)+1),MATCH(H$1,[1]characters!$1:$1,0)-MATCH($C$1,[1]characters!$1:$1,0)+1,FALSE)</f>
        <v>錯槍の英勇 真田幸村</v>
      </c>
      <c r="I30" s="194">
        <v>837</v>
      </c>
      <c r="J30" s="53" t="str">
        <f ca="1">VLOOKUP($I30,OFFSET([1]characters!$A$1,0,0,COUNTA([1]characters!$A:$A),MATCH(J$1,[1]characters!$1:$1,0)-MATCH($C$1,[1]characters!$1:$1,0)+1),MATCH(J$1,[1]characters!$1:$1,0)-MATCH($C$1,[1]characters!$1:$1,0)+1,FALSE)</f>
        <v>リトルハンプティ</v>
      </c>
      <c r="K30" s="192">
        <v>1</v>
      </c>
      <c r="L30" s="193">
        <v>1</v>
      </c>
      <c r="M30" s="193">
        <v>1000</v>
      </c>
      <c r="N30" s="2" t="s">
        <v>290</v>
      </c>
    </row>
    <row r="31" spans="1:14" ht="21" customHeight="1" x14ac:dyDescent="0.15">
      <c r="A31" s="61" t="str">
        <f t="shared" si="3"/>
        <v>1250_1236</v>
      </c>
      <c r="B31" s="195">
        <v>1250</v>
      </c>
      <c r="C31" s="178">
        <f t="shared" si="1"/>
        <v>1250</v>
      </c>
      <c r="D31" s="53" t="str">
        <f ca="1">VLOOKUP($C31,OFFSET([1]characters!$A$1,0,0,COUNTA([1]characters!$A:$A),MATCH(D$1,[1]characters!$1:$1,0)-MATCH($C$1,[1]characters!$1:$1,0)+1),MATCH(D$1,[1]characters!$1:$1,0)-MATCH($C$1,[1]characters!$1:$1,0)+1,FALSE)</f>
        <v>真田幸村</v>
      </c>
      <c r="E31" s="53">
        <f ca="1">VLOOKUP($C31,OFFSET([1]characters!$A$1,0,0,COUNTA([1]characters!$A:$A),MATCH(E$1,[1]characters!$1:$1,0)-MATCH($C$1,[1]characters!$1:$1,0)+1),MATCH(E$1,[1]characters!$1:$1,0)-MATCH($C$1,[1]characters!$1:$1,0)+1,FALSE)</f>
        <v>5</v>
      </c>
      <c r="F31" s="53" t="str">
        <f ca="1">VLOOKUP($C31,OFFSET([1]characters!$A$1,0,0,COUNTA([1]characters!$A:$A),MATCH(F$1,[1]characters!$1:$1,0)-MATCH($C$1,[1]characters!$1:$1,0)+1),MATCH(F$1,[1]characters!$1:$1,0)-MATCH($C$1,[1]characters!$1:$1,0)+1,FALSE)</f>
        <v>PremiumSSw</v>
      </c>
      <c r="G31" s="195">
        <v>1251</v>
      </c>
      <c r="H31" s="53" t="str">
        <f ca="1">VLOOKUP($G31,OFFSET([1]characters!$A$1,0,0,COUNTA([1]characters!$A:$A),MATCH(H$1,[1]characters!$1:$1,0)-MATCH($C$1,[1]characters!$1:$1,0)+1),MATCH(H$1,[1]characters!$1:$1,0)-MATCH($C$1,[1]characters!$1:$1,0)+1,FALSE)</f>
        <v>錯槍の英勇 真田幸村</v>
      </c>
      <c r="I31" s="194">
        <v>1236</v>
      </c>
      <c r="J31" s="53" t="str">
        <f ca="1">VLOOKUP($I31,OFFSET([1]characters!$A$1,0,0,COUNTA([1]characters!$A:$A),MATCH(J$1,[1]characters!$1:$1,0)-MATCH($C$1,[1]characters!$1:$1,0)+1),MATCH(J$1,[1]characters!$1:$1,0)-MATCH($C$1,[1]characters!$1:$1,0)+1,FALSE)</f>
        <v>千利休</v>
      </c>
      <c r="K31" s="192">
        <v>1</v>
      </c>
      <c r="L31" s="193">
        <v>1</v>
      </c>
      <c r="M31" s="193">
        <v>100</v>
      </c>
      <c r="N31" s="2" t="s">
        <v>290</v>
      </c>
    </row>
    <row r="32" spans="1:14" ht="21" customHeight="1" x14ac:dyDescent="0.15">
      <c r="A32" s="61" t="str">
        <f t="shared" si="3"/>
        <v>1250_274</v>
      </c>
      <c r="B32" s="195">
        <v>1250</v>
      </c>
      <c r="C32" s="178">
        <f t="shared" si="1"/>
        <v>1250</v>
      </c>
      <c r="D32" s="53" t="str">
        <f ca="1">VLOOKUP($C32,OFFSET([1]characters!$A$1,0,0,COUNTA([1]characters!$A:$A),MATCH(D$1,[1]characters!$1:$1,0)-MATCH($C$1,[1]characters!$1:$1,0)+1),MATCH(D$1,[1]characters!$1:$1,0)-MATCH($C$1,[1]characters!$1:$1,0)+1,FALSE)</f>
        <v>真田幸村</v>
      </c>
      <c r="E32" s="53">
        <f ca="1">VLOOKUP($C32,OFFSET([1]characters!$A$1,0,0,COUNTA([1]characters!$A:$A),MATCH(E$1,[1]characters!$1:$1,0)-MATCH($C$1,[1]characters!$1:$1,0)+1),MATCH(E$1,[1]characters!$1:$1,0)-MATCH($C$1,[1]characters!$1:$1,0)+1,FALSE)</f>
        <v>5</v>
      </c>
      <c r="F32" s="53" t="str">
        <f ca="1">VLOOKUP($C32,OFFSET([1]characters!$A$1,0,0,COUNTA([1]characters!$A:$A),MATCH(F$1,[1]characters!$1:$1,0)-MATCH($C$1,[1]characters!$1:$1,0)+1),MATCH(F$1,[1]characters!$1:$1,0)-MATCH($C$1,[1]characters!$1:$1,0)+1,FALSE)</f>
        <v>PremiumSSw</v>
      </c>
      <c r="G32" s="195">
        <v>1251</v>
      </c>
      <c r="H32" s="53" t="str">
        <f ca="1">VLOOKUP($G32,OFFSET([1]characters!$A$1,0,0,COUNTA([1]characters!$A:$A),MATCH(H$1,[1]characters!$1:$1,0)-MATCH($C$1,[1]characters!$1:$1,0)+1),MATCH(H$1,[1]characters!$1:$1,0)-MATCH($C$1,[1]characters!$1:$1,0)+1,FALSE)</f>
        <v>錯槍の英勇 真田幸村</v>
      </c>
      <c r="I32" s="194">
        <v>274</v>
      </c>
      <c r="J32" s="53" t="str">
        <f ca="1">VLOOKUP($I32,OFFSET([1]characters!$A$1,0,0,COUNTA([1]characters!$A:$A),MATCH(J$1,[1]characters!$1:$1,0)-MATCH($C$1,[1]characters!$1:$1,0)+1),MATCH(J$1,[1]characters!$1:$1,0)-MATCH($C$1,[1]characters!$1:$1,0)+1,FALSE)</f>
        <v>砕棒のガエル</v>
      </c>
      <c r="K32" s="192">
        <v>1</v>
      </c>
      <c r="L32" s="193">
        <v>1</v>
      </c>
      <c r="M32" s="193">
        <v>100</v>
      </c>
      <c r="N32" s="2" t="s">
        <v>290</v>
      </c>
    </row>
    <row r="33" spans="1:14" ht="21" customHeight="1" x14ac:dyDescent="0.15">
      <c r="A33" s="61" t="str">
        <f t="shared" ref="A33:A35" si="4">B33&amp;"_"&amp;I33</f>
        <v>1236_113</v>
      </c>
      <c r="B33" s="195">
        <v>1236</v>
      </c>
      <c r="C33" s="178">
        <f t="shared" ref="C33:C35" si="5">B33</f>
        <v>1236</v>
      </c>
      <c r="D33" s="53" t="str">
        <f ca="1">VLOOKUP($C33,OFFSET([1]characters!$A$1,0,0,COUNTA([1]characters!$A:$A),MATCH(D$1,[1]characters!$1:$1,0)-MATCH($C$1,[1]characters!$1:$1,0)+1),MATCH(D$1,[1]characters!$1:$1,0)-MATCH($C$1,[1]characters!$1:$1,0)+1,FALSE)</f>
        <v>千利休</v>
      </c>
      <c r="E33" s="53">
        <f ca="1">VLOOKUP($C33,OFFSET([1]characters!$A$1,0,0,COUNTA([1]characters!$A:$A),MATCH(E$1,[1]characters!$1:$1,0)-MATCH($C$1,[1]characters!$1:$1,0)+1),MATCH(E$1,[1]characters!$1:$1,0)-MATCH($C$1,[1]characters!$1:$1,0)+1,FALSE)</f>
        <v>4</v>
      </c>
      <c r="F33" s="53" t="str">
        <f ca="1">VLOOKUP($C33,OFFSET([1]characters!$A$1,0,0,COUNTA([1]characters!$A:$A),MATCH(F$1,[1]characters!$1:$1,0)-MATCH($C$1,[1]characters!$1:$1,0)+1),MATCH(F$1,[1]characters!$1:$1,0)-MATCH($C$1,[1]characters!$1:$1,0)+1,FALSE)</f>
        <v>Drop2N</v>
      </c>
      <c r="G33" s="195">
        <v>1237</v>
      </c>
      <c r="H33" s="53" t="str">
        <f ca="1">VLOOKUP($G33,OFFSET([1]characters!$A$1,0,0,COUNTA([1]characters!$A:$A),MATCH(H$1,[1]characters!$1:$1,0)-MATCH($C$1,[1]characters!$1:$1,0)+1),MATCH(H$1,[1]characters!$1:$1,0)-MATCH($C$1,[1]characters!$1:$1,0)+1,FALSE)</f>
        <v>夢茶の目付役 千利休</v>
      </c>
      <c r="I33" s="194">
        <v>113</v>
      </c>
      <c r="J33" s="53" t="str">
        <f ca="1">VLOOKUP($I33,OFFSET([1]characters!$A$1,0,0,COUNTA([1]characters!$A:$A),MATCH(J$1,[1]characters!$1:$1,0)-MATCH($C$1,[1]characters!$1:$1,0)+1),MATCH(J$1,[1]characters!$1:$1,0)-MATCH($C$1,[1]characters!$1:$1,0)+1,FALSE)</f>
        <v>イエローチェシャ</v>
      </c>
      <c r="K33" s="192">
        <v>1</v>
      </c>
      <c r="L33" s="193">
        <v>1</v>
      </c>
      <c r="M33" s="193">
        <v>10</v>
      </c>
      <c r="N33" s="2" t="s">
        <v>290</v>
      </c>
    </row>
    <row r="34" spans="1:14" ht="21" customHeight="1" x14ac:dyDescent="0.15">
      <c r="A34" s="61" t="str">
        <f t="shared" si="4"/>
        <v>1236_114</v>
      </c>
      <c r="B34" s="195">
        <v>1236</v>
      </c>
      <c r="C34" s="178">
        <f t="shared" si="5"/>
        <v>1236</v>
      </c>
      <c r="D34" s="53" t="str">
        <f ca="1">VLOOKUP($C34,OFFSET([1]characters!$A$1,0,0,COUNTA([1]characters!$A:$A),MATCH(D$1,[1]characters!$1:$1,0)-MATCH($C$1,[1]characters!$1:$1,0)+1),MATCH(D$1,[1]characters!$1:$1,0)-MATCH($C$1,[1]characters!$1:$1,0)+1,FALSE)</f>
        <v>千利休</v>
      </c>
      <c r="E34" s="53">
        <f ca="1">VLOOKUP($C34,OFFSET([1]characters!$A$1,0,0,COUNTA([1]characters!$A:$A),MATCH(E$1,[1]characters!$1:$1,0)-MATCH($C$1,[1]characters!$1:$1,0)+1),MATCH(E$1,[1]characters!$1:$1,0)-MATCH($C$1,[1]characters!$1:$1,0)+1,FALSE)</f>
        <v>4</v>
      </c>
      <c r="F34" s="53" t="str">
        <f ca="1">VLOOKUP($C34,OFFSET([1]characters!$A$1,0,0,COUNTA([1]characters!$A:$A),MATCH(F$1,[1]characters!$1:$1,0)-MATCH($C$1,[1]characters!$1:$1,0)+1),MATCH(F$1,[1]characters!$1:$1,0)-MATCH($C$1,[1]characters!$1:$1,0)+1,FALSE)</f>
        <v>Drop2N</v>
      </c>
      <c r="G34" s="195">
        <v>1237</v>
      </c>
      <c r="H34" s="53" t="str">
        <f ca="1">VLOOKUP($G34,OFFSET([1]characters!$A$1,0,0,COUNTA([1]characters!$A:$A),MATCH(H$1,[1]characters!$1:$1,0)-MATCH($C$1,[1]characters!$1:$1,0)+1),MATCH(H$1,[1]characters!$1:$1,0)-MATCH($C$1,[1]characters!$1:$1,0)+1,FALSE)</f>
        <v>夢茶の目付役 千利休</v>
      </c>
      <c r="I34" s="194">
        <v>114</v>
      </c>
      <c r="J34" s="53" t="str">
        <f ca="1">VLOOKUP($I34,OFFSET([1]characters!$A$1,0,0,COUNTA([1]characters!$A:$A),MATCH(J$1,[1]characters!$1:$1,0)-MATCH($C$1,[1]characters!$1:$1,0)+1),MATCH(J$1,[1]characters!$1:$1,0)-MATCH($C$1,[1]characters!$1:$1,0)+1,FALSE)</f>
        <v>イエローラビット</v>
      </c>
      <c r="K34" s="192">
        <v>2</v>
      </c>
      <c r="L34" s="193">
        <v>1</v>
      </c>
      <c r="M34" s="193">
        <v>10</v>
      </c>
      <c r="N34" s="2" t="s">
        <v>290</v>
      </c>
    </row>
    <row r="35" spans="1:14" ht="21" customHeight="1" x14ac:dyDescent="0.15">
      <c r="A35" s="61" t="str">
        <f t="shared" si="4"/>
        <v>1236_115</v>
      </c>
      <c r="B35" s="195">
        <v>1236</v>
      </c>
      <c r="C35" s="178">
        <f t="shared" si="5"/>
        <v>1236</v>
      </c>
      <c r="D35" s="53" t="str">
        <f ca="1">VLOOKUP($C35,OFFSET([1]characters!$A$1,0,0,COUNTA([1]characters!$A:$A),MATCH(D$1,[1]characters!$1:$1,0)-MATCH($C$1,[1]characters!$1:$1,0)+1),MATCH(D$1,[1]characters!$1:$1,0)-MATCH($C$1,[1]characters!$1:$1,0)+1,FALSE)</f>
        <v>千利休</v>
      </c>
      <c r="E35" s="53">
        <f ca="1">VLOOKUP($C35,OFFSET([1]characters!$A$1,0,0,COUNTA([1]characters!$A:$A),MATCH(E$1,[1]characters!$1:$1,0)-MATCH($C$1,[1]characters!$1:$1,0)+1),MATCH(E$1,[1]characters!$1:$1,0)-MATCH($C$1,[1]characters!$1:$1,0)+1,FALSE)</f>
        <v>4</v>
      </c>
      <c r="F35" s="53" t="str">
        <f ca="1">VLOOKUP($C35,OFFSET([1]characters!$A$1,0,0,COUNTA([1]characters!$A:$A),MATCH(F$1,[1]characters!$1:$1,0)-MATCH($C$1,[1]characters!$1:$1,0)+1),MATCH(F$1,[1]characters!$1:$1,0)-MATCH($C$1,[1]characters!$1:$1,0)+1,FALSE)</f>
        <v>Drop2N</v>
      </c>
      <c r="G35" s="195">
        <v>1237</v>
      </c>
      <c r="H35" s="53" t="str">
        <f ca="1">VLOOKUP($G35,OFFSET([1]characters!$A$1,0,0,COUNTA([1]characters!$A:$A),MATCH(H$1,[1]characters!$1:$1,0)-MATCH($C$1,[1]characters!$1:$1,0)+1),MATCH(H$1,[1]characters!$1:$1,0)-MATCH($C$1,[1]characters!$1:$1,0)+1,FALSE)</f>
        <v>夢茶の目付役 千利休</v>
      </c>
      <c r="I35" s="194">
        <v>115</v>
      </c>
      <c r="J35" s="53" t="str">
        <f ca="1">VLOOKUP($I35,OFFSET([1]characters!$A$1,0,0,COUNTA([1]characters!$A:$A),MATCH(J$1,[1]characters!$1:$1,0)-MATCH($C$1,[1]characters!$1:$1,0)+1),MATCH(J$1,[1]characters!$1:$1,0)-MATCH($C$1,[1]characters!$1:$1,0)+1,FALSE)</f>
        <v>イエローキャタップ</v>
      </c>
      <c r="K35" s="192">
        <v>1</v>
      </c>
      <c r="L35" s="193">
        <v>1</v>
      </c>
      <c r="M35" s="193">
        <v>10</v>
      </c>
      <c r="N35" s="2" t="s">
        <v>290</v>
      </c>
    </row>
    <row r="36" spans="1:14" ht="21" customHeight="1" x14ac:dyDescent="0.15">
      <c r="A36" s="61" t="str">
        <f t="shared" ref="A36" si="6">B36&amp;"_"&amp;I36</f>
        <v>1236_116</v>
      </c>
      <c r="B36" s="195">
        <v>1236</v>
      </c>
      <c r="C36" s="178">
        <f t="shared" ref="C36" si="7">B36</f>
        <v>1236</v>
      </c>
      <c r="D36" s="53" t="str">
        <f ca="1">VLOOKUP($C36,OFFSET([1]characters!$A$1,0,0,COUNTA([1]characters!$A:$A),MATCH(D$1,[1]characters!$1:$1,0)-MATCH($C$1,[1]characters!$1:$1,0)+1),MATCH(D$1,[1]characters!$1:$1,0)-MATCH($C$1,[1]characters!$1:$1,0)+1,FALSE)</f>
        <v>千利休</v>
      </c>
      <c r="E36" s="53">
        <f ca="1">VLOOKUP($C36,OFFSET([1]characters!$A$1,0,0,COUNTA([1]characters!$A:$A),MATCH(E$1,[1]characters!$1:$1,0)-MATCH($C$1,[1]characters!$1:$1,0)+1),MATCH(E$1,[1]characters!$1:$1,0)-MATCH($C$1,[1]characters!$1:$1,0)+1,FALSE)</f>
        <v>4</v>
      </c>
      <c r="F36" s="53" t="str">
        <f ca="1">VLOOKUP($C36,OFFSET([1]characters!$A$1,0,0,COUNTA([1]characters!$A:$A),MATCH(F$1,[1]characters!$1:$1,0)-MATCH($C$1,[1]characters!$1:$1,0)+1),MATCH(F$1,[1]characters!$1:$1,0)-MATCH($C$1,[1]characters!$1:$1,0)+1,FALSE)</f>
        <v>Drop2N</v>
      </c>
      <c r="G36" s="195">
        <v>1237</v>
      </c>
      <c r="H36" s="53" t="str">
        <f ca="1">VLOOKUP($G36,OFFSET([1]characters!$A$1,0,0,COUNTA([1]characters!$A:$A),MATCH(H$1,[1]characters!$1:$1,0)-MATCH($C$1,[1]characters!$1:$1,0)+1),MATCH(H$1,[1]characters!$1:$1,0)-MATCH($C$1,[1]characters!$1:$1,0)+1,FALSE)</f>
        <v>夢茶の目付役 千利休</v>
      </c>
      <c r="I36" s="194">
        <v>116</v>
      </c>
      <c r="J36" s="53" t="str">
        <f ca="1">VLOOKUP($I36,OFFSET([1]characters!$A$1,0,0,COUNTA([1]characters!$A:$A),MATCH(J$1,[1]characters!$1:$1,0)-MATCH($C$1,[1]characters!$1:$1,0)+1),MATCH(J$1,[1]characters!$1:$1,0)-MATCH($C$1,[1]characters!$1:$1,0)+1,FALSE)</f>
        <v>雷のマッドハッター</v>
      </c>
      <c r="K36" s="192">
        <v>1</v>
      </c>
      <c r="L36" s="193">
        <v>1</v>
      </c>
      <c r="M36" s="193">
        <v>10</v>
      </c>
      <c r="N36"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31" sqref="D31"/>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302</v>
      </c>
      <c r="B1" s="115" t="s">
        <v>303</v>
      </c>
      <c r="C1" s="116" t="s">
        <v>304</v>
      </c>
      <c r="D1" s="117" t="s">
        <v>305</v>
      </c>
      <c r="E1" s="117" t="s">
        <v>306</v>
      </c>
      <c r="F1" s="117" t="s">
        <v>307</v>
      </c>
      <c r="G1" s="117" t="s">
        <v>308</v>
      </c>
      <c r="H1" s="117" t="s">
        <v>309</v>
      </c>
      <c r="I1" s="173" t="s">
        <v>310</v>
      </c>
      <c r="J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1"/>
  <sheetViews>
    <sheetView workbookViewId="0">
      <selection activeCell="D15" sqref="D15"/>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1245</v>
      </c>
      <c r="B2" s="172" t="str">
        <f>VLOOKUP(A2,[1]characters!$A:$C,3)</f>
        <v>甲火の特殊忍 猿飛佐助</v>
      </c>
      <c r="C2" s="196">
        <v>1</v>
      </c>
      <c r="D2" s="196">
        <v>200</v>
      </c>
      <c r="E2" s="173" t="str">
        <f>IF(ISERROR(VLOOKUP(D2,[3]abilities!A:D,3,FALSE))=FALSE,VLOOKUP(D2,[3]abilities!A:D,3),IF(ISERROR(VLOOKUP(D2,abilities!A:D,3,FALSE))=FALSE,VLOOKUP(D2,abilities!A:D,3),"なし"))</f>
        <v>ウィルス無効</v>
      </c>
      <c r="F2" s="173" t="str">
        <f>IF(ISERROR(VLOOKUP(D2,[3]abilities!A:D,4,FALSE))=FALSE,VLOOKUP(D2,[3]abilities!A:D,4),IF(ISERROR(VLOOKUP(D2,abilities!A:D,4,FALSE))=FALSE,VLOOKUP(D2,abilities!A:D,4),"なし"))</f>
        <v>自身にかかるウィルスを無効化する</v>
      </c>
      <c r="G2" s="174" t="s">
        <v>274</v>
      </c>
      <c r="H2" s="197" t="s">
        <v>320</v>
      </c>
    </row>
    <row r="3" spans="1:8" s="4" customFormat="1" ht="21" customHeight="1" x14ac:dyDescent="0.15">
      <c r="A3" s="169">
        <v>1247</v>
      </c>
      <c r="B3" s="172" t="str">
        <f>VLOOKUP(A3,[1]characters!$A:$C,3)</f>
        <v>潜情のくノ一 望月千代女</v>
      </c>
      <c r="C3" s="196">
        <v>1</v>
      </c>
      <c r="D3" s="196">
        <v>103</v>
      </c>
      <c r="E3" s="173" t="str">
        <f>IF(ISERROR(VLOOKUP(D3,[3]abilities!A:D,3,FALSE))=FALSE,VLOOKUP(D3,[3]abilities!A:D,3),IF(ISERROR(VLOOKUP(D3,abilities!A:D,3,FALSE))=FALSE,VLOOKUP(D3,abilities!A:D,3),"なし"))</f>
        <v>お邪魔ブレイク</v>
      </c>
      <c r="F3" s="173" t="str">
        <f>IF(ISERROR(VLOOKUP(D3,[3]abilities!A:D,4,FALSE))=FALSE,VLOOKUP(D3,[3]abilities!A:D,4),IF(ISERROR(VLOOKUP(D3,abilities!A:D,4,FALSE))=FALSE,VLOOKUP(D3,abilities!A:D,4),"なし"))</f>
        <v>自身が先頭の時、お邪魔パネルを破壊できる</v>
      </c>
      <c r="G3" s="174" t="s">
        <v>274</v>
      </c>
      <c r="H3" s="197" t="s">
        <v>320</v>
      </c>
    </row>
    <row r="4" spans="1:8" s="4" customFormat="1" ht="21" customHeight="1" x14ac:dyDescent="0.15">
      <c r="A4" s="169">
        <v>1251</v>
      </c>
      <c r="B4" s="172" t="str">
        <f>VLOOKUP(A4,[1]characters!$A:$C,3)</f>
        <v>錯槍の英勇 真田幸村</v>
      </c>
      <c r="C4" s="196">
        <v>1</v>
      </c>
      <c r="D4" s="196">
        <v>109</v>
      </c>
      <c r="E4" s="173" t="str">
        <f>IF(ISERROR(VLOOKUP(D4,[3]abilities!A:D,3,FALSE))=FALSE,VLOOKUP(D4,[3]abilities!A:D,3),IF(ISERROR(VLOOKUP(D4,abilities!A:D,3,FALSE))=FALSE,VLOOKUP(D4,abilities!A:D,3),"なし"))</f>
        <v>ダメージパネルブレイク</v>
      </c>
      <c r="F4" s="173" t="str">
        <f>IF(ISERROR(VLOOKUP(D4,[3]abilities!A:D,4,FALSE))=FALSE,VLOOKUP(D4,[3]abilities!A:D,4),IF(ISERROR(VLOOKUP(D4,abilities!A:D,4,FALSE))=FALSE,VLOOKUP(D4,abilities!A:D,4),"なし"))</f>
        <v>自身が先頭の時、ダメージを受けずにダメージパネルを破壊できる</v>
      </c>
      <c r="G4" s="174" t="s">
        <v>274</v>
      </c>
      <c r="H4" s="197" t="s">
        <v>320</v>
      </c>
    </row>
    <row r="5" spans="1:8" s="4" customFormat="1" ht="21" customHeight="1" x14ac:dyDescent="0.15">
      <c r="A5" s="169">
        <v>1243</v>
      </c>
      <c r="B5" s="172" t="str">
        <f>VLOOKUP(A5,[1]characters!$A:$C,3)</f>
        <v>新世覇の昇竜 豊臣秀吉</v>
      </c>
      <c r="C5" s="196">
        <v>1</v>
      </c>
      <c r="D5" s="196">
        <v>103</v>
      </c>
      <c r="E5" s="173" t="str">
        <f>IF(ISERROR(VLOOKUP(D5,[3]abilities!A:D,3,FALSE))=FALSE,VLOOKUP(D5,[3]abilities!A:D,3),IF(ISERROR(VLOOKUP(D5,abilities!A:D,3,FALSE))=FALSE,VLOOKUP(D5,abilities!A:D,3),"なし"))</f>
        <v>お邪魔ブレイク</v>
      </c>
      <c r="F5" s="173" t="str">
        <f>IF(ISERROR(VLOOKUP(D5,[3]abilities!A:D,4,FALSE))=FALSE,VLOOKUP(D5,[3]abilities!A:D,4),IF(ISERROR(VLOOKUP(D5,abilities!A:D,4,FALSE))=FALSE,VLOOKUP(D5,abilities!A:D,4),"なし"))</f>
        <v>自身が先頭の時、お邪魔パネルを破壊できる</v>
      </c>
      <c r="G5" s="174" t="s">
        <v>274</v>
      </c>
      <c r="H5" s="197" t="s">
        <v>320</v>
      </c>
    </row>
    <row r="6" spans="1:8" s="4" customFormat="1" ht="21" customHeight="1" x14ac:dyDescent="0.15">
      <c r="A6" s="169">
        <v>1243</v>
      </c>
      <c r="B6" s="172" t="str">
        <f>VLOOKUP(A6,[1]characters!$A:$C,3)</f>
        <v>新世覇の昇竜 豊臣秀吉</v>
      </c>
      <c r="C6" s="196">
        <v>2</v>
      </c>
      <c r="D6" s="196">
        <v>201</v>
      </c>
      <c r="E6" s="173" t="str">
        <f>IF(ISERROR(VLOOKUP(D6,[3]abilities!A:D,3,FALSE))=FALSE,VLOOKUP(D6,[3]abilities!A:D,3),IF(ISERROR(VLOOKUP(D6,abilities!A:D,3,FALSE))=FALSE,VLOOKUP(D6,abilities!A:D,3),"なし"))</f>
        <v>スキルバインド無効</v>
      </c>
      <c r="F6" s="173" t="str">
        <f>IF(ISERROR(VLOOKUP(D6,[3]abilities!A:D,4,FALSE))=FALSE,VLOOKUP(D6,[3]abilities!A:D,4),IF(ISERROR(VLOOKUP(D6,abilities!A:D,4,FALSE))=FALSE,VLOOKUP(D6,abilities!A:D,4),"なし"))</f>
        <v>自身にかかるスキルバインドを無効化する</v>
      </c>
      <c r="G6" s="174" t="s">
        <v>274</v>
      </c>
      <c r="H6" s="197" t="s">
        <v>348</v>
      </c>
    </row>
    <row r="7" spans="1:8" s="4" customFormat="1" ht="21" customHeight="1" x14ac:dyDescent="0.15">
      <c r="A7" s="169">
        <v>1241</v>
      </c>
      <c r="B7" s="172" t="str">
        <f>VLOOKUP(A7,[1]characters!$A:$C,3)</f>
        <v>巧妙なる嬢舌 竹中半兵衛</v>
      </c>
      <c r="C7" s="196">
        <v>1</v>
      </c>
      <c r="D7" s="196">
        <v>109</v>
      </c>
      <c r="E7" s="173" t="str">
        <f>IF(ISERROR(VLOOKUP(D7,[3]abilities!A:D,3,FALSE))=FALSE,VLOOKUP(D7,[3]abilities!A:D,3),IF(ISERROR(VLOOKUP(D7,abilities!A:D,3,FALSE))=FALSE,VLOOKUP(D7,abilities!A:D,3),"なし"))</f>
        <v>ダメージパネルブレイク</v>
      </c>
      <c r="F7" s="173" t="str">
        <f>IF(ISERROR(VLOOKUP(D7,[3]abilities!A:D,4,FALSE))=FALSE,VLOOKUP(D7,[3]abilities!A:D,4),IF(ISERROR(VLOOKUP(D7,abilities!A:D,4,FALSE))=FALSE,VLOOKUP(D7,abilities!A:D,4),"なし"))</f>
        <v>自身が先頭の時、ダメージを受けずにダメージパネルを破壊できる</v>
      </c>
      <c r="G7" s="174" t="s">
        <v>274</v>
      </c>
      <c r="H7" s="197" t="s">
        <v>320</v>
      </c>
    </row>
    <row r="8" spans="1:8" s="4" customFormat="1" ht="21" customHeight="1" x14ac:dyDescent="0.15">
      <c r="A8" s="169">
        <v>1241</v>
      </c>
      <c r="B8" s="172" t="str">
        <f>VLOOKUP(A8,[1]characters!$A:$C,3)</f>
        <v>巧妙なる嬢舌 竹中半兵衛</v>
      </c>
      <c r="C8" s="196">
        <v>2</v>
      </c>
      <c r="D8" s="196">
        <v>2700</v>
      </c>
      <c r="E8" s="173" t="str">
        <f>IF(ISERROR(VLOOKUP(D8,[3]abilities!A:D,3,FALSE))=FALSE,VLOOKUP(D8,[3]abilities!A:D,3),IF(ISERROR(VLOOKUP(D8,abilities!A:D,3,FALSE))=FALSE,VLOOKUP(D8,abilities!A:D,3),"なし"))</f>
        <v>攻撃力UP</v>
      </c>
      <c r="F8" s="173" t="str">
        <f>IF(ISERROR(VLOOKUP(D8,[3]abilities!A:D,4,FALSE))=FALSE,VLOOKUP(D8,[3]abilities!A:D,4),IF(ISERROR(VLOOKUP(D8,abilities!A:D,4,FALSE))=FALSE,VLOOKUP(D8,abilities!A:D,4),"なし"))</f>
        <v>自身の攻撃力を300UP</v>
      </c>
      <c r="G8" s="174" t="s">
        <v>274</v>
      </c>
      <c r="H8" s="197" t="s">
        <v>351</v>
      </c>
    </row>
    <row r="9" spans="1:8" s="4" customFormat="1" ht="21" customHeight="1" x14ac:dyDescent="0.15">
      <c r="A9" s="169">
        <v>1239</v>
      </c>
      <c r="B9" s="172" t="str">
        <f>VLOOKUP(A9,[1]characters!$A:$C,3)</f>
        <v>音無の機密忍 服部半蔵</v>
      </c>
      <c r="C9" s="196">
        <v>1</v>
      </c>
      <c r="D9" s="196">
        <v>203</v>
      </c>
      <c r="E9" s="173" t="str">
        <f>IF(ISERROR(VLOOKUP(D9,[3]abilities!A:D,3,FALSE))=FALSE,VLOOKUP(D9,[3]abilities!A:D,3),IF(ISERROR(VLOOKUP(D9,abilities!A:D,3,FALSE))=FALSE,VLOOKUP(D9,abilities!A:D,3),"なし"))</f>
        <v>爆風軽減無効</v>
      </c>
      <c r="F9" s="173" t="str">
        <f>IF(ISERROR(VLOOKUP(D9,[3]abilities!A:D,4,FALSE))=FALSE,VLOOKUP(D9,[3]abilities!A:D,4),IF(ISERROR(VLOOKUP(D9,abilities!A:D,4,FALSE))=FALSE,VLOOKUP(D9,abilities!A:D,4),"なし"))</f>
        <v>自身が先頭の時、爆風軽減を無効化する</v>
      </c>
      <c r="G9" s="174" t="s">
        <v>274</v>
      </c>
      <c r="H9" s="197" t="s">
        <v>320</v>
      </c>
    </row>
    <row r="10" spans="1:8" s="4" customFormat="1" ht="21" customHeight="1" x14ac:dyDescent="0.15">
      <c r="A10" s="169">
        <v>1239</v>
      </c>
      <c r="B10" s="172" t="str">
        <f>VLOOKUP(A10,[1]characters!$A:$C,3)</f>
        <v>音無の機密忍 服部半蔵</v>
      </c>
      <c r="C10" s="196">
        <v>2</v>
      </c>
      <c r="D10" s="196">
        <v>200</v>
      </c>
      <c r="E10" s="173" t="str">
        <f>IF(ISERROR(VLOOKUP(D10,[3]abilities!A:D,3,FALSE))=FALSE,VLOOKUP(D10,[3]abilities!A:D,3),IF(ISERROR(VLOOKUP(D10,abilities!A:D,3,FALSE))=FALSE,VLOOKUP(D10,abilities!A:D,3),"なし"))</f>
        <v>ウィルス無効</v>
      </c>
      <c r="F10" s="173" t="str">
        <f>IF(ISERROR(VLOOKUP(D10,[3]abilities!A:D,4,FALSE))=FALSE,VLOOKUP(D10,[3]abilities!A:D,4),IF(ISERROR(VLOOKUP(D10,abilities!A:D,4,FALSE))=FALSE,VLOOKUP(D10,abilities!A:D,4),"なし"))</f>
        <v>自身にかかるウィルスを無効化する</v>
      </c>
      <c r="G10" s="174" t="s">
        <v>274</v>
      </c>
      <c r="H10" s="197" t="s">
        <v>351</v>
      </c>
    </row>
    <row r="11" spans="1:8" s="4" customFormat="1" ht="21" customHeight="1" x14ac:dyDescent="0.15">
      <c r="A11" s="169">
        <v>1249</v>
      </c>
      <c r="B11" s="172" t="str">
        <f>VLOOKUP(A11,[1]characters!$A:$C,3)</f>
        <v>君臨する姐御様 寧々</v>
      </c>
      <c r="C11" s="196">
        <v>1</v>
      </c>
      <c r="D11" s="196">
        <v>9013</v>
      </c>
      <c r="E11" s="173" t="str">
        <f>IF(ISERROR(VLOOKUP(D11,[3]abilities!A:D,3,FALSE))=FALSE,VLOOKUP(D11,[3]abilities!A:D,3),IF(ISERROR(VLOOKUP(D11,abilities!A:D,3,FALSE))=FALSE,VLOOKUP(D11,abilities!A:D,3),"なし"))</f>
        <v>ラグランジュチャレンジ ダメージUP</v>
      </c>
      <c r="F11" s="173" t="str">
        <f>IF(ISERROR(VLOOKUP(D11,[3]abilities!A:D,4,FALSE))=FALSE,VLOOKUP(D11,[3]abilities!A:D,4),IF(ISERROR(VLOOKUP(D11,abilities!A:D,4,FALSE))=FALSE,VLOOKUP(D11,abilities!A:D,4),"なし"))</f>
        <v>ラグランジュチャレンジ内で自身の全ての攻撃の威力をUP</v>
      </c>
      <c r="G11" s="174" t="s">
        <v>274</v>
      </c>
      <c r="H11" s="197" t="s">
        <v>320</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D6" sqref="D6"/>
    </sheetView>
  </sheetViews>
  <sheetFormatPr baseColWidth="12" defaultRowHeight="15" x14ac:dyDescent="0.15"/>
  <sheetData>
    <row r="1" spans="1:2" x14ac:dyDescent="0.15">
      <c r="A1" t="s">
        <v>324</v>
      </c>
      <c r="B1" t="s">
        <v>325</v>
      </c>
    </row>
    <row r="2" spans="1:2" x14ac:dyDescent="0.15">
      <c r="A2" t="s">
        <v>326</v>
      </c>
      <c r="B2">
        <v>1</v>
      </c>
    </row>
    <row r="3" spans="1:2" x14ac:dyDescent="0.15">
      <c r="A3" t="s">
        <v>327</v>
      </c>
      <c r="B3">
        <v>1</v>
      </c>
    </row>
    <row r="4" spans="1:2" x14ac:dyDescent="0.15">
      <c r="A4" t="s">
        <v>328</v>
      </c>
      <c r="B4">
        <v>1</v>
      </c>
    </row>
    <row r="5" spans="1:2" x14ac:dyDescent="0.15">
      <c r="A5" t="s">
        <v>329</v>
      </c>
      <c r="B5">
        <v>1</v>
      </c>
    </row>
    <row r="6" spans="1:2" x14ac:dyDescent="0.15">
      <c r="A6" t="s">
        <v>330</v>
      </c>
      <c r="B6">
        <v>1</v>
      </c>
    </row>
    <row r="7" spans="1:2" x14ac:dyDescent="0.15">
      <c r="A7" t="s">
        <v>331</v>
      </c>
      <c r="B7">
        <v>1</v>
      </c>
    </row>
    <row r="8" spans="1:2" x14ac:dyDescent="0.15">
      <c r="A8" t="s">
        <v>332</v>
      </c>
      <c r="B8">
        <v>1</v>
      </c>
    </row>
    <row r="9" spans="1:2" x14ac:dyDescent="0.15">
      <c r="A9" t="s">
        <v>333</v>
      </c>
      <c r="B9">
        <v>1</v>
      </c>
    </row>
    <row r="10" spans="1:2" x14ac:dyDescent="0.15">
      <c r="A10" t="s">
        <v>334</v>
      </c>
      <c r="B10">
        <v>1</v>
      </c>
    </row>
    <row r="11" spans="1:2" x14ac:dyDescent="0.15">
      <c r="A11" t="s">
        <v>335</v>
      </c>
      <c r="B11">
        <v>1</v>
      </c>
    </row>
    <row r="12" spans="1:2" x14ac:dyDescent="0.15">
      <c r="A12" t="s">
        <v>336</v>
      </c>
      <c r="B12">
        <v>1</v>
      </c>
    </row>
    <row r="13" spans="1:2" x14ac:dyDescent="0.15">
      <c r="A13" t="s">
        <v>337</v>
      </c>
      <c r="B13">
        <v>0</v>
      </c>
    </row>
    <row r="14" spans="1:2" x14ac:dyDescent="0.15">
      <c r="A14" t="s">
        <v>338</v>
      </c>
      <c r="B14">
        <v>500</v>
      </c>
    </row>
    <row r="15" spans="1:2" x14ac:dyDescent="0.15">
      <c r="A15" t="s">
        <v>339</v>
      </c>
      <c r="B15">
        <v>600</v>
      </c>
    </row>
    <row r="16" spans="1:2" x14ac:dyDescent="0.15">
      <c r="A16" t="s">
        <v>340</v>
      </c>
      <c r="B16">
        <v>700</v>
      </c>
    </row>
    <row r="17" spans="1:2" x14ac:dyDescent="0.15">
      <c r="A17" t="s">
        <v>341</v>
      </c>
      <c r="B17">
        <v>5500</v>
      </c>
    </row>
    <row r="18" spans="1:2" x14ac:dyDescent="0.15">
      <c r="A18" t="s">
        <v>342</v>
      </c>
      <c r="B18">
        <v>6000</v>
      </c>
    </row>
    <row r="19" spans="1:2" x14ac:dyDescent="0.15">
      <c r="A19" t="s">
        <v>343</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2017-06-06T09:16:04Z</dcterms:modified>
</cp:coreProperties>
</file>