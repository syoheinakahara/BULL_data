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3200" yWindow="460" windowWidth="25600" windowHeight="146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awake_materials" sheetId="3" r:id="rId6"/>
    <sheet name="abilities" sheetId="57" r:id="rId7"/>
    <sheet name="unit_abilities" sheetId="58" r:id="rId8"/>
    <sheet name="→base値" sheetId="51" r:id="rId9"/>
    <sheet name="ghosts_label" sheetId="59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チェックシート" sheetId="55" r:id="rId16"/>
    <sheet name="設計仕様" sheetId="56" r:id="rId17"/>
  </sheets>
  <externalReferences>
    <externalReference r:id="rId18"/>
    <externalReference r:id="rId19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4">#REF!</definedName>
    <definedName name="base_character_id">awake_materials!$B$1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1" i="58" l="1"/>
  <c r="E11" i="58"/>
  <c r="B11" i="58"/>
  <c r="F10" i="58"/>
  <c r="E10" i="58"/>
  <c r="B10" i="58"/>
  <c r="F9" i="58"/>
  <c r="E9" i="58"/>
  <c r="B9" i="58"/>
  <c r="F8" i="58"/>
  <c r="E8" i="58"/>
  <c r="B8" i="58"/>
  <c r="F7" i="58"/>
  <c r="E7" i="58"/>
  <c r="B7" i="58"/>
  <c r="F6" i="58"/>
  <c r="E6" i="58"/>
  <c r="B6" i="58"/>
  <c r="F5" i="58"/>
  <c r="E5" i="58"/>
  <c r="B5" i="58"/>
  <c r="F4" i="58"/>
  <c r="E4" i="58"/>
  <c r="B4" i="58"/>
  <c r="F3" i="58"/>
  <c r="E3" i="58"/>
  <c r="B3" i="58"/>
  <c r="F2" i="58"/>
  <c r="E2" i="58"/>
  <c r="B2" i="58"/>
  <c r="H3" i="23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2" i="23"/>
  <c r="BR2" i="23"/>
  <c r="I7" i="54"/>
  <c r="G4" i="23"/>
  <c r="BC4" i="23"/>
  <c r="BD4" i="23"/>
  <c r="Q4" i="23"/>
  <c r="T4" i="23"/>
  <c r="W4" i="23"/>
  <c r="AB4" i="23"/>
  <c r="K4" i="23"/>
  <c r="BL4" i="23"/>
  <c r="G2" i="23"/>
  <c r="BC2" i="23"/>
  <c r="BD2" i="23"/>
  <c r="Q2" i="23"/>
  <c r="T2" i="23"/>
  <c r="W2" i="23"/>
  <c r="AB2" i="23"/>
  <c r="K2" i="23"/>
  <c r="BL2" i="23"/>
  <c r="G6" i="23"/>
  <c r="BC6" i="23"/>
  <c r="BD6" i="23"/>
  <c r="Q6" i="23"/>
  <c r="V6" i="23"/>
  <c r="W6" i="23"/>
  <c r="AD6" i="23"/>
  <c r="I6" i="23"/>
  <c r="M6" i="23"/>
  <c r="BN6" i="23"/>
  <c r="G5" i="23"/>
  <c r="BC5" i="23"/>
  <c r="BD5" i="23"/>
  <c r="Q5" i="23"/>
  <c r="T5" i="23"/>
  <c r="W5" i="23"/>
  <c r="AB5" i="23"/>
  <c r="K5" i="23"/>
  <c r="BL5" i="23"/>
  <c r="G8" i="23"/>
  <c r="BC8" i="23"/>
  <c r="BD8" i="23"/>
  <c r="Q8" i="23"/>
  <c r="S8" i="23"/>
  <c r="W8" i="23"/>
  <c r="AA8" i="23"/>
  <c r="J8" i="23"/>
  <c r="BK8" i="23"/>
  <c r="V8" i="23"/>
  <c r="AD8" i="23"/>
  <c r="M8" i="23"/>
  <c r="BN8" i="23"/>
  <c r="T8" i="23"/>
  <c r="AB8" i="23"/>
  <c r="K8" i="23"/>
  <c r="BL8" i="23"/>
  <c r="V2" i="23"/>
  <c r="AD2" i="23"/>
  <c r="M2" i="23"/>
  <c r="BN2" i="23"/>
  <c r="AG2" i="23"/>
  <c r="B43" i="54"/>
  <c r="E43" i="54"/>
  <c r="I43" i="54"/>
  <c r="B44" i="54"/>
  <c r="E44" i="54"/>
  <c r="I44" i="54"/>
  <c r="B45" i="54"/>
  <c r="E45" i="54"/>
  <c r="I45" i="54"/>
  <c r="B46" i="54"/>
  <c r="E46" i="54"/>
  <c r="I46" i="54"/>
  <c r="G7" i="23"/>
  <c r="BC7" i="23"/>
  <c r="BD7" i="23"/>
  <c r="Q7" i="23"/>
  <c r="V7" i="23"/>
  <c r="W7" i="23"/>
  <c r="AD7" i="23"/>
  <c r="I7" i="23"/>
  <c r="M7" i="23"/>
  <c r="BN7" i="23"/>
  <c r="I42" i="54"/>
  <c r="E42" i="54"/>
  <c r="B42" i="54"/>
  <c r="I41" i="54"/>
  <c r="E41" i="54"/>
  <c r="B41" i="54"/>
  <c r="I40" i="54"/>
  <c r="E40" i="54"/>
  <c r="B40" i="54"/>
  <c r="I39" i="54"/>
  <c r="E39" i="54"/>
  <c r="B39" i="54"/>
  <c r="I38" i="54"/>
  <c r="E38" i="54"/>
  <c r="B38" i="54"/>
  <c r="I37" i="54"/>
  <c r="E37" i="54"/>
  <c r="B37" i="54"/>
  <c r="I36" i="54"/>
  <c r="E36" i="54"/>
  <c r="B36" i="54"/>
  <c r="I35" i="54"/>
  <c r="E35" i="54"/>
  <c r="B35" i="54"/>
  <c r="I34" i="54"/>
  <c r="E34" i="54"/>
  <c r="B34" i="54"/>
  <c r="I33" i="54"/>
  <c r="E33" i="54"/>
  <c r="B33" i="54"/>
  <c r="I32" i="54"/>
  <c r="E32" i="54"/>
  <c r="B32" i="54"/>
  <c r="I31" i="54"/>
  <c r="E31" i="54"/>
  <c r="B31" i="54"/>
  <c r="I30" i="54"/>
  <c r="E30" i="54"/>
  <c r="B30" i="54"/>
  <c r="I29" i="54"/>
  <c r="E29" i="54"/>
  <c r="B29" i="54"/>
  <c r="I28" i="54"/>
  <c r="E28" i="54"/>
  <c r="B28" i="54"/>
  <c r="I27" i="54"/>
  <c r="E27" i="54"/>
  <c r="B27" i="54"/>
  <c r="I26" i="54"/>
  <c r="E26" i="54"/>
  <c r="B26" i="54"/>
  <c r="I25" i="54"/>
  <c r="E25" i="54"/>
  <c r="B25" i="54"/>
  <c r="I24" i="54"/>
  <c r="E24" i="54"/>
  <c r="B24" i="54"/>
  <c r="I23" i="54"/>
  <c r="E23" i="54"/>
  <c r="B23" i="54"/>
  <c r="I22" i="54"/>
  <c r="E22" i="54"/>
  <c r="B22" i="54"/>
  <c r="I21" i="54"/>
  <c r="E21" i="54"/>
  <c r="B21" i="54"/>
  <c r="I20" i="54"/>
  <c r="E20" i="54"/>
  <c r="B20" i="54"/>
  <c r="I19" i="54"/>
  <c r="E19" i="54"/>
  <c r="B19" i="54"/>
  <c r="I18" i="54"/>
  <c r="E18" i="54"/>
  <c r="B18" i="54"/>
  <c r="I17" i="54"/>
  <c r="E17" i="54"/>
  <c r="B17" i="54"/>
  <c r="I16" i="54"/>
  <c r="E16" i="54"/>
  <c r="B16" i="54"/>
  <c r="I15" i="54"/>
  <c r="E15" i="54"/>
  <c r="B15" i="54"/>
  <c r="I14" i="54"/>
  <c r="E14" i="54"/>
  <c r="B14" i="54"/>
  <c r="I13" i="54"/>
  <c r="E13" i="54"/>
  <c r="B13" i="54"/>
  <c r="I12" i="54"/>
  <c r="E12" i="54"/>
  <c r="B12" i="54"/>
  <c r="I11" i="54"/>
  <c r="E11" i="54"/>
  <c r="B11" i="54"/>
  <c r="I10" i="54"/>
  <c r="E10" i="54"/>
  <c r="B10" i="54"/>
  <c r="I9" i="54"/>
  <c r="E9" i="54"/>
  <c r="B9" i="54"/>
  <c r="I8" i="54"/>
  <c r="E8" i="54"/>
  <c r="B8" i="54"/>
  <c r="E7" i="54"/>
  <c r="B7" i="54"/>
  <c r="I6" i="54"/>
  <c r="E6" i="54"/>
  <c r="B6" i="54"/>
  <c r="I5" i="54"/>
  <c r="E5" i="54"/>
  <c r="B5" i="54"/>
  <c r="I4" i="54"/>
  <c r="E4" i="54"/>
  <c r="B4" i="54"/>
  <c r="I3" i="54"/>
  <c r="E3" i="54"/>
  <c r="B3" i="54"/>
  <c r="I2" i="54"/>
  <c r="E2" i="54"/>
  <c r="B2" i="54"/>
  <c r="E13" i="49"/>
  <c r="E12" i="49"/>
  <c r="E11" i="49"/>
  <c r="B2" i="23"/>
  <c r="E2" i="53"/>
  <c r="E11" i="52"/>
  <c r="H11" i="52"/>
  <c r="J11" i="52"/>
  <c r="J10" i="52"/>
  <c r="H10" i="52"/>
  <c r="E10" i="52"/>
  <c r="H8" i="52"/>
  <c r="E8" i="52"/>
  <c r="H6" i="52"/>
  <c r="E6" i="52"/>
  <c r="H4" i="52"/>
  <c r="E4" i="52"/>
  <c r="J4" i="52"/>
  <c r="H2" i="52"/>
  <c r="E2" i="52"/>
  <c r="AT3" i="23"/>
  <c r="AT4" i="23"/>
  <c r="AT5" i="23"/>
  <c r="AT6" i="23"/>
  <c r="AT7" i="23"/>
  <c r="AT8" i="23"/>
  <c r="AT9" i="23"/>
  <c r="AT10" i="23"/>
  <c r="AT11" i="23"/>
  <c r="AT2" i="23"/>
  <c r="AP3" i="23"/>
  <c r="AP4" i="23"/>
  <c r="AP5" i="23"/>
  <c r="AP6" i="23"/>
  <c r="AP7" i="23"/>
  <c r="AP8" i="23"/>
  <c r="AP9" i="23"/>
  <c r="AP10" i="23"/>
  <c r="AP11" i="23"/>
  <c r="AP2" i="23"/>
  <c r="G3" i="53"/>
  <c r="E3" i="53"/>
  <c r="G4" i="53"/>
  <c r="E4" i="53"/>
  <c r="G5" i="53"/>
  <c r="E5" i="53"/>
  <c r="G6" i="53"/>
  <c r="E6" i="53"/>
  <c r="G7" i="53"/>
  <c r="E7" i="53"/>
  <c r="G8" i="53"/>
  <c r="E8" i="53"/>
  <c r="G9" i="53"/>
  <c r="E9" i="53"/>
  <c r="G10" i="53"/>
  <c r="E10" i="53"/>
  <c r="G11" i="53"/>
  <c r="E11" i="53"/>
  <c r="J3" i="52"/>
  <c r="E3" i="52"/>
  <c r="H3" i="52"/>
  <c r="J5" i="52"/>
  <c r="E5" i="52"/>
  <c r="H5" i="52"/>
  <c r="J6" i="52"/>
  <c r="J7" i="52"/>
  <c r="E7" i="52"/>
  <c r="H7" i="52"/>
  <c r="J8" i="52"/>
  <c r="J9" i="52"/>
  <c r="E9" i="52"/>
  <c r="H9" i="52"/>
  <c r="J2" i="52"/>
  <c r="G2" i="53"/>
  <c r="B4" i="23"/>
  <c r="C4" i="23"/>
  <c r="D4" i="23"/>
  <c r="E4" i="23"/>
  <c r="F4" i="23"/>
  <c r="J4" i="23"/>
  <c r="L4" i="23"/>
  <c r="M4" i="23"/>
  <c r="G8" i="13"/>
  <c r="N4" i="23"/>
  <c r="O4" i="23"/>
  <c r="P4" i="23"/>
  <c r="R4" i="23"/>
  <c r="S4" i="23"/>
  <c r="U4" i="23"/>
  <c r="V4" i="23"/>
  <c r="X4" i="23"/>
  <c r="Y4" i="23"/>
  <c r="Z4" i="23"/>
  <c r="AA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E4" i="23"/>
  <c r="BF4" i="23"/>
  <c r="BK4" i="23"/>
  <c r="BG4" i="23"/>
  <c r="BH4" i="23"/>
  <c r="BM4" i="23"/>
  <c r="BI4" i="23"/>
  <c r="BN4" i="23"/>
  <c r="BJ4" i="23"/>
  <c r="B5" i="23"/>
  <c r="C5" i="23"/>
  <c r="D5" i="23"/>
  <c r="E5" i="23"/>
  <c r="F5" i="23"/>
  <c r="J5" i="23"/>
  <c r="L5" i="23"/>
  <c r="M5" i="23"/>
  <c r="N5" i="23"/>
  <c r="O5" i="23"/>
  <c r="P5" i="23"/>
  <c r="R5" i="23"/>
  <c r="S5" i="23"/>
  <c r="U5" i="23"/>
  <c r="V5" i="23"/>
  <c r="X5" i="23"/>
  <c r="Y5" i="23"/>
  <c r="Z5" i="23"/>
  <c r="AA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E5" i="23"/>
  <c r="BF5" i="23"/>
  <c r="BK5" i="23"/>
  <c r="BG5" i="23"/>
  <c r="BH5" i="23"/>
  <c r="BM5" i="23"/>
  <c r="BI5" i="23"/>
  <c r="BN5" i="23"/>
  <c r="BJ5" i="23"/>
  <c r="B6" i="23"/>
  <c r="C6" i="23"/>
  <c r="D6" i="23"/>
  <c r="E6" i="23"/>
  <c r="F6" i="23"/>
  <c r="J6" i="23"/>
  <c r="K6" i="23"/>
  <c r="L6" i="23"/>
  <c r="N6" i="23"/>
  <c r="O6" i="23"/>
  <c r="P6" i="23"/>
  <c r="R6" i="23"/>
  <c r="S6" i="23"/>
  <c r="T6" i="23"/>
  <c r="U6" i="23"/>
  <c r="X6" i="23"/>
  <c r="Y6" i="23"/>
  <c r="Z6" i="23"/>
  <c r="AA6" i="23"/>
  <c r="AB6" i="23"/>
  <c r="AC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E6" i="23"/>
  <c r="BF6" i="23"/>
  <c r="BK6" i="23"/>
  <c r="BG6" i="23"/>
  <c r="BL6" i="23"/>
  <c r="BH6" i="23"/>
  <c r="BM6" i="23"/>
  <c r="BI6" i="23"/>
  <c r="BJ6" i="23"/>
  <c r="B7" i="23"/>
  <c r="C7" i="23"/>
  <c r="D7" i="23"/>
  <c r="E7" i="23"/>
  <c r="F7" i="23"/>
  <c r="J7" i="23"/>
  <c r="K7" i="23"/>
  <c r="L7" i="23"/>
  <c r="N7" i="23"/>
  <c r="O7" i="23"/>
  <c r="P7" i="23"/>
  <c r="R7" i="23"/>
  <c r="S7" i="23"/>
  <c r="T7" i="23"/>
  <c r="U7" i="23"/>
  <c r="X7" i="23"/>
  <c r="Y7" i="23"/>
  <c r="Z7" i="23"/>
  <c r="AA7" i="23"/>
  <c r="AB7" i="23"/>
  <c r="AC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E7" i="23"/>
  <c r="BF7" i="23"/>
  <c r="BK7" i="23"/>
  <c r="BG7" i="23"/>
  <c r="BL7" i="23"/>
  <c r="BH7" i="23"/>
  <c r="BM7" i="23"/>
  <c r="BI7" i="23"/>
  <c r="BJ7" i="23"/>
  <c r="B8" i="23"/>
  <c r="C8" i="23"/>
  <c r="D8" i="23"/>
  <c r="E8" i="23"/>
  <c r="F8" i="23"/>
  <c r="L8" i="23"/>
  <c r="N8" i="23"/>
  <c r="O8" i="23"/>
  <c r="P8" i="23"/>
  <c r="R8" i="23"/>
  <c r="U8" i="23"/>
  <c r="X8" i="23"/>
  <c r="Y8" i="23"/>
  <c r="Z8" i="23"/>
  <c r="AC8" i="23"/>
  <c r="AF8" i="23"/>
  <c r="AG8" i="23"/>
  <c r="AH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E8" i="23"/>
  <c r="BF8" i="23"/>
  <c r="BG8" i="23"/>
  <c r="BH8" i="23"/>
  <c r="BM8" i="23"/>
  <c r="BI8" i="23"/>
  <c r="BJ8" i="23"/>
  <c r="B9" i="23"/>
  <c r="C9" i="23"/>
  <c r="D9" i="23"/>
  <c r="E9" i="23"/>
  <c r="F9" i="23"/>
  <c r="G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C9" i="23"/>
  <c r="BD9" i="23"/>
  <c r="BE9" i="23"/>
  <c r="BF9" i="23"/>
  <c r="BK9" i="23"/>
  <c r="BG9" i="23"/>
  <c r="BL9" i="23"/>
  <c r="BH9" i="23"/>
  <c r="BM9" i="23"/>
  <c r="BI9" i="23"/>
  <c r="BN9" i="23"/>
  <c r="BJ9" i="23"/>
  <c r="B10" i="23"/>
  <c r="C10" i="23"/>
  <c r="D10" i="23"/>
  <c r="E10" i="23"/>
  <c r="F10" i="23"/>
  <c r="G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G10" i="23"/>
  <c r="AH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C10" i="23"/>
  <c r="BD10" i="23"/>
  <c r="BE10" i="23"/>
  <c r="BF10" i="23"/>
  <c r="BK10" i="23"/>
  <c r="BG10" i="23"/>
  <c r="BL10" i="23"/>
  <c r="BH10" i="23"/>
  <c r="BM10" i="23"/>
  <c r="BI10" i="23"/>
  <c r="BN10" i="23"/>
  <c r="BJ10" i="23"/>
  <c r="B11" i="23"/>
  <c r="C11" i="23"/>
  <c r="D11" i="23"/>
  <c r="E11" i="23"/>
  <c r="F11" i="23"/>
  <c r="G11" i="23"/>
  <c r="J11" i="23"/>
  <c r="K11" i="23"/>
  <c r="L11" i="23"/>
  <c r="M11" i="23"/>
  <c r="G4" i="1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H11" i="23"/>
  <c r="AI11" i="23"/>
  <c r="AK11" i="23"/>
  <c r="AL11" i="23"/>
  <c r="AM11" i="23"/>
  <c r="AN11" i="23"/>
  <c r="AQ11" i="23"/>
  <c r="AR11" i="23"/>
  <c r="AS11" i="23"/>
  <c r="AU11" i="23"/>
  <c r="AV11" i="23"/>
  <c r="AW11" i="23"/>
  <c r="AX11" i="23"/>
  <c r="BC11" i="23"/>
  <c r="BD11" i="23"/>
  <c r="BE11" i="23"/>
  <c r="BF11" i="23"/>
  <c r="BK11" i="23"/>
  <c r="BG11" i="23"/>
  <c r="BL11" i="23"/>
  <c r="BH11" i="23"/>
  <c r="BM11" i="23"/>
  <c r="BI11" i="23"/>
  <c r="BN11" i="23"/>
  <c r="BJ11" i="23"/>
  <c r="G3" i="23"/>
  <c r="P3" i="23"/>
  <c r="P2" i="23"/>
  <c r="G10" i="13"/>
  <c r="G9" i="13"/>
  <c r="G3" i="13"/>
  <c r="G2" i="13"/>
  <c r="C2" i="23"/>
  <c r="D2" i="23"/>
  <c r="E2" i="23"/>
  <c r="F2" i="23"/>
  <c r="J2" i="23"/>
  <c r="L2" i="23"/>
  <c r="N2" i="23"/>
  <c r="O2" i="23"/>
  <c r="R2" i="23"/>
  <c r="S2" i="23"/>
  <c r="U2" i="23"/>
  <c r="X2" i="23"/>
  <c r="Y2" i="23"/>
  <c r="Z2" i="23"/>
  <c r="AA2" i="23"/>
  <c r="AC2" i="23"/>
  <c r="AF2" i="23"/>
  <c r="AH2" i="23"/>
  <c r="AI2" i="23"/>
  <c r="AK2" i="23"/>
  <c r="AL2" i="23"/>
  <c r="AM2" i="23"/>
  <c r="AN2" i="23"/>
  <c r="AQ2" i="23"/>
  <c r="AR2" i="23"/>
  <c r="AS2" i="23"/>
  <c r="AU2" i="23"/>
  <c r="AV2" i="23"/>
  <c r="AW2" i="23"/>
  <c r="AX2" i="23"/>
  <c r="BE2" i="23"/>
  <c r="BF2" i="23"/>
  <c r="BK2" i="23"/>
  <c r="BG2" i="23"/>
  <c r="BH2" i="23"/>
  <c r="BM2" i="23"/>
  <c r="BI2" i="23"/>
  <c r="BJ2" i="23"/>
  <c r="B3" i="23"/>
  <c r="C3" i="23"/>
  <c r="D3" i="23"/>
  <c r="E3" i="23"/>
  <c r="F3" i="23"/>
  <c r="J3" i="23"/>
  <c r="K3" i="23"/>
  <c r="L3" i="23"/>
  <c r="M3" i="23"/>
  <c r="N3" i="23"/>
  <c r="O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F3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C3" i="23"/>
  <c r="BD3" i="23"/>
  <c r="BE3" i="23"/>
  <c r="BF3" i="23"/>
  <c r="BK3" i="23"/>
  <c r="BG3" i="23"/>
  <c r="BL3" i="23"/>
  <c r="BH3" i="23"/>
  <c r="BM3" i="23"/>
  <c r="BI3" i="23"/>
  <c r="BN3" i="23"/>
  <c r="BJ3" i="2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<sst xmlns="http://schemas.openxmlformats.org/spreadsheetml/2006/main" count="1060" uniqueCount="431">
  <si>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</si>
  <si>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</si>
  <si>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</si>
  <si>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</si>
  <si>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</si>
  <si>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</si>
  <si>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</si>
  <si>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</si>
  <si>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</si>
  <si>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</si>
  <si>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</si>
  <si>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</si>
  <si>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</si>
  <si>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</si>
  <si>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</si>
  <si>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</si>
  <si>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</si>
  <si>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</si>
  <si>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</si>
  <si>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</si>
  <si>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</si>
  <si>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</si>
  <si>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</si>
  <si>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</si>
  <si>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</si>
  <si>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</si>
  <si>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</si>
  <si>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</si>
  <si>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</si>
  <si>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</si>
  <si>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</si>
  <si>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</si>
  <si>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</si>
  <si>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</si>
  <si>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</si>
  <si>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</si>
  <si>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</si>
  <si>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</si>
  <si>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</si>
  <si>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</si>
  <si>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</si>
  <si>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</si>
  <si>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</si>
  <si>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</si>
  <si>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</si>
  <si>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</si>
  <si>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</si>
  <si>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</si>
  <si>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</si>
  <si>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</si>
  <si>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</si>
  <si>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</si>
  <si>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</si>
  <si>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</si>
  <si>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</si>
  <si>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</si>
  <si>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</si>
  <si>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</si>
  <si>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</si>
  <si>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</si>
  <si>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</si>
  <si>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</si>
  <si>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</si>
  <si>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</si>
  <si>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</si>
  <si>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</si>
  <si>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</si>
  <si>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</si>
  <si>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</si>
  <si>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</si>
  <si>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</si>
  <si>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</si>
  <si>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</si>
  <si>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</si>
  <si>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</si>
  <si>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</si>
  <si>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</si>
  <si>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</si>
  <si>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</si>
  <si>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</si>
  <si>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</si>
  <si>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</si>
  <si>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</si>
  <si>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</si>
  <si>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</si>
  <si>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</si>
  <si>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</si>
  <si>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</si>
  <si>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</si>
  <si>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</si>
  <si>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</si>
  <si>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</si>
  <si>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</si>
  <si>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</si>
  <si>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</si>
  <si>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</si>
  <si>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</si>
  <si>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</si>
  <si>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</si>
  <si>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</si>
  <si>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</si>
  <si>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</si>
  <si>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</si>
  <si>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</si>
  <si>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</si>
  <si>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</si>
  <si>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</si>
  <si>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</si>
  <si>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</si>
  <si>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</si>
  <si>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</si>
  <si>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</si>
  <si>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</si>
  <si>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</si>
  <si>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</si>
  <si>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</si>
  <si>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</si>
  <si>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</si>
  <si>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</si>
  <si>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</si>
  <si>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</si>
  <si>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</si>
  <si>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</si>
  <si>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</si>
  <si>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</si>
  <si>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</si>
  <si>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</si>
  <si>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</si>
  <si>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</si>
  <si>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</si>
  <si>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</si>
  <si>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</si>
  <si>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</si>
  <si>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</si>
  <si>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</si>
  <si>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</si>
  <si>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</si>
  <si>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</si>
  <si>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</si>
  <si>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</si>
  <si>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</si>
  <si>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</si>
  <si>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</si>
  <si>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</si>
  <si>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</si>
  <si>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</si>
  <si>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</si>
  <si>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</si>
  <si>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</si>
  <si>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</si>
  <si>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</si>
  <si>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</si>
  <si>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</si>
  <si>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</si>
  <si>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</si>
  <si>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</si>
  <si>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</si>
  <si>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</si>
  <si>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</si>
  <si>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</si>
  <si>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</si>
  <si>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</si>
  <si>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</si>
  <si>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</si>
  <si>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</si>
  <si>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</si>
  <si>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</si>
  <si>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</si>
  <si>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</si>
  <si>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</si>
  <si>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</si>
  <si>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</si>
  <si>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</si>
  <si>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</si>
  <si>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</si>
  <si>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</si>
  <si>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</si>
  <si>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</si>
  <si>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</si>
  <si>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</si>
  <si>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</si>
  <si>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</si>
  <si>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</si>
  <si>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</si>
  <si>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</si>
  <si>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</si>
  <si>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</si>
  <si>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</si>
  <si>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</si>
  <si>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</si>
  <si>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</si>
  <si>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</si>
  <si>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</si>
  <si>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</si>
  <si>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</si>
  <si>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</si>
  <si>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</si>
  <si>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</si>
  <si>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</si>
  <si>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</si>
  <si>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</si>
  <si>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</si>
  <si>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</si>
  <si>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</si>
  <si>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</si>
  <si>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</si>
  <si>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</si>
  <si>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</si>
  <si>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</si>
  <si>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</si>
  <si>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</si>
  <si>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</si>
  <si>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</si>
  <si>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</si>
  <si>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</si>
  <si>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</si>
  <si>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</si>
  <si>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</si>
  <si>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</si>
  <si>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</si>
  <si>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</si>
  <si>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</si>
  <si>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</si>
  <si>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</si>
  <si>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</si>
  <si>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</si>
  <si>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</si>
  <si>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</si>
  <si>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</si>
  <si>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</si>
  <si>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</si>
  <si>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</si>
  <si>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</si>
  <si>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</si>
  <si>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</si>
  <si>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</si>
  <si>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</si>
  <si>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</si>
  <si>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</si>
  <si>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</si>
  <si>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</si>
  <si>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</si>
  <si>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</si>
  <si>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</si>
  <si>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</si>
  <si>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</si>
  <si>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</si>
  <si>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</si>
  <si>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</si>
  <si>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</si>
  <si>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swimmer</t>
    <phoneticPr fontId="22"/>
  </si>
  <si>
    <t>1体に中ダメージ
赤属性に効果大</t>
    <phoneticPr fontId="22"/>
  </si>
  <si>
    <t>old</t>
    <phoneticPr fontId="22"/>
  </si>
  <si>
    <t>赤・緑・青・黄属性で単体
に4連続ダメージ+HP小回復</t>
    <phoneticPr fontId="22"/>
  </si>
  <si>
    <t>水着オイラー</t>
    <phoneticPr fontId="22"/>
  </si>
  <si>
    <t>■全体方針</t>
    <phoneticPr fontId="22"/>
  </si>
  <si>
    <t>青パネルを全て緑ボムに変換+1ターン出現する青パネルを緑ボムとしてドロップ</t>
    <phoneticPr fontId="22"/>
  </si>
  <si>
    <t>本家オイラーよりステータスは少し低めに設定をする。
但し、スキルを強化しサポートとして扱いやすいようなユニットに変更。
Cスキルは単体ダメージの威力を上げて全体ダメージの威力を下げる
青パネル対応系が水着麒麟に有効となる</t>
    <phoneticPr fontId="22"/>
  </si>
  <si>
    <t>単体に激烈ダメージ
+全体に小ダメージ</t>
    <phoneticPr fontId="22"/>
  </si>
  <si>
    <t>■Cスキル</t>
    <phoneticPr fontId="22"/>
  </si>
  <si>
    <t xml:space="preserve">■スキル </t>
    <phoneticPr fontId="22"/>
  </si>
  <si>
    <t>■ability</t>
    <phoneticPr fontId="22"/>
  </si>
  <si>
    <t>・スキルバインド無効</t>
    <phoneticPr fontId="22"/>
  </si>
  <si>
    <t>・夏クエストでステータスアップ</t>
    <phoneticPr fontId="22"/>
  </si>
  <si>
    <t>★水着キャラ 設計</t>
    <phoneticPr fontId="22"/>
  </si>
  <si>
    <t>水着シュレディンガー</t>
    <phoneticPr fontId="22"/>
  </si>
  <si>
    <t>character_id</t>
    <phoneticPr fontId="22"/>
  </si>
  <si>
    <t>名前</t>
    <rPh sb="0" eb="2">
      <t>ナマ</t>
    </rPh>
    <phoneticPr fontId="22"/>
  </si>
  <si>
    <t>ability_slot</t>
    <phoneticPr fontId="22"/>
  </si>
  <si>
    <t>ability_slot</t>
    <phoneticPr fontId="22"/>
  </si>
  <si>
    <t>ability_id</t>
    <phoneticPr fontId="9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</si>
  <si>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</si>
  <si>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</si>
  <si>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</si>
  <si>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</si>
  <si>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unlock_type</t>
    <phoneticPr fontId="9"/>
  </si>
  <si>
    <t>unlock_value</t>
    <phoneticPr fontId="22"/>
  </si>
  <si>
    <t>unlock_value</t>
    <phoneticPr fontId="22"/>
  </si>
  <si>
    <t>ability_id</t>
    <phoneticPr fontId="22"/>
  </si>
  <si>
    <t>ability_param</t>
    <phoneticPr fontId="22"/>
  </si>
  <si>
    <t>valid_flg</t>
    <phoneticPr fontId="22"/>
  </si>
  <si>
    <t>abilities</t>
    <phoneticPr fontId="22"/>
  </si>
  <si>
    <t>unit_abilities_</t>
    <phoneticPr fontId="22"/>
  </si>
  <si>
    <t>unit_abilities</t>
    <phoneticPr fontId="22"/>
  </si>
  <si>
    <t>abilities_tmp_</t>
    <phoneticPr fontId="22"/>
  </si>
  <si>
    <t>abilities_i18n_</t>
    <phoneticPr fontId="22"/>
  </si>
  <si>
    <t>old</t>
    <phoneticPr fontId="22"/>
  </si>
  <si>
    <t>ability_id</t>
    <phoneticPr fontId="22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</si>
  <si>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</si>
  <si>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</si>
  <si>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</si>
  <si>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</si>
  <si>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</si>
  <si>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</si>
  <si>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寛猫のサマーシークエンス</t>
  </si>
  <si>
    <t>旋海衝華・サーフグレネード</t>
    <phoneticPr fontId="22"/>
  </si>
  <si>
    <t>どらごんすなあそび！</t>
    <phoneticPr fontId="22"/>
  </si>
  <si>
    <t>超過潜水マニフォルド</t>
    <phoneticPr fontId="22"/>
  </si>
  <si>
    <t>波断の海影・マリーンクロス</t>
    <rPh sb="3" eb="4">
      <t>ウミ</t>
    </rPh>
    <phoneticPr fontId="22"/>
  </si>
  <si>
    <t>ひと夏のゆびきり</t>
    <phoneticPr fontId="22"/>
  </si>
  <si>
    <t>フィルド・ビーチボール</t>
    <phoneticPr fontId="22"/>
  </si>
  <si>
    <t>ダイビングビースト</t>
    <phoneticPr fontId="22"/>
  </si>
  <si>
    <t>眩波・スプラッシュエッジ</t>
    <phoneticPr fontId="22"/>
  </si>
  <si>
    <t>夕凪の海風</t>
    <phoneticPr fontId="22"/>
  </si>
  <si>
    <t>グランラグーン・トポロジー</t>
    <phoneticPr fontId="22"/>
  </si>
  <si>
    <t>獣影・タイダルウェーブ</t>
    <phoneticPr fontId="22"/>
  </si>
  <si>
    <t>skill</t>
  </si>
  <si>
    <t>ja</t>
    <phoneticPr fontId="22"/>
  </si>
  <si>
    <t>maru</t>
  </si>
  <si>
    <t>cskill</t>
  </si>
  <si>
    <t>giza</t>
    <phoneticPr fontId="22"/>
  </si>
  <si>
    <t>ja</t>
    <phoneticPr fontId="22"/>
  </si>
  <si>
    <t>ja</t>
    <phoneticPr fontId="22"/>
  </si>
  <si>
    <t>猫は海が嫌いだって思った？</t>
    <phoneticPr fontId="22"/>
  </si>
  <si>
    <t>maru</t>
    <phoneticPr fontId="22"/>
  </si>
  <si>
    <t>ふふ…はしゃぎすぎだよ</t>
    <phoneticPr fontId="22"/>
  </si>
  <si>
    <t>君も一緒に遊ばない？</t>
    <phoneticPr fontId="22"/>
  </si>
  <si>
    <t>猫がじゃれて困るね</t>
    <phoneticPr fontId="22"/>
  </si>
  <si>
    <t>海といったらこれでしょ</t>
    <phoneticPr fontId="22"/>
  </si>
  <si>
    <t>泳げないと思った！？</t>
    <phoneticPr fontId="22"/>
  </si>
  <si>
    <t>落下地点把握！せーの！</t>
    <phoneticPr fontId="22"/>
  </si>
  <si>
    <t>giza</t>
    <phoneticPr fontId="22"/>
  </si>
  <si>
    <t>夏だ！海だ！爆撃だー！！</t>
    <phoneticPr fontId="22"/>
  </si>
  <si>
    <r>
      <t>楽しんだ者勝ちなのよ！</t>
    </r>
    <r>
      <rPr>
        <sz val="10"/>
        <color rgb="FFFF0000"/>
        <rFont val="ＭＳ Ｐゴシック"/>
        <family val="3"/>
        <charset val="128"/>
      </rPr>
      <t/>
    </r>
    <phoneticPr fontId="22"/>
  </si>
  <si>
    <t>giza</t>
    <phoneticPr fontId="22"/>
  </si>
  <si>
    <t>ビーチの視線釘付けよ！</t>
    <phoneticPr fontId="22"/>
  </si>
  <si>
    <t>この波はもらったわよ！</t>
    <phoneticPr fontId="22"/>
  </si>
  <si>
    <t>ハーイ！颯爽と登場よ！</t>
    <phoneticPr fontId="22"/>
  </si>
  <si>
    <t>ぜんぐん！しろをまもれー！</t>
    <phoneticPr fontId="22"/>
  </si>
  <si>
    <t>maru</t>
    <phoneticPr fontId="22"/>
  </si>
  <si>
    <t>まだかえりたくないよ！</t>
    <phoneticPr fontId="22"/>
  </si>
  <si>
    <t>これはおみやげだよ！</t>
    <phoneticPr fontId="22"/>
  </si>
  <si>
    <t>おとしあなをほろう！</t>
    <phoneticPr fontId="22"/>
  </si>
  <si>
    <t>水中に花を咲かせますよ</t>
    <phoneticPr fontId="22"/>
  </si>
  <si>
    <t>少し露出が過度ですか？</t>
    <phoneticPr fontId="22"/>
  </si>
  <si>
    <t>夏は不思議な季節ですね</t>
    <phoneticPr fontId="22"/>
  </si>
  <si>
    <t>きっと記憶に残りますよ</t>
    <phoneticPr fontId="22"/>
  </si>
  <si>
    <t>受け止めてくださいね</t>
    <phoneticPr fontId="22"/>
  </si>
  <si>
    <t>kumo</t>
    <phoneticPr fontId="22"/>
  </si>
  <si>
    <t>そう…溺れたいのね…</t>
    <phoneticPr fontId="22"/>
  </si>
  <si>
    <r>
      <t>この子…獰猛だからね</t>
    </r>
    <r>
      <rPr>
        <sz val="10"/>
        <color rgb="FFFF0000"/>
        <rFont val="ＭＳ Ｐゴシック"/>
        <family val="3"/>
        <charset val="128"/>
      </rPr>
      <t/>
    </r>
    <phoneticPr fontId="22"/>
  </si>
  <si>
    <t>大きな波が来るわ…</t>
    <phoneticPr fontId="22"/>
  </si>
  <si>
    <t>噛み付いちゃいなさい…</t>
    <phoneticPr fontId="22"/>
  </si>
  <si>
    <t>今年の夏は刺激的よ！</t>
    <phoneticPr fontId="22"/>
  </si>
  <si>
    <t>せっかくだし大胆にね！</t>
    <rPh sb="6" eb="8">
      <t>ダイタン</t>
    </rPh>
    <phoneticPr fontId="22"/>
  </si>
  <si>
    <t>波よハジけろ！</t>
    <phoneticPr fontId="22"/>
  </si>
  <si>
    <t>夏は楽しまなくちゃ！</t>
    <phoneticPr fontId="22"/>
  </si>
  <si>
    <t>怖がらずに飛び込んでみて…</t>
    <phoneticPr fontId="22"/>
  </si>
  <si>
    <t>この水着…どうかな？</t>
    <phoneticPr fontId="22"/>
  </si>
  <si>
    <t>見て…水面が輝いている</t>
    <phoneticPr fontId="22"/>
  </si>
  <si>
    <t>飛び込んでごらん…</t>
    <phoneticPr fontId="22"/>
  </si>
  <si>
    <t>giza</t>
    <phoneticPr fontId="22"/>
  </si>
  <si>
    <t>妾の休暇は邪魔させんぞ…！</t>
    <phoneticPr fontId="22"/>
  </si>
  <si>
    <r>
      <t>妾の水着姿、刮目せよ！</t>
    </r>
    <r>
      <rPr>
        <sz val="10"/>
        <color rgb="FFFF0000"/>
        <rFont val="ＭＳ Ｐゴシック"/>
        <family val="3"/>
        <charset val="128"/>
      </rPr>
      <t/>
    </r>
    <phoneticPr fontId="22"/>
  </si>
  <si>
    <t>羽目を外してみるか…！</t>
    <phoneticPr fontId="22"/>
  </si>
  <si>
    <t>妾は遊びにきたのだ…！</t>
    <phoneticPr fontId="22"/>
  </si>
  <si>
    <t>いい度胸だな…？よかろう</t>
    <phoneticPr fontId="22"/>
  </si>
  <si>
    <t>妾も随分火照ってきたぞ</t>
    <phoneticPr fontId="22"/>
  </si>
  <si>
    <t>1体に超大ダメージ</t>
    <phoneticPr fontId="22"/>
  </si>
  <si>
    <t>1体に中ダメージ
アニマルに効果特大</t>
    <phoneticPr fontId="22"/>
  </si>
  <si>
    <t>1体に超大ダメージ+
HP小回復</t>
    <phoneticPr fontId="22"/>
  </si>
  <si>
    <t>1体に特大ダメージ(与えたダメージの15％でHP回復)</t>
    <phoneticPr fontId="22"/>
  </si>
  <si>
    <t>[effect:damage_absorb, target:enemy_one, color:blue, val:8.16, heal_ratio:0.15, animation:damage_one_blue05]</t>
    <phoneticPr fontId="22"/>
  </si>
  <si>
    <t>マシンに効果特大の単体ダメージ+
HP大回復</t>
    <phoneticPr fontId="22"/>
  </si>
  <si>
    <t>1体に大ダメージ＋
確率でスリープ付与</t>
    <phoneticPr fontId="22"/>
  </si>
  <si>
    <t>[effect:damage_gravity, target:enemy_one, val:0.2, animation:damage_gravity_one05],[effect:break_enchance_unit, val:0.005, lowest_val:0.2, count :-1, status:attack, turn:3, block01:block_blue,target:unit_all, calc:mul, animation:enhance_unit_all_attack03],[effect:regenerate, turn:3, val:0.405, animation:heal_unit]</t>
    <phoneticPr fontId="22"/>
  </si>
  <si>
    <t>red</t>
    <phoneticPr fontId="10"/>
  </si>
  <si>
    <t>red</t>
    <phoneticPr fontId="10"/>
  </si>
  <si>
    <t>green</t>
    <phoneticPr fontId="10"/>
  </si>
  <si>
    <t>green</t>
    <phoneticPr fontId="10"/>
  </si>
  <si>
    <t>yellow</t>
    <phoneticPr fontId="10"/>
  </si>
  <si>
    <t>[effect:damage, target:enemy_one, color:blue, val:2.0, animation:damage_one_blue04],[effect:heal_ratio, val:0.18, animation:heal_unit, animation:heal_unit01]</t>
  </si>
  <si>
    <t>[effect:damage_anti_tribe, target:enemy_one, tribe:animal, val1:3.375, val2:1.13,  animation:damage_one_blue03]</t>
  </si>
  <si>
    <t>[effect:damage, target:enemy_one, color:blue, val:2.5, animation:damage_one_blue04]</t>
  </si>
  <si>
    <t>[effect:damage_anti_tribe, target:enemy_one, tribe:machine, val1:3.0, val2:0.94, animation:damage_one_blue04],
[effect:heal_ratio, val:0.3, animation:heal_unit, animation:heal03_unit01]</t>
  </si>
  <si>
    <t>[effect:damage, target:enemy_one, color:blue, val:1.2, animation:damage_one_blue02],
[effect:sleep, target:enemy_one, turn:1, rate:0.25, animation:sleep02]</t>
  </si>
  <si>
    <t>3ターンの間青属性ユニットの攻撃力と防御力を特大UP</t>
    <phoneticPr fontId="22"/>
  </si>
  <si>
    <t>3ターン青属性のタップ回数を1増やす+攻撃力と回復力を特大UP</t>
    <phoneticPr fontId="22"/>
  </si>
  <si>
    <t>[effect:enhance_unit, target:unit_blue, turn:3, status:action, val:1.0, calc:mul, animation:enhance_unit_one_action01],[effect:enhance_unit, target:unit_blue, turn:3, status:attack, val:0.21, calc:mul, animation:enhance_unit_all_attack04_unit01],[effect:enhance_unit, target:unit_blue, turn:3, status:heal, val:0.45, calc:mul, animation:enhance_unit_all_heal04_unit01]</t>
    <phoneticPr fontId="22"/>
  </si>
  <si>
    <t>[effect:enhance_unit, target:unit_blue, turn:3, status:attack, val:0.255, calc:mul, animation:enhance_unit_all_attack03],[effect:enhance_unit, target:unit_blue, turn:3, status:defense, val:1440, calc:add, animation:enhance_unit_all_defense03_unit02]</t>
    <phoneticPr fontId="22"/>
  </si>
  <si>
    <t>[effect:damage, target:enemy_one, color:red, val:0.63, animation:damage_one_red03],[effect:damage, target:enemy_one, color:green, val:0.63, animation:damage_one_green03],[effect:damage, target:enemy_one, color:blue, val:0.63, animation:damage_one_blue03],[effect:damage, target:enemy_one, color:yellow, val:0.63, animation:damage_one_yellow03],[effect:heal_ratio, val:0.18, animation:heal_unit, animation:heal_unit01]</t>
    <phoneticPr fontId="22"/>
  </si>
  <si>
    <t>真夏のマリンオーバーフロー</t>
    <phoneticPr fontId="22"/>
  </si>
  <si>
    <t>激流噴射・トロピカルポンプ</t>
    <phoneticPr fontId="22"/>
  </si>
  <si>
    <t>万波・マキシマムフラッド</t>
    <phoneticPr fontId="22"/>
  </si>
  <si>
    <t>アクアストローク・ジャッジ</t>
    <phoneticPr fontId="22"/>
  </si>
  <si>
    <t>灼熱☆バケーションレイ</t>
    <phoneticPr fontId="22"/>
  </si>
  <si>
    <t>焔角海裂・熱照</t>
    <phoneticPr fontId="22"/>
  </si>
  <si>
    <t>焔角海裂・熱照</t>
    <phoneticPr fontId="22"/>
  </si>
  <si>
    <t>ハデに流してあげる！</t>
    <phoneticPr fontId="22"/>
  </si>
  <si>
    <t>たまには涼しくなりたいっ！</t>
    <phoneticPr fontId="22"/>
  </si>
  <si>
    <t>冷たくて気持ちいい！</t>
    <phoneticPr fontId="22"/>
  </si>
  <si>
    <t>1体に特大ダメージ+
単体に防御力を無視した固定威力ダメージ</t>
    <rPh sb="1" eb="2">
      <t>タンタ</t>
    </rPh>
    <rPh sb="2" eb="3">
      <t>タンタ</t>
    </rPh>
    <rPh sb="3" eb="5">
      <t>トクダ</t>
    </rPh>
    <rPh sb="5" eb="9">
      <t>ダ</t>
    </rPh>
    <phoneticPr fontId="22"/>
  </si>
  <si>
    <t>[effect:damage, target:enemy_one, color:red, val:2.25, animation:damage_one_red04],[effect:damage_fix_pierce, target:enemy_one, color:red, val:1000]</t>
    <phoneticPr fontId="22"/>
  </si>
  <si>
    <t>全体に大ダメージ+
1体に特大ダメージ</t>
    <phoneticPr fontId="22"/>
  </si>
  <si>
    <t>　</t>
    <phoneticPr fontId="22"/>
  </si>
  <si>
    <t>HP回復(赤パネルを吸収して効果大UP)+3ターン青属性の防御力を特大UP</t>
    <phoneticPr fontId="22"/>
  </si>
  <si>
    <t>[effect:break_heal_ratio, val:0.15, lowest_val:1000, count:-1, block:block_red, animation:heal03],
[effect:enhance_unit, target:unit_blue, turn:3, status:defense, val:1440, calc:add, animation:enhance_unit_all_defense04_unit01]</t>
    <phoneticPr fontId="22"/>
  </si>
  <si>
    <t>敵1体のHPを20％減らす+3ターンの間HPを小回復し、全ユニットの攻撃力をUP(青パネルを吸収して効果UP)</t>
    <phoneticPr fontId="22"/>
  </si>
  <si>
    <t>[effect:damage_anti_color, target:enemy_one, color:red, val1:3.0, val2:1.31, animation:damage_one_blue04]</t>
    <phoneticPr fontId="22"/>
  </si>
  <si>
    <t>sell_ghosts</t>
    <phoneticPr fontId="22"/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</si>
  <si>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</si>
  <si>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</si>
  <si>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</si>
  <si>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</si>
  <si>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</si>
  <si>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</si>
  <si>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</si>
  <si>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</si>
  <si>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</si>
  <si>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</si>
  <si>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</si>
  <si>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</si>
  <si>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</si>
  <si>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</si>
  <si>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</si>
  <si>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</si>
  <si>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</si>
  <si>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</si>
  <si>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</si>
  <si>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</si>
  <si>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</si>
  <si>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[effect:damage, target:enemy_all, color:blue, val:1, animation:damage_all_blue04],[effect:damage, target:enemy_one, color:blue, val:1.6, animation:damage_one_blue04]</t>
    <phoneticPr fontId="22"/>
  </si>
  <si>
    <t>bug</t>
    <phoneticPr fontId="22"/>
  </si>
  <si>
    <t>[effect:crash_condition, target:unit_all, val:-11, turn:2, animation:crash_panel_reduce04],[effect:change_block, new_block:crack_bomb, target:block_red,color:block_blue, count:0, val:12, animation:change_block],[effect:change_panel_ratio, turn:1, block_type:red, val:0.05, animation:block_incidence04]</t>
    <phoneticPr fontId="22"/>
  </si>
  <si>
    <t>[effect:drop_block, block_type:crash, color:block_all, val:8, rate:0.23, turn:1, animation:crash_influence04],[effect:change_block, new_block:crack_bomb, target:block_red,color:block_blue,count:0, val:12, animation:change_block],[effect:enhance_unit, target:unit_all, turn:1, status:attack, val:0.175, calc:mul, animation:enhance_unit_all_attack03]</t>
    <phoneticPr fontId="22"/>
  </si>
  <si>
    <t>赤パネルを青ボムパネルに変換+2ターン全ユニットのCパネル生成短縮(効果激烈)+1ターン赤パネルの出現率を大DOWN</t>
    <phoneticPr fontId="22"/>
  </si>
  <si>
    <t>赤パネルを青ボムパネルに変換+1ターン確率で先頭ユニットのCパネルをドロップし、全ユニットの攻撃力を大UP</t>
    <phoneticPr fontId="22"/>
  </si>
  <si>
    <t>赤・ハートパネルを青ボムに変換+1ターン青属性の攻撃力を大UPし、赤パネルを青ボムでドロップ、ハートパネル出現率DOWN</t>
    <phoneticPr fontId="22"/>
  </si>
  <si>
    <t>[effect:force_change_block, new_block:crack_bomb, target:block_red,color:block_blue, count:0, val:12, animation:change_block],[effect:force_change_block, new_block:crack_bomb, target:block_heart, color:blue, count:0, val:12, animation:change_block],[effect:enhance_unit, target:unit_blue, turn:1, status:attack, val:0.175, calc:mul, animation:enhance_unit_all_attack03],[effect:drop_block, block_type:crack_bomb, block_color:block_blue, color:block_red, val:12, rate:1.0, turn:1, animation:bomb_influence04],[effect:change_panel_ratio, turn:1, block_type:heal, val:0.1, animation:block_incidence04]</t>
    <phoneticPr fontId="22"/>
  </si>
  <si>
    <t>[effect:force_change_block, new_block:crash, target:block_all, ignore01:crash, ignore02:crack_bomb, ignore03:color_break, ignore04:magnet, count:14, val:8, animation:change_block],[effect:enhance_unit, target:unit_unknown/unit_animal/unit_weapon/unit_machine/unit_attack/or, turn:2, status:attack, val:0.175, calc:mul, animation:enhance_unit_all_attack03],[effect:enhance_unit, target:unit_unknown/unit_machine/unit_animal/unit_weapon/unit_attack/or, turn:2, status:heal, val:0.315, calc:mul, animation:enhance_unit_all_heal03],[effect:enhance_unit, target:unit_unknown/unit_machine/unit_animal/unit_weapon/unit_attack/or, turn:2, status:defense, val:720, calc:add, animation:enhance_unit_all_defense03]</t>
    <phoneticPr fontId="22"/>
  </si>
  <si>
    <t>ランダムで最大14個CPに変換+2ターン種族マシン･アニマル･Unknown･ウェポンと攻撃タイプの攻撃力と回復力と防御力を大UP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</si>
</sst>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0"/>
      <color rgb="FF222222"/>
      <name val="Arial Unicode MS"/>
    </font>
    <font>
      <sz val="20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0"/>
      <color rgb="FFFF000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6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9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1" borderId="4" xfId="0" applyFont="1" applyFill="1" applyBorder="1" applyAlignment="1">
      <alignment horizontal="center"/>
    </xf>
    <xf numFmtId="0" fontId="0" fillId="22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3" borderId="4" xfId="0" applyFill="1" applyBorder="1"/>
    <xf numFmtId="0" fontId="0" fillId="23" borderId="0" xfId="0" applyFill="1"/>
    <xf numFmtId="0" fontId="28" fillId="0" borderId="0" xfId="0" applyFont="1"/>
    <xf numFmtId="0" fontId="16" fillId="24" borderId="3" xfId="0" applyFont="1" applyFill="1" applyBorder="1" applyAlignment="1">
      <alignment horizontal="center" vertical="center"/>
    </xf>
    <xf numFmtId="0" fontId="8" fillId="24" borderId="2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vertical="center"/>
    </xf>
    <xf numFmtId="0" fontId="8" fillId="24" borderId="19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vertical="center"/>
    </xf>
    <xf numFmtId="0" fontId="8" fillId="24" borderId="23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vertical="center"/>
    </xf>
    <xf numFmtId="0" fontId="16" fillId="25" borderId="4" xfId="0" applyFont="1" applyFill="1" applyBorder="1" applyAlignment="1">
      <alignment vertical="center"/>
    </xf>
    <xf numFmtId="0" fontId="18" fillId="25" borderId="4" xfId="0" applyFont="1" applyFill="1" applyBorder="1" applyAlignment="1">
      <alignment horizontal="center" vertical="center"/>
    </xf>
    <xf numFmtId="0" fontId="17" fillId="25" borderId="4" xfId="0" applyFont="1" applyFill="1" applyBorder="1" applyAlignment="1">
      <alignment horizontal="center" vertical="center" wrapText="1"/>
    </xf>
    <xf numFmtId="0" fontId="8" fillId="25" borderId="1" xfId="0" applyFont="1" applyFill="1" applyBorder="1" applyAlignment="1">
      <alignment vertical="center"/>
    </xf>
    <xf numFmtId="0" fontId="8" fillId="24" borderId="25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26" xfId="0" applyFont="1" applyFill="1" applyBorder="1" applyAlignment="1">
      <alignment horizontal="center" vertical="center"/>
    </xf>
    <xf numFmtId="0" fontId="8" fillId="24" borderId="6" xfId="0" applyFont="1" applyFill="1" applyBorder="1" applyAlignment="1">
      <alignment horizontal="center" vertical="center"/>
    </xf>
    <xf numFmtId="0" fontId="8" fillId="24" borderId="27" xfId="0" applyFont="1" applyFill="1" applyBorder="1" applyAlignment="1">
      <alignment horizontal="center" vertical="center"/>
    </xf>
    <xf numFmtId="0" fontId="16" fillId="24" borderId="21" xfId="0" applyFont="1" applyFill="1" applyBorder="1" applyAlignment="1">
      <alignment horizontal="center" vertical="center"/>
    </xf>
    <xf numFmtId="0" fontId="17" fillId="25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0" borderId="4" xfId="0" applyFont="1" applyFill="1" applyBorder="1" applyAlignment="1">
      <alignment horizontal="right" vertical="center"/>
    </xf>
    <xf numFmtId="0" fontId="13" fillId="14" borderId="4" xfId="0" applyFont="1" applyFill="1" applyBorder="1" applyAlignment="1">
      <alignment horizontal="left" vertical="center" wrapText="1"/>
    </xf>
    <xf numFmtId="0" fontId="13" fillId="19" borderId="4" xfId="0" applyFont="1" applyFill="1" applyBorder="1" applyAlignment="1">
      <alignment horizontal="left" vertical="center" wrapText="1"/>
    </xf>
    <xf numFmtId="0" fontId="14" fillId="0" borderId="4" xfId="0" applyFont="1" applyBorder="1" applyAlignment="1">
      <alignment horizontal="left" vertical="center" wrapText="1"/>
    </xf>
    <xf numFmtId="0" fontId="26" fillId="0" borderId="8" xfId="0" applyFont="1" applyFill="1" applyBorder="1" applyAlignment="1">
      <alignment vertical="top"/>
    </xf>
    <xf numFmtId="0" fontId="13" fillId="0" borderId="4" xfId="0" applyFont="1" applyBorder="1" applyAlignment="1">
      <alignment vertical="center"/>
    </xf>
    <xf numFmtId="0" fontId="26" fillId="0" borderId="8" xfId="0" applyFont="1" applyBorder="1" applyAlignment="1">
      <alignment vertical="top"/>
    </xf>
    <xf numFmtId="0" fontId="25" fillId="0" borderId="7" xfId="0" applyFont="1" applyFill="1" applyBorder="1" applyAlignment="1">
      <alignment vertical="center" wrapText="1"/>
    </xf>
    <xf numFmtId="0" fontId="13" fillId="0" borderId="4" xfId="0" applyFont="1" applyFill="1" applyBorder="1" applyAlignment="1">
      <alignment vertical="center" wrapText="1"/>
    </xf>
    <xf numFmtId="0" fontId="29" fillId="0" borderId="4" xfId="0" applyFont="1" applyBorder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30" fillId="0" borderId="0" xfId="0" applyFont="1"/>
    <xf numFmtId="0" fontId="31" fillId="0" borderId="0" xfId="0" applyFont="1"/>
    <xf numFmtId="0" fontId="16" fillId="11" borderId="4" xfId="0" applyFont="1" applyFill="1" applyBorder="1" applyAlignment="1">
      <alignment horizontal="center" vertical="center"/>
    </xf>
    <xf numFmtId="0" fontId="16" fillId="23" borderId="4" xfId="0" applyFont="1" applyFill="1" applyBorder="1" applyAlignment="1">
      <alignment horizontal="center" vertical="center"/>
    </xf>
    <xf numFmtId="0" fontId="16" fillId="25" borderId="4" xfId="0" applyFont="1" applyFill="1" applyBorder="1" applyAlignment="1">
      <alignment horizontal="center" vertical="center"/>
    </xf>
    <xf numFmtId="0" fontId="16" fillId="26" borderId="4" xfId="0" applyFont="1" applyFill="1" applyBorder="1" applyAlignment="1">
      <alignment horizontal="center" vertical="center"/>
    </xf>
    <xf numFmtId="0" fontId="0" fillId="26" borderId="4" xfId="0" applyFill="1" applyBorder="1"/>
    <xf numFmtId="0" fontId="13" fillId="26" borderId="15" xfId="0" applyFont="1" applyFill="1" applyBorder="1" applyAlignment="1">
      <alignment horizontal="center" vertical="center"/>
    </xf>
    <xf numFmtId="0" fontId="13" fillId="26" borderId="22" xfId="0" applyFont="1" applyFill="1" applyBorder="1" applyAlignment="1">
      <alignment horizontal="center" vertical="center"/>
    </xf>
    <xf numFmtId="0" fontId="12" fillId="27" borderId="4" xfId="0" applyFont="1" applyFill="1" applyBorder="1" applyAlignment="1">
      <alignment horizontal="left" vertical="center" wrapText="1"/>
    </xf>
    <xf numFmtId="0" fontId="12" fillId="27" borderId="4" xfId="0" applyFont="1" applyFill="1" applyBorder="1" applyAlignment="1">
      <alignment horizontal="left" vertical="center"/>
    </xf>
    <xf numFmtId="0" fontId="12" fillId="27" borderId="4" xfId="0" applyFont="1" applyFill="1" applyBorder="1" applyAlignment="1">
      <alignment vertical="center" wrapText="1"/>
    </xf>
    <xf numFmtId="0" fontId="16" fillId="27" borderId="4" xfId="0" applyFont="1" applyFill="1" applyBorder="1" applyAlignment="1">
      <alignment horizontal="left" vertical="center" wrapText="1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6" fillId="14" borderId="1" xfId="0" applyFont="1" applyFill="1" applyBorder="1" applyAlignment="1">
      <alignment horizontal="left" vertical="center"/>
    </xf>
    <xf numFmtId="0" fontId="12" fillId="28" borderId="4" xfId="0" applyFont="1" applyFill="1" applyBorder="1" applyAlignment="1">
      <alignment horizontal="left" vertical="center" wrapText="1"/>
    </xf>
    <xf numFmtId="0" fontId="12" fillId="28" borderId="4" xfId="0" applyFont="1" applyFill="1" applyBorder="1" applyAlignment="1">
      <alignment vertical="center" wrapText="1"/>
    </xf>
    <xf numFmtId="0" fontId="13" fillId="27" borderId="4" xfId="0" applyFont="1" applyFill="1" applyBorder="1" applyAlignment="1">
      <alignment vertical="center"/>
    </xf>
    <xf numFmtId="0" fontId="13" fillId="11" borderId="4" xfId="0" applyFont="1" applyFill="1" applyBorder="1" applyAlignment="1">
      <alignment horizontal="center" vertical="center"/>
    </xf>
    <xf numFmtId="0" fontId="13" fillId="23" borderId="4" xfId="0" applyFont="1" applyFill="1" applyBorder="1" applyAlignment="1">
      <alignment horizontal="center" vertical="center"/>
    </xf>
    <xf numFmtId="0" fontId="13" fillId="29" borderId="4" xfId="0" applyFont="1" applyFill="1" applyBorder="1" applyAlignment="1">
      <alignment vertical="center"/>
    </xf>
  </cellXfs>
  <cellStyles count="46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赤字強調" xfId="4"/>
    <cellStyle name="青字強調" xfId="3"/>
  </cellStyles>
  <dxfs count="34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341</v>
          </cell>
          <cell r="B68" t="str">
            <v>ja</v>
          </cell>
          <cell r="C68" t="str">
            <v>対アニマル&amp;ヒューマンダメージUP</v>
          </cell>
          <cell r="D68" t="str">
            <v>自身の攻撃対象が種族アニマル、ヒューマンの場合全ての攻撃の威力をUP</v>
          </cell>
        </row>
        <row r="69">
          <cell r="A69">
            <v>342</v>
          </cell>
          <cell r="B69" t="str">
            <v>ja</v>
          </cell>
          <cell r="C69" t="str">
            <v>対オロチ一族 ダメージUP</v>
          </cell>
          <cell r="D69" t="str">
            <v>自身の攻撃対象が種族オロチ一族の場合全ての攻撃の威力をUP</v>
          </cell>
        </row>
        <row r="70">
          <cell r="A70">
            <v>400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401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402</v>
          </cell>
          <cell r="B72" t="str">
            <v>ja</v>
          </cell>
          <cell r="C72" t="str">
            <v>攻撃タイプキラー</v>
          </cell>
          <cell r="D72" t="str">
            <v>攻撃対象が攻撃タイプの場合威力UP</v>
          </cell>
        </row>
        <row r="73">
          <cell r="A73">
            <v>403</v>
          </cell>
          <cell r="B73" t="str">
            <v>ja</v>
          </cell>
          <cell r="C73" t="str">
            <v>攻撃タイプキラー</v>
          </cell>
          <cell r="D73" t="str">
            <v>攻撃対象が攻撃タイプの場合威力UP</v>
          </cell>
        </row>
        <row r="74">
          <cell r="A74">
            <v>404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405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406</v>
          </cell>
          <cell r="B76" t="str">
            <v>ja</v>
          </cell>
          <cell r="C76" t="str">
            <v>バランスタイプキラー</v>
          </cell>
          <cell r="D76" t="str">
            <v>攻撃対象が攻撃タイプの場合威力UP</v>
          </cell>
        </row>
        <row r="77">
          <cell r="A77">
            <v>407</v>
          </cell>
          <cell r="B77" t="str">
            <v>ja</v>
          </cell>
          <cell r="C77" t="str">
            <v>バランスタイプキラー</v>
          </cell>
          <cell r="D77" t="str">
            <v>攻撃対象が攻撃タイプの場合威力UP</v>
          </cell>
        </row>
        <row r="78">
          <cell r="A78">
            <v>408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409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410</v>
          </cell>
          <cell r="B80" t="str">
            <v>ja</v>
          </cell>
          <cell r="C80" t="str">
            <v>体力タイプキラー</v>
          </cell>
          <cell r="D80" t="str">
            <v>攻撃対象が攻撃タイプの場合威力UP</v>
          </cell>
        </row>
        <row r="81">
          <cell r="A81">
            <v>411</v>
          </cell>
          <cell r="B81" t="str">
            <v>ja</v>
          </cell>
          <cell r="C81" t="str">
            <v>体力タイプキラー</v>
          </cell>
          <cell r="D81" t="str">
            <v>攻撃対象が攻撃タイプの場合威力UP</v>
          </cell>
        </row>
        <row r="82">
          <cell r="A82">
            <v>412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413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414</v>
          </cell>
          <cell r="B84" t="str">
            <v>ja</v>
          </cell>
          <cell r="C84" t="str">
            <v>テクニカルタイプキラー</v>
          </cell>
          <cell r="D84" t="str">
            <v>攻撃対象が攻撃タイプの場合威力UP</v>
          </cell>
        </row>
        <row r="85">
          <cell r="A85">
            <v>415</v>
          </cell>
          <cell r="B85" t="str">
            <v>ja</v>
          </cell>
          <cell r="C85" t="str">
            <v>テクニカルタイプキラー</v>
          </cell>
          <cell r="D85" t="str">
            <v>攻撃対象が攻撃タイプの場合威力UP</v>
          </cell>
        </row>
        <row r="86">
          <cell r="A86">
            <v>416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417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418</v>
          </cell>
          <cell r="B88" t="str">
            <v>ja</v>
          </cell>
          <cell r="C88" t="str">
            <v>回復タイプキラー</v>
          </cell>
          <cell r="D88" t="str">
            <v>攻撃対象が攻撃タイプの場合威力UP</v>
          </cell>
        </row>
        <row r="89">
          <cell r="A89">
            <v>419</v>
          </cell>
          <cell r="B89" t="str">
            <v>ja</v>
          </cell>
          <cell r="C89" t="str">
            <v>回復タイプキラー</v>
          </cell>
          <cell r="D89" t="str">
            <v>攻撃対象が攻撃タイプの場合威力UP</v>
          </cell>
        </row>
        <row r="90">
          <cell r="A90">
            <v>420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421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422</v>
          </cell>
          <cell r="B92" t="str">
            <v>ja</v>
          </cell>
          <cell r="C92" t="str">
            <v>強化素材タイプキラー</v>
          </cell>
          <cell r="D92" t="str">
            <v>攻撃対象が攻撃タイプの場合威力UP</v>
          </cell>
        </row>
        <row r="93">
          <cell r="A93">
            <v>423</v>
          </cell>
          <cell r="B93" t="str">
            <v>ja</v>
          </cell>
          <cell r="C93" t="str">
            <v>強化素材タイプキラー</v>
          </cell>
          <cell r="D93" t="str">
            <v>攻撃対象が攻撃タイプの場合威力UP</v>
          </cell>
        </row>
        <row r="94">
          <cell r="A94">
            <v>424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425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426</v>
          </cell>
          <cell r="B96" t="str">
            <v>ja</v>
          </cell>
          <cell r="C96" t="str">
            <v>コインタイプキラー</v>
          </cell>
          <cell r="D96" t="str">
            <v>攻撃対象が攻撃タイプの場合威力UP</v>
          </cell>
        </row>
        <row r="97">
          <cell r="A97">
            <v>427</v>
          </cell>
          <cell r="B97" t="str">
            <v>ja</v>
          </cell>
          <cell r="C97" t="str">
            <v>コインタイプキラー</v>
          </cell>
          <cell r="D97" t="str">
            <v>攻撃対象が攻撃タイプの場合威力UP</v>
          </cell>
        </row>
        <row r="98">
          <cell r="A98">
            <v>428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429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430</v>
          </cell>
          <cell r="B100" t="str">
            <v>ja</v>
          </cell>
          <cell r="C100" t="str">
            <v>限界突破素材タイプキラー</v>
          </cell>
          <cell r="D100" t="str">
            <v>攻撃対象が攻撃タイプの場合威力UP</v>
          </cell>
        </row>
        <row r="101">
          <cell r="A101">
            <v>431</v>
          </cell>
          <cell r="B101" t="str">
            <v>ja</v>
          </cell>
          <cell r="C101" t="str">
            <v>限界突破素材タイプキラー</v>
          </cell>
          <cell r="D101" t="str">
            <v>攻撃対象が攻撃タイプの場合威力UP</v>
          </cell>
        </row>
        <row r="102">
          <cell r="A102">
            <v>432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433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434</v>
          </cell>
          <cell r="B104" t="str">
            <v>ja</v>
          </cell>
          <cell r="C104" t="str">
            <v>スキルレベル素材タイプキラー</v>
          </cell>
          <cell r="D104" t="str">
            <v>攻撃対象が攻撃タイプの場合威力UP</v>
          </cell>
        </row>
        <row r="105">
          <cell r="A105">
            <v>435</v>
          </cell>
          <cell r="B105" t="str">
            <v>ja</v>
          </cell>
          <cell r="C105" t="str">
            <v>スキルレベル素材タイプキラー</v>
          </cell>
          <cell r="D105" t="str">
            <v>攻撃対象が攻撃タイプの場合威力UP</v>
          </cell>
        </row>
        <row r="106">
          <cell r="A106">
            <v>436</v>
          </cell>
          <cell r="B106" t="str">
            <v>ja</v>
          </cell>
          <cell r="C106" t="str">
            <v>対ゴッド&amp;ヒーロー ダメージUP</v>
          </cell>
          <cell r="D106" t="str">
            <v>自身の攻撃対象が種族ゴッド、ヒーローの場合全ての攻撃の威力をUP</v>
          </cell>
        </row>
        <row r="107">
          <cell r="A107">
            <v>437</v>
          </cell>
          <cell r="B107" t="str">
            <v>ja</v>
          </cell>
          <cell r="C107" t="str">
            <v>対サムライ&amp;ドラゴン ダメージUP</v>
          </cell>
          <cell r="D107" t="str">
            <v>自身の攻撃対象が種族サムライ、ドラゴンの場合全ての攻撃の威力をUP</v>
          </cell>
        </row>
        <row r="108">
          <cell r="A108">
            <v>500</v>
          </cell>
          <cell r="B108" t="str">
            <v>ja</v>
          </cell>
          <cell r="C108" t="str">
            <v>青属性キラー</v>
          </cell>
          <cell r="D108" t="str">
            <v>攻撃対象が青属性の場合威力UP</v>
          </cell>
        </row>
        <row r="109">
          <cell r="A109">
            <v>600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601</v>
          </cell>
          <cell r="B110" t="str">
            <v>ja</v>
          </cell>
          <cell r="C110" t="str">
            <v>赤属性耐性25</v>
          </cell>
          <cell r="D110" t="str">
            <v>自身に対する赤属性の敵からの攻撃を25％軽減</v>
          </cell>
        </row>
        <row r="111">
          <cell r="A111">
            <v>602</v>
          </cell>
          <cell r="B111" t="str">
            <v>ja</v>
          </cell>
          <cell r="C111" t="str">
            <v>赤属性耐性25</v>
          </cell>
          <cell r="D111" t="str">
            <v>自身に対する赤属性の敵からの攻撃を25％軽減</v>
          </cell>
        </row>
        <row r="112">
          <cell r="A112">
            <v>603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604</v>
          </cell>
          <cell r="B113" t="str">
            <v>ja</v>
          </cell>
          <cell r="C113" t="str">
            <v>青属性耐性25</v>
          </cell>
          <cell r="D113" t="str">
            <v>自身に対する青属性の敵からの攻撃を25％軽減</v>
          </cell>
        </row>
        <row r="114">
          <cell r="A114">
            <v>605</v>
          </cell>
          <cell r="B114" t="str">
            <v>ja</v>
          </cell>
          <cell r="C114" t="str">
            <v>青属性耐性25</v>
          </cell>
          <cell r="D114" t="str">
            <v>自身に対する青属性の敵からの攻撃を25％軽減</v>
          </cell>
        </row>
        <row r="115">
          <cell r="A115">
            <v>606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607</v>
          </cell>
          <cell r="B116" t="str">
            <v>ja</v>
          </cell>
          <cell r="C116" t="str">
            <v>緑属性耐性25</v>
          </cell>
          <cell r="D116" t="str">
            <v>自身に対する緑属性の敵からの攻撃を25％軽減</v>
          </cell>
        </row>
        <row r="117">
          <cell r="A117">
            <v>608</v>
          </cell>
          <cell r="B117" t="str">
            <v>ja</v>
          </cell>
          <cell r="C117" t="str">
            <v>緑属性耐性25</v>
          </cell>
          <cell r="D117" t="str">
            <v>自身に対する緑属性の敵からの攻撃を25％軽減</v>
          </cell>
        </row>
        <row r="118">
          <cell r="A118">
            <v>609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610</v>
          </cell>
          <cell r="B119" t="str">
            <v>ja</v>
          </cell>
          <cell r="C119" t="str">
            <v>黄属性耐性25</v>
          </cell>
          <cell r="D119" t="str">
            <v>自身に対する黄属性の敵からの攻撃を25％軽減</v>
          </cell>
        </row>
        <row r="120">
          <cell r="A120">
            <v>611</v>
          </cell>
          <cell r="B120" t="str">
            <v>ja</v>
          </cell>
          <cell r="C120" t="str">
            <v>黄属性耐性25</v>
          </cell>
          <cell r="D120" t="str">
            <v>自身に対する黄属性の敵からの攻撃を25％軽減</v>
          </cell>
        </row>
        <row r="121">
          <cell r="A121">
            <v>612</v>
          </cell>
          <cell r="B121" t="str">
            <v>ja</v>
          </cell>
          <cell r="C121" t="str">
            <v>全属性耐性10</v>
          </cell>
          <cell r="D121" t="str">
            <v>自身に対する全属性の敵からの攻撃を10％軽減</v>
          </cell>
        </row>
        <row r="122">
          <cell r="A122">
            <v>613</v>
          </cell>
          <cell r="B122" t="str">
            <v>ja</v>
          </cell>
          <cell r="C122" t="str">
            <v>赤属性耐性10</v>
          </cell>
          <cell r="D122" t="str">
            <v>自身に対する赤属性の敵からの攻撃を10％軽減</v>
          </cell>
        </row>
        <row r="123">
          <cell r="A123">
            <v>614</v>
          </cell>
          <cell r="B123" t="str">
            <v>ja</v>
          </cell>
          <cell r="C123" t="str">
            <v>青属性耐性10</v>
          </cell>
          <cell r="D123" t="str">
            <v>自身に対する青属性の敵からの攻撃を10％軽減</v>
          </cell>
        </row>
        <row r="124">
          <cell r="A124">
            <v>615</v>
          </cell>
          <cell r="B124" t="str">
            <v>ja</v>
          </cell>
          <cell r="C124" t="str">
            <v>緑属性耐性10</v>
          </cell>
          <cell r="D124" t="str">
            <v>自身に対する緑属性の敵からの攻撃を10％軽減</v>
          </cell>
        </row>
        <row r="125">
          <cell r="A125">
            <v>616</v>
          </cell>
          <cell r="B125" t="str">
            <v>ja</v>
          </cell>
          <cell r="C125" t="str">
            <v>黄属性耐性10</v>
          </cell>
          <cell r="D125" t="str">
            <v>自身に対する黄属性の敵からの攻撃を10％軽減</v>
          </cell>
        </row>
        <row r="126">
          <cell r="A126">
            <v>617</v>
          </cell>
          <cell r="B126" t="str">
            <v>ja</v>
          </cell>
          <cell r="C126" t="str">
            <v>ゴッド種族耐性10</v>
          </cell>
          <cell r="D126" t="str">
            <v>自身に対するゴッド種族の敵からの攻撃を25％軽減</v>
          </cell>
        </row>
        <row r="127">
          <cell r="A127">
            <v>618</v>
          </cell>
          <cell r="B127" t="str">
            <v>ja</v>
          </cell>
          <cell r="C127" t="str">
            <v>赤属性耐性8</v>
          </cell>
          <cell r="D127" t="str">
            <v>自身に対する赤属性の敵からの攻撃を8%軽減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624</v>
          </cell>
          <cell r="B133" t="str">
            <v>ja</v>
          </cell>
          <cell r="C133" t="str">
            <v>ゴッド種族耐性10</v>
          </cell>
          <cell r="D133" t="str">
            <v>自身に対するゴッド種族の敵からの攻撃を10％軽減</v>
          </cell>
        </row>
        <row r="134">
          <cell r="A134">
            <v>700</v>
          </cell>
          <cell r="B134" t="str">
            <v>ja</v>
          </cell>
          <cell r="C134" t="str">
            <v>フロア 回復</v>
          </cell>
          <cell r="D134" t="str">
            <v>全フロアの1ターン目終了時にパーティの合計HPの20％を回復する</v>
          </cell>
        </row>
        <row r="135">
          <cell r="A135">
            <v>701</v>
          </cell>
          <cell r="B135" t="str">
            <v>ja</v>
          </cell>
          <cell r="C135" t="str">
            <v>フロア 防御力アップ</v>
          </cell>
          <cell r="D135" t="str">
            <v>全フロアの1ターン目終了時に全ユニットの防御力を1ターン400UP</v>
          </cell>
        </row>
        <row r="136">
          <cell r="A136">
            <v>702</v>
          </cell>
          <cell r="B136" t="str">
            <v>ja</v>
          </cell>
          <cell r="C136" t="str">
            <v>最終フロア時 HP回復</v>
          </cell>
          <cell r="D136" t="str">
            <v>最終フロア到達時にHPを100%回復する</v>
          </cell>
        </row>
        <row r="137">
          <cell r="A137">
            <v>800</v>
          </cell>
          <cell r="B137" t="str">
            <v>ja</v>
          </cell>
          <cell r="C137" t="str">
            <v>パネルブレイク30 攻撃力UP</v>
          </cell>
          <cell r="D137" t="str">
            <v>自身が先頭の時、1ターンの間に合計30個以上パネルを破壊した場合に攻撃力UP</v>
          </cell>
        </row>
        <row r="138">
          <cell r="A138">
            <v>801</v>
          </cell>
          <cell r="B138" t="str">
            <v>ja</v>
          </cell>
          <cell r="C138" t="str">
            <v>パネルブレイク30 回復力UP</v>
          </cell>
          <cell r="D138" t="str">
            <v>自身が先頭の時、1ターンの間に合計30個以上パネルを破壊した場合に回復力UP</v>
          </cell>
        </row>
        <row r="139">
          <cell r="A139">
            <v>802</v>
          </cell>
          <cell r="B139" t="str">
            <v>ja</v>
          </cell>
          <cell r="C139" t="str">
            <v>パネルブレイク30 防御力小UP</v>
          </cell>
          <cell r="D139" t="str">
            <v>自身が先頭の時、1ターンの間に合計30個以上パネルを破壊した場合に防御力小UP</v>
          </cell>
        </row>
        <row r="140">
          <cell r="A140">
            <v>803</v>
          </cell>
          <cell r="B140" t="str">
            <v>ja</v>
          </cell>
          <cell r="C140" t="str">
            <v>パネルブレイク30 防御力UP</v>
          </cell>
          <cell r="D140" t="str">
            <v>自身が先頭の時、1ターンの間に合計30個以上パネルを破壊した場合に防御力UP</v>
          </cell>
        </row>
        <row r="141">
          <cell r="A141">
            <v>804</v>
          </cell>
          <cell r="B141" t="str">
            <v>ja</v>
          </cell>
          <cell r="C141" t="str">
            <v>パネルブレイク30 防御力大UP</v>
          </cell>
          <cell r="D141" t="str">
            <v>自身が先頭の時、1ターンの間に合計30個以上パネルを破壊した場合に防御力大UP</v>
          </cell>
        </row>
        <row r="142">
          <cell r="A142">
            <v>805</v>
          </cell>
          <cell r="B142" t="str">
            <v>ja</v>
          </cell>
          <cell r="C142" t="str">
            <v>パネルブレイク30 防御力特大UP</v>
          </cell>
          <cell r="D142" t="str">
            <v>自身が先頭の時、1ターンの間に合計30個以上パネルを破壊した場合に防御力特大UP</v>
          </cell>
        </row>
        <row r="143">
          <cell r="A143">
            <v>806</v>
          </cell>
          <cell r="B143" t="str">
            <v>ja</v>
          </cell>
          <cell r="C143" t="str">
            <v>ボムブレイク10 防御力UP</v>
          </cell>
          <cell r="D143" t="str">
            <v>自身または味方が1ターンの間に合計10個以上ボムパネルを破壊した場合に防御力UP</v>
          </cell>
        </row>
        <row r="144">
          <cell r="A144">
            <v>807</v>
          </cell>
          <cell r="B144" t="str">
            <v>ja</v>
          </cell>
          <cell r="C144" t="str">
            <v>パネル18 破壊フィーバーゲージ上昇</v>
          </cell>
          <cell r="D144" t="str">
            <v>自身が先頭の時、1ターンの間に合計18個以上パネルを破壊した場合にフィーバーゲージ上昇</v>
          </cell>
        </row>
        <row r="145">
          <cell r="A145">
            <v>808</v>
          </cell>
          <cell r="B145" t="str">
            <v>ja</v>
          </cell>
          <cell r="C145" t="str">
            <v>パネルブレイク40 防御力UP</v>
          </cell>
          <cell r="D145" t="str">
            <v>自身が先頭の時、1ターンの間に合計40個以上パネルを破壊した場合に青属性ユニットの防御力を400UP</v>
          </cell>
        </row>
        <row r="146">
          <cell r="A146">
            <v>809</v>
          </cell>
          <cell r="B146" t="str">
            <v>ja</v>
          </cell>
          <cell r="C146" t="str">
            <v>パネルブレイク40 攻撃力UP</v>
          </cell>
          <cell r="D146" t="str">
            <v>自身が先頭の時、1ターンの間に合計40個以上パネルを破壊した場合に攻撃力UP</v>
          </cell>
        </row>
        <row r="147">
          <cell r="A147">
            <v>810</v>
          </cell>
          <cell r="B147" t="str">
            <v>ja</v>
          </cell>
          <cell r="C147" t="str">
            <v>パネルブレイク40 攻撃力小UP</v>
          </cell>
          <cell r="D147" t="str">
            <v>自身が先頭の時、1ターンの間に合計40個以上パネルを破壊した場合に攻撃力小UP</v>
          </cell>
        </row>
        <row r="148">
          <cell r="A148">
            <v>811</v>
          </cell>
          <cell r="B148" t="str">
            <v>ja</v>
          </cell>
          <cell r="C148" t="str">
            <v>パネルブレイク30 攻撃力小UP</v>
          </cell>
          <cell r="D148" t="str">
            <v>自身が先頭の時、1ターンの間に合計30個以上パネルを破壊した場合に攻撃力小UP</v>
          </cell>
        </row>
        <row r="149">
          <cell r="A149">
            <v>812</v>
          </cell>
          <cell r="B149" t="str">
            <v>ja</v>
          </cell>
          <cell r="C149" t="str">
            <v>パネルブレイク40 HP小回復</v>
          </cell>
          <cell r="D149" t="str">
            <v>自身が先頭の時、1ターンの間に合計40個以上パネルを破壊した場合にターン終了時HP小回復</v>
          </cell>
        </row>
        <row r="150">
          <cell r="A150">
            <v>813</v>
          </cell>
          <cell r="B150" t="str">
            <v>ja</v>
          </cell>
          <cell r="C150" t="str">
            <v>パネルブレイク100 攻撃力UP</v>
          </cell>
          <cell r="D150" t="str">
            <v>自身が先頭の時、1ターンの間に合計100個以上パネルを破壊した場合に攻撃力2140UP</v>
          </cell>
        </row>
        <row r="151">
          <cell r="A151">
            <v>814</v>
          </cell>
          <cell r="B151" t="str">
            <v>ja</v>
          </cell>
          <cell r="C151" t="str">
            <v>パネルブレイク50 タップ回数UP</v>
          </cell>
          <cell r="D151" t="str">
            <v>自身が先頭の時、1ターンの間に合計50個以上パネルを破壊した場合にタップ回数を1回増やす</v>
          </cell>
        </row>
        <row r="152">
          <cell r="A152">
            <v>815</v>
          </cell>
          <cell r="B152" t="str">
            <v>ja</v>
          </cell>
          <cell r="C152" t="str">
            <v>パネルブレイク50 HP回復</v>
          </cell>
          <cell r="D152" t="str">
            <v>自身が先頭の時、1ターンの間に合計50個以上パネルを破壊した場合にターン終了時HP回復</v>
          </cell>
        </row>
        <row r="153">
          <cell r="A153">
            <v>816</v>
          </cell>
          <cell r="B153" t="str">
            <v>ja</v>
          </cell>
          <cell r="C153" t="str">
            <v>ボムブレイク10 黄属性攻撃力UP</v>
          </cell>
          <cell r="D153" t="str">
            <v>自身または味方が1ターンの間に合計10個以上ボムパネルを破壊した場合に黄属性ユニットの攻撃力UP</v>
          </cell>
        </row>
        <row r="154">
          <cell r="A154">
            <v>817</v>
          </cell>
          <cell r="B154" t="str">
            <v>ja</v>
          </cell>
          <cell r="C154" t="str">
            <v>パネルブレイク50 生成短縮激烈</v>
          </cell>
          <cell r="D154" t="str">
            <v>自身が先頭の時、1ターンの間に合計50個以上パネルを破壊した場合にCパネル生成に必要なチェイン数を12短縮する</v>
          </cell>
        </row>
        <row r="155">
          <cell r="A155">
            <v>818</v>
          </cell>
          <cell r="B155" t="str">
            <v>ja</v>
          </cell>
          <cell r="C155" t="str">
            <v>パネルブレイク33 赤･緑属性防御UP</v>
          </cell>
          <cell r="D155" t="str">
            <v>自身が先頭の時、1ターンの間に合計33個以上パネルを破壊した場合に赤・緑属性の防御力を330UP</v>
          </cell>
        </row>
        <row r="156">
          <cell r="A156">
            <v>819</v>
          </cell>
          <cell r="B156" t="str">
            <v>ja</v>
          </cell>
          <cell r="C156" t="str">
            <v>パネルブレイク25 回復力UP</v>
          </cell>
          <cell r="D156" t="str">
            <v>自身が先頭の時、1ターンの間に合計25個以上パネルを破壊した場合に回復力UP</v>
          </cell>
        </row>
        <row r="157">
          <cell r="A157">
            <v>820</v>
          </cell>
          <cell r="B157" t="str">
            <v>ja</v>
          </cell>
          <cell r="C157" t="str">
            <v>パネルブレイク90 タップ回数UP</v>
          </cell>
          <cell r="D157" t="str">
            <v>自身が先頭の時、1ターンの間に合計90個以上パネルを破壊した場合にタップ回数を1回増やす</v>
          </cell>
        </row>
        <row r="158">
          <cell r="A158">
            <v>821</v>
          </cell>
          <cell r="B158" t="str">
            <v>ja</v>
          </cell>
          <cell r="C158" t="str">
            <v>パネルブレイク80 攻撃力特大UP</v>
          </cell>
          <cell r="D158" t="str">
            <v>自身が先頭の時、1ターンの間に合計80個以上パネルを破壊した場合に攻撃力特大UP</v>
          </cell>
        </row>
        <row r="159">
          <cell r="A159">
            <v>822</v>
          </cell>
          <cell r="B159" t="str">
            <v>ja</v>
          </cell>
          <cell r="C159" t="str">
            <v>パネルブレイク35 CP生成短縮(特大)</v>
          </cell>
          <cell r="D159" t="str">
            <v>自身または、味方が1ターンの間に合計35個以上パネルを破壊した場合に先頭ユニットのCパネル生成短縮(効果特大)(1ターンに1度だけ発動)</v>
          </cell>
        </row>
        <row r="160">
          <cell r="A160">
            <v>823</v>
          </cell>
          <cell r="B160" t="str">
            <v>ja</v>
          </cell>
          <cell r="C160" t="str">
            <v>パネルブレイク100 タップ回数UP</v>
          </cell>
          <cell r="D160" t="str">
            <v>自身が先頭の時、1ターンの間に合計100個以上パネルを破壊した場合にタップ回数を1回増やす</v>
          </cell>
        </row>
        <row r="161">
          <cell r="A161">
            <v>824</v>
          </cell>
          <cell r="B161" t="str">
            <v>ja</v>
          </cell>
          <cell r="C161" t="str">
            <v>パネルブレイク40 CP生成短縮(特大)</v>
          </cell>
          <cell r="D161" t="str">
            <v>自身または、味方が1ターンの間に合計40個以上パネル破壊した場合に先頭ユニットのCP生成短縮(特大)(1ターンに1度だけ発動)</v>
          </cell>
        </row>
        <row r="162">
          <cell r="A162">
            <v>825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自身が先頭の時、1ターンの間に合計60個以上パネルを破壊した場合にターン終了時、HP5000回復</v>
          </cell>
        </row>
        <row r="163">
          <cell r="A163">
            <v>826</v>
          </cell>
          <cell r="B163" t="str">
            <v>ja</v>
          </cell>
          <cell r="C163" t="str">
            <v>パネルブレイク60 HP回復</v>
          </cell>
          <cell r="D163" t="str">
            <v>自身が先頭の時、1ターンの間に合計60個以上パネルを破壊した場合にターン終了時HP4000回復</v>
          </cell>
        </row>
        <row r="164">
          <cell r="A164">
            <v>830</v>
          </cell>
          <cell r="B164" t="str">
            <v>ja</v>
          </cell>
          <cell r="C164" t="str">
            <v>パネルブレイク40 ウィルス解除</v>
          </cell>
          <cell r="D164" t="str">
            <v>自身または、味方が1ターンの間に合計40個以上パネル破壊した場合に全ユニットウィルス解除(1ターンに1度だけ発動)</v>
          </cell>
        </row>
        <row r="165">
          <cell r="A165">
            <v>831</v>
          </cell>
          <cell r="B165" t="str">
            <v>ja</v>
          </cell>
          <cell r="C165" t="str">
            <v>ボムブレイク10 赤属性防御力UP</v>
          </cell>
          <cell r="D165" t="str">
            <v>自身または味方が1ターンの間に合計10個以上ボムパネルを破壊した場合に赤属性ユニットの防御力UP</v>
          </cell>
        </row>
        <row r="166">
          <cell r="A166">
            <v>832</v>
          </cell>
          <cell r="B166" t="str">
            <v>ja</v>
          </cell>
          <cell r="C166" t="str">
            <v>パネルブレイク30 種族ヒューマン攻撃力UP</v>
          </cell>
          <cell r="D166" t="str">
            <v>自身が先頭の時、1ターンの間に合計30個以上パネルを破壊した場合に種族ヒューマンの攻撃力UP</v>
          </cell>
        </row>
        <row r="167">
          <cell r="A167">
            <v>833</v>
          </cell>
          <cell r="B167" t="str">
            <v>ja</v>
          </cell>
          <cell r="C167" t="str">
            <v>ボムブレイク12 HP回復</v>
          </cell>
          <cell r="D167" t="str">
            <v>自身または味方が1ターンの間に合計12個以上ボムパネルを破壊した場合にHP1200回復</v>
          </cell>
        </row>
        <row r="168">
          <cell r="A168">
            <v>834</v>
          </cell>
          <cell r="B168" t="str">
            <v>ja</v>
          </cell>
          <cell r="C168" t="str">
            <v>Cパネルブレイク12 タップ回数UP</v>
          </cell>
          <cell r="D168" t="str">
            <v>自身が先頭の時、1ターンの間に合計12個以上Cパネルを破壊した場合にタップ回数を1回増やす</v>
          </cell>
        </row>
        <row r="169">
          <cell r="A169">
            <v>900</v>
          </cell>
          <cell r="B169" t="str">
            <v>ja</v>
          </cell>
          <cell r="C169" t="str">
            <v>チェイン12 攻撃力UP</v>
          </cell>
          <cell r="D169" t="str">
            <v>自身が先頭の時、1タップで12個以上パネルを繋げた場合に攻撃力UP(1ターンに1度だけ発動)</v>
          </cell>
        </row>
        <row r="170">
          <cell r="A170">
            <v>901</v>
          </cell>
          <cell r="B170" t="str">
            <v>ja</v>
          </cell>
          <cell r="C170" t="str">
            <v>チェイン12 回復力UP</v>
          </cell>
          <cell r="D170" t="str">
            <v>自身が先頭の時、1タップで12個以上パネルを繋げた場合に回復力UP(1ターンに1度だけ発動)</v>
          </cell>
        </row>
        <row r="171">
          <cell r="A171">
            <v>902</v>
          </cell>
          <cell r="B171" t="str">
            <v>ja</v>
          </cell>
          <cell r="C171" t="str">
            <v>チェイン12 タップ回数UP</v>
          </cell>
          <cell r="D171" t="str">
            <v>自身が先頭の時、1タップで12個以上パネルを繋げた場合にタップ回数を1回増やす(1ターンに1度だけ発動)</v>
          </cell>
        </row>
        <row r="172">
          <cell r="A172">
            <v>903</v>
          </cell>
          <cell r="B172" t="str">
            <v>ja</v>
          </cell>
          <cell r="C172" t="str">
            <v>チェイン18 スキルターン短縮</v>
          </cell>
          <cell r="D172" t="str">
            <v>自身が先頭の時、1タップで18個以上パネルを繋げた場合に自身のスキルターンを1短縮(1ターンに1度だけ発動)</v>
          </cell>
        </row>
        <row r="173">
          <cell r="A173">
            <v>904</v>
          </cell>
          <cell r="B173" t="str">
            <v>ja</v>
          </cell>
          <cell r="C173" t="str">
            <v>チェイン17 回復力UP</v>
          </cell>
          <cell r="D173" t="str">
            <v>自身が先頭の時、1タップで17個以上パネルを繋げた場合に自身の回復力を2017UP(1ターンに1度だけ発動)</v>
          </cell>
        </row>
        <row r="174">
          <cell r="A174">
            <v>905</v>
          </cell>
          <cell r="B174" t="str">
            <v>ja</v>
          </cell>
          <cell r="C174" t="str">
            <v>チェイン12 攻撃力小UP</v>
          </cell>
          <cell r="D174" t="str">
            <v>自身が先頭の時、1タップで12個以上パネルを繋げた場合に攻撃力小UP(1ターンに1度だけ発動)</v>
          </cell>
        </row>
        <row r="175">
          <cell r="A175">
            <v>906</v>
          </cell>
          <cell r="B175" t="str">
            <v>ja</v>
          </cell>
          <cell r="C175" t="str">
            <v>チェイン14 回復力小UP</v>
          </cell>
          <cell r="D175" t="str">
            <v>自身が先頭の時、1タップで14個以上パネルを繋げた場合に回復力小UP(1ターンに1度だけ発動)</v>
          </cell>
        </row>
        <row r="176">
          <cell r="A176">
            <v>907</v>
          </cell>
          <cell r="B176" t="str">
            <v>ja</v>
          </cell>
          <cell r="C176" t="str">
            <v>チェイン14 攻撃力UP</v>
          </cell>
          <cell r="D176" t="str">
            <v>自身が先頭の時、1タップで14個以上パネルを繋げた場合に攻撃力UP(1ターンに1度だけ発動)</v>
          </cell>
        </row>
        <row r="177">
          <cell r="A177">
            <v>908</v>
          </cell>
          <cell r="B177" t="str">
            <v>ja</v>
          </cell>
          <cell r="C177" t="str">
            <v>チェイン16 黄属性防御力UP</v>
          </cell>
          <cell r="D177" t="str">
            <v>自身が先頭の時、1タップで16個以上パネルを繋げた場合に黄属性ユニットの防御力UP(1ターンに1度だけ発動)</v>
          </cell>
        </row>
        <row r="178">
          <cell r="A178">
            <v>909</v>
          </cell>
          <cell r="B178" t="str">
            <v>ja</v>
          </cell>
          <cell r="C178" t="str">
            <v>チェイン30 Cパネル生成短縮(激烈)</v>
          </cell>
          <cell r="D178" t="str">
            <v>自身が先頭の時、1タップで30個以上パネルを繋げた場合にCパネル生成短縮(効果激烈)(1ターンに1度だけ発動)</v>
          </cell>
        </row>
        <row r="179">
          <cell r="A179">
            <v>910</v>
          </cell>
          <cell r="B179" t="str">
            <v>ja</v>
          </cell>
          <cell r="C179" t="str">
            <v>チェイン18 HP回復</v>
          </cell>
          <cell r="D179" t="str">
            <v>自身が先頭の時、1タップで18個以上パネルを繋げた場合にHPを2500回復(1ターンに1度だけ発動)</v>
          </cell>
        </row>
        <row r="180">
          <cell r="A180">
            <v>911</v>
          </cell>
          <cell r="B180" t="str">
            <v>ja</v>
          </cell>
          <cell r="C180" t="str">
            <v>チェイン24 ダメージ軽減</v>
          </cell>
          <cell r="D180" t="str">
            <v>自身が先頭の時、1タップで24個以上パネルを繋げた場合に敵からのダメージを15％軽減(1ターンに1度だけ発動)</v>
          </cell>
        </row>
        <row r="181">
          <cell r="A181">
            <v>912</v>
          </cell>
          <cell r="B181" t="str">
            <v>ja</v>
          </cell>
          <cell r="C181" t="str">
            <v>チェイン22 スキルターン短縮</v>
          </cell>
          <cell r="D181" t="str">
            <v>自身が先頭の時、1タップで22個以上パネルを繋げた場合に自身のスキルターンを1短縮(1ターンに1度だけ発動)</v>
          </cell>
        </row>
        <row r="182">
          <cell r="A182">
            <v>913</v>
          </cell>
          <cell r="B182" t="str">
            <v>ja</v>
          </cell>
          <cell r="C182" t="str">
            <v>チェイン26 Cパネル生成短縮(特大)</v>
          </cell>
          <cell r="D182" t="str">
            <v>自身または、味方が1タップで26個以上パネルを繋げた場合に先頭ユニットのCパネル生成短縮(効果特大)(1ターンに1度だけ発動)</v>
          </cell>
        </row>
        <row r="183">
          <cell r="A183">
            <v>914</v>
          </cell>
          <cell r="B183" t="str">
            <v>ja</v>
          </cell>
          <cell r="C183" t="str">
            <v>チェイン14 スキルバインド解除</v>
          </cell>
          <cell r="D183" t="str">
            <v>自身が先頭の時、1タップで14個以上パネルを繋げた場合にスキルバインドを解除する</v>
          </cell>
        </row>
        <row r="184">
          <cell r="A184">
            <v>915</v>
          </cell>
          <cell r="B184" t="str">
            <v>ja</v>
          </cell>
          <cell r="C184" t="str">
            <v>チェイン16 スキルターン短縮</v>
          </cell>
          <cell r="D184" t="str">
            <v>自身が先頭の時、1タップで16個以上パネルを繋げた場合に自身のスキルターンを1短縮する(1ターンに1度だけ発動)</v>
          </cell>
        </row>
        <row r="185">
          <cell r="A185">
            <v>916</v>
          </cell>
          <cell r="B185" t="str">
            <v>ja</v>
          </cell>
          <cell r="C185" t="str">
            <v>チェイン14 黄属性防御力UP</v>
          </cell>
          <cell r="D185" t="str">
            <v>自身が先頭の時、1タップで14個以上パネルを繋げた場合に黄属性ユニットの防御力UP(1ターンに1度だけ発動)</v>
          </cell>
        </row>
        <row r="186">
          <cell r="A186">
            <v>917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918</v>
          </cell>
          <cell r="B187" t="str">
            <v>ja</v>
          </cell>
          <cell r="C187" t="str">
            <v>チェイン18 HP回復</v>
          </cell>
          <cell r="D187" t="str">
            <v>自身が先頭の時、1タップで18個以上パネルを繋げた場合にHPを1500回復(1ターンに1度だけ発動)</v>
          </cell>
        </row>
        <row r="188">
          <cell r="A188">
            <v>919</v>
          </cell>
          <cell r="B188" t="str">
            <v>ja</v>
          </cell>
          <cell r="C188" t="str">
            <v>チェイン16 攻撃力特大UP</v>
          </cell>
          <cell r="D188" t="str">
            <v>自身が先頭の時、1タップで16個以上パネルを繋げた場合に攻撃力特大UP(1ターンに1度だけ発動)</v>
          </cell>
        </row>
        <row r="189">
          <cell r="A189">
            <v>1000</v>
          </cell>
          <cell r="B189" t="str">
            <v>ja</v>
          </cell>
          <cell r="C189" t="str">
            <v>対種族ヒューマン 超大カウンター</v>
          </cell>
          <cell r="D189" t="str">
            <v>敵に種族ヒューマンがいる場合、自身に超大カウンター</v>
          </cell>
        </row>
        <row r="190">
          <cell r="A190">
            <v>1100</v>
          </cell>
          <cell r="B190" t="str">
            <v>ja</v>
          </cell>
          <cell r="C190" t="str">
            <v>Cパネル生成短縮</v>
          </cell>
          <cell r="D190" t="str">
            <v>自身が先頭の時、Cパネル生成に必要なチェイン数を1短縮する</v>
          </cell>
        </row>
        <row r="191">
          <cell r="A191">
            <v>1101</v>
          </cell>
          <cell r="B191" t="str">
            <v>ja</v>
          </cell>
          <cell r="C191" t="str">
            <v>Cパネル生成短縮(大)</v>
          </cell>
          <cell r="D191" t="str">
            <v>自身が先頭の時、Cパネル生成に必要なチェイン数を2短縮する</v>
          </cell>
        </row>
        <row r="192">
          <cell r="A192">
            <v>1200</v>
          </cell>
          <cell r="B192" t="str">
            <v>ja</v>
          </cell>
          <cell r="C192" t="str">
            <v>フィーバー攻撃UP</v>
          </cell>
          <cell r="D192" t="str">
            <v>自身が先頭の時、フィーバー発動時に緑属性の攻撃力と回復力UP</v>
          </cell>
        </row>
        <row r="193">
          <cell r="A193">
            <v>1300</v>
          </cell>
          <cell r="B193" t="str">
            <v>ja</v>
          </cell>
          <cell r="C193" t="str">
            <v>チェイン12 HP回復</v>
          </cell>
          <cell r="D193" t="str">
            <v>自身が先頭の時、1タップで12個以上パネルを繋げた場合にHPを2000回復(1ターンに1度だけ発動)</v>
          </cell>
        </row>
        <row r="194">
          <cell r="A194">
            <v>1400</v>
          </cell>
          <cell r="B194" t="str">
            <v>ja</v>
          </cell>
          <cell r="C194" t="str">
            <v>カウンター威力UP</v>
          </cell>
          <cell r="D194" t="str">
            <v>4ターン毎に自身のカウンタースキルの威力が1ターンの間UP</v>
          </cell>
        </row>
        <row r="195">
          <cell r="A195">
            <v>1500</v>
          </cell>
          <cell r="B195" t="str">
            <v>ja</v>
          </cell>
          <cell r="C195" t="str">
            <v>バリア15000</v>
          </cell>
          <cell r="D195" t="str">
            <v>戦闘開始時に、自身への直接ダメージを15000まで防ぐバリアを一度だけ展開(バリアは破壊されると復活しない)</v>
          </cell>
        </row>
        <row r="196">
          <cell r="A196">
            <v>1501</v>
          </cell>
          <cell r="B196" t="str">
            <v>ja</v>
          </cell>
          <cell r="C196" t="str">
            <v>バリア</v>
          </cell>
          <cell r="D196" t="str">
            <v>戦闘開始時に、ダメージを25000まで防ぐバリアを一度だけ展開</v>
          </cell>
        </row>
        <row r="197">
          <cell r="A197">
            <v>1502</v>
          </cell>
          <cell r="B197" t="str">
            <v>ja</v>
          </cell>
          <cell r="C197" t="str">
            <v>バリア</v>
          </cell>
          <cell r="D197" t="str">
            <v>戦闘開始時に、ダメージを50000まで防ぐバリアを一度だけ展開</v>
          </cell>
        </row>
        <row r="198">
          <cell r="A198">
            <v>1503</v>
          </cell>
          <cell r="B198" t="str">
            <v>ja</v>
          </cell>
          <cell r="C198" t="str">
            <v>バリア8000</v>
          </cell>
          <cell r="D198" t="str">
            <v>戦闘開始時に、自身への直接ダメージを8000まで防ぐバリアを一度だけ展開(バリアは破壊されると復活しない)</v>
          </cell>
        </row>
        <row r="199">
          <cell r="A199">
            <v>1504</v>
          </cell>
          <cell r="B199" t="str">
            <v>ja</v>
          </cell>
          <cell r="C199" t="str">
            <v>バリア10000</v>
          </cell>
          <cell r="D199" t="str">
            <v>戦闘開始時に、自身への直接ダメージを10000まで防ぐバリアを一度だけ展開(バリアは破壊されると復活しない)</v>
          </cell>
        </row>
        <row r="200">
          <cell r="A200">
            <v>1505</v>
          </cell>
          <cell r="B200" t="str">
            <v>ja</v>
          </cell>
          <cell r="C200" t="str">
            <v>バリア3939</v>
          </cell>
          <cell r="D200" t="str">
            <v>戦闘開始時に、自身への直接ダメージを3939まで防ぐバリアを一度だけ展開(バリアは破壊されると復活しない)</v>
          </cell>
        </row>
        <row r="201">
          <cell r="A201">
            <v>1506</v>
          </cell>
          <cell r="B201" t="str">
            <v>ja</v>
          </cell>
          <cell r="C201" t="str">
            <v>バリア5000</v>
          </cell>
          <cell r="D201" t="str">
            <v>戦闘開始時に、自身への直接ダメージを5000まで防ぐバリアを一度だけ展開(バリアは破壊されると復活しない)</v>
          </cell>
        </row>
        <row r="202">
          <cell r="A202">
            <v>1600</v>
          </cell>
          <cell r="B202" t="str">
            <v>ja</v>
          </cell>
          <cell r="C202" t="str">
            <v>攻撃力・回復力UP</v>
          </cell>
          <cell r="D202" t="str">
            <v>自身の攻撃力と回復力をUP</v>
          </cell>
        </row>
        <row r="203">
          <cell r="A203">
            <v>1601</v>
          </cell>
          <cell r="B203" t="str">
            <v>ja</v>
          </cell>
          <cell r="C203" t="str">
            <v>隣接ユニット 回復力UP</v>
          </cell>
          <cell r="D203" t="str">
            <v>右隣のユニットの回復力を1000UPする</v>
          </cell>
        </row>
        <row r="204">
          <cell r="A204">
            <v>1602</v>
          </cell>
          <cell r="B204" t="str">
            <v>ja</v>
          </cell>
          <cell r="C204" t="str">
            <v>テクニカルタイプ攻撃力UP</v>
          </cell>
          <cell r="D204" t="str">
            <v>テクニカルタイプの攻撃力を700UP</v>
          </cell>
        </row>
        <row r="205">
          <cell r="A205">
            <v>1603</v>
          </cell>
          <cell r="B205" t="str">
            <v>ja</v>
          </cell>
          <cell r="C205" t="str">
            <v>攻撃力UP</v>
          </cell>
          <cell r="D205" t="str">
            <v>解除されるまで種族アニマル・ファンタジー・ヒーローの攻撃力500UP</v>
          </cell>
        </row>
        <row r="206">
          <cell r="A206">
            <v>1700</v>
          </cell>
          <cell r="B206" t="str">
            <v>ja</v>
          </cell>
          <cell r="C206" t="str">
            <v>パネルブレイク30 ターンHP小回復</v>
          </cell>
          <cell r="D206" t="str">
            <v>自身が先頭の時、1ターンの間に合計30個以上パネルを破壊した場合に1ターン HP小回復</v>
          </cell>
        </row>
        <row r="207">
          <cell r="A207">
            <v>1701</v>
          </cell>
          <cell r="B207" t="str">
            <v>ja</v>
          </cell>
          <cell r="C207" t="str">
            <v>5ターン毎、HP回復</v>
          </cell>
          <cell r="D207" t="str">
            <v>最初の1ターン目と、その後5ターン毎のターン終了時、HPを2500回復する</v>
          </cell>
        </row>
        <row r="208">
          <cell r="A208">
            <v>1702</v>
          </cell>
          <cell r="B208" t="str">
            <v>ja</v>
          </cell>
          <cell r="C208" t="str">
            <v>ターン経過攻撃力UP</v>
          </cell>
          <cell r="D208" t="str">
            <v>最初の1ターン目と、その後6ターン毎に1ターン種族ドラゴン・ファンタジー・アニマルの攻撃力を1000UP</v>
          </cell>
        </row>
        <row r="209">
          <cell r="A209">
            <v>1703</v>
          </cell>
          <cell r="B209" t="str">
            <v>ja</v>
          </cell>
          <cell r="C209" t="str">
            <v>隣接ユニット スキルターン短縮(8ターン)</v>
          </cell>
          <cell r="D209" t="str">
            <v>最初の1ターン目と、その後8ターン毎に右隣のユニットのスキルターンを1短縮</v>
          </cell>
        </row>
        <row r="210">
          <cell r="A210">
            <v>1704</v>
          </cell>
          <cell r="B210" t="str">
            <v>ja</v>
          </cell>
          <cell r="C210" t="str">
            <v>ターン経過回復力UP</v>
          </cell>
          <cell r="D210" t="str">
            <v>最初の1ターン目と、その後6ターン毎に1ターン自身と右隣のユニットの回復力を1500UP</v>
          </cell>
        </row>
        <row r="211">
          <cell r="A211">
            <v>1800</v>
          </cell>
          <cell r="B211" t="str">
            <v>ja</v>
          </cell>
          <cell r="C211" t="str">
            <v>フィーバー強化</v>
          </cell>
          <cell r="D211" t="str">
            <v>フィーバー時自身の攻撃力、回復力を特大UP</v>
          </cell>
        </row>
        <row r="212">
          <cell r="A212">
            <v>1900</v>
          </cell>
          <cell r="B212" t="str">
            <v>ja</v>
          </cell>
          <cell r="C212" t="str">
            <v>ハート出現率UP</v>
          </cell>
          <cell r="D212" t="str">
            <v>自身が先頭の時、ハートパネルの出現率UP</v>
          </cell>
        </row>
        <row r="213">
          <cell r="A213">
            <v>2000</v>
          </cell>
          <cell r="B213" t="str">
            <v>ja</v>
          </cell>
          <cell r="C213" t="str">
            <v>赤パネル出現率UP</v>
          </cell>
          <cell r="D213" t="str">
            <v>自身が先頭の時、赤パネルの出現率UP</v>
          </cell>
        </row>
        <row r="214">
          <cell r="A214">
            <v>2100</v>
          </cell>
          <cell r="B214" t="str">
            <v>ja</v>
          </cell>
          <cell r="C214" t="str">
            <v>緑パネル出現率UP</v>
          </cell>
          <cell r="D214" t="str">
            <v>自身が先頭の時、緑パネルの出現率UP</v>
          </cell>
        </row>
        <row r="215">
          <cell r="A215">
            <v>2101</v>
          </cell>
          <cell r="B215" t="str">
            <v>ja</v>
          </cell>
          <cell r="C215" t="str">
            <v>緑パネル出現率UP</v>
          </cell>
          <cell r="D215" t="str">
            <v>自身が先頭の時、緑パネルの出現率UP</v>
          </cell>
        </row>
        <row r="216">
          <cell r="A216">
            <v>2200</v>
          </cell>
          <cell r="B216" t="str">
            <v>ja</v>
          </cell>
          <cell r="C216" t="str">
            <v>青パネル出現率UP</v>
          </cell>
          <cell r="D216" t="str">
            <v>自身が先頭の時、青パネルの出現率UP</v>
          </cell>
        </row>
        <row r="217">
          <cell r="A217">
            <v>2201</v>
          </cell>
          <cell r="B217" t="str">
            <v>ja</v>
          </cell>
          <cell r="C217" t="str">
            <v>青パネル出現率UP</v>
          </cell>
          <cell r="D217" t="str">
            <v>自身が先頭の時、青パネルの出現率UP</v>
          </cell>
        </row>
        <row r="218">
          <cell r="A218">
            <v>2300</v>
          </cell>
          <cell r="B218" t="str">
            <v>ja</v>
          </cell>
          <cell r="C218" t="str">
            <v>黄パネル出現率UP</v>
          </cell>
          <cell r="D218" t="str">
            <v>自身が先頭の時、黄パネルの出現率UP</v>
          </cell>
        </row>
        <row r="219">
          <cell r="A219">
            <v>2400</v>
          </cell>
          <cell r="B219" t="str">
            <v>ja</v>
          </cell>
          <cell r="C219" t="str">
            <v>ハートボムパネルドロップ</v>
          </cell>
          <cell r="D219" t="str">
            <v>自身が先頭の時、ハートパネルを確率でハートボムパネルに変換しドロップ</v>
          </cell>
        </row>
        <row r="220">
          <cell r="A220">
            <v>2401</v>
          </cell>
          <cell r="B220" t="str">
            <v>ja</v>
          </cell>
          <cell r="C220" t="str">
            <v>赤ボムパネルドロップ</v>
          </cell>
          <cell r="D220" t="str">
            <v>自身が先頭の時、赤パネルを低確率で赤ボムパネルに変換しドロップ</v>
          </cell>
        </row>
        <row r="221">
          <cell r="A221">
            <v>2402</v>
          </cell>
          <cell r="B221" t="str">
            <v>ja</v>
          </cell>
          <cell r="C221" t="str">
            <v>緑ボムパネルドロップ</v>
          </cell>
          <cell r="D221" t="str">
            <v>自身が先頭の時、緑パネルを低確率で緑ボムパネルに変換しドロップ</v>
          </cell>
        </row>
        <row r="222">
          <cell r="A222">
            <v>2403</v>
          </cell>
          <cell r="B222" t="str">
            <v>ja</v>
          </cell>
          <cell r="C222" t="str">
            <v>青ボムパネルドロップ</v>
          </cell>
          <cell r="D222" t="str">
            <v>自身が先頭の時、青パネルを確率で青ボムパネルに変換しドロップ</v>
          </cell>
        </row>
        <row r="223">
          <cell r="A223">
            <v>2500</v>
          </cell>
          <cell r="B223" t="str">
            <v>ja</v>
          </cell>
          <cell r="C223" t="str">
            <v>青パネルドロップ</v>
          </cell>
          <cell r="D223" t="str">
            <v>自身が先頭の時、緑パネルを確率で青パネルに変換しドロップ</v>
          </cell>
        </row>
        <row r="224">
          <cell r="A224">
            <v>2501</v>
          </cell>
          <cell r="B224" t="str">
            <v>ja</v>
          </cell>
          <cell r="C224" t="str">
            <v>黄パネルドロップ</v>
          </cell>
          <cell r="D224" t="str">
            <v>自身が先頭の時、青パネルを確率で黄パネルに変換しドロップ</v>
          </cell>
        </row>
        <row r="225">
          <cell r="A225">
            <v>2502</v>
          </cell>
          <cell r="B225" t="str">
            <v>ja</v>
          </cell>
          <cell r="C225" t="str">
            <v>赤パネルドロップ</v>
          </cell>
          <cell r="D225" t="str">
            <v>自身が先頭の時、黄パネルを確率で赤パネルに変換しドロップ</v>
          </cell>
        </row>
        <row r="226">
          <cell r="A226">
            <v>2503</v>
          </cell>
          <cell r="B226" t="str">
            <v>ja</v>
          </cell>
          <cell r="C226" t="str">
            <v>黄パネルドロップ</v>
          </cell>
          <cell r="D226" t="str">
            <v>自身が先頭の時、赤パネルを確率で黄パネルに変換しドロップ</v>
          </cell>
        </row>
        <row r="227">
          <cell r="A227">
            <v>2504</v>
          </cell>
          <cell r="B227" t="str">
            <v>ja</v>
          </cell>
          <cell r="C227" t="str">
            <v>SCパネルドロップ</v>
          </cell>
          <cell r="D227" t="str">
            <v>自身が先頭の時、緑パネルを確率でSCパネルに変換しドロップ</v>
          </cell>
        </row>
        <row r="228">
          <cell r="A228">
            <v>2505</v>
          </cell>
          <cell r="B228" t="str">
            <v>ja</v>
          </cell>
          <cell r="C228" t="str">
            <v>緑ボムパネル(大)ドロップ</v>
          </cell>
          <cell r="D228" t="str">
            <v>自身が先頭の時、低確率で緑ボムパネル(大)をドロップ</v>
          </cell>
        </row>
        <row r="229">
          <cell r="A229">
            <v>2506</v>
          </cell>
          <cell r="B229" t="str">
            <v>ja</v>
          </cell>
          <cell r="C229" t="str">
            <v>ハートボムパネル(大)ドロップ</v>
          </cell>
          <cell r="D229" t="str">
            <v>自身が先頭の時、低確率でハートボムパネル(大)をドロップ</v>
          </cell>
        </row>
        <row r="230">
          <cell r="A230">
            <v>2507</v>
          </cell>
          <cell r="B230" t="str">
            <v>ja</v>
          </cell>
          <cell r="C230" t="str">
            <v>Cパネルドロップ</v>
          </cell>
          <cell r="D230" t="str">
            <v>自身が先頭の時、低確率でCパネルをドロップ</v>
          </cell>
        </row>
        <row r="231">
          <cell r="A231">
            <v>2508</v>
          </cell>
          <cell r="B231" t="str">
            <v>ja</v>
          </cell>
          <cell r="C231" t="str">
            <v>黄パネルドロップ</v>
          </cell>
          <cell r="D231" t="str">
            <v>自身が先頭の時、緑パネルを確率で黄パネルに変換しドロップ</v>
          </cell>
        </row>
        <row r="232">
          <cell r="A232">
            <v>2509</v>
          </cell>
          <cell r="B232" t="str">
            <v>ja</v>
          </cell>
          <cell r="C232" t="str">
            <v>赤ボムパネル(大)ドロップ</v>
          </cell>
          <cell r="D232" t="str">
            <v>自身が先頭の時、低確率で赤ボムパネル(大)をドロップ</v>
          </cell>
        </row>
        <row r="233">
          <cell r="A233">
            <v>2510</v>
          </cell>
          <cell r="B233" t="str">
            <v>ja</v>
          </cell>
          <cell r="C233" t="str">
            <v>青ボムパネル(大)ドロップ</v>
          </cell>
          <cell r="D233" t="str">
            <v>自身が先頭の時、低確率で青ボムパネル(大)をドロップ</v>
          </cell>
        </row>
        <row r="234">
          <cell r="A234">
            <v>2511</v>
          </cell>
          <cell r="B234" t="str">
            <v>ja</v>
          </cell>
          <cell r="C234" t="str">
            <v>緑ボムパネルドロップ</v>
          </cell>
          <cell r="D234" t="str">
            <v>自身が先頭の時、ハートパネルを確率で緑ボムパネルに変換しドロップ</v>
          </cell>
        </row>
        <row r="235">
          <cell r="A235">
            <v>2512</v>
          </cell>
          <cell r="B235" t="str">
            <v>ja</v>
          </cell>
          <cell r="C235" t="str">
            <v>ハートボムパネル(大)ドロップ</v>
          </cell>
          <cell r="D235" t="str">
            <v>自身が先頭の時、低確率でハートボムパネル(大)をドロップ</v>
          </cell>
        </row>
        <row r="236">
          <cell r="A236">
            <v>2513</v>
          </cell>
          <cell r="B236" t="str">
            <v>ja</v>
          </cell>
          <cell r="C236" t="str">
            <v>緑ボムパネル(大)ドロップ</v>
          </cell>
          <cell r="D236" t="str">
            <v>自身が先頭の時、低確率で緑ボムパネル(大)をドロップ</v>
          </cell>
        </row>
        <row r="237">
          <cell r="A237">
            <v>2514</v>
          </cell>
          <cell r="B237" t="str">
            <v>ja</v>
          </cell>
          <cell r="C237" t="str">
            <v>赤ボムパネルドロップ</v>
          </cell>
          <cell r="D237" t="str">
            <v>自身が先頭の時、青パネルを低確率で赤ボムパネルに変換しドロップ</v>
          </cell>
        </row>
        <row r="238">
          <cell r="A238">
            <v>2600</v>
          </cell>
          <cell r="B238" t="str">
            <v>ja</v>
          </cell>
          <cell r="C238" t="str">
            <v>回復力400UP</v>
          </cell>
          <cell r="D238" t="str">
            <v>自身の回復力を400UP</v>
          </cell>
        </row>
        <row r="239">
          <cell r="A239">
            <v>2601</v>
          </cell>
          <cell r="B239" t="str">
            <v>ja</v>
          </cell>
          <cell r="C239" t="str">
            <v>回復力300UP</v>
          </cell>
          <cell r="D239" t="str">
            <v>自身の回復力を300UP</v>
          </cell>
        </row>
        <row r="240">
          <cell r="A240">
            <v>2700</v>
          </cell>
          <cell r="B240" t="str">
            <v>ja</v>
          </cell>
          <cell r="C240" t="str">
            <v>攻撃力UP</v>
          </cell>
          <cell r="D240" t="str">
            <v>自身の攻撃力を300UP</v>
          </cell>
        </row>
        <row r="241">
          <cell r="A241">
            <v>2701</v>
          </cell>
          <cell r="B241" t="str">
            <v>ja</v>
          </cell>
          <cell r="C241" t="str">
            <v>攻撃力UP</v>
          </cell>
          <cell r="D241" t="str">
            <v>自身の攻撃力を500UP</v>
          </cell>
        </row>
        <row r="242">
          <cell r="A242">
            <v>2800</v>
          </cell>
          <cell r="B242" t="str">
            <v>ja</v>
          </cell>
          <cell r="C242" t="str">
            <v>防御力UP</v>
          </cell>
          <cell r="D242" t="str">
            <v>自身の防御力を250UP</v>
          </cell>
        </row>
        <row r="243">
          <cell r="A243">
            <v>2801</v>
          </cell>
          <cell r="B243" t="str">
            <v>ja</v>
          </cell>
          <cell r="C243" t="str">
            <v>防御力UP</v>
          </cell>
          <cell r="D243" t="str">
            <v>自身の防御力を350UP</v>
          </cell>
        </row>
        <row r="244">
          <cell r="A244">
            <v>2802</v>
          </cell>
          <cell r="B244" t="str">
            <v>ja</v>
          </cell>
          <cell r="C244" t="str">
            <v>防御力UP</v>
          </cell>
          <cell r="D244" t="str">
            <v>自身の防御力を300UP</v>
          </cell>
        </row>
        <row r="245">
          <cell r="A245">
            <v>2803</v>
          </cell>
          <cell r="B245" t="str">
            <v>ja</v>
          </cell>
          <cell r="C245" t="str">
            <v>防御力UP</v>
          </cell>
          <cell r="D245" t="str">
            <v>自身の防御力を400UP</v>
          </cell>
        </row>
        <row r="246">
          <cell r="A246">
            <v>2804</v>
          </cell>
          <cell r="B246" t="str">
            <v>ja</v>
          </cell>
          <cell r="C246" t="str">
            <v>防御力UP</v>
          </cell>
          <cell r="D246" t="str">
            <v>自身の防御力を280UP</v>
          </cell>
        </row>
        <row r="247">
          <cell r="A247">
            <v>2805</v>
          </cell>
          <cell r="B247" t="str">
            <v>ja</v>
          </cell>
          <cell r="C247" t="str">
            <v>3ターン毎、防御力UP</v>
          </cell>
          <cell r="D247" t="str">
            <v>最初の1ターン目と、その後3ターン毎に1ターン緑属性ユニットの防御力を500UP</v>
          </cell>
        </row>
        <row r="248">
          <cell r="A248">
            <v>2900</v>
          </cell>
          <cell r="B248" t="str">
            <v>ja</v>
          </cell>
          <cell r="C248" t="str">
            <v>フィーバー50 攻撃力小UP</v>
          </cell>
          <cell r="D248" t="str">
            <v>フィーバーゲージが50％以上の時、自身の攻撃力小UP</v>
          </cell>
        </row>
        <row r="249">
          <cell r="A249">
            <v>2901</v>
          </cell>
          <cell r="B249" t="str">
            <v>ja</v>
          </cell>
          <cell r="C249" t="str">
            <v>フィーバー40 攻撃力UP</v>
          </cell>
          <cell r="D249" t="str">
            <v>フィーバーゲージが40％以上の時、自身の攻撃力UP</v>
          </cell>
        </row>
        <row r="250">
          <cell r="A250">
            <v>2902</v>
          </cell>
          <cell r="B250" t="str">
            <v>ja</v>
          </cell>
          <cell r="C250" t="str">
            <v>フィーバー80 攻撃力大UP</v>
          </cell>
          <cell r="D250" t="str">
            <v>フィーバーゲージが80％以上の時、自身の攻撃力大UP</v>
          </cell>
        </row>
        <row r="251">
          <cell r="A251">
            <v>2903</v>
          </cell>
          <cell r="B251" t="str">
            <v>ja</v>
          </cell>
          <cell r="C251" t="str">
            <v>フィーバー100 攻撃参加</v>
          </cell>
          <cell r="D251" t="str">
            <v>フィーバーゲージが100％の時、自身が先頭以外でも通常攻撃に参加する</v>
          </cell>
        </row>
        <row r="252">
          <cell r="A252">
            <v>2904</v>
          </cell>
          <cell r="B252" t="str">
            <v>ja</v>
          </cell>
          <cell r="C252" t="str">
            <v>フィーバー70 HP回復</v>
          </cell>
          <cell r="D252" t="str">
            <v>フィーバーゲージが70%以上の時、毎ターン終了時、HPを1500回復する</v>
          </cell>
        </row>
        <row r="253">
          <cell r="A253">
            <v>2905</v>
          </cell>
          <cell r="B253" t="str">
            <v>ja</v>
          </cell>
          <cell r="C253" t="str">
            <v>フィーバー100 Cパネル生成短縮</v>
          </cell>
          <cell r="D253" t="str">
            <v>フィーバーゲージが100％の時、全ユニットのCパネル生成に必要なチェイン数を1短縮する</v>
          </cell>
        </row>
        <row r="254">
          <cell r="A254">
            <v>3000</v>
          </cell>
          <cell r="B254" t="str">
            <v>ja</v>
          </cell>
          <cell r="C254" t="str">
            <v>7ターン毎、攻撃参加</v>
          </cell>
          <cell r="D254" t="str">
            <v>最初の1ターン目と、その後7ターン毎に自身が先頭以外でも通常攻撃に参加する</v>
          </cell>
        </row>
        <row r="255">
          <cell r="A255">
            <v>3001</v>
          </cell>
          <cell r="B255" t="str">
            <v>ja</v>
          </cell>
          <cell r="C255" t="str">
            <v>6ターン毎、攻撃参加</v>
          </cell>
          <cell r="D255" t="str">
            <v>最初の1ターン目と、その後6ターン毎に自身が先頭以外でも通常攻撃に参加する</v>
          </cell>
        </row>
        <row r="256">
          <cell r="A256">
            <v>3002</v>
          </cell>
          <cell r="B256" t="str">
            <v>ja</v>
          </cell>
          <cell r="C256" t="str">
            <v>9ターン毎、攻撃参加</v>
          </cell>
          <cell r="D256" t="str">
            <v>最初の1ターン目と、その後9ターン毎に自身が先頭以外でも通常攻撃に参加する</v>
          </cell>
        </row>
        <row r="257">
          <cell r="A257">
            <v>3100</v>
          </cell>
          <cell r="B257" t="str">
            <v>ja</v>
          </cell>
          <cell r="C257" t="str">
            <v>最終フロア Cパネル生成短縮(特大)</v>
          </cell>
          <cell r="D257" t="str">
            <v>最終フロア内で自身が先頭の時、Cパネル生成に必要なチェイン数を4短縮する</v>
          </cell>
        </row>
        <row r="258">
          <cell r="A258">
            <v>3101</v>
          </cell>
          <cell r="B258" t="str">
            <v>ja</v>
          </cell>
          <cell r="C258" t="str">
            <v>最終フロア バリア3000</v>
          </cell>
          <cell r="D258" t="str">
            <v>最終フロア到達時に自身への直接ダメージを3000まで防ぐバリアを一度だけ展開(バリアは破壊されると復活しない)</v>
          </cell>
        </row>
        <row r="259">
          <cell r="A259">
            <v>3102</v>
          </cell>
          <cell r="B259" t="str">
            <v>ja</v>
          </cell>
          <cell r="C259" t="str">
            <v>最終フロア時 Cスキル威力UP</v>
          </cell>
          <cell r="D259" t="str">
            <v>最終フロアの1ターン目終了時に自身のCスキルの威力をUP</v>
          </cell>
        </row>
        <row r="260">
          <cell r="A260">
            <v>3103</v>
          </cell>
          <cell r="B260" t="str">
            <v>ja</v>
          </cell>
          <cell r="C260" t="str">
            <v>最終フロア 攻撃力UP</v>
          </cell>
          <cell r="D260" t="str">
            <v>最終フロア内で自身の攻撃力を700UP</v>
          </cell>
        </row>
        <row r="261">
          <cell r="A261">
            <v>3104</v>
          </cell>
          <cell r="B261" t="str">
            <v>ja</v>
          </cell>
          <cell r="C261" t="str">
            <v>最終フロア時 バリア5000</v>
          </cell>
          <cell r="D261" t="str">
            <v>最終フロア到達時に自身への直接ダメージを5000まで防ぐバリアを一度だけ展開(バリアは破壊されると復活しない)</v>
          </cell>
        </row>
        <row r="262">
          <cell r="A262">
            <v>3105</v>
          </cell>
          <cell r="B262" t="str">
            <v>ja</v>
          </cell>
          <cell r="C262" t="str">
            <v>最終フロア時 バリア7000</v>
          </cell>
          <cell r="D262" t="str">
            <v>最終フロア到達時に自身への直接ダメージを7000まで防ぐバリアを一度だけ展開(バリアは破壊されると復活しない)</v>
          </cell>
        </row>
        <row r="263">
          <cell r="A263">
            <v>3106</v>
          </cell>
          <cell r="B263" t="str">
            <v>ja</v>
          </cell>
          <cell r="C263" t="str">
            <v>最終フロア時 HP回復</v>
          </cell>
          <cell r="D263" t="str">
            <v>最終フロア到達時にパーティの合計HPの60％を回復する</v>
          </cell>
        </row>
        <row r="264">
          <cell r="A264">
            <v>3107</v>
          </cell>
          <cell r="B264" t="str">
            <v>ja</v>
          </cell>
          <cell r="C264" t="str">
            <v>フロア タップ増加</v>
          </cell>
          <cell r="D264" t="str">
            <v>フロア到着時、1ターン自身のタップ回数1増加</v>
          </cell>
        </row>
        <row r="265">
          <cell r="A265">
            <v>3200</v>
          </cell>
          <cell r="B265" t="str">
            <v>ja</v>
          </cell>
          <cell r="C265" t="str">
            <v>HP33%以下 攻撃力UP</v>
          </cell>
          <cell r="D265" t="str">
            <v>自身が先頭の時、残りHPが33%以下で攻撃力特大UP</v>
          </cell>
        </row>
        <row r="266">
          <cell r="A266">
            <v>3201</v>
          </cell>
          <cell r="B266" t="str">
            <v>ja</v>
          </cell>
          <cell r="C266" t="str">
            <v>HP35%以下 回復力UP</v>
          </cell>
          <cell r="D266" t="str">
            <v>自身が先頭の時、残りHPが35%以下で回復力40%UP</v>
          </cell>
        </row>
        <row r="267">
          <cell r="A267">
            <v>3202</v>
          </cell>
          <cell r="B267" t="str">
            <v>ja</v>
          </cell>
          <cell r="C267" t="str">
            <v>HP90%以上 全属性耐性15</v>
          </cell>
          <cell r="D267" t="str">
            <v>自身が先頭の時、残りHPが90%以上で全ユニットに対する全属性の敵からの攻撃を15％軽減</v>
          </cell>
        </row>
        <row r="268">
          <cell r="A268">
            <v>3203</v>
          </cell>
          <cell r="B268" t="str">
            <v>ja</v>
          </cell>
          <cell r="C268" t="str">
            <v>HP50%以下 防御力UP</v>
          </cell>
          <cell r="D268" t="str">
            <v>自身が先頭の時、残りHPが50%以下で防御力398UP</v>
          </cell>
        </row>
        <row r="269">
          <cell r="A269">
            <v>3204</v>
          </cell>
          <cell r="B269" t="str">
            <v>ja</v>
          </cell>
          <cell r="C269" t="str">
            <v>HP30%以下 攻撃力大UP</v>
          </cell>
          <cell r="D269" t="str">
            <v>自身が先頭の時、残りHPが30%以下で攻撃力大UP</v>
          </cell>
        </row>
        <row r="270">
          <cell r="A270">
            <v>3205</v>
          </cell>
          <cell r="B270" t="str">
            <v>ja</v>
          </cell>
          <cell r="C270" t="str">
            <v>HP90%以上 ダメージ軽減</v>
          </cell>
          <cell r="D270" t="str">
            <v>残りHPが90%以上の時、全ユニットが敵からの攻撃を15％軽減</v>
          </cell>
        </row>
        <row r="271">
          <cell r="A271">
            <v>3206</v>
          </cell>
          <cell r="B271" t="str">
            <v>ja</v>
          </cell>
          <cell r="C271" t="str">
            <v>HP30%以下 回復力UP</v>
          </cell>
          <cell r="D271" t="str">
            <v>残りHPが30%以下の時、全ユニットの回復力20%UP</v>
          </cell>
        </row>
        <row r="272">
          <cell r="A272">
            <v>3207</v>
          </cell>
          <cell r="B272" t="str">
            <v>ja</v>
          </cell>
          <cell r="C272" t="str">
            <v>HP50%以下 回復力UP</v>
          </cell>
          <cell r="D272" t="str">
            <v>残りHPが50%以下の時、全ユニットの回復力365UP</v>
          </cell>
        </row>
        <row r="273">
          <cell r="A273">
            <v>3208</v>
          </cell>
          <cell r="B273" t="str">
            <v>ja</v>
          </cell>
          <cell r="C273" t="str">
            <v>HP35%以下 防御力UP</v>
          </cell>
          <cell r="D273" t="str">
            <v>残りHPが35%以下の時、自身の防御力800UP</v>
          </cell>
        </row>
        <row r="274">
          <cell r="A274">
            <v>4000</v>
          </cell>
          <cell r="B274" t="str">
            <v>ja</v>
          </cell>
          <cell r="C274" t="str">
            <v>被ダメージ時 HP回復</v>
          </cell>
          <cell r="D274" t="str">
            <v>自身が攻撃を受けた場合、次のターンの開始時にHP500回復する</v>
          </cell>
        </row>
        <row r="275">
          <cell r="A275">
            <v>5000</v>
          </cell>
          <cell r="B275" t="str">
            <v>ja</v>
          </cell>
          <cell r="C275" t="str">
            <v>パーティー内ゴッド 攻撃力UP</v>
          </cell>
          <cell r="D275" t="str">
            <v>パーティー内に種族ゴッドがいる時、全ユニットの攻撃力を500UP</v>
          </cell>
        </row>
        <row r="276">
          <cell r="A276">
            <v>5001</v>
          </cell>
          <cell r="B276" t="str">
            <v>ja</v>
          </cell>
          <cell r="C276" t="str">
            <v>パーティー内バランス 回復力UP</v>
          </cell>
          <cell r="D276" t="str">
            <v>パーティー内にバランスタイプがいる時、全ユニットの回復力を500UP</v>
          </cell>
        </row>
        <row r="277">
          <cell r="A277">
            <v>5002</v>
          </cell>
          <cell r="B277" t="str">
            <v>ja</v>
          </cell>
          <cell r="C277" t="str">
            <v>パーティー内青属性 攻撃力UP</v>
          </cell>
          <cell r="D277" t="str">
            <v>パーティー内に青属性ユニットがいる時、全ユニットの攻撃力を700UP</v>
          </cell>
        </row>
        <row r="278">
          <cell r="A278">
            <v>5003</v>
          </cell>
          <cell r="B278" t="str">
            <v>ja</v>
          </cell>
          <cell r="C278" t="str">
            <v>パーティー内赤属性 自身攻撃力UP</v>
          </cell>
          <cell r="D278" t="str">
            <v>パーティー内に赤属性ユニットがいる時、自身の攻撃力を1500UP</v>
          </cell>
        </row>
        <row r="279">
          <cell r="A279">
            <v>8000</v>
          </cell>
          <cell r="B279" t="str">
            <v>ja</v>
          </cell>
          <cell r="C279" t="str">
            <v>ユニットが一番右にいるとき 攻撃力UP</v>
          </cell>
          <cell r="D279" t="str">
            <v>自身が一番右にいる場合、全ユニットの攻撃力UP</v>
          </cell>
        </row>
        <row r="280">
          <cell r="A280">
            <v>8001</v>
          </cell>
          <cell r="B280" t="str">
            <v>ja</v>
          </cell>
          <cell r="C280" t="str">
            <v>敵に青属性がいる場合 小カウンター</v>
          </cell>
          <cell r="D280" t="str">
            <v>敵に青属性がいる場合、小カウンター</v>
          </cell>
        </row>
        <row r="281">
          <cell r="A281">
            <v>8002</v>
          </cell>
          <cell r="B281" t="str">
            <v>ja</v>
          </cell>
          <cell r="C281" t="str">
            <v>テスト</v>
          </cell>
          <cell r="D281" t="str">
            <v>フロアスタート時、1ターン全ユニットの攻撃力UP</v>
          </cell>
        </row>
        <row r="282">
          <cell r="A282">
            <v>8003</v>
          </cell>
          <cell r="B282" t="str">
            <v>ja</v>
          </cell>
          <cell r="C282" t="str">
            <v>HP70%以上 ウィルス無効</v>
          </cell>
          <cell r="D282" t="str">
            <v>残りHPが70%以上で自身にかかるウィルスを無効化する</v>
          </cell>
        </row>
        <row r="283">
          <cell r="A283">
            <v>8004</v>
          </cell>
          <cell r="B283" t="str">
            <v>ja</v>
          </cell>
          <cell r="C283" t="str">
            <v>フロアスタート時 スキルブースト</v>
          </cell>
          <cell r="D283" t="str">
            <v>フロアスタート時、1ターンスキルブースト</v>
          </cell>
        </row>
        <row r="284">
          <cell r="A284">
            <v>8005</v>
          </cell>
          <cell r="B284" t="str">
            <v>ja</v>
          </cell>
          <cell r="C284" t="str">
            <v>ハートがハートボム大</v>
          </cell>
          <cell r="D284" t="str">
            <v>ハートがハートボム大</v>
          </cell>
        </row>
        <row r="285">
          <cell r="A285">
            <v>8006</v>
          </cell>
          <cell r="B285" t="str">
            <v>ja</v>
          </cell>
          <cell r="C285" t="str">
            <v>攻撃、回復、体力のCP短縮1</v>
          </cell>
          <cell r="D285" t="str">
            <v>攻撃、回復、体力のCP短縮1</v>
          </cell>
        </row>
        <row r="286">
          <cell r="A286">
            <v>8007</v>
          </cell>
          <cell r="B286" t="str">
            <v>ja</v>
          </cell>
          <cell r="C286" t="str">
            <v>自身の左ユニットが攻撃参加</v>
          </cell>
          <cell r="D286" t="str">
            <v>自身の左ユニットが攻撃参加</v>
          </cell>
        </row>
        <row r="287">
          <cell r="A287">
            <v>8008</v>
          </cell>
          <cell r="B287" t="str">
            <v>ja</v>
          </cell>
          <cell r="C287" t="str">
            <v>ターン経過回復力UP</v>
          </cell>
          <cell r="D287" t="str">
            <v>最初の1ターン目と、その後4ターン毎に2ターン全ユニットの回復力を1500UP</v>
          </cell>
        </row>
        <row r="288">
          <cell r="A288">
            <v>8009</v>
          </cell>
          <cell r="B288" t="str">
            <v>ja</v>
          </cell>
          <cell r="C288" t="str">
            <v>最終フロア Cパネル生成短縮(特大)</v>
          </cell>
          <cell r="D288" t="str">
            <v>最終フロア内で自身が先頭の時、Cパネル生成に必要なチェイン数を4短縮する</v>
          </cell>
        </row>
        <row r="289">
          <cell r="A289">
            <v>9000</v>
          </cell>
          <cell r="B289" t="str">
            <v>ja</v>
          </cell>
          <cell r="C289" t="str">
            <v>ハップルチャレンジ ダメージUP</v>
          </cell>
          <cell r="D289" t="str">
            <v>ハップルチャレンジ内で自身の全ての攻撃の威力をUP</v>
          </cell>
        </row>
        <row r="290">
          <cell r="A290">
            <v>9001</v>
          </cell>
          <cell r="B290" t="str">
            <v>ja</v>
          </cell>
          <cell r="C290" t="str">
            <v>クロネッカーチャレンジ ダメージUP</v>
          </cell>
          <cell r="D290" t="str">
            <v>クロネッカーチャレンジ内で自身の全ての攻撃の威力をUP</v>
          </cell>
        </row>
        <row r="291">
          <cell r="A291">
            <v>9002</v>
          </cell>
          <cell r="B291" t="str">
            <v>ja</v>
          </cell>
          <cell r="C291" t="str">
            <v>クロネッカーチャレンジ ダメージUP</v>
          </cell>
          <cell r="D291" t="str">
            <v>クロネッカーチャレンジ内で自身の全ての攻撃+カウンターの威力をUP</v>
          </cell>
        </row>
        <row r="292">
          <cell r="A292">
            <v>9003</v>
          </cell>
          <cell r="B292" t="str">
            <v>ja</v>
          </cell>
          <cell r="C292" t="str">
            <v>オイラーチャレンジ ダメージUP</v>
          </cell>
          <cell r="D292" t="str">
            <v>オイラーチャレンジ内で自身の全ての攻撃の威力をUP</v>
          </cell>
        </row>
        <row r="293">
          <cell r="A293">
            <v>9004</v>
          </cell>
          <cell r="B293" t="str">
            <v>ja</v>
          </cell>
          <cell r="C293" t="str">
            <v>オイラーチャレンジ ダメージ究極UP</v>
          </cell>
          <cell r="D293" t="str">
            <v>オイラーチャレンジ内で自身の全ての攻撃の威力を究極UP</v>
          </cell>
        </row>
        <row r="294">
          <cell r="A294">
            <v>9005</v>
          </cell>
          <cell r="B294" t="str">
            <v>ja</v>
          </cell>
          <cell r="C294" t="str">
            <v>ヘンペルチャレンジ ダメージUP</v>
          </cell>
          <cell r="D294" t="str">
            <v>ヘンペルチャレンジ内で自身の全ての攻撃の威力をUP</v>
          </cell>
        </row>
        <row r="295">
          <cell r="A295">
            <v>9006</v>
          </cell>
          <cell r="B295" t="str">
            <v>ja</v>
          </cell>
          <cell r="C295" t="str">
            <v>ヘンペルチャレンジ ダメージUP</v>
          </cell>
          <cell r="D295" t="str">
            <v>ヘンペルチャレンジ内で自身の全ての攻撃+カウンターの威力をUP</v>
          </cell>
        </row>
        <row r="296">
          <cell r="A296">
            <v>9007</v>
          </cell>
          <cell r="B296" t="str">
            <v>ja</v>
          </cell>
          <cell r="C296" t="str">
            <v>フロイトチャレンジ ダメージ究極UP</v>
          </cell>
          <cell r="D296" t="str">
            <v>フロイトチャレンジ内で自身の全ての攻撃の威力を究極UP</v>
          </cell>
        </row>
        <row r="297">
          <cell r="A297">
            <v>9008</v>
          </cell>
          <cell r="B297" t="str">
            <v>ja</v>
          </cell>
          <cell r="C297" t="str">
            <v>フロイトチャレンジ ダメージUP</v>
          </cell>
          <cell r="D297" t="str">
            <v>フロイトチャレンジ内で自身の全ての攻撃の威力をUP</v>
          </cell>
        </row>
        <row r="298">
          <cell r="A298">
            <v>9009</v>
          </cell>
          <cell r="B298" t="str">
            <v>ja</v>
          </cell>
          <cell r="C298" t="str">
            <v>フロイトチャレンジ ダメージUP</v>
          </cell>
          <cell r="D298" t="str">
            <v>フロイトチャレンジ内で自身の全ての攻撃+カウンターの威力をUP</v>
          </cell>
        </row>
        <row r="299">
          <cell r="A299">
            <v>119402</v>
          </cell>
          <cell r="B299" t="str">
            <v>ja</v>
          </cell>
          <cell r="C299" t="str">
            <v>ハロウィンナイトパニック！ 威力UP</v>
          </cell>
          <cell r="D299" t="str">
            <v>ハロウィンナイトパニック！内で自身の全ての攻撃の威力を究極UP</v>
          </cell>
        </row>
        <row r="300">
          <cell r="A300">
            <v>500801</v>
          </cell>
          <cell r="B300" t="str">
            <v>ja</v>
          </cell>
          <cell r="C300" t="str">
            <v>パネルブレイク35 攻撃力小UP</v>
          </cell>
          <cell r="D300" t="str">
            <v>自身が先頭の時、1ターンの間に合計35個以上パネルを破壊した場合に攻撃力小UP</v>
          </cell>
        </row>
        <row r="301">
          <cell r="A301">
            <v>808082</v>
          </cell>
          <cell r="B301" t="str">
            <v>ja</v>
          </cell>
          <cell r="C301" t="str">
            <v>Cパネルドロップ</v>
          </cell>
          <cell r="D301" t="str">
            <v>自身が先頭の時、低確率でCパネルをドロップ</v>
          </cell>
        </row>
        <row r="302">
          <cell r="A302">
            <v>900000</v>
          </cell>
          <cell r="B302" t="str">
            <v>ja</v>
          </cell>
          <cell r="C302" t="str">
            <v>フィーバー100 プロテクトブレイク</v>
          </cell>
          <cell r="D302" t="str">
            <v>フィーバーゲージが100％以上の時、1ターンプロテクトブレイク</v>
          </cell>
        </row>
        <row r="303">
          <cell r="A303">
            <v>900001</v>
          </cell>
          <cell r="B303" t="str">
            <v>ja</v>
          </cell>
          <cell r="C303" t="str">
            <v>フィーバー100 お邪魔ブレイク</v>
          </cell>
          <cell r="D303" t="str">
            <v>フィーバーゲージが100％以上の時、1ターンお邪魔ブレイク</v>
          </cell>
        </row>
        <row r="304">
          <cell r="A304">
            <v>900402</v>
          </cell>
          <cell r="B304" t="str">
            <v>ja</v>
          </cell>
          <cell r="C304" t="str">
            <v>バリア3500</v>
          </cell>
          <cell r="D304" t="str">
            <v>戦闘開始時に、自身への直接ダメージを3500まで防ぐバリアを一度だけ展開(バリアは破壊されると復活しない)</v>
          </cell>
        </row>
        <row r="305">
          <cell r="A305">
            <v>810202</v>
          </cell>
          <cell r="B305" t="str">
            <v>ja</v>
          </cell>
          <cell r="C305" t="str">
            <v>パネルブレイク50 ダメージ軽減</v>
          </cell>
          <cell r="D305" t="str">
            <v>自身が先頭の時、1ターンの間に合計50個以上パネルを破壊した場合敵からのダメージを15%軽減（1ターンに1度だけ発動）</v>
          </cell>
        </row>
        <row r="306">
          <cell r="A306">
            <v>811802</v>
          </cell>
          <cell r="B306" t="str">
            <v>ja</v>
          </cell>
          <cell r="C306" t="str">
            <v>ターン攻撃力UP</v>
          </cell>
          <cell r="D306" t="str">
            <v>最初の1ターン目と、その後6ターン毎に1ターン種族ドラゴン・ファンタジー・アニマルの攻撃力1000UP</v>
          </cell>
        </row>
        <row r="307">
          <cell r="A307">
            <v>812002</v>
          </cell>
          <cell r="B307" t="str">
            <v>ja</v>
          </cell>
          <cell r="C307" t="str">
            <v>ターンタップ増加</v>
          </cell>
          <cell r="D307" t="str">
            <v>最初の1ターン目と、その後6ターン毎に1ターン種族ドラゴン・ファンタジー・アニマルのタップ数1増加</v>
          </cell>
        </row>
        <row r="308">
          <cell r="A308">
            <v>811803</v>
          </cell>
          <cell r="B308" t="str">
            <v>ja</v>
          </cell>
          <cell r="C308" t="str">
            <v>端午クエスト ダメージUP</v>
          </cell>
          <cell r="D308" t="str">
            <v>端午クエスト内で自身の全ての攻撃の威力をUP</v>
          </cell>
        </row>
        <row r="309">
          <cell r="A309">
            <v>900802</v>
          </cell>
          <cell r="B309" t="str">
            <v>ja</v>
          </cell>
          <cell r="C309" t="str">
            <v>ターン攻撃力UP</v>
          </cell>
          <cell r="D309" t="str">
            <v>最初の1ターン目と、その後7ターン毎に1ターン赤属性の攻撃力777UP</v>
          </cell>
        </row>
        <row r="310">
          <cell r="A310">
            <v>9007</v>
          </cell>
          <cell r="B310" t="str">
            <v>ja</v>
          </cell>
          <cell r="C310" t="str">
            <v>フロイトチャレンジ ダメージ究極UP</v>
          </cell>
          <cell r="D310" t="str">
            <v>フロイトチャレンジ内で自身の全ての攻撃の威力を究極UP</v>
          </cell>
        </row>
        <row r="311">
          <cell r="A311">
            <v>9008</v>
          </cell>
          <cell r="B311" t="str">
            <v>ja</v>
          </cell>
          <cell r="C311" t="str">
            <v>フロイトチャレンジ ダメージUP</v>
          </cell>
          <cell r="D311" t="str">
            <v>フロイトチャレンジ内で自身の全ての攻撃の威力をUP</v>
          </cell>
        </row>
        <row r="312">
          <cell r="A312">
            <v>9009</v>
          </cell>
          <cell r="B312" t="str">
            <v>ja</v>
          </cell>
          <cell r="C312" t="str">
            <v>フロイトチャレンジ ダメージUP</v>
          </cell>
          <cell r="D312" t="str">
            <v>フロイトチャレンジ内で自身の全ての攻撃+カウンターの威力をUP</v>
          </cell>
        </row>
        <row r="313">
          <cell r="A313">
            <v>9010</v>
          </cell>
          <cell r="B313" t="str">
            <v>ja</v>
          </cell>
          <cell r="C313" t="str">
            <v>ウエディングクエスト ダメージUP</v>
          </cell>
          <cell r="D313" t="str">
            <v>ウエディングクエスト内で自身の全ての攻撃の威力をUP</v>
          </cell>
        </row>
        <row r="314">
          <cell r="A314">
            <v>9011</v>
          </cell>
          <cell r="B314" t="str">
            <v>ja</v>
          </cell>
          <cell r="C314" t="str">
            <v>クリスマスクエストダメージ究極UP</v>
          </cell>
          <cell r="D314" t="str">
            <v>クリスマスクエスト内で自身の全ての攻撃の威力を究極UP</v>
          </cell>
        </row>
        <row r="315">
          <cell r="A315">
            <v>9012</v>
          </cell>
          <cell r="B315" t="str">
            <v>ja</v>
          </cell>
          <cell r="C315" t="str">
            <v>ウエディングクエスト ダメージ大UP</v>
          </cell>
          <cell r="D315" t="str">
            <v>ウエディングクエスト内で自身の全ての攻撃の威力を大UP</v>
          </cell>
        </row>
        <row r="316">
          <cell r="A316">
            <v>9013</v>
          </cell>
          <cell r="B316" t="str">
            <v>ja</v>
          </cell>
          <cell r="C316" t="str">
            <v>ラグランジュチャレンジ ダメージUP</v>
          </cell>
          <cell r="D316" t="str">
            <v>ラグランジュチャレンジ内で自身の全ての攻撃の威力をUP</v>
          </cell>
        </row>
        <row r="317">
          <cell r="A317">
            <v>9014</v>
          </cell>
          <cell r="B317" t="str">
            <v>ja</v>
          </cell>
          <cell r="C317" t="str">
            <v>ラグランジュチャレンジ ダメージ究極UP</v>
          </cell>
          <cell r="D317" t="str">
            <v>ラグランジュチャレンジ内で自身の全ての攻撃の威力を究極UP</v>
          </cell>
        </row>
        <row r="318">
          <cell r="A318">
            <v>9015</v>
          </cell>
          <cell r="B318" t="str">
            <v>ja</v>
          </cell>
          <cell r="C318" t="str">
            <v>ラグランジュチャレンジ ダメージUP</v>
          </cell>
          <cell r="D318" t="str">
            <v>ラグランジュチャレンジ内で自身の全ての攻撃+カウンターの威力をUP</v>
          </cell>
        </row>
        <row r="319">
          <cell r="A319">
            <v>119402</v>
          </cell>
          <cell r="B319" t="str">
            <v>ja</v>
          </cell>
          <cell r="C319" t="str">
            <v>ハロウィンナイトパニック！ 威力UP</v>
          </cell>
          <cell r="D319" t="str">
            <v>ハロウィンナイトパニック！内で自身の全ての攻撃の威力を究極UP</v>
          </cell>
        </row>
        <row r="320">
          <cell r="A320">
            <v>500801</v>
          </cell>
          <cell r="B320" t="str">
            <v>ja</v>
          </cell>
          <cell r="C320" t="str">
            <v>パネルブレイク35 攻撃力小UP</v>
          </cell>
          <cell r="D320" t="str">
            <v>自身が先頭の時、1ターンの間に合計35個以上パネルを破壊した場合に攻撃力小UP</v>
          </cell>
        </row>
        <row r="321">
          <cell r="A321">
            <v>808082</v>
          </cell>
          <cell r="B321" t="str">
            <v>ja</v>
          </cell>
          <cell r="C321" t="str">
            <v>Cパネルドロップ</v>
          </cell>
          <cell r="D321" t="str">
            <v>自身が先頭の時、低確率でCパネルをドロップ</v>
          </cell>
        </row>
        <row r="322">
          <cell r="A322">
            <v>900000</v>
          </cell>
          <cell r="B322" t="str">
            <v>ja</v>
          </cell>
          <cell r="C322" t="str">
            <v>フィーバー100 プロテクトブレイク</v>
          </cell>
          <cell r="D322" t="str">
            <v>フィーバーゲージが100％以上の時、1ターンプロテクトブレイク</v>
          </cell>
        </row>
        <row r="323">
          <cell r="A323">
            <v>900001</v>
          </cell>
          <cell r="B323" t="str">
            <v>ja</v>
          </cell>
          <cell r="C323" t="str">
            <v>フィーバー100 お邪魔ブレイク</v>
          </cell>
          <cell r="D323" t="str">
            <v>フィーバーゲージが100％以上の時、1ターンお邪魔ブレイク</v>
          </cell>
        </row>
        <row r="324">
          <cell r="A324">
            <v>900402</v>
          </cell>
          <cell r="B324" t="str">
            <v>ja</v>
          </cell>
          <cell r="C324" t="str">
            <v>バリア3500</v>
          </cell>
          <cell r="D324" t="str">
            <v>戦闘開始時に、自身への直接ダメージを3500まで防ぐバリアを一度だけ展開(バリアは破壊されると復活しない)</v>
          </cell>
        </row>
        <row r="325">
          <cell r="A325">
            <v>810202</v>
          </cell>
          <cell r="B325" t="str">
            <v>ja</v>
          </cell>
          <cell r="C325" t="str">
            <v>パネルブレイク50 ダメージ軽減</v>
          </cell>
          <cell r="D325" t="str">
            <v>自身が先頭の時、1ターンの間に合計50個以上パネルを破壊した場合敵からのダメージを15%軽減（1ターンに1度だけ発動）</v>
          </cell>
        </row>
        <row r="326">
          <cell r="A326">
            <v>811802</v>
          </cell>
          <cell r="B326" t="str">
            <v>ja</v>
          </cell>
          <cell r="C326" t="str">
            <v>ターン攻撃力UP</v>
          </cell>
          <cell r="D326" t="str">
            <v>最初の1ターン目と、その後6ターン毎に1ターン種族ドラゴン・ファンタジー・アニマルの攻撃力1000UP</v>
          </cell>
        </row>
        <row r="327">
          <cell r="A327">
            <v>812002</v>
          </cell>
          <cell r="B327" t="str">
            <v>ja</v>
          </cell>
          <cell r="C327" t="str">
            <v>ターンタップ増加</v>
          </cell>
          <cell r="D327" t="str">
            <v>最初の1ターン目と、その後6ターン毎に1ターン種族ドラゴン・ファンタジー・アニマルのタップ数1増加</v>
          </cell>
        </row>
        <row r="328">
          <cell r="A328">
            <v>811803</v>
          </cell>
          <cell r="B328" t="str">
            <v>ja</v>
          </cell>
          <cell r="C328" t="str">
            <v>端午クエスト ダメージUP</v>
          </cell>
          <cell r="D328" t="str">
            <v>端午クエスト内で自身の全ての攻撃の威力をUP</v>
          </cell>
        </row>
        <row r="329">
          <cell r="A329">
            <v>900802</v>
          </cell>
          <cell r="B329" t="str">
            <v>ja</v>
          </cell>
          <cell r="C329" t="str">
            <v>ターン攻撃力UP</v>
          </cell>
          <cell r="D329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3"/>
  <sheetViews>
    <sheetView workbookViewId="0">
      <selection activeCell="S8" sqref="S8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9" x14ac:dyDescent="0.15">
      <c r="A1" s="104" t="s">
        <v>125</v>
      </c>
      <c r="B1" s="104" t="s">
        <v>116</v>
      </c>
      <c r="C1" s="104" t="s">
        <v>117</v>
      </c>
      <c r="D1" s="104" t="s">
        <v>118</v>
      </c>
      <c r="E1" s="104" t="s">
        <v>119</v>
      </c>
      <c r="F1" s="104" t="s">
        <v>120</v>
      </c>
      <c r="G1" s="104" t="s">
        <v>121</v>
      </c>
      <c r="H1" s="104"/>
      <c r="I1" s="104"/>
      <c r="J1" s="104"/>
      <c r="K1" s="104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</row>
    <row r="2" spans="1:29" x14ac:dyDescent="0.15">
      <c r="A2" s="106" t="s">
        <v>252</v>
      </c>
      <c r="B2" s="106" t="s">
        <v>129</v>
      </c>
      <c r="C2" s="164" t="s">
        <v>250</v>
      </c>
      <c r="D2" s="106" t="s">
        <v>128</v>
      </c>
      <c r="E2" s="105" t="str">
        <f>B2&amp;C2&amp;D2</f>
        <v>units_swimmer.tmp</v>
      </c>
      <c r="F2" s="106" t="s">
        <v>124</v>
      </c>
      <c r="G2" s="60" t="s">
        <v>17</v>
      </c>
      <c r="H2" s="61" t="s">
        <v>96</v>
      </c>
      <c r="I2" s="61" t="s">
        <v>1</v>
      </c>
      <c r="J2" s="61" t="s">
        <v>3</v>
      </c>
      <c r="K2" s="61" t="s">
        <v>2</v>
      </c>
      <c r="L2" s="61" t="s">
        <v>98</v>
      </c>
      <c r="M2" s="61" t="s">
        <v>20</v>
      </c>
      <c r="N2" s="61" t="s">
        <v>103</v>
      </c>
      <c r="O2" s="61" t="s">
        <v>101</v>
      </c>
      <c r="P2" s="61" t="s">
        <v>39</v>
      </c>
      <c r="Q2" s="61" t="s">
        <v>57</v>
      </c>
      <c r="R2" s="106" t="s">
        <v>399</v>
      </c>
      <c r="S2" s="106"/>
      <c r="T2" s="106"/>
      <c r="U2" s="106"/>
      <c r="V2" s="106"/>
      <c r="W2" s="106"/>
    </row>
    <row r="3" spans="1:29" x14ac:dyDescent="0.15">
      <c r="A3" s="106" t="s">
        <v>184</v>
      </c>
      <c r="B3" s="106" t="s">
        <v>130</v>
      </c>
      <c r="C3" s="164" t="s">
        <v>250</v>
      </c>
      <c r="D3" s="106" t="s">
        <v>128</v>
      </c>
      <c r="E3" s="105" t="str">
        <f>B3&amp;C3&amp;D3</f>
        <v>awake_materials_swimmer.tmp</v>
      </c>
      <c r="F3" s="106" t="s">
        <v>123</v>
      </c>
      <c r="G3" s="107" t="s">
        <v>38</v>
      </c>
      <c r="H3" s="108" t="s">
        <v>36</v>
      </c>
      <c r="I3" s="108" t="s">
        <v>37</v>
      </c>
      <c r="J3" s="110" t="s">
        <v>126</v>
      </c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</row>
    <row r="4" spans="1:29" x14ac:dyDescent="0.15">
      <c r="A4" s="106" t="s">
        <v>252</v>
      </c>
      <c r="B4" s="106" t="s">
        <v>131</v>
      </c>
      <c r="C4" s="164" t="s">
        <v>250</v>
      </c>
      <c r="D4" s="106" t="s">
        <v>132</v>
      </c>
      <c r="E4" s="105" t="str">
        <f t="shared" ref="E4" si="0">B4&amp;C4&amp;D4</f>
        <v>unit_levels_calc_swimmer.tmp</v>
      </c>
      <c r="F4" s="106" t="s">
        <v>122</v>
      </c>
      <c r="G4" s="56" t="s">
        <v>17</v>
      </c>
      <c r="H4" s="57" t="s">
        <v>2</v>
      </c>
      <c r="I4" s="58" t="s">
        <v>79</v>
      </c>
      <c r="J4" s="58" t="s">
        <v>80</v>
      </c>
      <c r="K4" s="58" t="s">
        <v>81</v>
      </c>
      <c r="L4" s="58" t="s">
        <v>82</v>
      </c>
      <c r="M4" s="58" t="s">
        <v>87</v>
      </c>
      <c r="N4" s="58" t="s">
        <v>88</v>
      </c>
      <c r="O4" s="58" t="s">
        <v>89</v>
      </c>
      <c r="P4" s="58" t="s">
        <v>90</v>
      </c>
      <c r="Q4" s="58" t="s">
        <v>91</v>
      </c>
      <c r="R4" s="58" t="s">
        <v>94</v>
      </c>
      <c r="S4" s="58" t="s">
        <v>92</v>
      </c>
      <c r="T4" s="58" t="s">
        <v>93</v>
      </c>
      <c r="U4" s="58" t="s">
        <v>83</v>
      </c>
      <c r="V4" s="58" t="s">
        <v>84</v>
      </c>
      <c r="W4" s="58" t="s">
        <v>85</v>
      </c>
    </row>
    <row r="5" spans="1:29" x14ac:dyDescent="0.15">
      <c r="A5" s="106" t="s">
        <v>252</v>
      </c>
      <c r="B5" s="106" t="s">
        <v>143</v>
      </c>
      <c r="C5" s="164" t="s">
        <v>250</v>
      </c>
      <c r="D5" s="106" t="s">
        <v>144</v>
      </c>
      <c r="E5" s="105" t="str">
        <f>B5&amp;C5&amp;D5</f>
        <v>unit_skills_data_swimmer.tmp</v>
      </c>
      <c r="F5" s="106" t="s">
        <v>145</v>
      </c>
      <c r="G5" s="114" t="s">
        <v>20</v>
      </c>
      <c r="H5" s="114" t="s">
        <v>146</v>
      </c>
      <c r="I5" s="114" t="s">
        <v>2</v>
      </c>
      <c r="J5" s="114" t="s">
        <v>147</v>
      </c>
      <c r="K5" s="114" t="s">
        <v>148</v>
      </c>
      <c r="L5" s="114" t="s">
        <v>4</v>
      </c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</row>
    <row r="6" spans="1:29" x14ac:dyDescent="0.15">
      <c r="A6" s="106" t="s">
        <v>252</v>
      </c>
      <c r="B6" s="106" t="s">
        <v>149</v>
      </c>
      <c r="C6" s="164" t="s">
        <v>250</v>
      </c>
      <c r="D6" s="106" t="s">
        <v>128</v>
      </c>
      <c r="E6" s="105" t="str">
        <f>B6&amp;C6&amp;D6</f>
        <v>unit_skills_i18n_swimmer.tmp</v>
      </c>
      <c r="F6" s="106" t="s">
        <v>145</v>
      </c>
      <c r="G6" s="114" t="s">
        <v>150</v>
      </c>
      <c r="H6" s="114" t="s">
        <v>134</v>
      </c>
      <c r="I6" s="114" t="s">
        <v>151</v>
      </c>
      <c r="J6" s="114" t="s">
        <v>152</v>
      </c>
      <c r="K6" s="109"/>
      <c r="L6" s="109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</row>
    <row r="7" spans="1:29" x14ac:dyDescent="0.15">
      <c r="A7" s="106" t="s">
        <v>252</v>
      </c>
      <c r="B7" s="106" t="s">
        <v>153</v>
      </c>
      <c r="C7" s="164" t="s">
        <v>250</v>
      </c>
      <c r="D7" s="106" t="s">
        <v>154</v>
      </c>
      <c r="E7" s="105" t="str">
        <f>B7&amp;C7&amp;D7</f>
        <v>crash_skills_data_swimmer.tmp</v>
      </c>
      <c r="F7" s="106" t="s">
        <v>155</v>
      </c>
      <c r="G7" s="114" t="s">
        <v>156</v>
      </c>
      <c r="H7" s="114" t="s">
        <v>148</v>
      </c>
      <c r="I7" s="114" t="s">
        <v>4</v>
      </c>
      <c r="J7" s="109"/>
      <c r="K7" s="109"/>
      <c r="L7" s="109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</row>
    <row r="8" spans="1:29" x14ac:dyDescent="0.15">
      <c r="A8" s="106" t="s">
        <v>252</v>
      </c>
      <c r="B8" s="106" t="s">
        <v>157</v>
      </c>
      <c r="C8" s="164" t="s">
        <v>250</v>
      </c>
      <c r="D8" s="106" t="s">
        <v>158</v>
      </c>
      <c r="E8" s="105" t="str">
        <f t="shared" ref="E8" si="1">B8&amp;C8&amp;D8</f>
        <v>crash_skills_i18n_swimmer.tmp</v>
      </c>
      <c r="F8" s="106" t="s">
        <v>155</v>
      </c>
      <c r="G8" s="114" t="s">
        <v>159</v>
      </c>
      <c r="H8" s="114" t="s">
        <v>160</v>
      </c>
      <c r="I8" s="114" t="s">
        <v>161</v>
      </c>
      <c r="J8" s="114" t="s">
        <v>162</v>
      </c>
      <c r="K8" s="115"/>
      <c r="L8" s="115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29" x14ac:dyDescent="0.15">
      <c r="A9" s="106" t="s">
        <v>252</v>
      </c>
      <c r="B9" s="109" t="s">
        <v>135</v>
      </c>
      <c r="C9" s="164" t="s">
        <v>250</v>
      </c>
      <c r="D9" s="106" t="s">
        <v>158</v>
      </c>
      <c r="E9" s="105" t="str">
        <f t="shared" ref="E9:E10" si="2">B9&amp;C9&amp;D9</f>
        <v>unit_serifs_data_swimmer.tmp</v>
      </c>
      <c r="F9" s="109" t="s">
        <v>137</v>
      </c>
      <c r="G9" s="113" t="s">
        <v>138</v>
      </c>
      <c r="H9" s="114" t="s">
        <v>139</v>
      </c>
      <c r="I9" s="114" t="s">
        <v>133</v>
      </c>
      <c r="J9" s="112" t="s">
        <v>191</v>
      </c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</row>
    <row r="10" spans="1:29" x14ac:dyDescent="0.15">
      <c r="A10" s="106" t="s">
        <v>252</v>
      </c>
      <c r="B10" s="109" t="s">
        <v>136</v>
      </c>
      <c r="C10" s="164" t="s">
        <v>250</v>
      </c>
      <c r="D10" s="106" t="s">
        <v>158</v>
      </c>
      <c r="E10" s="105" t="str">
        <f t="shared" si="2"/>
        <v>unit_serifs_i18n_swimmer.tmp</v>
      </c>
      <c r="F10" s="109" t="s">
        <v>137</v>
      </c>
      <c r="G10" s="113" t="s">
        <v>140</v>
      </c>
      <c r="H10" s="114" t="s">
        <v>141</v>
      </c>
      <c r="I10" s="114" t="s">
        <v>142</v>
      </c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</row>
    <row r="11" spans="1:29" x14ac:dyDescent="0.15">
      <c r="A11" s="106" t="s">
        <v>286</v>
      </c>
      <c r="B11" s="106" t="s">
        <v>284</v>
      </c>
      <c r="C11" s="164" t="s">
        <v>250</v>
      </c>
      <c r="D11" s="106" t="s">
        <v>128</v>
      </c>
      <c r="E11" s="105" t="str">
        <f>B11&amp;C11&amp;D11</f>
        <v>abilities_tmp_swimmer.tmp</v>
      </c>
      <c r="F11" s="106" t="s">
        <v>281</v>
      </c>
      <c r="G11" s="182" t="s">
        <v>278</v>
      </c>
      <c r="H11" s="182" t="s">
        <v>279</v>
      </c>
      <c r="I11" s="182" t="s">
        <v>280</v>
      </c>
      <c r="J11" s="182"/>
      <c r="K11" s="183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  <c r="X11" s="106"/>
      <c r="Y11" s="106"/>
      <c r="Z11" s="106"/>
      <c r="AA11" s="106"/>
      <c r="AB11" s="106"/>
      <c r="AC11" s="106"/>
    </row>
    <row r="12" spans="1:29" x14ac:dyDescent="0.15">
      <c r="A12" s="106" t="s">
        <v>286</v>
      </c>
      <c r="B12" s="106" t="s">
        <v>285</v>
      </c>
      <c r="C12" s="164" t="s">
        <v>250</v>
      </c>
      <c r="D12" s="106" t="s">
        <v>128</v>
      </c>
      <c r="E12" s="105" t="str">
        <f>B12&amp;C12&amp;D12</f>
        <v>abilities_i18n_swimmer.tmp</v>
      </c>
      <c r="F12" s="106" t="s">
        <v>281</v>
      </c>
      <c r="G12" s="182" t="s">
        <v>278</v>
      </c>
      <c r="H12" s="182" t="s">
        <v>134</v>
      </c>
      <c r="I12" s="182" t="s">
        <v>151</v>
      </c>
      <c r="J12" s="182" t="s">
        <v>152</v>
      </c>
      <c r="K12" s="183"/>
      <c r="L12" s="106"/>
      <c r="M12" s="106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6"/>
      <c r="Z12" s="106"/>
      <c r="AA12" s="106"/>
      <c r="AB12" s="106"/>
      <c r="AC12" s="106"/>
    </row>
    <row r="13" spans="1:29" x14ac:dyDescent="0.15">
      <c r="A13" s="106" t="s">
        <v>286</v>
      </c>
      <c r="B13" s="106" t="s">
        <v>282</v>
      </c>
      <c r="C13" s="164" t="s">
        <v>250</v>
      </c>
      <c r="D13" s="106" t="s">
        <v>128</v>
      </c>
      <c r="E13" s="105" t="str">
        <f>B13&amp;C13&amp;D13</f>
        <v>unit_abilities_swimmer.tmp</v>
      </c>
      <c r="F13" s="106" t="s">
        <v>283</v>
      </c>
      <c r="G13" s="182" t="s">
        <v>138</v>
      </c>
      <c r="H13" s="184" t="s">
        <v>268</v>
      </c>
      <c r="I13" s="184" t="s">
        <v>270</v>
      </c>
      <c r="J13" s="185" t="s">
        <v>274</v>
      </c>
      <c r="K13" s="182" t="s">
        <v>276</v>
      </c>
      <c r="L13" s="106"/>
      <c r="M13" s="106"/>
      <c r="N13" s="106"/>
      <c r="O13" s="106"/>
      <c r="P13" s="106"/>
      <c r="Q13" s="106"/>
      <c r="R13" s="106"/>
      <c r="S13" s="106"/>
      <c r="T13" s="106"/>
      <c r="U13" s="106"/>
      <c r="V13" s="106"/>
      <c r="W13" s="106"/>
      <c r="X13" s="106"/>
      <c r="Y13" s="106"/>
      <c r="Z13" s="106"/>
      <c r="AA13" s="106"/>
      <c r="AB13" s="106"/>
      <c r="AC13" s="106"/>
    </row>
  </sheetData>
  <phoneticPr fontId="22"/>
  <dataValidations count="1">
    <dataValidation type="list" allowBlank="1" showInputMessage="1" showErrorMessage="1" sqref="A2:A13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1"/>
  <sheetViews>
    <sheetView showGridLines="0" zoomScaleNormal="130" zoomScalePageLayoutView="130" workbookViewId="0">
      <pane xSplit="9" ySplit="1" topLeftCell="N2" activePane="bottomRight" state="frozen"/>
      <selection pane="topRight" activeCell="J1" sqref="J1"/>
      <selection pane="bottomLeft" activeCell="A3" sqref="A3"/>
      <selection pane="bottomRight" activeCell="AX14" sqref="AX14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3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5" width="12" style="13" bestFit="1" customWidth="1"/>
    <col min="56" max="56" width="12" style="13" bestFit="1" customWidth="1" collapsed="1"/>
    <col min="57" max="57" width="14.33203125" style="13" hidden="1" customWidth="1" outlineLevel="1"/>
    <col min="58" max="58" width="16.1640625" style="13" hidden="1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78" t="s">
        <v>108</v>
      </c>
      <c r="B1" s="80" t="s">
        <v>44</v>
      </c>
      <c r="C1" s="83" t="s">
        <v>27</v>
      </c>
      <c r="D1" s="83" t="s">
        <v>30</v>
      </c>
      <c r="E1" s="83" t="s">
        <v>28</v>
      </c>
      <c r="F1" s="83" t="s">
        <v>29</v>
      </c>
      <c r="G1" s="78" t="s">
        <v>1</v>
      </c>
      <c r="H1" s="81" t="s">
        <v>19</v>
      </c>
      <c r="I1" s="82" t="s">
        <v>0</v>
      </c>
      <c r="J1" s="84" t="s">
        <v>49</v>
      </c>
      <c r="K1" s="84" t="s">
        <v>48</v>
      </c>
      <c r="L1" s="84" t="s">
        <v>50</v>
      </c>
      <c r="M1" s="84" t="s">
        <v>51</v>
      </c>
      <c r="N1" s="78" t="s">
        <v>3</v>
      </c>
      <c r="O1" s="85" t="s">
        <v>2</v>
      </c>
      <c r="P1" s="78" t="s">
        <v>97</v>
      </c>
      <c r="Q1" s="86" t="s">
        <v>18</v>
      </c>
      <c r="R1" s="77" t="s">
        <v>52</v>
      </c>
      <c r="S1" s="87" t="s">
        <v>23</v>
      </c>
      <c r="T1" s="87" t="s">
        <v>24</v>
      </c>
      <c r="U1" s="87" t="s">
        <v>26</v>
      </c>
      <c r="V1" s="87" t="s">
        <v>25</v>
      </c>
      <c r="W1" s="82" t="s">
        <v>32</v>
      </c>
      <c r="X1" s="83" t="s">
        <v>53</v>
      </c>
      <c r="Y1" s="82" t="s">
        <v>33</v>
      </c>
      <c r="Z1" s="83" t="s">
        <v>53</v>
      </c>
      <c r="AA1" s="84" t="s">
        <v>23</v>
      </c>
      <c r="AB1" s="84" t="s">
        <v>24</v>
      </c>
      <c r="AC1" s="84" t="s">
        <v>26</v>
      </c>
      <c r="AD1" s="84" t="s">
        <v>25</v>
      </c>
      <c r="AE1" s="88" t="s">
        <v>100</v>
      </c>
      <c r="AF1" s="77" t="s">
        <v>45</v>
      </c>
      <c r="AG1" s="89" t="s">
        <v>58</v>
      </c>
      <c r="AH1" s="77" t="s">
        <v>45</v>
      </c>
      <c r="AI1" s="89" t="s">
        <v>46</v>
      </c>
      <c r="AJ1" s="79" t="s">
        <v>67</v>
      </c>
      <c r="AK1" s="77" t="s">
        <v>21</v>
      </c>
      <c r="AL1" s="90" t="s">
        <v>68</v>
      </c>
      <c r="AM1" s="91" t="s">
        <v>66</v>
      </c>
      <c r="AN1" s="91" t="s">
        <v>69</v>
      </c>
      <c r="AO1" s="92" t="s">
        <v>31</v>
      </c>
      <c r="AP1" s="88" t="s">
        <v>20</v>
      </c>
      <c r="AQ1" s="93" t="s">
        <v>113</v>
      </c>
      <c r="AR1" s="93" t="s">
        <v>107</v>
      </c>
      <c r="AS1" s="77" t="s">
        <v>104</v>
      </c>
      <c r="AT1" s="88" t="s">
        <v>102</v>
      </c>
      <c r="AU1" s="77" t="s">
        <v>110</v>
      </c>
      <c r="AV1" s="93" t="s">
        <v>107</v>
      </c>
      <c r="AW1" s="77" t="s">
        <v>104</v>
      </c>
      <c r="AX1" s="83" t="s">
        <v>4</v>
      </c>
      <c r="AY1" s="94" t="s">
        <v>54</v>
      </c>
      <c r="AZ1" s="94" t="s">
        <v>55</v>
      </c>
      <c r="BA1" s="94" t="s">
        <v>114</v>
      </c>
      <c r="BB1" s="94" t="s">
        <v>56</v>
      </c>
      <c r="BC1" s="5" t="s">
        <v>22</v>
      </c>
      <c r="BD1" s="97" t="s">
        <v>34</v>
      </c>
      <c r="BE1" s="95" t="s">
        <v>5</v>
      </c>
      <c r="BF1" s="96" t="s">
        <v>6</v>
      </c>
      <c r="BG1" s="98" t="s">
        <v>70</v>
      </c>
      <c r="BH1" s="98" t="s">
        <v>71</v>
      </c>
      <c r="BI1" s="98" t="s">
        <v>72</v>
      </c>
      <c r="BJ1" s="98" t="s">
        <v>73</v>
      </c>
      <c r="BK1" s="99" t="s">
        <v>74</v>
      </c>
      <c r="BL1" s="99" t="s">
        <v>95</v>
      </c>
      <c r="BM1" s="99" t="s">
        <v>75</v>
      </c>
      <c r="BN1" s="99" t="s">
        <v>76</v>
      </c>
      <c r="BO1" s="100" t="s">
        <v>77</v>
      </c>
      <c r="BP1" s="101" t="s">
        <v>78</v>
      </c>
      <c r="BQ1" s="79" t="s">
        <v>86</v>
      </c>
      <c r="BR1" s="10" t="s">
        <v>400</v>
      </c>
    </row>
    <row r="2" spans="1:70" ht="26" customHeight="1" x14ac:dyDescent="0.15">
      <c r="A2" s="165">
        <v>1045</v>
      </c>
      <c r="B2" s="54" t="str">
        <f ca="1">VLOOKUP($A2,OFFSET([1]characters!$A$1,0,0,COUNTA([1]characters!$A:$A),MATCH(B$1,[1]characters!$1:$1,0)-MATCH($A$1,[1]characters!$1:$1,0)+1),MATCH(B$1,[1]characters!$1:$1,0)-MATCH($A$1,[1]characters!$1:$1,0)+1,FALSE)</f>
        <v>漂解の海原 シュレディンガー</v>
      </c>
      <c r="C2" s="54" t="str">
        <f ca="1">VLOOKUP($A2,OFFSET([1]characters!$A$1,0,0,COUNTA([1]characters!$A:$A),MATCH(C$1,[1]characters!$1:$1,0)-MATCH($A$1,[1]characters!$1:$1,0)+1),MATCH(C$1,[1]characters!$1:$1,0)-MATCH($A$1,[1]characters!$1:$1,0)+1,FALSE)</f>
        <v>シュレディンガー_水着</v>
      </c>
      <c r="D2" s="54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4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4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4">
        <f ca="1">VLOOKUP($A2,OFFSET([1]characters!$A$1,0,0,COUNTA([1]characters!$A:$A),MATCH(G$1,[1]characters!$1:$1,0)-MATCH($A$1,[1]characters!$1:$1,0)+1),MATCH(G$1,[1]characters!$1:$1,0)-MATCH($A$1,[1]characters!$1:$1,0)+1,FALSE)</f>
        <v>6</v>
      </c>
      <c r="H2" s="54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192" t="s">
        <v>366</v>
      </c>
      <c r="J2" s="11">
        <f>VLOOKUP(I2,[1]属性!$A:$E,2,FALSE)</f>
        <v>1</v>
      </c>
      <c r="K2" s="11">
        <f>VLOOKUP(I2,[1]属性!$A:$E,3,FALSE)</f>
        <v>1.02</v>
      </c>
      <c r="L2" s="11">
        <f>VLOOKUP(I2,[1]属性!$A:$E,4,FALSE)</f>
        <v>1</v>
      </c>
      <c r="M2" s="11">
        <f>VLOOKUP(I2,[1]属性!$A:$E,5,FALSE)</f>
        <v>0.98</v>
      </c>
      <c r="N2" s="11">
        <f ca="1">INDEX(コスト!$A$1:$I$20,MATCH(H2,コスト!$A$1:$A$20,FALSE),MATCH(G2,コスト!$A$1:$I$1,FALSE))</f>
        <v>55</v>
      </c>
      <c r="O2" s="11">
        <f ca="1">INDEX(レベル!$A$1:$I$21,MATCH(H2,レベル!$A$1:$A$21,FALSE),MATCH(G2,レベル!$A$1:$I$1,FALSE))</f>
        <v>99</v>
      </c>
      <c r="P2" s="45">
        <f ca="1">IF(G2 &gt;= 6, 99,G2*15)</f>
        <v>99</v>
      </c>
      <c r="Q2" s="54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1">
        <f ca="1">VLOOKUP(Q2,[1]character_type_i18n!$A:$H,4,FALSE)</f>
        <v>1</v>
      </c>
      <c r="T2" s="11">
        <f ca="1">VLOOKUP(Q2,[1]character_type_i18n!$A:$H,5,FALSE)</f>
        <v>1</v>
      </c>
      <c r="U2" s="11">
        <f ca="1">VLOOKUP(Q2,[1]character_type_i18n!$A:$H,6,FALSE)</f>
        <v>1</v>
      </c>
      <c r="V2" s="11">
        <f ca="1">VLOOKUP(Q2,[1]character_type_i18n!$A:$H,7,FALSE)</f>
        <v>1</v>
      </c>
      <c r="W2" s="54" t="str">
        <f ca="1">VLOOKUP($A2,OFFSET([1]characters!$A$1,0,0,COUNTA([1]characters!$A:$A),MATCH(W$1,[1]characters!$1:$1,0)-MATCH($A$1,[1]characters!$1:$1,0)+1),MATCH(W$1,[1]characters!$1:$1,0)-MATCH($A$1,[1]characters!$1:$1,0)+1,FALSE)</f>
        <v>academia</v>
      </c>
      <c r="X2" s="5" t="str">
        <f ca="1">VLOOKUP(W2,[1]character_tribe_i18n!$A:$H,3,FALSE)</f>
        <v>アカデミア</v>
      </c>
      <c r="Y2" s="54" t="str">
        <f ca="1">VLOOKUP($A2,OFFSET([1]characters!$A$1,0,0,COUNTA([1]characters!$A:$A),MATCH(Y$1,[1]characters!$1:$1,0)-MATCH($A$1,[1]characters!$1:$1,0)+1),MATCH(Y$1,[1]characters!$1:$1,0)-MATCH($A$1,[1]characters!$1:$1,0)+1,FALSE)</f>
        <v>animal</v>
      </c>
      <c r="Z2" s="5" t="str">
        <f ca="1">VLOOKUP(Y2,[1]character_tribe_i18n!$A:$H,3,FALSE)</f>
        <v>アニマル</v>
      </c>
      <c r="AA2" s="11">
        <f ca="1">VLOOKUP(W2,[1]character_tribe_i18n!$A:$H,4,FALSE)</f>
        <v>1</v>
      </c>
      <c r="AB2" s="11">
        <f ca="1">VLOOKUP(W2,[1]character_tribe_i18n!$A:$H,5,FALSE)</f>
        <v>1</v>
      </c>
      <c r="AC2" s="11">
        <f ca="1">VLOOKUP(W2,[1]character_tribe_i18n!$A:$H,6,FALSE)</f>
        <v>1</v>
      </c>
      <c r="AD2" s="11">
        <f ca="1">VLOOKUP(W2,[1]character_tribe_i18n!$A:$H,7,FALSE)</f>
        <v>1</v>
      </c>
      <c r="AE2" s="9" t="s">
        <v>183</v>
      </c>
      <c r="AF2" s="59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f ca="1">IF(ISNA(MATCH(A2,AE:AE,0)),A2,INDIRECT(ADDRESS(MATCH(A2,AE:AE,0),COLUMN())))</f>
        <v>1045</v>
      </c>
      <c r="AH2" s="59" t="str">
        <f ca="1">VLOOKUP($AG2,OFFSET([1]characters!$A$1,0,0,COUNTA([1]characters!$A:$A),MATCH(AH$1,[1]characters!$1:$1,0)-MATCH($A$1,[1]characters!$1:$1,0)+1),MATCH(AH$1,[1]characters!$1:$1,0)-MATCH($A$1,[1]characters!$1:$1,0)+1,FALSE)</f>
        <v>漂解の海原 シュレディンガー</v>
      </c>
      <c r="AI2" s="11" t="str">
        <f>IF(AE2="NULL","NULL",VLOOKUP(G2,ビット!$A$2:$B$7,2))</f>
        <v>NULL</v>
      </c>
      <c r="AJ2" s="6">
        <v>2</v>
      </c>
      <c r="AK2" s="7" t="str">
        <f t="shared" ref="AK2:AK3" si="0">IF(AJ2=1,"早熟",IF(AJ2=2,"普通",IF(AJ2=3,"晩成","")))</f>
        <v>普通</v>
      </c>
      <c r="AL2" s="11" t="str">
        <f ca="1">INDEX(経験値!$A$1:$I$20,MATCH(H2,経験値!$A$1:$A$20,FALSE),MATCH(G2,経験値!$A$1:$I$1,FALSE))</f>
        <v>required_exp_300</v>
      </c>
      <c r="AM2" s="8">
        <f ca="1">VLOOKUP(G2,経験値!$A$27:$B$31,2)</f>
        <v>6400</v>
      </c>
      <c r="AN2" s="17">
        <f ca="1">VLOOKUP(G2,ビット!$G$2:$H$7,2)</f>
        <v>900</v>
      </c>
      <c r="AO2" s="42"/>
      <c r="AP2" s="64">
        <f>A2</f>
        <v>1045</v>
      </c>
      <c r="AQ2" s="54" t="str">
        <f ca="1">VLOOKUP($AP2,OFFSET(unit_skills!$A$1,0,0,COUNTA(unit_skills!$A:$A),MATCH(AQ$1,unit_skills!$1:$1,0)-MATCH($AP$1,unit_skills!$1:$1,0)+1),MATCH(AQ$1,unit_skills!$1:$1,0)-MATCH($AP$1,unit_skills!$1:$1,0)+1,FALSE)</f>
        <v>寛猫のサマーシークエンス</v>
      </c>
      <c r="AR2" s="54" t="str">
        <f ca="1">VLOOKUP($AP2,OFFSET(unit_skills!$A$1,0,0,COUNTA(unit_skills!$A:$A),MATCH(AR$1,unit_skills!$1:$1,0)-MATCH($AP$1,unit_skills!$1:$1,0)+1),MATCH(AR$1,unit_skills!$1:$1,0)-MATCH($AP$1,unit_skills!$1:$1,0)+1,FALSE)</f>
        <v>赤パネルを青ボムパネルに変換+2ターン全ユニットのCパネル生成短縮(効果激烈)+1ターン赤パネルの出現率を大DOWN</v>
      </c>
      <c r="AS2" s="54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39">
        <f>A2</f>
        <v>1045</v>
      </c>
      <c r="AU2" s="54" t="str">
        <f ca="1">VLOOKUP($AT2,OFFSET(crash_skills!$A$1,0,0,COUNTA(crash_skills!$A:$A),MATCH(AU$1,crash_skills!$1:$1,0)-MATCH($AT$1,crash_skills!$1:$1,0)+1),MATCH(AU$1,crash_skills!$1:$1,0)-MATCH($AT$1,crash_skills!$1:$1,0)+1,FALSE)</f>
        <v>フィルド・ビーチボール</v>
      </c>
      <c r="AV2" s="54" t="str">
        <f ca="1">VLOOKUP($AT2,OFFSET(crash_skills!$A$1,0,0,COUNTA(crash_skills!$A:$A),MATCH(AV$1,crash_skills!$1:$1,0)-MATCH($AT$1,crash_skills!$1:$1,0)+1),MATCH(AV$1,crash_skills!$1:$1,0)-MATCH($AT$1,crash_skills!$1:$1,0)+1,FALSE)</f>
        <v>1体に超大ダメージ+_x000D_HP小回復</v>
      </c>
      <c r="AW2" s="54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5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5">
        <v>0.98</v>
      </c>
      <c r="AZ2" s="65">
        <v>1.1000000000000001</v>
      </c>
      <c r="BA2" s="65">
        <v>0</v>
      </c>
      <c r="BB2" s="65">
        <v>0.91800000000000004</v>
      </c>
      <c r="BC2" s="11">
        <f ca="1">INDEX('RC6SV'!$A$1:$G$20,MATCH(H2,'RC6SV'!$A$1:$A$20,FALSE),MATCH(G2,'RC6SV'!$A$1:$G$1,FALSE))</f>
        <v>14000</v>
      </c>
      <c r="BD2" s="45">
        <f t="shared" ref="BD2:BD3" ca="1" si="1">ROUND(BC2*IF(AJ2=1,0.95,IF(AJ2=2,1,IF(AJ2,1.05,0))),0)</f>
        <v>14000</v>
      </c>
      <c r="BE2" s="11">
        <f t="shared" ref="BE2:BE11" ca="1" si="2">ROUND(IFERROR(INDIRECT(ADDRESS(MATCH($A2,$AE:$AE,0),MATCH($BC$1,$1:$1,0))),0),0)</f>
        <v>0</v>
      </c>
      <c r="BF2" s="11">
        <f t="shared" ref="BF2:BF11" ca="1" si="3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3430</v>
      </c>
      <c r="BH2" s="16">
        <f ca="1">IF($BE2&lt;=0,ROUND(BL2*0.5,0), ROUND($BE2*T2*AB2*K2*AZ2*0.8*[1]ステータス!$C$2,0))</f>
        <v>2356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1575</v>
      </c>
      <c r="BK2" s="11">
        <f ca="1">ROUND(BD2*S2*AA2*J2*AY2*[1]ステータス!$B$2,0)</f>
        <v>6860</v>
      </c>
      <c r="BL2" s="11">
        <f ca="1">ROUND(BD2*T2*AB2*K2*AZ2*[1]ステータス!$C$2,0)</f>
        <v>4712</v>
      </c>
      <c r="BM2" s="11">
        <f ca="1">ROUND(BD2*U2*AC2*L2*BA2*[1]ステータス!$D$2,0)</f>
        <v>0</v>
      </c>
      <c r="BN2" s="11">
        <f ca="1">ROUND(BD2*V2*AD2*M2*BB2*[1]ステータス!$E$2,0)</f>
        <v>3149</v>
      </c>
      <c r="BO2" s="10">
        <v>0</v>
      </c>
      <c r="BP2" s="10">
        <v>1</v>
      </c>
      <c r="BQ2" s="10" t="s">
        <v>47</v>
      </c>
      <c r="BR2" s="10">
        <f ca="1">VLOOKUP(H2,ghosts_label!$A$2:$B$19,2,FALSE)</f>
        <v>30000</v>
      </c>
    </row>
    <row r="3" spans="1:70" ht="26" customHeight="1" x14ac:dyDescent="0.15">
      <c r="A3" s="165">
        <v>1046</v>
      </c>
      <c r="B3" s="54" t="str">
        <f ca="1">VLOOKUP($A3,OFFSET([1]characters!$A$1,0,0,COUNTA([1]characters!$A:$A),MATCH(B$1,[1]characters!$1:$1,0)-MATCH($A$1,[1]characters!$1:$1,0)+1),MATCH(B$1,[1]characters!$1:$1,0)-MATCH($A$1,[1]characters!$1:$1,0)+1,FALSE)</f>
        <v>涼求の炎狼 フェンリル</v>
      </c>
      <c r="C3" s="54" t="str">
        <f ca="1">VLOOKUP($A3,OFFSET([1]characters!$A$1,0,0,COUNTA([1]characters!$A:$A),MATCH(C$1,[1]characters!$1:$1,0)-MATCH($A$1,[1]characters!$1:$1,0)+1),MATCH(C$1,[1]characters!$1:$1,0)-MATCH($A$1,[1]characters!$1:$1,0)+1,FALSE)</f>
        <v>フェンリル_水着</v>
      </c>
      <c r="D3" s="54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4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4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4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4" t="str">
        <f ca="1">VLOOKUP($A3,OFFSET([1]characters!$A$1,0,0,COUNTA([1]characters!$A:$A),MATCH(H$1,[1]characters!$1:$1,0)-MATCH($A$1,[1]characters!$1:$1,0)+1),MATCH(H$1,[1]characters!$1:$1,0)-MATCH($A$1,[1]characters!$1:$1,0)+1,FALSE)</f>
        <v>PremiumS</v>
      </c>
      <c r="I3" s="192" t="s">
        <v>367</v>
      </c>
      <c r="J3" s="11">
        <f>VLOOKUP(I3,[1]属性!$A:$E,2,FALSE)</f>
        <v>1</v>
      </c>
      <c r="K3" s="11">
        <f>VLOOKUP(I3,[1]属性!$A:$E,3,FALSE)</f>
        <v>1.02</v>
      </c>
      <c r="L3" s="11">
        <f>VLOOKUP(I3,[1]属性!$A:$E,4,FALSE)</f>
        <v>1</v>
      </c>
      <c r="M3" s="11">
        <f>VLOOKUP(I3,[1]属性!$A:$E,5,FALSE)</f>
        <v>0.98</v>
      </c>
      <c r="N3" s="11">
        <f ca="1">INDEX(コスト!$A$1:$I$20,MATCH(H3,コスト!$A$1:$A$20,FALSE),MATCH(G3,コスト!$A$1:$I$1,FALSE))</f>
        <v>30</v>
      </c>
      <c r="O3" s="11">
        <f ca="1">INDEX(レベル!$A$1:$I$21,MATCH(H3,レベル!$A$1:$A$21,FALSE),MATCH(G3,レベル!$A$1:$I$1,FALSE))</f>
        <v>80</v>
      </c>
      <c r="P3" s="45">
        <f t="shared" ref="P3:P4" ca="1" si="4">IF(G3 &gt;= 6, 99,G3*15)</f>
        <v>75</v>
      </c>
      <c r="Q3" s="54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1">
        <f ca="1">VLOOKUP(Q3,[1]character_type_i18n!$A:$H,4,FALSE)</f>
        <v>1</v>
      </c>
      <c r="T3" s="11">
        <f ca="1">VLOOKUP(Q3,[1]character_type_i18n!$A:$H,5,FALSE)</f>
        <v>1.33</v>
      </c>
      <c r="U3" s="11">
        <f ca="1">VLOOKUP(Q3,[1]character_type_i18n!$A:$H,6,FALSE)</f>
        <v>1</v>
      </c>
      <c r="V3" s="11">
        <f ca="1">VLOOKUP(Q3,[1]character_type_i18n!$A:$H,7,FALSE)</f>
        <v>0.67</v>
      </c>
      <c r="W3" s="54" t="str">
        <f ca="1">VLOOKUP($A3,OFFSET([1]characters!$A$1,0,0,COUNTA([1]characters!$A:$A),MATCH(W$1,[1]characters!$1:$1,0)-MATCH($A$1,[1]characters!$1:$1,0)+1),MATCH(W$1,[1]characters!$1:$1,0)-MATCH($A$1,[1]characters!$1:$1,0)+1,FALSE)</f>
        <v>animal</v>
      </c>
      <c r="X3" s="5" t="str">
        <f ca="1">VLOOKUP(W3,[1]character_tribe_i18n!$A:$H,3,FALSE)</f>
        <v>アニマル</v>
      </c>
      <c r="Y3" s="54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1</v>
      </c>
      <c r="AB3" s="11">
        <f ca="1">VLOOKUP(W3,[1]character_tribe_i18n!$A:$H,5,FALSE)</f>
        <v>1.1000000000000001</v>
      </c>
      <c r="AC3" s="11">
        <f ca="1">VLOOKUP(W3,[1]character_tribe_i18n!$A:$H,6,FALSE)</f>
        <v>1</v>
      </c>
      <c r="AD3" s="11">
        <f ca="1">VLOOKUP(W3,[1]character_tribe_i18n!$A:$H,7,FALSE)</f>
        <v>0.9</v>
      </c>
      <c r="AE3" s="9" t="s">
        <v>183</v>
      </c>
      <c r="AF3" s="59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ref="AG3:AG10" ca="1" si="5">IF(ISNA(MATCH(A3,AE:AE,0)),A3,INDIRECT(ADDRESS(MATCH(A3,AE:AE,0),COLUMN())))</f>
        <v>1046</v>
      </c>
      <c r="AH3" s="59" t="str">
        <f ca="1">VLOOKUP($AG3,OFFSET([1]characters!$A$1,0,0,COUNTA([1]characters!$A:$A),MATCH(AH$1,[1]characters!$1:$1,0)-MATCH($A$1,[1]characters!$1:$1,0)+1),MATCH(AH$1,[1]characters!$1:$1,0)-MATCH($A$1,[1]characters!$1:$1,0)+1,FALSE)</f>
        <v>涼求の炎狼 フェンリル</v>
      </c>
      <c r="AI3" s="11" t="str">
        <f>IF(AE3="NULL","NULL",VLOOKUP(G3,ビット!$A$2:$B$7,2))</f>
        <v>NULL</v>
      </c>
      <c r="AJ3" s="6">
        <v>2</v>
      </c>
      <c r="AK3" s="7" t="str">
        <f t="shared" si="0"/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2"/>
      <c r="AP3" s="64">
        <f t="shared" ref="AP3:AP11" si="6">A3</f>
        <v>1046</v>
      </c>
      <c r="AQ3" s="54" t="str">
        <f ca="1">VLOOKUP($AP3,OFFSET(unit_skills!$A$1,0,0,COUNTA(unit_skills!$A:$A),MATCH(AQ$1,unit_skills!$1:$1,0)-MATCH($AP$1,unit_skills!$1:$1,0)+1),MATCH(AQ$1,unit_skills!$1:$1,0)-MATCH($AP$1,unit_skills!$1:$1,0)+1,FALSE)</f>
        <v>真夏のマリンオーバーフロー</v>
      </c>
      <c r="AR3" s="54" t="str">
        <f ca="1">VLOOKUP($AP3,OFFSET(unit_skills!$A$1,0,0,COUNTA(unit_skills!$A:$A),MATCH(AR$1,unit_skills!$1:$1,0)-MATCH($AP$1,unit_skills!$1:$1,0)+1),MATCH(AR$1,unit_skills!$1:$1,0)-MATCH($AP$1,unit_skills!$1:$1,0)+1,FALSE)</f>
        <v>3ターン青属性のタップ回数を1増やす+攻撃力と回復力を特大UP</v>
      </c>
      <c r="AS3" s="54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39">
        <f t="shared" ref="AT3:AT11" si="7">A3</f>
        <v>1046</v>
      </c>
      <c r="AU3" s="54" t="str">
        <f ca="1">VLOOKUP($AT3,OFFSET(crash_skills!$A$1,0,0,COUNTA(crash_skills!$A:$A),MATCH(AU$1,crash_skills!$1:$1,0)-MATCH($AT$1,crash_skills!$1:$1,0)+1),MATCH(AU$1,crash_skills!$1:$1,0)-MATCH($AT$1,crash_skills!$1:$1,0)+1,FALSE)</f>
        <v>ダイビングビースト</v>
      </c>
      <c r="AV3" s="54" t="str">
        <f ca="1">VLOOKUP($AT3,OFFSET(crash_skills!$A$1,0,0,COUNTA(crash_skills!$A:$A),MATCH(AV$1,crash_skills!$1:$1,0)-MATCH($AT$1,crash_skills!$1:$1,0)+1),MATCH(AV$1,crash_skills!$1:$1,0)-MATCH($AT$1,crash_skills!$1:$1,0)+1,FALSE)</f>
        <v>1体に中ダメージ_x000D_アニマルに効果特大</v>
      </c>
      <c r="AW3" s="54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5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5">
        <v>1.1000000000000001</v>
      </c>
      <c r="AZ3" s="65">
        <v>1</v>
      </c>
      <c r="BA3" s="65">
        <v>0</v>
      </c>
      <c r="BB3" s="65">
        <v>1</v>
      </c>
      <c r="BC3" s="11">
        <f ca="1">INDEX('RC6SV'!$A$1:$G$20,MATCH(H3,'RC6SV'!$A$1:$A$20,FALSE),MATCH(G3,'RC6SV'!$A$1:$G$1,FALSE))</f>
        <v>9000</v>
      </c>
      <c r="BD3" s="45">
        <f t="shared" ca="1" si="1"/>
        <v>9000</v>
      </c>
      <c r="BE3" s="11">
        <f t="shared" ca="1" si="2"/>
        <v>0</v>
      </c>
      <c r="BF3" s="11">
        <f t="shared" ca="1" si="3"/>
        <v>1</v>
      </c>
      <c r="BG3" s="16">
        <f ca="1">IF($BE3&lt;=0,ROUND(BK3*0.5,0), ROUND($BE3*S3*AA3*J3*AY3*0.8*[1]ステータス!$B$2,0))</f>
        <v>2475</v>
      </c>
      <c r="BH3" s="16">
        <f ca="1">IF($BE3&lt;=0,ROUND(BL3*0.5,0), ROUND($BE3*T3*AB3*K3*AZ3*0.8*[1]ステータス!$C$2,0))</f>
        <v>2015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665</v>
      </c>
      <c r="BK3" s="11">
        <f ca="1">ROUND(BD3*S3*AA3*J3*AY3*[1]ステータス!$B$2,0)</f>
        <v>4950</v>
      </c>
      <c r="BL3" s="11">
        <f ca="1">ROUND(BD3*T3*AB3*K3*AZ3*[1]ステータス!$C$2,0)</f>
        <v>4029</v>
      </c>
      <c r="BM3" s="11">
        <f ca="1">ROUND(BD3*U3*AC3*L3*BA3*[1]ステータス!$D$2,0)</f>
        <v>0</v>
      </c>
      <c r="BN3" s="11">
        <f ca="1">ROUND(BD3*V3*AD3*M3*BB3*[1]ステータス!$E$2,0)</f>
        <v>1330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700</v>
      </c>
    </row>
    <row r="4" spans="1:70" ht="26" customHeight="1" x14ac:dyDescent="0.15">
      <c r="A4" s="165">
        <v>1047</v>
      </c>
      <c r="B4" s="54" t="str">
        <f ca="1">VLOOKUP($A4,OFFSET([1]characters!$A$1,0,0,COUNTA([1]characters!$A:$A),MATCH(B$1,[1]characters!$1:$1,0)-MATCH($A$1,[1]characters!$1:$1,0)+1),MATCH(B$1,[1]characters!$1:$1,0)-MATCH($A$1,[1]characters!$1:$1,0)+1,FALSE)</f>
        <v>波浪の夏閃 オイラー</v>
      </c>
      <c r="C4" s="54" t="str">
        <f ca="1">VLOOKUP($A4,OFFSET([1]characters!$A$1,0,0,COUNTA([1]characters!$A:$A),MATCH(C$1,[1]characters!$1:$1,0)-MATCH($A$1,[1]characters!$1:$1,0)+1),MATCH(C$1,[1]characters!$1:$1,0)-MATCH($A$1,[1]characters!$1:$1,0)+1,FALSE)</f>
        <v>オイラー_水着</v>
      </c>
      <c r="D4" s="54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4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4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4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4" t="str">
        <f ca="1">VLOOKUP($A4,OFFSET([1]characters!$A$1,0,0,COUNTA([1]characters!$A:$A),MATCH(H$1,[1]characters!$1:$1,0)-MATCH($A$1,[1]characters!$1:$1,0)+1),MATCH(H$1,[1]characters!$1:$1,0)-MATCH($A$1,[1]characters!$1:$1,0)+1,FALSE)</f>
        <v>PremiumSSS</v>
      </c>
      <c r="I4" s="192" t="s">
        <v>368</v>
      </c>
      <c r="J4" s="11">
        <f>VLOOKUP(I4,[1]属性!$A:$E,2,FALSE)</f>
        <v>1.02</v>
      </c>
      <c r="K4" s="11">
        <f>VLOOKUP(I4,[1]属性!$A:$E,3,FALSE)</f>
        <v>0.98</v>
      </c>
      <c r="L4" s="11">
        <f>VLOOKUP(I4,[1]属性!$A:$E,4,FALSE)</f>
        <v>1</v>
      </c>
      <c r="M4" s="11">
        <f>VLOOKUP(I4,[1]属性!$A:$E,5,FALSE)</f>
        <v>1</v>
      </c>
      <c r="N4" s="11">
        <f ca="1">INDEX(コスト!$A$1:$I$20,MATCH(H4,コスト!$A$1:$A$20,FALSE),MATCH(G4,コスト!$A$1:$I$1,FALSE))</f>
        <v>55</v>
      </c>
      <c r="O4" s="11">
        <f ca="1">INDEX(レベル!$A$1:$I$21,MATCH(H4,レベル!$A$1:$A$21,FALSE),MATCH(G4,レベル!$A$1:$I$1,FALSE))</f>
        <v>99</v>
      </c>
      <c r="P4" s="45">
        <f t="shared" ca="1" si="4"/>
        <v>99</v>
      </c>
      <c r="Q4" s="54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1">
        <f ca="1">VLOOKUP(Q4,[1]character_type_i18n!$A:$H,4,FALSE)</f>
        <v>1</v>
      </c>
      <c r="T4" s="11">
        <f ca="1">VLOOKUP(Q4,[1]character_type_i18n!$A:$H,5,FALSE)</f>
        <v>1</v>
      </c>
      <c r="U4" s="11">
        <f ca="1">VLOOKUP(Q4,[1]character_type_i18n!$A:$H,6,FALSE)</f>
        <v>1</v>
      </c>
      <c r="V4" s="11">
        <f ca="1">VLOOKUP(Q4,[1]character_type_i18n!$A:$H,7,FALSE)</f>
        <v>1</v>
      </c>
      <c r="W4" s="54" t="str">
        <f ca="1">VLOOKUP($A4,OFFSET([1]characters!$A$1,0,0,COUNTA([1]characters!$A:$A),MATCH(W$1,[1]characters!$1:$1,0)-MATCH($A$1,[1]characters!$1:$1,0)+1),MATCH(W$1,[1]characters!$1:$1,0)-MATCH($A$1,[1]characters!$1:$1,0)+1,FALSE)</f>
        <v>academia</v>
      </c>
      <c r="X4" s="5" t="str">
        <f ca="1">VLOOKUP(W4,[1]character_tribe_i18n!$A:$H,3,FALSE)</f>
        <v>アカデミア</v>
      </c>
      <c r="Y4" s="54" t="str">
        <f ca="1">VLOOKUP($A4,OFFSET([1]characters!$A$1,0,0,COUNTA([1]characters!$A:$A),MATCH(Y$1,[1]characters!$1:$1,0)-MATCH($A$1,[1]characters!$1:$1,0)+1),MATCH(Y$1,[1]characters!$1:$1,0)-MATCH($A$1,[1]characters!$1:$1,0)+1,FALSE)</f>
        <v>human</v>
      </c>
      <c r="Z4" s="5" t="str">
        <f ca="1">VLOOKUP(Y4,[1]character_tribe_i18n!$A:$H,3,FALSE)</f>
        <v>ヒューマン</v>
      </c>
      <c r="AA4" s="11">
        <f ca="1">VLOOKUP(W4,[1]character_tribe_i18n!$A:$H,4,FALSE)</f>
        <v>1</v>
      </c>
      <c r="AB4" s="11">
        <f ca="1">VLOOKUP(W4,[1]character_tribe_i18n!$A:$H,5,FALSE)</f>
        <v>1</v>
      </c>
      <c r="AC4" s="11">
        <f ca="1">VLOOKUP(W4,[1]character_tribe_i18n!$A:$H,6,FALSE)</f>
        <v>1</v>
      </c>
      <c r="AD4" s="11">
        <f ca="1">VLOOKUP(W4,[1]character_tribe_i18n!$A:$H,7,FALSE)</f>
        <v>1</v>
      </c>
      <c r="AE4" s="9" t="s">
        <v>183</v>
      </c>
      <c r="AF4" s="59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/>
      </c>
      <c r="AG4" s="5">
        <f t="shared" ca="1" si="5"/>
        <v>1047</v>
      </c>
      <c r="AH4" s="59" t="str">
        <f ca="1">VLOOKUP($AG4,OFFSET([1]characters!$A$1,0,0,COUNTA([1]characters!$A:$A),MATCH(AH$1,[1]characters!$1:$1,0)-MATCH($A$1,[1]characters!$1:$1,0)+1),MATCH(AH$1,[1]characters!$1:$1,0)-MATCH($A$1,[1]characters!$1:$1,0)+1,FALSE)</f>
        <v>波浪の夏閃 オイラー</v>
      </c>
      <c r="AI4" s="11" t="str">
        <f>IF(AE4="NULL","NULL",VLOOKUP(G4,ビット!$A$2:$B$7,2))</f>
        <v>NULL</v>
      </c>
      <c r="AJ4" s="6">
        <v>2</v>
      </c>
      <c r="AK4" s="7" t="str">
        <f t="shared" ref="AK4:AK11" si="8">IF(AJ4=1,"早熟",IF(AJ4=2,"普通",IF(AJ4=3,"晩成","")))</f>
        <v>普通</v>
      </c>
      <c r="AL4" s="11" t="str">
        <f ca="1">INDEX(経験値!$A$1:$I$20,MATCH(H4,経験値!$A$1:$A$20,FALSE),MATCH(G4,経験値!$A$1:$I$1,FALSE))</f>
        <v>required_exp_300</v>
      </c>
      <c r="AM4" s="8">
        <f ca="1">VLOOKUP(G4,経験値!$A$27:$B$31,2)</f>
        <v>6400</v>
      </c>
      <c r="AN4" s="17">
        <f ca="1">VLOOKUP(G4,ビット!$G$2:$H$7,2)</f>
        <v>900</v>
      </c>
      <c r="AO4" s="42"/>
      <c r="AP4" s="64">
        <f t="shared" si="6"/>
        <v>1047</v>
      </c>
      <c r="AQ4" s="54" t="str">
        <f ca="1">VLOOKUP($AP4,OFFSET(unit_skills!$A$1,0,0,COUNTA(unit_skills!$A:$A),MATCH(AQ$1,unit_skills!$1:$1,0)-MATCH($AP$1,unit_skills!$1:$1,0)+1),MATCH(AQ$1,unit_skills!$1:$1,0)-MATCH($AP$1,unit_skills!$1:$1,0)+1,FALSE)</f>
        <v>旋海衝華・サーフグレネード</v>
      </c>
      <c r="AR4" s="54" t="str">
        <f ca="1">VLOOKUP($AP4,OFFSET(unit_skills!$A$1,0,0,COUNTA(unit_skills!$A:$A),MATCH(AR$1,unit_skills!$1:$1,0)-MATCH($AP$1,unit_skills!$1:$1,0)+1),MATCH(AR$1,unit_skills!$1:$1,0)-MATCH($AP$1,unit_skills!$1:$1,0)+1,FALSE)</f>
        <v>赤・ハートパネルを青ボムに変換+1ターン青属性の攻撃力を大UPし、赤パネルを青ボムでドロップ、ハートパネル出現率DOWN</v>
      </c>
      <c r="AS4" s="54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39">
        <f t="shared" si="7"/>
        <v>1047</v>
      </c>
      <c r="AU4" s="54" t="str">
        <f ca="1">VLOOKUP($AT4,OFFSET(crash_skills!$A$1,0,0,COUNTA(crash_skills!$A:$A),MATCH(AU$1,crash_skills!$1:$1,0)-MATCH($AT$1,crash_skills!$1:$1,0)+1),MATCH(AU$1,crash_skills!$1:$1,0)-MATCH($AT$1,crash_skills!$1:$1,0)+1,FALSE)</f>
        <v>眩波・スプラッシュエッジ</v>
      </c>
      <c r="AV4" s="54" t="str">
        <f ca="1">VLOOKUP($AT4,OFFSET(crash_skills!$A$1,0,0,COUNTA(crash_skills!$A:$A),MATCH(AV$1,crash_skills!$1:$1,0)-MATCH($AT$1,crash_skills!$1:$1,0)+1),MATCH(AV$1,crash_skills!$1:$1,0)-MATCH($AT$1,crash_skills!$1:$1,0)+1,FALSE)</f>
        <v>全体に大ダメージ+_x000D_1体に特大ダメージ</v>
      </c>
      <c r="AW4" s="54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5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5">
        <v>0.997</v>
      </c>
      <c r="AZ4" s="65">
        <v>1.159</v>
      </c>
      <c r="BA4" s="65">
        <v>0</v>
      </c>
      <c r="BB4" s="65">
        <v>1.0489999999999999</v>
      </c>
      <c r="BC4" s="11">
        <f ca="1">INDEX('RC6SV'!$A$1:$G$20,MATCH(H4,'RC6SV'!$A$1:$A$20,FALSE),MATCH(G4,'RC6SV'!$A$1:$G$1,FALSE))</f>
        <v>14000</v>
      </c>
      <c r="BD4" s="45">
        <f t="shared" ref="BD4:BD11" ca="1" si="9">ROUND(BC4*IF(AJ4=1,0.95,IF(AJ4=2,1,IF(AJ4,1.05,0))),0)</f>
        <v>14000</v>
      </c>
      <c r="BE4" s="11">
        <f t="shared" ca="1" si="2"/>
        <v>0</v>
      </c>
      <c r="BF4" s="11">
        <f t="shared" ca="1" si="3"/>
        <v>1</v>
      </c>
      <c r="BG4" s="16">
        <f ca="1">IF($BE4&lt;=0,ROUND(BK4*0.5,0), ROUND($BE4*S4*AA4*J4*AY4*0.8*[1]ステータス!$B$2,0))</f>
        <v>3560</v>
      </c>
      <c r="BH4" s="16">
        <f ca="1">IF($BE4&lt;=0,ROUND(BL4*0.5,0), ROUND($BE4*T4*AB4*K4*AZ4*0.8*[1]ステータス!$C$2,0))</f>
        <v>2385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1836</v>
      </c>
      <c r="BK4" s="11">
        <f ca="1">ROUND(BD4*S4*AA4*J4*AY4*[1]ステータス!$B$2,0)</f>
        <v>7119</v>
      </c>
      <c r="BL4" s="11">
        <f ca="1">ROUND(BD4*T4*AB4*K4*AZ4*[1]ステータス!$C$2,0)</f>
        <v>4770</v>
      </c>
      <c r="BM4" s="11">
        <f ca="1">ROUND(BD4*U4*AC4*L4*BA4*[1]ステータス!$D$2,0)</f>
        <v>0</v>
      </c>
      <c r="BN4" s="11">
        <f ca="1">ROUND(BD4*V4*AD4*M4*BB4*[1]ステータス!$E$2,0)</f>
        <v>3672</v>
      </c>
      <c r="BO4" s="10">
        <v>0</v>
      </c>
      <c r="BP4" s="10">
        <v>1</v>
      </c>
      <c r="BQ4" s="10" t="s">
        <v>47</v>
      </c>
      <c r="BR4" s="10">
        <f ca="1">VLOOKUP(H4,ghosts_label!$A$2:$B$19,2,FALSE)</f>
        <v>30000</v>
      </c>
    </row>
    <row r="5" spans="1:70" ht="26" customHeight="1" x14ac:dyDescent="0.15">
      <c r="A5" s="165">
        <v>1048</v>
      </c>
      <c r="B5" s="54" t="str">
        <f ca="1">VLOOKUP($A5,OFFSET([1]characters!$A$1,0,0,COUNTA([1]characters!$A:$A),MATCH(B$1,[1]characters!$1:$1,0)-MATCH($A$1,[1]characters!$1:$1,0)+1),MATCH(B$1,[1]characters!$1:$1,0)-MATCH($A$1,[1]characters!$1:$1,0)+1,FALSE)</f>
        <v>砂上の城主竜 ケツァクアトル</v>
      </c>
      <c r="C5" s="54" t="str">
        <f ca="1">VLOOKUP($A5,OFFSET([1]characters!$A$1,0,0,COUNTA([1]characters!$A:$A),MATCH(C$1,[1]characters!$1:$1,0)-MATCH($A$1,[1]characters!$1:$1,0)+1),MATCH(C$1,[1]characters!$1:$1,0)-MATCH($A$1,[1]characters!$1:$1,0)+1,FALSE)</f>
        <v>ケツァクアトル_水着</v>
      </c>
      <c r="D5" s="54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4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4" t="str">
        <f ca="1">VLOOKUP($A5,OFFSET([1]characters!$A$1,0,0,COUNTA([1]characters!$A:$A),MATCH(F$1,[1]characters!$1:$1,0)-MATCH($A$1,[1]characters!$1:$1,0)+1),MATCH(F$1,[1]characters!$1:$1,0)-MATCH($A$1,[1]characters!$1:$1,0)+1,FALSE)</f>
        <v>男性</v>
      </c>
      <c r="G5" s="54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4" t="str">
        <f ca="1">VLOOKUP($A5,OFFSET([1]characters!$A$1,0,0,COUNTA([1]characters!$A:$A),MATCH(H$1,[1]characters!$1:$1,0)-MATCH($A$1,[1]characters!$1:$1,0)+1),MATCH(H$1,[1]characters!$1:$1,0)-MATCH($A$1,[1]characters!$1:$1,0)+1,FALSE)</f>
        <v>PremiumS</v>
      </c>
      <c r="I5" s="192" t="s">
        <v>369</v>
      </c>
      <c r="J5" s="11">
        <f>VLOOKUP(I5,[1]属性!$A:$E,2,FALSE)</f>
        <v>1.02</v>
      </c>
      <c r="K5" s="11">
        <f>VLOOKUP(I5,[1]属性!$A:$E,3,FALSE)</f>
        <v>0.98</v>
      </c>
      <c r="L5" s="11">
        <f>VLOOKUP(I5,[1]属性!$A:$E,4,FALSE)</f>
        <v>1</v>
      </c>
      <c r="M5" s="11">
        <f>VLOOKUP(I5,[1]属性!$A:$E,5,FALSE)</f>
        <v>1</v>
      </c>
      <c r="N5" s="11">
        <f ca="1">INDEX(コスト!$A$1:$I$20,MATCH(H5,コスト!$A$1:$A$20,FALSE),MATCH(G5,コスト!$A$1:$I$1,FALSE))</f>
        <v>30</v>
      </c>
      <c r="O5" s="11">
        <f ca="1">INDEX(レベル!$A$1:$I$21,MATCH(H5,レベル!$A$1:$A$21,FALSE),MATCH(G5,レベル!$A$1:$I$1,FALSE))</f>
        <v>80</v>
      </c>
      <c r="P5" s="45">
        <f t="shared" ref="P5:P11" ca="1" si="10">IF(G5 &gt;= 6, 99,G5*15)</f>
        <v>75</v>
      </c>
      <c r="Q5" s="54" t="str">
        <f ca="1">VLOOKUP($A5,OFFSET([1]characters!$A$1,0,0,COUNTA([1]characters!$A:$A),MATCH(Q$1,[1]characters!$1:$1,0)-MATCH($A$1,[1]characters!$1:$1,0)+1),MATCH(Q$1,[1]characters!$1:$1,0)-MATCH($A$1,[1]characters!$1:$1,0)+1,FALSE)</f>
        <v>hp</v>
      </c>
      <c r="R5" s="5" t="str">
        <f ca="1">VLOOKUP(Q5,[1]character_type_i18n!$A:$H,3,FALSE)</f>
        <v>体力タイプ</v>
      </c>
      <c r="S5" s="11">
        <f ca="1">VLOOKUP(Q5,[1]character_type_i18n!$A:$H,4,FALSE)</f>
        <v>1.45</v>
      </c>
      <c r="T5" s="11">
        <f ca="1">VLOOKUP(Q5,[1]character_type_i18n!$A:$H,5,FALSE)</f>
        <v>0.85</v>
      </c>
      <c r="U5" s="11">
        <f ca="1">VLOOKUP(Q5,[1]character_type_i18n!$A:$H,6,FALSE)</f>
        <v>1</v>
      </c>
      <c r="V5" s="11">
        <f ca="1">VLOOKUP(Q5,[1]character_type_i18n!$A:$H,7,FALSE)</f>
        <v>0.7</v>
      </c>
      <c r="W5" s="54" t="str">
        <f ca="1">VLOOKUP($A5,OFFSET([1]characters!$A$1,0,0,COUNTA([1]characters!$A:$A),MATCH(W$1,[1]characters!$1:$1,0)-MATCH($A$1,[1]characters!$1:$1,0)+1),MATCH(W$1,[1]characters!$1:$1,0)-MATCH($A$1,[1]characters!$1:$1,0)+1,FALSE)</f>
        <v>dragon</v>
      </c>
      <c r="X5" s="5" t="str">
        <f ca="1">VLOOKUP(W5,[1]character_tribe_i18n!$A:$H,3,FALSE)</f>
        <v>ドラゴン</v>
      </c>
      <c r="Y5" s="54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1.1499999999999999</v>
      </c>
      <c r="AB5" s="11">
        <f ca="1">VLOOKUP(W5,[1]character_tribe_i18n!$A:$H,5,FALSE)</f>
        <v>1.1000000000000001</v>
      </c>
      <c r="AC5" s="11">
        <f ca="1">VLOOKUP(W5,[1]character_tribe_i18n!$A:$H,6,FALSE)</f>
        <v>1</v>
      </c>
      <c r="AD5" s="11">
        <f ca="1">VLOOKUP(W5,[1]character_tribe_i18n!$A:$H,7,FALSE)</f>
        <v>0.75</v>
      </c>
      <c r="AE5" s="9" t="s">
        <v>183</v>
      </c>
      <c r="AF5" s="59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5"/>
        <v>1048</v>
      </c>
      <c r="AH5" s="59" t="str">
        <f ca="1">VLOOKUP($AG5,OFFSET([1]characters!$A$1,0,0,COUNTA([1]characters!$A:$A),MATCH(AH$1,[1]characters!$1:$1,0)-MATCH($A$1,[1]characters!$1:$1,0)+1),MATCH(AH$1,[1]characters!$1:$1,0)-MATCH($A$1,[1]characters!$1:$1,0)+1,FALSE)</f>
        <v>砂上の城主竜 ケツァクアトル</v>
      </c>
      <c r="AI5" s="11" t="str">
        <f>IF(AE5="NULL","NULL",VLOOKUP(G5,ビット!$A$2:$B$7,2))</f>
        <v>NULL</v>
      </c>
      <c r="AJ5" s="6">
        <v>2</v>
      </c>
      <c r="AK5" s="7" t="str">
        <f t="shared" si="8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2"/>
      <c r="AP5" s="64">
        <f t="shared" si="6"/>
        <v>1048</v>
      </c>
      <c r="AQ5" s="54" t="str">
        <f ca="1">VLOOKUP($AP5,OFFSET(unit_skills!$A$1,0,0,COUNTA(unit_skills!$A:$A),MATCH(AQ$1,unit_skills!$1:$1,0)-MATCH($AP$1,unit_skills!$1:$1,0)+1),MATCH(AQ$1,unit_skills!$1:$1,0)-MATCH($AP$1,unit_skills!$1:$1,0)+1,FALSE)</f>
        <v>どらごんすなあそび！</v>
      </c>
      <c r="AR5" s="54" t="str">
        <f ca="1">VLOOKUP($AP5,OFFSET(unit_skills!$A$1,0,0,COUNTA(unit_skills!$A:$A),MATCH(AR$1,unit_skills!$1:$1,0)-MATCH($AP$1,unit_skills!$1:$1,0)+1),MATCH(AR$1,unit_skills!$1:$1,0)-MATCH($AP$1,unit_skills!$1:$1,0)+1,FALSE)</f>
        <v>3ターンの間青属性ユニットの攻撃力と防御力を特大UP</v>
      </c>
      <c r="AS5" s="54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39">
        <f t="shared" si="7"/>
        <v>1048</v>
      </c>
      <c r="AU5" s="54" t="str">
        <f ca="1">VLOOKUP($AT5,OFFSET(crash_skills!$A$1,0,0,COUNTA(crash_skills!$A:$A),MATCH(AU$1,crash_skills!$1:$1,0)-MATCH($AT$1,crash_skills!$1:$1,0)+1),MATCH(AU$1,crash_skills!$1:$1,0)-MATCH($AT$1,crash_skills!$1:$1,0)+1,FALSE)</f>
        <v>夕凪の海風</v>
      </c>
      <c r="AV5" s="54" t="str">
        <f ca="1">VLOOKUP($AT5,OFFSET(crash_skills!$A$1,0,0,COUNTA(crash_skills!$A:$A),MATCH(AV$1,crash_skills!$1:$1,0)-MATCH($AT$1,crash_skills!$1:$1,0)+1),MATCH(AV$1,crash_skills!$1:$1,0)-MATCH($AT$1,crash_skills!$1:$1,0)+1,FALSE)</f>
        <v>1体に大ダメージ＋_x000D_確率でスリープ付与</v>
      </c>
      <c r="AW5" s="54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5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5">
        <v>1</v>
      </c>
      <c r="AZ5" s="65">
        <v>1.2</v>
      </c>
      <c r="BA5" s="65">
        <v>0</v>
      </c>
      <c r="BB5" s="65">
        <v>1</v>
      </c>
      <c r="BC5" s="11">
        <f ca="1">INDEX('RC6SV'!$A$1:$G$20,MATCH(H5,'RC6SV'!$A$1:$A$20,FALSE),MATCH(G5,'RC6SV'!$A$1:$G$1,FALSE))</f>
        <v>9000</v>
      </c>
      <c r="BD5" s="45">
        <f t="shared" ca="1" si="9"/>
        <v>9000</v>
      </c>
      <c r="BE5" s="11">
        <f t="shared" ca="1" si="2"/>
        <v>0</v>
      </c>
      <c r="BF5" s="11">
        <f t="shared" ca="1" si="3"/>
        <v>1</v>
      </c>
      <c r="BG5" s="16">
        <f ca="1">IF($BE5&lt;=0,ROUND(BK5*0.5,0), ROUND($BE5*S5*AA5*J5*AY5*0.8*[1]ステータス!$B$2,0))</f>
        <v>3827</v>
      </c>
      <c r="BH5" s="16">
        <f ca="1">IF($BE5&lt;=0,ROUND(BL5*0.5,0), ROUND($BE5*T5*AB5*K5*AZ5*0.8*[1]ステータス!$C$2,0))</f>
        <v>1485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591</v>
      </c>
      <c r="BK5" s="11">
        <f ca="1">ROUND(BD5*S5*AA5*J5*AY5*[1]ステータス!$B$2,0)</f>
        <v>7654</v>
      </c>
      <c r="BL5" s="11">
        <f ca="1">ROUND(BD5*T5*AB5*K5*AZ5*[1]ステータス!$C$2,0)</f>
        <v>2969</v>
      </c>
      <c r="BM5" s="11">
        <f ca="1">ROUND(BD5*U5*AC5*L5*BA5*[1]ステータス!$D$2,0)</f>
        <v>0</v>
      </c>
      <c r="BN5" s="11">
        <f ca="1">ROUND(BD5*V5*AD5*M5*BB5*[1]ステータス!$E$2,0)</f>
        <v>1181</v>
      </c>
      <c r="BO5" s="10">
        <v>0</v>
      </c>
      <c r="BP5" s="10">
        <v>1</v>
      </c>
      <c r="BQ5" s="10" t="s">
        <v>47</v>
      </c>
      <c r="BR5" s="10">
        <f ca="1">VLOOKUP(H5,ghosts_label!$A$2:$B$19,2,FALSE)</f>
        <v>700</v>
      </c>
    </row>
    <row r="6" spans="1:70" ht="26" customHeight="1" x14ac:dyDescent="0.15">
      <c r="A6" s="165">
        <v>1049</v>
      </c>
      <c r="B6" s="54" t="str">
        <f ca="1">VLOOKUP($A6,OFFSET([1]characters!$A$1,0,0,COUNTA([1]characters!$A:$A),MATCH(B$1,[1]characters!$1:$1,0)-MATCH($A$1,[1]characters!$1:$1,0)+1),MATCH(B$1,[1]characters!$1:$1,0)-MATCH($A$1,[1]characters!$1:$1,0)+1,FALSE)</f>
        <v>深秘の水宙 メビウス</v>
      </c>
      <c r="C6" s="54" t="str">
        <f ca="1">VLOOKUP($A6,OFFSET([1]characters!$A$1,0,0,COUNTA([1]characters!$A:$A),MATCH(C$1,[1]characters!$1:$1,0)-MATCH($A$1,[1]characters!$1:$1,0)+1),MATCH(C$1,[1]characters!$1:$1,0)-MATCH($A$1,[1]characters!$1:$1,0)+1,FALSE)</f>
        <v>メビウス_水着</v>
      </c>
      <c r="D6" s="54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4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4" t="str">
        <f ca="1">VLOOKUP($A6,OFFSET([1]characters!$A$1,0,0,COUNTA([1]characters!$A:$A),MATCH(F$1,[1]characters!$1:$1,0)-MATCH($A$1,[1]characters!$1:$1,0)+1),MATCH(F$1,[1]characters!$1:$1,0)-MATCH($A$1,[1]characters!$1:$1,0)+1,FALSE)</f>
        <v>男性</v>
      </c>
      <c r="G6" s="54">
        <f ca="1">VLOOKUP($A6,OFFSET([1]characters!$A$1,0,0,COUNTA([1]characters!$A:$A),MATCH(G$1,[1]characters!$1:$1,0)-MATCH($A$1,[1]characters!$1:$1,0)+1),MATCH(G$1,[1]characters!$1:$1,0)-MATCH($A$1,[1]characters!$1:$1,0)+1,FALSE)</f>
        <v>6</v>
      </c>
      <c r="H6" s="54" t="str">
        <f ca="1">VLOOKUP($A6,OFFSET([1]characters!$A$1,0,0,COUNTA([1]characters!$A:$A),MATCH(H$1,[1]characters!$1:$1,0)-MATCH($A$1,[1]characters!$1:$1,0)+1),MATCH(H$1,[1]characters!$1:$1,0)-MATCH($A$1,[1]characters!$1:$1,0)+1,FALSE)</f>
        <v>PremiumSSS</v>
      </c>
      <c r="I6" s="192" t="str">
        <f ca="1">VLOOKUP($A6,OFFSET([1]characters!$A$1,0,0,COUNTA([1]characters!$A:$A),MATCH(I$1,[1]characters!$1:$1,0)-MATCH($A$1,[1]characters!$1:$1,0)+1),MATCH(I$1,[1]characters!$1:$1,0)-MATCH($A$1,[1]characters!$1:$1,0)+1,FALSE)</f>
        <v>blue</v>
      </c>
      <c r="J6" s="11">
        <f ca="1">VLOOKUP(I6,[1]属性!$A:$E,2,FALSE)</f>
        <v>1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1.02</v>
      </c>
      <c r="N6" s="11">
        <f ca="1">INDEX(コスト!$A$1:$I$20,MATCH(H6,コスト!$A$1:$A$20,FALSE),MATCH(G6,コスト!$A$1:$I$1,FALSE))</f>
        <v>55</v>
      </c>
      <c r="O6" s="11">
        <f ca="1">INDEX(レベル!$A$1:$I$21,MATCH(H6,レベル!$A$1:$A$21,FALSE),MATCH(G6,レベル!$A$1:$I$1,FALSE))</f>
        <v>99</v>
      </c>
      <c r="P6" s="45">
        <f t="shared" ca="1" si="10"/>
        <v>99</v>
      </c>
      <c r="Q6" s="54" t="str">
        <f ca="1">VLOOKUP($A6,OFFSET([1]characters!$A$1,0,0,COUNTA([1]characters!$A:$A),MATCH(Q$1,[1]characters!$1:$1,0)-MATCH($A$1,[1]characters!$1:$1,0)+1),MATCH(Q$1,[1]characters!$1:$1,0)-MATCH($A$1,[1]characters!$1:$1,0)+1,FALSE)</f>
        <v>balance</v>
      </c>
      <c r="R6" s="5" t="str">
        <f ca="1">VLOOKUP(Q6,[1]character_type_i18n!$A:$H,3,FALSE)</f>
        <v>バランスタイプ</v>
      </c>
      <c r="S6" s="11">
        <f ca="1">VLOOKUP(Q6,[1]character_type_i18n!$A:$H,4,FALSE)</f>
        <v>1</v>
      </c>
      <c r="T6" s="11">
        <f ca="1">VLOOKUP(Q6,[1]character_type_i18n!$A:$H,5,FALSE)</f>
        <v>1</v>
      </c>
      <c r="U6" s="11">
        <f ca="1">VLOOKUP(Q6,[1]character_type_i18n!$A:$H,6,FALSE)</f>
        <v>1</v>
      </c>
      <c r="V6" s="11">
        <f ca="1">VLOOKUP(Q6,[1]character_type_i18n!$A:$H,7,FALSE)</f>
        <v>1</v>
      </c>
      <c r="W6" s="54" t="str">
        <f ca="1">VLOOKUP($A6,OFFSET([1]characters!$A$1,0,0,COUNTA([1]characters!$A:$A),MATCH(W$1,[1]characters!$1:$1,0)-MATCH($A$1,[1]characters!$1:$1,0)+1),MATCH(W$1,[1]characters!$1:$1,0)-MATCH($A$1,[1]characters!$1:$1,0)+1,FALSE)</f>
        <v>academia</v>
      </c>
      <c r="X6" s="5" t="str">
        <f ca="1">VLOOKUP(W6,[1]character_tribe_i18n!$A:$H,3,FALSE)</f>
        <v>アカデミア</v>
      </c>
      <c r="Y6" s="54" t="str">
        <f ca="1">VLOOKUP($A6,OFFSET([1]characters!$A$1,0,0,COUNTA([1]characters!$A:$A),MATCH(Y$1,[1]characters!$1:$1,0)-MATCH($A$1,[1]characters!$1:$1,0)+1),MATCH(Y$1,[1]characters!$1:$1,0)-MATCH($A$1,[1]characters!$1:$1,0)+1,FALSE)</f>
        <v>machine</v>
      </c>
      <c r="Z6" s="5" t="str">
        <f ca="1">VLOOKUP(Y6,[1]character_tribe_i18n!$A:$H,3,FALSE)</f>
        <v>マシン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 t="s">
        <v>183</v>
      </c>
      <c r="AF6" s="59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5">
        <f t="shared" ca="1" si="5"/>
        <v>1049</v>
      </c>
      <c r="AH6" s="59" t="str">
        <f ca="1">VLOOKUP($AG6,OFFSET([1]characters!$A$1,0,0,COUNTA([1]characters!$A:$A),MATCH(AH$1,[1]characters!$1:$1,0)-MATCH($A$1,[1]characters!$1:$1,0)+1),MATCH(AH$1,[1]characters!$1:$1,0)-MATCH($A$1,[1]characters!$1:$1,0)+1,FALSE)</f>
        <v>深秘の水宙 メビウス</v>
      </c>
      <c r="AI6" s="11" t="str">
        <f>IF(AE6="NULL","NULL",VLOOKUP(G6,ビット!$A$2:$B$7,2))</f>
        <v>NULL</v>
      </c>
      <c r="AJ6" s="6">
        <v>2</v>
      </c>
      <c r="AK6" s="7" t="str">
        <f t="shared" si="8"/>
        <v>普通</v>
      </c>
      <c r="AL6" s="11" t="str">
        <f ca="1">INDEX(経験値!$A$1:$I$20,MATCH(H6,経験値!$A$1:$A$20,FALSE),MATCH(G6,経験値!$A$1:$I$1,FALSE))</f>
        <v>required_exp_300</v>
      </c>
      <c r="AM6" s="8">
        <f ca="1">VLOOKUP(G6,経験値!$A$27:$B$31,2)</f>
        <v>6400</v>
      </c>
      <c r="AN6" s="17">
        <f ca="1">VLOOKUP(G6,ビット!$G$2:$H$7,2)</f>
        <v>900</v>
      </c>
      <c r="AO6" s="42"/>
      <c r="AP6" s="64">
        <f t="shared" si="6"/>
        <v>1049</v>
      </c>
      <c r="AQ6" s="54" t="str">
        <f ca="1">VLOOKUP($AP6,OFFSET(unit_skills!$A$1,0,0,COUNTA(unit_skills!$A:$A),MATCH(AQ$1,unit_skills!$1:$1,0)-MATCH($AP$1,unit_skills!$1:$1,0)+1),MATCH(AQ$1,unit_skills!$1:$1,0)-MATCH($AP$1,unit_skills!$1:$1,0)+1,FALSE)</f>
        <v>超過潜水マニフォルド</v>
      </c>
      <c r="AR6" s="54" t="str">
        <f ca="1">VLOOKUP($AP6,OFFSET(unit_skills!$A$1,0,0,COUNTA(unit_skills!$A:$A),MATCH(AR$1,unit_skills!$1:$1,0)-MATCH($AP$1,unit_skills!$1:$1,0)+1),MATCH(AR$1,unit_skills!$1:$1,0)-MATCH($AP$1,unit_skills!$1:$1,0)+1,FALSE)</f>
        <v>ランダムで最大14個CPに変換+2ターン種族マシン･アニマル･Unknown･ウェポンと攻撃タイプの攻撃力と回復力と防御力を大UP</v>
      </c>
      <c r="AS6" s="54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39">
        <f t="shared" si="7"/>
        <v>1049</v>
      </c>
      <c r="AU6" s="54" t="str">
        <f ca="1">VLOOKUP($AT6,OFFSET(crash_skills!$A$1,0,0,COUNTA(crash_skills!$A:$A),MATCH(AU$1,crash_skills!$1:$1,0)-MATCH($AT$1,crash_skills!$1:$1,0)+1),MATCH(AU$1,crash_skills!$1:$1,0)-MATCH($AT$1,crash_skills!$1:$1,0)+1,FALSE)</f>
        <v>グランラグーン・トポロジー</v>
      </c>
      <c r="AV6" s="54" t="str">
        <f ca="1">VLOOKUP($AT6,OFFSET(crash_skills!$A$1,0,0,COUNTA(crash_skills!$A:$A),MATCH(AV$1,crash_skills!$1:$1,0)-MATCH($AT$1,crash_skills!$1:$1,0)+1),MATCH(AV$1,crash_skills!$1:$1,0)-MATCH($AT$1,crash_skills!$1:$1,0)+1,FALSE)</f>
        <v>赤・緑・青・黄属性で単体_x000D_に4連続ダメージ+HP小回復</v>
      </c>
      <c r="AW6" s="54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5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5">
        <v>0.997</v>
      </c>
      <c r="AZ6" s="65">
        <v>1.129</v>
      </c>
      <c r="BA6" s="65">
        <v>0</v>
      </c>
      <c r="BB6" s="65">
        <v>1.113</v>
      </c>
      <c r="BC6" s="11">
        <f ca="1">INDEX('RC6SV'!$A$1:$G$20,MATCH(H6,'RC6SV'!$A$1:$A$20,FALSE),MATCH(G6,'RC6SV'!$A$1:$G$1,FALSE))</f>
        <v>14000</v>
      </c>
      <c r="BD6" s="45">
        <f t="shared" ca="1" si="9"/>
        <v>14000</v>
      </c>
      <c r="BE6" s="11">
        <f t="shared" ca="1" si="2"/>
        <v>0</v>
      </c>
      <c r="BF6" s="11">
        <f t="shared" ca="1" si="3"/>
        <v>1</v>
      </c>
      <c r="BG6" s="16">
        <f ca="1">IF($BE6&lt;=0,ROUND(BK6*0.5,0), ROUND($BE6*S6*AA6*J6*AY6*0.8*[1]ステータス!$B$2,0))</f>
        <v>3490</v>
      </c>
      <c r="BH6" s="16">
        <f ca="1">IF($BE6&lt;=0,ROUND(BL6*0.5,0), ROUND($BE6*T6*AB6*K6*AZ6*0.8*[1]ステータス!$C$2,0))</f>
        <v>2324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1987</v>
      </c>
      <c r="BK6" s="11">
        <f ca="1">ROUND(BD6*S6*AA6*J6*AY6*[1]ステータス!$B$2,0)</f>
        <v>6979</v>
      </c>
      <c r="BL6" s="11">
        <f ca="1">ROUND(BD6*T6*AB6*K6*AZ6*[1]ステータス!$C$2,0)</f>
        <v>4647</v>
      </c>
      <c r="BM6" s="11">
        <f ca="1">ROUND(BD6*U6*AC6*L6*BA6*[1]ステータス!$D$2,0)</f>
        <v>0</v>
      </c>
      <c r="BN6" s="11">
        <f ca="1">ROUND(BD6*V6*AD6*M6*BB6*[1]ステータス!$E$2,0)</f>
        <v>3973</v>
      </c>
      <c r="BO6" s="10">
        <v>0</v>
      </c>
      <c r="BP6" s="10">
        <v>1</v>
      </c>
      <c r="BQ6" s="10" t="s">
        <v>47</v>
      </c>
      <c r="BR6" s="10">
        <f ca="1">VLOOKUP(H6,ghosts_label!$A$2:$B$19,2,FALSE)</f>
        <v>30000</v>
      </c>
    </row>
    <row r="7" spans="1:70" ht="26" customHeight="1" x14ac:dyDescent="0.15">
      <c r="A7" s="165">
        <v>1050</v>
      </c>
      <c r="B7" s="54" t="str">
        <f ca="1">VLOOKUP($A7,OFFSET([1]characters!$A$1,0,0,COUNTA([1]characters!$A:$A),MATCH(B$1,[1]characters!$1:$1,0)-MATCH($A$1,[1]characters!$1:$1,0)+1),MATCH(B$1,[1]characters!$1:$1,0)-MATCH($A$1,[1]characters!$1:$1,0)+1,FALSE)</f>
        <v>廻遊の水獣宰相 ルキフグス</v>
      </c>
      <c r="C7" s="54" t="str">
        <f ca="1">VLOOKUP($A7,OFFSET([1]characters!$A$1,0,0,COUNTA([1]characters!$A:$A),MATCH(C$1,[1]characters!$1:$1,0)-MATCH($A$1,[1]characters!$1:$1,0)+1),MATCH(C$1,[1]characters!$1:$1,0)-MATCH($A$1,[1]characters!$1:$1,0)+1,FALSE)</f>
        <v>ルキフグス_水着</v>
      </c>
      <c r="D7" s="54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4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4" t="str">
        <f ca="1">VLOOKUP($A7,OFFSET([1]characters!$A$1,0,0,COUNTA([1]characters!$A:$A),MATCH(F$1,[1]characters!$1:$1,0)-MATCH($A$1,[1]characters!$1:$1,0)+1),MATCH(F$1,[1]characters!$1:$1,0)-MATCH($A$1,[1]characters!$1:$1,0)+1,FALSE)</f>
        <v>男性</v>
      </c>
      <c r="G7" s="54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4" t="str">
        <f ca="1">VLOOKUP($A7,OFFSET([1]characters!$A$1,0,0,COUNTA([1]characters!$A:$A),MATCH(H$1,[1]characters!$1:$1,0)-MATCH($A$1,[1]characters!$1:$1,0)+1),MATCH(H$1,[1]characters!$1:$1,0)-MATCH($A$1,[1]characters!$1:$1,0)+1,FALSE)</f>
        <v>PremiumS</v>
      </c>
      <c r="I7" s="192" t="str">
        <f ca="1">VLOOKUP($A7,OFFSET([1]characters!$A$1,0,0,COUNTA([1]characters!$A:$A),MATCH(I$1,[1]characters!$1:$1,0)-MATCH($A$1,[1]characters!$1:$1,0)+1),MATCH(I$1,[1]characters!$1:$1,0)-MATCH($A$1,[1]characters!$1:$1,0)+1,FALSE)</f>
        <v>blue</v>
      </c>
      <c r="J7" s="11">
        <f ca="1">VLOOKUP(I7,[1]属性!$A:$E,2,FALSE)</f>
        <v>1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1.02</v>
      </c>
      <c r="N7" s="11">
        <f ca="1">INDEX(コスト!$A$1:$I$20,MATCH(H7,コスト!$A$1:$A$20,FALSE),MATCH(G7,コスト!$A$1:$I$1,FALSE))</f>
        <v>30</v>
      </c>
      <c r="O7" s="11">
        <f ca="1">INDEX(レベル!$A$1:$I$21,MATCH(H7,レベル!$A$1:$A$21,FALSE),MATCH(G7,レベル!$A$1:$I$1,FALSE))</f>
        <v>80</v>
      </c>
      <c r="P7" s="45">
        <f t="shared" ca="1" si="10"/>
        <v>75</v>
      </c>
      <c r="Q7" s="54" t="str">
        <f ca="1">VLOOKUP($A7,OFFSET([1]characters!$A$1,0,0,COUNTA([1]characters!$A:$A),MATCH(Q$1,[1]characters!$1:$1,0)-MATCH($A$1,[1]characters!$1:$1,0)+1),MATCH(Q$1,[1]characters!$1:$1,0)-MATCH($A$1,[1]characters!$1:$1,0)+1,FALSE)</f>
        <v>balance</v>
      </c>
      <c r="R7" s="5" t="str">
        <f ca="1">VLOOKUP(Q7,[1]character_type_i18n!$A:$H,3,FALSE)</f>
        <v>バランスタイプ</v>
      </c>
      <c r="S7" s="11">
        <f ca="1">VLOOKUP(Q7,[1]character_type_i18n!$A:$H,4,FALSE)</f>
        <v>1</v>
      </c>
      <c r="T7" s="11">
        <f ca="1">VLOOKUP(Q7,[1]character_type_i18n!$A:$H,5,FALSE)</f>
        <v>1</v>
      </c>
      <c r="U7" s="11">
        <f ca="1">VLOOKUP(Q7,[1]character_type_i18n!$A:$H,6,FALSE)</f>
        <v>1</v>
      </c>
      <c r="V7" s="11">
        <f ca="1">VLOOKUP(Q7,[1]character_type_i18n!$A:$H,7,FALSE)</f>
        <v>1</v>
      </c>
      <c r="W7" s="54" t="str">
        <f ca="1">VLOOKUP($A7,OFFSET([1]characters!$A$1,0,0,COUNTA([1]characters!$A:$A),MATCH(W$1,[1]characters!$1:$1,0)-MATCH($A$1,[1]characters!$1:$1,0)+1),MATCH(W$1,[1]characters!$1:$1,0)-MATCH($A$1,[1]characters!$1:$1,0)+1,FALSE)</f>
        <v>god</v>
      </c>
      <c r="X7" s="5" t="str">
        <f ca="1">VLOOKUP(W7,[1]character_tribe_i18n!$A:$H,3,FALSE)</f>
        <v>ゴッド</v>
      </c>
      <c r="Y7" s="54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0.96</v>
      </c>
      <c r="AB7" s="11">
        <f ca="1">VLOOKUP(W7,[1]character_tribe_i18n!$A:$H,5,FALSE)</f>
        <v>1.02</v>
      </c>
      <c r="AC7" s="11">
        <f ca="1">VLOOKUP(W7,[1]character_tribe_i18n!$A:$H,6,FALSE)</f>
        <v>1</v>
      </c>
      <c r="AD7" s="11">
        <f ca="1">VLOOKUP(W7,[1]character_tribe_i18n!$A:$H,7,FALSE)</f>
        <v>1.02</v>
      </c>
      <c r="AE7" s="9" t="s">
        <v>183</v>
      </c>
      <c r="AF7" s="59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5"/>
        <v>1050</v>
      </c>
      <c r="AH7" s="59" t="str">
        <f ca="1">VLOOKUP($AG7,OFFSET([1]characters!$A$1,0,0,COUNTA([1]characters!$A:$A),MATCH(AH$1,[1]characters!$1:$1,0)-MATCH($A$1,[1]characters!$1:$1,0)+1),MATCH(AH$1,[1]characters!$1:$1,0)-MATCH($A$1,[1]characters!$1:$1,0)+1,FALSE)</f>
        <v>廻遊の水獣宰相 ルキフグス</v>
      </c>
      <c r="AI7" s="11" t="str">
        <f>IF(AE7="NULL","NULL",VLOOKUP(G7,ビット!$A$2:$B$7,2))</f>
        <v>NULL</v>
      </c>
      <c r="AJ7" s="6">
        <v>2</v>
      </c>
      <c r="AK7" s="7" t="str">
        <f t="shared" si="8"/>
        <v>普通</v>
      </c>
      <c r="AL7" s="11" t="str">
        <f ca="1">INDEX(経験値!$A$1:$I$20,MATCH(H7,経験値!$A$1:$A$20,FALSE),MATCH(G7,経験値!$A$1:$I$1,FALSE))</f>
        <v>required_exp_200</v>
      </c>
      <c r="AM7" s="8">
        <f ca="1">VLOOKUP(G7,経験値!$A$27:$B$31,2)</f>
        <v>6400</v>
      </c>
      <c r="AN7" s="17">
        <f ca="1">VLOOKUP(G7,ビット!$G$2:$H$7,2)</f>
        <v>900</v>
      </c>
      <c r="AO7" s="42"/>
      <c r="AP7" s="64">
        <f t="shared" si="6"/>
        <v>1050</v>
      </c>
      <c r="AQ7" s="54" t="str">
        <f ca="1">VLOOKUP($AP7,OFFSET(unit_skills!$A$1,0,0,COUNTA(unit_skills!$A:$A),MATCH(AQ$1,unit_skills!$1:$1,0)-MATCH($AP$1,unit_skills!$1:$1,0)+1),MATCH(AQ$1,unit_skills!$1:$1,0)-MATCH($AP$1,unit_skills!$1:$1,0)+1,FALSE)</f>
        <v>波断の海影・マリーンクロス</v>
      </c>
      <c r="AR7" s="54" t="str">
        <f ca="1">VLOOKUP($AP7,OFFSET(unit_skills!$A$1,0,0,COUNTA(unit_skills!$A:$A),MATCH(AR$1,unit_skills!$1:$1,0)-MATCH($AP$1,unit_skills!$1:$1,0)+1),MATCH(AR$1,unit_skills!$1:$1,0)-MATCH($AP$1,unit_skills!$1:$1,0)+1,FALSE)</f>
        <v>1体に特大ダメージ(与えたダメージの15％でHP回復)</v>
      </c>
      <c r="AS7" s="54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39">
        <f t="shared" si="7"/>
        <v>1050</v>
      </c>
      <c r="AU7" s="54" t="str">
        <f ca="1">VLOOKUP($AT7,OFFSET(crash_skills!$A$1,0,0,COUNTA(crash_skills!$A:$A),MATCH(AU$1,crash_skills!$1:$1,0)-MATCH($AT$1,crash_skills!$1:$1,0)+1),MATCH(AU$1,crash_skills!$1:$1,0)-MATCH($AT$1,crash_skills!$1:$1,0)+1,FALSE)</f>
        <v>獣影・タイダルウェーブ</v>
      </c>
      <c r="AV7" s="54" t="str">
        <f ca="1">VLOOKUP($AT7,OFFSET(crash_skills!$A$1,0,0,COUNTA(crash_skills!$A:$A),MATCH(AV$1,crash_skills!$1:$1,0)-MATCH($AT$1,crash_skills!$1:$1,0)+1),MATCH(AV$1,crash_skills!$1:$1,0)-MATCH($AT$1,crash_skills!$1:$1,0)+1,FALSE)</f>
        <v>1体に中ダメージ_x000D_赤属性に効果大</v>
      </c>
      <c r="AW7" s="54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5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5">
        <v>1</v>
      </c>
      <c r="AZ7" s="65">
        <v>1</v>
      </c>
      <c r="BA7" s="65">
        <v>0</v>
      </c>
      <c r="BB7" s="65">
        <v>1.05</v>
      </c>
      <c r="BC7" s="11">
        <f ca="1">INDEX('RC6SV'!$A$1:$G$20,MATCH(H7,'RC6SV'!$A$1:$A$20,FALSE),MATCH(G7,'RC6SV'!$A$1:$G$1,FALSE))</f>
        <v>9000</v>
      </c>
      <c r="BD7" s="45">
        <f t="shared" ca="1" si="9"/>
        <v>9000</v>
      </c>
      <c r="BE7" s="11">
        <f t="shared" ca="1" si="2"/>
        <v>0</v>
      </c>
      <c r="BF7" s="11">
        <f t="shared" ca="1" si="3"/>
        <v>1</v>
      </c>
      <c r="BG7" s="16">
        <f ca="1">IF($BE7&lt;=0,ROUND(BK7*0.5,0), ROUND($BE7*S7*AA7*J7*AY7*0.8*[1]ステータス!$B$2,0))</f>
        <v>2160</v>
      </c>
      <c r="BH7" s="16">
        <f ca="1">IF($BE7&lt;=0,ROUND(BL7*0.5,0), ROUND($BE7*T7*AB7*K7*AZ7*0.8*[1]ステータス!$C$2,0))</f>
        <v>1350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1229</v>
      </c>
      <c r="BK7" s="11">
        <f ca="1">ROUND(BD7*S7*AA7*J7*AY7*[1]ステータス!$B$2,0)</f>
        <v>4320</v>
      </c>
      <c r="BL7" s="11">
        <f ca="1">ROUND(BD7*T7*AB7*K7*AZ7*[1]ステータス!$C$2,0)</f>
        <v>2699</v>
      </c>
      <c r="BM7" s="11">
        <f ca="1">ROUND(BD7*U7*AC7*L7*BA7*[1]ステータス!$D$2,0)</f>
        <v>0</v>
      </c>
      <c r="BN7" s="11">
        <f ca="1">ROUND(BD7*V7*AD7*M7*BB7*[1]ステータス!$E$2,0)</f>
        <v>2458</v>
      </c>
      <c r="BO7" s="10">
        <v>0</v>
      </c>
      <c r="BP7" s="10">
        <v>1</v>
      </c>
      <c r="BQ7" s="10" t="s">
        <v>47</v>
      </c>
      <c r="BR7" s="10">
        <f ca="1">VLOOKUP(H7,ghosts_label!$A$2:$B$19,2,FALSE)</f>
        <v>700</v>
      </c>
    </row>
    <row r="8" spans="1:70" ht="26" customHeight="1" x14ac:dyDescent="0.15">
      <c r="A8" s="165">
        <v>1051</v>
      </c>
      <c r="B8" s="54" t="str">
        <f ca="1">VLOOKUP($A8,OFFSET([1]characters!$A$1,0,0,COUNTA([1]characters!$A:$A),MATCH(B$1,[1]characters!$1:$1,0)-MATCH($A$1,[1]characters!$1:$1,0)+1),MATCH(B$1,[1]characters!$1:$1,0)-MATCH($A$1,[1]characters!$1:$1,0)+1,FALSE)</f>
        <v>嬌電の飛沫 ファラデー</v>
      </c>
      <c r="C8" s="54" t="str">
        <f ca="1">VLOOKUP($A8,OFFSET([1]characters!$A$1,0,0,COUNTA([1]characters!$A:$A),MATCH(C$1,[1]characters!$1:$1,0)-MATCH($A$1,[1]characters!$1:$1,0)+1),MATCH(C$1,[1]characters!$1:$1,0)-MATCH($A$1,[1]characters!$1:$1,0)+1,FALSE)</f>
        <v>ファラデー_水着</v>
      </c>
      <c r="D8" s="54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4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4" t="str">
        <f ca="1">VLOOKUP($A8,OFFSET([1]characters!$A$1,0,0,COUNTA([1]characters!$A:$A),MATCH(F$1,[1]characters!$1:$1,0)-MATCH($A$1,[1]characters!$1:$1,0)+1),MATCH(F$1,[1]characters!$1:$1,0)-MATCH($A$1,[1]characters!$1:$1,0)+1,FALSE)</f>
        <v>男性</v>
      </c>
      <c r="G8" s="54">
        <f ca="1">VLOOKUP($A8,OFFSET([1]characters!$A$1,0,0,COUNTA([1]characters!$A:$A),MATCH(G$1,[1]characters!$1:$1,0)-MATCH($A$1,[1]characters!$1:$1,0)+1),MATCH(G$1,[1]characters!$1:$1,0)-MATCH($A$1,[1]characters!$1:$1,0)+1,FALSE)</f>
        <v>6</v>
      </c>
      <c r="H8" s="54" t="str">
        <f ca="1">VLOOKUP($A8,OFFSET([1]characters!$A$1,0,0,COUNTA([1]characters!$A:$A),MATCH(H$1,[1]characters!$1:$1,0)-MATCH($A$1,[1]characters!$1:$1,0)+1),MATCH(H$1,[1]characters!$1:$1,0)-MATCH($A$1,[1]characters!$1:$1,0)+1,FALSE)</f>
        <v>PremiumSSS</v>
      </c>
      <c r="I8" s="192" t="s">
        <v>370</v>
      </c>
      <c r="J8" s="11">
        <f>VLOOKUP(I8,[1]属性!$A:$E,2,FALSE)</f>
        <v>0.98</v>
      </c>
      <c r="K8" s="11">
        <f>VLOOKUP(I8,[1]属性!$A:$E,3,FALSE)</f>
        <v>1.01</v>
      </c>
      <c r="L8" s="11">
        <f>VLOOKUP(I8,[1]属性!$A:$E,4,FALSE)</f>
        <v>1</v>
      </c>
      <c r="M8" s="11">
        <f>VLOOKUP(I8,[1]属性!$A:$E,5,FALSE)</f>
        <v>1.01</v>
      </c>
      <c r="N8" s="11">
        <f ca="1">INDEX(コスト!$A$1:$I$20,MATCH(H8,コスト!$A$1:$A$20,FALSE),MATCH(G8,コスト!$A$1:$I$1,FALSE))</f>
        <v>55</v>
      </c>
      <c r="O8" s="11">
        <f ca="1">INDEX(レベル!$A$1:$I$21,MATCH(H8,レベル!$A$1:$A$21,FALSE),MATCH(G8,レベル!$A$1:$I$1,FALSE))</f>
        <v>99</v>
      </c>
      <c r="P8" s="45">
        <f t="shared" ca="1" si="10"/>
        <v>99</v>
      </c>
      <c r="Q8" s="54" t="str">
        <f ca="1">VLOOKUP($A8,OFFSET([1]characters!$A$1,0,0,COUNTA([1]characters!$A:$A),MATCH(Q$1,[1]characters!$1:$1,0)-MATCH($A$1,[1]characters!$1:$1,0)+1),MATCH(Q$1,[1]characters!$1:$1,0)-MATCH($A$1,[1]characters!$1:$1,0)+1,FALSE)</f>
        <v>balance</v>
      </c>
      <c r="R8" s="5" t="str">
        <f ca="1">VLOOKUP(Q8,[1]character_type_i18n!$A:$H,3,FALSE)</f>
        <v>バランスタイプ</v>
      </c>
      <c r="S8" s="11">
        <f ca="1">VLOOKUP(Q8,[1]character_type_i18n!$A:$H,4,FALSE)</f>
        <v>1</v>
      </c>
      <c r="T8" s="11">
        <f ca="1">VLOOKUP(Q8,[1]character_type_i18n!$A:$H,5,FALSE)</f>
        <v>1</v>
      </c>
      <c r="U8" s="11">
        <f ca="1">VLOOKUP(Q8,[1]character_type_i18n!$A:$H,6,FALSE)</f>
        <v>1</v>
      </c>
      <c r="V8" s="11">
        <f ca="1">VLOOKUP(Q8,[1]character_type_i18n!$A:$H,7,FALSE)</f>
        <v>1</v>
      </c>
      <c r="W8" s="54" t="str">
        <f ca="1">VLOOKUP($A8,OFFSET([1]characters!$A$1,0,0,COUNTA([1]characters!$A:$A),MATCH(W$1,[1]characters!$1:$1,0)-MATCH($A$1,[1]characters!$1:$1,0)+1),MATCH(W$1,[1]characters!$1:$1,0)-MATCH($A$1,[1]characters!$1:$1,0)+1,FALSE)</f>
        <v>academia</v>
      </c>
      <c r="X8" s="5" t="str">
        <f ca="1">VLOOKUP(W8,[1]character_tribe_i18n!$A:$H,3,FALSE)</f>
        <v>アカデミア</v>
      </c>
      <c r="Y8" s="54" t="str">
        <f ca="1">VLOOKUP($A8,OFFSET([1]characters!$A$1,0,0,COUNTA([1]characters!$A:$A),MATCH(Y$1,[1]characters!$1:$1,0)-MATCH($A$1,[1]characters!$1:$1,0)+1),MATCH(Y$1,[1]characters!$1:$1,0)-MATCH($A$1,[1]characters!$1:$1,0)+1,FALSE)</f>
        <v>human</v>
      </c>
      <c r="Z8" s="5" t="str">
        <f ca="1">VLOOKUP(Y8,[1]character_tribe_i18n!$A:$H,3,FALSE)</f>
        <v>ヒューマン</v>
      </c>
      <c r="AA8" s="11">
        <f ca="1">VLOOKUP(W8,[1]character_tribe_i18n!$A:$H,4,FALSE)</f>
        <v>1</v>
      </c>
      <c r="AB8" s="11">
        <f ca="1">VLOOKUP(W8,[1]character_tribe_i18n!$A:$H,5,FALSE)</f>
        <v>1</v>
      </c>
      <c r="AC8" s="11">
        <f ca="1">VLOOKUP(W8,[1]character_tribe_i18n!$A:$H,6,FALSE)</f>
        <v>1</v>
      </c>
      <c r="AD8" s="11">
        <f ca="1">VLOOKUP(W8,[1]character_tribe_i18n!$A:$H,7,FALSE)</f>
        <v>1</v>
      </c>
      <c r="AE8" s="9" t="s">
        <v>183</v>
      </c>
      <c r="AF8" s="59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5">
        <f t="shared" ca="1" si="5"/>
        <v>1051</v>
      </c>
      <c r="AH8" s="59" t="str">
        <f ca="1">VLOOKUP($AG8,OFFSET([1]characters!$A$1,0,0,COUNTA([1]characters!$A:$A),MATCH(AH$1,[1]characters!$1:$1,0)-MATCH($A$1,[1]characters!$1:$1,0)+1),MATCH(AH$1,[1]characters!$1:$1,0)-MATCH($A$1,[1]characters!$1:$1,0)+1,FALSE)</f>
        <v>嬌電の飛沫 ファラデー</v>
      </c>
      <c r="AI8" s="11" t="str">
        <f>IF(AE8="NULL","NULL",VLOOKUP(G8,ビット!$A$2:$B$7,2))</f>
        <v>NULL</v>
      </c>
      <c r="AJ8" s="6">
        <v>2</v>
      </c>
      <c r="AK8" s="7" t="str">
        <f t="shared" si="8"/>
        <v>普通</v>
      </c>
      <c r="AL8" s="11" t="str">
        <f ca="1">INDEX(経験値!$A$1:$I$20,MATCH(H8,経験値!$A$1:$A$20,FALSE),MATCH(G8,経験値!$A$1:$I$1,FALSE))</f>
        <v>required_exp_300</v>
      </c>
      <c r="AM8" s="8">
        <f ca="1">VLOOKUP(G8,経験値!$A$27:$B$31,2)</f>
        <v>6400</v>
      </c>
      <c r="AN8" s="17">
        <f ca="1">VLOOKUP(G8,ビット!$G$2:$H$7,2)</f>
        <v>900</v>
      </c>
      <c r="AO8" s="42"/>
      <c r="AP8" s="64">
        <f t="shared" si="6"/>
        <v>1051</v>
      </c>
      <c r="AQ8" s="54" t="str">
        <f ca="1">VLOOKUP($AP8,OFFSET(unit_skills!$A$1,0,0,COUNTA(unit_skills!$A:$A),MATCH(AQ$1,unit_skills!$1:$1,0)-MATCH($AP$1,unit_skills!$1:$1,0)+1),MATCH(AQ$1,unit_skills!$1:$1,0)-MATCH($AP$1,unit_skills!$1:$1,0)+1,FALSE)</f>
        <v>激流噴射・トロピカルポンプ</v>
      </c>
      <c r="AR8" s="54" t="str">
        <f ca="1">VLOOKUP($AP8,OFFSET(unit_skills!$A$1,0,0,COUNTA(unit_skills!$A:$A),MATCH(AR$1,unit_skills!$1:$1,0)-MATCH($AP$1,unit_skills!$1:$1,0)+1),MATCH(AR$1,unit_skills!$1:$1,0)-MATCH($AP$1,unit_skills!$1:$1,0)+1,FALSE)</f>
        <v>赤パネルを青ボムパネルに変換+1ターン確率で先頭ユニットのCパネルをドロップし、全ユニットの攻撃力を大UP</v>
      </c>
      <c r="AS8" s="54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39">
        <f t="shared" si="7"/>
        <v>1051</v>
      </c>
      <c r="AU8" s="54" t="str">
        <f ca="1">VLOOKUP($AT8,OFFSET(crash_skills!$A$1,0,0,COUNTA(crash_skills!$A:$A),MATCH(AU$1,crash_skills!$1:$1,0)-MATCH($AT$1,crash_skills!$1:$1,0)+1),MATCH(AU$1,crash_skills!$1:$1,0)-MATCH($AT$1,crash_skills!$1:$1,0)+1,FALSE)</f>
        <v>万波・マキシマムフラッド</v>
      </c>
      <c r="AV8" s="54" t="str">
        <f ca="1">VLOOKUP($AT8,OFFSET(crash_skills!$A$1,0,0,COUNTA(crash_skills!$A:$A),MATCH(AV$1,crash_skills!$1:$1,0)-MATCH($AT$1,crash_skills!$1:$1,0)+1),MATCH(AV$1,crash_skills!$1:$1,0)-MATCH($AT$1,crash_skills!$1:$1,0)+1,FALSE)</f>
        <v>1体に超大ダメージ</v>
      </c>
      <c r="AW8" s="54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5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5">
        <v>1.0629999999999999</v>
      </c>
      <c r="AZ8" s="65">
        <v>1.089</v>
      </c>
      <c r="BA8" s="65">
        <v>0</v>
      </c>
      <c r="BB8" s="65">
        <v>0.94199999999999995</v>
      </c>
      <c r="BC8" s="11">
        <f ca="1">INDEX('RC6SV'!$A$1:$G$20,MATCH(H8,'RC6SV'!$A$1:$A$20,FALSE),MATCH(G8,'RC6SV'!$A$1:$G$1,FALSE))</f>
        <v>14000</v>
      </c>
      <c r="BD8" s="45">
        <f t="shared" ca="1" si="9"/>
        <v>14000</v>
      </c>
      <c r="BE8" s="11">
        <f t="shared" ca="1" si="2"/>
        <v>0</v>
      </c>
      <c r="BF8" s="11">
        <f t="shared" ca="1" si="3"/>
        <v>1</v>
      </c>
      <c r="BG8" s="16">
        <f ca="1">IF($BE8&lt;=0,ROUND(BK8*0.5,0), ROUND($BE8*S8*AA8*J8*AY8*0.8*[1]ステータス!$B$2,0))</f>
        <v>3646</v>
      </c>
      <c r="BH8" s="16">
        <f ca="1">IF($BE8&lt;=0,ROUND(BL8*0.5,0), ROUND($BE8*T8*AB8*K8*AZ8*0.8*[1]ステータス!$C$2,0))</f>
        <v>2310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1665</v>
      </c>
      <c r="BK8" s="11">
        <f ca="1">ROUND(BD8*S8*AA8*J8*AY8*[1]ステータス!$B$2,0)</f>
        <v>7292</v>
      </c>
      <c r="BL8" s="11">
        <f ca="1">ROUND(BD8*T8*AB8*K8*AZ8*[1]ステータス!$C$2,0)</f>
        <v>4620</v>
      </c>
      <c r="BM8" s="11">
        <f ca="1">ROUND(BD8*U8*AC8*L8*BA8*[1]ステータス!$D$2,0)</f>
        <v>0</v>
      </c>
      <c r="BN8" s="11">
        <f ca="1">ROUND(BD8*V8*AD8*M8*BB8*[1]ステータス!$E$2,0)</f>
        <v>3330</v>
      </c>
      <c r="BO8" s="10">
        <v>0</v>
      </c>
      <c r="BP8" s="10">
        <v>1</v>
      </c>
      <c r="BQ8" s="10" t="s">
        <v>47</v>
      </c>
      <c r="BR8" s="10">
        <f ca="1">VLOOKUP(H8,ghosts_label!$A$2:$B$19,2,FALSE)</f>
        <v>30000</v>
      </c>
    </row>
    <row r="9" spans="1:70" ht="26" customHeight="1" x14ac:dyDescent="0.15">
      <c r="A9" s="165">
        <v>1052</v>
      </c>
      <c r="B9" s="54" t="str">
        <f ca="1">VLOOKUP($A9,OFFSET([1]characters!$A$1,0,0,COUNTA([1]characters!$A:$A),MATCH(B$1,[1]characters!$1:$1,0)-MATCH($A$1,[1]characters!$1:$1,0)+1),MATCH(B$1,[1]characters!$1:$1,0)-MATCH($A$1,[1]characters!$1:$1,0)+1,FALSE)</f>
        <v>戯魚群の潜光 バルドル</v>
      </c>
      <c r="C9" s="54" t="str">
        <f ca="1">VLOOKUP($A9,OFFSET([1]characters!$A$1,0,0,COUNTA([1]characters!$A:$A),MATCH(C$1,[1]characters!$1:$1,0)-MATCH($A$1,[1]characters!$1:$1,0)+1),MATCH(C$1,[1]characters!$1:$1,0)-MATCH($A$1,[1]characters!$1:$1,0)+1,FALSE)</f>
        <v>バルドル_水着</v>
      </c>
      <c r="D9" s="54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4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4" t="str">
        <f ca="1">VLOOKUP($A9,OFFSET([1]characters!$A$1,0,0,COUNTA([1]characters!$A:$A),MATCH(F$1,[1]characters!$1:$1,0)-MATCH($A$1,[1]characters!$1:$1,0)+1),MATCH(F$1,[1]characters!$1:$1,0)-MATCH($A$1,[1]characters!$1:$1,0)+1,FALSE)</f>
        <v>男性</v>
      </c>
      <c r="G9" s="54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4" t="str">
        <f ca="1">VLOOKUP($A9,OFFSET([1]characters!$A$1,0,0,COUNTA([1]characters!$A:$A),MATCH(H$1,[1]characters!$1:$1,0)-MATCH($A$1,[1]characters!$1:$1,0)+1),MATCH(H$1,[1]characters!$1:$1,0)-MATCH($A$1,[1]characters!$1:$1,0)+1,FALSE)</f>
        <v>PremiumS</v>
      </c>
      <c r="I9" s="192" t="s">
        <v>370</v>
      </c>
      <c r="J9" s="11">
        <f>VLOOKUP(I9,[1]属性!$A:$E,2,FALSE)</f>
        <v>0.98</v>
      </c>
      <c r="K9" s="11">
        <f>VLOOKUP(I9,[1]属性!$A:$E,3,FALSE)</f>
        <v>1.01</v>
      </c>
      <c r="L9" s="11">
        <f>VLOOKUP(I9,[1]属性!$A:$E,4,FALSE)</f>
        <v>1</v>
      </c>
      <c r="M9" s="11">
        <f>VLOOKUP(I9,[1]属性!$A:$E,5,FALSE)</f>
        <v>1.01</v>
      </c>
      <c r="N9" s="11">
        <f ca="1">INDEX(コスト!$A$1:$I$20,MATCH(H9,コスト!$A$1:$A$20,FALSE),MATCH(G9,コスト!$A$1:$I$1,FALSE))</f>
        <v>30</v>
      </c>
      <c r="O9" s="11">
        <f ca="1">INDEX(レベル!$A$1:$I$21,MATCH(H9,レベル!$A$1:$A$21,FALSE),MATCH(G9,レベル!$A$1:$I$1,FALSE))</f>
        <v>80</v>
      </c>
      <c r="P9" s="45">
        <f t="shared" ca="1" si="10"/>
        <v>75</v>
      </c>
      <c r="Q9" s="54" t="str">
        <f ca="1">VLOOKUP($A9,OFFSET([1]characters!$A$1,0,0,COUNTA([1]characters!$A:$A),MATCH(Q$1,[1]characters!$1:$1,0)-MATCH($A$1,[1]characters!$1:$1,0)+1),MATCH(Q$1,[1]characters!$1:$1,0)-MATCH($A$1,[1]characters!$1:$1,0)+1,FALSE)</f>
        <v>heal</v>
      </c>
      <c r="R9" s="5" t="str">
        <f ca="1">VLOOKUP(Q9,[1]character_type_i18n!$A:$H,3,FALSE)</f>
        <v>回復タイプ</v>
      </c>
      <c r="S9" s="11">
        <f ca="1">VLOOKUP(Q9,[1]character_type_i18n!$A:$H,4,FALSE)</f>
        <v>0.8</v>
      </c>
      <c r="T9" s="11">
        <f ca="1">VLOOKUP(Q9,[1]character_type_i18n!$A:$H,5,FALSE)</f>
        <v>0.78</v>
      </c>
      <c r="U9" s="11">
        <f ca="1">VLOOKUP(Q9,[1]character_type_i18n!$A:$H,6,FALSE)</f>
        <v>1</v>
      </c>
      <c r="V9" s="11">
        <f ca="1">VLOOKUP(Q9,[1]character_type_i18n!$A:$H,7,FALSE)</f>
        <v>1.42</v>
      </c>
      <c r="W9" s="54" t="str">
        <f ca="1">VLOOKUP($A9,OFFSET([1]characters!$A$1,0,0,COUNTA([1]characters!$A:$A),MATCH(W$1,[1]characters!$1:$1,0)-MATCH($A$1,[1]characters!$1:$1,0)+1),MATCH(W$1,[1]characters!$1:$1,0)-MATCH($A$1,[1]characters!$1:$1,0)+1,FALSE)</f>
        <v>god</v>
      </c>
      <c r="X9" s="5" t="str">
        <f ca="1">VLOOKUP(W9,[1]character_tribe_i18n!$A:$H,3,FALSE)</f>
        <v>ゴッド</v>
      </c>
      <c r="Y9" s="54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0.96</v>
      </c>
      <c r="AB9" s="11">
        <f ca="1">VLOOKUP(W9,[1]character_tribe_i18n!$A:$H,5,FALSE)</f>
        <v>1.02</v>
      </c>
      <c r="AC9" s="11">
        <f ca="1">VLOOKUP(W9,[1]character_tribe_i18n!$A:$H,6,FALSE)</f>
        <v>1</v>
      </c>
      <c r="AD9" s="11">
        <f ca="1">VLOOKUP(W9,[1]character_tribe_i18n!$A:$H,7,FALSE)</f>
        <v>1.02</v>
      </c>
      <c r="AE9" s="9" t="s">
        <v>183</v>
      </c>
      <c r="AF9" s="59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5"/>
        <v>1052</v>
      </c>
      <c r="AH9" s="59" t="str">
        <f ca="1">VLOOKUP($AG9,OFFSET([1]characters!$A$1,0,0,COUNTA([1]characters!$A:$A),MATCH(AH$1,[1]characters!$1:$1,0)-MATCH($A$1,[1]characters!$1:$1,0)+1),MATCH(AH$1,[1]characters!$1:$1,0)-MATCH($A$1,[1]characters!$1:$1,0)+1,FALSE)</f>
        <v>戯魚群の潜光 バルドル</v>
      </c>
      <c r="AI9" s="11" t="str">
        <f>IF(AE9="NULL","NULL",VLOOKUP(G9,ビット!$A$2:$B$7,2))</f>
        <v>NULL</v>
      </c>
      <c r="AJ9" s="6">
        <v>2</v>
      </c>
      <c r="AK9" s="7" t="str">
        <f t="shared" si="8"/>
        <v>普通</v>
      </c>
      <c r="AL9" s="11" t="str">
        <f ca="1">INDEX(経験値!$A$1:$I$20,MATCH(H9,経験値!$A$1:$A$20,FALSE),MATCH(G9,経験値!$A$1:$I$1,FALSE))</f>
        <v>required_exp_200</v>
      </c>
      <c r="AM9" s="8">
        <f ca="1">VLOOKUP(G9,経験値!$A$27:$B$31,2)</f>
        <v>6400</v>
      </c>
      <c r="AN9" s="17">
        <f ca="1">VLOOKUP(G9,ビット!$G$2:$H$7,2)</f>
        <v>900</v>
      </c>
      <c r="AO9" s="42"/>
      <c r="AP9" s="64">
        <f t="shared" si="6"/>
        <v>1052</v>
      </c>
      <c r="AQ9" s="54" t="str">
        <f ca="1">VLOOKUP($AP9,OFFSET(unit_skills!$A$1,0,0,COUNTA(unit_skills!$A:$A),MATCH(AQ$1,unit_skills!$1:$1,0)-MATCH($AP$1,unit_skills!$1:$1,0)+1),MATCH(AQ$1,unit_skills!$1:$1,0)-MATCH($AP$1,unit_skills!$1:$1,0)+1,FALSE)</f>
        <v>ひと夏のゆびきり</v>
      </c>
      <c r="AR9" s="54" t="str">
        <f ca="1">VLOOKUP($AP9,OFFSET(unit_skills!$A$1,0,0,COUNTA(unit_skills!$A:$A),MATCH(AR$1,unit_skills!$1:$1,0)-MATCH($AP$1,unit_skills!$1:$1,0)+1),MATCH(AR$1,unit_skills!$1:$1,0)-MATCH($AP$1,unit_skills!$1:$1,0)+1,FALSE)</f>
        <v>HP回復(赤パネルを吸収して効果大UP)+3ターン青属性の防御力を特大UP</v>
      </c>
      <c r="AS9" s="54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39">
        <f t="shared" si="7"/>
        <v>1052</v>
      </c>
      <c r="AU9" s="54" t="str">
        <f ca="1">VLOOKUP($AT9,OFFSET(crash_skills!$A$1,0,0,COUNTA(crash_skills!$A:$A),MATCH(AU$1,crash_skills!$1:$1,0)-MATCH($AT$1,crash_skills!$1:$1,0)+1),MATCH(AU$1,crash_skills!$1:$1,0)-MATCH($AT$1,crash_skills!$1:$1,0)+1,FALSE)</f>
        <v>アクアストローク・ジャッジ</v>
      </c>
      <c r="AV9" s="54" t="str">
        <f ca="1">VLOOKUP($AT9,OFFSET(crash_skills!$A$1,0,0,COUNTA(crash_skills!$A:$A),MATCH(AV$1,crash_skills!$1:$1,0)-MATCH($AT$1,crash_skills!$1:$1,0)+1),MATCH(AV$1,crash_skills!$1:$1,0)-MATCH($AT$1,crash_skills!$1:$1,0)+1,FALSE)</f>
        <v>マシンに効果特大の単体ダメージ+_x000D_HP大回復</v>
      </c>
      <c r="AW9" s="54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5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5">
        <v>1</v>
      </c>
      <c r="AZ9" s="65">
        <v>1</v>
      </c>
      <c r="BA9" s="65">
        <v>0</v>
      </c>
      <c r="BB9" s="65">
        <v>1.05</v>
      </c>
      <c r="BC9" s="11">
        <f ca="1">INDEX('RC6SV'!$A$1:$G$20,MATCH(H9,'RC6SV'!$A$1:$A$20,FALSE),MATCH(G9,'RC6SV'!$A$1:$G$1,FALSE))</f>
        <v>9000</v>
      </c>
      <c r="BD9" s="45">
        <f t="shared" ca="1" si="9"/>
        <v>9000</v>
      </c>
      <c r="BE9" s="11">
        <f t="shared" ca="1" si="2"/>
        <v>0</v>
      </c>
      <c r="BF9" s="11">
        <f t="shared" ca="1" si="3"/>
        <v>1</v>
      </c>
      <c r="BG9" s="16">
        <f ca="1">IF($BE9&lt;=0,ROUND(BK9*0.5,0), ROUND($BE9*S9*AA9*J9*AY9*0.8*[1]ステータス!$B$2,0))</f>
        <v>1694</v>
      </c>
      <c r="BH9" s="16">
        <f ca="1">IF($BE9&lt;=0,ROUND(BL9*0.5,0), ROUND($BE9*T9*AB9*K9*AZ9*0.8*[1]ステータス!$C$2,0))</f>
        <v>1085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1728</v>
      </c>
      <c r="BK9" s="11">
        <f ca="1">ROUND(BD9*S9*AA9*J9*AY9*[1]ステータス!$B$2,0)</f>
        <v>3387</v>
      </c>
      <c r="BL9" s="11">
        <f ca="1">ROUND(BD9*T9*AB9*K9*AZ9*[1]ステータス!$C$2,0)</f>
        <v>2170</v>
      </c>
      <c r="BM9" s="11">
        <f ca="1">ROUND(BD9*U9*AC9*L9*BA9*[1]ステータス!$D$2,0)</f>
        <v>0</v>
      </c>
      <c r="BN9" s="11">
        <f ca="1">ROUND(BD9*V9*AD9*M9*BB9*[1]ステータス!$E$2,0)</f>
        <v>3456</v>
      </c>
      <c r="BO9" s="10">
        <v>0</v>
      </c>
      <c r="BP9" s="10">
        <v>1</v>
      </c>
      <c r="BQ9" s="10" t="s">
        <v>47</v>
      </c>
      <c r="BR9" s="10">
        <f ca="1">VLOOKUP(H9,ghosts_label!$A$2:$B$19,2,FALSE)</f>
        <v>700</v>
      </c>
    </row>
    <row r="10" spans="1:70" ht="26" customHeight="1" x14ac:dyDescent="0.15">
      <c r="A10" s="165">
        <v>1053</v>
      </c>
      <c r="B10" s="54" t="str">
        <f ca="1">VLOOKUP($A10,OFFSET([1]characters!$A$1,0,0,COUNTA([1]characters!$A:$A),MATCH(B$1,[1]characters!$1:$1,0)-MATCH($A$1,[1]characters!$1:$1,0)+1),MATCH(B$1,[1]characters!$1:$1,0)-MATCH($A$1,[1]characters!$1:$1,0)+1,FALSE)</f>
        <v>常夏の眩獣 麒麟</v>
      </c>
      <c r="C10" s="54" t="str">
        <f ca="1">VLOOKUP($A10,OFFSET([1]characters!$A$1,0,0,COUNTA([1]characters!$A:$A),MATCH(C$1,[1]characters!$1:$1,0)-MATCH($A$1,[1]characters!$1:$1,0)+1),MATCH(C$1,[1]characters!$1:$1,0)-MATCH($A$1,[1]characters!$1:$1,0)+1,FALSE)</f>
        <v>麒麟_水着</v>
      </c>
      <c r="D10" s="54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4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4" t="str">
        <f ca="1">VLOOKUP($A10,OFFSET([1]characters!$A$1,0,0,COUNTA([1]characters!$A:$A),MATCH(F$1,[1]characters!$1:$1,0)-MATCH($A$1,[1]characters!$1:$1,0)+1),MATCH(F$1,[1]characters!$1:$1,0)-MATCH($A$1,[1]characters!$1:$1,0)+1,FALSE)</f>
        <v>男性</v>
      </c>
      <c r="G10" s="54">
        <f ca="1">VLOOKUP($A10,OFFSET([1]characters!$A$1,0,0,COUNTA([1]characters!$A:$A),MATCH(G$1,[1]characters!$1:$1,0)-MATCH($A$1,[1]characters!$1:$1,0)+1),MATCH(G$1,[1]characters!$1:$1,0)-MATCH($A$1,[1]characters!$1:$1,0)+1,FALSE)</f>
        <v>5</v>
      </c>
      <c r="H10" s="54" t="str">
        <f ca="1">VLOOKUP($A10,OFFSET([1]characters!$A$1,0,0,COUNTA([1]characters!$A:$A),MATCH(H$1,[1]characters!$1:$1,0)-MATCH($A$1,[1]characters!$1:$1,0)+1),MATCH(H$1,[1]characters!$1:$1,0)-MATCH($A$1,[1]characters!$1:$1,0)+1,FALSE)</f>
        <v>DropWizS</v>
      </c>
      <c r="I10" s="192" t="s">
        <v>370</v>
      </c>
      <c r="J10" s="11">
        <f>VLOOKUP(I10,[1]属性!$A:$E,2,FALSE)</f>
        <v>0.98</v>
      </c>
      <c r="K10" s="11">
        <f>VLOOKUP(I10,[1]属性!$A:$E,3,FALSE)</f>
        <v>1.01</v>
      </c>
      <c r="L10" s="11">
        <f>VLOOKUP(I10,[1]属性!$A:$E,4,FALSE)</f>
        <v>1</v>
      </c>
      <c r="M10" s="11">
        <f>VLOOKUP(I10,[1]属性!$A:$E,5,FALSE)</f>
        <v>1.01</v>
      </c>
      <c r="N10" s="11">
        <f ca="1">INDEX(コスト!$A$1:$I$20,MATCH(H10,コスト!$A$1:$A$20,FALSE),MATCH(G10,コスト!$A$1:$I$1,FALSE))</f>
        <v>30</v>
      </c>
      <c r="O10" s="11">
        <f ca="1">INDEX(レベル!$A$1:$I$21,MATCH(H10,レベル!$A$1:$A$21,FALSE),MATCH(G10,レベル!$A$1:$I$1,FALSE))</f>
        <v>80</v>
      </c>
      <c r="P10" s="45">
        <f t="shared" ca="1" si="10"/>
        <v>75</v>
      </c>
      <c r="Q10" s="54" t="str">
        <f ca="1">VLOOKUP($A10,OFFSET([1]characters!$A$1,0,0,COUNTA([1]characters!$A:$A),MATCH(Q$1,[1]characters!$1:$1,0)-MATCH($A$1,[1]characters!$1:$1,0)+1),MATCH(Q$1,[1]characters!$1:$1,0)-MATCH($A$1,[1]characters!$1:$1,0)+1,FALSE)</f>
        <v>balance</v>
      </c>
      <c r="R10" s="5" t="str">
        <f ca="1">VLOOKUP(Q10,[1]character_type_i18n!$A:$H,3,FALSE)</f>
        <v>バランスタイプ</v>
      </c>
      <c r="S10" s="11">
        <f ca="1">VLOOKUP(Q10,[1]character_type_i18n!$A:$H,4,FALSE)</f>
        <v>1</v>
      </c>
      <c r="T10" s="11">
        <f ca="1">VLOOKUP(Q10,[1]character_type_i18n!$A:$H,5,FALSE)</f>
        <v>1</v>
      </c>
      <c r="U10" s="11">
        <f ca="1">VLOOKUP(Q10,[1]character_type_i18n!$A:$H,6,FALSE)</f>
        <v>1</v>
      </c>
      <c r="V10" s="11">
        <f ca="1">VLOOKUP(Q10,[1]character_type_i18n!$A:$H,7,FALSE)</f>
        <v>1</v>
      </c>
      <c r="W10" s="54" t="str">
        <f ca="1">VLOOKUP($A10,OFFSET([1]characters!$A$1,0,0,COUNTA([1]characters!$A:$A),MATCH(W$1,[1]characters!$1:$1,0)-MATCH($A$1,[1]characters!$1:$1,0)+1),MATCH(W$1,[1]characters!$1:$1,0)-MATCH($A$1,[1]characters!$1:$1,0)+1,FALSE)</f>
        <v>god</v>
      </c>
      <c r="X10" s="5" t="str">
        <f ca="1">VLOOKUP(W10,[1]character_tribe_i18n!$A:$H,3,FALSE)</f>
        <v>ゴッド</v>
      </c>
      <c r="Y10" s="54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0.96</v>
      </c>
      <c r="AB10" s="11">
        <f ca="1">VLOOKUP(W10,[1]character_tribe_i18n!$A:$H,5,FALSE)</f>
        <v>1.02</v>
      </c>
      <c r="AC10" s="11">
        <f ca="1">VLOOKUP(W10,[1]character_tribe_i18n!$A:$H,6,FALSE)</f>
        <v>1</v>
      </c>
      <c r="AD10" s="11">
        <f ca="1">VLOOKUP(W10,[1]character_tribe_i18n!$A:$H,7,FALSE)</f>
        <v>1.02</v>
      </c>
      <c r="AE10" s="9">
        <v>1054</v>
      </c>
      <c r="AF10" s="59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炎陽の臨海 麒麟</v>
      </c>
      <c r="AG10" s="5">
        <f t="shared" ca="1" si="5"/>
        <v>1053</v>
      </c>
      <c r="AH10" s="59" t="str">
        <f ca="1">VLOOKUP($AG10,OFFSET([1]characters!$A$1,0,0,COUNTA([1]characters!$A:$A),MATCH(AH$1,[1]characters!$1:$1,0)-MATCH($A$1,[1]characters!$1:$1,0)+1),MATCH(AH$1,[1]characters!$1:$1,0)-MATCH($A$1,[1]characters!$1:$1,0)+1,FALSE)</f>
        <v>常夏の眩獣 麒麟</v>
      </c>
      <c r="AI10" s="11">
        <f ca="1">IF(AE10="NULL","NULL",VLOOKUP(G10,ビット!$A$2:$B$7,2))</f>
        <v>200000</v>
      </c>
      <c r="AJ10" s="6">
        <v>2</v>
      </c>
      <c r="AK10" s="7" t="str">
        <f t="shared" si="8"/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6400</v>
      </c>
      <c r="AN10" s="17">
        <f ca="1">VLOOKUP(G10,ビット!$G$2:$H$7,2)</f>
        <v>900</v>
      </c>
      <c r="AO10" s="42"/>
      <c r="AP10" s="64">
        <f t="shared" si="6"/>
        <v>1053</v>
      </c>
      <c r="AQ10" s="54" t="str">
        <f ca="1">VLOOKUP($AP10,OFFSET(unit_skills!$A$1,0,0,COUNTA(unit_skills!$A:$A),MATCH(AQ$1,unit_skills!$1:$1,0)-MATCH($AP$1,unit_skills!$1:$1,0)+1),MATCH(AQ$1,unit_skills!$1:$1,0)-MATCH($AP$1,unit_skills!$1:$1,0)+1,FALSE)</f>
        <v>灼熱☆バケーションレイ</v>
      </c>
      <c r="AR10" s="54" t="str">
        <f ca="1">VLOOKUP($AP10,OFFSET(unit_skills!$A$1,0,0,COUNTA(unit_skills!$A:$A),MATCH(AR$1,unit_skills!$1:$1,0)-MATCH($AP$1,unit_skills!$1:$1,0)+1),MATCH(AR$1,unit_skills!$1:$1,0)-MATCH($AP$1,unit_skills!$1:$1,0)+1,FALSE)</f>
        <v>敵1体のHPを20％減らす+3ターンの間HPを小回復し、全ユニットの攻撃力をUP(青パネルを吸収して効果UP)</v>
      </c>
      <c r="AS10" s="54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39">
        <f t="shared" si="7"/>
        <v>1053</v>
      </c>
      <c r="AU10" s="54" t="str">
        <f ca="1">VLOOKUP($AT10,OFFSET(crash_skills!$A$1,0,0,COUNTA(crash_skills!$A:$A),MATCH(AU$1,crash_skills!$1:$1,0)-MATCH($AT$1,crash_skills!$1:$1,0)+1),MATCH(AU$1,crash_skills!$1:$1,0)-MATCH($AT$1,crash_skills!$1:$1,0)+1,FALSE)</f>
        <v>焔角海裂・熱照</v>
      </c>
      <c r="AV10" s="54" t="str">
        <f ca="1">VLOOKUP($AT10,OFFSET(crash_skills!$A$1,0,0,COUNTA(crash_skills!$A:$A),MATCH(AV$1,crash_skills!$1:$1,0)-MATCH($AT$1,crash_skills!$1:$1,0)+1),MATCH(AV$1,crash_skills!$1:$1,0)-MATCH($AT$1,crash_skills!$1:$1,0)+1,FALSE)</f>
        <v>1体に特大ダメージ+_x000D_単体に防御力を無視した固定威力ダメージ</v>
      </c>
      <c r="AW10" s="54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5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5">
        <v>1</v>
      </c>
      <c r="AZ10" s="65">
        <v>1.02</v>
      </c>
      <c r="BA10" s="65">
        <v>0</v>
      </c>
      <c r="BB10" s="65">
        <v>1.04</v>
      </c>
      <c r="BC10" s="11">
        <f ca="1">INDEX('RC6SV'!$A$1:$G$20,MATCH(H10,'RC6SV'!$A$1:$A$20,FALSE),MATCH(G10,'RC6SV'!$A$1:$G$1,FALSE))</f>
        <v>9000</v>
      </c>
      <c r="BD10" s="45">
        <f t="shared" ca="1" si="9"/>
        <v>9000</v>
      </c>
      <c r="BE10" s="11">
        <f t="shared" ca="1" si="2"/>
        <v>0</v>
      </c>
      <c r="BF10" s="11">
        <f t="shared" ca="1" si="3"/>
        <v>1</v>
      </c>
      <c r="BG10" s="16">
        <f ca="1">IF($BE10&lt;=0,ROUND(BK10*0.5,0), ROUND($BE10*S10*AA10*J10*AY10*0.8*[1]ステータス!$B$2,0))</f>
        <v>2117</v>
      </c>
      <c r="BH10" s="16">
        <f ca="1">IF($BE10&lt;=0,ROUND(BL10*0.5,0), ROUND($BE10*T10*AB10*K10*AZ10*0.8*[1]ステータス!$C$2,0))</f>
        <v>1419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1206</v>
      </c>
      <c r="BK10" s="11">
        <f ca="1">ROUND(BD10*S10*AA10*J10*AY10*[1]ステータス!$B$2,0)</f>
        <v>4234</v>
      </c>
      <c r="BL10" s="11">
        <f ca="1">ROUND(BD10*T10*AB10*K10*AZ10*[1]ステータス!$C$2,0)</f>
        <v>2837</v>
      </c>
      <c r="BM10" s="11">
        <f ca="1">ROUND(BD10*U10*AC10*L10*BA10*[1]ステータス!$D$2,0)</f>
        <v>0</v>
      </c>
      <c r="BN10" s="11">
        <f ca="1">ROUND(BD10*V10*AD10*M10*BB10*[1]ステータス!$E$2,0)</f>
        <v>2411</v>
      </c>
      <c r="BO10" s="10">
        <v>0</v>
      </c>
      <c r="BP10" s="10">
        <v>1</v>
      </c>
      <c r="BQ10" s="10" t="s">
        <v>47</v>
      </c>
      <c r="BR10" s="10">
        <f ca="1">VLOOKUP(H10,ghosts_label!$A$2:$B$19,2,FALSE)</f>
        <v>1</v>
      </c>
    </row>
    <row r="11" spans="1:70" ht="26" customHeight="1" x14ac:dyDescent="0.15">
      <c r="A11" s="165">
        <v>1054</v>
      </c>
      <c r="B11" s="54" t="str">
        <f ca="1">VLOOKUP($A11,OFFSET([1]characters!$A$1,0,0,COUNTA([1]characters!$A:$A),MATCH(B$1,[1]characters!$1:$1,0)-MATCH($A$1,[1]characters!$1:$1,0)+1),MATCH(B$1,[1]characters!$1:$1,0)-MATCH($A$1,[1]characters!$1:$1,0)+1,FALSE)</f>
        <v>炎陽の臨海 麒麟</v>
      </c>
      <c r="C11" s="54" t="str">
        <f ca="1">VLOOKUP($A11,OFFSET([1]characters!$A$1,0,0,COUNTA([1]characters!$A:$A),MATCH(C$1,[1]characters!$1:$1,0)-MATCH($A$1,[1]characters!$1:$1,0)+1),MATCH(C$1,[1]characters!$1:$1,0)-MATCH($A$1,[1]characters!$1:$1,0)+1,FALSE)</f>
        <v>麒麟_水着</v>
      </c>
      <c r="D11" s="54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4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4" t="str">
        <f ca="1">VLOOKUP($A11,OFFSET([1]characters!$A$1,0,0,COUNTA([1]characters!$A:$A),MATCH(F$1,[1]characters!$1:$1,0)-MATCH($A$1,[1]characters!$1:$1,0)+1),MATCH(F$1,[1]characters!$1:$1,0)-MATCH($A$1,[1]characters!$1:$1,0)+1,FALSE)</f>
        <v>男性</v>
      </c>
      <c r="G11" s="54">
        <f ca="1">VLOOKUP($A11,OFFSET([1]characters!$A$1,0,0,COUNTA([1]characters!$A:$A),MATCH(G$1,[1]characters!$1:$1,0)-MATCH($A$1,[1]characters!$1:$1,0)+1),MATCH(G$1,[1]characters!$1:$1,0)-MATCH($A$1,[1]characters!$1:$1,0)+1,FALSE)</f>
        <v>6</v>
      </c>
      <c r="H11" s="54" t="str">
        <f ca="1">VLOOKUP($A11,OFFSET([1]characters!$A$1,0,0,COUNTA([1]characters!$A:$A),MATCH(H$1,[1]characters!$1:$1,0)-MATCH($A$1,[1]characters!$1:$1,0)+1),MATCH(H$1,[1]characters!$1:$1,0)-MATCH($A$1,[1]characters!$1:$1,0)+1,FALSE)</f>
        <v>DropWizS</v>
      </c>
      <c r="I11" s="192" t="s">
        <v>370</v>
      </c>
      <c r="J11" s="11">
        <f>VLOOKUP(I11,[1]属性!$A:$E,2,FALSE)</f>
        <v>0.98</v>
      </c>
      <c r="K11" s="11">
        <f>VLOOKUP(I11,[1]属性!$A:$E,3,FALSE)</f>
        <v>1.01</v>
      </c>
      <c r="L11" s="11">
        <f>VLOOKUP(I11,[1]属性!$A:$E,4,FALSE)</f>
        <v>1</v>
      </c>
      <c r="M11" s="11">
        <f>VLOOKUP(I11,[1]属性!$A:$E,5,FALSE)</f>
        <v>1.01</v>
      </c>
      <c r="N11" s="11">
        <f ca="1">INDEX(コスト!$A$1:$I$20,MATCH(H11,コスト!$A$1:$A$20,FALSE),MATCH(G11,コスト!$A$1:$I$1,FALSE))</f>
        <v>45</v>
      </c>
      <c r="O11" s="11">
        <f ca="1">INDEX(レベル!$A$1:$I$21,MATCH(H11,レベル!$A$1:$A$21,FALSE),MATCH(G11,レベル!$A$1:$I$1,FALSE))</f>
        <v>99</v>
      </c>
      <c r="P11" s="45">
        <f t="shared" ca="1" si="10"/>
        <v>99</v>
      </c>
      <c r="Q11" s="54" t="str">
        <f ca="1">VLOOKUP($A11,OFFSET([1]characters!$A$1,0,0,COUNTA([1]characters!$A:$A),MATCH(Q$1,[1]characters!$1:$1,0)-MATCH($A$1,[1]characters!$1:$1,0)+1),MATCH(Q$1,[1]characters!$1:$1,0)-MATCH($A$1,[1]characters!$1:$1,0)+1,FALSE)</f>
        <v>balance</v>
      </c>
      <c r="R11" s="5" t="str">
        <f ca="1">VLOOKUP(Q11,[1]character_type_i18n!$A:$H,3,FALSE)</f>
        <v>バランスタイプ</v>
      </c>
      <c r="S11" s="11">
        <f ca="1">VLOOKUP(Q11,[1]character_type_i18n!$A:$H,4,FALSE)</f>
        <v>1</v>
      </c>
      <c r="T11" s="11">
        <f ca="1">VLOOKUP(Q11,[1]character_type_i18n!$A:$H,5,FALSE)</f>
        <v>1</v>
      </c>
      <c r="U11" s="11">
        <f ca="1">VLOOKUP(Q11,[1]character_type_i18n!$A:$H,6,FALSE)</f>
        <v>1</v>
      </c>
      <c r="V11" s="11">
        <f ca="1">VLOOKUP(Q11,[1]character_type_i18n!$A:$H,7,FALSE)</f>
        <v>1</v>
      </c>
      <c r="W11" s="54" t="str">
        <f ca="1">VLOOKUP($A11,OFFSET([1]characters!$A$1,0,0,COUNTA([1]characters!$A:$A),MATCH(W$1,[1]characters!$1:$1,0)-MATCH($A$1,[1]characters!$1:$1,0)+1),MATCH(W$1,[1]characters!$1:$1,0)-MATCH($A$1,[1]characters!$1:$1,0)+1,FALSE)</f>
        <v>god</v>
      </c>
      <c r="X11" s="5" t="str">
        <f ca="1">VLOOKUP(W11,[1]character_tribe_i18n!$A:$H,3,FALSE)</f>
        <v>ゴッド</v>
      </c>
      <c r="Y11" s="54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0.96</v>
      </c>
      <c r="AB11" s="11">
        <f ca="1">VLOOKUP(W11,[1]character_tribe_i18n!$A:$H,5,FALSE)</f>
        <v>1.02</v>
      </c>
      <c r="AC11" s="11">
        <f ca="1">VLOOKUP(W11,[1]character_tribe_i18n!$A:$H,6,FALSE)</f>
        <v>1</v>
      </c>
      <c r="AD11" s="11">
        <f ca="1">VLOOKUP(W11,[1]character_tribe_i18n!$A:$H,7,FALSE)</f>
        <v>1.02</v>
      </c>
      <c r="AE11" s="9" t="s">
        <v>183</v>
      </c>
      <c r="AF11" s="59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v>1053</v>
      </c>
      <c r="AH11" s="59" t="str">
        <f ca="1">VLOOKUP($AG11,OFFSET([1]characters!$A$1,0,0,COUNTA([1]characters!$A:$A),MATCH(AH$1,[1]characters!$1:$1,0)-MATCH($A$1,[1]characters!$1:$1,0)+1),MATCH(AH$1,[1]characters!$1:$1,0)-MATCH($A$1,[1]characters!$1:$1,0)+1,FALSE)</f>
        <v>常夏の眩獣 麒麟</v>
      </c>
      <c r="AI11" s="11" t="str">
        <f>IF(AE11="NULL","NULL",VLOOKUP(G11,ビット!$A$2:$B$7,2))</f>
        <v>NULL</v>
      </c>
      <c r="AJ11" s="6">
        <v>2</v>
      </c>
      <c r="AK11" s="7" t="str">
        <f t="shared" si="8"/>
        <v>普通</v>
      </c>
      <c r="AL11" s="11" t="str">
        <f ca="1">INDEX(経験値!$A$1:$I$20,MATCH(H11,経験値!$A$1:$A$20,FALSE),MATCH(G11,経験値!$A$1:$I$1,FALSE))</f>
        <v>required_exp_250</v>
      </c>
      <c r="AM11" s="8">
        <f ca="1">VLOOKUP(G11,経験値!$A$27:$B$31,2)</f>
        <v>6400</v>
      </c>
      <c r="AN11" s="17">
        <f ca="1">VLOOKUP(G11,ビット!$G$2:$H$7,2)</f>
        <v>900</v>
      </c>
      <c r="AO11" s="42"/>
      <c r="AP11" s="64">
        <f t="shared" si="6"/>
        <v>1054</v>
      </c>
      <c r="AQ11" s="54" t="str">
        <f ca="1">VLOOKUP($AP11,OFFSET(unit_skills!$A$1,0,0,COUNTA(unit_skills!$A:$A),MATCH(AQ$1,unit_skills!$1:$1,0)-MATCH($AP$1,unit_skills!$1:$1,0)+1),MATCH(AQ$1,unit_skills!$1:$1,0)-MATCH($AP$1,unit_skills!$1:$1,0)+1,FALSE)</f>
        <v>灼熱☆バケーションレイ</v>
      </c>
      <c r="AR11" s="54" t="str">
        <f ca="1">VLOOKUP($AP11,OFFSET(unit_skills!$A$1,0,0,COUNTA(unit_skills!$A:$A),MATCH(AR$1,unit_skills!$1:$1,0)-MATCH($AP$1,unit_skills!$1:$1,0)+1),MATCH(AR$1,unit_skills!$1:$1,0)-MATCH($AP$1,unit_skills!$1:$1,0)+1,FALSE)</f>
        <v>敵1体のHPを20％減らす+3ターンの間HPを小回復し、全ユニットの攻撃力をUP(青パネルを吸収して効果UP)</v>
      </c>
      <c r="AS11" s="54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39">
        <f t="shared" si="7"/>
        <v>1054</v>
      </c>
      <c r="AU11" s="54" t="str">
        <f ca="1">VLOOKUP($AT11,OFFSET(crash_skills!$A$1,0,0,COUNTA(crash_skills!$A:$A),MATCH(AU$1,crash_skills!$1:$1,0)-MATCH($AT$1,crash_skills!$1:$1,0)+1),MATCH(AU$1,crash_skills!$1:$1,0)-MATCH($AT$1,crash_skills!$1:$1,0)+1,FALSE)</f>
        <v>焔角海裂・熱照</v>
      </c>
      <c r="AV11" s="54" t="str">
        <f ca="1">VLOOKUP($AT11,OFFSET(crash_skills!$A$1,0,0,COUNTA(crash_skills!$A:$A),MATCH(AV$1,crash_skills!$1:$1,0)-MATCH($AT$1,crash_skills!$1:$1,0)+1),MATCH(AV$1,crash_skills!$1:$1,0)-MATCH($AT$1,crash_skills!$1:$1,0)+1,FALSE)</f>
        <v>1体に特大ダメージ+_x000D_単体に防御力を無視した固定威力ダメージ</v>
      </c>
      <c r="AW11" s="54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5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5">
        <v>1.04</v>
      </c>
      <c r="AZ11" s="65">
        <v>1.08</v>
      </c>
      <c r="BA11" s="65">
        <v>0</v>
      </c>
      <c r="BB11" s="65">
        <v>1.1000000000000001</v>
      </c>
      <c r="BC11" s="11">
        <f ca="1">INDEX('RC6SV'!$A$1:$G$20,MATCH(H11,'RC6SV'!$A$1:$A$20,FALSE),MATCH(G11,'RC6SV'!$A$1:$G$1,FALSE))</f>
        <v>12000</v>
      </c>
      <c r="BD11" s="45">
        <f t="shared" ca="1" si="9"/>
        <v>12000</v>
      </c>
      <c r="BE11" s="11">
        <f t="shared" ca="1" si="2"/>
        <v>9000</v>
      </c>
      <c r="BF11" s="11">
        <f t="shared" ca="1" si="3"/>
        <v>1</v>
      </c>
      <c r="BG11" s="16">
        <f ca="1">IF($BE11&lt;=0,ROUND(BK11*0.5,0), ROUND($BE11*S11*AA11*J11*AY11*0.8*[1]ステータス!$B$2,0))</f>
        <v>3522</v>
      </c>
      <c r="BH11" s="16">
        <f ca="1">IF($BE11&lt;=0,ROUND(BL11*0.5,0), ROUND($BE11*T11*AB11*K11*AZ11*0.8*[1]ステータス!$C$2,0))</f>
        <v>2403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2040</v>
      </c>
      <c r="BK11" s="11">
        <f ca="1">ROUND(BD11*S11*AA11*J11*AY11*[1]ステータス!$B$2,0)</f>
        <v>5871</v>
      </c>
      <c r="BL11" s="11">
        <f ca="1">ROUND(BD11*T11*AB11*K11*AZ11*[1]ステータス!$C$2,0)</f>
        <v>4005</v>
      </c>
      <c r="BM11" s="11">
        <f ca="1">ROUND(BD11*U11*AC11*L11*BA11*[1]ステータス!$D$2,0)</f>
        <v>0</v>
      </c>
      <c r="BN11" s="11">
        <f ca="1">ROUND(BD11*V11*AD11*M11*BB11*[1]ステータス!$E$2,0)</f>
        <v>3400</v>
      </c>
      <c r="BO11" s="10">
        <v>0</v>
      </c>
      <c r="BP11" s="10">
        <v>1</v>
      </c>
      <c r="BQ11" s="10" t="s">
        <v>47</v>
      </c>
      <c r="BR11" s="10">
        <f ca="1">VLOOKUP(H11,ghosts_label!$A$2:$B$19,2,FALSE)</f>
        <v>1</v>
      </c>
    </row>
  </sheetData>
  <autoFilter ref="A1:BQ1"/>
  <phoneticPr fontId="10"/>
  <conditionalFormatting sqref="BO1">
    <cfRule type="cellIs" dxfId="33" priority="120" stopIfTrue="1" operator="equal">
      <formula>1</formula>
    </cfRule>
  </conditionalFormatting>
  <conditionalFormatting sqref="BQ1">
    <cfRule type="cellIs" dxfId="32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2"/>
  <sheetViews>
    <sheetView showGridLines="0" zoomScale="117" workbookViewId="0">
      <pane xSplit="4" ySplit="1" topLeftCell="I2" activePane="bottomRight" state="frozen"/>
      <selection pane="topRight" activeCell="D1" sqref="D1"/>
      <selection pane="bottomLeft" activeCell="A2" sqref="A2"/>
      <selection pane="bottomRight" activeCell="D16" sqref="D16"/>
    </sheetView>
  </sheetViews>
  <sheetFormatPr baseColWidth="12" defaultColWidth="13" defaultRowHeight="21" customHeight="1" outlineLevelCol="1" x14ac:dyDescent="0.15"/>
  <cols>
    <col min="1" max="1" width="16.1640625" style="128" bestFit="1" customWidth="1"/>
    <col min="2" max="2" width="13" style="128" bestFit="1" customWidth="1"/>
    <col min="3" max="3" width="21.83203125" style="128" customWidth="1"/>
    <col min="4" max="4" width="33.33203125" style="128" customWidth="1"/>
    <col min="5" max="5" width="9" style="128" customWidth="1"/>
    <col min="6" max="6" width="7.83203125" style="128" bestFit="1" customWidth="1"/>
    <col min="7" max="7" width="8.1640625" style="128" bestFit="1" customWidth="1"/>
    <col min="8" max="8" width="13.6640625" style="128" bestFit="1" customWidth="1"/>
    <col min="9" max="10" width="51.6640625" style="128" customWidth="1"/>
    <col min="11" max="11" width="10.83203125" style="128" customWidth="1" outlineLevel="1"/>
    <col min="12" max="17" width="9.5" style="127" customWidth="1" outlineLevel="1"/>
    <col min="18" max="18" width="20.33203125" style="128" customWidth="1" outlineLevel="1"/>
    <col min="19" max="19" width="10.33203125" style="128" bestFit="1" customWidth="1"/>
    <col min="20" max="16384" width="13" style="128"/>
  </cols>
  <sheetData>
    <row r="1" spans="1:19" s="127" customFormat="1" ht="21" customHeight="1" x14ac:dyDescent="0.15">
      <c r="A1" s="116" t="s">
        <v>20</v>
      </c>
      <c r="B1" s="117" t="s">
        <v>134</v>
      </c>
      <c r="C1" s="118" t="s">
        <v>40</v>
      </c>
      <c r="D1" s="119" t="s">
        <v>163</v>
      </c>
      <c r="E1" s="119" t="s">
        <v>164</v>
      </c>
      <c r="F1" s="116" t="s">
        <v>146</v>
      </c>
      <c r="G1" s="120" t="s">
        <v>2</v>
      </c>
      <c r="H1" s="120" t="s">
        <v>165</v>
      </c>
      <c r="I1" s="120" t="s">
        <v>166</v>
      </c>
      <c r="J1" s="121" t="s">
        <v>185</v>
      </c>
      <c r="K1" s="120" t="s">
        <v>4</v>
      </c>
      <c r="L1" s="122" t="s">
        <v>167</v>
      </c>
      <c r="M1" s="123" t="s">
        <v>168</v>
      </c>
      <c r="N1" s="123" t="s">
        <v>169</v>
      </c>
      <c r="O1" s="123" t="s">
        <v>170</v>
      </c>
      <c r="P1" s="123" t="s">
        <v>171</v>
      </c>
      <c r="Q1" s="124" t="s">
        <v>172</v>
      </c>
      <c r="R1" s="125" t="s">
        <v>173</v>
      </c>
      <c r="S1" s="126" t="s">
        <v>174</v>
      </c>
    </row>
    <row r="2" spans="1:19" ht="21" customHeight="1" x14ac:dyDescent="0.15">
      <c r="A2" s="12">
        <v>1045</v>
      </c>
      <c r="B2" s="131" t="s">
        <v>186</v>
      </c>
      <c r="C2" s="170" t="s">
        <v>294</v>
      </c>
      <c r="D2" s="132" t="s">
        <v>425</v>
      </c>
      <c r="E2" s="133">
        <f t="shared" ref="E2" si="0">LEN(D2)</f>
        <v>58</v>
      </c>
      <c r="F2" s="115">
        <v>13</v>
      </c>
      <c r="G2" s="115">
        <v>7</v>
      </c>
      <c r="H2" s="134">
        <f>2001</f>
        <v>2001</v>
      </c>
      <c r="I2" s="166" t="s">
        <v>423</v>
      </c>
      <c r="J2" s="54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漂解の海原 シュレディンガー</v>
      </c>
      <c r="K2" s="135">
        <v>3</v>
      </c>
      <c r="L2" s="136"/>
      <c r="M2" s="137"/>
      <c r="N2" s="137"/>
      <c r="O2" s="137"/>
      <c r="P2" s="137"/>
      <c r="Q2" s="137"/>
      <c r="R2" s="132"/>
      <c r="S2" s="138"/>
    </row>
    <row r="3" spans="1:19" ht="21" customHeight="1" x14ac:dyDescent="0.15">
      <c r="A3" s="12">
        <v>1046</v>
      </c>
      <c r="B3" s="131" t="s">
        <v>186</v>
      </c>
      <c r="C3" s="193" t="s">
        <v>381</v>
      </c>
      <c r="D3" s="132" t="s">
        <v>377</v>
      </c>
      <c r="E3" s="133">
        <f t="shared" ref="E3:E10" si="1">LEN(D3)</f>
        <v>31</v>
      </c>
      <c r="F3" s="115">
        <v>12</v>
      </c>
      <c r="G3" s="115">
        <v>5</v>
      </c>
      <c r="H3" s="134">
        <f>2001</f>
        <v>2001</v>
      </c>
      <c r="I3" s="134" t="s">
        <v>378</v>
      </c>
      <c r="J3" s="54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涼求の炎狼 フェンリル</v>
      </c>
      <c r="K3" s="135">
        <v>3</v>
      </c>
      <c r="L3" s="136"/>
      <c r="M3" s="137"/>
      <c r="N3" s="137"/>
      <c r="O3" s="137"/>
      <c r="P3" s="137"/>
      <c r="Q3" s="137"/>
      <c r="R3" s="132"/>
      <c r="S3" s="138"/>
    </row>
    <row r="4" spans="1:19" ht="21" customHeight="1" x14ac:dyDescent="0.15">
      <c r="A4" s="12">
        <v>1047</v>
      </c>
      <c r="B4" s="131" t="s">
        <v>186</v>
      </c>
      <c r="C4" s="186" t="s">
        <v>295</v>
      </c>
      <c r="D4" s="132" t="s">
        <v>427</v>
      </c>
      <c r="E4" s="133">
        <f t="shared" si="1"/>
        <v>60</v>
      </c>
      <c r="F4" s="115">
        <v>13</v>
      </c>
      <c r="G4" s="115">
        <v>7</v>
      </c>
      <c r="H4" s="134">
        <f>2001</f>
        <v>2001</v>
      </c>
      <c r="I4" s="167" t="s">
        <v>428</v>
      </c>
      <c r="J4" s="54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波浪の夏閃 オイラー</v>
      </c>
      <c r="K4" s="135">
        <v>3</v>
      </c>
      <c r="L4" s="136"/>
      <c r="M4" s="137"/>
      <c r="N4" s="137"/>
      <c r="O4" s="137"/>
      <c r="P4" s="137"/>
      <c r="Q4" s="137"/>
      <c r="R4" s="132"/>
      <c r="S4" s="138"/>
    </row>
    <row r="5" spans="1:19" ht="21" customHeight="1" x14ac:dyDescent="0.15">
      <c r="A5" s="12">
        <v>1048</v>
      </c>
      <c r="B5" s="131" t="s">
        <v>186</v>
      </c>
      <c r="C5" s="186" t="s">
        <v>296</v>
      </c>
      <c r="D5" s="132" t="s">
        <v>376</v>
      </c>
      <c r="E5" s="133">
        <f t="shared" si="1"/>
        <v>26</v>
      </c>
      <c r="F5" s="115">
        <v>12</v>
      </c>
      <c r="G5" s="115">
        <v>5</v>
      </c>
      <c r="H5" s="134">
        <f>2001</f>
        <v>2001</v>
      </c>
      <c r="I5" s="167" t="s">
        <v>379</v>
      </c>
      <c r="J5" s="54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砂上の城主竜 ケツァクアトル</v>
      </c>
      <c r="K5" s="135">
        <v>3</v>
      </c>
      <c r="L5" s="136"/>
      <c r="M5" s="137"/>
      <c r="N5" s="137"/>
      <c r="O5" s="137"/>
      <c r="P5" s="137"/>
      <c r="Q5" s="137"/>
      <c r="R5" s="132"/>
      <c r="S5" s="138"/>
    </row>
    <row r="6" spans="1:19" ht="21" customHeight="1" x14ac:dyDescent="0.15">
      <c r="A6" s="12">
        <v>1049</v>
      </c>
      <c r="B6" s="131" t="s">
        <v>186</v>
      </c>
      <c r="C6" s="186" t="s">
        <v>297</v>
      </c>
      <c r="D6" s="168" t="s">
        <v>430</v>
      </c>
      <c r="E6" s="133">
        <f t="shared" si="1"/>
        <v>65</v>
      </c>
      <c r="F6" s="115">
        <v>12</v>
      </c>
      <c r="G6" s="115">
        <v>7</v>
      </c>
      <c r="H6" s="134">
        <f>2001</f>
        <v>2001</v>
      </c>
      <c r="I6" s="169" t="s">
        <v>429</v>
      </c>
      <c r="J6" s="54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深秘の水宙 メビウス</v>
      </c>
      <c r="K6" s="135">
        <v>3</v>
      </c>
      <c r="L6" s="136"/>
      <c r="M6" s="137"/>
      <c r="N6" s="137"/>
      <c r="O6" s="137"/>
      <c r="P6" s="137"/>
      <c r="Q6" s="137"/>
      <c r="R6" s="132"/>
      <c r="S6" s="138"/>
    </row>
    <row r="7" spans="1:19" ht="21" customHeight="1" x14ac:dyDescent="0.15">
      <c r="A7" s="12">
        <v>1050</v>
      </c>
      <c r="B7" s="131" t="s">
        <v>186</v>
      </c>
      <c r="C7" s="186" t="s">
        <v>298</v>
      </c>
      <c r="D7" s="132" t="s">
        <v>361</v>
      </c>
      <c r="E7" s="133">
        <f t="shared" si="1"/>
        <v>27</v>
      </c>
      <c r="F7" s="115">
        <v>12</v>
      </c>
      <c r="G7" s="115">
        <v>5</v>
      </c>
      <c r="H7" s="134">
        <f>2001</f>
        <v>2001</v>
      </c>
      <c r="I7" s="134" t="s">
        <v>362</v>
      </c>
      <c r="J7" s="54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廻遊の水獣宰相 ルキフグス</v>
      </c>
      <c r="K7" s="135">
        <v>3</v>
      </c>
      <c r="L7" s="136"/>
      <c r="M7" s="137"/>
      <c r="N7" s="137"/>
      <c r="O7" s="137"/>
      <c r="P7" s="137"/>
      <c r="Q7" s="137"/>
      <c r="R7" s="132"/>
      <c r="S7" s="138"/>
    </row>
    <row r="8" spans="1:19" ht="21" customHeight="1" x14ac:dyDescent="0.15">
      <c r="A8" s="12">
        <v>1051</v>
      </c>
      <c r="B8" s="131" t="s">
        <v>186</v>
      </c>
      <c r="C8" s="193" t="s">
        <v>382</v>
      </c>
      <c r="D8" s="132" t="s">
        <v>426</v>
      </c>
      <c r="E8" s="133">
        <f t="shared" si="1"/>
        <v>53</v>
      </c>
      <c r="F8" s="115">
        <v>13</v>
      </c>
      <c r="G8" s="115">
        <v>7</v>
      </c>
      <c r="H8" s="134">
        <f>2001</f>
        <v>2001</v>
      </c>
      <c r="I8" s="171" t="s">
        <v>424</v>
      </c>
      <c r="J8" s="54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嬌電の飛沫 ファラデー</v>
      </c>
      <c r="K8" s="135">
        <v>3</v>
      </c>
      <c r="L8" s="136"/>
      <c r="M8" s="137"/>
      <c r="N8" s="137"/>
      <c r="O8" s="137"/>
      <c r="P8" s="137"/>
      <c r="Q8" s="137"/>
      <c r="R8" s="132"/>
      <c r="S8" s="138"/>
    </row>
    <row r="9" spans="1:19" ht="21" customHeight="1" x14ac:dyDescent="0.25">
      <c r="A9" s="12">
        <v>1052</v>
      </c>
      <c r="B9" s="131" t="s">
        <v>186</v>
      </c>
      <c r="C9" s="186" t="s">
        <v>299</v>
      </c>
      <c r="D9" s="174" t="s">
        <v>395</v>
      </c>
      <c r="E9" s="133">
        <f t="shared" si="1"/>
        <v>37</v>
      </c>
      <c r="F9" s="115">
        <v>11</v>
      </c>
      <c r="G9" s="115">
        <v>5</v>
      </c>
      <c r="H9" s="134">
        <f>2001</f>
        <v>2001</v>
      </c>
      <c r="I9" s="134" t="s">
        <v>396</v>
      </c>
      <c r="J9" s="54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戯魚群の潜光 バルドル</v>
      </c>
      <c r="K9" s="135">
        <v>3</v>
      </c>
      <c r="L9" s="136"/>
      <c r="M9" s="137"/>
      <c r="N9" s="137"/>
      <c r="O9" s="137"/>
      <c r="P9" s="137"/>
      <c r="Q9" s="137"/>
      <c r="R9" s="132"/>
      <c r="S9" s="138"/>
    </row>
    <row r="10" spans="1:19" ht="21" customHeight="1" x14ac:dyDescent="0.15">
      <c r="A10" s="12">
        <v>1053</v>
      </c>
      <c r="B10" s="131" t="s">
        <v>186</v>
      </c>
      <c r="C10" s="193" t="s">
        <v>385</v>
      </c>
      <c r="D10" s="132" t="s">
        <v>397</v>
      </c>
      <c r="E10" s="133">
        <f t="shared" si="1"/>
        <v>55</v>
      </c>
      <c r="F10" s="198">
        <v>11</v>
      </c>
      <c r="G10" s="115">
        <v>5</v>
      </c>
      <c r="H10" s="134">
        <f>2001</f>
        <v>2001</v>
      </c>
      <c r="I10" s="134" t="s">
        <v>365</v>
      </c>
      <c r="J10" s="54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常夏の眩獣 麒麟</v>
      </c>
      <c r="K10" s="135">
        <v>3</v>
      </c>
      <c r="L10" s="136"/>
      <c r="M10" s="137"/>
      <c r="N10" s="137"/>
      <c r="O10" s="137"/>
      <c r="P10" s="137"/>
      <c r="Q10" s="137"/>
      <c r="R10" s="132"/>
      <c r="S10" s="138"/>
    </row>
    <row r="11" spans="1:19" ht="21" customHeight="1" x14ac:dyDescent="0.15">
      <c r="A11" s="12">
        <v>1054</v>
      </c>
      <c r="B11" s="131" t="s">
        <v>186</v>
      </c>
      <c r="C11" s="193" t="s">
        <v>385</v>
      </c>
      <c r="D11" s="132" t="s">
        <v>397</v>
      </c>
      <c r="E11" s="133">
        <f t="shared" ref="E11" si="2">LEN(D11)</f>
        <v>55</v>
      </c>
      <c r="F11" s="115">
        <v>11</v>
      </c>
      <c r="G11" s="115">
        <v>5</v>
      </c>
      <c r="H11" s="134">
        <f>2001</f>
        <v>2001</v>
      </c>
      <c r="I11" s="134" t="s">
        <v>365</v>
      </c>
      <c r="J11" s="54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炎陽の臨海 麒麟</v>
      </c>
      <c r="K11" s="135">
        <v>3</v>
      </c>
      <c r="L11" s="136"/>
      <c r="M11" s="137"/>
      <c r="N11" s="137"/>
      <c r="O11" s="137"/>
      <c r="P11" s="137"/>
      <c r="Q11" s="137"/>
      <c r="R11" s="132"/>
      <c r="S11" s="138"/>
    </row>
    <row r="12" spans="1:19" ht="21" customHeight="1" x14ac:dyDescent="0.15">
      <c r="C12" s="128" t="s">
        <v>394</v>
      </c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2:E1048576">
    <cfRule type="cellIs" dxfId="31" priority="13" operator="greaterThan">
      <formula>41</formula>
    </cfRule>
  </conditionalFormatting>
  <conditionalFormatting sqref="E3 E5 E7 E9">
    <cfRule type="cellIs" dxfId="30" priority="7" operator="greaterThan">
      <formula>41</formula>
    </cfRule>
  </conditionalFormatting>
  <conditionalFormatting sqref="E2">
    <cfRule type="cellIs" dxfId="29" priority="6" operator="greaterThan">
      <formula>41</formula>
    </cfRule>
  </conditionalFormatting>
  <conditionalFormatting sqref="E4">
    <cfRule type="cellIs" dxfId="28" priority="5" operator="greaterThan">
      <formula>41</formula>
    </cfRule>
  </conditionalFormatting>
  <conditionalFormatting sqref="E6">
    <cfRule type="cellIs" dxfId="27" priority="4" operator="greaterThan">
      <formula>41</formula>
    </cfRule>
  </conditionalFormatting>
  <conditionalFormatting sqref="E8">
    <cfRule type="cellIs" dxfId="26" priority="2" operator="greaterThan">
      <formula>41</formula>
    </cfRule>
  </conditionalFormatting>
  <conditionalFormatting sqref="E10:E11">
    <cfRule type="cellIs" dxfId="25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1"/>
  <sheetViews>
    <sheetView showGridLines="0" zoomScale="120" zoomScaleNormal="120" zoomScalePageLayoutView="120" workbookViewId="0">
      <pane xSplit="4" ySplit="1" topLeftCell="F2" activePane="bottomRight" state="frozen"/>
      <selection pane="topRight" activeCell="D1" sqref="D1"/>
      <selection pane="bottomLeft" activeCell="A3" sqref="A3"/>
      <selection pane="bottomRight" activeCell="F4" sqref="F4"/>
    </sheetView>
  </sheetViews>
  <sheetFormatPr baseColWidth="12" defaultColWidth="13" defaultRowHeight="21" customHeight="1" x14ac:dyDescent="0.15"/>
  <cols>
    <col min="1" max="2" width="12.1640625" style="128" customWidth="1"/>
    <col min="3" max="3" width="48.83203125" style="129" customWidth="1"/>
    <col min="4" max="4" width="26.33203125" style="129" customWidth="1"/>
    <col min="5" max="5" width="10.5" style="129" customWidth="1"/>
    <col min="6" max="7" width="59.1640625" style="129" customWidth="1"/>
    <col min="8" max="8" width="6.83203125" style="128" bestFit="1" customWidth="1"/>
    <col min="9" max="9" width="20.33203125" style="128" customWidth="1"/>
    <col min="10" max="10" width="5" style="128" bestFit="1" customWidth="1"/>
    <col min="11" max="16384" width="13" style="128"/>
  </cols>
  <sheetData>
    <row r="1" spans="1:19" ht="21" customHeight="1" x14ac:dyDescent="0.15">
      <c r="A1" s="116" t="s">
        <v>182</v>
      </c>
      <c r="B1" s="117" t="s">
        <v>181</v>
      </c>
      <c r="C1" s="118" t="s">
        <v>180</v>
      </c>
      <c r="D1" s="119" t="s">
        <v>179</v>
      </c>
      <c r="E1" s="119" t="s">
        <v>178</v>
      </c>
      <c r="F1" s="120" t="s">
        <v>177</v>
      </c>
      <c r="G1" s="121" t="s">
        <v>185</v>
      </c>
      <c r="H1" s="120" t="s">
        <v>176</v>
      </c>
      <c r="I1" s="121" t="s">
        <v>175</v>
      </c>
      <c r="J1" s="125" t="s">
        <v>174</v>
      </c>
    </row>
    <row r="2" spans="1:19" ht="21" customHeight="1" x14ac:dyDescent="0.15">
      <c r="A2" s="12">
        <v>1045</v>
      </c>
      <c r="B2" s="131" t="s">
        <v>187</v>
      </c>
      <c r="C2" s="187" t="s">
        <v>300</v>
      </c>
      <c r="D2" s="132" t="s">
        <v>360</v>
      </c>
      <c r="E2" s="133">
        <f t="shared" ref="E2" si="0">LEN(D2)</f>
        <v>16</v>
      </c>
      <c r="F2" s="172" t="s">
        <v>371</v>
      </c>
      <c r="G2" s="54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漂解の海原 シュレディンガー</v>
      </c>
      <c r="H2" s="134">
        <v>3</v>
      </c>
      <c r="I2" s="134"/>
      <c r="J2" s="139"/>
      <c r="K2" s="135">
        <v>1</v>
      </c>
      <c r="L2" s="136"/>
      <c r="M2" s="137"/>
      <c r="N2" s="137"/>
      <c r="O2" s="137"/>
      <c r="P2" s="137"/>
      <c r="Q2" s="137"/>
      <c r="R2" s="132"/>
      <c r="S2" s="138"/>
    </row>
    <row r="3" spans="1:19" ht="21" customHeight="1" x14ac:dyDescent="0.15">
      <c r="A3" s="12">
        <v>1046</v>
      </c>
      <c r="B3" s="131" t="s">
        <v>187</v>
      </c>
      <c r="C3" s="186" t="s">
        <v>301</v>
      </c>
      <c r="D3" s="132" t="s">
        <v>359</v>
      </c>
      <c r="E3" s="133">
        <f t="shared" ref="E3:E11" si="1">LEN(D3)</f>
        <v>18</v>
      </c>
      <c r="F3" s="115" t="s">
        <v>372</v>
      </c>
      <c r="G3" s="54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涼求の炎狼 フェンリル</v>
      </c>
      <c r="H3" s="134">
        <v>3</v>
      </c>
      <c r="I3" s="134"/>
      <c r="J3" s="139"/>
      <c r="K3" s="135">
        <v>1</v>
      </c>
      <c r="L3" s="136"/>
      <c r="M3" s="137"/>
      <c r="N3" s="137"/>
      <c r="O3" s="137"/>
      <c r="P3" s="137"/>
      <c r="Q3" s="137"/>
      <c r="R3" s="132"/>
      <c r="S3" s="138"/>
    </row>
    <row r="4" spans="1:19" ht="21" customHeight="1" x14ac:dyDescent="0.15">
      <c r="A4" s="12">
        <v>1047</v>
      </c>
      <c r="B4" s="131" t="s">
        <v>187</v>
      </c>
      <c r="C4" s="186" t="s">
        <v>302</v>
      </c>
      <c r="D4" s="132" t="s">
        <v>393</v>
      </c>
      <c r="E4" s="133">
        <f t="shared" si="1"/>
        <v>19</v>
      </c>
      <c r="F4" s="195" t="s">
        <v>421</v>
      </c>
      <c r="G4" s="54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波浪の夏閃 オイラー</v>
      </c>
      <c r="H4" s="134">
        <v>3</v>
      </c>
      <c r="I4" s="134"/>
      <c r="J4" s="139"/>
      <c r="K4" s="135">
        <v>1</v>
      </c>
      <c r="L4" s="136"/>
      <c r="M4" s="137"/>
      <c r="N4" s="137"/>
      <c r="O4" s="137"/>
      <c r="P4" s="137"/>
      <c r="Q4" s="137"/>
      <c r="R4" s="132"/>
      <c r="S4" s="138"/>
    </row>
    <row r="5" spans="1:19" ht="21" customHeight="1" x14ac:dyDescent="0.15">
      <c r="A5" s="12">
        <v>1048</v>
      </c>
      <c r="B5" s="131" t="s">
        <v>187</v>
      </c>
      <c r="C5" s="186" t="s">
        <v>303</v>
      </c>
      <c r="D5" s="132" t="s">
        <v>364</v>
      </c>
      <c r="E5" s="133">
        <f t="shared" si="1"/>
        <v>19</v>
      </c>
      <c r="F5" s="173" t="s">
        <v>375</v>
      </c>
      <c r="G5" s="54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砂上の城主竜 ケツァクアトル</v>
      </c>
      <c r="H5" s="134">
        <v>3</v>
      </c>
      <c r="I5" s="134"/>
      <c r="J5" s="139"/>
      <c r="K5" s="135">
        <v>1</v>
      </c>
      <c r="L5" s="136"/>
      <c r="M5" s="137"/>
      <c r="N5" s="137"/>
      <c r="O5" s="137"/>
      <c r="P5" s="137"/>
      <c r="Q5" s="137"/>
      <c r="R5" s="132"/>
      <c r="S5" s="138"/>
    </row>
    <row r="6" spans="1:19" ht="21" customHeight="1" x14ac:dyDescent="0.15">
      <c r="A6" s="12">
        <v>1049</v>
      </c>
      <c r="B6" s="131" t="s">
        <v>187</v>
      </c>
      <c r="C6" s="186" t="s">
        <v>304</v>
      </c>
      <c r="D6" s="132" t="s">
        <v>253</v>
      </c>
      <c r="E6" s="133">
        <f t="shared" si="1"/>
        <v>27</v>
      </c>
      <c r="F6" s="115" t="s">
        <v>380</v>
      </c>
      <c r="G6" s="54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深秘の水宙 メビウス</v>
      </c>
      <c r="H6" s="134">
        <v>3</v>
      </c>
      <c r="I6" s="134"/>
      <c r="J6" s="139"/>
      <c r="K6" s="135">
        <v>1</v>
      </c>
      <c r="L6" s="136"/>
      <c r="M6" s="137"/>
      <c r="N6" s="137"/>
      <c r="O6" s="137"/>
      <c r="P6" s="137"/>
      <c r="Q6" s="137"/>
      <c r="R6" s="132"/>
      <c r="S6" s="138"/>
    </row>
    <row r="7" spans="1:19" ht="21" customHeight="1" x14ac:dyDescent="0.15">
      <c r="A7" s="12">
        <v>1050</v>
      </c>
      <c r="B7" s="131" t="s">
        <v>187</v>
      </c>
      <c r="C7" s="186" t="s">
        <v>305</v>
      </c>
      <c r="D7" s="132" t="s">
        <v>251</v>
      </c>
      <c r="E7" s="133">
        <f t="shared" si="1"/>
        <v>16</v>
      </c>
      <c r="F7" s="115" t="s">
        <v>398</v>
      </c>
      <c r="G7" s="54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廻遊の水獣宰相 ルキフグス</v>
      </c>
      <c r="H7" s="134">
        <v>3</v>
      </c>
      <c r="I7" s="134"/>
      <c r="J7" s="139"/>
      <c r="K7" s="135">
        <v>1</v>
      </c>
      <c r="L7" s="136"/>
      <c r="M7" s="137"/>
      <c r="N7" s="137"/>
      <c r="O7" s="137"/>
      <c r="P7" s="137"/>
      <c r="Q7" s="137"/>
      <c r="R7" s="132"/>
      <c r="S7" s="138"/>
    </row>
    <row r="8" spans="1:19" ht="21" customHeight="1" x14ac:dyDescent="0.15">
      <c r="A8" s="12">
        <v>1051</v>
      </c>
      <c r="B8" s="131" t="s">
        <v>187</v>
      </c>
      <c r="C8" s="193" t="s">
        <v>383</v>
      </c>
      <c r="D8" s="132" t="s">
        <v>358</v>
      </c>
      <c r="E8" s="133">
        <f t="shared" si="1"/>
        <v>9</v>
      </c>
      <c r="F8" s="115" t="s">
        <v>373</v>
      </c>
      <c r="G8" s="54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嬌電の飛沫 ファラデー</v>
      </c>
      <c r="H8" s="134">
        <v>3</v>
      </c>
      <c r="I8" s="134"/>
      <c r="J8" s="139"/>
      <c r="K8" s="135">
        <v>1</v>
      </c>
      <c r="L8" s="136"/>
      <c r="M8" s="137"/>
      <c r="N8" s="137"/>
      <c r="O8" s="137"/>
      <c r="P8" s="137"/>
      <c r="Q8" s="137"/>
      <c r="R8" s="132"/>
      <c r="S8" s="138"/>
    </row>
    <row r="9" spans="1:19" ht="21" customHeight="1" x14ac:dyDescent="0.15">
      <c r="A9" s="12">
        <v>1052</v>
      </c>
      <c r="B9" s="131" t="s">
        <v>187</v>
      </c>
      <c r="C9" s="193" t="s">
        <v>384</v>
      </c>
      <c r="D9" s="132" t="s">
        <v>363</v>
      </c>
      <c r="E9" s="133">
        <f t="shared" si="1"/>
        <v>22</v>
      </c>
      <c r="F9" s="173" t="s">
        <v>374</v>
      </c>
      <c r="G9" s="54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戯魚群の潜光 バルドル</v>
      </c>
      <c r="H9" s="134">
        <v>3</v>
      </c>
      <c r="I9" s="134"/>
      <c r="J9" s="139"/>
      <c r="K9" s="135">
        <v>1</v>
      </c>
      <c r="L9" s="136"/>
      <c r="M9" s="137"/>
      <c r="N9" s="137"/>
      <c r="O9" s="137"/>
      <c r="P9" s="137"/>
      <c r="Q9" s="137"/>
      <c r="R9" s="132"/>
      <c r="S9" s="138"/>
    </row>
    <row r="10" spans="1:19" ht="21" customHeight="1" x14ac:dyDescent="0.15">
      <c r="A10" s="12">
        <v>1053</v>
      </c>
      <c r="B10" s="131" t="s">
        <v>187</v>
      </c>
      <c r="C10" s="193" t="s">
        <v>386</v>
      </c>
      <c r="D10" s="132" t="s">
        <v>391</v>
      </c>
      <c r="E10" s="133">
        <f t="shared" si="1"/>
        <v>30</v>
      </c>
      <c r="F10" s="172" t="s">
        <v>392</v>
      </c>
      <c r="G10" s="54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常夏の眩獣 麒麟</v>
      </c>
      <c r="H10" s="134">
        <v>3</v>
      </c>
      <c r="I10" s="134"/>
      <c r="J10" s="139"/>
      <c r="K10" s="135">
        <v>1</v>
      </c>
      <c r="L10" s="136"/>
      <c r="M10" s="137"/>
      <c r="N10" s="137"/>
      <c r="O10" s="137"/>
      <c r="P10" s="137"/>
      <c r="Q10" s="137"/>
      <c r="R10" s="132"/>
      <c r="S10" s="138"/>
    </row>
    <row r="11" spans="1:19" ht="21" customHeight="1" x14ac:dyDescent="0.15">
      <c r="A11" s="12">
        <v>1054</v>
      </c>
      <c r="B11" s="131" t="s">
        <v>187</v>
      </c>
      <c r="C11" s="193" t="s">
        <v>387</v>
      </c>
      <c r="D11" s="132" t="s">
        <v>391</v>
      </c>
      <c r="E11" s="133">
        <f t="shared" si="1"/>
        <v>30</v>
      </c>
      <c r="F11" s="172" t="s">
        <v>392</v>
      </c>
      <c r="G11" s="54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炎陽の臨海 麒麟</v>
      </c>
      <c r="H11" s="134">
        <v>3</v>
      </c>
      <c r="I11" s="134"/>
      <c r="J11" s="139"/>
      <c r="K11" s="135">
        <v>1</v>
      </c>
      <c r="L11" s="136"/>
      <c r="M11" s="137"/>
      <c r="N11" s="137"/>
      <c r="O11" s="137"/>
      <c r="P11" s="137"/>
      <c r="Q11" s="137"/>
      <c r="R11" s="132"/>
      <c r="S11" s="138"/>
    </row>
  </sheetData>
  <sheetProtection selectLockedCells="1" selectUnlockedCells="1"/>
  <autoFilter ref="A1:J1"/>
  <phoneticPr fontId="22"/>
  <conditionalFormatting sqref="E3:E11">
    <cfRule type="cellIs" dxfId="24" priority="2" operator="greaterThan">
      <formula>41</formula>
    </cfRule>
  </conditionalFormatting>
  <conditionalFormatting sqref="E2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I46"/>
  <sheetViews>
    <sheetView workbookViewId="0">
      <selection activeCell="H9" sqref="H9"/>
    </sheetView>
  </sheetViews>
  <sheetFormatPr baseColWidth="12" defaultRowHeight="15" outlineLevelCol="1" x14ac:dyDescent="0.15"/>
  <cols>
    <col min="2" max="2" width="38.1640625" style="141" customWidth="1"/>
    <col min="4" max="4" width="12.83203125" style="141" customWidth="1" outlineLevel="1"/>
    <col min="5" max="5" width="12.83203125" style="141"/>
    <col min="8" max="8" width="25" customWidth="1"/>
  </cols>
  <sheetData>
    <row r="1" spans="1:9" x14ac:dyDescent="0.15">
      <c r="A1" s="112" t="s">
        <v>188</v>
      </c>
      <c r="B1" s="140" t="s">
        <v>189</v>
      </c>
      <c r="C1" s="112" t="s">
        <v>190</v>
      </c>
      <c r="D1" s="140" t="s">
        <v>192</v>
      </c>
      <c r="E1" s="140" t="s">
        <v>193</v>
      </c>
      <c r="F1" s="110" t="s">
        <v>194</v>
      </c>
      <c r="G1" s="112" t="s">
        <v>191</v>
      </c>
      <c r="H1" s="110" t="s">
        <v>195</v>
      </c>
    </row>
    <row r="2" spans="1:9" x14ac:dyDescent="0.15">
      <c r="A2" s="106">
        <v>1045</v>
      </c>
      <c r="B2" s="140" t="str">
        <f>VLOOKUP(A2,[1]characters!$A:$C,3,FALSE)</f>
        <v>漂解の海原 シュレディンガー</v>
      </c>
      <c r="C2" s="106" t="s">
        <v>306</v>
      </c>
      <c r="D2" s="140"/>
      <c r="E2" s="140" t="str">
        <f>A2&amp;+(COUNTIF(A$2:A2,A2)-1)</f>
        <v>10450</v>
      </c>
      <c r="F2" s="106" t="s">
        <v>307</v>
      </c>
      <c r="G2" s="106" t="s">
        <v>308</v>
      </c>
      <c r="H2" s="188" t="s">
        <v>313</v>
      </c>
      <c r="I2">
        <f t="shared" ref="I2:I6" si="0">LEN(H2)</f>
        <v>13</v>
      </c>
    </row>
    <row r="3" spans="1:9" x14ac:dyDescent="0.15">
      <c r="A3" s="106">
        <v>1045</v>
      </c>
      <c r="B3" s="140" t="str">
        <f>VLOOKUP(A3,[1]characters!$A:$C,3,FALSE)</f>
        <v>漂解の海原 シュレディンガー</v>
      </c>
      <c r="C3" s="106" t="s">
        <v>309</v>
      </c>
      <c r="D3" s="140"/>
      <c r="E3" s="140" t="str">
        <f>A3&amp;+(COUNTIF(A$2:A3,A3)-1)</f>
        <v>10451</v>
      </c>
      <c r="F3" s="106" t="s">
        <v>307</v>
      </c>
      <c r="G3" s="186" t="s">
        <v>314</v>
      </c>
      <c r="H3" s="186" t="s">
        <v>315</v>
      </c>
      <c r="I3">
        <f t="shared" si="0"/>
        <v>11</v>
      </c>
    </row>
    <row r="4" spans="1:9" x14ac:dyDescent="0.15">
      <c r="A4" s="106">
        <v>1045</v>
      </c>
      <c r="B4" s="140" t="str">
        <f>VLOOKUP(A4,[1]characters!$A:$C,3,FALSE)</f>
        <v>漂解の海原 シュレディンガー</v>
      </c>
      <c r="C4" s="106" t="s">
        <v>309</v>
      </c>
      <c r="D4" s="140"/>
      <c r="E4" s="140" t="str">
        <f>A4&amp;+(COUNTIF(A$2:A4,A4)-1)</f>
        <v>10452</v>
      </c>
      <c r="F4" s="106" t="s">
        <v>307</v>
      </c>
      <c r="G4" s="189" t="s">
        <v>314</v>
      </c>
      <c r="H4" s="189" t="s">
        <v>316</v>
      </c>
      <c r="I4">
        <f t="shared" si="0"/>
        <v>10</v>
      </c>
    </row>
    <row r="5" spans="1:9" x14ac:dyDescent="0.15">
      <c r="A5" s="106">
        <v>1045</v>
      </c>
      <c r="B5" s="140" t="str">
        <f>VLOOKUP(A5,[1]characters!$A:$C,3,FALSE)</f>
        <v>漂解の海原 シュレディンガー</v>
      </c>
      <c r="C5" s="106" t="s">
        <v>309</v>
      </c>
      <c r="D5" s="140"/>
      <c r="E5" s="140" t="str">
        <f>A5&amp;+(COUNTIF(A$2:A5,A5)-1)</f>
        <v>10453</v>
      </c>
      <c r="F5" s="106" t="s">
        <v>311</v>
      </c>
      <c r="G5" s="186" t="s">
        <v>314</v>
      </c>
      <c r="H5" s="186" t="s">
        <v>317</v>
      </c>
      <c r="I5">
        <f t="shared" si="0"/>
        <v>9</v>
      </c>
    </row>
    <row r="6" spans="1:9" x14ac:dyDescent="0.15">
      <c r="A6" s="106">
        <v>1045</v>
      </c>
      <c r="B6" s="140" t="str">
        <f>VLOOKUP(A6,[1]characters!$A:$C,3,FALSE)</f>
        <v>漂解の海原 シュレディンガー</v>
      </c>
      <c r="C6" s="106" t="s">
        <v>309</v>
      </c>
      <c r="D6" s="140"/>
      <c r="E6" s="140" t="str">
        <f>A6&amp;+(COUNTIF(A$2:A6,A6)-1)</f>
        <v>10454</v>
      </c>
      <c r="F6" s="106" t="s">
        <v>312</v>
      </c>
      <c r="G6" s="186" t="s">
        <v>314</v>
      </c>
      <c r="H6" s="186" t="s">
        <v>318</v>
      </c>
      <c r="I6">
        <f t="shared" si="0"/>
        <v>11</v>
      </c>
    </row>
    <row r="7" spans="1:9" ht="30" customHeight="1" x14ac:dyDescent="0.15">
      <c r="A7" s="106">
        <v>1046</v>
      </c>
      <c r="B7" s="140" t="str">
        <f>VLOOKUP(A7,[1]characters!$A:$C,3,FALSE)</f>
        <v>涼求の炎狼 フェンリル</v>
      </c>
      <c r="C7" s="106" t="s">
        <v>306</v>
      </c>
      <c r="D7" s="140"/>
      <c r="E7" s="140" t="str">
        <f>A7&amp;+(COUNTIF(A$2:A7,A7)-1)</f>
        <v>10460</v>
      </c>
      <c r="F7" s="106" t="s">
        <v>307</v>
      </c>
      <c r="G7" s="186" t="s">
        <v>310</v>
      </c>
      <c r="H7" s="194" t="s">
        <v>389</v>
      </c>
      <c r="I7">
        <f>LEN(H7)</f>
        <v>13</v>
      </c>
    </row>
    <row r="8" spans="1:9" ht="29" customHeight="1" x14ac:dyDescent="0.15">
      <c r="A8" s="106">
        <v>1046</v>
      </c>
      <c r="B8" s="140" t="str">
        <f>VLOOKUP(A8,[1]characters!$A:$C,3,FALSE)</f>
        <v>涼求の炎狼 フェンリル</v>
      </c>
      <c r="C8" s="106" t="s">
        <v>309</v>
      </c>
      <c r="D8" s="140"/>
      <c r="E8" s="140" t="str">
        <f>A8&amp;+(COUNTIF(A$2:A8,A8)-1)</f>
        <v>10461</v>
      </c>
      <c r="F8" s="106" t="s">
        <v>307</v>
      </c>
      <c r="G8" s="186" t="s">
        <v>310</v>
      </c>
      <c r="H8" s="193" t="s">
        <v>390</v>
      </c>
      <c r="I8">
        <f t="shared" ref="I8:I15" si="1">LEN(H8)</f>
        <v>10</v>
      </c>
    </row>
    <row r="9" spans="1:9" x14ac:dyDescent="0.15">
      <c r="A9" s="106">
        <v>1046</v>
      </c>
      <c r="B9" s="140" t="str">
        <f>VLOOKUP(A9,[1]characters!$A:$C,3,FALSE)</f>
        <v>涼求の炎狼 フェンリル</v>
      </c>
      <c r="C9" s="106" t="s">
        <v>309</v>
      </c>
      <c r="D9" s="140"/>
      <c r="E9" s="140" t="str">
        <f>A9&amp;+(COUNTIF(A$2:A9,A9)-1)</f>
        <v>10462</v>
      </c>
      <c r="F9" s="106" t="s">
        <v>307</v>
      </c>
      <c r="G9" s="186" t="s">
        <v>310</v>
      </c>
      <c r="H9" s="186" t="s">
        <v>319</v>
      </c>
      <c r="I9">
        <f t="shared" si="1"/>
        <v>10</v>
      </c>
    </row>
    <row r="10" spans="1:9" x14ac:dyDescent="0.15">
      <c r="A10" s="106">
        <v>1046</v>
      </c>
      <c r="B10" s="140" t="str">
        <f>VLOOKUP(A10,[1]characters!$A:$C,3,FALSE)</f>
        <v>涼求の炎狼 フェンリル</v>
      </c>
      <c r="C10" s="106" t="s">
        <v>309</v>
      </c>
      <c r="D10" s="140"/>
      <c r="E10" s="140" t="str">
        <f>A10&amp;+(COUNTIF(A$2:A10,A10)-1)</f>
        <v>10463</v>
      </c>
      <c r="F10" s="106" t="s">
        <v>311</v>
      </c>
      <c r="G10" s="186" t="s">
        <v>310</v>
      </c>
      <c r="H10" s="186" t="s">
        <v>320</v>
      </c>
      <c r="I10">
        <f t="shared" si="1"/>
        <v>11</v>
      </c>
    </row>
    <row r="11" spans="1:9" x14ac:dyDescent="0.15">
      <c r="A11" s="106">
        <v>1047</v>
      </c>
      <c r="B11" s="140" t="str">
        <f>VLOOKUP(A11,[1]characters!$A:$C,3,FALSE)</f>
        <v>波浪の夏閃 オイラー</v>
      </c>
      <c r="C11" s="106" t="s">
        <v>306</v>
      </c>
      <c r="D11" s="140"/>
      <c r="E11" s="140" t="str">
        <f>A11&amp;+(COUNTIF(A$2:A11,A11)-1)</f>
        <v>10470</v>
      </c>
      <c r="F11" s="106" t="s">
        <v>307</v>
      </c>
      <c r="G11" s="186" t="s">
        <v>321</v>
      </c>
      <c r="H11" s="188" t="s">
        <v>322</v>
      </c>
      <c r="I11">
        <f t="shared" si="1"/>
        <v>12</v>
      </c>
    </row>
    <row r="12" spans="1:9" x14ac:dyDescent="0.15">
      <c r="A12" s="106">
        <v>1047</v>
      </c>
      <c r="B12" s="140" t="str">
        <f>VLOOKUP(A12,[1]characters!$A:$C,3,FALSE)</f>
        <v>波浪の夏閃 オイラー</v>
      </c>
      <c r="C12" s="106" t="s">
        <v>309</v>
      </c>
      <c r="D12" s="140"/>
      <c r="E12" s="140" t="str">
        <f>A12&amp;+(COUNTIF(A$2:A12,A12)-1)</f>
        <v>10471</v>
      </c>
      <c r="F12" s="106" t="s">
        <v>307</v>
      </c>
      <c r="G12" s="186" t="s">
        <v>321</v>
      </c>
      <c r="H12" s="186" t="s">
        <v>323</v>
      </c>
      <c r="I12">
        <f t="shared" si="1"/>
        <v>11</v>
      </c>
    </row>
    <row r="13" spans="1:9" x14ac:dyDescent="0.15">
      <c r="A13" s="106">
        <v>1047</v>
      </c>
      <c r="B13" s="140" t="str">
        <f>VLOOKUP(A13,[1]characters!$A:$C,3,FALSE)</f>
        <v>波浪の夏閃 オイラー</v>
      </c>
      <c r="C13" s="106" t="s">
        <v>309</v>
      </c>
      <c r="D13" s="140"/>
      <c r="E13" s="140" t="str">
        <f>A13&amp;+(COUNTIF(A$2:A13,A13)-1)</f>
        <v>10472</v>
      </c>
      <c r="F13" s="106" t="s">
        <v>307</v>
      </c>
      <c r="G13" s="186" t="s">
        <v>324</v>
      </c>
      <c r="H13" s="186" t="s">
        <v>325</v>
      </c>
      <c r="I13">
        <f t="shared" si="1"/>
        <v>11</v>
      </c>
    </row>
    <row r="14" spans="1:9" x14ac:dyDescent="0.15">
      <c r="A14" s="106">
        <v>1047</v>
      </c>
      <c r="B14" s="140" t="str">
        <f>VLOOKUP(A14,[1]characters!$A:$C,3,FALSE)</f>
        <v>波浪の夏閃 オイラー</v>
      </c>
      <c r="C14" s="106" t="s">
        <v>309</v>
      </c>
      <c r="D14" s="140"/>
      <c r="E14" s="140" t="str">
        <f>A14&amp;+(COUNTIF(A$2:A14,A14)-1)</f>
        <v>10473</v>
      </c>
      <c r="F14" s="106" t="s">
        <v>311</v>
      </c>
      <c r="G14" s="186" t="s">
        <v>324</v>
      </c>
      <c r="H14" s="186" t="s">
        <v>326</v>
      </c>
      <c r="I14">
        <f t="shared" si="1"/>
        <v>11</v>
      </c>
    </row>
    <row r="15" spans="1:9" x14ac:dyDescent="0.15">
      <c r="A15" s="106">
        <v>1047</v>
      </c>
      <c r="B15" s="140" t="str">
        <f>VLOOKUP(A15,[1]characters!$A:$C,3,FALSE)</f>
        <v>波浪の夏閃 オイラー</v>
      </c>
      <c r="C15" s="106" t="s">
        <v>309</v>
      </c>
      <c r="D15" s="140"/>
      <c r="E15" s="140" t="str">
        <f>A15&amp;+(COUNTIF(A$2:A15,A15)-1)</f>
        <v>10474</v>
      </c>
      <c r="F15" s="106" t="s">
        <v>312</v>
      </c>
      <c r="G15" s="186" t="s">
        <v>324</v>
      </c>
      <c r="H15" s="186" t="s">
        <v>327</v>
      </c>
      <c r="I15">
        <f t="shared" si="1"/>
        <v>11</v>
      </c>
    </row>
    <row r="16" spans="1:9" x14ac:dyDescent="0.15">
      <c r="A16" s="106">
        <v>1048</v>
      </c>
      <c r="B16" s="140" t="str">
        <f>VLOOKUP(A16,[1]characters!$A:$C,3,FALSE)</f>
        <v>砂上の城主竜 ケツァクアトル</v>
      </c>
      <c r="C16" s="106" t="s">
        <v>306</v>
      </c>
      <c r="D16" s="140"/>
      <c r="E16" s="140" t="str">
        <f>A16&amp;+(COUNTIF(A$2:A16,A16)-1)</f>
        <v>10480</v>
      </c>
      <c r="F16" s="106" t="s">
        <v>307</v>
      </c>
      <c r="G16" s="186" t="s">
        <v>310</v>
      </c>
      <c r="H16" s="188" t="s">
        <v>328</v>
      </c>
      <c r="I16">
        <f t="shared" ref="I16:I24" si="2">LEN(H16)</f>
        <v>13</v>
      </c>
    </row>
    <row r="17" spans="1:9" x14ac:dyDescent="0.15">
      <c r="A17" s="106">
        <v>1048</v>
      </c>
      <c r="B17" s="140" t="str">
        <f>VLOOKUP(A17,[1]characters!$A:$C,3,FALSE)</f>
        <v>砂上の城主竜 ケツァクアトル</v>
      </c>
      <c r="C17" s="106" t="s">
        <v>309</v>
      </c>
      <c r="D17" s="140"/>
      <c r="E17" s="140" t="str">
        <f>A17&amp;+(COUNTIF(A$2:A17,A17)-1)</f>
        <v>10481</v>
      </c>
      <c r="F17" s="106" t="s">
        <v>307</v>
      </c>
      <c r="G17" s="186" t="s">
        <v>329</v>
      </c>
      <c r="H17" s="186" t="s">
        <v>330</v>
      </c>
      <c r="I17">
        <f t="shared" si="2"/>
        <v>11</v>
      </c>
    </row>
    <row r="18" spans="1:9" x14ac:dyDescent="0.15">
      <c r="A18" s="106">
        <v>1048</v>
      </c>
      <c r="B18" s="140" t="str">
        <f>VLOOKUP(A18,[1]characters!$A:$C,3,FALSE)</f>
        <v>砂上の城主竜 ケツァクアトル</v>
      </c>
      <c r="C18" s="106" t="s">
        <v>309</v>
      </c>
      <c r="D18" s="140"/>
      <c r="E18" s="140" t="str">
        <f>A18&amp;+(COUNTIF(A$2:A18,A18)-1)</f>
        <v>10482</v>
      </c>
      <c r="F18" s="106" t="s">
        <v>307</v>
      </c>
      <c r="G18" s="186" t="s">
        <v>329</v>
      </c>
      <c r="H18" s="186" t="s">
        <v>331</v>
      </c>
      <c r="I18">
        <f t="shared" si="2"/>
        <v>10</v>
      </c>
    </row>
    <row r="19" spans="1:9" x14ac:dyDescent="0.15">
      <c r="A19" s="106">
        <v>1048</v>
      </c>
      <c r="B19" s="140" t="str">
        <f>VLOOKUP(A19,[1]characters!$A:$C,3,FALSE)</f>
        <v>砂上の城主竜 ケツァクアトル</v>
      </c>
      <c r="C19" s="106" t="s">
        <v>309</v>
      </c>
      <c r="D19" s="140"/>
      <c r="E19" s="140" t="str">
        <f>A19&amp;+(COUNTIF(A$2:A19,A19)-1)</f>
        <v>10483</v>
      </c>
      <c r="F19" s="106" t="s">
        <v>311</v>
      </c>
      <c r="G19" s="186" t="s">
        <v>321</v>
      </c>
      <c r="H19" s="186" t="s">
        <v>332</v>
      </c>
      <c r="I19">
        <f t="shared" si="2"/>
        <v>10</v>
      </c>
    </row>
    <row r="20" spans="1:9" x14ac:dyDescent="0.15">
      <c r="A20" s="106">
        <v>1049</v>
      </c>
      <c r="B20" s="140" t="str">
        <f>VLOOKUP(A20,[1]characters!$A:$C,3,FALSE)</f>
        <v>深秘の水宙 メビウス</v>
      </c>
      <c r="C20" s="106" t="s">
        <v>306</v>
      </c>
      <c r="D20" s="140"/>
      <c r="E20" s="140" t="str">
        <f>A20&amp;+(COUNTIF(A$2:A20,A20)-1)</f>
        <v>10490</v>
      </c>
      <c r="F20" s="106" t="s">
        <v>307</v>
      </c>
      <c r="G20" s="186" t="s">
        <v>329</v>
      </c>
      <c r="H20" s="188" t="s">
        <v>333</v>
      </c>
      <c r="I20">
        <f t="shared" si="2"/>
        <v>11</v>
      </c>
    </row>
    <row r="21" spans="1:9" x14ac:dyDescent="0.15">
      <c r="A21" s="106">
        <v>1049</v>
      </c>
      <c r="B21" s="140" t="str">
        <f>VLOOKUP(A21,[1]characters!$A:$C,3,FALSE)</f>
        <v>深秘の水宙 メビウス</v>
      </c>
      <c r="C21" s="106" t="s">
        <v>309</v>
      </c>
      <c r="D21" s="140"/>
      <c r="E21" s="140" t="str">
        <f>A21&amp;+(COUNTIF(A$2:A21,A21)-1)</f>
        <v>10491</v>
      </c>
      <c r="F21" s="106" t="s">
        <v>307</v>
      </c>
      <c r="G21" s="186" t="s">
        <v>329</v>
      </c>
      <c r="H21" s="186" t="s">
        <v>334</v>
      </c>
      <c r="I21">
        <f t="shared" si="2"/>
        <v>11</v>
      </c>
    </row>
    <row r="22" spans="1:9" x14ac:dyDescent="0.15">
      <c r="A22" s="106">
        <v>1049</v>
      </c>
      <c r="B22" s="140" t="str">
        <f>VLOOKUP(A22,[1]characters!$A:$C,3,FALSE)</f>
        <v>深秘の水宙 メビウス</v>
      </c>
      <c r="C22" s="106" t="s">
        <v>309</v>
      </c>
      <c r="D22" s="140"/>
      <c r="E22" s="140" t="str">
        <f>A22&amp;+(COUNTIF(A$2:A22,A22)-1)</f>
        <v>10492</v>
      </c>
      <c r="F22" s="106" t="s">
        <v>307</v>
      </c>
      <c r="G22" s="186" t="s">
        <v>329</v>
      </c>
      <c r="H22" s="186" t="s">
        <v>335</v>
      </c>
      <c r="I22">
        <f t="shared" si="2"/>
        <v>11</v>
      </c>
    </row>
    <row r="23" spans="1:9" x14ac:dyDescent="0.15">
      <c r="A23" s="106">
        <v>1049</v>
      </c>
      <c r="B23" s="140" t="str">
        <f>VLOOKUP(A23,[1]characters!$A:$C,3,FALSE)</f>
        <v>深秘の水宙 メビウス</v>
      </c>
      <c r="C23" s="106" t="s">
        <v>309</v>
      </c>
      <c r="D23" s="140"/>
      <c r="E23" s="140" t="str">
        <f>A23&amp;+(COUNTIF(A$2:A23,A23)-1)</f>
        <v>10493</v>
      </c>
      <c r="F23" s="106" t="s">
        <v>311</v>
      </c>
      <c r="G23" s="186" t="s">
        <v>329</v>
      </c>
      <c r="H23" s="186" t="s">
        <v>336</v>
      </c>
      <c r="I23">
        <f t="shared" si="2"/>
        <v>11</v>
      </c>
    </row>
    <row r="24" spans="1:9" x14ac:dyDescent="0.15">
      <c r="A24" s="106">
        <v>1049</v>
      </c>
      <c r="B24" s="140" t="str">
        <f>VLOOKUP(A24,[1]characters!$A:$C,3,FALSE)</f>
        <v>深秘の水宙 メビウス</v>
      </c>
      <c r="C24" s="106" t="s">
        <v>309</v>
      </c>
      <c r="D24" s="140"/>
      <c r="E24" s="140" t="str">
        <f>A24&amp;+(COUNTIF(A$2:A24,A24)-1)</f>
        <v>10494</v>
      </c>
      <c r="F24" s="106" t="s">
        <v>312</v>
      </c>
      <c r="G24" s="186" t="s">
        <v>329</v>
      </c>
      <c r="H24" s="186" t="s">
        <v>337</v>
      </c>
      <c r="I24">
        <f t="shared" si="2"/>
        <v>10</v>
      </c>
    </row>
    <row r="25" spans="1:9" x14ac:dyDescent="0.15">
      <c r="A25" s="106">
        <v>1050</v>
      </c>
      <c r="B25" s="140" t="str">
        <f>VLOOKUP(A25,[1]characters!$A:$C,3,FALSE)</f>
        <v>廻遊の水獣宰相 ルキフグス</v>
      </c>
      <c r="C25" s="106" t="s">
        <v>306</v>
      </c>
      <c r="D25" s="140"/>
      <c r="E25" s="140" t="str">
        <f>A25&amp;+(COUNTIF(A$2:A25,A25)-1)</f>
        <v>10500</v>
      </c>
      <c r="F25" s="106" t="s">
        <v>307</v>
      </c>
      <c r="G25" s="186" t="s">
        <v>338</v>
      </c>
      <c r="H25" s="188" t="s">
        <v>339</v>
      </c>
      <c r="I25">
        <f t="shared" ref="I25:I33" si="3">LEN(H25)</f>
        <v>10</v>
      </c>
    </row>
    <row r="26" spans="1:9" x14ac:dyDescent="0.15">
      <c r="A26" s="106">
        <v>1050</v>
      </c>
      <c r="B26" s="140" t="str">
        <f>VLOOKUP(A26,[1]characters!$A:$C,3,FALSE)</f>
        <v>廻遊の水獣宰相 ルキフグス</v>
      </c>
      <c r="C26" s="106" t="s">
        <v>309</v>
      </c>
      <c r="D26" s="140"/>
      <c r="E26" s="140" t="str">
        <f>A26&amp;+(COUNTIF(A$2:A26,A26)-1)</f>
        <v>10501</v>
      </c>
      <c r="F26" s="106" t="s">
        <v>307</v>
      </c>
      <c r="G26" s="186" t="s">
        <v>329</v>
      </c>
      <c r="H26" s="186" t="s">
        <v>340</v>
      </c>
      <c r="I26">
        <f t="shared" si="3"/>
        <v>10</v>
      </c>
    </row>
    <row r="27" spans="1:9" x14ac:dyDescent="0.15">
      <c r="A27" s="106">
        <v>1050</v>
      </c>
      <c r="B27" s="140" t="str">
        <f>VLOOKUP(A27,[1]characters!$A:$C,3,FALSE)</f>
        <v>廻遊の水獣宰相 ルキフグス</v>
      </c>
      <c r="C27" s="106" t="s">
        <v>309</v>
      </c>
      <c r="D27" s="140"/>
      <c r="E27" s="140" t="str">
        <f>A27&amp;+(COUNTIF(A$2:A27,A27)-1)</f>
        <v>10502</v>
      </c>
      <c r="F27" s="106" t="s">
        <v>307</v>
      </c>
      <c r="G27" s="186" t="s">
        <v>338</v>
      </c>
      <c r="H27" s="186" t="s">
        <v>341</v>
      </c>
      <c r="I27">
        <f t="shared" si="3"/>
        <v>9</v>
      </c>
    </row>
    <row r="28" spans="1:9" x14ac:dyDescent="0.15">
      <c r="A28" s="106">
        <v>1050</v>
      </c>
      <c r="B28" s="140" t="str">
        <f>VLOOKUP(A28,[1]characters!$A:$C,3,FALSE)</f>
        <v>廻遊の水獣宰相 ルキフグス</v>
      </c>
      <c r="C28" s="106" t="s">
        <v>309</v>
      </c>
      <c r="D28" s="140"/>
      <c r="E28" s="140" t="str">
        <f>A28&amp;+(COUNTIF(A$2:A28,A28)-1)</f>
        <v>10503</v>
      </c>
      <c r="F28" s="106" t="s">
        <v>311</v>
      </c>
      <c r="G28" s="186" t="s">
        <v>329</v>
      </c>
      <c r="H28" s="186" t="s">
        <v>342</v>
      </c>
      <c r="I28">
        <f t="shared" si="3"/>
        <v>11</v>
      </c>
    </row>
    <row r="29" spans="1:9" x14ac:dyDescent="0.15">
      <c r="A29" s="106">
        <v>1051</v>
      </c>
      <c r="B29" s="140" t="str">
        <f>VLOOKUP(A29,[1]characters!$A:$C,3,FALSE)</f>
        <v>嬌電の飛沫 ファラデー</v>
      </c>
      <c r="C29" s="106" t="s">
        <v>306</v>
      </c>
      <c r="D29" s="140"/>
      <c r="E29" s="140" t="str">
        <f>A29&amp;+(COUNTIF(A$2:A29,A29)-1)</f>
        <v>10510</v>
      </c>
      <c r="F29" s="106" t="s">
        <v>307</v>
      </c>
      <c r="G29" s="186" t="s">
        <v>310</v>
      </c>
      <c r="H29" s="188" t="s">
        <v>343</v>
      </c>
      <c r="I29">
        <f t="shared" si="3"/>
        <v>10</v>
      </c>
    </row>
    <row r="30" spans="1:9" x14ac:dyDescent="0.15">
      <c r="A30" s="106">
        <v>1051</v>
      </c>
      <c r="B30" s="140" t="str">
        <f>VLOOKUP(A30,[1]characters!$A:$C,3,FALSE)</f>
        <v>嬌電の飛沫 ファラデー</v>
      </c>
      <c r="C30" s="106" t="s">
        <v>309</v>
      </c>
      <c r="D30" s="140"/>
      <c r="E30" s="140" t="str">
        <f>A30&amp;+(COUNTIF(A$2:A30,A30)-1)</f>
        <v>10511</v>
      </c>
      <c r="F30" s="106" t="s">
        <v>307</v>
      </c>
      <c r="G30" s="186" t="s">
        <v>310</v>
      </c>
      <c r="H30" s="186" t="s">
        <v>344</v>
      </c>
      <c r="I30">
        <f t="shared" si="3"/>
        <v>11</v>
      </c>
    </row>
    <row r="31" spans="1:9" ht="25" customHeight="1" x14ac:dyDescent="0.15">
      <c r="A31" s="106">
        <v>1051</v>
      </c>
      <c r="B31" s="140" t="str">
        <f>VLOOKUP(A31,[1]characters!$A:$C,3,FALSE)</f>
        <v>嬌電の飛沫 ファラデー</v>
      </c>
      <c r="C31" s="106" t="s">
        <v>309</v>
      </c>
      <c r="D31" s="140"/>
      <c r="E31" s="140" t="str">
        <f>A31&amp;+(COUNTIF(A$2:A31,A31)-1)</f>
        <v>10512</v>
      </c>
      <c r="F31" s="106" t="s">
        <v>307</v>
      </c>
      <c r="G31" s="186" t="s">
        <v>310</v>
      </c>
      <c r="H31" s="186" t="s">
        <v>345</v>
      </c>
      <c r="I31">
        <f t="shared" si="3"/>
        <v>7</v>
      </c>
    </row>
    <row r="32" spans="1:9" ht="26" customHeight="1" x14ac:dyDescent="0.15">
      <c r="A32" s="106">
        <v>1051</v>
      </c>
      <c r="B32" s="140" t="str">
        <f>VLOOKUP(A32,[1]characters!$A:$C,3,FALSE)</f>
        <v>嬌電の飛沫 ファラデー</v>
      </c>
      <c r="C32" s="106" t="s">
        <v>309</v>
      </c>
      <c r="D32" s="140"/>
      <c r="E32" s="140" t="str">
        <f>A32&amp;+(COUNTIF(A$2:A32,A32)-1)</f>
        <v>10513</v>
      </c>
      <c r="F32" s="106" t="s">
        <v>311</v>
      </c>
      <c r="G32" s="186" t="s">
        <v>310</v>
      </c>
      <c r="H32" s="193" t="s">
        <v>388</v>
      </c>
      <c r="I32">
        <f t="shared" si="3"/>
        <v>10</v>
      </c>
    </row>
    <row r="33" spans="1:9" x14ac:dyDescent="0.15">
      <c r="A33" s="106">
        <v>1051</v>
      </c>
      <c r="B33" s="140" t="str">
        <f>VLOOKUP(A33,[1]characters!$A:$C,3,FALSE)</f>
        <v>嬌電の飛沫 ファラデー</v>
      </c>
      <c r="C33" s="106" t="s">
        <v>309</v>
      </c>
      <c r="D33" s="140"/>
      <c r="E33" s="140" t="str">
        <f>A33&amp;+(COUNTIF(A$2:A33,A33)-1)</f>
        <v>10514</v>
      </c>
      <c r="F33" s="106" t="s">
        <v>312</v>
      </c>
      <c r="G33" s="186" t="s">
        <v>310</v>
      </c>
      <c r="H33" s="186" t="s">
        <v>346</v>
      </c>
      <c r="I33">
        <f t="shared" si="3"/>
        <v>10</v>
      </c>
    </row>
    <row r="34" spans="1:9" x14ac:dyDescent="0.15">
      <c r="A34" s="106">
        <v>1052</v>
      </c>
      <c r="B34" s="140" t="str">
        <f>VLOOKUP(A34,[1]characters!$A:$C,3,FALSE)</f>
        <v>戯魚群の潜光 バルドル</v>
      </c>
      <c r="C34" s="106" t="s">
        <v>306</v>
      </c>
      <c r="D34" s="140"/>
      <c r="E34" s="140" t="str">
        <f>A34&amp;+(COUNTIF(A$2:A34,A34)-1)</f>
        <v>10520</v>
      </c>
      <c r="F34" s="106" t="s">
        <v>307</v>
      </c>
      <c r="G34" s="186" t="s">
        <v>329</v>
      </c>
      <c r="H34" s="188" t="s">
        <v>347</v>
      </c>
      <c r="I34">
        <f t="shared" ref="I34:I37" si="4">LEN(H34)</f>
        <v>13</v>
      </c>
    </row>
    <row r="35" spans="1:9" x14ac:dyDescent="0.15">
      <c r="A35" s="106">
        <v>1052</v>
      </c>
      <c r="B35" s="140" t="str">
        <f>VLOOKUP(A35,[1]characters!$A:$C,3,FALSE)</f>
        <v>戯魚群の潜光 バルドル</v>
      </c>
      <c r="C35" s="106" t="s">
        <v>309</v>
      </c>
      <c r="D35" s="140"/>
      <c r="E35" s="140" t="str">
        <f>A35&amp;+(COUNTIF(A$2:A35,A35)-1)</f>
        <v>10521</v>
      </c>
      <c r="F35" s="106" t="s">
        <v>307</v>
      </c>
      <c r="G35" s="186" t="s">
        <v>329</v>
      </c>
      <c r="H35" s="186" t="s">
        <v>348</v>
      </c>
      <c r="I35">
        <f t="shared" si="4"/>
        <v>10</v>
      </c>
    </row>
    <row r="36" spans="1:9" x14ac:dyDescent="0.15">
      <c r="A36" s="106">
        <v>1052</v>
      </c>
      <c r="B36" s="140" t="str">
        <f>VLOOKUP(A36,[1]characters!$A:$C,3,FALSE)</f>
        <v>戯魚群の潜光 バルドル</v>
      </c>
      <c r="C36" s="106" t="s">
        <v>309</v>
      </c>
      <c r="D36" s="140"/>
      <c r="E36" s="140" t="str">
        <f>A36&amp;+(COUNTIF(A$2:A36,A36)-1)</f>
        <v>10522</v>
      </c>
      <c r="F36" s="106" t="s">
        <v>307</v>
      </c>
      <c r="G36" s="186" t="s">
        <v>329</v>
      </c>
      <c r="H36" s="186" t="s">
        <v>349</v>
      </c>
      <c r="I36">
        <f t="shared" si="4"/>
        <v>11</v>
      </c>
    </row>
    <row r="37" spans="1:9" x14ac:dyDescent="0.15">
      <c r="A37" s="106">
        <v>1052</v>
      </c>
      <c r="B37" s="140" t="str">
        <f>VLOOKUP(A37,[1]characters!$A:$C,3,FALSE)</f>
        <v>戯魚群の潜光 バルドル</v>
      </c>
      <c r="C37" s="106" t="s">
        <v>309</v>
      </c>
      <c r="D37" s="140"/>
      <c r="E37" s="140" t="str">
        <f>A37&amp;+(COUNTIF(A$2:A37,A37)-1)</f>
        <v>10523</v>
      </c>
      <c r="F37" s="106" t="s">
        <v>311</v>
      </c>
      <c r="G37" s="186" t="s">
        <v>329</v>
      </c>
      <c r="H37" s="186" t="s">
        <v>350</v>
      </c>
      <c r="I37">
        <f t="shared" si="4"/>
        <v>9</v>
      </c>
    </row>
    <row r="38" spans="1:9" x14ac:dyDescent="0.15">
      <c r="A38" s="106">
        <v>1053</v>
      </c>
      <c r="B38" s="140" t="str">
        <f>VLOOKUP(A38,[1]characters!$A:$C,3,FALSE)</f>
        <v>常夏の眩獣 麒麟</v>
      </c>
      <c r="C38" s="106" t="s">
        <v>306</v>
      </c>
      <c r="D38" s="140"/>
      <c r="E38" s="140" t="str">
        <f>A38&amp;+(COUNTIF(A$2:A38,A38)-1)</f>
        <v>10530</v>
      </c>
      <c r="F38" s="106" t="s">
        <v>307</v>
      </c>
      <c r="G38" s="186" t="s">
        <v>351</v>
      </c>
      <c r="H38" s="188" t="s">
        <v>352</v>
      </c>
      <c r="I38">
        <f t="shared" ref="I38:I46" si="5">LEN(H38)</f>
        <v>13</v>
      </c>
    </row>
    <row r="39" spans="1:9" x14ac:dyDescent="0.15">
      <c r="A39" s="106">
        <v>1053</v>
      </c>
      <c r="B39" s="140" t="str">
        <f>VLOOKUP(A39,[1]characters!$A:$C,3,FALSE)</f>
        <v>常夏の眩獣 麒麟</v>
      </c>
      <c r="C39" s="106" t="s">
        <v>309</v>
      </c>
      <c r="D39" s="140"/>
      <c r="E39" s="140" t="str">
        <f>A39&amp;+(COUNTIF(A$2:A39,A39)-1)</f>
        <v>10531</v>
      </c>
      <c r="F39" s="106" t="s">
        <v>307</v>
      </c>
      <c r="G39" s="186" t="s">
        <v>310</v>
      </c>
      <c r="H39" s="186" t="s">
        <v>353</v>
      </c>
      <c r="I39">
        <f t="shared" si="5"/>
        <v>11</v>
      </c>
    </row>
    <row r="40" spans="1:9" x14ac:dyDescent="0.15">
      <c r="A40" s="106">
        <v>1053</v>
      </c>
      <c r="B40" s="140" t="str">
        <f>VLOOKUP(A40,[1]characters!$A:$C,3,FALSE)</f>
        <v>常夏の眩獣 麒麟</v>
      </c>
      <c r="C40" s="106" t="s">
        <v>309</v>
      </c>
      <c r="D40" s="140"/>
      <c r="E40" s="140" t="str">
        <f>A40&amp;+(COUNTIF(A$2:A40,A40)-1)</f>
        <v>10532</v>
      </c>
      <c r="F40" s="106" t="s">
        <v>307</v>
      </c>
      <c r="G40" s="186" t="s">
        <v>310</v>
      </c>
      <c r="H40" s="186" t="s">
        <v>354</v>
      </c>
      <c r="I40">
        <f t="shared" si="5"/>
        <v>11</v>
      </c>
    </row>
    <row r="41" spans="1:9" x14ac:dyDescent="0.15">
      <c r="A41" s="106">
        <v>1053</v>
      </c>
      <c r="B41" s="140" t="str">
        <f>VLOOKUP(A41,[1]characters!$A:$C,3,FALSE)</f>
        <v>常夏の眩獣 麒麟</v>
      </c>
      <c r="C41" s="106" t="s">
        <v>309</v>
      </c>
      <c r="D41" s="140"/>
      <c r="E41" s="140" t="str">
        <f>A41&amp;+(COUNTIF(A$2:A41,A41)-1)</f>
        <v>10533</v>
      </c>
      <c r="F41" s="106" t="s">
        <v>311</v>
      </c>
      <c r="G41" s="186" t="s">
        <v>310</v>
      </c>
      <c r="H41" s="186" t="s">
        <v>355</v>
      </c>
      <c r="I41">
        <f t="shared" si="5"/>
        <v>11</v>
      </c>
    </row>
    <row r="42" spans="1:9" x14ac:dyDescent="0.15">
      <c r="A42" s="106">
        <v>1054</v>
      </c>
      <c r="B42" s="140" t="str">
        <f>VLOOKUP(A42,[1]characters!$A:$C,3,FALSE)</f>
        <v>炎陽の臨海 麒麟</v>
      </c>
      <c r="C42" s="106" t="s">
        <v>306</v>
      </c>
      <c r="D42" s="140"/>
      <c r="E42" s="140" t="str">
        <f>A42&amp;+(COUNTIF(A$2:A42,A42)-1)</f>
        <v>10540</v>
      </c>
      <c r="F42" s="106" t="s">
        <v>307</v>
      </c>
      <c r="G42" s="186" t="s">
        <v>310</v>
      </c>
      <c r="H42" s="188" t="s">
        <v>356</v>
      </c>
      <c r="I42">
        <f t="shared" si="5"/>
        <v>12</v>
      </c>
    </row>
    <row r="43" spans="1:9" x14ac:dyDescent="0.15">
      <c r="A43" s="106">
        <v>1054</v>
      </c>
      <c r="B43" s="140" t="str">
        <f>VLOOKUP(A43,[1]characters!$A:$C,3,FALSE)</f>
        <v>炎陽の臨海 麒麟</v>
      </c>
      <c r="C43" s="106" t="s">
        <v>309</v>
      </c>
      <c r="D43" s="140"/>
      <c r="E43" s="140" t="str">
        <f>A43&amp;+(COUNTIF(A$2:A43,A43)-1)</f>
        <v>10541</v>
      </c>
      <c r="F43" s="106" t="s">
        <v>307</v>
      </c>
      <c r="G43" s="186" t="s">
        <v>310</v>
      </c>
      <c r="H43" s="186" t="s">
        <v>353</v>
      </c>
      <c r="I43">
        <f t="shared" si="5"/>
        <v>11</v>
      </c>
    </row>
    <row r="44" spans="1:9" x14ac:dyDescent="0.15">
      <c r="A44" s="106">
        <v>1054</v>
      </c>
      <c r="B44" s="140" t="str">
        <f>VLOOKUP(A44,[1]characters!$A:$C,3,FALSE)</f>
        <v>炎陽の臨海 麒麟</v>
      </c>
      <c r="C44" s="106" t="s">
        <v>309</v>
      </c>
      <c r="D44" s="140"/>
      <c r="E44" s="140" t="str">
        <f>A44&amp;+(COUNTIF(A$2:A44,A44)-1)</f>
        <v>10542</v>
      </c>
      <c r="F44" s="106" t="s">
        <v>307</v>
      </c>
      <c r="G44" s="186" t="s">
        <v>310</v>
      </c>
      <c r="H44" s="186" t="s">
        <v>354</v>
      </c>
      <c r="I44">
        <f t="shared" si="5"/>
        <v>11</v>
      </c>
    </row>
    <row r="45" spans="1:9" x14ac:dyDescent="0.15">
      <c r="A45" s="106">
        <v>1054</v>
      </c>
      <c r="B45" s="140" t="str">
        <f>VLOOKUP(A45,[1]characters!$A:$C,3,FALSE)</f>
        <v>炎陽の臨海 麒麟</v>
      </c>
      <c r="C45" s="106" t="s">
        <v>309</v>
      </c>
      <c r="D45" s="140"/>
      <c r="E45" s="140" t="str">
        <f>A45&amp;+(COUNTIF(A$2:A45,A45)-1)</f>
        <v>10543</v>
      </c>
      <c r="F45" s="106" t="s">
        <v>311</v>
      </c>
      <c r="G45" s="186" t="s">
        <v>310</v>
      </c>
      <c r="H45" s="186" t="s">
        <v>355</v>
      </c>
      <c r="I45">
        <f t="shared" si="5"/>
        <v>11</v>
      </c>
    </row>
    <row r="46" spans="1:9" x14ac:dyDescent="0.15">
      <c r="A46" s="106">
        <v>1054</v>
      </c>
      <c r="B46" s="140" t="str">
        <f>VLOOKUP(A46,[1]characters!$A:$C,3,FALSE)</f>
        <v>炎陽の臨海 麒麟</v>
      </c>
      <c r="C46" s="106" t="s">
        <v>309</v>
      </c>
      <c r="D46" s="140"/>
      <c r="E46" s="140" t="str">
        <f>A46&amp;+(COUNTIF(A$2:A46,A46)-1)</f>
        <v>10544</v>
      </c>
      <c r="F46" s="106" t="s">
        <v>312</v>
      </c>
      <c r="G46" s="186" t="s">
        <v>329</v>
      </c>
      <c r="H46" s="186" t="s">
        <v>357</v>
      </c>
      <c r="I46">
        <f t="shared" si="5"/>
        <v>11</v>
      </c>
    </row>
  </sheetData>
  <phoneticPr fontId="22"/>
  <dataValidations count="2">
    <dataValidation type="list" allowBlank="1" showInputMessage="1" showErrorMessage="1" sqref="G2:G46">
      <formula1>"maru,giza,kumo"</formula1>
    </dataValidation>
    <dataValidation type="list" allowBlank="1" showInputMessage="1" showErrorMessage="1" sqref="C2:C46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1"/>
  <sheetViews>
    <sheetView showGridLines="0" zoomScale="86" zoomScaleNormal="86" zoomScalePageLayoutView="86" workbookViewId="0">
      <pane ySplit="1" topLeftCell="A2" activePane="bottomLeft" state="frozen"/>
      <selection pane="bottomLeft" activeCell="D43" sqref="D43"/>
    </sheetView>
  </sheetViews>
  <sheetFormatPr baseColWidth="12" defaultColWidth="13" defaultRowHeight="15" x14ac:dyDescent="0.15"/>
  <cols>
    <col min="1" max="1" width="11.5" style="62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2" t="s">
        <v>99</v>
      </c>
      <c r="B1" s="40" t="s">
        <v>38</v>
      </c>
      <c r="C1" s="19" t="s">
        <v>40</v>
      </c>
      <c r="D1" s="19" t="s">
        <v>42</v>
      </c>
      <c r="E1" s="19" t="s">
        <v>43</v>
      </c>
      <c r="F1" s="41" t="s">
        <v>36</v>
      </c>
      <c r="G1" s="19" t="s">
        <v>41</v>
      </c>
      <c r="H1" s="18" t="s">
        <v>37</v>
      </c>
      <c r="I1" s="111" t="s">
        <v>127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J1"/>
  <sheetViews>
    <sheetView zoomScale="200" workbookViewId="0">
      <selection activeCell="C8" sqref="C8"/>
    </sheetView>
  </sheetViews>
  <sheetFormatPr baseColWidth="12" defaultRowHeight="15" x14ac:dyDescent="0.15"/>
  <cols>
    <col min="1" max="1" width="7.1640625" bestFit="1" customWidth="1"/>
    <col min="2" max="2" width="5.6640625" customWidth="1"/>
    <col min="3" max="3" width="23.83203125" bestFit="1" customWidth="1"/>
    <col min="4" max="4" width="55.5" bestFit="1" customWidth="1"/>
    <col min="5" max="5" width="4.6640625" bestFit="1" customWidth="1"/>
    <col min="6" max="6" width="23.33203125" bestFit="1" customWidth="1"/>
    <col min="7" max="7" width="78" bestFit="1" customWidth="1"/>
    <col min="8" max="8" width="6.33203125" bestFit="1" customWidth="1"/>
    <col min="9" max="9" width="127.83203125" customWidth="1"/>
  </cols>
  <sheetData>
    <row r="1" spans="1:10" s="22" customFormat="1" ht="21" customHeight="1" x14ac:dyDescent="0.15">
      <c r="A1" s="179" t="s">
        <v>287</v>
      </c>
      <c r="B1" s="117" t="s">
        <v>194</v>
      </c>
      <c r="C1" s="118" t="s">
        <v>40</v>
      </c>
      <c r="D1" s="119" t="s">
        <v>163</v>
      </c>
      <c r="E1" s="119" t="s">
        <v>288</v>
      </c>
      <c r="F1" s="119" t="s">
        <v>289</v>
      </c>
      <c r="G1" s="119" t="s">
        <v>290</v>
      </c>
      <c r="H1" s="119" t="s">
        <v>291</v>
      </c>
      <c r="I1" s="180" t="s">
        <v>292</v>
      </c>
      <c r="J1" s="181" t="s">
        <v>293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H11"/>
  <sheetViews>
    <sheetView workbookViewId="0">
      <selection activeCell="H12" sqref="H12"/>
    </sheetView>
  </sheetViews>
  <sheetFormatPr baseColWidth="12" defaultRowHeight="15" x14ac:dyDescent="0.15"/>
  <cols>
    <col min="2" max="2" width="21.83203125" bestFit="1" customWidth="1"/>
    <col min="5" max="5" width="25.33203125" customWidth="1"/>
    <col min="6" max="6" width="55.5" bestFit="1" customWidth="1"/>
  </cols>
  <sheetData>
    <row r="1" spans="1:8" s="22" customFormat="1" ht="21" customHeight="1" x14ac:dyDescent="0.15">
      <c r="A1" s="179" t="s">
        <v>266</v>
      </c>
      <c r="B1" s="180" t="s">
        <v>267</v>
      </c>
      <c r="C1" s="196" t="s">
        <v>269</v>
      </c>
      <c r="D1" s="196" t="s">
        <v>271</v>
      </c>
      <c r="E1" s="197" t="s">
        <v>272</v>
      </c>
      <c r="F1" s="197" t="s">
        <v>273</v>
      </c>
      <c r="G1" s="196" t="s">
        <v>275</v>
      </c>
      <c r="H1" s="179" t="s">
        <v>277</v>
      </c>
    </row>
    <row r="2" spans="1:8" x14ac:dyDescent="0.15">
      <c r="A2" s="106">
        <v>1045</v>
      </c>
      <c r="B2" s="140" t="str">
        <f>VLOOKUP(A2,[1]characters!$A:$C,3)</f>
        <v>漂解の海原 シュレディンガー</v>
      </c>
      <c r="C2" s="164">
        <v>1</v>
      </c>
      <c r="D2" s="164">
        <v>200</v>
      </c>
      <c r="E2" s="140" t="str">
        <f>IF(ISERROR(VLOOKUP(D2,[2]abilities!A:D,3,FALSE))=FALSE,VLOOKUP(D2,[2]abilities!A:D,3),IF(ISERROR(VLOOKUP(D2,abilities!A:D,3,FALSE))=FALSE,VLOOKUP(D2,abilities!A:D,3),"なし"))</f>
        <v>ウィルス無効</v>
      </c>
      <c r="F2" s="140" t="str">
        <f>IF(ISERROR(VLOOKUP(D2,[2]abilities!A:D,4,FALSE))=FALSE,VLOOKUP(D2,[2]abilities!A:D,4),IF(ISERROR(VLOOKUP(D2,abilities!A:D,4,FALSE))=FALSE,VLOOKUP(D2,abilities!A:D,4),"なし"))</f>
        <v>自身にかかるウィルスを無効化する</v>
      </c>
      <c r="G2" s="106" t="s">
        <v>422</v>
      </c>
      <c r="H2" s="164">
        <v>1</v>
      </c>
    </row>
    <row r="3" spans="1:8" x14ac:dyDescent="0.15">
      <c r="A3" s="106">
        <v>1045</v>
      </c>
      <c r="B3" s="140" t="str">
        <f>VLOOKUP(A3,[1]characters!$A:$C,3)</f>
        <v>漂解の海原 シュレディンガー</v>
      </c>
      <c r="C3" s="164">
        <v>2</v>
      </c>
      <c r="D3" s="164">
        <v>103</v>
      </c>
      <c r="E3" s="140" t="str">
        <f>IF(ISERROR(VLOOKUP(D3,[2]abilities!A:D,3,FALSE))=FALSE,VLOOKUP(D3,[2]abilities!A:D,3),IF(ISERROR(VLOOKUP(D3,abilities!A:D,3,FALSE))=FALSE,VLOOKUP(D3,abilities!A:D,3),"なし"))</f>
        <v>お邪魔ブレイク</v>
      </c>
      <c r="F3" s="140" t="str">
        <f>IF(ISERROR(VLOOKUP(D3,[2]abilities!A:D,4,FALSE))=FALSE,VLOOKUP(D3,[2]abilities!A:D,4),IF(ISERROR(VLOOKUP(D3,abilities!A:D,4,FALSE))=FALSE,VLOOKUP(D3,abilities!A:D,4),"なし"))</f>
        <v>自身が先頭の時、お邪魔パネルを破壊できる</v>
      </c>
      <c r="G3" s="106" t="s">
        <v>422</v>
      </c>
      <c r="H3" s="164">
        <v>1</v>
      </c>
    </row>
    <row r="4" spans="1:8" x14ac:dyDescent="0.15">
      <c r="A4" s="106">
        <v>1047</v>
      </c>
      <c r="B4" s="140" t="str">
        <f>VLOOKUP(A4,[1]characters!$A:$C,3)</f>
        <v>波浪の夏閃 オイラー</v>
      </c>
      <c r="C4" s="164">
        <v>1</v>
      </c>
      <c r="D4" s="164">
        <v>204</v>
      </c>
      <c r="E4" s="140" t="str">
        <f>IF(ISERROR(VLOOKUP(D4,[2]abilities!A:D,3,FALSE))=FALSE,VLOOKUP(D4,[2]abilities!A:D,3),IF(ISERROR(VLOOKUP(D4,abilities!A:D,3,FALSE))=FALSE,VLOOKUP(D4,abilities!A:D,3),"なし"))</f>
        <v>爆風強化</v>
      </c>
      <c r="F4" s="140" t="str">
        <f>IF(ISERROR(VLOOKUP(D4,[2]abilities!A:D,4,FALSE))=FALSE,VLOOKUP(D4,[2]abilities!A:D,4),IF(ISERROR(VLOOKUP(D4,abilities!A:D,4,FALSE))=FALSE,VLOOKUP(D4,abilities!A:D,4),"なし"))</f>
        <v>自身が先頭の時、ボムの爆風を強化する</v>
      </c>
      <c r="G4" s="106" t="s">
        <v>422</v>
      </c>
      <c r="H4" s="164">
        <v>1</v>
      </c>
    </row>
    <row r="5" spans="1:8" x14ac:dyDescent="0.15">
      <c r="A5" s="106">
        <v>1047</v>
      </c>
      <c r="B5" s="140" t="str">
        <f>VLOOKUP(A5,[1]characters!$A:$C,3)</f>
        <v>波浪の夏閃 オイラー</v>
      </c>
      <c r="C5" s="164">
        <v>2</v>
      </c>
      <c r="D5" s="164">
        <v>109</v>
      </c>
      <c r="E5" s="140" t="str">
        <f>IF(ISERROR(VLOOKUP(D5,[2]abilities!A:D,3,FALSE))=FALSE,VLOOKUP(D5,[2]abilities!A:D,3),IF(ISERROR(VLOOKUP(D5,abilities!A:D,3,FALSE))=FALSE,VLOOKUP(D5,abilities!A:D,3),"なし"))</f>
        <v>ダメージパネルブレイク</v>
      </c>
      <c r="F5" s="140" t="str">
        <f>IF(ISERROR(VLOOKUP(D5,[2]abilities!A:D,4,FALSE))=FALSE,VLOOKUP(D5,[2]abilities!A:D,4),IF(ISERROR(VLOOKUP(D5,abilities!A:D,4,FALSE))=FALSE,VLOOKUP(D5,abilities!A:D,4),"なし"))</f>
        <v>自身が先頭の時、ダメージを受けずにダメージパネルを破壊できる</v>
      </c>
      <c r="G5" s="106" t="s">
        <v>422</v>
      </c>
      <c r="H5" s="164">
        <v>1</v>
      </c>
    </row>
    <row r="6" spans="1:8" x14ac:dyDescent="0.15">
      <c r="A6" s="106">
        <v>1049</v>
      </c>
      <c r="B6" s="140" t="str">
        <f>VLOOKUP(A6,[1]characters!$A:$C,3)</f>
        <v>深秘の水宙 メビウス</v>
      </c>
      <c r="C6" s="164">
        <v>1</v>
      </c>
      <c r="D6" s="164">
        <v>109</v>
      </c>
      <c r="E6" s="140" t="str">
        <f>IF(ISERROR(VLOOKUP(D6,[2]abilities!A:D,3,FALSE))=FALSE,VLOOKUP(D6,[2]abilities!A:D,3),IF(ISERROR(VLOOKUP(D6,abilities!A:D,3,FALSE))=FALSE,VLOOKUP(D6,abilities!A:D,3),"なし"))</f>
        <v>ダメージパネルブレイク</v>
      </c>
      <c r="F6" s="140" t="str">
        <f>IF(ISERROR(VLOOKUP(D6,[2]abilities!A:D,4,FALSE))=FALSE,VLOOKUP(D6,[2]abilities!A:D,4),IF(ISERROR(VLOOKUP(D6,abilities!A:D,4,FALSE))=FALSE,VLOOKUP(D6,abilities!A:D,4),"なし"))</f>
        <v>自身が先頭の時、ダメージを受けずにダメージパネルを破壊できる</v>
      </c>
      <c r="G6" s="106" t="s">
        <v>422</v>
      </c>
      <c r="H6" s="164">
        <v>1</v>
      </c>
    </row>
    <row r="7" spans="1:8" x14ac:dyDescent="0.15">
      <c r="A7" s="106">
        <v>1049</v>
      </c>
      <c r="B7" s="140" t="str">
        <f>VLOOKUP(A7,[1]characters!$A:$C,3)</f>
        <v>深秘の水宙 メビウス</v>
      </c>
      <c r="C7" s="164">
        <v>2</v>
      </c>
      <c r="D7" s="164">
        <v>2403</v>
      </c>
      <c r="E7" s="140" t="str">
        <f>IF(ISERROR(VLOOKUP(D7,[2]abilities!A:D,3,FALSE))=FALSE,VLOOKUP(D7,[2]abilities!A:D,3),IF(ISERROR(VLOOKUP(D7,abilities!A:D,3,FALSE))=FALSE,VLOOKUP(D7,abilities!A:D,3),"なし"))</f>
        <v>青ボムパネルドロップ</v>
      </c>
      <c r="F7" s="140" t="str">
        <f>IF(ISERROR(VLOOKUP(D7,[2]abilities!A:D,4,FALSE))=FALSE,VLOOKUP(D7,[2]abilities!A:D,4),IF(ISERROR(VLOOKUP(D7,abilities!A:D,4,FALSE))=FALSE,VLOOKUP(D7,abilities!A:D,4),"なし"))</f>
        <v>自身が先頭の時、青パネルを確率で青ボムパネルに変換しドロップ</v>
      </c>
      <c r="G7" s="106" t="s">
        <v>422</v>
      </c>
      <c r="H7" s="164">
        <v>1</v>
      </c>
    </row>
    <row r="8" spans="1:8" x14ac:dyDescent="0.15">
      <c r="A8" s="106">
        <v>1051</v>
      </c>
      <c r="B8" s="140" t="str">
        <f>VLOOKUP(A8,[1]characters!$A:$C,3)</f>
        <v>嬌電の飛沫 ファラデー</v>
      </c>
      <c r="C8" s="164">
        <v>1</v>
      </c>
      <c r="D8" s="164">
        <v>100</v>
      </c>
      <c r="E8" s="140" t="str">
        <f>IF(ISERROR(VLOOKUP(D8,[2]abilities!A:D,3,FALSE))=FALSE,VLOOKUP(D8,[2]abilities!A:D,3),IF(ISERROR(VLOOKUP(D8,abilities!A:D,3,FALSE))=FALSE,VLOOKUP(D8,abilities!A:D,3),"なし"))</f>
        <v>プロテクトブレイク</v>
      </c>
      <c r="F8" s="140" t="str">
        <f>IF(ISERROR(VLOOKUP(D8,[2]abilities!A:D,4,FALSE))=FALSE,VLOOKUP(D8,[2]abilities!A:D,4),IF(ISERROR(VLOOKUP(D8,abilities!A:D,4,FALSE))=FALSE,VLOOKUP(D8,abilities!A:D,4),"なし"))</f>
        <v>自身が先頭の時、プロテクトを無視してパネル破壊できる</v>
      </c>
      <c r="G8" s="106" t="s">
        <v>422</v>
      </c>
      <c r="H8" s="164">
        <v>1</v>
      </c>
    </row>
    <row r="9" spans="1:8" x14ac:dyDescent="0.15">
      <c r="A9" s="106">
        <v>1051</v>
      </c>
      <c r="B9" s="140" t="str">
        <f>VLOOKUP(A9,[1]characters!$A:$C,3)</f>
        <v>嬌電の飛沫 ファラデー</v>
      </c>
      <c r="C9" s="164">
        <v>2</v>
      </c>
      <c r="D9" s="164">
        <v>800</v>
      </c>
      <c r="E9" s="140" t="str">
        <f>IF(ISERROR(VLOOKUP(D9,[2]abilities!A:D,3,FALSE))=FALSE,VLOOKUP(D9,[2]abilities!A:D,3),IF(ISERROR(VLOOKUP(D9,abilities!A:D,3,FALSE))=FALSE,VLOOKUP(D9,abilities!A:D,3),"なし"))</f>
        <v>パネルブレイク30 攻撃力UP</v>
      </c>
      <c r="F9" s="140" t="str">
        <f>IF(ISERROR(VLOOKUP(D9,[2]abilities!A:D,4,FALSE))=FALSE,VLOOKUP(D9,[2]abilities!A:D,4),IF(ISERROR(VLOOKUP(D9,abilities!A:D,4,FALSE))=FALSE,VLOOKUP(D9,abilities!A:D,4),"なし"))</f>
        <v>自身が先頭の時、1ターンの間に合計30個以上パネルを破壊した場合に攻撃力UP</v>
      </c>
      <c r="G9" s="106" t="s">
        <v>422</v>
      </c>
      <c r="H9" s="164">
        <v>1</v>
      </c>
    </row>
    <row r="10" spans="1:8" x14ac:dyDescent="0.15">
      <c r="A10" s="106">
        <v>1054</v>
      </c>
      <c r="B10" s="140" t="str">
        <f>VLOOKUP(A10,[1]characters!$A:$C,3)</f>
        <v>炎陽の臨海 麒麟</v>
      </c>
      <c r="C10" s="164">
        <v>1</v>
      </c>
      <c r="D10" s="164">
        <v>200</v>
      </c>
      <c r="E10" s="140" t="str">
        <f>IF(ISERROR(VLOOKUP(D10,[2]abilities!A:D,3,FALSE))=FALSE,VLOOKUP(D10,[2]abilities!A:D,3),IF(ISERROR(VLOOKUP(D10,abilities!A:D,3,FALSE))=FALSE,VLOOKUP(D10,abilities!A:D,3),"なし"))</f>
        <v>ウィルス無効</v>
      </c>
      <c r="F10" s="140" t="str">
        <f>IF(ISERROR(VLOOKUP(D10,[2]abilities!A:D,4,FALSE))=FALSE,VLOOKUP(D10,[2]abilities!A:D,4),IF(ISERROR(VLOOKUP(D10,abilities!A:D,4,FALSE))=FALSE,VLOOKUP(D10,abilities!A:D,4),"なし"))</f>
        <v>自身にかかるウィルスを無効化する</v>
      </c>
      <c r="G10" s="106" t="s">
        <v>422</v>
      </c>
      <c r="H10" s="164">
        <v>1</v>
      </c>
    </row>
    <row r="11" spans="1:8" x14ac:dyDescent="0.15">
      <c r="A11" s="106">
        <v>1054</v>
      </c>
      <c r="B11" s="140" t="str">
        <f>VLOOKUP(A11,[1]characters!$A:$C,3)</f>
        <v>炎陽の臨海 麒麟</v>
      </c>
      <c r="C11" s="164">
        <v>2</v>
      </c>
      <c r="D11" s="164">
        <v>615</v>
      </c>
      <c r="E11" s="140" t="str">
        <f>IF(ISERROR(VLOOKUP(D11,[2]abilities!A:D,3,FALSE))=FALSE,VLOOKUP(D11,[2]abilities!A:D,3),IF(ISERROR(VLOOKUP(D11,abilities!A:D,3,FALSE))=FALSE,VLOOKUP(D11,abilities!A:D,3),"なし"))</f>
        <v>緑属性耐性10</v>
      </c>
      <c r="F11" s="140" t="str">
        <f>IF(ISERROR(VLOOKUP(D11,[2]abilities!A:D,4,FALSE))=FALSE,VLOOKUP(D11,[2]abilities!A:D,4),IF(ISERROR(VLOOKUP(D11,abilities!A:D,4,FALSE))=FALSE,VLOOKUP(D11,abilities!A:D,4),"なし"))</f>
        <v>自身に対する緑属性の敵からの攻撃を10％軽減</v>
      </c>
      <c r="G11" s="106" t="s">
        <v>422</v>
      </c>
      <c r="H11" s="164">
        <v>30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B19"/>
  <sheetViews>
    <sheetView workbookViewId="0">
      <selection activeCell="J12" sqref="J12"/>
    </sheetView>
  </sheetViews>
  <sheetFormatPr baseColWidth="12" defaultRowHeight="15" x14ac:dyDescent="0.15"/>
  <sheetData>
    <row r="1" spans="1:2" x14ac:dyDescent="0.15">
      <c r="A1" t="s">
        <v>401</v>
      </c>
      <c r="B1" t="s">
        <v>402</v>
      </c>
    </row>
    <row r="2" spans="1:2" x14ac:dyDescent="0.15">
      <c r="A2" t="s">
        <v>403</v>
      </c>
      <c r="B2">
        <v>1</v>
      </c>
    </row>
    <row r="3" spans="1:2" x14ac:dyDescent="0.15">
      <c r="A3" t="s">
        <v>404</v>
      </c>
      <c r="B3">
        <v>1</v>
      </c>
    </row>
    <row r="4" spans="1:2" x14ac:dyDescent="0.15">
      <c r="A4" t="s">
        <v>405</v>
      </c>
      <c r="B4">
        <v>1</v>
      </c>
    </row>
    <row r="5" spans="1:2" x14ac:dyDescent="0.15">
      <c r="A5" t="s">
        <v>406</v>
      </c>
      <c r="B5">
        <v>1</v>
      </c>
    </row>
    <row r="6" spans="1:2" x14ac:dyDescent="0.15">
      <c r="A6" t="s">
        <v>407</v>
      </c>
      <c r="B6">
        <v>1</v>
      </c>
    </row>
    <row r="7" spans="1:2" x14ac:dyDescent="0.15">
      <c r="A7" t="s">
        <v>408</v>
      </c>
      <c r="B7">
        <v>1</v>
      </c>
    </row>
    <row r="8" spans="1:2" x14ac:dyDescent="0.15">
      <c r="A8" t="s">
        <v>409</v>
      </c>
      <c r="B8">
        <v>1</v>
      </c>
    </row>
    <row r="9" spans="1:2" x14ac:dyDescent="0.15">
      <c r="A9" t="s">
        <v>410</v>
      </c>
      <c r="B9">
        <v>1</v>
      </c>
    </row>
    <row r="10" spans="1:2" x14ac:dyDescent="0.15">
      <c r="A10" t="s">
        <v>411</v>
      </c>
      <c r="B10">
        <v>1</v>
      </c>
    </row>
    <row r="11" spans="1:2" x14ac:dyDescent="0.15">
      <c r="A11" t="s">
        <v>412</v>
      </c>
      <c r="B11">
        <v>1</v>
      </c>
    </row>
    <row r="12" spans="1:2" x14ac:dyDescent="0.15">
      <c r="A12" t="s">
        <v>413</v>
      </c>
      <c r="B12">
        <v>1</v>
      </c>
    </row>
    <row r="13" spans="1:2" x14ac:dyDescent="0.15">
      <c r="A13" t="s">
        <v>414</v>
      </c>
      <c r="B13">
        <v>0</v>
      </c>
    </row>
    <row r="14" spans="1:2" x14ac:dyDescent="0.15">
      <c r="A14" t="s">
        <v>415</v>
      </c>
      <c r="B14">
        <v>500</v>
      </c>
    </row>
    <row r="15" spans="1:2" x14ac:dyDescent="0.15">
      <c r="A15" t="s">
        <v>416</v>
      </c>
      <c r="B15">
        <v>600</v>
      </c>
    </row>
    <row r="16" spans="1:2" x14ac:dyDescent="0.15">
      <c r="A16" t="s">
        <v>417</v>
      </c>
      <c r="B16">
        <v>700</v>
      </c>
    </row>
    <row r="17" spans="1:2" x14ac:dyDescent="0.15">
      <c r="A17" t="s">
        <v>418</v>
      </c>
      <c r="B17">
        <v>5500</v>
      </c>
    </row>
    <row r="18" spans="1:2" x14ac:dyDescent="0.15">
      <c r="A18" t="s">
        <v>419</v>
      </c>
      <c r="B18">
        <v>6000</v>
      </c>
    </row>
    <row r="19" spans="1:2" x14ac:dyDescent="0.15">
      <c r="A19" t="s">
        <v>420</v>
      </c>
      <c r="B19">
        <v>30000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topLeftCell="B1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29" t="s">
        <v>231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43" t="s">
        <v>232</v>
      </c>
      <c r="B2" s="144"/>
      <c r="C2" s="145"/>
      <c r="D2" s="146" t="s">
        <v>233</v>
      </c>
      <c r="E2" s="146">
        <v>30</v>
      </c>
      <c r="F2" s="146">
        <v>40</v>
      </c>
      <c r="G2" s="146">
        <f>15+F2</f>
        <v>55</v>
      </c>
      <c r="H2" s="145"/>
      <c r="I2" s="145"/>
    </row>
    <row r="3" spans="1:9" s="4" customFormat="1" ht="21" customHeight="1" x14ac:dyDescent="0.15">
      <c r="A3" s="143" t="s">
        <v>234</v>
      </c>
      <c r="B3" s="147"/>
      <c r="C3" s="148"/>
      <c r="D3" s="149" t="s">
        <v>233</v>
      </c>
      <c r="E3" s="149">
        <v>25</v>
      </c>
      <c r="F3" s="149">
        <v>35</v>
      </c>
      <c r="G3" s="146">
        <f t="shared" ref="G3:G4" si="0">15+F3</f>
        <v>50</v>
      </c>
      <c r="H3" s="148"/>
      <c r="I3" s="148"/>
    </row>
    <row r="4" spans="1:9" s="4" customFormat="1" ht="21" customHeight="1" x14ac:dyDescent="0.15">
      <c r="A4" s="143" t="s">
        <v>235</v>
      </c>
      <c r="B4" s="150"/>
      <c r="C4" s="151"/>
      <c r="D4" s="152">
        <v>10</v>
      </c>
      <c r="E4" s="152">
        <v>20</v>
      </c>
      <c r="F4" s="152">
        <v>30</v>
      </c>
      <c r="G4" s="152">
        <f t="shared" si="0"/>
        <v>45</v>
      </c>
      <c r="H4" s="151"/>
      <c r="I4" s="151"/>
    </row>
    <row r="5" spans="1:9" s="4" customFormat="1" ht="21" customHeight="1" x14ac:dyDescent="0.15">
      <c r="A5" s="162" t="s">
        <v>236</v>
      </c>
      <c r="B5" s="157"/>
      <c r="C5" s="158"/>
      <c r="D5" s="27">
        <v>9</v>
      </c>
      <c r="E5" s="27">
        <v>18</v>
      </c>
      <c r="F5" s="27">
        <v>28</v>
      </c>
      <c r="G5" s="37">
        <v>38</v>
      </c>
      <c r="H5" s="158"/>
      <c r="I5" s="158"/>
    </row>
    <row r="6" spans="1:9" s="4" customFormat="1" ht="21" customHeight="1" x14ac:dyDescent="0.15">
      <c r="A6" s="162" t="s">
        <v>237</v>
      </c>
      <c r="B6" s="157"/>
      <c r="C6" s="158"/>
      <c r="D6" s="27">
        <v>7</v>
      </c>
      <c r="E6" s="27">
        <v>16</v>
      </c>
      <c r="F6" s="66" t="s">
        <v>11</v>
      </c>
      <c r="G6" s="66" t="s">
        <v>11</v>
      </c>
      <c r="H6" s="158"/>
      <c r="I6" s="158"/>
    </row>
    <row r="7" spans="1:9" ht="21" customHeight="1" x14ac:dyDescent="0.15">
      <c r="A7" s="71" t="s">
        <v>238</v>
      </c>
      <c r="B7" s="44" t="s">
        <v>11</v>
      </c>
      <c r="C7" s="44" t="s">
        <v>11</v>
      </c>
      <c r="D7" s="37" t="s">
        <v>233</v>
      </c>
      <c r="E7" s="37" t="s">
        <v>233</v>
      </c>
      <c r="F7" s="37" t="s">
        <v>233</v>
      </c>
      <c r="G7" s="37" t="s">
        <v>233</v>
      </c>
      <c r="H7" s="37" t="s">
        <v>233</v>
      </c>
      <c r="I7" s="37" t="s">
        <v>233</v>
      </c>
    </row>
    <row r="8" spans="1:9" ht="21" customHeight="1" x14ac:dyDescent="0.15">
      <c r="A8" s="72" t="s">
        <v>239</v>
      </c>
      <c r="B8" s="44" t="s">
        <v>11</v>
      </c>
      <c r="C8" s="44" t="s">
        <v>11</v>
      </c>
      <c r="D8" s="37" t="s">
        <v>233</v>
      </c>
      <c r="E8" s="37">
        <v>30</v>
      </c>
      <c r="F8" s="37">
        <v>40</v>
      </c>
      <c r="G8" s="37">
        <f>15+F8</f>
        <v>55</v>
      </c>
      <c r="H8" s="37" t="s">
        <v>233</v>
      </c>
      <c r="I8" s="37" t="s">
        <v>233</v>
      </c>
    </row>
    <row r="9" spans="1:9" s="43" customFormat="1" ht="21" customHeight="1" x14ac:dyDescent="0.15">
      <c r="A9" s="73" t="s">
        <v>240</v>
      </c>
      <c r="B9" s="27" t="s">
        <v>11</v>
      </c>
      <c r="C9" s="27" t="s">
        <v>11</v>
      </c>
      <c r="D9" s="103" t="s">
        <v>233</v>
      </c>
      <c r="E9" s="103">
        <v>25</v>
      </c>
      <c r="F9" s="103">
        <v>35</v>
      </c>
      <c r="G9" s="37">
        <f t="shared" ref="G9:G10" si="1">15+F9</f>
        <v>50</v>
      </c>
      <c r="H9" s="103" t="s">
        <v>233</v>
      </c>
      <c r="I9" s="103" t="s">
        <v>233</v>
      </c>
    </row>
    <row r="10" spans="1:9" ht="21" customHeight="1" x14ac:dyDescent="0.15">
      <c r="A10" s="73" t="s">
        <v>9</v>
      </c>
      <c r="B10" s="66" t="s">
        <v>11</v>
      </c>
      <c r="C10" s="66" t="s">
        <v>11</v>
      </c>
      <c r="D10" s="27">
        <v>10</v>
      </c>
      <c r="E10" s="27">
        <v>20</v>
      </c>
      <c r="F10" s="27">
        <v>30</v>
      </c>
      <c r="G10" s="37">
        <f t="shared" si="1"/>
        <v>45</v>
      </c>
      <c r="H10" s="66" t="s">
        <v>11</v>
      </c>
      <c r="I10" s="66" t="s">
        <v>11</v>
      </c>
    </row>
    <row r="11" spans="1:9" ht="21" customHeight="1" x14ac:dyDescent="0.15">
      <c r="A11" s="73" t="s">
        <v>241</v>
      </c>
      <c r="B11" s="66" t="s">
        <v>11</v>
      </c>
      <c r="C11" s="66" t="s">
        <v>11</v>
      </c>
      <c r="D11" s="27">
        <v>9</v>
      </c>
      <c r="E11" s="27">
        <v>18</v>
      </c>
      <c r="F11" s="27">
        <v>28</v>
      </c>
      <c r="G11" s="37">
        <v>38</v>
      </c>
      <c r="H11" s="66" t="s">
        <v>11</v>
      </c>
      <c r="I11" s="66" t="s">
        <v>11</v>
      </c>
    </row>
    <row r="12" spans="1:9" ht="21" customHeight="1" x14ac:dyDescent="0.15">
      <c r="A12" s="73" t="s">
        <v>242</v>
      </c>
      <c r="B12" s="66" t="s">
        <v>11</v>
      </c>
      <c r="C12" s="66" t="s">
        <v>11</v>
      </c>
      <c r="D12" s="27">
        <v>7</v>
      </c>
      <c r="E12" s="27">
        <v>16</v>
      </c>
      <c r="F12" s="190" t="s">
        <v>11</v>
      </c>
      <c r="G12" s="66" t="s">
        <v>11</v>
      </c>
      <c r="H12" s="66" t="s">
        <v>11</v>
      </c>
      <c r="I12" s="66" t="s">
        <v>11</v>
      </c>
    </row>
    <row r="13" spans="1:9" ht="21" customHeight="1" x14ac:dyDescent="0.15">
      <c r="A13" s="102" t="s">
        <v>243</v>
      </c>
      <c r="B13" s="66" t="s">
        <v>11</v>
      </c>
      <c r="C13" s="66" t="s">
        <v>11</v>
      </c>
      <c r="D13" s="27">
        <v>8</v>
      </c>
      <c r="E13" s="27">
        <v>17</v>
      </c>
      <c r="F13" s="27">
        <v>26</v>
      </c>
      <c r="G13" s="66" t="s">
        <v>11</v>
      </c>
      <c r="H13" s="66" t="s">
        <v>11</v>
      </c>
      <c r="I13" s="66" t="s">
        <v>11</v>
      </c>
    </row>
    <row r="14" spans="1:9" ht="21" customHeight="1" x14ac:dyDescent="0.15">
      <c r="A14" s="73" t="s">
        <v>244</v>
      </c>
      <c r="B14" s="66" t="s">
        <v>11</v>
      </c>
      <c r="C14" s="66" t="s">
        <v>11</v>
      </c>
      <c r="D14" s="27">
        <v>8</v>
      </c>
      <c r="E14" s="27">
        <v>17</v>
      </c>
      <c r="F14" s="27">
        <v>26</v>
      </c>
      <c r="G14" s="66" t="s">
        <v>11</v>
      </c>
      <c r="H14" s="66" t="s">
        <v>11</v>
      </c>
      <c r="I14" s="66" t="s">
        <v>11</v>
      </c>
    </row>
    <row r="15" spans="1:9" ht="21" customHeight="1" x14ac:dyDescent="0.15">
      <c r="A15" s="73" t="s">
        <v>245</v>
      </c>
      <c r="B15" s="66" t="s">
        <v>11</v>
      </c>
      <c r="C15" s="66" t="s">
        <v>11</v>
      </c>
      <c r="D15" s="27">
        <v>6</v>
      </c>
      <c r="E15" s="27">
        <v>14</v>
      </c>
      <c r="F15" s="66" t="s">
        <v>11</v>
      </c>
      <c r="G15" s="66" t="s">
        <v>11</v>
      </c>
      <c r="H15" s="66" t="s">
        <v>11</v>
      </c>
      <c r="I15" s="66" t="s">
        <v>11</v>
      </c>
    </row>
    <row r="16" spans="1:9" ht="21" customHeight="1" x14ac:dyDescent="0.15">
      <c r="A16" s="73" t="s">
        <v>246</v>
      </c>
      <c r="B16" s="66" t="s">
        <v>11</v>
      </c>
      <c r="C16" s="27">
        <v>4</v>
      </c>
      <c r="D16" s="27">
        <v>6</v>
      </c>
      <c r="E16" s="27">
        <v>14</v>
      </c>
      <c r="F16" s="66" t="s">
        <v>11</v>
      </c>
      <c r="G16" s="66" t="s">
        <v>11</v>
      </c>
      <c r="H16" s="66" t="s">
        <v>11</v>
      </c>
      <c r="I16" s="66" t="s">
        <v>11</v>
      </c>
    </row>
    <row r="17" spans="1:9" ht="21" customHeight="1" x14ac:dyDescent="0.15">
      <c r="A17" s="73" t="s">
        <v>8</v>
      </c>
      <c r="B17" s="27">
        <v>2</v>
      </c>
      <c r="C17" s="27">
        <v>4</v>
      </c>
      <c r="D17" s="27">
        <v>6</v>
      </c>
      <c r="E17" s="66" t="s">
        <v>11</v>
      </c>
      <c r="F17" s="66" t="s">
        <v>11</v>
      </c>
      <c r="G17" s="66" t="s">
        <v>11</v>
      </c>
      <c r="H17" s="66" t="s">
        <v>11</v>
      </c>
      <c r="I17" s="66" t="s">
        <v>11</v>
      </c>
    </row>
    <row r="18" spans="1:9" ht="21" customHeight="1" x14ac:dyDescent="0.15">
      <c r="A18" s="74" t="s">
        <v>7</v>
      </c>
      <c r="B18" s="30">
        <v>1</v>
      </c>
      <c r="C18" s="30">
        <v>2</v>
      </c>
      <c r="D18" s="67" t="s">
        <v>11</v>
      </c>
      <c r="E18" s="67" t="s">
        <v>11</v>
      </c>
      <c r="F18" s="67" t="s">
        <v>11</v>
      </c>
      <c r="G18" s="67" t="s">
        <v>11</v>
      </c>
      <c r="H18" s="67" t="s">
        <v>11</v>
      </c>
      <c r="I18" s="67" t="s">
        <v>11</v>
      </c>
    </row>
    <row r="19" spans="1:9" ht="21" customHeight="1" x14ac:dyDescent="0.15">
      <c r="A19" s="75" t="s">
        <v>247</v>
      </c>
      <c r="B19" s="25">
        <v>1</v>
      </c>
      <c r="C19" s="25">
        <v>1</v>
      </c>
      <c r="D19" s="67" t="s">
        <v>11</v>
      </c>
      <c r="E19" s="67" t="s">
        <v>11</v>
      </c>
      <c r="F19" s="67" t="s">
        <v>11</v>
      </c>
      <c r="G19" s="67" t="s">
        <v>11</v>
      </c>
      <c r="H19" s="67" t="s">
        <v>11</v>
      </c>
      <c r="I19" s="67" t="s">
        <v>11</v>
      </c>
    </row>
    <row r="20" spans="1:9" ht="21" customHeight="1" x14ac:dyDescent="0.15">
      <c r="A20" s="36" t="s">
        <v>248</v>
      </c>
      <c r="B20" s="35">
        <v>99</v>
      </c>
      <c r="C20" s="35">
        <v>99</v>
      </c>
      <c r="D20" s="35">
        <v>99</v>
      </c>
      <c r="E20" s="35">
        <v>99</v>
      </c>
      <c r="F20" s="35">
        <v>99</v>
      </c>
      <c r="G20" s="35">
        <v>99</v>
      </c>
      <c r="H20" s="35">
        <v>99</v>
      </c>
      <c r="I20" s="35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view="pageLayout" workbookViewId="0">
      <selection activeCell="F12" sqref="F12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ht="21" customHeight="1" x14ac:dyDescent="0.15">
      <c r="A1" s="31" t="s">
        <v>10</v>
      </c>
      <c r="B1" s="21">
        <v>1</v>
      </c>
      <c r="C1" s="21">
        <v>2</v>
      </c>
      <c r="D1" s="21">
        <v>3</v>
      </c>
      <c r="E1" s="21">
        <v>4</v>
      </c>
      <c r="F1" s="21">
        <v>5</v>
      </c>
      <c r="G1" s="21">
        <v>6</v>
      </c>
      <c r="H1" s="21">
        <v>7</v>
      </c>
      <c r="I1" s="21">
        <v>8</v>
      </c>
    </row>
    <row r="2" spans="1:9" s="4" customFormat="1" ht="21" customHeight="1" x14ac:dyDescent="0.15">
      <c r="A2" s="143" t="s">
        <v>232</v>
      </c>
      <c r="B2" s="159"/>
      <c r="C2" s="145"/>
      <c r="D2" s="153" t="s">
        <v>109</v>
      </c>
      <c r="E2" s="153">
        <v>60</v>
      </c>
      <c r="F2" s="153">
        <v>80</v>
      </c>
      <c r="G2" s="153">
        <v>99</v>
      </c>
      <c r="H2" s="145"/>
      <c r="I2" s="145"/>
    </row>
    <row r="3" spans="1:9" s="4" customFormat="1" ht="21" customHeight="1" x14ac:dyDescent="0.15">
      <c r="A3" s="143" t="s">
        <v>234</v>
      </c>
      <c r="B3" s="160"/>
      <c r="C3" s="148"/>
      <c r="D3" s="153" t="s">
        <v>109</v>
      </c>
      <c r="E3" s="153">
        <v>60</v>
      </c>
      <c r="F3" s="153">
        <v>80</v>
      </c>
      <c r="G3" s="153">
        <v>99</v>
      </c>
      <c r="H3" s="148"/>
      <c r="I3" s="148"/>
    </row>
    <row r="4" spans="1:9" s="4" customFormat="1" ht="21" customHeight="1" x14ac:dyDescent="0.15">
      <c r="A4" s="143" t="s">
        <v>228</v>
      </c>
      <c r="B4" s="161"/>
      <c r="C4" s="151"/>
      <c r="D4" s="153">
        <v>40</v>
      </c>
      <c r="E4" s="153">
        <v>60</v>
      </c>
      <c r="F4" s="153">
        <v>80</v>
      </c>
      <c r="G4" s="153">
        <v>99</v>
      </c>
      <c r="H4" s="151"/>
      <c r="I4" s="151"/>
    </row>
    <row r="5" spans="1:9" s="4" customFormat="1" ht="21" customHeight="1" x14ac:dyDescent="0.15">
      <c r="A5" s="162" t="s">
        <v>236</v>
      </c>
      <c r="B5" s="157"/>
      <c r="C5" s="158"/>
      <c r="D5" s="153">
        <v>40</v>
      </c>
      <c r="E5" s="153">
        <v>60</v>
      </c>
      <c r="F5" s="153">
        <v>80</v>
      </c>
      <c r="G5" s="153">
        <v>99</v>
      </c>
      <c r="H5" s="158"/>
      <c r="I5" s="158"/>
    </row>
    <row r="6" spans="1:9" s="4" customFormat="1" ht="21" customHeight="1" x14ac:dyDescent="0.15">
      <c r="A6" s="162" t="s">
        <v>237</v>
      </c>
      <c r="B6" s="157"/>
      <c r="C6" s="158"/>
      <c r="D6" s="153">
        <v>40</v>
      </c>
      <c r="E6" s="153">
        <v>60</v>
      </c>
      <c r="F6" s="153" t="s">
        <v>109</v>
      </c>
      <c r="G6" s="153" t="s">
        <v>109</v>
      </c>
      <c r="H6" s="158"/>
      <c r="I6" s="158"/>
    </row>
    <row r="7" spans="1:9" ht="21" customHeight="1" x14ac:dyDescent="0.15">
      <c r="A7" s="71" t="s">
        <v>204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2" t="s">
        <v>239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3" customFormat="1" ht="21" customHeight="1" x14ac:dyDescent="0.15">
      <c r="A9" s="73" t="s">
        <v>240</v>
      </c>
      <c r="B9" s="63" t="s">
        <v>109</v>
      </c>
      <c r="C9" s="63" t="s">
        <v>109</v>
      </c>
      <c r="D9" s="63" t="s">
        <v>109</v>
      </c>
      <c r="E9" s="63">
        <v>60</v>
      </c>
      <c r="F9" s="63">
        <v>80</v>
      </c>
      <c r="G9" s="63">
        <v>99</v>
      </c>
      <c r="H9" s="63" t="s">
        <v>109</v>
      </c>
      <c r="I9" s="63" t="s">
        <v>109</v>
      </c>
    </row>
    <row r="10" spans="1:9" ht="21" customHeight="1" x14ac:dyDescent="0.15">
      <c r="A10" s="73" t="s">
        <v>9</v>
      </c>
      <c r="B10" s="68" t="s">
        <v>109</v>
      </c>
      <c r="C10" s="68" t="s">
        <v>109</v>
      </c>
      <c r="D10" s="35">
        <v>40</v>
      </c>
      <c r="E10" s="35">
        <v>60</v>
      </c>
      <c r="F10" s="35">
        <v>80</v>
      </c>
      <c r="G10" s="38">
        <v>99</v>
      </c>
      <c r="H10" s="68" t="s">
        <v>109</v>
      </c>
      <c r="I10" s="68" t="s">
        <v>109</v>
      </c>
    </row>
    <row r="11" spans="1:9" ht="21" customHeight="1" x14ac:dyDescent="0.15">
      <c r="A11" s="73" t="s">
        <v>207</v>
      </c>
      <c r="B11" s="68" t="s">
        <v>109</v>
      </c>
      <c r="C11" s="68" t="s">
        <v>109</v>
      </c>
      <c r="D11" s="35">
        <v>40</v>
      </c>
      <c r="E11" s="35">
        <v>60</v>
      </c>
      <c r="F11" s="35">
        <v>80</v>
      </c>
      <c r="G11" s="63">
        <v>99</v>
      </c>
      <c r="H11" s="68" t="s">
        <v>109</v>
      </c>
      <c r="I11" s="68" t="s">
        <v>109</v>
      </c>
    </row>
    <row r="12" spans="1:9" ht="21" customHeight="1" x14ac:dyDescent="0.15">
      <c r="A12" s="73" t="s">
        <v>203</v>
      </c>
      <c r="B12" s="68" t="s">
        <v>109</v>
      </c>
      <c r="C12" s="68" t="s">
        <v>109</v>
      </c>
      <c r="D12" s="35">
        <v>40</v>
      </c>
      <c r="E12" s="35">
        <v>60</v>
      </c>
      <c r="F12" s="191" t="s">
        <v>109</v>
      </c>
      <c r="G12" s="68" t="s">
        <v>109</v>
      </c>
      <c r="H12" s="68" t="s">
        <v>109</v>
      </c>
      <c r="I12" s="68" t="s">
        <v>109</v>
      </c>
    </row>
    <row r="13" spans="1:9" ht="21" customHeight="1" x14ac:dyDescent="0.15">
      <c r="A13" s="102" t="s">
        <v>243</v>
      </c>
      <c r="B13" s="68" t="s">
        <v>109</v>
      </c>
      <c r="C13" s="68" t="s">
        <v>109</v>
      </c>
      <c r="D13" s="35">
        <v>40</v>
      </c>
      <c r="E13" s="35">
        <v>60</v>
      </c>
      <c r="F13" s="35">
        <v>80</v>
      </c>
      <c r="G13" s="68" t="s">
        <v>109</v>
      </c>
      <c r="H13" s="68" t="s">
        <v>109</v>
      </c>
      <c r="I13" s="68" t="s">
        <v>109</v>
      </c>
    </row>
    <row r="14" spans="1:9" ht="21" customHeight="1" x14ac:dyDescent="0.15">
      <c r="A14" s="73" t="s">
        <v>244</v>
      </c>
      <c r="B14" s="68" t="s">
        <v>109</v>
      </c>
      <c r="C14" s="68" t="s">
        <v>109</v>
      </c>
      <c r="D14" s="35">
        <v>40</v>
      </c>
      <c r="E14" s="35">
        <v>60</v>
      </c>
      <c r="F14" s="35">
        <v>80</v>
      </c>
      <c r="G14" s="68" t="s">
        <v>109</v>
      </c>
      <c r="H14" s="68" t="s">
        <v>109</v>
      </c>
      <c r="I14" s="68" t="s">
        <v>109</v>
      </c>
    </row>
    <row r="15" spans="1:9" ht="21" customHeight="1" x14ac:dyDescent="0.15">
      <c r="A15" s="73" t="s">
        <v>105</v>
      </c>
      <c r="B15" s="68" t="s">
        <v>109</v>
      </c>
      <c r="C15" s="35">
        <v>30</v>
      </c>
      <c r="D15" s="35">
        <v>40</v>
      </c>
      <c r="E15" s="35">
        <v>60</v>
      </c>
      <c r="F15" s="68" t="s">
        <v>109</v>
      </c>
      <c r="G15" s="68" t="s">
        <v>109</v>
      </c>
      <c r="H15" s="68" t="s">
        <v>109</v>
      </c>
      <c r="I15" s="68" t="s">
        <v>109</v>
      </c>
    </row>
    <row r="16" spans="1:9" ht="21" customHeight="1" x14ac:dyDescent="0.15">
      <c r="A16" s="73" t="s">
        <v>246</v>
      </c>
      <c r="B16" s="68" t="s">
        <v>109</v>
      </c>
      <c r="C16" s="35">
        <v>30</v>
      </c>
      <c r="D16" s="35">
        <v>40</v>
      </c>
      <c r="E16" s="35">
        <v>60</v>
      </c>
      <c r="F16" s="68" t="s">
        <v>109</v>
      </c>
      <c r="G16" s="68" t="s">
        <v>109</v>
      </c>
      <c r="H16" s="68" t="s">
        <v>109</v>
      </c>
      <c r="I16" s="68" t="s">
        <v>109</v>
      </c>
    </row>
    <row r="17" spans="1:9" ht="21" customHeight="1" x14ac:dyDescent="0.15">
      <c r="A17" s="73" t="s">
        <v>8</v>
      </c>
      <c r="B17" s="35">
        <v>15</v>
      </c>
      <c r="C17" s="35">
        <v>30</v>
      </c>
      <c r="D17" s="35">
        <v>40</v>
      </c>
      <c r="E17" s="68" t="s">
        <v>109</v>
      </c>
      <c r="F17" s="68" t="s">
        <v>109</v>
      </c>
      <c r="G17" s="68" t="s">
        <v>109</v>
      </c>
      <c r="H17" s="68" t="s">
        <v>109</v>
      </c>
      <c r="I17" s="68" t="s">
        <v>109</v>
      </c>
    </row>
    <row r="18" spans="1:9" ht="21" customHeight="1" x14ac:dyDescent="0.15">
      <c r="A18" s="74" t="s">
        <v>7</v>
      </c>
      <c r="B18" s="35">
        <v>15</v>
      </c>
      <c r="C18" s="35">
        <v>30</v>
      </c>
      <c r="D18" s="35">
        <v>40</v>
      </c>
      <c r="E18" s="68" t="s">
        <v>213</v>
      </c>
      <c r="F18" s="68" t="s">
        <v>213</v>
      </c>
      <c r="G18" s="68" t="s">
        <v>213</v>
      </c>
      <c r="H18" s="68" t="s">
        <v>213</v>
      </c>
      <c r="I18" s="68" t="s">
        <v>213</v>
      </c>
    </row>
    <row r="19" spans="1:9" ht="21" customHeight="1" x14ac:dyDescent="0.15">
      <c r="A19" s="75" t="s">
        <v>247</v>
      </c>
      <c r="B19" s="35">
        <v>10</v>
      </c>
      <c r="C19" s="35">
        <v>20</v>
      </c>
      <c r="D19" s="68" t="s">
        <v>213</v>
      </c>
      <c r="E19" s="68" t="s">
        <v>213</v>
      </c>
      <c r="F19" s="68" t="s">
        <v>213</v>
      </c>
      <c r="G19" s="68" t="s">
        <v>213</v>
      </c>
      <c r="H19" s="68" t="s">
        <v>213</v>
      </c>
      <c r="I19" s="68" t="s">
        <v>213</v>
      </c>
    </row>
    <row r="20" spans="1:9" ht="21" customHeight="1" x14ac:dyDescent="0.15">
      <c r="A20" s="36" t="s">
        <v>248</v>
      </c>
      <c r="B20" s="35">
        <v>1</v>
      </c>
      <c r="C20" s="35">
        <v>1</v>
      </c>
      <c r="D20" s="35">
        <v>1</v>
      </c>
      <c r="E20" s="35">
        <v>1</v>
      </c>
      <c r="F20" s="35">
        <v>1</v>
      </c>
      <c r="G20" s="35">
        <v>1</v>
      </c>
      <c r="H20" s="35">
        <v>1</v>
      </c>
      <c r="I20" s="35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1" OnePage="0" WScale="10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C9" sqref="C9"/>
    </sheetView>
  </sheetViews>
  <sheetFormatPr baseColWidth="12" defaultColWidth="13" defaultRowHeight="21" customHeight="1" x14ac:dyDescent="0.15"/>
  <cols>
    <col min="1" max="16384" width="13" style="22"/>
  </cols>
  <sheetData>
    <row r="1" spans="1:11" ht="21" customHeight="1" x14ac:dyDescent="0.15">
      <c r="A1" s="46" t="s">
        <v>10</v>
      </c>
      <c r="B1" s="47">
        <v>1</v>
      </c>
      <c r="C1" s="47">
        <v>2</v>
      </c>
      <c r="D1" s="47">
        <v>3</v>
      </c>
      <c r="E1" s="47">
        <v>4</v>
      </c>
      <c r="F1" s="47">
        <v>5</v>
      </c>
      <c r="G1" s="47">
        <v>6</v>
      </c>
      <c r="H1" s="47">
        <v>7</v>
      </c>
      <c r="I1" s="47">
        <v>8</v>
      </c>
    </row>
    <row r="2" spans="1:11" s="4" customFormat="1" ht="21" customHeight="1" x14ac:dyDescent="0.15">
      <c r="A2" s="143" t="s">
        <v>232</v>
      </c>
      <c r="B2" s="144"/>
      <c r="C2" s="145"/>
      <c r="D2" s="153" t="s">
        <v>109</v>
      </c>
      <c r="E2" s="154" t="s">
        <v>59</v>
      </c>
      <c r="F2" s="154" t="s">
        <v>59</v>
      </c>
      <c r="G2" s="154" t="s">
        <v>249</v>
      </c>
      <c r="H2" s="145"/>
      <c r="I2" s="145"/>
    </row>
    <row r="3" spans="1:11" s="4" customFormat="1" ht="21" customHeight="1" x14ac:dyDescent="0.15">
      <c r="A3" s="143" t="s">
        <v>234</v>
      </c>
      <c r="B3" s="147"/>
      <c r="C3" s="148"/>
      <c r="D3" s="154" t="s">
        <v>59</v>
      </c>
      <c r="E3" s="154" t="s">
        <v>59</v>
      </c>
      <c r="F3" s="154" t="s">
        <v>59</v>
      </c>
      <c r="G3" s="154" t="s">
        <v>227</v>
      </c>
      <c r="H3" s="148"/>
      <c r="I3" s="148"/>
    </row>
    <row r="4" spans="1:11" s="4" customFormat="1" ht="21" customHeight="1" x14ac:dyDescent="0.15">
      <c r="A4" s="143" t="s">
        <v>228</v>
      </c>
      <c r="B4" s="150"/>
      <c r="C4" s="151"/>
      <c r="D4" s="155" t="s">
        <v>59</v>
      </c>
      <c r="E4" s="155" t="s">
        <v>59</v>
      </c>
      <c r="F4" s="155" t="s">
        <v>59</v>
      </c>
      <c r="G4" s="154" t="s">
        <v>227</v>
      </c>
      <c r="H4" s="151"/>
      <c r="I4" s="151"/>
    </row>
    <row r="5" spans="1:11" s="4" customFormat="1" ht="21" customHeight="1" x14ac:dyDescent="0.15">
      <c r="A5" s="162" t="s">
        <v>236</v>
      </c>
      <c r="B5" s="157"/>
      <c r="C5" s="158"/>
      <c r="D5" s="155" t="s">
        <v>59</v>
      </c>
      <c r="E5" s="155" t="s">
        <v>59</v>
      </c>
      <c r="F5" s="155" t="s">
        <v>59</v>
      </c>
      <c r="G5" s="154" t="s">
        <v>217</v>
      </c>
      <c r="H5" s="158"/>
      <c r="I5" s="158"/>
    </row>
    <row r="6" spans="1:11" s="4" customFormat="1" ht="21" customHeight="1" x14ac:dyDescent="0.15">
      <c r="A6" s="162" t="s">
        <v>237</v>
      </c>
      <c r="B6" s="157"/>
      <c r="C6" s="158"/>
      <c r="D6" s="163" t="s">
        <v>60</v>
      </c>
      <c r="E6" s="163" t="s">
        <v>60</v>
      </c>
      <c r="F6" s="153" t="s">
        <v>109</v>
      </c>
      <c r="G6" s="153" t="s">
        <v>109</v>
      </c>
      <c r="H6" s="158"/>
      <c r="I6" s="158"/>
    </row>
    <row r="7" spans="1:11" ht="21" customHeight="1" x14ac:dyDescent="0.15">
      <c r="A7" s="71" t="s">
        <v>204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2" t="s">
        <v>239</v>
      </c>
      <c r="B8" s="38" t="s">
        <v>109</v>
      </c>
      <c r="C8" s="38" t="s">
        <v>109</v>
      </c>
      <c r="D8" s="38" t="s">
        <v>214</v>
      </c>
      <c r="E8" s="49" t="s">
        <v>115</v>
      </c>
      <c r="F8" s="49" t="s">
        <v>115</v>
      </c>
      <c r="G8" s="49" t="s">
        <v>215</v>
      </c>
      <c r="H8" s="38" t="s">
        <v>214</v>
      </c>
      <c r="I8" s="38" t="s">
        <v>109</v>
      </c>
    </row>
    <row r="9" spans="1:11" s="43" customFormat="1" ht="21" customHeight="1" x14ac:dyDescent="0.15">
      <c r="A9" s="73" t="s">
        <v>240</v>
      </c>
      <c r="B9" s="63" t="s">
        <v>109</v>
      </c>
      <c r="C9" s="63" t="s">
        <v>109</v>
      </c>
      <c r="D9" s="63" t="s">
        <v>109</v>
      </c>
      <c r="E9" s="49" t="s">
        <v>59</v>
      </c>
      <c r="F9" s="49" t="s">
        <v>59</v>
      </c>
      <c r="G9" s="49" t="s">
        <v>115</v>
      </c>
      <c r="H9" s="63" t="s">
        <v>216</v>
      </c>
      <c r="I9" s="63" t="s">
        <v>216</v>
      </c>
    </row>
    <row r="10" spans="1:11" ht="21" customHeight="1" x14ac:dyDescent="0.15">
      <c r="A10" s="73" t="s">
        <v>9</v>
      </c>
      <c r="B10" s="68" t="s">
        <v>109</v>
      </c>
      <c r="C10" s="68" t="s">
        <v>109</v>
      </c>
      <c r="D10" s="49" t="s">
        <v>59</v>
      </c>
      <c r="E10" s="49" t="s">
        <v>59</v>
      </c>
      <c r="F10" s="49" t="s">
        <v>59</v>
      </c>
      <c r="G10" s="49" t="s">
        <v>217</v>
      </c>
      <c r="H10" s="68" t="s">
        <v>216</v>
      </c>
      <c r="I10" s="68" t="s">
        <v>216</v>
      </c>
      <c r="K10" s="26" t="s">
        <v>12</v>
      </c>
    </row>
    <row r="11" spans="1:11" ht="21" customHeight="1" x14ac:dyDescent="0.15">
      <c r="A11" s="73" t="s">
        <v>207</v>
      </c>
      <c r="B11" s="68" t="s">
        <v>109</v>
      </c>
      <c r="C11" s="68" t="s">
        <v>109</v>
      </c>
      <c r="D11" s="50" t="s">
        <v>59</v>
      </c>
      <c r="E11" s="50" t="s">
        <v>59</v>
      </c>
      <c r="F11" s="50" t="s">
        <v>59</v>
      </c>
      <c r="G11" s="49" t="s">
        <v>217</v>
      </c>
      <c r="H11" s="68" t="s">
        <v>216</v>
      </c>
      <c r="I11" s="68" t="s">
        <v>216</v>
      </c>
      <c r="K11" s="28" t="s">
        <v>13</v>
      </c>
    </row>
    <row r="12" spans="1:11" ht="21" customHeight="1" x14ac:dyDescent="0.15">
      <c r="A12" s="73" t="s">
        <v>203</v>
      </c>
      <c r="B12" s="68" t="s">
        <v>109</v>
      </c>
      <c r="C12" s="68" t="s">
        <v>109</v>
      </c>
      <c r="D12" s="51" t="s">
        <v>60</v>
      </c>
      <c r="E12" s="51" t="s">
        <v>60</v>
      </c>
      <c r="F12" s="68" t="s">
        <v>109</v>
      </c>
      <c r="G12" s="68" t="s">
        <v>109</v>
      </c>
      <c r="H12" s="68" t="s">
        <v>109</v>
      </c>
      <c r="I12" s="68" t="s">
        <v>109</v>
      </c>
      <c r="K12" s="69" t="s">
        <v>35</v>
      </c>
    </row>
    <row r="13" spans="1:11" ht="21" customHeight="1" x14ac:dyDescent="0.15">
      <c r="A13" s="102" t="s">
        <v>243</v>
      </c>
      <c r="B13" s="68" t="s">
        <v>109</v>
      </c>
      <c r="C13" s="68" t="s">
        <v>109</v>
      </c>
      <c r="D13" s="52" t="s">
        <v>59</v>
      </c>
      <c r="E13" s="52" t="s">
        <v>59</v>
      </c>
      <c r="F13" s="52" t="s">
        <v>59</v>
      </c>
      <c r="G13" s="68" t="s">
        <v>109</v>
      </c>
      <c r="H13" s="68" t="s">
        <v>109</v>
      </c>
      <c r="I13" s="68" t="s">
        <v>109</v>
      </c>
      <c r="K13" s="70"/>
    </row>
    <row r="14" spans="1:11" ht="21" customHeight="1" x14ac:dyDescent="0.15">
      <c r="A14" s="73" t="s">
        <v>244</v>
      </c>
      <c r="B14" s="68" t="s">
        <v>109</v>
      </c>
      <c r="C14" s="68" t="s">
        <v>109</v>
      </c>
      <c r="D14" s="52" t="s">
        <v>59</v>
      </c>
      <c r="E14" s="52" t="s">
        <v>59</v>
      </c>
      <c r="F14" s="52" t="s">
        <v>59</v>
      </c>
      <c r="G14" s="68" t="s">
        <v>109</v>
      </c>
      <c r="H14" s="68" t="s">
        <v>109</v>
      </c>
      <c r="I14" s="68" t="s">
        <v>109</v>
      </c>
    </row>
    <row r="15" spans="1:11" ht="21" customHeight="1" x14ac:dyDescent="0.15">
      <c r="A15" s="73" t="s">
        <v>105</v>
      </c>
      <c r="B15" s="68" t="s">
        <v>109</v>
      </c>
      <c r="C15" s="68" t="s">
        <v>109</v>
      </c>
      <c r="D15" s="52" t="s">
        <v>60</v>
      </c>
      <c r="E15" s="52" t="s">
        <v>60</v>
      </c>
      <c r="F15" s="68" t="s">
        <v>109</v>
      </c>
      <c r="G15" s="68" t="s">
        <v>109</v>
      </c>
      <c r="H15" s="68" t="s">
        <v>109</v>
      </c>
      <c r="I15" s="68" t="s">
        <v>109</v>
      </c>
    </row>
    <row r="16" spans="1:11" ht="21" customHeight="1" x14ac:dyDescent="0.15">
      <c r="A16" s="73" t="s">
        <v>246</v>
      </c>
      <c r="B16" s="68" t="s">
        <v>109</v>
      </c>
      <c r="C16" s="52" t="s">
        <v>60</v>
      </c>
      <c r="D16" s="52" t="s">
        <v>60</v>
      </c>
      <c r="E16" s="52" t="s">
        <v>60</v>
      </c>
      <c r="F16" s="68" t="s">
        <v>109</v>
      </c>
      <c r="G16" s="68" t="s">
        <v>109</v>
      </c>
      <c r="H16" s="68" t="s">
        <v>109</v>
      </c>
      <c r="I16" s="68" t="s">
        <v>109</v>
      </c>
    </row>
    <row r="17" spans="1:9" ht="21" customHeight="1" x14ac:dyDescent="0.15">
      <c r="A17" s="73" t="s">
        <v>8</v>
      </c>
      <c r="B17" s="53" t="s">
        <v>61</v>
      </c>
      <c r="C17" s="53" t="s">
        <v>61</v>
      </c>
      <c r="D17" s="53" t="s">
        <v>61</v>
      </c>
      <c r="E17" s="68" t="s">
        <v>109</v>
      </c>
      <c r="F17" s="68" t="s">
        <v>109</v>
      </c>
      <c r="G17" s="68" t="s">
        <v>109</v>
      </c>
      <c r="H17" s="68" t="s">
        <v>109</v>
      </c>
      <c r="I17" s="68" t="s">
        <v>109</v>
      </c>
    </row>
    <row r="18" spans="1:9" ht="21" customHeight="1" x14ac:dyDescent="0.15">
      <c r="A18" s="74" t="s">
        <v>7</v>
      </c>
      <c r="B18" s="48" t="s">
        <v>62</v>
      </c>
      <c r="C18" s="48" t="s">
        <v>62</v>
      </c>
      <c r="D18" s="68" t="s">
        <v>109</v>
      </c>
      <c r="E18" s="68" t="s">
        <v>109</v>
      </c>
      <c r="F18" s="68" t="s">
        <v>109</v>
      </c>
      <c r="G18" s="68" t="s">
        <v>109</v>
      </c>
      <c r="H18" s="68" t="s">
        <v>109</v>
      </c>
      <c r="I18" s="68" t="s">
        <v>109</v>
      </c>
    </row>
    <row r="19" spans="1:9" ht="21" customHeight="1" x14ac:dyDescent="0.15">
      <c r="A19" s="75" t="s">
        <v>247</v>
      </c>
      <c r="B19" s="50" t="s">
        <v>63</v>
      </c>
      <c r="C19" s="50" t="s">
        <v>63</v>
      </c>
      <c r="D19" s="68" t="s">
        <v>109</v>
      </c>
      <c r="E19" s="68" t="s">
        <v>109</v>
      </c>
      <c r="F19" s="68" t="s">
        <v>109</v>
      </c>
      <c r="G19" s="68" t="s">
        <v>109</v>
      </c>
      <c r="H19" s="68" t="s">
        <v>109</v>
      </c>
      <c r="I19" s="68" t="s">
        <v>109</v>
      </c>
    </row>
    <row r="20" spans="1:9" ht="21" customHeight="1" x14ac:dyDescent="0.15">
      <c r="A20" s="36" t="s">
        <v>248</v>
      </c>
      <c r="B20" s="76" t="s">
        <v>47</v>
      </c>
      <c r="C20" s="76" t="s">
        <v>47</v>
      </c>
      <c r="D20" s="76" t="s">
        <v>47</v>
      </c>
      <c r="E20" s="76" t="s">
        <v>47</v>
      </c>
      <c r="F20" s="76" t="s">
        <v>47</v>
      </c>
      <c r="G20" s="76" t="s">
        <v>47</v>
      </c>
      <c r="H20" s="76" t="s">
        <v>47</v>
      </c>
      <c r="I20" s="76" t="s">
        <v>47</v>
      </c>
    </row>
    <row r="25" spans="1:9" ht="21" customHeight="1" x14ac:dyDescent="0.15">
      <c r="A25" s="22" t="s">
        <v>14</v>
      </c>
    </row>
    <row r="26" spans="1:9" ht="21" customHeight="1" x14ac:dyDescent="0.15">
      <c r="A26" s="20" t="s">
        <v>64</v>
      </c>
      <c r="B26" s="20" t="s">
        <v>65</v>
      </c>
    </row>
    <row r="27" spans="1:9" ht="21" customHeight="1" x14ac:dyDescent="0.15">
      <c r="A27" s="23">
        <v>1</v>
      </c>
      <c r="B27" s="23">
        <v>200</v>
      </c>
    </row>
    <row r="28" spans="1:9" ht="21" customHeight="1" x14ac:dyDescent="0.15">
      <c r="A28" s="23">
        <v>2</v>
      </c>
      <c r="B28" s="23">
        <v>600</v>
      </c>
    </row>
    <row r="29" spans="1:9" ht="21" customHeight="1" x14ac:dyDescent="0.15">
      <c r="A29" s="23">
        <v>3</v>
      </c>
      <c r="B29" s="23">
        <v>1500</v>
      </c>
    </row>
    <row r="30" spans="1:9" ht="21" customHeight="1" x14ac:dyDescent="0.15">
      <c r="A30" s="23">
        <v>4</v>
      </c>
      <c r="B30" s="23">
        <v>3400</v>
      </c>
    </row>
    <row r="31" spans="1:9" ht="21" customHeight="1" x14ac:dyDescent="0.15">
      <c r="A31" s="23">
        <v>5</v>
      </c>
      <c r="B31" s="23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27" stopIfTrue="1" operator="equal">
      <formula>1</formula>
    </cfRule>
  </conditionalFormatting>
  <conditionalFormatting sqref="A24:B25 A32:B33 C24:I33">
    <cfRule type="cellIs" dxfId="21" priority="26" stopIfTrue="1" operator="equal">
      <formula>1</formula>
    </cfRule>
  </conditionalFormatting>
  <conditionalFormatting sqref="K10:K13">
    <cfRule type="cellIs" dxfId="20" priority="22" stopIfTrue="1" operator="equal">
      <formula>1</formula>
    </cfRule>
  </conditionalFormatting>
  <conditionalFormatting sqref="J8:IV8">
    <cfRule type="cellIs" dxfId="19" priority="21" stopIfTrue="1" operator="equal">
      <formula>1</formula>
    </cfRule>
  </conditionalFormatting>
  <conditionalFormatting sqref="J9:IV9">
    <cfRule type="cellIs" dxfId="18" priority="20" stopIfTrue="1" operator="equal">
      <formula>1</formula>
    </cfRule>
  </conditionalFormatting>
  <conditionalFormatting sqref="G19:I19">
    <cfRule type="cellIs" dxfId="17" priority="12" stopIfTrue="1" operator="equal">
      <formula>1</formula>
    </cfRule>
  </conditionalFormatting>
  <conditionalFormatting sqref="D18:G18 F15:G17 H15:I18">
    <cfRule type="cellIs" dxfId="16" priority="11" stopIfTrue="1" operator="equal">
      <formula>1</formula>
    </cfRule>
  </conditionalFormatting>
  <conditionalFormatting sqref="F17:G17">
    <cfRule type="cellIs" dxfId="15" priority="10" stopIfTrue="1" operator="equal">
      <formula>1</formula>
    </cfRule>
  </conditionalFormatting>
  <conditionalFormatting sqref="A20">
    <cfRule type="cellIs" dxfId="14" priority="9" stopIfTrue="1" operator="equal">
      <formula>1</formula>
    </cfRule>
  </conditionalFormatting>
  <conditionalFormatting sqref="G12:I14 H10:I11">
    <cfRule type="cellIs" dxfId="13" priority="8" stopIfTrue="1" operator="equal">
      <formula>1</formula>
    </cfRule>
  </conditionalFormatting>
  <conditionalFormatting sqref="B10:C15">
    <cfRule type="cellIs" dxfId="12" priority="7" stopIfTrue="1" operator="equal">
      <formula>1</formula>
    </cfRule>
  </conditionalFormatting>
  <conditionalFormatting sqref="B16">
    <cfRule type="cellIs" dxfId="11" priority="6" stopIfTrue="1" operator="equal">
      <formula>1</formula>
    </cfRule>
  </conditionalFormatting>
  <conditionalFormatting sqref="E17">
    <cfRule type="cellIs" dxfId="10" priority="5" stopIfTrue="1" operator="equal">
      <formula>1</formula>
    </cfRule>
  </conditionalFormatting>
  <conditionalFormatting sqref="F12">
    <cfRule type="cellIs" dxfId="9" priority="4" stopIfTrue="1" operator="equal">
      <formula>1</formula>
    </cfRule>
  </conditionalFormatting>
  <conditionalFormatting sqref="J2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F16" sqref="F16"/>
    </sheetView>
  </sheetViews>
  <sheetFormatPr baseColWidth="12" defaultColWidth="13" defaultRowHeight="21" customHeight="1" x14ac:dyDescent="0.15"/>
  <cols>
    <col min="1" max="1" width="13" style="4"/>
    <col min="2" max="16384" width="13" style="22"/>
  </cols>
  <sheetData>
    <row r="1" spans="1:9" s="4" customFormat="1" ht="21" customHeight="1" x14ac:dyDescent="0.15">
      <c r="A1" s="31" t="s">
        <v>10</v>
      </c>
      <c r="B1" s="31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</row>
    <row r="2" spans="1:9" s="4" customFormat="1" ht="21" customHeight="1" x14ac:dyDescent="0.15">
      <c r="A2" s="143" t="s">
        <v>225</v>
      </c>
      <c r="B2" s="144"/>
      <c r="C2" s="145"/>
      <c r="D2" s="156" t="s">
        <v>11</v>
      </c>
      <c r="E2" s="156">
        <v>8000</v>
      </c>
      <c r="F2" s="156">
        <v>10000</v>
      </c>
      <c r="G2" s="156">
        <v>14000</v>
      </c>
      <c r="H2" s="145"/>
      <c r="I2" s="145"/>
    </row>
    <row r="3" spans="1:9" s="4" customFormat="1" ht="21" customHeight="1" x14ac:dyDescent="0.15">
      <c r="A3" s="143" t="s">
        <v>226</v>
      </c>
      <c r="B3" s="147"/>
      <c r="C3" s="148"/>
      <c r="D3" s="156" t="s">
        <v>11</v>
      </c>
      <c r="E3" s="156">
        <v>7500</v>
      </c>
      <c r="F3" s="156">
        <v>9500</v>
      </c>
      <c r="G3" s="156">
        <v>13000</v>
      </c>
      <c r="H3" s="148"/>
      <c r="I3" s="148"/>
    </row>
    <row r="4" spans="1:9" s="4" customFormat="1" ht="21" customHeight="1" x14ac:dyDescent="0.15">
      <c r="A4" s="143" t="s">
        <v>228</v>
      </c>
      <c r="B4" s="150"/>
      <c r="C4" s="151"/>
      <c r="D4" s="156">
        <v>5000</v>
      </c>
      <c r="E4" s="156">
        <v>7000</v>
      </c>
      <c r="F4" s="156">
        <v>9000</v>
      </c>
      <c r="G4" s="156">
        <v>12000</v>
      </c>
      <c r="H4" s="151"/>
      <c r="I4" s="151"/>
    </row>
    <row r="5" spans="1:9" s="4" customFormat="1" ht="21" customHeight="1" x14ac:dyDescent="0.15">
      <c r="A5" s="162" t="s">
        <v>229</v>
      </c>
      <c r="B5" s="157"/>
      <c r="C5" s="158"/>
      <c r="D5" s="156">
        <v>4900</v>
      </c>
      <c r="E5" s="156">
        <v>6700</v>
      </c>
      <c r="F5" s="156">
        <v>8500</v>
      </c>
      <c r="G5" s="156">
        <v>11000</v>
      </c>
      <c r="H5" s="158"/>
      <c r="I5" s="158"/>
    </row>
    <row r="6" spans="1:9" s="4" customFormat="1" ht="21" customHeight="1" x14ac:dyDescent="0.15">
      <c r="A6" s="162" t="s">
        <v>230</v>
      </c>
      <c r="B6" s="157"/>
      <c r="C6" s="158"/>
      <c r="D6" s="156">
        <v>4800</v>
      </c>
      <c r="E6" s="156">
        <v>6600</v>
      </c>
      <c r="F6" s="156" t="s">
        <v>11</v>
      </c>
      <c r="G6" s="156" t="s">
        <v>11</v>
      </c>
      <c r="H6" s="158"/>
      <c r="I6" s="158"/>
    </row>
    <row r="7" spans="1:9" ht="21" customHeight="1" x14ac:dyDescent="0.15">
      <c r="A7" s="71" t="s">
        <v>204</v>
      </c>
      <c r="B7" s="44" t="s">
        <v>11</v>
      </c>
      <c r="C7" s="44" t="s">
        <v>11</v>
      </c>
      <c r="D7" s="44" t="s">
        <v>11</v>
      </c>
      <c r="E7" s="44" t="s">
        <v>11</v>
      </c>
      <c r="F7" s="44" t="s">
        <v>11</v>
      </c>
      <c r="G7" s="44" t="s">
        <v>11</v>
      </c>
      <c r="H7" s="44" t="s">
        <v>11</v>
      </c>
      <c r="I7" s="44" t="s">
        <v>11</v>
      </c>
    </row>
    <row r="8" spans="1:9" ht="21" customHeight="1" x14ac:dyDescent="0.15">
      <c r="A8" s="72" t="s">
        <v>205</v>
      </c>
      <c r="B8" s="44" t="s">
        <v>11</v>
      </c>
      <c r="C8" s="44" t="s">
        <v>11</v>
      </c>
      <c r="D8" s="44" t="s">
        <v>11</v>
      </c>
      <c r="E8" s="44">
        <v>8000</v>
      </c>
      <c r="F8" s="27">
        <v>10000</v>
      </c>
      <c r="G8" s="44">
        <v>14000</v>
      </c>
      <c r="H8" s="44" t="s">
        <v>11</v>
      </c>
      <c r="I8" s="44" t="s">
        <v>11</v>
      </c>
    </row>
    <row r="9" spans="1:9" s="43" customFormat="1" ht="21" customHeight="1" x14ac:dyDescent="0.15">
      <c r="A9" s="73" t="s">
        <v>206</v>
      </c>
      <c r="B9" s="27" t="s">
        <v>11</v>
      </c>
      <c r="C9" s="27" t="s">
        <v>11</v>
      </c>
      <c r="D9" s="27" t="s">
        <v>11</v>
      </c>
      <c r="E9" s="27">
        <v>7500</v>
      </c>
      <c r="F9" s="27">
        <v>9500</v>
      </c>
      <c r="G9" s="44">
        <v>13000</v>
      </c>
      <c r="H9" s="27" t="s">
        <v>11</v>
      </c>
      <c r="I9" s="27" t="s">
        <v>11</v>
      </c>
    </row>
    <row r="10" spans="1:9" ht="21" customHeight="1" x14ac:dyDescent="0.15">
      <c r="A10" s="73" t="s">
        <v>9</v>
      </c>
      <c r="B10" s="66" t="s">
        <v>11</v>
      </c>
      <c r="C10" s="66" t="s">
        <v>11</v>
      </c>
      <c r="D10" s="27">
        <v>5000</v>
      </c>
      <c r="E10" s="27">
        <v>7000</v>
      </c>
      <c r="F10" s="27">
        <v>9000</v>
      </c>
      <c r="G10" s="44">
        <v>12000</v>
      </c>
      <c r="H10" s="66" t="s">
        <v>11</v>
      </c>
      <c r="I10" s="66" t="s">
        <v>11</v>
      </c>
    </row>
    <row r="11" spans="1:9" ht="21" customHeight="1" x14ac:dyDescent="0.15">
      <c r="A11" s="73" t="s">
        <v>207</v>
      </c>
      <c r="B11" s="66" t="s">
        <v>11</v>
      </c>
      <c r="C11" s="66" t="s">
        <v>11</v>
      </c>
      <c r="D11" s="27">
        <v>4900</v>
      </c>
      <c r="E11" s="27">
        <v>6700</v>
      </c>
      <c r="F11" s="27">
        <v>8500</v>
      </c>
      <c r="G11" s="44">
        <v>11000</v>
      </c>
      <c r="H11" s="66" t="s">
        <v>11</v>
      </c>
      <c r="I11" s="66" t="s">
        <v>11</v>
      </c>
    </row>
    <row r="12" spans="1:9" ht="21" customHeight="1" x14ac:dyDescent="0.15">
      <c r="A12" s="73" t="s">
        <v>106</v>
      </c>
      <c r="B12" s="66" t="s">
        <v>11</v>
      </c>
      <c r="C12" s="66" t="s">
        <v>11</v>
      </c>
      <c r="D12" s="27">
        <v>4800</v>
      </c>
      <c r="E12" s="27">
        <v>6600</v>
      </c>
      <c r="F12" s="66" t="s">
        <v>11</v>
      </c>
      <c r="G12" s="66" t="s">
        <v>11</v>
      </c>
      <c r="H12" s="66" t="s">
        <v>11</v>
      </c>
      <c r="I12" s="66" t="s">
        <v>11</v>
      </c>
    </row>
    <row r="13" spans="1:9" ht="21" customHeight="1" x14ac:dyDescent="0.15">
      <c r="A13" s="73" t="s">
        <v>208</v>
      </c>
      <c r="B13" s="66" t="s">
        <v>11</v>
      </c>
      <c r="C13" s="66" t="s">
        <v>11</v>
      </c>
      <c r="D13" s="66" t="s">
        <v>11</v>
      </c>
      <c r="E13" s="27">
        <v>6300</v>
      </c>
      <c r="F13" s="66" t="s">
        <v>11</v>
      </c>
      <c r="G13" s="66" t="s">
        <v>11</v>
      </c>
      <c r="H13" s="66" t="s">
        <v>11</v>
      </c>
      <c r="I13" s="66" t="s">
        <v>11</v>
      </c>
    </row>
    <row r="14" spans="1:9" ht="21" customHeight="1" x14ac:dyDescent="0.15">
      <c r="A14" s="73" t="s">
        <v>209</v>
      </c>
      <c r="B14" s="66" t="s">
        <v>11</v>
      </c>
      <c r="C14" s="66" t="s">
        <v>11</v>
      </c>
      <c r="D14" s="27">
        <v>4600</v>
      </c>
      <c r="E14" s="27">
        <v>5800</v>
      </c>
      <c r="F14" s="27">
        <v>7600</v>
      </c>
      <c r="G14" s="66" t="s">
        <v>11</v>
      </c>
      <c r="H14" s="66" t="s">
        <v>11</v>
      </c>
      <c r="I14" s="66" t="s">
        <v>11</v>
      </c>
    </row>
    <row r="15" spans="1:9" ht="21" customHeight="1" x14ac:dyDescent="0.15">
      <c r="A15" s="73" t="s">
        <v>105</v>
      </c>
      <c r="B15" s="66" t="s">
        <v>11</v>
      </c>
      <c r="C15" s="66" t="s">
        <v>11</v>
      </c>
      <c r="D15" s="27">
        <v>4400</v>
      </c>
      <c r="E15" s="27">
        <v>5600</v>
      </c>
      <c r="F15" s="66" t="s">
        <v>11</v>
      </c>
      <c r="G15" s="66" t="s">
        <v>11</v>
      </c>
      <c r="H15" s="66" t="s">
        <v>11</v>
      </c>
      <c r="I15" s="66" t="s">
        <v>11</v>
      </c>
    </row>
    <row r="16" spans="1:9" ht="21" customHeight="1" x14ac:dyDescent="0.15">
      <c r="A16" s="73" t="s">
        <v>210</v>
      </c>
      <c r="B16" s="66" t="s">
        <v>11</v>
      </c>
      <c r="C16" s="27">
        <v>3000</v>
      </c>
      <c r="D16" s="27">
        <v>4200</v>
      </c>
      <c r="E16" s="27">
        <v>5400</v>
      </c>
      <c r="F16" s="66" t="s">
        <v>11</v>
      </c>
      <c r="G16" s="66" t="s">
        <v>11</v>
      </c>
      <c r="H16" s="66" t="s">
        <v>11</v>
      </c>
      <c r="I16" s="66" t="s">
        <v>11</v>
      </c>
    </row>
    <row r="17" spans="1:9" ht="21" customHeight="1" x14ac:dyDescent="0.15">
      <c r="A17" s="73" t="s">
        <v>8</v>
      </c>
      <c r="B17" s="27">
        <v>2000</v>
      </c>
      <c r="C17" s="27">
        <v>2800</v>
      </c>
      <c r="D17" s="27">
        <v>4000</v>
      </c>
      <c r="E17" s="66" t="s">
        <v>11</v>
      </c>
      <c r="F17" s="66" t="s">
        <v>11</v>
      </c>
      <c r="G17" s="66" t="s">
        <v>11</v>
      </c>
      <c r="H17" s="66" t="s">
        <v>11</v>
      </c>
      <c r="I17" s="66" t="s">
        <v>11</v>
      </c>
    </row>
    <row r="18" spans="1:9" ht="21" customHeight="1" x14ac:dyDescent="0.15">
      <c r="A18" s="74" t="s">
        <v>7</v>
      </c>
      <c r="B18" s="27">
        <v>1750</v>
      </c>
      <c r="C18" s="27">
        <v>2550</v>
      </c>
      <c r="D18" s="66" t="s">
        <v>11</v>
      </c>
      <c r="E18" s="66" t="s">
        <v>11</v>
      </c>
      <c r="F18" s="66" t="s">
        <v>11</v>
      </c>
      <c r="G18" s="66" t="s">
        <v>11</v>
      </c>
      <c r="H18" s="66" t="s">
        <v>11</v>
      </c>
      <c r="I18" s="66" t="s">
        <v>11</v>
      </c>
    </row>
    <row r="19" spans="1:9" ht="21" customHeight="1" x14ac:dyDescent="0.15">
      <c r="A19" s="74" t="s">
        <v>211</v>
      </c>
      <c r="B19" s="27">
        <v>1500</v>
      </c>
      <c r="C19" s="27">
        <v>2300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36" t="s">
        <v>212</v>
      </c>
      <c r="B20" s="35">
        <v>1000</v>
      </c>
      <c r="C20" s="35">
        <v>1000</v>
      </c>
      <c r="D20" s="35">
        <v>1000</v>
      </c>
      <c r="E20" s="35">
        <v>1000</v>
      </c>
      <c r="F20" s="35">
        <v>1000</v>
      </c>
      <c r="G20" s="35">
        <v>1000</v>
      </c>
      <c r="H20" s="35">
        <v>1000</v>
      </c>
      <c r="I20" s="35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7" stopIfTrue="1" operator="equal">
      <formula>1</formula>
    </cfRule>
  </conditionalFormatting>
  <conditionalFormatting sqref="A21:I65541">
    <cfRule type="cellIs" dxfId="4" priority="8" stopIfTrue="1" operator="equal">
      <formula>1</formula>
    </cfRule>
  </conditionalFormatting>
  <conditionalFormatting sqref="A20:I20">
    <cfRule type="cellIs" dxfId="3" priority="5" stopIfTrue="1" operator="equal">
      <formula>1</formula>
    </cfRule>
  </conditionalFormatting>
  <conditionalFormatting sqref="J2:IV4">
    <cfRule type="cellIs" dxfId="2" priority="4" stopIfTrue="1" operator="equal">
      <formula>1</formula>
    </cfRule>
  </conditionalFormatting>
  <conditionalFormatting sqref="J5:IV6">
    <cfRule type="cellIs" dxfId="1" priority="3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2"/>
  </cols>
  <sheetData>
    <row r="1" spans="1:8" ht="21" customHeight="1" x14ac:dyDescent="0.15">
      <c r="A1" s="22" t="s">
        <v>111</v>
      </c>
      <c r="G1" s="22" t="s">
        <v>112</v>
      </c>
    </row>
    <row r="2" spans="1:8" ht="21" customHeight="1" x14ac:dyDescent="0.15">
      <c r="A2" s="20" t="s">
        <v>15</v>
      </c>
      <c r="B2" s="20" t="s">
        <v>16</v>
      </c>
      <c r="G2" s="20" t="s">
        <v>15</v>
      </c>
      <c r="H2" s="20" t="s">
        <v>16</v>
      </c>
    </row>
    <row r="3" spans="1:8" ht="21" customHeight="1" x14ac:dyDescent="0.15">
      <c r="A3" s="23">
        <v>1</v>
      </c>
      <c r="B3" s="32">
        <v>5000</v>
      </c>
      <c r="G3" s="23">
        <v>1</v>
      </c>
      <c r="H3" s="23">
        <v>75</v>
      </c>
    </row>
    <row r="4" spans="1:8" ht="21" customHeight="1" x14ac:dyDescent="0.15">
      <c r="A4" s="23">
        <v>2</v>
      </c>
      <c r="B4" s="24">
        <v>10000</v>
      </c>
      <c r="G4" s="23">
        <v>2</v>
      </c>
      <c r="H4" s="23">
        <v>150</v>
      </c>
    </row>
    <row r="5" spans="1:8" ht="21" customHeight="1" x14ac:dyDescent="0.15">
      <c r="A5" s="23">
        <v>3</v>
      </c>
      <c r="B5" s="24">
        <v>20000</v>
      </c>
      <c r="G5" s="23">
        <v>3</v>
      </c>
      <c r="H5" s="23">
        <v>300</v>
      </c>
    </row>
    <row r="6" spans="1:8" ht="21" customHeight="1" x14ac:dyDescent="0.15">
      <c r="A6" s="23">
        <v>4</v>
      </c>
      <c r="B6" s="24">
        <v>50000</v>
      </c>
      <c r="G6" s="23">
        <v>4</v>
      </c>
      <c r="H6" s="23">
        <v>600</v>
      </c>
    </row>
    <row r="7" spans="1:8" ht="21" customHeight="1" x14ac:dyDescent="0.15">
      <c r="A7" s="23">
        <v>5</v>
      </c>
      <c r="B7" s="24">
        <v>200000</v>
      </c>
      <c r="G7" s="23">
        <v>5</v>
      </c>
      <c r="H7" s="23">
        <v>900</v>
      </c>
    </row>
    <row r="8" spans="1:8" ht="21" customHeight="1" x14ac:dyDescent="0.15">
      <c r="A8" s="23">
        <v>6</v>
      </c>
      <c r="B8" s="33">
        <v>0</v>
      </c>
      <c r="G8" s="23">
        <v>6</v>
      </c>
      <c r="H8" s="34">
        <v>1200</v>
      </c>
    </row>
    <row r="9" spans="1:8" ht="21" customHeight="1" x14ac:dyDescent="0.15">
      <c r="A9" s="23">
        <v>7</v>
      </c>
      <c r="B9" s="33"/>
      <c r="G9" s="23">
        <v>7</v>
      </c>
      <c r="H9" s="33"/>
    </row>
    <row r="10" spans="1:8" ht="21" customHeight="1" x14ac:dyDescent="0.15">
      <c r="A10" s="23">
        <v>8</v>
      </c>
      <c r="B10" s="33"/>
      <c r="G10" s="23">
        <v>8</v>
      </c>
      <c r="H10" s="33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zoomScale="70" zoomScaleNormal="70" zoomScalePageLayoutView="70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196</v>
      </c>
      <c r="B2" s="12">
        <v>591</v>
      </c>
    </row>
    <row r="3" spans="1:4" x14ac:dyDescent="0.15">
      <c r="A3" t="s">
        <v>197</v>
      </c>
      <c r="B3" s="130">
        <v>592</v>
      </c>
    </row>
    <row r="4" spans="1:4" x14ac:dyDescent="0.15">
      <c r="A4" t="s">
        <v>198</v>
      </c>
      <c r="B4" s="130">
        <v>593</v>
      </c>
    </row>
    <row r="7" spans="1:4" x14ac:dyDescent="0.15">
      <c r="A7" t="s">
        <v>199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218</v>
      </c>
    </row>
    <row r="13" spans="1:4" x14ac:dyDescent="0.15">
      <c r="B13" t="s">
        <v>222</v>
      </c>
      <c r="C13" t="s">
        <v>223</v>
      </c>
      <c r="D13" t="s">
        <v>224</v>
      </c>
    </row>
    <row r="14" spans="1:4" x14ac:dyDescent="0.15">
      <c r="A14" t="s">
        <v>220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221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219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200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201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202</v>
      </c>
    </row>
    <row r="49" spans="1:1" x14ac:dyDescent="0.15">
      <c r="A49" t="str">
        <f>IFERROR(VLOOKUP($B$3,awake_materials!A:I,2),"なし")</f>
        <v>なし</v>
      </c>
    </row>
    <row r="50" spans="1:1" x14ac:dyDescent="0.15">
      <c r="A50" t="str">
        <f>IFERROR(VLOOKUP($B$3,awake_materials!A:I,2),"なし")</f>
        <v>なし</v>
      </c>
    </row>
    <row r="51" spans="1:1" x14ac:dyDescent="0.15">
      <c r="A51" t="str">
        <f>IFERROR(VLOOKUP($B$3,awake_materials!A:I,2),"なし")</f>
        <v>なし</v>
      </c>
    </row>
    <row r="52" spans="1:1" x14ac:dyDescent="0.15">
      <c r="A52" t="str">
        <f>IFERROR(VLOOKUP($B$3,awake_materials!A:I,2),"なし")</f>
        <v>なし</v>
      </c>
    </row>
    <row r="53" spans="1:1" x14ac:dyDescent="0.15">
      <c r="A53" t="str">
        <f>IFERROR(VLOOKUP($B$3,awake_materials!A:I,2),"なし")</f>
        <v>なし</v>
      </c>
    </row>
    <row r="55" spans="1:1" x14ac:dyDescent="0.15">
      <c r="A55" s="142"/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B1:B20"/>
  <sheetViews>
    <sheetView topLeftCell="A2" zoomScale="138" zoomScaleNormal="138" zoomScalePageLayoutView="138" workbookViewId="0">
      <selection activeCell="B19" sqref="B19"/>
    </sheetView>
  </sheetViews>
  <sheetFormatPr baseColWidth="12" defaultRowHeight="15" x14ac:dyDescent="0.15"/>
  <cols>
    <col min="1" max="1" width="2.33203125" customWidth="1"/>
    <col min="2" max="2" width="59" customWidth="1"/>
  </cols>
  <sheetData>
    <row r="1" spans="2:2" ht="11" customHeight="1" x14ac:dyDescent="0.15"/>
    <row r="2" spans="2:2" ht="24" x14ac:dyDescent="0.2">
      <c r="B2" s="177" t="s">
        <v>264</v>
      </c>
    </row>
    <row r="4" spans="2:2" ht="17" x14ac:dyDescent="0.15">
      <c r="B4" s="178" t="s">
        <v>254</v>
      </c>
    </row>
    <row r="6" spans="2:2" x14ac:dyDescent="0.15">
      <c r="B6" t="s">
        <v>255</v>
      </c>
    </row>
    <row r="7" spans="2:2" ht="75" x14ac:dyDescent="0.15">
      <c r="B7" s="176" t="s">
        <v>257</v>
      </c>
    </row>
    <row r="9" spans="2:2" x14ac:dyDescent="0.15">
      <c r="B9" t="s">
        <v>260</v>
      </c>
    </row>
    <row r="10" spans="2:2" x14ac:dyDescent="0.15">
      <c r="B10" t="s">
        <v>256</v>
      </c>
    </row>
    <row r="12" spans="2:2" x14ac:dyDescent="0.15">
      <c r="B12" t="s">
        <v>259</v>
      </c>
    </row>
    <row r="13" spans="2:2" ht="30" x14ac:dyDescent="0.15">
      <c r="B13" s="175" t="s">
        <v>258</v>
      </c>
    </row>
    <row r="15" spans="2:2" x14ac:dyDescent="0.15">
      <c r="B15" t="s">
        <v>261</v>
      </c>
    </row>
    <row r="16" spans="2:2" x14ac:dyDescent="0.15">
      <c r="B16" t="s">
        <v>262</v>
      </c>
    </row>
    <row r="17" spans="2:2" x14ac:dyDescent="0.15">
      <c r="B17" t="s">
        <v>263</v>
      </c>
    </row>
    <row r="20" spans="2:2" ht="17" x14ac:dyDescent="0.15">
      <c r="B20" s="178" t="s">
        <v>265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  <vt:lpstr>設計仕様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2017-06-06T09:59:02Z</dcterms:modified>
</cp:coreProperties>
</file>