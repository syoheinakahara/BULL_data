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codeName="ThisWorkbook" autoCompressPictures="0"/>
  <bookViews>
    <workbookView xWindow="860" yWindow="1840" windowWidth="26680" windowHeight="14820" tabRatio="865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stage_hints!$B$1:$L$2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9" l="1"/>
  <c r="N12" i="9"/>
  <c r="M12" i="9"/>
  <c r="L12" i="9"/>
  <c r="K12" i="9"/>
  <c r="J12" i="9"/>
  <c r="I12" i="9"/>
  <c r="H12" i="9"/>
  <c r="G12" i="9"/>
  <c r="E12" i="9"/>
  <c r="D12" i="9"/>
  <c r="A12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8" i="11"/>
  <c r="J7" i="11"/>
  <c r="AB10" i="1"/>
  <c r="AD10" i="1"/>
  <c r="AG10" i="1"/>
  <c r="AE10" i="1"/>
  <c r="AC10" i="1"/>
  <c r="V10" i="1"/>
  <c r="Q10" i="1"/>
  <c r="P10" i="1"/>
  <c r="O10" i="1"/>
  <c r="N10" i="1"/>
  <c r="M10" i="1"/>
  <c r="H10" i="1"/>
  <c r="G2" i="2"/>
  <c r="A2" i="2"/>
  <c r="G3" i="2"/>
  <c r="A3" i="2"/>
  <c r="G4" i="2"/>
  <c r="A4" i="2"/>
  <c r="G5" i="2"/>
  <c r="A5" i="2"/>
  <c r="G6" i="2"/>
  <c r="A6" i="2"/>
  <c r="G7" i="2"/>
  <c r="A7" i="2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J6" i="11"/>
  <c r="J4" i="11"/>
  <c r="O16" i="9"/>
  <c r="N16" i="9"/>
  <c r="M16" i="9"/>
  <c r="L16" i="9"/>
  <c r="K16" i="9"/>
  <c r="J16" i="9"/>
  <c r="I16" i="9"/>
  <c r="H16" i="9"/>
  <c r="G16" i="9"/>
  <c r="E16" i="9"/>
  <c r="D16" i="9"/>
  <c r="A16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3" i="11"/>
  <c r="O26" i="9"/>
  <c r="N26" i="9"/>
  <c r="M26" i="9"/>
  <c r="L26" i="9"/>
  <c r="K26" i="9"/>
  <c r="J26" i="9"/>
  <c r="I26" i="9"/>
  <c r="H26" i="9"/>
  <c r="G26" i="9"/>
  <c r="E26" i="9"/>
  <c r="D26" i="9"/>
  <c r="A26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O18" i="9"/>
  <c r="N18" i="9"/>
  <c r="M18" i="9"/>
  <c r="L18" i="9"/>
  <c r="K18" i="9"/>
  <c r="J18" i="9"/>
  <c r="I18" i="9"/>
  <c r="H18" i="9"/>
  <c r="G18" i="9"/>
  <c r="E18" i="9"/>
  <c r="D18" i="9"/>
  <c r="A18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G28" i="10"/>
  <c r="H28" i="10"/>
  <c r="I28" i="10"/>
  <c r="K28" i="10"/>
  <c r="J28" i="10"/>
  <c r="M28" i="10"/>
  <c r="T28" i="10"/>
  <c r="U28" i="10"/>
  <c r="V28" i="10"/>
  <c r="X28" i="10"/>
  <c r="W28" i="10"/>
  <c r="Y3" i="7"/>
  <c r="W3" i="7"/>
  <c r="R3" i="7"/>
  <c r="Q3" i="7"/>
  <c r="P3" i="7"/>
  <c r="O3" i="7"/>
  <c r="N3" i="7"/>
  <c r="H3" i="7"/>
  <c r="J3" i="7"/>
  <c r="I3" i="7"/>
  <c r="D3" i="7"/>
  <c r="F3" i="7"/>
  <c r="E3" i="7"/>
  <c r="A3" i="7"/>
  <c r="J5" i="11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O27" i="9"/>
  <c r="N27" i="9"/>
  <c r="M27" i="9"/>
  <c r="L27" i="9"/>
  <c r="K27" i="9"/>
  <c r="J27" i="9"/>
  <c r="I27" i="9"/>
  <c r="H27" i="9"/>
  <c r="G27" i="9"/>
  <c r="E27" i="9"/>
  <c r="D27" i="9"/>
  <c r="A27" i="9"/>
  <c r="J2" i="11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1" i="9"/>
  <c r="N21" i="9"/>
  <c r="M21" i="9"/>
  <c r="L21" i="9"/>
  <c r="K21" i="9"/>
  <c r="J21" i="9"/>
  <c r="I21" i="9"/>
  <c r="H21" i="9"/>
  <c r="G21" i="9"/>
  <c r="E21" i="9"/>
  <c r="D21" i="9"/>
  <c r="A21" i="9"/>
  <c r="O22" i="9"/>
  <c r="N22" i="9"/>
  <c r="M22" i="9"/>
  <c r="L22" i="9"/>
  <c r="K22" i="9"/>
  <c r="J22" i="9"/>
  <c r="I22" i="9"/>
  <c r="H22" i="9"/>
  <c r="G22" i="9"/>
  <c r="E22" i="9"/>
  <c r="D22" i="9"/>
  <c r="A22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7" i="9"/>
  <c r="N17" i="9"/>
  <c r="M17" i="9"/>
  <c r="L17" i="9"/>
  <c r="K17" i="9"/>
  <c r="J17" i="9"/>
  <c r="I17" i="9"/>
  <c r="H17" i="9"/>
  <c r="G17" i="9"/>
  <c r="E17" i="9"/>
  <c r="D17" i="9"/>
  <c r="A17" i="9"/>
  <c r="O14" i="9"/>
  <c r="N14" i="9"/>
  <c r="M14" i="9"/>
  <c r="L14" i="9"/>
  <c r="K14" i="9"/>
  <c r="J14" i="9"/>
  <c r="I14" i="9"/>
  <c r="H14" i="9"/>
  <c r="G14" i="9"/>
  <c r="E14" i="9"/>
  <c r="D14" i="9"/>
  <c r="A14" i="9"/>
  <c r="O15" i="9"/>
  <c r="N15" i="9"/>
  <c r="M15" i="9"/>
  <c r="L15" i="9"/>
  <c r="K15" i="9"/>
  <c r="J15" i="9"/>
  <c r="I15" i="9"/>
  <c r="H15" i="9"/>
  <c r="G15" i="9"/>
  <c r="E15" i="9"/>
  <c r="D15" i="9"/>
  <c r="A15" i="9"/>
  <c r="O13" i="9"/>
  <c r="N13" i="9"/>
  <c r="M13" i="9"/>
  <c r="L13" i="9"/>
  <c r="K13" i="9"/>
  <c r="J13" i="9"/>
  <c r="I13" i="9"/>
  <c r="H13" i="9"/>
  <c r="G13" i="9"/>
  <c r="E13" i="9"/>
  <c r="D13" i="9"/>
  <c r="A13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4" i="9"/>
  <c r="N4" i="9"/>
  <c r="M4" i="9"/>
  <c r="L4" i="9"/>
  <c r="K4" i="9"/>
  <c r="J4" i="9"/>
  <c r="I4" i="9"/>
  <c r="H4" i="9"/>
  <c r="G4" i="9"/>
  <c r="E4" i="9"/>
  <c r="D4" i="9"/>
  <c r="A4" i="9"/>
  <c r="O6" i="9"/>
  <c r="N6" i="9"/>
  <c r="M6" i="9"/>
  <c r="L6" i="9"/>
  <c r="K6" i="9"/>
  <c r="J6" i="9"/>
  <c r="I6" i="9"/>
  <c r="H6" i="9"/>
  <c r="G6" i="9"/>
  <c r="E6" i="9"/>
  <c r="D6" i="9"/>
  <c r="A6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E5" i="9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E3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E2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H7" i="2"/>
  <c r="E7" i="2"/>
  <c r="D7" i="2"/>
  <c r="H2" i="1"/>
  <c r="H3" i="1"/>
  <c r="H4" i="1"/>
  <c r="H5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5" i="9"/>
  <c r="N5" i="9"/>
  <c r="M5" i="9"/>
  <c r="L5" i="9"/>
  <c r="K5" i="9"/>
  <c r="J5" i="9"/>
  <c r="I5" i="9"/>
  <c r="H5" i="9"/>
  <c r="G5" i="9"/>
  <c r="D5" i="9"/>
  <c r="A5" i="9"/>
  <c r="O3" i="9"/>
  <c r="N3" i="9"/>
  <c r="M3" i="9"/>
  <c r="L3" i="9"/>
  <c r="K3" i="9"/>
  <c r="J3" i="9"/>
  <c r="I3" i="9"/>
  <c r="H3" i="9"/>
  <c r="G3" i="9"/>
  <c r="D3" i="9"/>
  <c r="A3" i="9"/>
  <c r="V3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C11" i="16"/>
  <c r="E11" i="16"/>
  <c r="C10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4" i="1"/>
  <c r="AE4" i="1"/>
  <c r="AD4" i="1"/>
  <c r="AC4" i="1"/>
  <c r="AB3" i="1"/>
  <c r="AE3" i="1"/>
  <c r="AD3" i="1"/>
  <c r="AC3" i="1"/>
  <c r="V4" i="1"/>
  <c r="Q4" i="1"/>
  <c r="P4" i="1"/>
  <c r="O4" i="1"/>
  <c r="N4" i="1"/>
  <c r="M4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3" i="1"/>
  <c r="H2" i="7"/>
  <c r="J2" i="7"/>
  <c r="E8" i="16"/>
  <c r="E7" i="16"/>
  <c r="E6" i="16"/>
  <c r="E5" i="16"/>
  <c r="E4" i="16"/>
  <c r="E3" i="16"/>
  <c r="E2" i="16"/>
  <c r="A4" i="1"/>
  <c r="A3" i="1"/>
  <c r="AG4" i="1"/>
  <c r="A2" i="9"/>
  <c r="J4" i="1"/>
  <c r="I4" i="1"/>
  <c r="D4" i="1"/>
  <c r="F4" i="1"/>
  <c r="E4" i="1"/>
  <c r="A2" i="7"/>
  <c r="I2" i="7"/>
  <c r="D2" i="7"/>
  <c r="F2" i="7"/>
  <c r="E2" i="7"/>
  <c r="J3" i="1"/>
  <c r="I3" i="1"/>
  <c r="D2" i="2"/>
  <c r="E2" i="2"/>
  <c r="H2" i="2"/>
  <c r="D3" i="1"/>
  <c r="E3" i="1"/>
  <c r="F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<sst xmlns="http://schemas.openxmlformats.org/spreadsheetml/2006/main" count="448" uniqueCount="281">
  <si>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</si>
  <si>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</si>
  <si>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</si>
  <si>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</si>
  <si>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</si>
  <si>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</si>
  <si>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</si>
  <si>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</si>
  <si>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</si>
  <si>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</si>
  <si>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</si>
  <si>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</si>
  <si>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</si>
  <si>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</si>
  <si>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</si>
  <si>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</si>
  <si>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</si>
  <si>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</si>
  <si>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</si>
  <si>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</si>
  <si>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</si>
  <si>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</si>
  <si>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</si>
  <si>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</si>
  <si>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</si>
  <si>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</si>
  <si>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</si>
  <si>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</si>
  <si>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</si>
  <si>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</si>
  <si>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</si>
  <si>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</si>
  <si>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</si>
  <si>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</si>
  <si>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</si>
  <si>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</si>
  <si>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</si>
  <si>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</si>
  <si>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</si>
  <si>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</si>
  <si>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</si>
  <si>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</si>
  <si>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</si>
  <si>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</si>
  <si>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</si>
  <si>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</si>
  <si>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</si>
  <si>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</si>
  <si>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</si>
  <si>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</si>
  <si>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</si>
  <si>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</si>
  <si>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</si>
  <si>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</si>
  <si>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</si>
  <si>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</si>
  <si>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</si>
  <si>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</si>
  <si>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</si>
  <si>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</si>
  <si>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</si>
  <si>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</si>
  <si>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</si>
  <si>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</si>
  <si>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</si>
  <si>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</si>
  <si>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</si>
  <si>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</si>
  <si>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</si>
  <si>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</si>
  <si>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</si>
  <si>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</si>
  <si>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</si>
  <si>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</si>
  <si>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</si>
  <si>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</si>
  <si>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</si>
  <si>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</si>
  <si>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</si>
  <si>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</si>
  <si>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</si>
  <si>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</si>
  <si>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</si>
  <si>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</si>
  <si>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</si>
  <si>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</si>
  <si>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</si>
  <si>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</si>
  <si>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</si>
  <si>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</si>
  <si>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</si>
  <si>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</si>
  <si>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</si>
  <si>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</si>
  <si>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</si>
  <si>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</si>
  <si>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</si>
  <si>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</si>
  <si>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</si>
  <si>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</si>
  <si>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</si>
  <si>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</si>
  <si>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</si>
  <si>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</si>
  <si>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</si>
  <si>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</si>
  <si>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</si>
  <si>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</si>
  <si>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</si>
  <si>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</si>
  <si>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</si>
  <si>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</si>
  <si>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</si>
  <si>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</si>
  <si>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</si>
  <si>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</si>
  <si>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</si>
  <si>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</si>
  <si>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</si>
  <si>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</si>
  <si>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</si>
  <si>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</si>
  <si>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</si>
  <si>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</si>
  <si>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</si>
  <si>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</si>
  <si>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</si>
  <si>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</si>
  <si>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</si>
  <si>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</si>
  <si>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</si>
  <si>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</si>
  <si>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</si>
  <si>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</si>
  <si>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</si>
  <si>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</si>
  <si>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</si>
  <si>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</si>
  <si>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</si>
  <si>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</si>
  <si>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</si>
  <si>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</si>
  <si>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</si>
  <si>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</si>
  <si>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</si>
  <si>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</si>
  <si>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</si>
  <si>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</si>
  <si>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</si>
  <si>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</si>
  <si>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</si>
  <si>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</si>
  <si>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</si>
  <si>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</si>
  <si>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</si>
  <si>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</si>
  <si>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</si>
  <si>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</si>
  <si>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</si>
  <si>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</si>
  <si>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</si>
  <si>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</si>
  <si>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</si>
  <si>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</si>
  <si>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</si>
  <si>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</si>
  <si>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</si>
  <si>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</si>
  <si>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</si>
  <si>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</si>
  <si>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</si>
  <si>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</si>
  <si>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</si>
  <si>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</si>
  <si>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</si>
  <si>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</si>
  <si>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</si>
  <si>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</si>
  <si>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</si>
  <si>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</si>
  <si>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</si>
  <si>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</si>
  <si>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</si>
  <si>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</si>
  <si>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</si>
  <si>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</si>
  <si>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</si>
  <si>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</si>
  <si>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</si>
  <si>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</si>
  <si>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</si>
  <si>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</si>
  <si>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</si>
  <si>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</si>
  <si>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</si>
  <si>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hint_id</t>
    <phoneticPr fontId="5"/>
  </si>
  <si>
    <t>filename</t>
    <phoneticPr fontId="5"/>
  </si>
  <si>
    <t>ja</t>
    <phoneticPr fontId="5"/>
  </si>
  <si>
    <t>complete</t>
  </si>
  <si>
    <t>stage_hints_data_c_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</si>
  <si>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</si>
  <si>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</si>
  <si>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</si>
  <si>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</si>
  <si>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</si>
  <si>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</si>
  <si>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NULL</t>
    <phoneticPr fontId="5"/>
  </si>
  <si>
    <t>g2016</t>
    <phoneticPr fontId="5"/>
  </si>
  <si>
    <t>old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</si>
  <si>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</si>
  <si>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</si>
  <si>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</si>
  <si>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</si>
  <si>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あの頃は
楽しかったわね…</t>
    <rPh sb="2" eb="3">
      <t>コロ</t>
    </rPh>
    <rPh sb="5" eb="6">
      <t>タノ</t>
    </rPh>
    <phoneticPr fontId="5"/>
  </si>
  <si>
    <t>ハッピー！</t>
    <phoneticPr fontId="5"/>
  </si>
  <si>
    <t>いつもどおり 幸せそうだ</t>
    <rPh sb="7" eb="8">
      <t>シアワ</t>
    </rPh>
    <phoneticPr fontId="5"/>
  </si>
  <si>
    <t>輝いていた あの頃を…</t>
    <rPh sb="0" eb="1">
      <t>カガヤ</t>
    </rPh>
    <rPh sb="8" eb="9">
      <t>コロ</t>
    </rPh>
    <phoneticPr fontId="5"/>
  </si>
  <si>
    <t>食べ尽くしてあげる</t>
    <rPh sb="0" eb="1">
      <t>タ</t>
    </rPh>
    <rPh sb="2" eb="3">
      <t>ツ</t>
    </rPh>
    <phoneticPr fontId="5"/>
  </si>
  <si>
    <t>拡大感染＜ワームスクラム＞</t>
    <phoneticPr fontId="5"/>
  </si>
  <si>
    <t>クヮッ！？</t>
    <phoneticPr fontId="5"/>
  </si>
  <si>
    <t>アヒルを狩った</t>
    <rPh sb="4" eb="5">
      <t>カ</t>
    </rPh>
    <phoneticPr fontId="5"/>
  </si>
  <si>
    <t>ゲリラクエスト</t>
    <phoneticPr fontId="5"/>
  </si>
  <si>
    <t>炎華の香り・永代</t>
    <phoneticPr fontId="5"/>
  </si>
  <si>
    <t>クリーニングします！</t>
    <phoneticPr fontId="5"/>
  </si>
  <si>
    <t>身の程知らずですね…</t>
    <rPh sb="0" eb="1">
      <t>ミ</t>
    </rPh>
    <rPh sb="2" eb="9">
      <t>ホド</t>
    </rPh>
    <phoneticPr fontId="5"/>
  </si>
  <si>
    <t>心を折られた</t>
    <rPh sb="0" eb="1">
      <t>ココロ</t>
    </rPh>
    <rPh sb="2" eb="3">
      <t>オ</t>
    </rPh>
    <phoneticPr fontId="5"/>
  </si>
  <si>
    <t>アマテラス戦</t>
    <rPh sb="5" eb="6">
      <t>セン</t>
    </rPh>
    <phoneticPr fontId="5"/>
  </si>
  <si>
    <t>私達も 卒業の時ね</t>
    <rPh sb="0" eb="2">
      <t>ワタシタチ</t>
    </rPh>
    <rPh sb="4" eb="6">
      <t>ソツギョウ</t>
    </rPh>
    <rPh sb="7" eb="8">
      <t>トキ</t>
    </rPh>
    <phoneticPr fontId="5"/>
  </si>
  <si>
    <t>さみしいですけど…</t>
    <phoneticPr fontId="5"/>
  </si>
  <si>
    <t>いい思い出だったけど…</t>
    <rPh sb="2" eb="3">
      <t>オモ</t>
    </rPh>
    <rPh sb="4" eb="5">
      <t>デ</t>
    </rPh>
    <phoneticPr fontId="5"/>
  </si>
  <si>
    <t>そろそろ 旅立ちましょう</t>
    <rPh sb="5" eb="7">
      <t>タビダ</t>
    </rPh>
    <phoneticPr fontId="5"/>
  </si>
  <si>
    <t>ハッピーは 勝負服に着替えた！</t>
    <rPh sb="6" eb="14">
      <t>ショウブフ</t>
    </rPh>
    <phoneticPr fontId="5"/>
  </si>
  <si>
    <t>いつも 心にハッピーを</t>
    <rPh sb="4" eb="5">
      <t>ココロ</t>
    </rPh>
    <phoneticPr fontId="5"/>
  </si>
  <si>
    <t>old</t>
    <phoneticPr fontId="7"/>
  </si>
  <si>
    <t>stage_hints</t>
    <phoneticPr fontId="5"/>
  </si>
  <si>
    <t>春は別れと出会いの季節
人生の節目を迎えるクラファーの皆様にも
ハッピーな出会いがありますように</t>
    <phoneticPr fontId="5"/>
  </si>
  <si>
    <t>いっぱい
活躍しましたねー</t>
    <rPh sb="5" eb="7">
      <t>カツヤク</t>
    </rPh>
    <phoneticPr fontId="5"/>
  </si>
  <si>
    <t>振り返って
みましょうか</t>
    <rPh sb="0" eb="1">
      <t>フ</t>
    </rPh>
    <rPh sb="2" eb="3">
      <t>カエ</t>
    </rPh>
    <phoneticPr fontId="5"/>
  </si>
  <si>
    <t>ダックは ウィルスに消去された！</t>
    <rPh sb="10" eb="12">
      <t>ショウキョ</t>
    </rPh>
    <phoneticPr fontId="5"/>
  </si>
  <si>
    <t>[effect:suicide, val:1, dead_type:escape, target:myself]</t>
    <phoneticPr fontId="5"/>
  </si>
  <si>
    <t>[effect:suicide, val:1, dead_type:escape, target:enemy_all]</t>
    <phoneticPr fontId="5"/>
  </si>
  <si>
    <t>ちっ…姐さん出番ですぜ！</t>
    <rPh sb="3" eb="4">
      <t>ネエ</t>
    </rPh>
    <rPh sb="6" eb="8">
      <t>デバン</t>
    </rPh>
    <phoneticPr fontId="5"/>
  </si>
  <si>
    <t>[effect:suicide, val:1, dead_type:escape, target:enemy_all][effect:sleep, target:unit_all, turn:1, rate:1][effect:degrade_crash, target:unit_all, count:99, special:99, turn:-1][effect:hungup, target:unit_all, turn:-1, rate:1][effect:degrade_unit, target:unit_all, turn:-1, status:attack, val:1, calc:mul]</t>
    <phoneticPr fontId="5"/>
  </si>
  <si>
    <t>「等身大の メモリアル」</t>
    <rPh sb="1" eb="4">
      <t>トウシンダイ</t>
    </rPh>
    <phoneticPr fontId="5"/>
  </si>
  <si>
    <t>味方ユニットが ウィルスに冒された！</t>
    <rPh sb="0" eb="2">
      <t>ミカタ</t>
    </rPh>
    <rPh sb="13" eb="14">
      <t>オカ</t>
    </rPh>
    <phoneticPr fontId="5"/>
  </si>
  <si>
    <t>味方のウィルス状態が 解除された！</t>
    <rPh sb="0" eb="2">
      <t>ミカタ</t>
    </rPh>
    <rPh sb="7" eb="9">
      <t>ジョウタイ</t>
    </rPh>
    <rPh sb="11" eb="13">
      <t>カイジョ</t>
    </rPh>
    <phoneticPr fontId="5"/>
  </si>
  <si>
    <t>アマテラスが襲来した！</t>
    <rPh sb="6" eb="8">
      <t>シュウライ</t>
    </rPh>
    <phoneticPr fontId="5"/>
  </si>
  <si>
    <t>夕霧は 助けを呼んだ！</t>
    <rPh sb="0" eb="2">
      <t>ユウギリ</t>
    </rPh>
    <rPh sb="4" eb="5">
      <t>タス</t>
    </rPh>
    <rPh sb="7" eb="8">
      <t>ヨ</t>
    </rPh>
    <phoneticPr fontId="5"/>
  </si>
  <si>
    <t>器が違うのです…！！</t>
    <rPh sb="0" eb="1">
      <t>ウツワ</t>
    </rPh>
    <rPh sb="2" eb="3">
      <t>チガ</t>
    </rPh>
    <phoneticPr fontId="5"/>
  </si>
  <si>
    <t>神をも燃やす天の炎</t>
    <rPh sb="0" eb="1">
      <t>カミ</t>
    </rPh>
    <rPh sb="3" eb="4">
      <t>モ</t>
    </rPh>
    <rPh sb="6" eb="7">
      <t>テン</t>
    </rPh>
    <rPh sb="8" eb="9">
      <t>ホ</t>
    </rPh>
    <phoneticPr fontId="5"/>
  </si>
  <si>
    <t>さみしそうに こちらを見ている</t>
    <rPh sb="11" eb="12">
      <t>ミ</t>
    </rPh>
    <phoneticPr fontId="5"/>
  </si>
  <si>
    <t>なにやら ゴソゴソしはじめた</t>
    <phoneticPr fontId="5"/>
  </si>
  <si>
    <t>ハッピー</t>
    <phoneticPr fontId="5"/>
  </si>
  <si>
    <t>新たなクラファーとの出会いに！</t>
    <rPh sb="0" eb="1">
      <t>アラ</t>
    </rPh>
    <rPh sb="10" eb="12">
      <t>デア</t>
    </rPh>
    <phoneticPr fontId="5"/>
  </si>
  <si>
    <t>ハッピー ( ; _ ; )</t>
    <phoneticPr fontId="5"/>
  </si>
  <si>
    <t>[effect:suicide, val:1, dead_type:escape, target:enemy_all]</t>
    <phoneticPr fontId="5"/>
  </si>
  <si>
    <t>(((；ﾟДﾟ))) ｱﾜｱﾜ</t>
    <phoneticPr fontId="5"/>
  </si>
  <si>
    <t>モリスは あわてている</t>
    <phoneticPr fontId="5"/>
  </si>
  <si>
    <t>メリッサは 懐かしんでいる</t>
    <rPh sb="6" eb="7">
      <t>ナツ</t>
    </rPh>
    <phoneticPr fontId="5"/>
  </si>
  <si>
    <t>[effect:nothing]</t>
    <phoneticPr fontId="5"/>
  </si>
  <si>
    <t>[effect:suicide, val:1, dead_type:escape, target:enemy_all]</t>
    <phoneticPr fontId="5"/>
  </si>
  <si>
    <t>[effect:suicide, val:1, dead_type:suicide, target:myself, animation:virus04][effect:dark, target:unit_all, turn:1][effect:sleep, target:unit_all, turn:1, rate:1]</t>
    <phoneticPr fontId="5"/>
  </si>
  <si>
    <t>ハッピー…</t>
    <phoneticPr fontId="5"/>
  </si>
  <si>
    <t>ハッピー！？</t>
    <phoneticPr fontId="5"/>
  </si>
  <si>
    <t>[effect:fix_speed, target:myself, turn:1]</t>
    <phoneticPr fontId="5"/>
  </si>
  <si>
    <t>[effect:nothing]</t>
    <phoneticPr fontId="5"/>
  </si>
  <si>
    <t>[effect:fix_speed, target:myself, turn:1][effect:enhance_enemy, target:enemy_exp, turn:-1, status:attack, val:1, animation:virus01]</t>
    <phoneticPr fontId="5"/>
  </si>
  <si>
    <t>[effect:virus, turn:1, target:unit_all, rate:1, val:0.85, animation:virus02][effect:fix_speed, target:enemy_all, turn:1][effect:remove_enhancement, target:unit_all, target_effect:dark]</t>
    <phoneticPr fontId="5"/>
  </si>
  <si>
    <t>[effect:fix_speed, target:myself, turn:1][effect:remove_enhancement, target:unit_all, target_effect:virus][effect:degrade_unit, target:unit_all, turn:-1, status:attack, val:1, calc:mul, animation:cure01]</t>
    <phoneticPr fontId="5"/>
  </si>
  <si>
    <t>[effect:fix_speed, target:myself, turn:1][effect:remove_enhancement, target:unit_all, target_effect:dark]</t>
    <phoneticPr fontId="5"/>
  </si>
  <si>
    <t>[effect:nothing]</t>
    <phoneticPr fontId="5"/>
  </si>
  <si>
    <t>[effect:suicide, val:1, dead_type:escape, target:enemy_all, animation:enemy_escape]</t>
    <phoneticPr fontId="5"/>
  </si>
  <si>
    <t>[effect:fix_speed, target:myself, turn:1][effect:force_change_block, new_block:block_heart, target:block_all, count:0, val:0][effect:change_panel_ratio, turn:-1, block_type:red, val:0][effect:change_panel_ratio, turn:-1, block_type:green, val:0][effect:change_panel_ratio, turn:-1, block_type:blue, val:0][effect:change_panel_ratio, turn:-1, block_type:yellow, val:0][effect:change_panel_ratio, turn:-1, block_type:heal, val:1][effect:degrade_unit, target:unit_all, turn:-1, status:action, val:2, calc:add]</t>
    <phoneticPr fontId="5"/>
  </si>
  <si>
    <t>セメテ アナタノ…</t>
    <phoneticPr fontId="5"/>
  </si>
  <si>
    <t>「ダイニ ボタンヲ クダサイ」</t>
    <phoneticPr fontId="5"/>
  </si>
  <si>
    <t>[effect:suicide, val:10, dead_type:escape, target:enemy_unknown, animation:damage_one_red05][effect:dark, target:unit_all, turn:1]</t>
    <phoneticPr fontId="5"/>
  </si>
  <si>
    <t>モリスも しみじみつぶやいた</t>
    <phoneticPr fontId="5"/>
  </si>
  <si>
    <t>もう力不足ですもんね</t>
    <rPh sb="2" eb="3">
      <t>チカラ</t>
    </rPh>
    <rPh sb="3" eb="5">
      <t>ブソク</t>
    </rPh>
    <phoneticPr fontId="5"/>
  </si>
  <si>
    <t>別れを 惜しんでいるようだ</t>
    <rPh sb="0" eb="1">
      <t>ワカ</t>
    </rPh>
    <rPh sb="4" eb="5">
      <t>オ</t>
    </rPh>
    <phoneticPr fontId="5"/>
  </si>
  <si>
    <t>これは ウィルスユニットたちの</t>
    <phoneticPr fontId="5"/>
  </si>
  <si>
    <t>[effect:suicide, val:1, dead_type:escape, target:enemy_all]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</si>
</sst>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1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5" borderId="12" applyNumberFormat="0" applyAlignment="0" applyProtection="0"/>
    <xf numFmtId="0" fontId="33" fillId="16" borderId="0" applyNumberFormat="0" applyBorder="0" applyAlignment="0" applyProtection="0"/>
    <xf numFmtId="0" fontId="34" fillId="17" borderId="13" applyNumberFormat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7" borderId="0" applyNumberFormat="0" applyBorder="0" applyAlignment="0" applyProtection="0"/>
    <xf numFmtId="0" fontId="42" fillId="16" borderId="0" applyNumberFormat="0" applyBorder="0" applyAlignment="0" applyProtection="0"/>
    <xf numFmtId="0" fontId="42" fillId="20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5" borderId="0" applyNumberFormat="0" applyBorder="0" applyAlignment="0" applyProtection="0"/>
    <xf numFmtId="0" fontId="42" fillId="17" borderId="0" applyNumberFormat="0" applyBorder="0" applyAlignment="0" applyProtection="0"/>
    <xf numFmtId="0" fontId="42" fillId="22" borderId="0" applyNumberFormat="0" applyBorder="0" applyAlignment="0" applyProtection="0"/>
    <xf numFmtId="0" fontId="42" fillId="20" borderId="0" applyNumberFormat="0" applyBorder="0" applyAlignment="0" applyProtection="0"/>
    <xf numFmtId="0" fontId="42" fillId="17" borderId="0" applyNumberFormat="0" applyBorder="0" applyAlignment="0" applyProtection="0"/>
    <xf numFmtId="0" fontId="42" fillId="23" borderId="0" applyNumberFormat="0" applyBorder="0" applyAlignment="0" applyProtection="0"/>
    <xf numFmtId="0" fontId="42" fillId="16" borderId="0" applyNumberFormat="0" applyBorder="0" applyAlignment="0" applyProtection="0"/>
    <xf numFmtId="0" fontId="43" fillId="24" borderId="0" applyNumberFormat="0" applyBorder="0" applyAlignment="0" applyProtection="0"/>
    <xf numFmtId="0" fontId="43" fillId="22" borderId="0" applyNumberFormat="0" applyBorder="0" applyAlignment="0" applyProtection="0"/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24" borderId="0" applyNumberFormat="0" applyBorder="0" applyAlignment="0" applyProtection="0"/>
    <xf numFmtId="0" fontId="43" fillId="1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4" borderId="0" applyNumberFormat="0" applyBorder="0" applyAlignment="0" applyProtection="0"/>
    <xf numFmtId="0" fontId="43" fillId="25" borderId="0" applyNumberFormat="0" applyBorder="0" applyAlignment="0" applyProtection="0"/>
    <xf numFmtId="0" fontId="43" fillId="20" borderId="0" applyNumberFormat="0" applyBorder="0" applyAlignment="0" applyProtection="0"/>
    <xf numFmtId="0" fontId="43" fillId="26" borderId="0" applyNumberFormat="0" applyBorder="0" applyAlignment="0" applyProtection="0"/>
    <xf numFmtId="0" fontId="43" fillId="24" borderId="0" applyNumberFormat="0" applyBorder="0" applyAlignment="0" applyProtection="0"/>
    <xf numFmtId="0" fontId="43" fillId="22" borderId="0" applyNumberFormat="0" applyBorder="0" applyAlignment="0" applyProtection="0"/>
    <xf numFmtId="0" fontId="44" fillId="27" borderId="0" applyNumberFormat="0" applyBorder="0" applyAlignment="0" applyProtection="0"/>
    <xf numFmtId="0" fontId="33" fillId="16" borderId="0" applyNumberFormat="0" applyBorder="0" applyAlignment="0" applyProtection="0"/>
    <xf numFmtId="0" fontId="45" fillId="0" borderId="18" applyNumberFormat="0" applyFill="0" applyAlignment="0" applyProtection="0"/>
    <xf numFmtId="0" fontId="46" fillId="17" borderId="19" applyNumberFormat="0" applyAlignment="0" applyProtection="0"/>
    <xf numFmtId="0" fontId="46" fillId="28" borderId="19" applyNumberFormat="0" applyAlignment="0" applyProtection="0"/>
    <xf numFmtId="0" fontId="34" fillId="16" borderId="13" applyNumberFormat="0" applyAlignment="0" applyProtection="0"/>
    <xf numFmtId="0" fontId="47" fillId="0" borderId="20" applyNumberFormat="0" applyFill="0" applyAlignment="0" applyProtection="0"/>
    <xf numFmtId="0" fontId="48" fillId="28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0" fillId="14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13" borderId="7" xfId="0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16" fillId="29" borderId="7" xfId="0" applyFont="1" applyFill="1" applyBorder="1" applyAlignment="1">
      <alignment horizontal="center"/>
    </xf>
    <xf numFmtId="56" fontId="16" fillId="29" borderId="7" xfId="0" applyNumberFormat="1" applyFont="1" applyFill="1" applyBorder="1" applyAlignment="1">
      <alignment horizontal="center"/>
    </xf>
    <xf numFmtId="0" fontId="2" fillId="6" borderId="7" xfId="615" applyFill="1" applyBorder="1"/>
    <xf numFmtId="38" fontId="16" fillId="0" borderId="7" xfId="628" applyFont="1" applyFill="1" applyBorder="1" applyAlignment="1">
      <alignment wrapText="1"/>
    </xf>
    <xf numFmtId="0" fontId="6" fillId="0" borderId="9" xfId="0" applyFont="1" applyFill="1" applyBorder="1" applyAlignment="1">
      <alignment vertical="center"/>
    </xf>
  </cellXfs>
  <cellStyles count="912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無題1" xfId="43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39002</v>
          </cell>
        </row>
        <row r="140">
          <cell r="A140">
            <v>39003</v>
          </cell>
        </row>
        <row r="141">
          <cell r="A141">
            <v>40001</v>
          </cell>
        </row>
        <row r="142">
          <cell r="A142">
            <v>40002</v>
          </cell>
        </row>
        <row r="143">
          <cell r="A143">
            <v>40003</v>
          </cell>
        </row>
        <row r="144">
          <cell r="A144">
            <v>40004</v>
          </cell>
        </row>
        <row r="145">
          <cell r="A145">
            <v>40005</v>
          </cell>
        </row>
        <row r="146">
          <cell r="A146">
            <v>40006</v>
          </cell>
        </row>
        <row r="147">
          <cell r="A147">
            <v>40007</v>
          </cell>
        </row>
        <row r="148">
          <cell r="A148">
            <v>40008</v>
          </cell>
        </row>
        <row r="149">
          <cell r="A149">
            <v>40009</v>
          </cell>
        </row>
        <row r="150">
          <cell r="A150">
            <v>40010</v>
          </cell>
        </row>
        <row r="151">
          <cell r="A151">
            <v>40011</v>
          </cell>
        </row>
        <row r="152">
          <cell r="A152">
            <v>40012</v>
          </cell>
        </row>
        <row r="153">
          <cell r="A153">
            <v>40013</v>
          </cell>
        </row>
        <row r="154">
          <cell r="A154">
            <v>40014</v>
          </cell>
        </row>
        <row r="155">
          <cell r="A155">
            <v>40015</v>
          </cell>
        </row>
        <row r="156">
          <cell r="A156">
            <v>49001</v>
          </cell>
        </row>
        <row r="157">
          <cell r="A157">
            <v>49002</v>
          </cell>
        </row>
        <row r="158">
          <cell r="A158">
            <v>49003</v>
          </cell>
        </row>
        <row r="159">
          <cell r="A159">
            <v>50001</v>
          </cell>
        </row>
        <row r="160">
          <cell r="A160">
            <v>50002</v>
          </cell>
        </row>
        <row r="161">
          <cell r="A161">
            <v>60001</v>
          </cell>
        </row>
        <row r="162">
          <cell r="A162">
            <v>60002</v>
          </cell>
        </row>
        <row r="163">
          <cell r="A163">
            <v>60003</v>
          </cell>
        </row>
        <row r="164">
          <cell r="A164">
            <v>60004</v>
          </cell>
        </row>
        <row r="165">
          <cell r="A165">
            <v>65535</v>
          </cell>
        </row>
        <row r="166">
          <cell r="A166">
            <v>60021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11220_1</v>
          </cell>
        </row>
        <row r="263">
          <cell r="A263" t="str">
            <v>11221_1</v>
          </cell>
        </row>
        <row r="264">
          <cell r="A264" t="str">
            <v>12001_1</v>
          </cell>
        </row>
        <row r="265">
          <cell r="A265" t="str">
            <v>12001_2</v>
          </cell>
        </row>
        <row r="266">
          <cell r="A266" t="str">
            <v>12001_3</v>
          </cell>
        </row>
        <row r="267">
          <cell r="A267" t="str">
            <v>12002_3</v>
          </cell>
        </row>
        <row r="268">
          <cell r="A268" t="str">
            <v>12002_2</v>
          </cell>
        </row>
        <row r="269">
          <cell r="A269" t="str">
            <v>12002_1</v>
          </cell>
        </row>
        <row r="270">
          <cell r="A270" t="str">
            <v>12003_1</v>
          </cell>
        </row>
        <row r="271">
          <cell r="A271" t="str">
            <v>12003_2</v>
          </cell>
        </row>
        <row r="272">
          <cell r="A272" t="str">
            <v>12003_3</v>
          </cell>
        </row>
        <row r="273">
          <cell r="A273" t="str">
            <v>12003_4</v>
          </cell>
        </row>
        <row r="274">
          <cell r="A274" t="str">
            <v>12004_1</v>
          </cell>
        </row>
        <row r="275">
          <cell r="A275" t="str">
            <v>13001_1</v>
          </cell>
        </row>
        <row r="276">
          <cell r="A276" t="str">
            <v>13001_2</v>
          </cell>
        </row>
        <row r="277">
          <cell r="A277" t="str">
            <v>13001_3</v>
          </cell>
        </row>
        <row r="278">
          <cell r="A278" t="str">
            <v>13001_4</v>
          </cell>
        </row>
        <row r="279">
          <cell r="A279" t="str">
            <v>13001_5</v>
          </cell>
        </row>
        <row r="280">
          <cell r="A280" t="str">
            <v>13001_6</v>
          </cell>
        </row>
        <row r="281">
          <cell r="A281" t="str">
            <v>13001_7</v>
          </cell>
        </row>
        <row r="282">
          <cell r="A282" t="str">
            <v>13001_8</v>
          </cell>
        </row>
        <row r="283">
          <cell r="A283" t="str">
            <v>13001_9</v>
          </cell>
        </row>
        <row r="284">
          <cell r="A284" t="str">
            <v>13001_10</v>
          </cell>
        </row>
        <row r="285">
          <cell r="A285" t="str">
            <v>13001_11</v>
          </cell>
        </row>
        <row r="286">
          <cell r="A286" t="str">
            <v>13001_12</v>
          </cell>
        </row>
        <row r="287">
          <cell r="A287" t="str">
            <v>13001_13</v>
          </cell>
        </row>
        <row r="288">
          <cell r="A288" t="str">
            <v>13001_14</v>
          </cell>
        </row>
        <row r="289">
          <cell r="A289" t="str">
            <v>13001_15</v>
          </cell>
        </row>
        <row r="290">
          <cell r="A290" t="str">
            <v>13001_16</v>
          </cell>
        </row>
        <row r="291">
          <cell r="A291" t="str">
            <v>13001_17</v>
          </cell>
        </row>
        <row r="292">
          <cell r="A292" t="str">
            <v>13001_18</v>
          </cell>
        </row>
        <row r="293">
          <cell r="A293" t="str">
            <v>13001_19</v>
          </cell>
        </row>
        <row r="294">
          <cell r="A294" t="str">
            <v>13001_20</v>
          </cell>
        </row>
        <row r="295">
          <cell r="A295" t="str">
            <v>13001_21</v>
          </cell>
        </row>
        <row r="296">
          <cell r="A296" t="str">
            <v>13001_22</v>
          </cell>
        </row>
        <row r="297">
          <cell r="A297" t="str">
            <v>13001_23</v>
          </cell>
        </row>
        <row r="298">
          <cell r="A298" t="str">
            <v>13001_24</v>
          </cell>
        </row>
        <row r="299">
          <cell r="A299" t="str">
            <v>13001_25</v>
          </cell>
        </row>
        <row r="300">
          <cell r="A300" t="str">
            <v>14001_1</v>
          </cell>
        </row>
        <row r="301">
          <cell r="A301" t="str">
            <v>14001_2</v>
          </cell>
        </row>
        <row r="302">
          <cell r="A302" t="str">
            <v>14001_3</v>
          </cell>
        </row>
        <row r="303">
          <cell r="A303" t="str">
            <v>14001_4</v>
          </cell>
        </row>
        <row r="304">
          <cell r="A304" t="str">
            <v>14002_1</v>
          </cell>
        </row>
        <row r="305">
          <cell r="A305" t="str">
            <v>14003_1</v>
          </cell>
        </row>
        <row r="306">
          <cell r="A306" t="str">
            <v>14004_1</v>
          </cell>
        </row>
        <row r="307">
          <cell r="A307" t="str">
            <v>14004_2</v>
          </cell>
        </row>
        <row r="308">
          <cell r="A308" t="str">
            <v>14004_3</v>
          </cell>
        </row>
        <row r="309">
          <cell r="A309" t="str">
            <v>14004_4</v>
          </cell>
        </row>
        <row r="310">
          <cell r="A310" t="str">
            <v>14005_1</v>
          </cell>
        </row>
        <row r="311">
          <cell r="A311" t="str">
            <v>14006_1</v>
          </cell>
        </row>
        <row r="312">
          <cell r="A312" t="str">
            <v>15027_1</v>
          </cell>
        </row>
        <row r="313">
          <cell r="A313" t="str">
            <v>15027_2</v>
          </cell>
        </row>
        <row r="314">
          <cell r="A314" t="str">
            <v>15027_3</v>
          </cell>
        </row>
        <row r="315">
          <cell r="A315" t="str">
            <v>15027_4</v>
          </cell>
        </row>
        <row r="316">
          <cell r="A316" t="str">
            <v>15028_1</v>
          </cell>
        </row>
        <row r="317">
          <cell r="A317" t="str">
            <v>15028_2</v>
          </cell>
        </row>
        <row r="318">
          <cell r="A318" t="str">
            <v>15028_3</v>
          </cell>
        </row>
        <row r="319">
          <cell r="A319" t="str">
            <v>15028_4</v>
          </cell>
        </row>
        <row r="320">
          <cell r="A320" t="str">
            <v>15029_1</v>
          </cell>
        </row>
        <row r="321">
          <cell r="A321" t="str">
            <v>15029_2</v>
          </cell>
        </row>
        <row r="322">
          <cell r="A322" t="str">
            <v>15029_3</v>
          </cell>
        </row>
        <row r="323">
          <cell r="A323" t="str">
            <v>15029_4</v>
          </cell>
        </row>
        <row r="324">
          <cell r="A324" t="str">
            <v>15030_1</v>
          </cell>
        </row>
        <row r="325">
          <cell r="A325" t="str">
            <v>15030_2</v>
          </cell>
        </row>
        <row r="326">
          <cell r="A326" t="str">
            <v>15030_3</v>
          </cell>
        </row>
        <row r="327">
          <cell r="A327" t="str">
            <v>15030_4</v>
          </cell>
        </row>
        <row r="328">
          <cell r="A328" t="str">
            <v>15031_1</v>
          </cell>
        </row>
        <row r="329">
          <cell r="A329" t="str">
            <v>15031_2</v>
          </cell>
        </row>
        <row r="330">
          <cell r="A330" t="str">
            <v>15031_3</v>
          </cell>
        </row>
        <row r="331">
          <cell r="A331" t="str">
            <v>15031_4</v>
          </cell>
        </row>
        <row r="332">
          <cell r="A332" t="str">
            <v>20001_1</v>
          </cell>
        </row>
        <row r="333">
          <cell r="A333" t="str">
            <v>20001_2</v>
          </cell>
        </row>
        <row r="334">
          <cell r="A334" t="str">
            <v>20001_3</v>
          </cell>
        </row>
        <row r="335">
          <cell r="A335" t="str">
            <v>20002_1</v>
          </cell>
        </row>
        <row r="336">
          <cell r="A336" t="str">
            <v>20002_2</v>
          </cell>
        </row>
        <row r="337">
          <cell r="A337" t="str">
            <v>20002_3</v>
          </cell>
        </row>
        <row r="338">
          <cell r="A338" t="str">
            <v>20003_1</v>
          </cell>
        </row>
        <row r="339">
          <cell r="A339" t="str">
            <v>20003_2</v>
          </cell>
        </row>
        <row r="340">
          <cell r="A340" t="str">
            <v>20003_3</v>
          </cell>
        </row>
        <row r="341">
          <cell r="A341" t="str">
            <v>20004_1</v>
          </cell>
        </row>
        <row r="342">
          <cell r="A342" t="str">
            <v>20004_2</v>
          </cell>
        </row>
        <row r="343">
          <cell r="A343" t="str">
            <v>20004_3</v>
          </cell>
        </row>
        <row r="344">
          <cell r="A344" t="str">
            <v>20005_1</v>
          </cell>
        </row>
        <row r="345">
          <cell r="A345" t="str">
            <v>20005_2</v>
          </cell>
        </row>
        <row r="346">
          <cell r="A346" t="str">
            <v>20005_3</v>
          </cell>
        </row>
        <row r="347">
          <cell r="A347" t="str">
            <v>20006_1</v>
          </cell>
        </row>
        <row r="348">
          <cell r="A348" t="str">
            <v>20006_2</v>
          </cell>
        </row>
        <row r="349">
          <cell r="A349" t="str">
            <v>20006_3</v>
          </cell>
        </row>
        <row r="350">
          <cell r="A350" t="str">
            <v>20007_1</v>
          </cell>
        </row>
        <row r="351">
          <cell r="A351" t="str">
            <v>20007_2</v>
          </cell>
        </row>
        <row r="352">
          <cell r="A352" t="str">
            <v>20007_3</v>
          </cell>
        </row>
        <row r="353">
          <cell r="A353" t="str">
            <v>20008_1</v>
          </cell>
        </row>
        <row r="354">
          <cell r="A354" t="str">
            <v>20008_2</v>
          </cell>
        </row>
        <row r="355">
          <cell r="A355" t="str">
            <v>20008_3</v>
          </cell>
        </row>
        <row r="356">
          <cell r="A356" t="str">
            <v>20009_1</v>
          </cell>
        </row>
        <row r="357">
          <cell r="A357" t="str">
            <v>20009_2</v>
          </cell>
        </row>
        <row r="358">
          <cell r="A358" t="str">
            <v>20009_3</v>
          </cell>
        </row>
        <row r="359">
          <cell r="A359" t="str">
            <v>20010_1</v>
          </cell>
        </row>
        <row r="360">
          <cell r="A360" t="str">
            <v>20010_2</v>
          </cell>
        </row>
        <row r="361">
          <cell r="A361" t="str">
            <v>20010_3</v>
          </cell>
        </row>
        <row r="362">
          <cell r="A362" t="str">
            <v>20011_1</v>
          </cell>
        </row>
        <row r="363">
          <cell r="A363" t="str">
            <v>20011_2</v>
          </cell>
        </row>
        <row r="364">
          <cell r="A364" t="str">
            <v>20011_3</v>
          </cell>
        </row>
        <row r="365">
          <cell r="A365" t="str">
            <v>20012_1</v>
          </cell>
        </row>
        <row r="366">
          <cell r="A366" t="str">
            <v>20012_2</v>
          </cell>
        </row>
        <row r="367">
          <cell r="A367" t="str">
            <v>20012_3</v>
          </cell>
        </row>
        <row r="368">
          <cell r="A368" t="str">
            <v>30001_1</v>
          </cell>
        </row>
        <row r="369">
          <cell r="A369" t="str">
            <v>30001_2</v>
          </cell>
        </row>
        <row r="370">
          <cell r="A370" t="str">
            <v>30001_3</v>
          </cell>
        </row>
        <row r="371">
          <cell r="A371" t="str">
            <v>30002_1</v>
          </cell>
        </row>
        <row r="372">
          <cell r="A372" t="str">
            <v>30002_2</v>
          </cell>
        </row>
        <row r="373">
          <cell r="A373" t="str">
            <v>30002_3</v>
          </cell>
        </row>
        <row r="374">
          <cell r="A374" t="str">
            <v>30003_1</v>
          </cell>
        </row>
        <row r="375">
          <cell r="A375" t="str">
            <v>30003_2</v>
          </cell>
        </row>
        <row r="376">
          <cell r="A376" t="str">
            <v>30003_3</v>
          </cell>
        </row>
        <row r="377">
          <cell r="A377" t="str">
            <v>30004_1</v>
          </cell>
        </row>
        <row r="378">
          <cell r="A378" t="str">
            <v>30004_2</v>
          </cell>
        </row>
        <row r="379">
          <cell r="A379" t="str">
            <v>30004_3</v>
          </cell>
        </row>
        <row r="380">
          <cell r="A380" t="str">
            <v>30005_1</v>
          </cell>
        </row>
        <row r="381">
          <cell r="A381" t="str">
            <v>30005_2</v>
          </cell>
        </row>
        <row r="382">
          <cell r="A382" t="str">
            <v>30005_3</v>
          </cell>
        </row>
        <row r="383">
          <cell r="A383" t="str">
            <v>30006_1</v>
          </cell>
        </row>
        <row r="384">
          <cell r="A384" t="str">
            <v>30006_2</v>
          </cell>
        </row>
        <row r="385">
          <cell r="A385" t="str">
            <v>30006_3</v>
          </cell>
        </row>
        <row r="386">
          <cell r="A386" t="str">
            <v>30007_1</v>
          </cell>
        </row>
        <row r="387">
          <cell r="A387" t="str">
            <v>30007_2</v>
          </cell>
        </row>
        <row r="388">
          <cell r="A388" t="str">
            <v>30007_3</v>
          </cell>
        </row>
        <row r="389">
          <cell r="A389" t="str">
            <v>30008_1</v>
          </cell>
        </row>
        <row r="390">
          <cell r="A390" t="str">
            <v>30008_2</v>
          </cell>
        </row>
        <row r="391">
          <cell r="A391" t="str">
            <v>30008_3</v>
          </cell>
        </row>
        <row r="392">
          <cell r="A392" t="str">
            <v>30009_3</v>
          </cell>
        </row>
        <row r="393">
          <cell r="A393" t="str">
            <v>30009_1</v>
          </cell>
        </row>
        <row r="394">
          <cell r="A394" t="str">
            <v>30009_2</v>
          </cell>
        </row>
        <row r="395">
          <cell r="A395" t="str">
            <v>30010_1</v>
          </cell>
        </row>
        <row r="396">
          <cell r="A396" t="str">
            <v>30010_2</v>
          </cell>
        </row>
        <row r="397">
          <cell r="A397" t="str">
            <v>30010_3</v>
          </cell>
        </row>
        <row r="398">
          <cell r="A398" t="str">
            <v>30011_1</v>
          </cell>
        </row>
        <row r="399">
          <cell r="A399" t="str">
            <v>30011_2</v>
          </cell>
        </row>
        <row r="400">
          <cell r="A400" t="str">
            <v>30011_3</v>
          </cell>
        </row>
        <row r="401">
          <cell r="A401" t="str">
            <v>30012_1</v>
          </cell>
        </row>
        <row r="402">
          <cell r="A402" t="str">
            <v>30012_2</v>
          </cell>
        </row>
        <row r="403">
          <cell r="A403" t="str">
            <v>30012_3</v>
          </cell>
        </row>
        <row r="404">
          <cell r="A404" t="str">
            <v>30013_1</v>
          </cell>
        </row>
        <row r="405">
          <cell r="A405" t="str">
            <v>30013_2</v>
          </cell>
        </row>
        <row r="406">
          <cell r="A406" t="str">
            <v>30014_1</v>
          </cell>
        </row>
        <row r="407">
          <cell r="A407" t="str">
            <v>30014_2</v>
          </cell>
        </row>
        <row r="408">
          <cell r="A408" t="str">
            <v>30015_1</v>
          </cell>
        </row>
        <row r="409">
          <cell r="A409" t="str">
            <v>30015_2</v>
          </cell>
        </row>
        <row r="410">
          <cell r="A410" t="str">
            <v>30016_1</v>
          </cell>
        </row>
        <row r="411">
          <cell r="A411" t="str">
            <v>30016_2</v>
          </cell>
        </row>
        <row r="412">
          <cell r="A412" t="str">
            <v>30017_1</v>
          </cell>
        </row>
        <row r="413">
          <cell r="A413" t="str">
            <v>30017_2</v>
          </cell>
        </row>
        <row r="414">
          <cell r="A414" t="str">
            <v>30018_1</v>
          </cell>
        </row>
        <row r="415">
          <cell r="A415" t="str">
            <v>30018_2</v>
          </cell>
        </row>
        <row r="416">
          <cell r="A416" t="str">
            <v>30019_1</v>
          </cell>
        </row>
        <row r="417">
          <cell r="A417" t="str">
            <v>30019_2</v>
          </cell>
        </row>
        <row r="418">
          <cell r="A418" t="str">
            <v>30020_1</v>
          </cell>
        </row>
        <row r="419">
          <cell r="A419" t="str">
            <v>30020_2</v>
          </cell>
        </row>
        <row r="420">
          <cell r="A420" t="str">
            <v>30021_1</v>
          </cell>
        </row>
        <row r="421">
          <cell r="A421" t="str">
            <v>30021_2</v>
          </cell>
        </row>
        <row r="422">
          <cell r="A422" t="str">
            <v>30021_3</v>
          </cell>
        </row>
        <row r="423">
          <cell r="A423" t="str">
            <v>30022_1</v>
          </cell>
        </row>
        <row r="424">
          <cell r="A424" t="str">
            <v>30022_2</v>
          </cell>
        </row>
        <row r="425">
          <cell r="A425" t="str">
            <v>30023_1</v>
          </cell>
        </row>
        <row r="426">
          <cell r="A426" t="str">
            <v>30023_2</v>
          </cell>
        </row>
        <row r="427">
          <cell r="A427" t="str">
            <v>30023_3</v>
          </cell>
        </row>
        <row r="428">
          <cell r="A428" t="str">
            <v>30024_1</v>
          </cell>
        </row>
        <row r="429">
          <cell r="A429" t="str">
            <v>30024_2</v>
          </cell>
        </row>
        <row r="430">
          <cell r="A430" t="str">
            <v>30024_3</v>
          </cell>
        </row>
        <row r="431">
          <cell r="A431" t="str">
            <v>30025_1</v>
          </cell>
        </row>
        <row r="432">
          <cell r="A432" t="str">
            <v>30025_2</v>
          </cell>
        </row>
        <row r="433">
          <cell r="A433" t="str">
            <v>30025_3</v>
          </cell>
        </row>
        <row r="434">
          <cell r="A434" t="str">
            <v>30026_1</v>
          </cell>
        </row>
        <row r="435">
          <cell r="A435" t="str">
            <v>30026_2</v>
          </cell>
        </row>
        <row r="436">
          <cell r="A436" t="str">
            <v>30026_3</v>
          </cell>
        </row>
        <row r="437">
          <cell r="A437" t="str">
            <v>30027_1</v>
          </cell>
        </row>
        <row r="438">
          <cell r="A438" t="str">
            <v>30027_2</v>
          </cell>
        </row>
        <row r="439">
          <cell r="A439" t="str">
            <v>30027_3</v>
          </cell>
        </row>
        <row r="440">
          <cell r="A440" t="str">
            <v>30028_1</v>
          </cell>
        </row>
        <row r="441">
          <cell r="A441" t="str">
            <v>30028_2</v>
          </cell>
        </row>
        <row r="442">
          <cell r="A442" t="str">
            <v>30028_3</v>
          </cell>
        </row>
        <row r="443">
          <cell r="A443" t="str">
            <v>30029_1</v>
          </cell>
        </row>
        <row r="444">
          <cell r="A444" t="str">
            <v>30029_2</v>
          </cell>
        </row>
        <row r="445">
          <cell r="A445" t="str">
            <v>30029_3</v>
          </cell>
        </row>
        <row r="446">
          <cell r="A446" t="str">
            <v>30030_1</v>
          </cell>
        </row>
        <row r="447">
          <cell r="A447" t="str">
            <v>30030_2</v>
          </cell>
        </row>
        <row r="448">
          <cell r="A448" t="str">
            <v>30030_3</v>
          </cell>
        </row>
        <row r="449">
          <cell r="A449" t="str">
            <v>30031_1</v>
          </cell>
        </row>
        <row r="450">
          <cell r="A450" t="str">
            <v>30031_2</v>
          </cell>
        </row>
        <row r="451">
          <cell r="A451" t="str">
            <v>30031_3</v>
          </cell>
        </row>
        <row r="452">
          <cell r="A452" t="str">
            <v>30032_1</v>
          </cell>
        </row>
        <row r="453">
          <cell r="A453" t="str">
            <v>30032_2</v>
          </cell>
        </row>
        <row r="454">
          <cell r="A454" t="str">
            <v>30032_3</v>
          </cell>
        </row>
        <row r="455">
          <cell r="A455" t="str">
            <v>39001_1</v>
          </cell>
        </row>
        <row r="456">
          <cell r="A456" t="str">
            <v>39001_2</v>
          </cell>
        </row>
        <row r="457">
          <cell r="A457" t="str">
            <v>39001_3</v>
          </cell>
        </row>
        <row r="458">
          <cell r="A458" t="str">
            <v>39001_4</v>
          </cell>
        </row>
        <row r="459">
          <cell r="A459" t="str">
            <v>39001_5</v>
          </cell>
        </row>
        <row r="460">
          <cell r="A460" t="str">
            <v>39002_1</v>
          </cell>
        </row>
        <row r="461">
          <cell r="A461" t="str">
            <v>39002_2</v>
          </cell>
        </row>
        <row r="462">
          <cell r="A462" t="str">
            <v>39002_3</v>
          </cell>
        </row>
        <row r="463">
          <cell r="A463" t="str">
            <v>39002_4</v>
          </cell>
        </row>
        <row r="464">
          <cell r="A464" t="str">
            <v>39003_1</v>
          </cell>
        </row>
        <row r="465">
          <cell r="A465" t="str">
            <v>39003_2</v>
          </cell>
        </row>
        <row r="466">
          <cell r="A466" t="str">
            <v>39003_3</v>
          </cell>
        </row>
        <row r="467">
          <cell r="A467" t="str">
            <v>39003_4</v>
          </cell>
        </row>
        <row r="468">
          <cell r="A468" t="str">
            <v>40001_1</v>
          </cell>
        </row>
        <row r="469">
          <cell r="A469" t="str">
            <v>40002_1</v>
          </cell>
        </row>
        <row r="470">
          <cell r="A470" t="str">
            <v>40002_2</v>
          </cell>
        </row>
        <row r="471">
          <cell r="A471" t="str">
            <v>40002_3</v>
          </cell>
        </row>
        <row r="472">
          <cell r="A472" t="str">
            <v>40003_1</v>
          </cell>
        </row>
        <row r="473">
          <cell r="A473" t="str">
            <v>40004_1</v>
          </cell>
        </row>
        <row r="474">
          <cell r="A474" t="str">
            <v>40005_1</v>
          </cell>
        </row>
        <row r="475">
          <cell r="A475" t="str">
            <v>40006_1</v>
          </cell>
        </row>
        <row r="476">
          <cell r="A476" t="str">
            <v>40007_1</v>
          </cell>
        </row>
        <row r="477">
          <cell r="A477" t="str">
            <v>40008_1</v>
          </cell>
        </row>
        <row r="478">
          <cell r="A478" t="str">
            <v>40009_1</v>
          </cell>
        </row>
        <row r="479">
          <cell r="A479" t="str">
            <v>40010_1</v>
          </cell>
        </row>
        <row r="480">
          <cell r="A480" t="str">
            <v>40011_1</v>
          </cell>
        </row>
        <row r="481">
          <cell r="A481" t="str">
            <v>40012_1</v>
          </cell>
        </row>
        <row r="482">
          <cell r="A482" t="str">
            <v>40013_1</v>
          </cell>
        </row>
        <row r="483">
          <cell r="A483" t="str">
            <v>40014_1</v>
          </cell>
        </row>
        <row r="484">
          <cell r="A484" t="str">
            <v>40015_1</v>
          </cell>
        </row>
        <row r="485">
          <cell r="A485" t="str">
            <v>49001_1</v>
          </cell>
        </row>
        <row r="486">
          <cell r="A486" t="str">
            <v>49002_1</v>
          </cell>
        </row>
        <row r="487">
          <cell r="A487" t="str">
            <v>49003_1</v>
          </cell>
        </row>
        <row r="488">
          <cell r="A488" t="str">
            <v>50001_1</v>
          </cell>
        </row>
        <row r="489">
          <cell r="A489" t="str">
            <v>50002_1</v>
          </cell>
        </row>
        <row r="490">
          <cell r="A490" t="str">
            <v>60001_1</v>
          </cell>
        </row>
        <row r="491">
          <cell r="A491" t="str">
            <v>60002_1</v>
          </cell>
        </row>
        <row r="492">
          <cell r="A492" t="str">
            <v>60002_2</v>
          </cell>
        </row>
        <row r="493">
          <cell r="A493" t="str">
            <v>60003_1</v>
          </cell>
        </row>
        <row r="494">
          <cell r="A494" t="str">
            <v>60003_2</v>
          </cell>
        </row>
        <row r="495">
          <cell r="A495" t="str">
            <v>60003_3</v>
          </cell>
        </row>
        <row r="496">
          <cell r="A496" t="str">
            <v>60004_1</v>
          </cell>
        </row>
        <row r="497">
          <cell r="A497" t="str">
            <v>65535_1</v>
          </cell>
        </row>
        <row r="498">
          <cell r="A498" t="str">
            <v>65535_2</v>
          </cell>
        </row>
        <row r="499">
          <cell r="A499" t="str">
            <v>65535_3</v>
          </cell>
        </row>
        <row r="500">
          <cell r="A500" t="str">
            <v>60021_3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A5" sqref="A5"/>
    </sheetView>
  </sheetViews>
  <sheetFormatPr baseColWidth="12" defaultRowHeight="18" x14ac:dyDescent="0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208</v>
      </c>
      <c r="B2" s="57" t="s">
        <v>106</v>
      </c>
      <c r="C2" s="63" t="s">
        <v>207</v>
      </c>
      <c r="D2" s="57" t="s">
        <v>107</v>
      </c>
      <c r="E2" s="56" t="str">
        <f>B2&amp;C2&amp;D2</f>
        <v>floors_g2016.tmp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208</v>
      </c>
      <c r="B3" s="57" t="s">
        <v>109</v>
      </c>
      <c r="C3" s="63" t="str">
        <f>C$2</f>
        <v>g2016</v>
      </c>
      <c r="D3" s="57" t="s">
        <v>107</v>
      </c>
      <c r="E3" s="56" t="str">
        <f>B3&amp;C3&amp;D3</f>
        <v>enemy_habitats_g2016.tmp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208</v>
      </c>
      <c r="B4" s="57" t="s">
        <v>111</v>
      </c>
      <c r="C4" s="63" t="str">
        <f t="shared" ref="C4:C11" si="0">C$2</f>
        <v>g2016</v>
      </c>
      <c r="D4" s="57" t="s">
        <v>107</v>
      </c>
      <c r="E4" s="56" t="str">
        <f>B4&amp;C4&amp;D4</f>
        <v>enemy_habitat_S_g2016.tmp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208</v>
      </c>
      <c r="B5" s="57" t="s">
        <v>113</v>
      </c>
      <c r="C5" s="63" t="str">
        <f t="shared" si="0"/>
        <v>g2016</v>
      </c>
      <c r="D5" s="57" t="s">
        <v>107</v>
      </c>
      <c r="E5" s="56" t="str">
        <f>B5&amp;C5&amp;D5</f>
        <v>enemy_skill_sets_g2016.tmp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208</v>
      </c>
      <c r="B6" s="57" t="s">
        <v>115</v>
      </c>
      <c r="C6" s="63" t="str">
        <f t="shared" si="0"/>
        <v>g2016</v>
      </c>
      <c r="D6" s="57" t="s">
        <v>116</v>
      </c>
      <c r="E6" s="56" t="str">
        <f t="shared" ref="E6:E10" si="1">B6&amp;C6&amp;D6</f>
        <v>enemy_skills_tmp_g2016.tmp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208</v>
      </c>
      <c r="B7" s="57" t="s">
        <v>117</v>
      </c>
      <c r="C7" s="63" t="str">
        <f t="shared" si="0"/>
        <v>g2016</v>
      </c>
      <c r="D7" s="57" t="s">
        <v>107</v>
      </c>
      <c r="E7" s="56" t="str">
        <f>B7&amp;C7&amp;D7</f>
        <v>enemy_skills_i18n_g2016.tmp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208</v>
      </c>
      <c r="B8" s="57" t="s">
        <v>119</v>
      </c>
      <c r="C8" s="63" t="str">
        <f t="shared" si="0"/>
        <v>g2016</v>
      </c>
      <c r="D8" s="57" t="s">
        <v>120</v>
      </c>
      <c r="E8" s="56" t="str">
        <f t="shared" si="1"/>
        <v>enemy_skill_triggers_g2016.tmp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188</v>
      </c>
      <c r="B9" s="68" t="s">
        <v>178</v>
      </c>
      <c r="C9" s="63" t="str">
        <f t="shared" si="0"/>
        <v>g2016</v>
      </c>
      <c r="D9" s="68" t="s">
        <v>172</v>
      </c>
      <c r="E9" s="69" t="str">
        <f t="shared" si="1"/>
        <v>stage_bug_bonuses_g2016.tmp</v>
      </c>
      <c r="F9" s="68" t="s">
        <v>173</v>
      </c>
      <c r="G9" s="65" t="s">
        <v>150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</row>
    <row r="10" spans="1:30" s="76" customFormat="1">
      <c r="A10" s="61" t="s">
        <v>208</v>
      </c>
      <c r="B10" s="68" t="s">
        <v>199</v>
      </c>
      <c r="C10" s="63" t="str">
        <f>C$2</f>
        <v>g2016</v>
      </c>
      <c r="D10" s="68" t="s">
        <v>181</v>
      </c>
      <c r="E10" s="69" t="str">
        <f t="shared" si="1"/>
        <v>stage_hints_data_c_g2016.tmp</v>
      </c>
      <c r="F10" s="68" t="s">
        <v>234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</row>
    <row r="11" spans="1:30" s="76" customFormat="1">
      <c r="A11" s="68" t="s">
        <v>233</v>
      </c>
      <c r="B11" s="68" t="s">
        <v>200</v>
      </c>
      <c r="C11" s="63" t="str">
        <f t="shared" si="0"/>
        <v>g2016</v>
      </c>
      <c r="D11" s="68" t="s">
        <v>172</v>
      </c>
      <c r="E11" s="69" t="str">
        <f t="shared" ref="E11" si="2">B11&amp;C11&amp;D11</f>
        <v>stage_hints_i18n_g2016.tmp</v>
      </c>
      <c r="F11" s="68" t="s">
        <v>234</v>
      </c>
      <c r="G11" s="75" t="s">
        <v>201</v>
      </c>
      <c r="H11" s="86" t="s">
        <v>202</v>
      </c>
      <c r="I11" s="74" t="s">
        <v>203</v>
      </c>
      <c r="J11" s="91" t="s">
        <v>204</v>
      </c>
      <c r="K11" s="67" t="s">
        <v>205</v>
      </c>
    </row>
  </sheetData>
  <phoneticPr fontId="5"/>
  <dataValidations count="1">
    <dataValidation type="list" allowBlank="1" showInputMessage="1" showErrorMessage="1" sqref="A2:A10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K5" sqref="K5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7.1640625" style="3" bestFit="1" customWidth="1" outlineLevel="1"/>
    <col min="5" max="5" width="15.5" style="3" bestFit="1" customWidth="1" outlineLevel="1"/>
    <col min="6" max="6" width="7" style="3" bestFit="1" customWidth="1"/>
    <col min="7" max="7" width="8.83203125" style="19" customWidth="1" outlineLevel="1"/>
    <col min="8" max="8" width="22" style="3" bestFit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 t="shared" ref="A2:A7" si="0">G2&amp;"-"&amp;I2</f>
        <v>11221_1-1</v>
      </c>
      <c r="B2" s="16" t="str">
        <f>IF(COUNTIF(enemy_habitats!$H:$H,A2),"OK","NG")</f>
        <v>OK</v>
      </c>
      <c r="C2" s="7">
        <v>11221</v>
      </c>
      <c r="D2" s="11" t="str">
        <f ca="1">VLOOKUP($C2,OFFSET([2]quests!$A$1,0,0,COUNTA([2]quests!$A:$A),MATCH(D$1,[2]quests!$1:$1,0)-MATCH($C$1,[2]quests!$1:$1,0)+1),MATCH(D$1,[2]quests!$1:$1,0)-MATCH($C$1,[2]quests!$1:$1,0)+1,FALSE)</f>
        <v>新生活★応援クエスト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2016年卒業クエスト</v>
      </c>
      <c r="F2" s="21">
        <v>1</v>
      </c>
      <c r="G2" s="23" t="str">
        <f t="shared" ref="G2:G7" si="1">C2&amp;"_"&amp;F2</f>
        <v>11221_1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【ストーリー】桜舞い散る樹の下で</v>
      </c>
      <c r="I2" s="21">
        <v>1</v>
      </c>
      <c r="J2" s="12">
        <v>15</v>
      </c>
      <c r="K2" s="12">
        <v>15</v>
      </c>
    </row>
    <row r="3" spans="1:11" ht="21" customHeight="1">
      <c r="A3" s="16" t="str">
        <f t="shared" si="0"/>
        <v>11221_1-2</v>
      </c>
      <c r="B3" s="16" t="str">
        <f>IF(COUNTIF(enemy_habitats!$H:$H,A3),"OK","NG")</f>
        <v>OK</v>
      </c>
      <c r="C3" s="7">
        <v>11221</v>
      </c>
      <c r="D3" s="11" t="str">
        <f ca="1">VLOOKUP($C3,OFFSET([2]quests!$A$1,0,0,COUNTA([2]quests!$A:$A),MATCH(D$1,[2]quests!$1:$1,0)-MATCH($C$1,[2]quests!$1:$1,0)+1),MATCH(D$1,[2]quests!$1:$1,0)-MATCH($C$1,[2]quests!$1:$1,0)+1,FALSE)</f>
        <v>新生活★応援クエスト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2016年卒業クエスト</v>
      </c>
      <c r="F3" s="21">
        <v>1</v>
      </c>
      <c r="G3" s="23" t="str">
        <f t="shared" si="1"/>
        <v>11221_1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【ストーリー】桜舞い散る樹の下で</v>
      </c>
      <c r="I3" s="21">
        <v>2</v>
      </c>
      <c r="J3" s="12">
        <v>15</v>
      </c>
      <c r="K3" s="12">
        <v>15</v>
      </c>
    </row>
    <row r="4" spans="1:11" ht="21" customHeight="1">
      <c r="A4" s="16" t="str">
        <f t="shared" si="0"/>
        <v>11221_1-3</v>
      </c>
      <c r="B4" s="16" t="str">
        <f>IF(COUNTIF(enemy_habitats!$H:$H,A4),"OK","NG")</f>
        <v>OK</v>
      </c>
      <c r="C4" s="7">
        <v>11221</v>
      </c>
      <c r="D4" s="11" t="str">
        <f ca="1">VLOOKUP($C4,OFFSET([2]quests!$A$1,0,0,COUNTA([2]quests!$A:$A),MATCH(D$1,[2]quests!$1:$1,0)-MATCH($C$1,[2]quests!$1:$1,0)+1),MATCH(D$1,[2]quests!$1:$1,0)-MATCH($C$1,[2]quests!$1:$1,0)+1,FALSE)</f>
        <v>新生活★応援クエスト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2016年卒業クエスト</v>
      </c>
      <c r="F4" s="21">
        <v>1</v>
      </c>
      <c r="G4" s="23" t="str">
        <f t="shared" si="1"/>
        <v>11221_1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【ストーリー】桜舞い散る樹の下で</v>
      </c>
      <c r="I4" s="21">
        <v>3</v>
      </c>
      <c r="J4" s="12">
        <v>40</v>
      </c>
      <c r="K4" s="12">
        <v>40</v>
      </c>
    </row>
    <row r="5" spans="1:11" ht="21" customHeight="1">
      <c r="A5" s="16" t="str">
        <f t="shared" si="0"/>
        <v>11221_1-4</v>
      </c>
      <c r="B5" s="16" t="str">
        <f>IF(COUNTIF(enemy_habitats!$H:$H,A5),"OK","NG")</f>
        <v>OK</v>
      </c>
      <c r="C5" s="7">
        <v>11221</v>
      </c>
      <c r="D5" s="11" t="str">
        <f ca="1">VLOOKUP($C5,OFFSET([2]quests!$A$1,0,0,COUNTA([2]quests!$A:$A),MATCH(D$1,[2]quests!$1:$1,0)-MATCH($C$1,[2]quests!$1:$1,0)+1),MATCH(D$1,[2]quests!$1:$1,0)-MATCH($C$1,[2]quests!$1:$1,0)+1,FALSE)</f>
        <v>新生活★応援クエスト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2016年卒業クエスト</v>
      </c>
      <c r="F5" s="21">
        <v>1</v>
      </c>
      <c r="G5" s="23" t="str">
        <f t="shared" si="1"/>
        <v>11221_1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【ストーリー】桜舞い散る樹の下で</v>
      </c>
      <c r="I5" s="21">
        <v>4</v>
      </c>
      <c r="J5" s="12">
        <v>15</v>
      </c>
      <c r="K5" s="12">
        <v>15</v>
      </c>
    </row>
    <row r="6" spans="1:11" ht="21" customHeight="1">
      <c r="A6" s="16" t="str">
        <f t="shared" si="0"/>
        <v>11221_1-5</v>
      </c>
      <c r="B6" s="16" t="str">
        <f>IF(COUNTIF(enemy_habitats!$H:$H,A6),"OK","NG")</f>
        <v>OK</v>
      </c>
      <c r="C6" s="7">
        <v>11221</v>
      </c>
      <c r="D6" s="11" t="str">
        <f ca="1">VLOOKUP($C6,OFFSET([2]quests!$A$1,0,0,COUNTA([2]quests!$A:$A),MATCH(D$1,[2]quests!$1:$1,0)-MATCH($C$1,[2]quests!$1:$1,0)+1),MATCH(D$1,[2]quests!$1:$1,0)-MATCH($C$1,[2]quests!$1:$1,0)+1,FALSE)</f>
        <v>新生活★応援クエスト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2016年卒業クエスト</v>
      </c>
      <c r="F6" s="21">
        <v>1</v>
      </c>
      <c r="G6" s="23" t="str">
        <f t="shared" si="1"/>
        <v>11221_1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【ストーリー】桜舞い散る樹の下で</v>
      </c>
      <c r="I6" s="21">
        <v>5</v>
      </c>
      <c r="J6" s="12">
        <v>15</v>
      </c>
      <c r="K6" s="12">
        <v>15</v>
      </c>
    </row>
    <row r="7" spans="1:11" ht="21" customHeight="1">
      <c r="A7" s="16" t="str">
        <f t="shared" si="0"/>
        <v>11221_1-6</v>
      </c>
      <c r="B7" s="16" t="str">
        <f>IF(COUNTIF(enemy_habitats!$H:$H,A7),"OK","NG")</f>
        <v>OK</v>
      </c>
      <c r="C7" s="7">
        <v>11221</v>
      </c>
      <c r="D7" s="11" t="str">
        <f ca="1">VLOOKUP($C7,OFFSET([2]quests!$A$1,0,0,COUNTA([2]quests!$A:$A),MATCH(D$1,[2]quests!$1:$1,0)-MATCH($C$1,[2]quests!$1:$1,0)+1),MATCH(D$1,[2]quests!$1:$1,0)-MATCH($C$1,[2]quests!$1:$1,0)+1,FALSE)</f>
        <v>新生活★応援クエスト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2016年卒業クエスト</v>
      </c>
      <c r="F7" s="21">
        <v>1</v>
      </c>
      <c r="G7" s="23" t="str">
        <f t="shared" si="1"/>
        <v>11221_1</v>
      </c>
      <c r="H7" s="15" t="str">
        <f ca="1">VLOOKUP($G7,OFFSET([2]stages!$A$1,0,0,COUNTA([2]stages!$A:$A),MATCH(H$1,[2]stages!$2:$2,0)-MATCH($G$1,[2]stages!$2:$2,0)+1),MATCH(H$1,[2]stages!$2:$2,0)-MATCH($G$1,[2]stages!$2:$2,0)+1,FALSE)</f>
        <v>【ストーリー】桜舞い散る樹の下で</v>
      </c>
      <c r="I7" s="21">
        <v>6</v>
      </c>
      <c r="J7" s="12">
        <v>15</v>
      </c>
      <c r="K7" s="12">
        <v>15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3" sqref="L3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3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str">
        <f t="shared" ref="A2:A15" si="0">B2&amp;"_"&amp;C2&amp;"-"&amp;G2&amp;"/"&amp;L2&amp;"&lt;lv"&amp;R2&amp;"&gt;s"&amp;AA2</f>
        <v>11221_1-1/795&lt;lv1&gt;s1</v>
      </c>
      <c r="B2" s="22">
        <v>11221</v>
      </c>
      <c r="C2" s="21">
        <v>1</v>
      </c>
      <c r="D2" s="2" t="str">
        <f t="shared" ref="D2:D15" si="1">B2&amp;"_"&amp;C2</f>
        <v>11221_1</v>
      </c>
      <c r="E2" s="4" t="str">
        <f ca="1">VLOOKUP($B2,OFFSET([2]quests!$A$1,0,0,COUNTA([2]quests!$A:$A),MATCH(E$1,[2]quests!$1:$1,0)-MATCH($B$1,[2]quests!$1:$1,0)+1),MATCH(E$1,[2]quests!$1:$1,0)-MATCH($B$1,[2]quests!$1:$1,0)+1,FALSE)</f>
        <v>新生活★応援クエスト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【ストーリー】桜舞い散る樹の下で</v>
      </c>
      <c r="G2" s="21">
        <v>1</v>
      </c>
      <c r="H2" s="15" t="str">
        <f t="shared" ref="H2:H15" si="2">B2&amp;"_"&amp;C2&amp;"-"&amp;G2</f>
        <v>11221_1-1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795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桜花の果実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「等身大の メモリアル」</v>
      </c>
      <c r="W2" s="62">
        <v>11221110</v>
      </c>
      <c r="X2" s="6">
        <v>1</v>
      </c>
      <c r="Y2" s="6">
        <v>100</v>
      </c>
      <c r="Z2" s="6">
        <v>1</v>
      </c>
      <c r="AA2" s="93">
        <v>1</v>
      </c>
      <c r="AB2" s="24">
        <f t="shared" ref="AB2:AB14" si="3">L2</f>
        <v>795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桜花の果実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5" ca="1" si="4">AD2</f>
        <v>3</v>
      </c>
      <c r="AH2" s="8">
        <v>100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>
      <c r="A3" s="16" t="str">
        <f t="shared" si="0"/>
        <v>11221_1-2/77&lt;lv1&gt;s1</v>
      </c>
      <c r="B3" s="22">
        <v>11221</v>
      </c>
      <c r="C3" s="21">
        <v>1</v>
      </c>
      <c r="D3" s="2" t="str">
        <f t="shared" si="1"/>
        <v>11221_1</v>
      </c>
      <c r="E3" s="4" t="str">
        <f ca="1">VLOOKUP($B3,OFFSET([2]quests!$A$1,0,0,COUNTA([2]quests!$A:$A),MATCH(E$1,[2]quests!$1:$1,0)-MATCH($B$1,[2]quests!$1:$1,0)+1),MATCH(E$1,[2]quests!$1:$1,0)-MATCH($B$1,[2]quests!$1:$1,0)+1,FALSE)</f>
        <v>新生活★応援クエスト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【ストーリー】桜舞い散る樹の下で</v>
      </c>
      <c r="G3" s="21">
        <v>2</v>
      </c>
      <c r="H3" s="15" t="str">
        <f t="shared" si="2"/>
        <v>11221_1-2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 t="s">
        <v>53</v>
      </c>
      <c r="L3" s="20">
        <v>77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潜伏型メリッサ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メリッサは 懐かしんでいる</v>
      </c>
      <c r="W3" s="62">
        <v>11221120</v>
      </c>
      <c r="X3" s="6">
        <v>1</v>
      </c>
      <c r="Y3" s="6">
        <v>100</v>
      </c>
      <c r="Z3" s="6">
        <v>2</v>
      </c>
      <c r="AA3" s="93">
        <v>1</v>
      </c>
      <c r="AB3" s="24">
        <f t="shared" si="3"/>
        <v>77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潜伏型メリッサ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>
      <c r="A4" s="16" t="str">
        <f t="shared" si="0"/>
        <v>11221_1-2/79&lt;lv1&gt;s1</v>
      </c>
      <c r="B4" s="22">
        <v>11221</v>
      </c>
      <c r="C4" s="21">
        <v>1</v>
      </c>
      <c r="D4" s="2" t="str">
        <f t="shared" si="1"/>
        <v>11221_1</v>
      </c>
      <c r="E4" s="4" t="str">
        <f ca="1">VLOOKUP($B4,OFFSET([2]quests!$A$1,0,0,COUNTA([2]quests!$A:$A),MATCH(E$1,[2]quests!$1:$1,0)-MATCH($B$1,[2]quests!$1:$1,0)+1),MATCH(E$1,[2]quests!$1:$1,0)-MATCH($B$1,[2]quests!$1:$1,0)+1,FALSE)</f>
        <v>新生活★応援クエスト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【ストーリー】桜舞い散る樹の下で</v>
      </c>
      <c r="G4" s="21">
        <v>2</v>
      </c>
      <c r="H4" s="15" t="str">
        <f t="shared" si="2"/>
        <v>11221_1-2</v>
      </c>
      <c r="I4" s="4">
        <f ca="1">VLOOKUP($H4,OFFSET(floors!$A$1,0,0,COUNTA(floors!$A:$A),MATCH(I$1,floors!$1:$1,0)-MATCH($H$1,floors!$1:$1,0)+1),MATCH(I$1,floors!$1:$1,0)-MATCH($H$1,floors!$1:$1,0)+1,FALSE)</f>
        <v>15</v>
      </c>
      <c r="J4" s="4">
        <f ca="1">VLOOKUP($H4,OFFSET(floors!$A$1,0,0,COUNTA(floors!$A:$A),MATCH(J$1,floors!$1:$1,0)-MATCH($H$1,floors!$1:$1,0)+1),MATCH(J$1,floors!$1:$1,0)-MATCH($H$1,floors!$1:$1,0)+1,FALSE)</f>
        <v>15</v>
      </c>
      <c r="K4" s="38" t="s">
        <v>209</v>
      </c>
      <c r="L4" s="20">
        <v>79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ハッピー100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1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いつもどおり 幸せそうだ</v>
      </c>
      <c r="W4" s="62">
        <v>11221121</v>
      </c>
      <c r="X4" s="6">
        <v>1</v>
      </c>
      <c r="Y4" s="6">
        <v>100</v>
      </c>
      <c r="Z4" s="6">
        <v>1</v>
      </c>
      <c r="AA4" s="93">
        <v>1</v>
      </c>
      <c r="AB4" s="24">
        <f t="shared" si="3"/>
        <v>79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>
      <c r="A5" s="16" t="str">
        <f t="shared" si="0"/>
        <v>11221_1-2/81&lt;lv1&gt;s1</v>
      </c>
      <c r="B5" s="22">
        <v>11221</v>
      </c>
      <c r="C5" s="21">
        <v>1</v>
      </c>
      <c r="D5" s="2" t="str">
        <f t="shared" si="1"/>
        <v>11221_1</v>
      </c>
      <c r="E5" s="4" t="str">
        <f ca="1">VLOOKUP($B5,OFFSET([2]quests!$A$1,0,0,COUNTA([2]quests!$A:$A),MATCH(E$1,[2]quests!$1:$1,0)-MATCH($B$1,[2]quests!$1:$1,0)+1),MATCH(E$1,[2]quests!$1:$1,0)-MATCH($B$1,[2]quests!$1:$1,0)+1,FALSE)</f>
        <v>新生活★応援クエスト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【ストーリー】桜舞い散る樹の下で</v>
      </c>
      <c r="G5" s="21">
        <v>2</v>
      </c>
      <c r="H5" s="15" t="str">
        <f t="shared" si="2"/>
        <v>11221_1-2</v>
      </c>
      <c r="I5" s="4">
        <f ca="1">VLOOKUP($H5,OFFSET(floors!$A$1,0,0,COUNTA(floors!$A:$A),MATCH(I$1,floors!$1:$1,0)-MATCH($H$1,floors!$1:$1,0)+1),MATCH(I$1,floors!$1:$1,0)-MATCH($H$1,floors!$1:$1,0)+1,FALSE)</f>
        <v>15</v>
      </c>
      <c r="J5" s="4">
        <f ca="1">VLOOKUP($H5,OFFSET(floors!$A$1,0,0,COUNTA(floors!$A:$A),MATCH(J$1,floors!$1:$1,0)-MATCH($H$1,floors!$1:$1,0)+1),MATCH(J$1,floors!$1:$1,0)-MATCH($H$1,floors!$1:$1,0)+1,FALSE)</f>
        <v>15</v>
      </c>
      <c r="K5" s="38" t="s">
        <v>210</v>
      </c>
      <c r="L5" s="20">
        <v>81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増幅型モリス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モリスも しみじみつぶやいた</v>
      </c>
      <c r="W5" s="62">
        <v>11221122</v>
      </c>
      <c r="X5" s="6">
        <v>1</v>
      </c>
      <c r="Y5" s="6">
        <v>100</v>
      </c>
      <c r="Z5" s="6">
        <v>0</v>
      </c>
      <c r="AA5" s="93">
        <v>1</v>
      </c>
      <c r="AB5" s="24">
        <f t="shared" si="3"/>
        <v>81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増幅型モリス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>
      <c r="A6" s="16" t="str">
        <f t="shared" si="0"/>
        <v>11221_1-3/77&lt;lv1&gt;s1</v>
      </c>
      <c r="B6" s="22">
        <v>11221</v>
      </c>
      <c r="C6" s="21">
        <v>1</v>
      </c>
      <c r="D6" s="2" t="str">
        <f t="shared" si="1"/>
        <v>11221_1</v>
      </c>
      <c r="E6" s="4" t="str">
        <f ca="1">VLOOKUP($B6,OFFSET([2]quests!$A$1,0,0,COUNTA([2]quests!$A:$A),MATCH(E$1,[2]quests!$1:$1,0)-MATCH($B$1,[2]quests!$1:$1,0)+1),MATCH(E$1,[2]quests!$1:$1,0)-MATCH($B$1,[2]quests!$1:$1,0)+1,FALSE)</f>
        <v>新生活★応援クエスト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【ストーリー】桜舞い散る樹の下で</v>
      </c>
      <c r="G6" s="21">
        <v>3</v>
      </c>
      <c r="H6" s="15" t="str">
        <f t="shared" si="2"/>
        <v>11221_1-3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38" t="s">
        <v>209</v>
      </c>
      <c r="L6" s="20">
        <v>77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潜伏型メリッサ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1</v>
      </c>
      <c r="S6" s="25">
        <v>1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拡大感染＜ワームスクラム＞</v>
      </c>
      <c r="W6" s="62">
        <v>11221130</v>
      </c>
      <c r="X6" s="6">
        <v>1</v>
      </c>
      <c r="Y6" s="6">
        <v>100</v>
      </c>
      <c r="Z6" s="6">
        <v>2</v>
      </c>
      <c r="AA6" s="93">
        <v>1</v>
      </c>
      <c r="AB6" s="24">
        <f t="shared" si="3"/>
        <v>77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潜伏型メリッサ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>
      <c r="A7" s="16" t="str">
        <f t="shared" si="0"/>
        <v>11221_1-3/334&lt;lv1&gt;s1</v>
      </c>
      <c r="B7" s="22">
        <v>11221</v>
      </c>
      <c r="C7" s="21">
        <v>1</v>
      </c>
      <c r="D7" s="2" t="str">
        <f t="shared" si="1"/>
        <v>11221_1</v>
      </c>
      <c r="E7" s="4" t="str">
        <f ca="1">VLOOKUP($B7,OFFSET([2]quests!$A$1,0,0,COUNTA([2]quests!$A:$A),MATCH(E$1,[2]quests!$1:$1,0)-MATCH($B$1,[2]quests!$1:$1,0)+1),MATCH(E$1,[2]quests!$1:$1,0)-MATCH($B$1,[2]quests!$1:$1,0)+1,FALSE)</f>
        <v>新生活★応援クエスト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【ストーリー】桜舞い散る樹の下で</v>
      </c>
      <c r="G7" s="21">
        <v>3</v>
      </c>
      <c r="H7" s="15" t="str">
        <f t="shared" si="2"/>
        <v>11221_1-3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 t="s">
        <v>212</v>
      </c>
      <c r="L7" s="20">
        <v>334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炎のメタルダック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</v>
      </c>
      <c r="S7" s="25">
        <v>1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ダックは ウィルスに消去された！</v>
      </c>
      <c r="W7" s="47">
        <v>11221131</v>
      </c>
      <c r="X7" s="6">
        <v>0</v>
      </c>
      <c r="Y7" s="6">
        <v>100</v>
      </c>
      <c r="Z7" s="6">
        <v>1</v>
      </c>
      <c r="AA7" s="93">
        <v>1</v>
      </c>
      <c r="AB7" s="24">
        <f t="shared" si="3"/>
        <v>334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5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>
      <c r="A8" s="16" t="str">
        <f t="shared" ref="A8:A9" si="5">B8&amp;"_"&amp;C8&amp;"-"&amp;G8&amp;"/"&amp;L8&amp;"&lt;lv"&amp;R8&amp;"&gt;s"&amp;AA8</f>
        <v>11221_1-3/338&lt;lv1&gt;s1</v>
      </c>
      <c r="B8" s="22">
        <v>11221</v>
      </c>
      <c r="C8" s="21">
        <v>1</v>
      </c>
      <c r="D8" s="2" t="str">
        <f t="shared" ref="D8:D9" si="6">B8&amp;"_"&amp;C8</f>
        <v>11221_1</v>
      </c>
      <c r="E8" s="4" t="str">
        <f ca="1">VLOOKUP($B8,OFFSET([2]quests!$A$1,0,0,COUNTA([2]quests!$A:$A),MATCH(E$1,[2]quests!$1:$1,0)-MATCH($B$1,[2]quests!$1:$1,0)+1),MATCH(E$1,[2]quests!$1:$1,0)-MATCH($B$1,[2]quests!$1:$1,0)+1,FALSE)</f>
        <v>新生活★応援クエスト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【ストーリー】桜舞い散る樹の下で</v>
      </c>
      <c r="G8" s="21">
        <v>3</v>
      </c>
      <c r="H8" s="15" t="str">
        <f t="shared" ref="H8:H9" si="7">B8&amp;"_"&amp;C8&amp;"-"&amp;G8</f>
        <v>11221_1-3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169</v>
      </c>
      <c r="L8" s="20">
        <v>338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森のメタルダック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</v>
      </c>
      <c r="S8" s="25">
        <v>1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ダックは ウィルスに消去された！</v>
      </c>
      <c r="W8" s="62">
        <v>11221131</v>
      </c>
      <c r="X8" s="6">
        <v>0</v>
      </c>
      <c r="Y8" s="6">
        <v>100</v>
      </c>
      <c r="Z8" s="6">
        <v>1</v>
      </c>
      <c r="AA8" s="93">
        <v>1</v>
      </c>
      <c r="AB8" s="24">
        <f t="shared" ref="AB8:AB9" si="8">L8</f>
        <v>338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ref="AG8:AG9" ca="1" si="9">AD8</f>
        <v>5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>
      <c r="A9" s="16" t="str">
        <f t="shared" si="5"/>
        <v>11221_1-3/342&lt;lv1&gt;s1</v>
      </c>
      <c r="B9" s="22">
        <v>11221</v>
      </c>
      <c r="C9" s="21">
        <v>1</v>
      </c>
      <c r="D9" s="2" t="str">
        <f t="shared" si="6"/>
        <v>11221_1</v>
      </c>
      <c r="E9" s="4" t="str">
        <f ca="1">VLOOKUP($B9,OFFSET([2]quests!$A$1,0,0,COUNTA([2]quests!$A:$A),MATCH(E$1,[2]quests!$1:$1,0)-MATCH($B$1,[2]quests!$1:$1,0)+1),MATCH(E$1,[2]quests!$1:$1,0)-MATCH($B$1,[2]quests!$1:$1,0)+1,FALSE)</f>
        <v>新生活★応援クエスト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【ストーリー】桜舞い散る樹の下で</v>
      </c>
      <c r="G9" s="21">
        <v>3</v>
      </c>
      <c r="H9" s="15" t="str">
        <f t="shared" si="7"/>
        <v>11221_1-3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169</v>
      </c>
      <c r="L9" s="20">
        <v>342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水のメタルダック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1</v>
      </c>
      <c r="S9" s="25">
        <v>1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ダックは ウィルスに消去された！</v>
      </c>
      <c r="W9" s="62">
        <v>11221131</v>
      </c>
      <c r="X9" s="6">
        <v>0</v>
      </c>
      <c r="Y9" s="6">
        <v>100</v>
      </c>
      <c r="Z9" s="6">
        <v>1</v>
      </c>
      <c r="AA9" s="93">
        <v>1</v>
      </c>
      <c r="AB9" s="24">
        <f t="shared" si="8"/>
        <v>342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9"/>
        <v>5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>
      <c r="A10" s="16" t="str">
        <f t="shared" ref="A10" si="10">B10&amp;"_"&amp;C10&amp;"-"&amp;G10&amp;"/"&amp;L10&amp;"&lt;lv"&amp;R10&amp;"&gt;s"&amp;AA10</f>
        <v>11221_1-3/346&lt;lv1&gt;s1</v>
      </c>
      <c r="B10" s="22">
        <v>11221</v>
      </c>
      <c r="C10" s="21">
        <v>1</v>
      </c>
      <c r="D10" s="2" t="str">
        <f t="shared" ref="D10" si="11">B10&amp;"_"&amp;C10</f>
        <v>11221_1</v>
      </c>
      <c r="E10" s="4" t="str">
        <f ca="1">VLOOKUP($B10,OFFSET([2]quests!$A$1,0,0,COUNTA([2]quests!$A:$A),MATCH(E$1,[2]quests!$1:$1,0)-MATCH($B$1,[2]quests!$1:$1,0)+1),MATCH(E$1,[2]quests!$1:$1,0)-MATCH($B$1,[2]quests!$1:$1,0)+1,FALSE)</f>
        <v>新生活★応援クエスト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【ストーリー】桜舞い散る樹の下で</v>
      </c>
      <c r="G10" s="21">
        <v>3</v>
      </c>
      <c r="H10" s="15" t="str">
        <f t="shared" ref="H10" si="12">B10&amp;"_"&amp;C10&amp;"-"&amp;G10</f>
        <v>11221_1-3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169</v>
      </c>
      <c r="L10" s="20">
        <v>346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雷のメタルダック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1</v>
      </c>
      <c r="S10" s="25">
        <v>1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ダックは ウィルスに消去された！</v>
      </c>
      <c r="W10" s="62">
        <v>11221131</v>
      </c>
      <c r="X10" s="6">
        <v>0</v>
      </c>
      <c r="Y10" s="6">
        <v>100</v>
      </c>
      <c r="Z10" s="6">
        <v>1</v>
      </c>
      <c r="AA10" s="93">
        <v>1</v>
      </c>
      <c r="AB10" s="24">
        <f t="shared" ref="AB10" si="13">L10</f>
        <v>346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ref="AG10" ca="1" si="14">AD10</f>
        <v>5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>
      <c r="A11" s="16" t="str">
        <f t="shared" si="0"/>
        <v>11221_1-4/81&lt;lv1&gt;s5</v>
      </c>
      <c r="B11" s="22">
        <v>11221</v>
      </c>
      <c r="C11" s="21">
        <v>1</v>
      </c>
      <c r="D11" s="2" t="str">
        <f t="shared" si="1"/>
        <v>11221_1</v>
      </c>
      <c r="E11" s="4" t="str">
        <f ca="1">VLOOKUP($B11,OFFSET([2]quests!$A$1,0,0,COUNTA([2]quests!$A:$A),MATCH(E$1,[2]quests!$1:$1,0)-MATCH($B$1,[2]quests!$1:$1,0)+1),MATCH(E$1,[2]quests!$1:$1,0)-MATCH($B$1,[2]quests!$1:$1,0)+1,FALSE)</f>
        <v>新生活★応援クエスト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【ストーリー】桜舞い散る樹の下で</v>
      </c>
      <c r="G11" s="21">
        <v>4</v>
      </c>
      <c r="H11" s="15" t="str">
        <f t="shared" si="2"/>
        <v>11221_1-4</v>
      </c>
      <c r="I11" s="4">
        <f ca="1">VLOOKUP($H11,OFFSET(floors!$A$1,0,0,COUNTA(floors!$A:$A),MATCH(I$1,floors!$1:$1,0)-MATCH($H$1,floors!$1:$1,0)+1),MATCH(I$1,floors!$1:$1,0)-MATCH($H$1,floors!$1:$1,0)+1,FALSE)</f>
        <v>15</v>
      </c>
      <c r="J11" s="4">
        <f ca="1">VLOOKUP($H11,OFFSET(floors!$A$1,0,0,COUNTA(floors!$A:$A),MATCH(J$1,floors!$1:$1,0)-MATCH($H$1,floors!$1:$1,0)+1),MATCH(J$1,floors!$1:$1,0)-MATCH($H$1,floors!$1:$1,0)+1,FALSE)</f>
        <v>15</v>
      </c>
      <c r="K11" s="38">
        <v>2</v>
      </c>
      <c r="L11" s="20">
        <v>81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増幅型モリス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1</v>
      </c>
      <c r="S11" s="25">
        <v>1</v>
      </c>
      <c r="T11" s="2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味方のウィルス状態が 解除された！</v>
      </c>
      <c r="W11" s="62">
        <v>11221141</v>
      </c>
      <c r="X11" s="6">
        <v>1</v>
      </c>
      <c r="Y11" s="6">
        <v>100</v>
      </c>
      <c r="Z11" s="6">
        <v>2</v>
      </c>
      <c r="AA11" s="93">
        <v>5</v>
      </c>
      <c r="AB11" s="24">
        <f t="shared" si="3"/>
        <v>81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増幅型モリス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1" s="7">
        <v>1</v>
      </c>
      <c r="AG11" s="24">
        <f t="shared" ca="1" si="4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>
      <c r="A12" s="16" t="str">
        <f t="shared" si="0"/>
        <v>11221_1-4/134&lt;lv1&gt;s1</v>
      </c>
      <c r="B12" s="22">
        <v>11221</v>
      </c>
      <c r="C12" s="21">
        <v>1</v>
      </c>
      <c r="D12" s="2" t="str">
        <f t="shared" si="1"/>
        <v>11221_1</v>
      </c>
      <c r="E12" s="4" t="str">
        <f ca="1">VLOOKUP($B12,OFFSET([2]quests!$A$1,0,0,COUNTA([2]quests!$A:$A),MATCH(E$1,[2]quests!$1:$1,0)-MATCH($B$1,[2]quests!$1:$1,0)+1),MATCH(E$1,[2]quests!$1:$1,0)-MATCH($B$1,[2]quests!$1:$1,0)+1,FALSE)</f>
        <v>新生活★応援クエスト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【ストーリー】桜舞い散る樹の下で</v>
      </c>
      <c r="G12" s="21">
        <v>4</v>
      </c>
      <c r="H12" s="15" t="str">
        <f t="shared" si="2"/>
        <v>11221_1-4</v>
      </c>
      <c r="I12" s="4">
        <f ca="1">VLOOKUP($H12,OFFSET(floors!$A$1,0,0,COUNTA(floors!$A:$A),MATCH(I$1,floors!$1:$1,0)-MATCH($H$1,floors!$1:$1,0)+1),MATCH(I$1,floors!$1:$1,0)-MATCH($H$1,floors!$1:$1,0)+1,FALSE)</f>
        <v>15</v>
      </c>
      <c r="J12" s="4">
        <f ca="1">VLOOKUP($H12,OFFSET(floors!$A$1,0,0,COUNTA(floors!$A:$A),MATCH(J$1,floors!$1:$1,0)-MATCH($H$1,floors!$1:$1,0)+1),MATCH(J$1,floors!$1:$1,0)-MATCH($H$1,floors!$1:$1,0)+1,FALSE)</f>
        <v>15</v>
      </c>
      <c r="K12" s="38">
        <v>1</v>
      </c>
      <c r="L12" s="20">
        <v>134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妖炎の夕霧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1</v>
      </c>
      <c r="S12" s="25">
        <v>1</v>
      </c>
      <c r="T12" s="25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味方ユニットが ウィルスに冒された！</v>
      </c>
      <c r="W12" s="62">
        <v>11221140</v>
      </c>
      <c r="X12" s="6">
        <v>1</v>
      </c>
      <c r="Y12" s="6">
        <v>100</v>
      </c>
      <c r="Z12" s="6">
        <v>1</v>
      </c>
      <c r="AA12" s="93">
        <v>1</v>
      </c>
      <c r="AB12" s="24">
        <f t="shared" si="3"/>
        <v>134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妖炎の夕霧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2" s="7">
        <v>1</v>
      </c>
      <c r="AG12" s="24">
        <f t="shared" ca="1" si="4"/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>
      <c r="A13" s="16" t="str">
        <f t="shared" si="0"/>
        <v>11221_1-5/77&lt;lv1&gt;s1</v>
      </c>
      <c r="B13" s="22">
        <v>11221</v>
      </c>
      <c r="C13" s="21">
        <v>1</v>
      </c>
      <c r="D13" s="2" t="str">
        <f t="shared" si="1"/>
        <v>11221_1</v>
      </c>
      <c r="E13" s="4" t="str">
        <f ca="1">VLOOKUP($B13,OFFSET([2]quests!$A$1,0,0,COUNTA([2]quests!$A:$A),MATCH(E$1,[2]quests!$1:$1,0)-MATCH($B$1,[2]quests!$1:$1,0)+1),MATCH(E$1,[2]quests!$1:$1,0)-MATCH($B$1,[2]quests!$1:$1,0)+1,FALSE)</f>
        <v>新生活★応援クエスト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【ストーリー】桜舞い散る樹の下で</v>
      </c>
      <c r="G13" s="21">
        <v>5</v>
      </c>
      <c r="H13" s="15" t="str">
        <f t="shared" si="2"/>
        <v>11221_1-5</v>
      </c>
      <c r="I13" s="4">
        <f ca="1">VLOOKUP($H13,OFFSET(floors!$A$1,0,0,COUNTA(floors!$A:$A),MATCH(I$1,floors!$1:$1,0)-MATCH($H$1,floors!$1:$1,0)+1),MATCH(I$1,floors!$1:$1,0)-MATCH($H$1,floors!$1:$1,0)+1,FALSE)</f>
        <v>15</v>
      </c>
      <c r="J13" s="4">
        <f ca="1">VLOOKUP($H13,OFFSET(floors!$A$1,0,0,COUNTA(floors!$A:$A),MATCH(J$1,floors!$1:$1,0)-MATCH($H$1,floors!$1:$1,0)+1),MATCH(J$1,floors!$1:$1,0)-MATCH($H$1,floors!$1:$1,0)+1,FALSE)</f>
        <v>15</v>
      </c>
      <c r="K13" s="38" t="s">
        <v>53</v>
      </c>
      <c r="L13" s="20">
        <v>77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潜伏型メリッサ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1</v>
      </c>
      <c r="S13" s="25">
        <v>1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私達も 卒業の時ね</v>
      </c>
      <c r="W13" s="62">
        <v>11221150</v>
      </c>
      <c r="X13" s="6">
        <v>1</v>
      </c>
      <c r="Y13" s="6">
        <v>100</v>
      </c>
      <c r="Z13" s="6">
        <v>2</v>
      </c>
      <c r="AA13" s="93">
        <v>1</v>
      </c>
      <c r="AB13" s="24">
        <f t="shared" si="3"/>
        <v>77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潜伏型メリッサ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3" s="7">
        <v>1</v>
      </c>
      <c r="AG13" s="24">
        <f t="shared" ca="1" si="4"/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>
      <c r="A14" s="16" t="str">
        <f t="shared" si="0"/>
        <v>11221_1-5/81&lt;lv1&gt;s1</v>
      </c>
      <c r="B14" s="22">
        <v>11221</v>
      </c>
      <c r="C14" s="21">
        <v>1</v>
      </c>
      <c r="D14" s="2" t="str">
        <f t="shared" si="1"/>
        <v>11221_1</v>
      </c>
      <c r="E14" s="4" t="str">
        <f ca="1">VLOOKUP($B14,OFFSET([2]quests!$A$1,0,0,COUNTA([2]quests!$A:$A),MATCH(E$1,[2]quests!$1:$1,0)-MATCH($B$1,[2]quests!$1:$1,0)+1),MATCH(E$1,[2]quests!$1:$1,0)-MATCH($B$1,[2]quests!$1:$1,0)+1,FALSE)</f>
        <v>新生活★応援クエスト</v>
      </c>
      <c r="F14" s="4" t="str">
        <f ca="1">VLOOKUP($D14,OFFSET([2]stages!$A$1,0,0,COUNTA([2]stages!$A:$A),MATCH(F$1,[2]stages!$2:$2,0)-MATCH($D$1,[2]stages!$2:$2,0)+1),MATCH(F$1,[2]stages!$2:$2,0)-MATCH($D$1,[2]stages!$2:$2,0)+1,FALSE)</f>
        <v>【ストーリー】桜舞い散る樹の下で</v>
      </c>
      <c r="G14" s="21">
        <v>5</v>
      </c>
      <c r="H14" s="15" t="str">
        <f t="shared" si="2"/>
        <v>11221_1-5</v>
      </c>
      <c r="I14" s="4">
        <f ca="1">VLOOKUP($H14,OFFSET(floors!$A$1,0,0,COUNTA(floors!$A:$A),MATCH(I$1,floors!$1:$1,0)-MATCH($H$1,floors!$1:$1,0)+1),MATCH(I$1,floors!$1:$1,0)-MATCH($H$1,floors!$1:$1,0)+1,FALSE)</f>
        <v>15</v>
      </c>
      <c r="J14" s="4">
        <f ca="1">VLOOKUP($H14,OFFSET(floors!$A$1,0,0,COUNTA(floors!$A:$A),MATCH(J$1,floors!$1:$1,0)-MATCH($H$1,floors!$1:$1,0)+1),MATCH(J$1,floors!$1:$1,0)-MATCH($H$1,floors!$1:$1,0)+1,FALSE)</f>
        <v>15</v>
      </c>
      <c r="K14" s="38" t="s">
        <v>209</v>
      </c>
      <c r="L14" s="20">
        <v>81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増幅型モリス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DropWizW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1</v>
      </c>
      <c r="S14" s="25">
        <v>1</v>
      </c>
      <c r="T14" s="25">
        <v>1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もう力不足ですもんね</v>
      </c>
      <c r="W14" s="62">
        <v>11221151</v>
      </c>
      <c r="X14" s="6">
        <v>1</v>
      </c>
      <c r="Y14" s="6">
        <v>100</v>
      </c>
      <c r="Z14" s="6">
        <v>1</v>
      </c>
      <c r="AA14" s="93">
        <v>1</v>
      </c>
      <c r="AB14" s="24">
        <f t="shared" si="3"/>
        <v>81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増幅型モリス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4" s="7">
        <v>1</v>
      </c>
      <c r="AG14" s="24">
        <f t="shared" ca="1" si="4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>
      <c r="A15" s="16" t="str">
        <f t="shared" si="0"/>
        <v>11221_1-6/79&lt;lv1&gt;s1</v>
      </c>
      <c r="B15" s="22">
        <v>11221</v>
      </c>
      <c r="C15" s="21">
        <v>1</v>
      </c>
      <c r="D15" s="2" t="str">
        <f t="shared" si="1"/>
        <v>11221_1</v>
      </c>
      <c r="E15" s="4" t="str">
        <f ca="1">VLOOKUP($B15,OFFSET([2]quests!$A$1,0,0,COUNTA([2]quests!$A:$A),MATCH(E$1,[2]quests!$1:$1,0)-MATCH($B$1,[2]quests!$1:$1,0)+1),MATCH(E$1,[2]quests!$1:$1,0)-MATCH($B$1,[2]quests!$1:$1,0)+1,FALSE)</f>
        <v>新生活★応援クエスト</v>
      </c>
      <c r="F15" s="4" t="str">
        <f ca="1">VLOOKUP($D15,OFFSET([2]stages!$A$1,0,0,COUNTA([2]stages!$A:$A),MATCH(F$1,[2]stages!$2:$2,0)-MATCH($D$1,[2]stages!$2:$2,0)+1),MATCH(F$1,[2]stages!$2:$2,0)-MATCH($D$1,[2]stages!$2:$2,0)+1,FALSE)</f>
        <v>【ストーリー】桜舞い散る樹の下で</v>
      </c>
      <c r="G15" s="21">
        <v>6</v>
      </c>
      <c r="H15" s="15" t="str">
        <f t="shared" si="2"/>
        <v>11221_1-6</v>
      </c>
      <c r="I15" s="4">
        <f ca="1">VLOOKUP($H15,OFFSET(floors!$A$1,0,0,COUNTA(floors!$A:$A),MATCH(I$1,floors!$1:$1,0)-MATCH($H$1,floors!$1:$1,0)+1),MATCH(I$1,floors!$1:$1,0)-MATCH($H$1,floors!$1:$1,0)+1,FALSE)</f>
        <v>15</v>
      </c>
      <c r="J15" s="4">
        <f ca="1">VLOOKUP($H15,OFFSET(floors!$A$1,0,0,COUNTA(floors!$A:$A),MATCH(J$1,floors!$1:$1,0)-MATCH($H$1,floors!$1:$1,0)+1),MATCH(J$1,floors!$1:$1,0)-MATCH($H$1,floors!$1:$1,0)+1,FALSE)</f>
        <v>15</v>
      </c>
      <c r="K15" s="38">
        <v>1</v>
      </c>
      <c r="L15" s="20">
        <v>79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ハッピー100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1</v>
      </c>
      <c r="S15" s="25">
        <v>1</v>
      </c>
      <c r="T15" s="25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さみしそうに こちらを見ている</v>
      </c>
      <c r="W15" s="62">
        <v>11221160</v>
      </c>
      <c r="X15" s="6">
        <v>1</v>
      </c>
      <c r="Y15" s="6">
        <v>100</v>
      </c>
      <c r="Z15" s="6">
        <v>1</v>
      </c>
      <c r="AA15" s="93">
        <v>1</v>
      </c>
      <c r="AB15" s="7">
        <v>794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卒業のウィルス ハッピー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5" s="7">
        <v>1</v>
      </c>
      <c r="AG15" s="24">
        <f t="shared" ca="1" si="4"/>
        <v>3</v>
      </c>
      <c r="AH15" s="8">
        <v>100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</sheetData>
  <sheetProtection selectLockedCells="1" selectUnlockedCells="1"/>
  <autoFilter ref="B1:AH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M5" sqref="M5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11221_1-4/278&lt;lv1&gt;sq1st2</v>
      </c>
      <c r="B2" s="22">
        <v>11221</v>
      </c>
      <c r="C2" s="21">
        <v>1</v>
      </c>
      <c r="D2" s="2" t="str">
        <f>B2&amp;"_"&amp;C2</f>
        <v>11221_1</v>
      </c>
      <c r="E2" s="4" t="str">
        <f ca="1">VLOOKUP($B2,OFFSET([2]quests!$A$1,0,0,COUNTA([2]quests!$A:$A),MATCH(E$1,[2]quests!$1:$1,0)-MATCH($B$1,[2]quests!$1:$1,0)+1),MATCH(E$1,[2]quests!$1:$1,0)-MATCH($B$1,[2]quests!$1:$1,0)+1,FALSE)</f>
        <v>新生活★応援クエスト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【ストーリー】桜舞い散る樹の下で</v>
      </c>
      <c r="G2" s="21">
        <v>4</v>
      </c>
      <c r="H2" s="15" t="str">
        <f>B2&amp;"_"&amp;C2&amp;"-"&amp;G2</f>
        <v>11221_1-4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278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アマテラス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62">
        <v>11221142</v>
      </c>
      <c r="Y2" s="71">
        <f ca="1">VLOOKUP($M2,OFFSET([3]enemies!$A$1,0,0,COUNTA([3]enemies!$A:$A),MATCH(Y$1,[3]enemies!$1:$1,0)-MATCH($M$1,[3]enemies!$1:$1,0)+1),MATCH(Y$1,[3]enemies!$1:$1,0)-MATCH($M$1,[3]enemies!$1:$1,0)+1,FALSE)</f>
        <v>2</v>
      </c>
    </row>
    <row r="3" spans="1:25" ht="21" customHeight="1">
      <c r="A3" s="16" t="str">
        <f>B3&amp;"_"&amp;C3&amp;"-"&amp;G3&amp;"/"&amp;M3&amp;"&lt;lv"&amp;S3&amp;"&gt;sq"&amp;K3&amp;"st"&amp;L3</f>
        <v>11221_1-4/81&lt;lv1&gt;sq2st2</v>
      </c>
      <c r="B3" s="22">
        <v>11221</v>
      </c>
      <c r="C3" s="21">
        <v>1</v>
      </c>
      <c r="D3" s="2" t="str">
        <f>B3&amp;"_"&amp;C3</f>
        <v>11221_1</v>
      </c>
      <c r="E3" s="4" t="str">
        <f ca="1">VLOOKUP($B3,OFFSET([2]quests!$A$1,0,0,COUNTA([2]quests!$A:$A),MATCH(E$1,[2]quests!$1:$1,0)-MATCH($B$1,[2]quests!$1:$1,0)+1),MATCH(E$1,[2]quests!$1:$1,0)-MATCH($B$1,[2]quests!$1:$1,0)+1,FALSE)</f>
        <v>新生活★応援クエスト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【ストーリー】桜舞い散る樹の下で</v>
      </c>
      <c r="G3" s="21">
        <v>4</v>
      </c>
      <c r="H3" s="15" t="str">
        <f>B3&amp;"_"&amp;C3&amp;"-"&amp;G3</f>
        <v>11221_1-4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>
        <v>2</v>
      </c>
      <c r="L3" s="38">
        <v>2</v>
      </c>
      <c r="M3" s="20">
        <v>81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増幅型モリス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DropWizW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1</v>
      </c>
      <c r="T3" s="25">
        <v>1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7">
        <v>11221143</v>
      </c>
      <c r="Y3" s="71">
        <f ca="1">VLOOKUP($M3,OFFSET([3]enemies!$A$1,0,0,COUNTA([3]enemies!$A:$A),MATCH(Y$1,[3]enemies!$1:$1,0)-MATCH($M$1,[3]enemies!$1:$1,0)+1),MATCH(Y$1,[3]enemies!$1:$1,0)-MATCH($M$1,[3]enemies!$1:$1,0)+1,FALSE)</f>
        <v>5</v>
      </c>
    </row>
    <row r="4" spans="1:25" ht="21" customHeight="1">
      <c r="A4" s="16" t="str">
        <f>B4&amp;"_"&amp;C4&amp;"-"&amp;G4&amp;"/"&amp;M4&amp;"&lt;lv"&amp;S4&amp;"&gt;sq"&amp;K4&amp;"st"&amp;L4</f>
        <v>11221_1-6/794&lt;lv1&gt;sq1st2</v>
      </c>
      <c r="B4" s="22">
        <v>11221</v>
      </c>
      <c r="C4" s="21">
        <v>1</v>
      </c>
      <c r="D4" s="2" t="str">
        <f>B4&amp;"_"&amp;C4</f>
        <v>11221_1</v>
      </c>
      <c r="E4" s="4" t="str">
        <f ca="1">VLOOKUP($B4,OFFSET([2]quests!$A$1,0,0,COUNTA([2]quests!$A:$A),MATCH(E$1,[2]quests!$1:$1,0)-MATCH($B$1,[2]quests!$1:$1,0)+1),MATCH(E$1,[2]quests!$1:$1,0)-MATCH($B$1,[2]quests!$1:$1,0)+1,FALSE)</f>
        <v>新生活★応援クエスト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【ストーリー】桜舞い散る樹の下で</v>
      </c>
      <c r="G4" s="21">
        <v>6</v>
      </c>
      <c r="H4" s="15" t="str">
        <f>B4&amp;"_"&amp;C4&amp;"-"&amp;G4</f>
        <v>11221_1-6</v>
      </c>
      <c r="I4" s="4">
        <f ca="1">VLOOKUP($H4,OFFSET(floors!$A$1,0,0,COUNTA(floors!$A:$A),MATCH(I$1,floors!$1:$1,0)-MATCH($H$1,floors!$1:$1,0)+1),MATCH(I$1,floors!$1:$1,0)-MATCH($H$1,floors!$1:$1,0)+1,FALSE)</f>
        <v>15</v>
      </c>
      <c r="J4" s="4">
        <f ca="1">VLOOKUP($H4,OFFSET(floors!$A$1,0,0,COUNTA(floors!$A:$A),MATCH(J$1,floors!$1:$1,0)-MATCH($H$1,floors!$1:$1,0)+1),MATCH(J$1,floors!$1:$1,0)-MATCH($H$1,floors!$1:$1,0)+1,FALSE)</f>
        <v>15</v>
      </c>
      <c r="K4" s="38">
        <v>1</v>
      </c>
      <c r="L4" s="38">
        <v>2</v>
      </c>
      <c r="M4" s="20">
        <v>794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卒業のウィルス ハッピー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DropWizW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25</v>
      </c>
      <c r="S4" s="5">
        <v>1</v>
      </c>
      <c r="T4" s="25">
        <v>1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62">
        <v>11221161</v>
      </c>
      <c r="Y4" s="71">
        <f ca="1">VLOOKUP($M4,OFFSET([3]enemies!$A$1,0,0,COUNTA([3]enemies!$A:$A),MATCH(Y$1,[3]enemies!$1:$1,0)-MATCH($M$1,[3]enemies!$1:$1,0)+1),MATCH(Y$1,[3]enemies!$1:$1,0)-MATCH($M$1,[3]enemies!$1:$1,0)+1,FALSE)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zoomScale="75" zoomScaleNormal="75" zoomScalePageLayoutView="75" workbookViewId="0">
      <pane xSplit="5" ySplit="1" topLeftCell="F2" activePane="bottomRight" state="frozen"/>
      <selection pane="topRight"/>
      <selection pane="bottomLeft"/>
      <selection pane="bottomRight" activeCell="B12" sqref="B1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25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11221110_11221000</v>
      </c>
      <c r="B2" s="47">
        <v>11221110</v>
      </c>
      <c r="C2" s="47">
        <v>11221000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これは ウィルスユニットたちの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「等身大の メモリアル」</v>
      </c>
      <c r="F2" s="47">
        <v>11221000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7"/>
      <c r="Q2" s="47"/>
      <c r="R2" s="47"/>
    </row>
    <row r="3" spans="1:18" ht="21" customHeight="1">
      <c r="A3" s="39" t="str">
        <f t="shared" ref="A3" si="1">B3&amp;"_"&amp;C3</f>
        <v>11221120_11221001</v>
      </c>
      <c r="B3" s="47">
        <v>11221120</v>
      </c>
      <c r="C3" s="47">
        <v>11221001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あの頃は_x000D_楽しかったわね…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メリッサは 懐かしんでいる</v>
      </c>
      <c r="F3" s="47">
        <v>11221000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" s="47"/>
      <c r="Q3" s="47"/>
      <c r="R3" s="47"/>
    </row>
    <row r="4" spans="1:18" ht="21" customHeight="1">
      <c r="A4" s="39" t="str">
        <f>B4&amp;"_"&amp;C4</f>
        <v>11221120_11221004</v>
      </c>
      <c r="B4" s="47">
        <v>11221120</v>
      </c>
      <c r="C4" s="47">
        <v>11221004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振り返って_x000D_みましょうか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輝いていた あの頃を…</v>
      </c>
      <c r="F4" s="47">
        <v>11221001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ref="A5:A6" si="2">B5&amp;"_"&amp;C5</f>
        <v>11221121_11221002</v>
      </c>
      <c r="B5" s="47">
        <v>11221121</v>
      </c>
      <c r="C5" s="47">
        <v>11221002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いつもどおり 幸せそうだ</v>
      </c>
      <c r="F5" s="47">
        <v>11221000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" s="47"/>
      <c r="Q5" s="47"/>
      <c r="R5" s="47"/>
    </row>
    <row r="6" spans="1:18" ht="21" customHeight="1">
      <c r="A6" s="39" t="str">
        <f t="shared" si="2"/>
        <v>11221122_11221003</v>
      </c>
      <c r="B6" s="47">
        <v>11221122</v>
      </c>
      <c r="C6" s="47">
        <v>11221003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いっぱい_x000D_活躍しましたねー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モリスも しみじみつぶやいた</v>
      </c>
      <c r="F6" s="47">
        <v>11221000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" s="47"/>
      <c r="Q6" s="47"/>
      <c r="R6" s="47"/>
    </row>
    <row r="7" spans="1:18" ht="21" customHeight="1">
      <c r="A7" s="39" t="str">
        <f t="shared" ref="A7:A15" si="3">B7&amp;"_"&amp;C7</f>
        <v>11221130_11221005</v>
      </c>
      <c r="B7" s="47">
        <v>11221130</v>
      </c>
      <c r="C7" s="47">
        <v>11221005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食べ尽くしてあげる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拡大感染＜ワームスクラム＞</v>
      </c>
      <c r="F7" s="47">
        <v>11221000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7" s="47"/>
      <c r="Q7" s="47"/>
      <c r="R7" s="47"/>
    </row>
    <row r="8" spans="1:18" ht="21" customHeight="1">
      <c r="A8" s="39" t="str">
        <f>B8&amp;"_"&amp;C8</f>
        <v>11221130_11221334</v>
      </c>
      <c r="B8" s="47">
        <v>11221130</v>
      </c>
      <c r="C8" s="47">
        <v>11221334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アヒルを狩った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ゲリラクエスト</v>
      </c>
      <c r="F8" s="47">
        <v>11221334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334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>B9&amp;"_"&amp;C9</f>
        <v>11221130_11221338</v>
      </c>
      <c r="B9" s="47">
        <v>11221130</v>
      </c>
      <c r="C9" s="47">
        <v>11221338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アヒルを狩った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ゲリラクエスト</v>
      </c>
      <c r="F9" s="47">
        <v>11221338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338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>B10&amp;"_"&amp;C10</f>
        <v>11221130_11221342</v>
      </c>
      <c r="B10" s="47">
        <v>11221130</v>
      </c>
      <c r="C10" s="47">
        <v>11221342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アヒルを狩った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ゲリラクエスト</v>
      </c>
      <c r="F10" s="47">
        <v>11221342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342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>B11&amp;"_"&amp;C11</f>
        <v>11221130_11221346</v>
      </c>
      <c r="B11" s="47">
        <v>11221130</v>
      </c>
      <c r="C11" s="47">
        <v>11221346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アヒルを狩った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ゲリラクエスト</v>
      </c>
      <c r="F11" s="47">
        <v>11221346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346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>B12&amp;"_"&amp;C12</f>
        <v>11221131_11221006</v>
      </c>
      <c r="B12" s="47">
        <v>11221131</v>
      </c>
      <c r="C12" s="47">
        <v>11221006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クヮッ！？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ダックは ウィルスに消去された！</v>
      </c>
      <c r="F12" s="47">
        <v>11221000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2" s="47"/>
      <c r="Q12" s="47"/>
      <c r="R12" s="47"/>
    </row>
    <row r="13" spans="1:18" ht="21" customHeight="1">
      <c r="A13" s="39" t="str">
        <f t="shared" si="3"/>
        <v>11221140_11221008</v>
      </c>
      <c r="B13" s="47">
        <v>11221140</v>
      </c>
      <c r="C13" s="47">
        <v>11221008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炎華の香り・永代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味方ユニットが ウィルスに冒された！</v>
      </c>
      <c r="F13" s="47">
        <v>11221000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3" s="47"/>
      <c r="Q13" s="47"/>
      <c r="R13" s="47"/>
    </row>
    <row r="14" spans="1:18" ht="21" customHeight="1">
      <c r="A14" s="39" t="str">
        <f>B14&amp;"_"&amp;C14</f>
        <v>11221140_11221010</v>
      </c>
      <c r="B14" s="47">
        <v>11221140</v>
      </c>
      <c r="C14" s="47">
        <v>11221010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ちっ…姐さん出番ですぜ！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夕霧は 助けを呼んだ！</v>
      </c>
      <c r="F14" s="47">
        <v>11221001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si="3"/>
        <v>11221141_11221009</v>
      </c>
      <c r="B15" s="47">
        <v>11221141</v>
      </c>
      <c r="C15" s="47">
        <v>11221009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クリーニングします！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味方のウィルス状態が 解除された！</v>
      </c>
      <c r="F15" s="47">
        <v>11221001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ref="A16" si="4">B16&amp;"_"&amp;C16</f>
        <v>11221141_11221022</v>
      </c>
      <c r="B16" s="47">
        <v>11221141</v>
      </c>
      <c r="C16" s="47">
        <v>11221022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(((；ﾟДﾟ))) ｱﾜｱﾜ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モリスは あわてている</v>
      </c>
      <c r="F16" s="47">
        <v>11221003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ref="A17:A27" si="5">B17&amp;"_"&amp;C17</f>
        <v>11221142_11221011</v>
      </c>
      <c r="B17" s="47">
        <v>11221142</v>
      </c>
      <c r="C17" s="47">
        <v>11221011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身の程知らずですね…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アマテラスが襲来した！</v>
      </c>
      <c r="F17" s="47">
        <v>11221000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7" s="47"/>
      <c r="Q17" s="47"/>
      <c r="R17" s="47"/>
    </row>
    <row r="18" spans="1:18" ht="21" customHeight="1">
      <c r="A18" s="39" t="str">
        <f t="shared" ref="A18" si="6">B18&amp;"_"&amp;C18</f>
        <v>11221142_11221012</v>
      </c>
      <c r="B18" s="47">
        <v>11221142</v>
      </c>
      <c r="C18" s="47">
        <v>11221012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器が違うのです…！！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神をも燃やす天の炎</v>
      </c>
      <c r="F18" s="47">
        <v>11221001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5"/>
        <v>11221143_11221013</v>
      </c>
      <c r="B19" s="47">
        <v>11221143</v>
      </c>
      <c r="C19" s="47">
        <v>11221013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心を折られた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アマテラス戦</v>
      </c>
      <c r="F19" s="47">
        <v>11221000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9" s="47"/>
      <c r="Q19" s="47"/>
      <c r="R19" s="47"/>
    </row>
    <row r="20" spans="1:18" ht="21" customHeight="1">
      <c r="A20" s="39" t="str">
        <f t="shared" si="5"/>
        <v>11221150_11221014</v>
      </c>
      <c r="B20" s="47">
        <v>11221150</v>
      </c>
      <c r="C20" s="47">
        <v>11221014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いい思い出だったけど…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私達も 卒業の時ね</v>
      </c>
      <c r="F20" s="47">
        <v>11221000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0" s="47"/>
      <c r="Q20" s="47"/>
      <c r="R20" s="47"/>
    </row>
    <row r="21" spans="1:18" ht="21" customHeight="1">
      <c r="A21" s="39" t="str">
        <f>B21&amp;"_"&amp;C21</f>
        <v>11221150_11221016</v>
      </c>
      <c r="B21" s="47">
        <v>11221150</v>
      </c>
      <c r="C21" s="47">
        <v>11221016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そろそろ 旅立ちましょう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新たなクラファーとの出会いに！</v>
      </c>
      <c r="F21" s="47">
        <v>11221001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si="5"/>
        <v>11221151_11221015</v>
      </c>
      <c r="B22" s="47">
        <v>11221151</v>
      </c>
      <c r="C22" s="47">
        <v>11221015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さみしいですけど…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もう力不足ですもんね</v>
      </c>
      <c r="F22" s="47">
        <v>11221000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2" s="47"/>
      <c r="Q22" s="47"/>
      <c r="R22" s="47"/>
    </row>
    <row r="23" spans="1:18" ht="21" customHeight="1">
      <c r="A23" s="39" t="str">
        <f t="shared" si="5"/>
        <v>11221160_11221017</v>
      </c>
      <c r="B23" s="47">
        <v>11221160</v>
      </c>
      <c r="C23" s="47">
        <v>11221017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ハッピー…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さみしそうに こちらを見ている</v>
      </c>
      <c r="F23" s="47">
        <v>11221000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3" s="47"/>
      <c r="Q23" s="47"/>
      <c r="R23" s="47"/>
    </row>
    <row r="24" spans="1:18" ht="21" customHeight="1">
      <c r="A24" s="39" t="str">
        <f t="shared" si="5"/>
        <v>11221160_11221018</v>
      </c>
      <c r="B24" s="47">
        <v>11221160</v>
      </c>
      <c r="C24" s="47">
        <v>11221018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ハッピー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なにやら ゴソゴソしはじめた</v>
      </c>
      <c r="F24" s="47">
        <v>11221001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si="5"/>
        <v>11221161_11221019</v>
      </c>
      <c r="B25" s="47">
        <v>11221161</v>
      </c>
      <c r="C25" s="47">
        <v>11221019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ハッピー！？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ハッピーは 勝負服に着替えた！</v>
      </c>
      <c r="F25" s="47">
        <v>11221000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5" s="47"/>
      <c r="Q25" s="47"/>
      <c r="R25" s="47"/>
    </row>
    <row r="26" spans="1:18" ht="21" customHeight="1">
      <c r="A26" s="39" t="str">
        <f t="shared" ref="A26" si="7">B26&amp;"_"&amp;C26</f>
        <v>11221161_11221020</v>
      </c>
      <c r="B26" s="47">
        <v>11221161</v>
      </c>
      <c r="C26" s="47">
        <v>11221020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ハッピー ( ; _ ; )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別れを 惜しんでいるようだ</v>
      </c>
      <c r="F26" s="47">
        <v>11221001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5"/>
        <v>11221161_11221021</v>
      </c>
      <c r="B27" s="47">
        <v>11221161</v>
      </c>
      <c r="C27" s="47">
        <v>11221021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セメテ アナタノ…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「ダイニ ボタンヲ クダサイ」</v>
      </c>
      <c r="F27" s="47">
        <v>11221003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B25" sqref="B25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11221000</v>
      </c>
      <c r="B2" s="47" t="s">
        <v>242</v>
      </c>
      <c r="C2" s="50">
        <v>3</v>
      </c>
      <c r="D2" s="50" t="s">
        <v>127</v>
      </c>
      <c r="E2" s="51" t="s">
        <v>279</v>
      </c>
      <c r="F2" s="51" t="s">
        <v>243</v>
      </c>
      <c r="G2" s="64" t="str">
        <f t="shared" ref="G2:G28" si="0">IFERROR(LEFT(B2,FIND("],",B2)),B2)</f>
        <v>[effect:suicide, val:1, dead_type:escape, target:enemy_all][effect:sleep, target:unit_all, turn:1, rate:1][effect:degrade_crash, target:unit_all, count:99, special:99, turn:-1][effect:hungup, target:unit_all, turn:-1, rate:1][effect:degrade_unit, target:unit_all, turn:-1, status:attack, val:1, calc:mul]</v>
      </c>
      <c r="H2" s="64">
        <f t="shared" ref="H2:H28" si="1">FIND("effect:",G2)+7</f>
        <v>9</v>
      </c>
      <c r="I2" s="64">
        <f t="shared" ref="I2:I28" si="2">IFERROR(FIND(",",G2),LEN(G2))</f>
        <v>16</v>
      </c>
      <c r="J2" s="64">
        <f t="shared" ref="J2:J28" si="3">FIND("target:",G2)+7</f>
        <v>50</v>
      </c>
      <c r="K2" s="64">
        <f t="shared" ref="K2:K28" si="4">FIND(",",G2,I2+1)</f>
        <v>23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28" si="5">IFERROR(RIGHT(B2,LEN(B2)-FIND("],",B2)-1),"none")</f>
        <v>none</v>
      </c>
      <c r="N2" s="48" t="str">
        <f t="shared" ref="N2:N12" si="6">IFERROR(LEFT(M2,FIND("],",M2)+S37),M2)</f>
        <v>none</v>
      </c>
      <c r="O2" s="64" t="e">
        <f t="shared" ref="O2:O27" si="7">FIND("effect:",N2)+7</f>
        <v>#VALUE!</v>
      </c>
      <c r="P2" s="64">
        <f t="shared" ref="P2:P27" si="8">IFERROR(FIND(",",N2),LEN(N2))</f>
        <v>4</v>
      </c>
      <c r="Q2" s="64" t="e">
        <f t="shared" ref="Q2:Q27" si="9">FIND("target:",N2)+7</f>
        <v>#VALUE!</v>
      </c>
      <c r="R2" s="64" t="e">
        <f t="shared" ref="R2:R27" si="10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28" si="11">IFERROR(RIGHT(M2,LEN(M2)-FIND("],",M2)-1),"none")</f>
        <v>none</v>
      </c>
      <c r="U2" s="64" t="e">
        <f t="shared" ref="U2:U28" si="12">FIND("effect:",T2)+7</f>
        <v>#VALUE!</v>
      </c>
      <c r="V2" s="64">
        <f t="shared" ref="V2:V28" si="13">IFERROR(FIND(",",T2),LEN(T2))</f>
        <v>4</v>
      </c>
      <c r="W2" s="64" t="e">
        <f t="shared" ref="W2:W28" si="14">FIND("target:",T2)+7</f>
        <v>#VALUE!</v>
      </c>
      <c r="X2" s="64" t="e">
        <f t="shared" ref="X2:X28" si="15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47">
        <v>11221001</v>
      </c>
      <c r="B3" s="47" t="s">
        <v>264</v>
      </c>
      <c r="C3" s="50">
        <v>3</v>
      </c>
      <c r="D3" s="50" t="s">
        <v>127</v>
      </c>
      <c r="E3" s="51" t="s">
        <v>213</v>
      </c>
      <c r="F3" s="51" t="s">
        <v>258</v>
      </c>
      <c r="G3" s="64" t="str">
        <f t="shared" si="0"/>
        <v>[effect:fix_speed, target:myself, turn:1]</v>
      </c>
      <c r="H3" s="64">
        <f t="shared" si="1"/>
        <v>9</v>
      </c>
      <c r="I3" s="64">
        <f t="shared" si="2"/>
        <v>18</v>
      </c>
      <c r="J3" s="64">
        <f t="shared" si="3"/>
        <v>27</v>
      </c>
      <c r="K3" s="64">
        <f t="shared" si="4"/>
        <v>33</v>
      </c>
      <c r="L3" s="64" t="str">
        <f>IFERROR(VLOOKUP(MID(G3,J3,K3-J3),[6]skilldef!$C:$D,2,FALSE),"-") &amp; " / " &amp; IFERROR(VLOOKUP(MID(G3,H3,I3-H3),[6]skilldef!$A:$B,2,FALSE),"-")</f>
        <v>自分自身に / 行動値設定</v>
      </c>
      <c r="M3" s="64" t="str">
        <f t="shared" si="5"/>
        <v>none</v>
      </c>
      <c r="N3" s="48" t="str">
        <f t="shared" si="6"/>
        <v>none</v>
      </c>
      <c r="O3" s="64" t="e">
        <f t="shared" si="7"/>
        <v>#VALUE!</v>
      </c>
      <c r="P3" s="64">
        <f t="shared" si="8"/>
        <v>4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47">
        <v>11221002</v>
      </c>
      <c r="B4" s="47" t="s">
        <v>265</v>
      </c>
      <c r="C4" s="50">
        <v>3</v>
      </c>
      <c r="D4" s="50" t="s">
        <v>127</v>
      </c>
      <c r="E4" s="51" t="s">
        <v>214</v>
      </c>
      <c r="F4" s="51" t="s">
        <v>215</v>
      </c>
      <c r="G4" s="64" t="str">
        <f t="shared" si="0"/>
        <v>[effect:nothing]</v>
      </c>
      <c r="H4" s="64">
        <f t="shared" si="1"/>
        <v>9</v>
      </c>
      <c r="I4" s="64">
        <f t="shared" si="2"/>
        <v>16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何もしない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47">
        <v>11221003</v>
      </c>
      <c r="B5" s="47" t="s">
        <v>265</v>
      </c>
      <c r="C5" s="50">
        <v>3</v>
      </c>
      <c r="D5" s="50" t="s">
        <v>127</v>
      </c>
      <c r="E5" s="51" t="s">
        <v>236</v>
      </c>
      <c r="F5" s="51" t="s">
        <v>276</v>
      </c>
      <c r="G5" s="64" t="str">
        <f t="shared" si="0"/>
        <v>[effect:nothing]</v>
      </c>
      <c r="H5" s="64">
        <f t="shared" si="1"/>
        <v>9</v>
      </c>
      <c r="I5" s="64">
        <f t="shared" si="2"/>
        <v>16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IFERROR(VLOOKUP(MID(G5,J5,K5-J5),[6]skilldef!$C:$D,2,FALSE),"-") &amp; " / " &amp; IFERROR(VLOOKUP(MID(G5,H5,I5-H5),[6]skilldef!$A:$B,2,FALSE),"-")</f>
        <v>- / 何もしない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47">
        <v>11221004</v>
      </c>
      <c r="B6" s="47" t="s">
        <v>260</v>
      </c>
      <c r="C6" s="50">
        <v>3</v>
      </c>
      <c r="D6" s="50" t="s">
        <v>127</v>
      </c>
      <c r="E6" s="51" t="s">
        <v>237</v>
      </c>
      <c r="F6" s="51" t="s">
        <v>216</v>
      </c>
      <c r="G6" s="64" t="str">
        <f t="shared" si="0"/>
        <v>[effect:suicide, val:1, dead_type:escape, target:enemy_all]</v>
      </c>
      <c r="H6" s="64">
        <f t="shared" si="1"/>
        <v>9</v>
      </c>
      <c r="I6" s="64">
        <f t="shared" si="2"/>
        <v>16</v>
      </c>
      <c r="J6" s="64">
        <f t="shared" si="3"/>
        <v>50</v>
      </c>
      <c r="K6" s="64">
        <f t="shared" si="4"/>
        <v>23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47">
        <v>11221005</v>
      </c>
      <c r="B7" s="47" t="s">
        <v>266</v>
      </c>
      <c r="C7" s="50">
        <v>3</v>
      </c>
      <c r="D7" s="50" t="s">
        <v>127</v>
      </c>
      <c r="E7" s="51" t="s">
        <v>217</v>
      </c>
      <c r="F7" s="51" t="s">
        <v>218</v>
      </c>
      <c r="G7" s="64" t="str">
        <f t="shared" si="0"/>
        <v>[effect:fix_speed, target:myself, turn:1][effect:enhance_enemy, target:enemy_exp, turn:-1, status:attack, val:1, animation:virus01]</v>
      </c>
      <c r="H7" s="64">
        <f t="shared" si="1"/>
        <v>9</v>
      </c>
      <c r="I7" s="64">
        <f t="shared" si="2"/>
        <v>18</v>
      </c>
      <c r="J7" s="64">
        <f t="shared" si="3"/>
        <v>27</v>
      </c>
      <c r="K7" s="64">
        <f t="shared" si="4"/>
        <v>33</v>
      </c>
      <c r="L7" s="64" t="str">
        <f>IFERROR(VLOOKUP(MID(G7,J7,K7-J7),[6]skilldef!$C:$D,2,FALSE),"-") &amp; " / " &amp; IFERROR(VLOOKUP(MID(G7,H7,I7-H7),[6]skilldef!$A:$B,2,FALSE),"-")</f>
        <v>自分自身に / 行動値設定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47">
        <v>11221006</v>
      </c>
      <c r="B8" s="47" t="s">
        <v>261</v>
      </c>
      <c r="C8" s="50">
        <v>3</v>
      </c>
      <c r="D8" s="50" t="s">
        <v>127</v>
      </c>
      <c r="E8" s="51" t="s">
        <v>219</v>
      </c>
      <c r="F8" s="51" t="s">
        <v>238</v>
      </c>
      <c r="G8" s="64" t="str">
        <f t="shared" si="0"/>
        <v>[effect:suicide, val:1, dead_type:suicide, target:myself, animation:virus04][effect:dark, target:unit_all, turn:1][effect:sleep, target:unit_all, turn:1, rate:1]</v>
      </c>
      <c r="H8" s="64">
        <f t="shared" si="1"/>
        <v>9</v>
      </c>
      <c r="I8" s="64">
        <f t="shared" si="2"/>
        <v>16</v>
      </c>
      <c r="J8" s="64">
        <f t="shared" si="3"/>
        <v>51</v>
      </c>
      <c r="K8" s="64">
        <f t="shared" si="4"/>
        <v>23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11221334</v>
      </c>
      <c r="B9" s="47" t="s">
        <v>260</v>
      </c>
      <c r="C9" s="50">
        <v>3</v>
      </c>
      <c r="D9" s="50" t="s">
        <v>127</v>
      </c>
      <c r="E9" s="51" t="s">
        <v>220</v>
      </c>
      <c r="F9" s="51" t="s">
        <v>221</v>
      </c>
      <c r="G9" s="64" t="str">
        <f t="shared" si="0"/>
        <v>[effect:suicide, val:1, dead_type:escape, target:enemy_all]</v>
      </c>
      <c r="H9" s="64">
        <f t="shared" si="1"/>
        <v>9</v>
      </c>
      <c r="I9" s="64">
        <f t="shared" si="2"/>
        <v>16</v>
      </c>
      <c r="J9" s="64">
        <f t="shared" si="3"/>
        <v>50</v>
      </c>
      <c r="K9" s="64">
        <f t="shared" si="4"/>
        <v>23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11221338</v>
      </c>
      <c r="B10" s="47" t="s">
        <v>260</v>
      </c>
      <c r="C10" s="50">
        <v>3</v>
      </c>
      <c r="D10" s="50" t="s">
        <v>127</v>
      </c>
      <c r="E10" s="51" t="s">
        <v>220</v>
      </c>
      <c r="F10" s="51" t="s">
        <v>221</v>
      </c>
      <c r="G10" s="64" t="str">
        <f t="shared" ref="G10:G11" si="16">IFERROR(LEFT(B10,FIND("],",B10)),B10)</f>
        <v>[effect:suicide, val:1, dead_type:escape, target:enemy_all]</v>
      </c>
      <c r="H10" s="64">
        <f t="shared" si="1"/>
        <v>9</v>
      </c>
      <c r="I10" s="64">
        <f t="shared" ref="I10:I11" si="17">IFERROR(FIND(",",G10),LEN(G10))</f>
        <v>16</v>
      </c>
      <c r="J10" s="64">
        <f t="shared" ref="J10:J11" si="18">FIND("target:",G10)+7</f>
        <v>50</v>
      </c>
      <c r="K10" s="64">
        <f t="shared" ref="K10:K11" si="19">FIND(",",G10,I10+1)</f>
        <v>23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ref="M10:M11" si="20">IFERROR(RIGHT(B10,LEN(B10)-FIND("],",B10)-1),"none")</f>
        <v>none</v>
      </c>
      <c r="N10" s="48" t="str">
        <f t="shared" si="6"/>
        <v>none</v>
      </c>
      <c r="O10" s="64" t="e">
        <f t="shared" si="7"/>
        <v>#VALUE!</v>
      </c>
      <c r="P10" s="64">
        <f t="shared" ref="P10:P11" si="21">IFERROR(FIND(",",N10),LEN(N10))</f>
        <v>4</v>
      </c>
      <c r="Q10" s="64" t="e">
        <f t="shared" ref="Q10:Q11" si="22">FIND("target:",N10)+7</f>
        <v>#VALUE!</v>
      </c>
      <c r="R10" s="64" t="e">
        <f t="shared" ref="R10:R11" si="23">FIND(",",N10,P10+1)</f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ref="T10:T11" si="24">IFERROR(RIGHT(M10,LEN(M10)-FIND("],",M10)-1),"none")</f>
        <v>none</v>
      </c>
      <c r="U10" s="64" t="e">
        <f t="shared" si="12"/>
        <v>#VALUE!</v>
      </c>
      <c r="V10" s="64">
        <f t="shared" ref="V10:V11" si="25">IFERROR(FIND(",",T10),LEN(T10))</f>
        <v>4</v>
      </c>
      <c r="W10" s="64" t="e">
        <f t="shared" ref="W10:W11" si="26">FIND("target:",T10)+7</f>
        <v>#VALUE!</v>
      </c>
      <c r="X10" s="64" t="e">
        <f t="shared" ref="X10:X11" si="27">FIND(",",T10,V10+1)</f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47">
        <v>11221342</v>
      </c>
      <c r="B11" s="47" t="s">
        <v>260</v>
      </c>
      <c r="C11" s="50">
        <v>3</v>
      </c>
      <c r="D11" s="50" t="s">
        <v>127</v>
      </c>
      <c r="E11" s="51" t="s">
        <v>220</v>
      </c>
      <c r="F11" s="51" t="s">
        <v>221</v>
      </c>
      <c r="G11" s="64" t="str">
        <f t="shared" si="16"/>
        <v>[effect:suicide, val:1, dead_type:escape, target:enemy_all]</v>
      </c>
      <c r="H11" s="64">
        <f t="shared" si="1"/>
        <v>9</v>
      </c>
      <c r="I11" s="64">
        <f t="shared" si="17"/>
        <v>16</v>
      </c>
      <c r="J11" s="64">
        <f t="shared" si="18"/>
        <v>50</v>
      </c>
      <c r="K11" s="64">
        <f t="shared" si="19"/>
        <v>23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20"/>
        <v>none</v>
      </c>
      <c r="N11" s="48" t="str">
        <f t="shared" si="6"/>
        <v>none</v>
      </c>
      <c r="O11" s="64" t="e">
        <f t="shared" si="7"/>
        <v>#VALUE!</v>
      </c>
      <c r="P11" s="64">
        <f t="shared" si="21"/>
        <v>4</v>
      </c>
      <c r="Q11" s="64" t="e">
        <f t="shared" si="22"/>
        <v>#VALUE!</v>
      </c>
      <c r="R11" s="64" t="e">
        <f t="shared" si="23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24"/>
        <v>none</v>
      </c>
      <c r="U11" s="64" t="e">
        <f t="shared" si="12"/>
        <v>#VALUE!</v>
      </c>
      <c r="V11" s="64">
        <f t="shared" si="25"/>
        <v>4</v>
      </c>
      <c r="W11" s="64" t="e">
        <f t="shared" si="26"/>
        <v>#VALUE!</v>
      </c>
      <c r="X11" s="64" t="e">
        <f t="shared" si="27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47">
        <v>11221346</v>
      </c>
      <c r="B12" s="47" t="s">
        <v>260</v>
      </c>
      <c r="C12" s="50">
        <v>3</v>
      </c>
      <c r="D12" s="50" t="s">
        <v>127</v>
      </c>
      <c r="E12" s="51" t="s">
        <v>220</v>
      </c>
      <c r="F12" s="51" t="s">
        <v>221</v>
      </c>
      <c r="G12" s="64" t="str">
        <f t="shared" ref="G12" si="28">IFERROR(LEFT(B12,FIND("],",B12)),B12)</f>
        <v>[effect:suicide, val:1, dead_type:escape, target:enemy_all]</v>
      </c>
      <c r="H12" s="64">
        <f t="shared" si="1"/>
        <v>9</v>
      </c>
      <c r="I12" s="64">
        <f t="shared" ref="I12" si="29">IFERROR(FIND(",",G12),LEN(G12))</f>
        <v>16</v>
      </c>
      <c r="J12" s="64">
        <f t="shared" ref="J12" si="30">FIND("target:",G12)+7</f>
        <v>50</v>
      </c>
      <c r="K12" s="64">
        <f t="shared" ref="K12" si="31">FIND(",",G12,I12+1)</f>
        <v>23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ref="M12" si="32">IFERROR(RIGHT(B12,LEN(B12)-FIND("],",B12)-1),"none")</f>
        <v>none</v>
      </c>
      <c r="N12" s="48" t="str">
        <f t="shared" si="6"/>
        <v>none</v>
      </c>
      <c r="O12" s="64" t="e">
        <f t="shared" si="7"/>
        <v>#VALUE!</v>
      </c>
      <c r="P12" s="64">
        <f t="shared" ref="P12" si="33">IFERROR(FIND(",",N12),LEN(N12))</f>
        <v>4</v>
      </c>
      <c r="Q12" s="64" t="e">
        <f t="shared" ref="Q12" si="34">FIND("target:",N12)+7</f>
        <v>#VALUE!</v>
      </c>
      <c r="R12" s="64" t="e">
        <f t="shared" ref="R12" si="35">FIND(",",N12,P12+1)</f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ref="T12" si="36">IFERROR(RIGHT(M12,LEN(M12)-FIND("],",M12)-1),"none")</f>
        <v>none</v>
      </c>
      <c r="U12" s="64" t="e">
        <f t="shared" si="12"/>
        <v>#VALUE!</v>
      </c>
      <c r="V12" s="64">
        <f t="shared" ref="V12" si="37">IFERROR(FIND(",",T12),LEN(T12))</f>
        <v>4</v>
      </c>
      <c r="W12" s="64" t="e">
        <f t="shared" ref="W12" si="38">FIND("target:",T12)+7</f>
        <v>#VALUE!</v>
      </c>
      <c r="X12" s="64" t="e">
        <f t="shared" ref="X12" si="39">FIND(",",T12,V12+1)</f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47">
        <v>11221008</v>
      </c>
      <c r="B13" s="47" t="s">
        <v>267</v>
      </c>
      <c r="C13" s="50">
        <v>3</v>
      </c>
      <c r="D13" s="50" t="s">
        <v>127</v>
      </c>
      <c r="E13" s="51" t="s">
        <v>222</v>
      </c>
      <c r="F13" s="51" t="s">
        <v>244</v>
      </c>
      <c r="G13" s="64" t="str">
        <f t="shared" si="0"/>
        <v>[effect:virus, turn:1, target:unit_all, rate:1, val:0.85, animation:virus02][effect:fix_speed, target:enemy_all, turn:1][effect:remove_enhancement, target:unit_all, target_effect:dark]</v>
      </c>
      <c r="H13" s="64">
        <f t="shared" si="1"/>
        <v>9</v>
      </c>
      <c r="I13" s="64">
        <f t="shared" si="2"/>
        <v>14</v>
      </c>
      <c r="J13" s="64">
        <f t="shared" si="3"/>
        <v>31</v>
      </c>
      <c r="K13" s="64">
        <f t="shared" si="4"/>
        <v>22</v>
      </c>
      <c r="L13" s="64" t="str">
        <f>IFERROR(VLOOKUP(MID(G13,J13,K13-J13),[6]skilldef!$C:$D,2,FALSE),"-") &amp; " / " &amp; IFERROR(VLOOKUP(MID(G13,H13,I13-H13),[6]skilldef!$A:$B,2,FALSE),"-")</f>
        <v>- / ウィルス</v>
      </c>
      <c r="M13" s="64" t="str">
        <f t="shared" si="5"/>
        <v>none</v>
      </c>
      <c r="N13" s="48" t="str">
        <f>IFERROR(LEFT(M13,FIND("],",M13)+S45),M13)</f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47">
        <v>11221009</v>
      </c>
      <c r="B14" s="47" t="s">
        <v>268</v>
      </c>
      <c r="C14" s="50">
        <v>3</v>
      </c>
      <c r="D14" s="50" t="s">
        <v>127</v>
      </c>
      <c r="E14" s="51" t="s">
        <v>223</v>
      </c>
      <c r="F14" s="51" t="s">
        <v>245</v>
      </c>
      <c r="G14" s="64" t="str">
        <f t="shared" si="0"/>
        <v>[effect:fix_speed, target:myself, turn:1][effect:remove_enhancement, target:unit_all, target_effect:virus][effect:degrade_unit, target:unit_all, turn:-1, status:attack, val:1, calc:mul, animation:cure01]</v>
      </c>
      <c r="H14" s="64">
        <f t="shared" si="1"/>
        <v>9</v>
      </c>
      <c r="I14" s="64">
        <f t="shared" si="2"/>
        <v>18</v>
      </c>
      <c r="J14" s="64">
        <f t="shared" si="3"/>
        <v>27</v>
      </c>
      <c r="K14" s="64">
        <f t="shared" si="4"/>
        <v>33</v>
      </c>
      <c r="L14" s="64" t="str">
        <f>IFERROR(VLOOKUP(MID(G14,J14,K14-J14),[6]skilldef!$C:$D,2,FALSE),"-") &amp; " / " &amp; IFERROR(VLOOKUP(MID(G14,H14,I14-H14),[6]skilldef!$A:$B,2,FALSE),"-")</f>
        <v>自分自身に / 行動値設定</v>
      </c>
      <c r="M14" s="64" t="str">
        <f t="shared" si="5"/>
        <v>none</v>
      </c>
      <c r="N14" s="48" t="str">
        <f>IFERROR(LEFT(M14,FIND("],",M14)+S46),M14)</f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11221010</v>
      </c>
      <c r="B15" s="47" t="s">
        <v>239</v>
      </c>
      <c r="C15" s="50">
        <v>3</v>
      </c>
      <c r="D15" s="50" t="s">
        <v>127</v>
      </c>
      <c r="E15" s="51" t="s">
        <v>241</v>
      </c>
      <c r="F15" s="51" t="s">
        <v>247</v>
      </c>
      <c r="G15" s="64" t="str">
        <f t="shared" si="0"/>
        <v>[effect:suicide, val:1, dead_type:escape, target:myself]</v>
      </c>
      <c r="H15" s="64">
        <f t="shared" si="1"/>
        <v>9</v>
      </c>
      <c r="I15" s="64">
        <f t="shared" si="2"/>
        <v>16</v>
      </c>
      <c r="J15" s="64">
        <f t="shared" si="3"/>
        <v>50</v>
      </c>
      <c r="K15" s="64">
        <f t="shared" si="4"/>
        <v>23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none</v>
      </c>
      <c r="N15" s="48" t="str">
        <f>IFERROR(LEFT(M15,FIND("],",M15)+S47),M15)</f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11221011</v>
      </c>
      <c r="B16" s="47" t="s">
        <v>264</v>
      </c>
      <c r="C16" s="50">
        <v>3</v>
      </c>
      <c r="D16" s="50" t="s">
        <v>127</v>
      </c>
      <c r="E16" s="51" t="s">
        <v>224</v>
      </c>
      <c r="F16" s="51" t="s">
        <v>246</v>
      </c>
      <c r="G16" s="64" t="str">
        <f t="shared" si="0"/>
        <v>[effect:fix_speed, target:myself, turn:1]</v>
      </c>
      <c r="H16" s="64">
        <f t="shared" si="1"/>
        <v>9</v>
      </c>
      <c r="I16" s="64">
        <f t="shared" si="2"/>
        <v>18</v>
      </c>
      <c r="J16" s="64">
        <f t="shared" si="3"/>
        <v>27</v>
      </c>
      <c r="K16" s="64">
        <f t="shared" si="4"/>
        <v>33</v>
      </c>
      <c r="L16" s="64" t="str">
        <f>IFERROR(VLOOKUP(MID(G16,J16,K16-J16),[6]skilldef!$C:$D,2,FALSE),"-") &amp; " / " &amp; IFERROR(VLOOKUP(MID(G16,H16,I16-H16),[6]skilldef!$A:$B,2,FALSE),"-")</f>
        <v>自分自身に / 行動値設定</v>
      </c>
      <c r="M16" s="64" t="str">
        <f t="shared" si="5"/>
        <v>none</v>
      </c>
      <c r="N16" s="48" t="str">
        <f>IFERROR(LEFT(M16,FIND("],",M16)+S48),M16)</f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11221022</v>
      </c>
      <c r="B17" s="47" t="s">
        <v>264</v>
      </c>
      <c r="C17" s="50">
        <v>3</v>
      </c>
      <c r="D17" s="50" t="s">
        <v>127</v>
      </c>
      <c r="E17" s="51" t="s">
        <v>256</v>
      </c>
      <c r="F17" s="51" t="s">
        <v>257</v>
      </c>
      <c r="G17" s="64" t="str">
        <f t="shared" ref="G17" si="40">IFERROR(LEFT(B17,FIND("],",B17)),B17)</f>
        <v>[effect:fix_speed, target:myself, turn:1]</v>
      </c>
      <c r="H17" s="64">
        <f t="shared" si="1"/>
        <v>9</v>
      </c>
      <c r="I17" s="64">
        <f t="shared" ref="I17" si="41">IFERROR(FIND(",",G17),LEN(G17))</f>
        <v>18</v>
      </c>
      <c r="J17" s="64">
        <f t="shared" ref="J17" si="42">FIND("target:",G17)+7</f>
        <v>27</v>
      </c>
      <c r="K17" s="64">
        <f t="shared" ref="K17" si="43">FIND(",",G17,I17+1)</f>
        <v>33</v>
      </c>
      <c r="L17" s="64" t="str">
        <f>IFERROR(VLOOKUP(MID(G17,J17,K17-J17),[6]skilldef!$C:$D,2,FALSE),"-") &amp; " / " &amp; IFERROR(VLOOKUP(MID(G17,H17,I17-H17),[6]skilldef!$A:$B,2,FALSE),"-")</f>
        <v>自分自身に / 行動値設定</v>
      </c>
      <c r="M17" s="64" t="str">
        <f t="shared" ref="M17" si="44">IFERROR(RIGHT(B17,LEN(B17)-FIND("],",B17)-1),"none")</f>
        <v>none</v>
      </c>
      <c r="N17" s="48" t="str">
        <f>IFERROR(LEFT(M17,FIND("],",M17)+S49),M17)</f>
        <v>none</v>
      </c>
      <c r="O17" s="64" t="e">
        <f t="shared" si="7"/>
        <v>#VALUE!</v>
      </c>
      <c r="P17" s="64">
        <f t="shared" ref="P17" si="45">IFERROR(FIND(",",N17),LEN(N17))</f>
        <v>4</v>
      </c>
      <c r="Q17" s="64" t="e">
        <f t="shared" ref="Q17" si="46">FIND("target:",N17)+7</f>
        <v>#VALUE!</v>
      </c>
      <c r="R17" s="64" t="e">
        <f t="shared" ref="R17" si="47">FIND(",",N17,P17+1)</f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ref="T17" si="48">IFERROR(RIGHT(M17,LEN(M17)-FIND("],",M17)-1),"none")</f>
        <v>none</v>
      </c>
      <c r="U17" s="64" t="e">
        <f t="shared" si="12"/>
        <v>#VALUE!</v>
      </c>
      <c r="V17" s="64">
        <f t="shared" ref="V17" si="49">IFERROR(FIND(",",T17),LEN(T17))</f>
        <v>4</v>
      </c>
      <c r="W17" s="64" t="e">
        <f t="shared" ref="W17" si="50">FIND("target:",T17)+7</f>
        <v>#VALUE!</v>
      </c>
      <c r="X17" s="64" t="e">
        <f t="shared" ref="X17" si="51">FIND(",",T17,V17+1)</f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11221012</v>
      </c>
      <c r="B18" s="47" t="s">
        <v>275</v>
      </c>
      <c r="C18" s="50">
        <v>3</v>
      </c>
      <c r="D18" s="50" t="s">
        <v>127</v>
      </c>
      <c r="E18" s="51" t="s">
        <v>248</v>
      </c>
      <c r="F18" s="51" t="s">
        <v>249</v>
      </c>
      <c r="G18" s="64" t="str">
        <f t="shared" ref="G18" si="52">IFERROR(LEFT(B18,FIND("],",B18)),B18)</f>
        <v>[effect:suicide, val:10, dead_type:escape, target:enemy_unknown, animation:damage_one_red05][effect:dark, target:unit_all, turn:1]</v>
      </c>
      <c r="H18" s="64">
        <f t="shared" si="1"/>
        <v>9</v>
      </c>
      <c r="I18" s="64">
        <f t="shared" ref="I18" si="53">IFERROR(FIND(",",G18),LEN(G18))</f>
        <v>16</v>
      </c>
      <c r="J18" s="64">
        <f t="shared" ref="J18" si="54">FIND("target:",G18)+7</f>
        <v>51</v>
      </c>
      <c r="K18" s="64">
        <f t="shared" ref="K18" si="55">FIND(",",G18,I18+1)</f>
        <v>24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ref="M18" si="56">IFERROR(RIGHT(B18,LEN(B18)-FIND("],",B18)-1),"none")</f>
        <v>none</v>
      </c>
      <c r="N18" s="48" t="str">
        <f>IFERROR(LEFT(M18,FIND("],",M18)+S49),M18)</f>
        <v>none</v>
      </c>
      <c r="O18" s="64" t="e">
        <f t="shared" si="7"/>
        <v>#VALUE!</v>
      </c>
      <c r="P18" s="64">
        <f t="shared" ref="P18" si="57">IFERROR(FIND(",",N18),LEN(N18))</f>
        <v>4</v>
      </c>
      <c r="Q18" s="64" t="e">
        <f t="shared" ref="Q18" si="58">FIND("target:",N18)+7</f>
        <v>#VALUE!</v>
      </c>
      <c r="R18" s="64" t="e">
        <f t="shared" ref="R18" si="59">FIND(",",N18,P18+1)</f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ref="T18" si="60">IFERROR(RIGHT(M18,LEN(M18)-FIND("],",M18)-1),"none")</f>
        <v>none</v>
      </c>
      <c r="U18" s="64" t="e">
        <f t="shared" si="12"/>
        <v>#VALUE!</v>
      </c>
      <c r="V18" s="64">
        <f t="shared" ref="V18" si="61">IFERROR(FIND(",",T18),LEN(T18))</f>
        <v>4</v>
      </c>
      <c r="W18" s="64" t="e">
        <f t="shared" ref="W18" si="62">FIND("target:",T18)+7</f>
        <v>#VALUE!</v>
      </c>
      <c r="X18" s="64" t="e">
        <f t="shared" ref="X18" si="63">FIND(",",T18,V18+1)</f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11221013</v>
      </c>
      <c r="B19" s="47" t="s">
        <v>255</v>
      </c>
      <c r="C19" s="50">
        <v>3</v>
      </c>
      <c r="D19" s="50" t="s">
        <v>127</v>
      </c>
      <c r="E19" s="51" t="s">
        <v>225</v>
      </c>
      <c r="F19" s="51" t="s">
        <v>226</v>
      </c>
      <c r="G19" s="64" t="str">
        <f t="shared" si="0"/>
        <v>[effect:suicide, val:1, dead_type:escape, target:enemy_all]</v>
      </c>
      <c r="H19" s="64">
        <f t="shared" si="1"/>
        <v>9</v>
      </c>
      <c r="I19" s="64">
        <f t="shared" si="2"/>
        <v>16</v>
      </c>
      <c r="J19" s="64">
        <f t="shared" si="3"/>
        <v>50</v>
      </c>
      <c r="K19" s="64">
        <f t="shared" si="4"/>
        <v>23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"/>
        <v>none</v>
      </c>
      <c r="N19" s="48" t="str">
        <f t="shared" ref="N19:N26" si="64">IFERROR(LEFT(M19,FIND("],",M19)+S49),M19)</f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47">
        <v>11221014</v>
      </c>
      <c r="B20" s="47" t="s">
        <v>269</v>
      </c>
      <c r="C20" s="50">
        <v>3</v>
      </c>
      <c r="D20" s="50" t="s">
        <v>127</v>
      </c>
      <c r="E20" s="51" t="s">
        <v>229</v>
      </c>
      <c r="F20" s="51" t="s">
        <v>227</v>
      </c>
      <c r="G20" s="64" t="str">
        <f t="shared" si="0"/>
        <v>[effect:fix_speed, target:myself, turn:1][effect:remove_enhancement, target:unit_all, target_effect:dark]</v>
      </c>
      <c r="H20" s="64">
        <f t="shared" si="1"/>
        <v>9</v>
      </c>
      <c r="I20" s="64">
        <f t="shared" si="2"/>
        <v>18</v>
      </c>
      <c r="J20" s="64">
        <f t="shared" si="3"/>
        <v>27</v>
      </c>
      <c r="K20" s="64">
        <f t="shared" si="4"/>
        <v>33</v>
      </c>
      <c r="L20" s="64" t="str">
        <f>IFERROR(VLOOKUP(MID(G20,J20,K20-J20),[6]skilldef!$C:$D,2,FALSE),"-") &amp; " / " &amp; IFERROR(VLOOKUP(MID(G20,H20,I20-H20),[6]skilldef!$A:$B,2,FALSE),"-")</f>
        <v>自分自身に / 行動値設定</v>
      </c>
      <c r="M20" s="64" t="str">
        <f t="shared" si="5"/>
        <v>none</v>
      </c>
      <c r="N20" s="48" t="str">
        <f t="shared" si="64"/>
        <v>none</v>
      </c>
      <c r="O20" s="64" t="e">
        <f t="shared" si="7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11221015</v>
      </c>
      <c r="B21" s="47" t="s">
        <v>270</v>
      </c>
      <c r="C21" s="50">
        <v>3</v>
      </c>
      <c r="D21" s="50" t="s">
        <v>127</v>
      </c>
      <c r="E21" s="51" t="s">
        <v>228</v>
      </c>
      <c r="F21" s="51" t="s">
        <v>277</v>
      </c>
      <c r="G21" s="64" t="str">
        <f t="shared" si="0"/>
        <v>[effect:nothing]</v>
      </c>
      <c r="H21" s="64">
        <f t="shared" si="1"/>
        <v>9</v>
      </c>
      <c r="I21" s="64">
        <f t="shared" si="2"/>
        <v>16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IFERROR(VLOOKUP(MID(G21,J21,K21-J21),[6]skilldef!$C:$D,2,FALSE),"-") &amp; " / " &amp; IFERROR(VLOOKUP(MID(G21,H21,I21-H21),[6]skilldef!$A:$B,2,FALSE),"-")</f>
        <v>- / 何もしない</v>
      </c>
      <c r="M21" s="64" t="str">
        <f t="shared" si="5"/>
        <v>none</v>
      </c>
      <c r="N21" s="48" t="str">
        <f t="shared" si="64"/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11221016</v>
      </c>
      <c r="B22" s="47" t="s">
        <v>271</v>
      </c>
      <c r="C22" s="50">
        <v>3</v>
      </c>
      <c r="D22" s="50" t="s">
        <v>127</v>
      </c>
      <c r="E22" s="51" t="s">
        <v>230</v>
      </c>
      <c r="F22" s="51" t="s">
        <v>253</v>
      </c>
      <c r="G22" s="64" t="str">
        <f t="shared" si="0"/>
        <v>[effect:suicide, val:1, dead_type:escape, target:enemy_all, animation:enemy_escape]</v>
      </c>
      <c r="H22" s="64">
        <f t="shared" si="1"/>
        <v>9</v>
      </c>
      <c r="I22" s="64">
        <f t="shared" si="2"/>
        <v>16</v>
      </c>
      <c r="J22" s="64">
        <f t="shared" si="3"/>
        <v>50</v>
      </c>
      <c r="K22" s="64">
        <f t="shared" si="4"/>
        <v>23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none</v>
      </c>
      <c r="N22" s="48" t="str">
        <f t="shared" si="64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47">
        <v>11221017</v>
      </c>
      <c r="B23" s="47" t="s">
        <v>264</v>
      </c>
      <c r="C23" s="50">
        <v>3</v>
      </c>
      <c r="D23" s="50" t="s">
        <v>127</v>
      </c>
      <c r="E23" s="51" t="s">
        <v>262</v>
      </c>
      <c r="F23" s="51" t="s">
        <v>250</v>
      </c>
      <c r="G23" s="64" t="str">
        <f t="shared" si="0"/>
        <v>[effect:fix_speed, target:myself, turn:1]</v>
      </c>
      <c r="H23" s="64">
        <f t="shared" si="1"/>
        <v>9</v>
      </c>
      <c r="I23" s="64">
        <f t="shared" si="2"/>
        <v>18</v>
      </c>
      <c r="J23" s="64">
        <f t="shared" si="3"/>
        <v>27</v>
      </c>
      <c r="K23" s="64">
        <f t="shared" si="4"/>
        <v>33</v>
      </c>
      <c r="L23" s="64" t="str">
        <f>IFERROR(VLOOKUP(MID(G23,J23,K23-J23),[6]skilldef!$C:$D,2,FALSE),"-") &amp; " / " &amp; IFERROR(VLOOKUP(MID(G23,H23,I23-H23),[6]skilldef!$A:$B,2,FALSE),"-")</f>
        <v>自分自身に / 行動値設定</v>
      </c>
      <c r="M23" s="64" t="str">
        <f t="shared" si="5"/>
        <v>none</v>
      </c>
      <c r="N23" s="48" t="str">
        <f t="shared" si="64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47">
        <v>11221018</v>
      </c>
      <c r="B24" s="47" t="s">
        <v>280</v>
      </c>
      <c r="C24" s="50">
        <v>3</v>
      </c>
      <c r="D24" s="50" t="s">
        <v>127</v>
      </c>
      <c r="E24" s="51" t="s">
        <v>252</v>
      </c>
      <c r="F24" s="51" t="s">
        <v>251</v>
      </c>
      <c r="G24" s="64" t="str">
        <f t="shared" si="0"/>
        <v>[effect:suicide, val:1, dead_type:escape, target:enemy_all]</v>
      </c>
      <c r="H24" s="64">
        <f t="shared" si="1"/>
        <v>9</v>
      </c>
      <c r="I24" s="64">
        <f t="shared" si="2"/>
        <v>16</v>
      </c>
      <c r="J24" s="64">
        <f t="shared" si="3"/>
        <v>50</v>
      </c>
      <c r="K24" s="64">
        <f t="shared" si="4"/>
        <v>23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none</v>
      </c>
      <c r="N24" s="48" t="str">
        <f t="shared" si="64"/>
        <v>none</v>
      </c>
      <c r="O24" s="64" t="e">
        <f t="shared" si="7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2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47">
        <v>11221019</v>
      </c>
      <c r="B25" s="47" t="s">
        <v>272</v>
      </c>
      <c r="C25" s="50">
        <v>3</v>
      </c>
      <c r="D25" s="50" t="s">
        <v>127</v>
      </c>
      <c r="E25" s="51" t="s">
        <v>263</v>
      </c>
      <c r="F25" s="51" t="s">
        <v>231</v>
      </c>
      <c r="G25" s="64" t="str">
        <f t="shared" si="0"/>
        <v>[effect:fix_speed, target:myself, turn:1][effect:force_change_block, new_block:block_heart, target:block_all, count:0, val:0][effect:change_panel_ratio, turn:-1, block_type:red, val:0][effect:change_panel_ratio, turn:-1, block_type:green, val:0][effect:change_panel_ratio, turn:-1, block_type:blue, val:0][effect:change_panel_ratio, turn:-1, block_type:yellow, val:0][effect:change_panel_ratio, turn:-1, block_type:heal, val:1][effect:degrade_unit, target:unit_all, turn:-1, status:action, val:2, calc:add]</v>
      </c>
      <c r="H25" s="64">
        <f t="shared" si="1"/>
        <v>9</v>
      </c>
      <c r="I25" s="64">
        <f t="shared" si="2"/>
        <v>18</v>
      </c>
      <c r="J25" s="64">
        <f t="shared" si="3"/>
        <v>27</v>
      </c>
      <c r="K25" s="64">
        <f t="shared" si="4"/>
        <v>33</v>
      </c>
      <c r="L25" s="64" t="str">
        <f>IFERROR(VLOOKUP(MID(G25,J25,K25-J25),[6]skilldef!$C:$D,2,FALSE),"-") &amp; " / " &amp; IFERROR(VLOOKUP(MID(G25,H25,I25-H25),[6]skilldef!$A:$B,2,FALSE),"-")</f>
        <v>自分自身に / 行動値設定</v>
      </c>
      <c r="M25" s="64" t="str">
        <f t="shared" si="5"/>
        <v>none</v>
      </c>
      <c r="N25" s="48" t="str">
        <f t="shared" si="64"/>
        <v>none</v>
      </c>
      <c r="O25" s="64" t="e">
        <f t="shared" si="7"/>
        <v>#VALUE!</v>
      </c>
      <c r="P25" s="64">
        <f t="shared" si="8"/>
        <v>4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47">
        <v>11221020</v>
      </c>
      <c r="B26" s="47" t="s">
        <v>259</v>
      </c>
      <c r="C26" s="50">
        <v>3</v>
      </c>
      <c r="D26" s="50" t="s">
        <v>127</v>
      </c>
      <c r="E26" s="51" t="s">
        <v>254</v>
      </c>
      <c r="F26" s="51" t="s">
        <v>278</v>
      </c>
      <c r="G26" s="64" t="str">
        <f t="shared" ref="G26" si="65">IFERROR(LEFT(B26,FIND("],",B26)),B26)</f>
        <v>[effect:nothing]</v>
      </c>
      <c r="H26" s="64">
        <f t="shared" si="1"/>
        <v>9</v>
      </c>
      <c r="I26" s="64">
        <f t="shared" ref="I26" si="66">IFERROR(FIND(",",G26),LEN(G26))</f>
        <v>16</v>
      </c>
      <c r="J26" s="64" t="e">
        <f t="shared" ref="J26" si="67">FIND("target:",G26)+7</f>
        <v>#VALUE!</v>
      </c>
      <c r="K26" s="64" t="e">
        <f t="shared" ref="K26" si="68">FIND(",",G26,I26+1)</f>
        <v>#VALUE!</v>
      </c>
      <c r="L26" s="64" t="str">
        <f>IFERROR(VLOOKUP(MID(G26,J26,K26-J26),[6]skilldef!$C:$D,2,FALSE),"-") &amp; " / " &amp; IFERROR(VLOOKUP(MID(G26,H26,I26-H26),[6]skilldef!$A:$B,2,FALSE),"-")</f>
        <v>- / 何もしない</v>
      </c>
      <c r="M26" s="64" t="str">
        <f t="shared" ref="M26" si="69">IFERROR(RIGHT(B26,LEN(B26)-FIND("],",B26)-1),"none")</f>
        <v>none</v>
      </c>
      <c r="N26" s="48" t="str">
        <f t="shared" si="64"/>
        <v>none</v>
      </c>
      <c r="O26" s="64" t="e">
        <f t="shared" si="7"/>
        <v>#VALUE!</v>
      </c>
      <c r="P26" s="64">
        <f t="shared" ref="P26" si="70">IFERROR(FIND(",",N26),LEN(N26))</f>
        <v>4</v>
      </c>
      <c r="Q26" s="64" t="e">
        <f t="shared" ref="Q26" si="71">FIND("target:",N26)+7</f>
        <v>#VALUE!</v>
      </c>
      <c r="R26" s="64" t="e">
        <f t="shared" ref="R26" si="72">FIND(",",N26,P26+1)</f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ref="T26" si="73">IFERROR(RIGHT(M26,LEN(M26)-FIND("],",M26)-1),"none")</f>
        <v>none</v>
      </c>
      <c r="U26" s="64" t="e">
        <f t="shared" si="12"/>
        <v>#VALUE!</v>
      </c>
      <c r="V26" s="64">
        <f t="shared" ref="V26" si="74">IFERROR(FIND(",",T26),LEN(T26))</f>
        <v>4</v>
      </c>
      <c r="W26" s="64" t="e">
        <f t="shared" ref="W26" si="75">FIND("target:",T26)+7</f>
        <v>#VALUE!</v>
      </c>
      <c r="X26" s="64" t="e">
        <f t="shared" ref="X26" si="76">FIND(",",T26,V26+1)</f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47">
        <v>11221021</v>
      </c>
      <c r="B27" s="47" t="s">
        <v>240</v>
      </c>
      <c r="C27" s="50">
        <v>3</v>
      </c>
      <c r="D27" s="50" t="s">
        <v>127</v>
      </c>
      <c r="E27" s="51" t="s">
        <v>273</v>
      </c>
      <c r="F27" s="51" t="s">
        <v>274</v>
      </c>
      <c r="G27" s="64" t="str">
        <f t="shared" si="0"/>
        <v>[effect:suicide, val:1, dead_type:escape, target:enemy_all]</v>
      </c>
      <c r="H27" s="64">
        <f t="shared" si="1"/>
        <v>9</v>
      </c>
      <c r="I27" s="64">
        <f t="shared" si="2"/>
        <v>16</v>
      </c>
      <c r="J27" s="64">
        <f t="shared" si="3"/>
        <v>50</v>
      </c>
      <c r="K27" s="64">
        <f t="shared" si="4"/>
        <v>23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none</v>
      </c>
      <c r="N27" s="48" t="str">
        <f t="shared" ref="N27" si="77">IFERROR(LEFT(M27,FIND("],",M27)+S56),M27)</f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G28" s="49">
        <f t="shared" si="0"/>
        <v>0</v>
      </c>
      <c r="H28" s="49" t="e">
        <f t="shared" si="1"/>
        <v>#VALUE!</v>
      </c>
      <c r="I28" s="49">
        <f t="shared" si="2"/>
        <v>1</v>
      </c>
      <c r="J28" s="49" t="e">
        <f t="shared" si="3"/>
        <v>#VALUE!</v>
      </c>
      <c r="K28" s="49" t="e">
        <f t="shared" si="4"/>
        <v>#VALUE!</v>
      </c>
      <c r="M28" s="49" t="str">
        <f t="shared" si="5"/>
        <v>none</v>
      </c>
      <c r="T28" s="49" t="str">
        <f t="shared" si="11"/>
        <v>none</v>
      </c>
      <c r="U28" s="49" t="e">
        <f t="shared" si="12"/>
        <v>#VALUE!</v>
      </c>
      <c r="V28" s="49">
        <f t="shared" si="13"/>
        <v>4</v>
      </c>
      <c r="W28" s="49" t="e">
        <f t="shared" si="14"/>
        <v>#VALUE!</v>
      </c>
      <c r="X28" s="49" t="e">
        <f t="shared" si="15"/>
        <v>#VALUE!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"/>
  <sheetViews>
    <sheetView showGridLines="0" zoomScale="75" zoomScaleNormal="75" zoomScalePageLayoutView="75" workbookViewId="0">
      <pane ySplit="1" topLeftCell="A2" activePane="bottomLeft" state="frozenSplit"/>
      <selection pane="bottomLeft" activeCell="A5" sqref="A5:A8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11221000</v>
      </c>
      <c r="B2" s="47">
        <v>1</v>
      </c>
      <c r="C2" s="47">
        <v>3</v>
      </c>
      <c r="D2" s="47">
        <v>0</v>
      </c>
      <c r="E2" s="47" t="s">
        <v>211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0</v>
      </c>
    </row>
    <row r="3" spans="1:11" ht="21" customHeight="1">
      <c r="A3" s="47">
        <v>11221001</v>
      </c>
      <c r="B3" s="47">
        <v>0</v>
      </c>
      <c r="C3" s="47">
        <v>2</v>
      </c>
      <c r="D3" s="47">
        <v>100</v>
      </c>
      <c r="E3" s="47" t="s">
        <v>211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" si="1">D3</f>
        <v>100</v>
      </c>
    </row>
    <row r="4" spans="1:11" ht="21" customHeight="1">
      <c r="A4" s="47">
        <v>11221003</v>
      </c>
      <c r="B4" s="47">
        <v>0</v>
      </c>
      <c r="C4" s="47">
        <v>1</v>
      </c>
      <c r="D4" s="47">
        <v>100</v>
      </c>
      <c r="E4" s="47" t="s">
        <v>209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ref="J4" si="2">D4</f>
        <v>100</v>
      </c>
    </row>
    <row r="5" spans="1:11" ht="21" customHeight="1">
      <c r="A5" s="47">
        <v>11221334</v>
      </c>
      <c r="B5" s="47">
        <v>0</v>
      </c>
      <c r="C5" s="47">
        <v>1</v>
      </c>
      <c r="D5" s="47">
        <v>100</v>
      </c>
      <c r="E5" s="47" t="s">
        <v>211</v>
      </c>
      <c r="F5" s="47" t="s">
        <v>53</v>
      </c>
      <c r="G5" s="47">
        <v>1</v>
      </c>
      <c r="H5" s="47" t="s">
        <v>53</v>
      </c>
      <c r="I5" s="20">
        <v>334</v>
      </c>
      <c r="J5" s="48">
        <f>D5</f>
        <v>100</v>
      </c>
    </row>
    <row r="6" spans="1:11" ht="21" customHeight="1">
      <c r="A6" s="47">
        <v>11221338</v>
      </c>
      <c r="B6" s="47">
        <v>0</v>
      </c>
      <c r="C6" s="47">
        <v>1</v>
      </c>
      <c r="D6" s="47">
        <v>100</v>
      </c>
      <c r="E6" s="47" t="s">
        <v>209</v>
      </c>
      <c r="F6" s="47" t="s">
        <v>53</v>
      </c>
      <c r="G6" s="47">
        <v>1</v>
      </c>
      <c r="H6" s="47" t="s">
        <v>53</v>
      </c>
      <c r="I6" s="20">
        <v>338</v>
      </c>
      <c r="J6" s="48">
        <f>D6</f>
        <v>100</v>
      </c>
    </row>
    <row r="7" spans="1:11" ht="21" customHeight="1">
      <c r="A7" s="47">
        <v>11221342</v>
      </c>
      <c r="B7" s="47">
        <v>0</v>
      </c>
      <c r="C7" s="47">
        <v>1</v>
      </c>
      <c r="D7" s="47">
        <v>100</v>
      </c>
      <c r="E7" s="47" t="s">
        <v>209</v>
      </c>
      <c r="F7" s="47" t="s">
        <v>53</v>
      </c>
      <c r="G7" s="47">
        <v>1</v>
      </c>
      <c r="H7" s="47" t="s">
        <v>53</v>
      </c>
      <c r="I7" s="20">
        <v>342</v>
      </c>
      <c r="J7" s="48">
        <f>D7</f>
        <v>100</v>
      </c>
    </row>
    <row r="8" spans="1:11" ht="21" customHeight="1">
      <c r="A8" s="47">
        <v>11221346</v>
      </c>
      <c r="B8" s="47">
        <v>0</v>
      </c>
      <c r="C8" s="47">
        <v>1</v>
      </c>
      <c r="D8" s="47">
        <v>100</v>
      </c>
      <c r="E8" s="47" t="s">
        <v>209</v>
      </c>
      <c r="F8" s="47" t="s">
        <v>53</v>
      </c>
      <c r="G8" s="47">
        <v>1</v>
      </c>
      <c r="H8" s="47" t="s">
        <v>53</v>
      </c>
      <c r="I8" s="20">
        <v>346</v>
      </c>
      <c r="J8" s="48">
        <f>D8</f>
        <v>100</v>
      </c>
    </row>
  </sheetData>
  <autoFilter ref="A1:G1"/>
  <phoneticPr fontId="5"/>
  <conditionalFormatting sqref="K9:K1048576 K1:K2">
    <cfRule type="duplicateValues" dxfId="6" priority="7"/>
  </conditionalFormatting>
  <conditionalFormatting sqref="K3">
    <cfRule type="duplicateValues" dxfId="5" priority="6"/>
  </conditionalFormatting>
  <conditionalFormatting sqref="K5">
    <cfRule type="duplicateValues" dxfId="4" priority="5"/>
  </conditionalFormatting>
  <conditionalFormatting sqref="K4">
    <cfRule type="duplicateValues" dxfId="3" priority="4"/>
  </conditionalFormatting>
  <conditionalFormatting sqref="K6">
    <cfRule type="duplicateValues" dxfId="2" priority="3"/>
  </conditionalFormatting>
  <conditionalFormatting sqref="K7">
    <cfRule type="duplicateValues" dxfId="1" priority="2"/>
  </conditionalFormatting>
  <conditionalFormatting sqref="K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/>
  </sheetViews>
  <sheetFormatPr baseColWidth="12" defaultRowHeight="18" x14ac:dyDescent="0"/>
  <cols>
    <col min="17" max="18" width="19" bestFit="1" customWidth="1"/>
  </cols>
  <sheetData>
    <row r="1" spans="1:18">
      <c r="A1" s="65" t="s">
        <v>150</v>
      </c>
      <c r="B1" s="65" t="s">
        <v>151</v>
      </c>
      <c r="C1" s="66" t="s">
        <v>152</v>
      </c>
      <c r="D1" s="73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>
      <c r="A2" s="57">
        <f>floors!C2</f>
        <v>11221</v>
      </c>
      <c r="B2" s="57">
        <v>1</v>
      </c>
      <c r="C2" s="72" t="str">
        <f>A2&amp; "_"&amp;B2</f>
        <v>11221_1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"/>
  <sheetViews>
    <sheetView showGridLines="0" workbookViewId="0">
      <pane ySplit="1" topLeftCell="A2" activePane="bottomLeft" state="frozen"/>
      <selection pane="bottomLeft" activeCell="L3" sqref="L3"/>
    </sheetView>
  </sheetViews>
  <sheetFormatPr baseColWidth="12" defaultColWidth="13" defaultRowHeight="18" outlineLevelCol="1" x14ac:dyDescent="0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16.5" bestFit="1" customWidth="1"/>
    <col min="12" max="12" width="42.6640625" customWidth="1"/>
  </cols>
  <sheetData>
    <row r="1" spans="1:13">
      <c r="A1" s="77" t="s">
        <v>189</v>
      </c>
      <c r="B1" s="74" t="s">
        <v>190</v>
      </c>
      <c r="C1" s="78" t="s">
        <v>191</v>
      </c>
      <c r="D1" s="78" t="s">
        <v>33</v>
      </c>
      <c r="E1" s="74" t="s">
        <v>192</v>
      </c>
      <c r="F1" s="78" t="s">
        <v>193</v>
      </c>
      <c r="G1" s="78" t="s">
        <v>33</v>
      </c>
      <c r="H1" s="74" t="s">
        <v>194</v>
      </c>
      <c r="I1" s="85" t="s">
        <v>195</v>
      </c>
      <c r="J1" s="89" t="s">
        <v>126</v>
      </c>
      <c r="K1" s="89" t="s">
        <v>187</v>
      </c>
      <c r="L1" s="90" t="s">
        <v>186</v>
      </c>
      <c r="M1" s="79" t="s">
        <v>196</v>
      </c>
    </row>
    <row r="2" spans="1:13" ht="55">
      <c r="A2" s="80" t="s">
        <v>198</v>
      </c>
      <c r="B2" s="81">
        <f>floors!$C$2</f>
        <v>11221</v>
      </c>
      <c r="C2" s="87" t="str">
        <f ca="1">VLOOKUP($B2,OFFSET([2]quests!$A$1,0,0,COUNTA([2]quests!$A:$A),MATCH(C$1,[2]quests!$1:$1,0)-MATCH($B$1,[2]quests!$1:$1,0)+1),MATCH(C$1,[2]quests!$1:$1,0)-MATCH($B$1,[2]quests!$1:$1,0)+1,FALSE)</f>
        <v>新生活★応援クエスト</v>
      </c>
      <c r="D2" s="87" t="str">
        <f ca="1">VLOOKUP($B2,OFFSET([2]quests!$A$1,0,0,COUNTA([2]quests!$A:$A),MATCH(D$1,[2]quests!$1:$1,0)-MATCH($B$1,[2]quests!$1:$1,0)+1),MATCH(D$1,[2]quests!$1:$1,0)-MATCH($B$1,[2]quests!$1:$1,0)+1,FALSE)</f>
        <v>2016年卒業クエスト</v>
      </c>
      <c r="E2" s="83">
        <v>1</v>
      </c>
      <c r="F2" s="87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【ストーリー】桜舞い散る樹の下で</v>
      </c>
      <c r="G2" s="87" t="str">
        <f ca="1">VLOOKUP($B2&amp;"_"&amp;$E2,OFFSET([2]stages!$A$1,0,0,COUNTA([2]stages!$A:$A),MATCH(G$1,[2]stages!$2:$2,0)-MATCH("temp_stage",[2]stages!$2:$2,0)+1),MATCH(G$1,[2]stages!$2:$2,0)-MATCH("temp_stage",[2]stages!$2:$2,0)+1,FALSE)</f>
        <v>2016年卒業クエスト</v>
      </c>
      <c r="H2" s="88">
        <v>0</v>
      </c>
      <c r="I2" s="57">
        <v>0</v>
      </c>
      <c r="J2" s="82" t="s">
        <v>197</v>
      </c>
      <c r="K2" s="83" t="s">
        <v>232</v>
      </c>
      <c r="L2" s="92" t="s">
        <v>235</v>
      </c>
      <c r="M2" s="57" t="s">
        <v>206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Yoshizawa Yosuke</cp:lastModifiedBy>
  <dcterms:created xsi:type="dcterms:W3CDTF">2015-01-30T13:36:44Z</dcterms:created>
  <dcterms:modified xsi:type="dcterms:W3CDTF">2016-03-24T05:03:52Z</dcterms:modified>
</cp:coreProperties>
</file>