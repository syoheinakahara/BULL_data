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40" yWindow="460" windowWidth="26800" windowHeight="15880" tabRatio="740" activeTab="1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1" l="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2" i="11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2" i="1"/>
  <c r="AD3" i="1"/>
  <c r="AD4" i="1"/>
  <c r="AD5" i="1"/>
  <c r="AD6" i="1"/>
  <c r="AD7" i="1"/>
  <c r="AD8" i="1"/>
  <c r="AD9" i="1"/>
  <c r="AD10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G2" i="2"/>
  <c r="A2" i="2"/>
  <c r="G3" i="2"/>
  <c r="A3" i="2"/>
  <c r="G4" i="2"/>
  <c r="A4" i="2"/>
  <c r="G5" i="2"/>
  <c r="A5" i="2"/>
  <c r="G6" i="2"/>
  <c r="A6" i="2"/>
  <c r="G7" i="2"/>
  <c r="A7" i="2"/>
  <c r="J11" i="1"/>
  <c r="I11" i="1"/>
  <c r="D11" i="1"/>
  <c r="F11" i="1"/>
  <c r="E11" i="1"/>
  <c r="A11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E2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7" i="2"/>
  <c r="E7" i="2"/>
  <c r="D7" i="2"/>
  <c r="H2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C12" i="16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A2" i="18"/>
  <c r="C2" i="18"/>
  <c r="D2" i="18"/>
  <c r="O2" i="9"/>
  <c r="N2" i="9"/>
  <c r="M2" i="9"/>
  <c r="L2" i="9"/>
  <c r="K2" i="9"/>
  <c r="J2" i="9"/>
  <c r="I2" i="9"/>
  <c r="H2" i="9"/>
  <c r="G2" i="9"/>
  <c r="D2" i="9"/>
  <c r="AA2" i="7"/>
  <c r="C4" i="16"/>
  <c r="C5" i="16"/>
  <c r="C6" i="16"/>
  <c r="C7" i="16"/>
  <c r="C8" i="16"/>
  <c r="C9" i="16"/>
  <c r="C3" i="16"/>
  <c r="E9" i="16"/>
  <c r="Z2" i="7"/>
  <c r="R2" i="7"/>
  <c r="Q2" i="7"/>
  <c r="P2" i="7"/>
  <c r="O2" i="7"/>
  <c r="N2" i="7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<sst xmlns="http://schemas.openxmlformats.org/spreadsheetml/2006/main" count="1234" uniqueCount="355">
  <si>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</si>
  <si>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</si>
  <si>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</si>
  <si>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</si>
  <si>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</si>
  <si>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</si>
  <si>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</si>
  <si>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</si>
  <si>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</si>
  <si>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</si>
  <si>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</si>
  <si>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</si>
  <si>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</si>
  <si>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</si>
  <si>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</si>
  <si>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</si>
  <si>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</si>
  <si>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</si>
  <si>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</si>
  <si>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</si>
  <si>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</si>
  <si>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</si>
  <si>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</si>
  <si>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</si>
  <si>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</si>
  <si>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</si>
  <si>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</si>
  <si>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</si>
  <si>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</si>
  <si>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</si>
  <si>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</si>
  <si>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</si>
  <si>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</si>
  <si>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</si>
  <si>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</si>
  <si>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</si>
  <si>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</si>
  <si>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</si>
  <si>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</si>
  <si>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</si>
  <si>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</si>
  <si>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</si>
  <si>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</si>
  <si>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</si>
  <si>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</si>
  <si>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</si>
  <si>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</si>
  <si>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</si>
  <si>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</si>
  <si>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</si>
  <si>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</si>
  <si>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</si>
  <si>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</si>
  <si>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</si>
  <si>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</si>
  <si>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</si>
  <si>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</si>
  <si>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</si>
  <si>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</si>
  <si>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</si>
  <si>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</si>
  <si>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</si>
  <si>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</si>
  <si>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</si>
  <si>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</si>
  <si>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</si>
  <si>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</si>
  <si>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</si>
  <si>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</si>
  <si>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</si>
  <si>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</si>
  <si>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</si>
  <si>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</si>
  <si>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</si>
  <si>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</si>
  <si>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</si>
  <si>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</si>
  <si>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</si>
  <si>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</si>
  <si>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</si>
  <si>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</si>
  <si>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</si>
  <si>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</si>
  <si>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</si>
  <si>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</si>
  <si>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</si>
  <si>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</si>
  <si>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</si>
  <si>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</si>
  <si>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</si>
  <si>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</si>
  <si>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</si>
  <si>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</si>
  <si>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</si>
  <si>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</si>
  <si>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</si>
  <si>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</si>
  <si>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</si>
  <si>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</si>
  <si>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</si>
  <si>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</si>
  <si>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</si>
  <si>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</si>
  <si>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</si>
  <si>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</si>
  <si>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</si>
  <si>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</si>
  <si>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</si>
  <si>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</si>
  <si>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</si>
  <si>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</si>
  <si>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</si>
  <si>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</si>
  <si>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</si>
  <si>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</si>
  <si>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</si>
  <si>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</si>
  <si>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</si>
  <si>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</si>
  <si>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</si>
  <si>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</si>
  <si>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</si>
  <si>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</si>
  <si>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</si>
  <si>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</si>
  <si>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</si>
  <si>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</si>
  <si>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</si>
  <si>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</si>
  <si>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</si>
  <si>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</si>
  <si>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</si>
  <si>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</si>
  <si>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</si>
  <si>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</si>
  <si>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</si>
  <si>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</si>
  <si>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</si>
  <si>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</si>
  <si>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</si>
  <si>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</si>
  <si>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</si>
  <si>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</si>
  <si>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</si>
  <si>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</si>
  <si>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</si>
  <si>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</si>
  <si>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</si>
  <si>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</si>
  <si>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</si>
  <si>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</si>
  <si>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</si>
  <si>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</si>
  <si>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</si>
  <si>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</si>
  <si>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</si>
  <si>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</si>
  <si>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</si>
  <si>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</si>
  <si>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</si>
  <si>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</si>
  <si>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</si>
  <si>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</si>
  <si>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</si>
  <si>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</si>
  <si>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</si>
  <si>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</si>
  <si>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</si>
  <si>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</si>
  <si>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</si>
  <si>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</si>
  <si>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</si>
  <si>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</si>
  <si>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</si>
  <si>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</si>
  <si>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</si>
  <si>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</si>
  <si>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</si>
  <si>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</si>
  <si>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</si>
  <si>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</si>
  <si>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</si>
  <si>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</si>
  <si>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</si>
  <si>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</si>
  <si>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</si>
  <si>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</si>
  <si>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</si>
  <si>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</si>
  <si>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</si>
  <si>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</si>
  <si>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</si>
  <si>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</si>
  <si>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</si>
  <si>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</si>
  <si>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</si>
  <si>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</si>
  <si>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</si>
  <si>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</si>
  <si>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</si>
  <si>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</si>
  <si>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</si>
  <si>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</si>
  <si>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</si>
  <si>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</si>
  <si>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</si>
  <si>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</si>
  <si>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</si>
  <si>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</si>
  <si>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</si>
  <si>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</si>
  <si>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</si>
  <si>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</si>
  <si>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</si>
  <si>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</si>
  <si>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</si>
  <si>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</si>
  <si>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</si>
  <si>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</si>
  <si>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</si>
  <si>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</si>
  <si>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</si>
  <si>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</si>
  <si>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</si>
  <si>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</si>
  <si>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</si>
  <si>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</si>
  <si>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</si>
  <si>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</si>
  <si>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</si>
  <si>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</si>
  <si>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</si>
  <si>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</si>
  <si>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</si>
  <si>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</si>
  <si>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</si>
  <si>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</si>
  <si>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</si>
  <si>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</si>
  <si>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</si>
  <si>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</si>
  <si>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</si>
  <si>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</si>
  <si>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</si>
  <si>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</si>
  <si>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</si>
  <si>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</si>
  <si>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</si>
  <si>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</si>
  <si>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</si>
  <si>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</si>
  <si>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</si>
  <si>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</si>
  <si>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</si>
  <si>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</si>
  <si>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</si>
  <si>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</si>
  <si>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</si>
  <si>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</si>
  <si>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</si>
  <si>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</si>
  <si>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</si>
  <si>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</si>
  <si>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</si>
  <si>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</si>
  <si>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</si>
  <si>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</si>
  <si>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</si>
  <si>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なし</t>
  </si>
  <si>
    <t>長くつなげて大ダメージ</t>
  </si>
  <si>
    <t>パネルを長くつなげるほど
大ダメージを与えることができます</t>
  </si>
  <si>
    <t>属性の相性</t>
  </si>
  <si>
    <t>赤＞青　青＞黄　黄＞緑　緑＞赤
敵属性に最適なパーティがオススメです</t>
  </si>
  <si>
    <t>ターゲット</t>
  </si>
  <si>
    <t>敵ユニットをタップすると
その敵を狙い撃ちできます</t>
  </si>
  <si>
    <t>ユニット強化でレベルアップ</t>
  </si>
  <si>
    <t>「ユニット強化」でレベルアップすると
勝てない敵にも勝てるようになります</t>
  </si>
  <si>
    <t>ユニット強化の属性ボーナス</t>
  </si>
  <si>
    <t>同属性ユニットを強化素材にすると
経験値が多くもらえます</t>
  </si>
  <si>
    <t>メタルダックで経験値を獲得</t>
  </si>
  <si>
    <t>「メタルなアヒル」を強化素材にすると
大量の経験値がもらえます</t>
  </si>
  <si>
    <t>ゲリラクエストは要チェック</t>
  </si>
  <si>
    <t>時間限定の「アヒル捕獲作戦」では
経験値素材ユニットが多く手に入ります</t>
  </si>
  <si>
    <t>ゴールドダックでビットを獲得</t>
  </si>
  <si>
    <t>「ゴールドなアヒル」を売却すると
大量のビットがもらえます</t>
  </si>
  <si>
    <t>土日に大量のビットを獲得</t>
  </si>
  <si>
    <t>土日限定の「ゴールドカジノ」では
売却素材ユニットが多く手に入ります</t>
  </si>
  <si>
    <t>ランク解放クエスト</t>
  </si>
  <si>
    <t>一定ランクに到達すると
報酬付きのランク開放クエストが現れます</t>
  </si>
  <si>
    <t>ユニットのお気に入り登録</t>
  </si>
  <si>
    <t>大事なユニットを誤って消さないように
フォルダから「お気に入り登録」しましょう</t>
  </si>
  <si>
    <t>ユニットの覚醒</t>
  </si>
  <si>
    <t>ユニットを覚醒させると
比べものにならない強さが手に入ります</t>
  </si>
  <si>
    <t>覚醒するにはレベルを最大に</t>
  </si>
  <si>
    <t>覚醒するにはユニットのレベルを
最大まで上げる必要があります</t>
  </si>
  <si>
    <t>覚醒素材を獲得</t>
  </si>
  <si>
    <t>「曜日クエスト」では
ユニットの覚醒に必要な素材が手に入ります</t>
  </si>
  <si>
    <t>マルチプレイのメリット（その1）</t>
  </si>
  <si>
    <t>他のプレイヤーとマルチプレイで遊ぶと
ポリゴンがもらえます（100人まで）</t>
  </si>
  <si>
    <t>リンクガチャ</t>
  </si>
  <si>
    <t>無料のリンクガチャを回して
経験値素材や売却素材を獲得しましょう</t>
  </si>
  <si>
    <t>マルチプレイのメリット（その2）</t>
  </si>
  <si>
    <t>マルチプレイならリンクが2倍もらえます
リンクガチャをたくさん回しましょう</t>
  </si>
  <si>
    <t>ソロ専用タワーオブザクイーン</t>
  </si>
  <si>
    <t>ソロ専用の「タワーオブザクイーン」は
期間限定で定期的に開催されます
ここでしか獲得できない報酬もあるようです</t>
  </si>
  <si>
    <t>マルチプレイのメリット（その3）</t>
  </si>
  <si>
    <t>マルチプレイへの参加はエナジー消費ゼロ
いつでも好きなだけ遊ぶことができます</t>
  </si>
  <si>
    <t>スキルを有効に</t>
  </si>
  <si>
    <t>ターン経過でユニットのスキルが使えます
強力スキルでバトルを有利に進めましょう</t>
  </si>
  <si>
    <t>フィーバーで一発逆転（その1）</t>
  </si>
  <si>
    <t>フィーバーは攻撃と回復を兼ね備えます
ピンチからの一発逆転を狙いましょう</t>
  </si>
  <si>
    <t>フィーバーで一発逆転（その2）</t>
  </si>
  <si>
    <t>フィーバー中は虹色のボムパネルを狙って
画面上のパネルを一気に破壊しましょう</t>
  </si>
  <si>
    <t>りんごを使って限界突破</t>
  </si>
  <si>
    <t>赤りんご(攻撃力) 青りんご(回復力)
緑りんご(体力)をユニット強化に使うと
ステータスが限界突破します（計99個迄）</t>
  </si>
  <si>
    <t>スキルレベルアップ</t>
  </si>
  <si>
    <t>「クリスタルのりんご」を強化に使うと
スキルレベルを上げることができます</t>
  </si>
  <si>
    <t>スキルレベルの効果</t>
  </si>
  <si>
    <t>スキルレベルが上がると
短いターンでスキルを使うことができます</t>
  </si>
  <si>
    <t>システム適合者を確認</t>
  </si>
  <si>
    <t>ALICEが 「アナタ」を呼んでいます</t>
  </si>
  <si>
    <t>ホーム画面からデッキを編成</t>
  </si>
  <si>
    <t>ホーム画面でユニットを長押しすると
すぐにパーティ編成に移動できます</t>
  </si>
  <si>
    <t>ステータス情報は長押しで</t>
  </si>
  <si>
    <t>ユニットのアイコンを長押しすると
ステータス情報を確認することができます</t>
  </si>
  <si>
    <t>「バグ」のメリット</t>
  </si>
  <si>
    <t>ユニットの「バグ」を増やすと
報酬をもらえる確率がアップします</t>
  </si>
  <si>
    <t>「バグ」の増やし方</t>
  </si>
  <si>
    <t>同じユニット同士を強化で合成すると
「バグ」を増やすことができます</t>
  </si>
  <si>
    <t>イベントはお知らせでチェック</t>
  </si>
  <si>
    <t>イベント限定ユニットを取り忘れないように
お知らせをこまめにチェックしましょう</t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</si>
  <si>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</si>
  <si>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</si>
  <si>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</si>
  <si>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</si>
  <si>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</si>
  <si>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</si>
  <si>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</si>
  <si>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</si>
  <si>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タワーオブザクイーンのボス</t>
  </si>
  <si>
    <t>「タワーオブザクイーン」最上階のボスは
15階の初回クリア報酬で獲得できるほか
その階にて低確率でドロップもします</t>
  </si>
  <si>
    <t>限界突破値の引き継ぎ</t>
  </si>
  <si>
    <t>同じユニットを強化で合成すると
限界突破値を引き継げます（覚醒前後も可）</t>
  </si>
  <si>
    <t>old</t>
  </si>
  <si>
    <t>[effect:enemy_message, val1:2.3, val2:2.5, dead_type:escape]</t>
  </si>
  <si>
    <t>[effect:enemy_message, val1:2.0, val2:0, dead_type:escape]</t>
  </si>
  <si>
    <t>[effect:enemy_message, val1:2.2, val2:0, dead_type:escape],[effect:set_background, turn:-1, background_id:965, switching_mode:cross_fade, duration:1.0]</t>
  </si>
  <si>
    <t>[effect:enemy_message, val1:2.7, val2:0, dead_type:escape]</t>
  </si>
  <si>
    <t>ふふっ、貴方が来るのを待っていましたよ♪</t>
    <rPh sb="4" eb="6">
      <t>アナタガ</t>
    </rPh>
    <rPh sb="7" eb="8">
      <t>クルノヲ</t>
    </rPh>
    <rPh sb="11" eb="12">
      <t>マッテイマシタ</t>
    </rPh>
    <phoneticPr fontId="5"/>
  </si>
  <si>
    <t>さぁ、適合者テストを始めましょうか…！</t>
    <rPh sb="3" eb="6">
      <t>テキゴウシャ</t>
    </rPh>
    <rPh sb="10" eb="11">
      <t>ハジメマショウカ</t>
    </rPh>
    <phoneticPr fontId="5"/>
  </si>
  <si>
    <t>素晴らしいですね！合格です♪</t>
    <rPh sb="0" eb="2">
      <t>スバラシイ</t>
    </rPh>
    <rPh sb="9" eb="11">
      <t>ゴウカク</t>
    </rPh>
    <phoneticPr fontId="5"/>
  </si>
  <si>
    <t>表示しない</t>
    <rPh sb="0" eb="2">
      <t>ヒョウジ</t>
    </rPh>
    <phoneticPr fontId="5"/>
  </si>
  <si>
    <t>適合者…</t>
    <rPh sb="0" eb="3">
      <t>テキゴウシャ</t>
    </rPh>
    <phoneticPr fontId="5"/>
  </si>
  <si>
    <t>…いずれALICEの真実を知る事になるわ…</t>
    <rPh sb="10" eb="12">
      <t>シンジツヲ</t>
    </rPh>
    <rPh sb="13" eb="14">
      <t>シル</t>
    </rPh>
    <rPh sb="15" eb="16">
      <t>コトニ</t>
    </rPh>
    <phoneticPr fontId="5"/>
  </si>
  <si>
    <t>0_2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</si>
</sst>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16" fillId="0" borderId="7" xfId="0" applyFont="1" applyBorder="1" applyAlignment="1">
      <alignment horizontal="left" vertical="center"/>
    </xf>
    <xf numFmtId="0" fontId="6" fillId="13" borderId="3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65525</v>
          </cell>
        </row>
        <row r="328">
          <cell r="A328">
            <v>65526</v>
          </cell>
        </row>
        <row r="329">
          <cell r="A329">
            <v>65527</v>
          </cell>
        </row>
        <row r="330">
          <cell r="A330">
            <v>65528</v>
          </cell>
        </row>
        <row r="331">
          <cell r="A331">
            <v>65529</v>
          </cell>
        </row>
        <row r="332">
          <cell r="A332">
            <v>65530</v>
          </cell>
        </row>
        <row r="333">
          <cell r="A333">
            <v>65531</v>
          </cell>
        </row>
        <row r="334">
          <cell r="A334">
            <v>65532</v>
          </cell>
        </row>
        <row r="335">
          <cell r="A335">
            <v>65533</v>
          </cell>
        </row>
        <row r="336">
          <cell r="A336">
            <v>65534</v>
          </cell>
        </row>
        <row r="337">
          <cell r="A337">
            <v>65535</v>
          </cell>
        </row>
        <row r="338">
          <cell r="A338">
            <v>60021</v>
          </cell>
        </row>
        <row r="339">
          <cell r="A339">
            <v>60022</v>
          </cell>
        </row>
        <row r="340">
          <cell r="A340">
            <v>60023</v>
          </cell>
        </row>
        <row r="341">
          <cell r="A34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49001_1</v>
          </cell>
        </row>
        <row r="875">
          <cell r="A875" t="str">
            <v>49002_1</v>
          </cell>
        </row>
        <row r="876">
          <cell r="A876" t="str">
            <v>49002_2</v>
          </cell>
        </row>
        <row r="877">
          <cell r="A877" t="str">
            <v>49003_1</v>
          </cell>
        </row>
        <row r="878">
          <cell r="A878" t="str">
            <v>49003_2</v>
          </cell>
        </row>
        <row r="879">
          <cell r="A879" t="str">
            <v>49004_1</v>
          </cell>
        </row>
        <row r="880">
          <cell r="A880" t="str">
            <v>49004_2</v>
          </cell>
        </row>
        <row r="881">
          <cell r="A881" t="str">
            <v>49004_3</v>
          </cell>
        </row>
        <row r="882">
          <cell r="A882" t="str">
            <v>49005_1</v>
          </cell>
        </row>
        <row r="883">
          <cell r="A883" t="str">
            <v>49006_1</v>
          </cell>
        </row>
        <row r="884">
          <cell r="A884" t="str">
            <v>49006_2</v>
          </cell>
        </row>
        <row r="885">
          <cell r="A885" t="str">
            <v>49007_1</v>
          </cell>
        </row>
        <row r="886">
          <cell r="A886" t="str">
            <v>49007_2</v>
          </cell>
        </row>
        <row r="887">
          <cell r="A887" t="str">
            <v>49007_3</v>
          </cell>
        </row>
        <row r="888">
          <cell r="A888" t="str">
            <v>49008_1</v>
          </cell>
        </row>
        <row r="889">
          <cell r="A889" t="str">
            <v>49009_1</v>
          </cell>
        </row>
        <row r="890">
          <cell r="A890" t="str">
            <v>49010_1</v>
          </cell>
        </row>
        <row r="891">
          <cell r="A891" t="str">
            <v>49011_1</v>
          </cell>
        </row>
        <row r="892">
          <cell r="A892" t="str">
            <v>49012_1</v>
          </cell>
        </row>
        <row r="893">
          <cell r="A893" t="str">
            <v>49013_1</v>
          </cell>
        </row>
        <row r="894">
          <cell r="A894" t="str">
            <v>49014_1</v>
          </cell>
        </row>
        <row r="895">
          <cell r="A895" t="str">
            <v>49014_2</v>
          </cell>
        </row>
        <row r="896">
          <cell r="A896" t="str">
            <v>50001_1</v>
          </cell>
        </row>
        <row r="897">
          <cell r="A897" t="str">
            <v>50002_1</v>
          </cell>
        </row>
        <row r="898">
          <cell r="A898" t="str">
            <v>50003_1</v>
          </cell>
        </row>
        <row r="899">
          <cell r="A899" t="str">
            <v>50004_1</v>
          </cell>
        </row>
        <row r="900">
          <cell r="A900" t="str">
            <v>50005_1</v>
          </cell>
        </row>
        <row r="901">
          <cell r="A901" t="str">
            <v>50006_1</v>
          </cell>
        </row>
        <row r="902">
          <cell r="A902" t="str">
            <v>50007_1</v>
          </cell>
        </row>
        <row r="903">
          <cell r="A903" t="str">
            <v>50008_1</v>
          </cell>
        </row>
        <row r="904">
          <cell r="A904" t="str">
            <v>50009_1</v>
          </cell>
        </row>
        <row r="905">
          <cell r="A905" t="str">
            <v>50010_1</v>
          </cell>
        </row>
        <row r="906">
          <cell r="A906" t="str">
            <v>50011_1</v>
          </cell>
        </row>
        <row r="907">
          <cell r="A907" t="str">
            <v>50012_1</v>
          </cell>
        </row>
        <row r="908">
          <cell r="A908" t="str">
            <v>50013_1</v>
          </cell>
        </row>
        <row r="909">
          <cell r="A909" t="str">
            <v>50014_1</v>
          </cell>
        </row>
        <row r="910">
          <cell r="A910" t="str">
            <v>51001_1</v>
          </cell>
        </row>
        <row r="911">
          <cell r="A911" t="str">
            <v>51002_1</v>
          </cell>
        </row>
        <row r="912">
          <cell r="A912" t="str">
            <v>58001_1</v>
          </cell>
        </row>
        <row r="913">
          <cell r="A913" t="str">
            <v>59001_1</v>
          </cell>
        </row>
        <row r="914">
          <cell r="A914" t="str">
            <v>59002_1</v>
          </cell>
        </row>
        <row r="915">
          <cell r="A915" t="str">
            <v>60001_1</v>
          </cell>
        </row>
        <row r="916">
          <cell r="A916" t="str">
            <v>60002_1</v>
          </cell>
        </row>
        <row r="917">
          <cell r="A917" t="str">
            <v>60002_2</v>
          </cell>
        </row>
        <row r="918">
          <cell r="A918" t="str">
            <v>60003_1</v>
          </cell>
        </row>
        <row r="919">
          <cell r="A919" t="str">
            <v>60003_2</v>
          </cell>
        </row>
        <row r="920">
          <cell r="A920" t="str">
            <v>60003_3</v>
          </cell>
        </row>
        <row r="921">
          <cell r="A921" t="str">
            <v>60004_1</v>
          </cell>
        </row>
        <row r="922">
          <cell r="A922" t="str">
            <v>60005_1</v>
          </cell>
        </row>
        <row r="923">
          <cell r="A923" t="str">
            <v>60006_1</v>
          </cell>
        </row>
        <row r="924">
          <cell r="A924" t="str">
            <v>60006_2</v>
          </cell>
        </row>
        <row r="925">
          <cell r="A925" t="str">
            <v>60006_3</v>
          </cell>
        </row>
        <row r="926">
          <cell r="A926" t="str">
            <v>60007_1</v>
          </cell>
        </row>
        <row r="927">
          <cell r="A927" t="str">
            <v>60007_2</v>
          </cell>
        </row>
        <row r="928">
          <cell r="A928" t="str">
            <v>60007_3</v>
          </cell>
        </row>
        <row r="929">
          <cell r="A929" t="str">
            <v>60010_1</v>
          </cell>
        </row>
        <row r="930">
          <cell r="A930" t="str">
            <v>60011_1</v>
          </cell>
        </row>
        <row r="931">
          <cell r="A931" t="str">
            <v>60011_2</v>
          </cell>
        </row>
        <row r="932">
          <cell r="A932" t="str">
            <v>60012_1</v>
          </cell>
        </row>
        <row r="933">
          <cell r="A933" t="str">
            <v>60013_1</v>
          </cell>
        </row>
        <row r="934">
          <cell r="A934" t="str">
            <v>60013_2</v>
          </cell>
        </row>
        <row r="935">
          <cell r="A935" t="str">
            <v>60013_3</v>
          </cell>
        </row>
        <row r="936">
          <cell r="A936" t="str">
            <v>60014_1</v>
          </cell>
        </row>
        <row r="937">
          <cell r="A937" t="str">
            <v>60015_1</v>
          </cell>
        </row>
        <row r="938">
          <cell r="A938" t="str">
            <v>60016_1</v>
          </cell>
        </row>
        <row r="939">
          <cell r="A939" t="str">
            <v>60017_1</v>
          </cell>
        </row>
        <row r="940">
          <cell r="A940" t="str">
            <v>60018_1</v>
          </cell>
        </row>
        <row r="941">
          <cell r="A941" t="str">
            <v>60019_1</v>
          </cell>
        </row>
        <row r="942">
          <cell r="A942" t="str">
            <v>60020_1</v>
          </cell>
        </row>
        <row r="943">
          <cell r="A943" t="str">
            <v>60021_3</v>
          </cell>
        </row>
        <row r="944">
          <cell r="A944" t="str">
            <v>60022_3</v>
          </cell>
        </row>
        <row r="945">
          <cell r="A945" t="str">
            <v>60023_3</v>
          </cell>
        </row>
        <row r="946">
          <cell r="A946" t="str">
            <v>60024_3</v>
          </cell>
        </row>
        <row r="947">
          <cell r="A947" t="str">
            <v>60025_1</v>
          </cell>
        </row>
        <row r="948">
          <cell r="A948" t="str">
            <v>60026_1</v>
          </cell>
        </row>
        <row r="949">
          <cell r="A949" t="str">
            <v>61011_1</v>
          </cell>
        </row>
        <row r="950">
          <cell r="A950" t="str">
            <v>60027_1</v>
          </cell>
        </row>
        <row r="951">
          <cell r="A951" t="str">
            <v>65525_1</v>
          </cell>
        </row>
        <row r="952">
          <cell r="A952" t="str">
            <v>65526_1</v>
          </cell>
        </row>
        <row r="953">
          <cell r="A953" t="str">
            <v>65526_2</v>
          </cell>
        </row>
        <row r="954">
          <cell r="A954" t="str">
            <v>65527_1</v>
          </cell>
        </row>
        <row r="955">
          <cell r="A955" t="str">
            <v>65528_1</v>
          </cell>
        </row>
        <row r="956">
          <cell r="A956" t="str">
            <v>65529_1</v>
          </cell>
        </row>
        <row r="957">
          <cell r="A957" t="str">
            <v>65530_1</v>
          </cell>
        </row>
        <row r="958">
          <cell r="A958" t="str">
            <v>65531_1</v>
          </cell>
        </row>
        <row r="959">
          <cell r="A959" t="str">
            <v>65531_2</v>
          </cell>
        </row>
        <row r="960">
          <cell r="A960" t="str">
            <v>65532_1</v>
          </cell>
        </row>
        <row r="961">
          <cell r="A961" t="str">
            <v>65532_2</v>
          </cell>
        </row>
        <row r="962">
          <cell r="A962" t="str">
            <v>65533_1</v>
          </cell>
        </row>
        <row r="963">
          <cell r="A963" t="str">
            <v>65533_2</v>
          </cell>
        </row>
        <row r="964">
          <cell r="A964" t="str">
            <v>65534_1</v>
          </cell>
        </row>
        <row r="965">
          <cell r="A965" t="str">
            <v>65534_2</v>
          </cell>
        </row>
        <row r="966">
          <cell r="A966" t="str">
            <v>65535_1</v>
          </cell>
        </row>
        <row r="967">
          <cell r="A967" t="str">
            <v>65535_2</v>
          </cell>
        </row>
        <row r="968">
          <cell r="A968" t="str">
            <v>65535_3</v>
          </cell>
        </row>
        <row r="969">
          <cell r="A969" t="str">
            <v>65535_4</v>
          </cell>
        </row>
        <row r="970">
          <cell r="A970" t="str">
            <v>65535_5</v>
          </cell>
        </row>
        <row r="971">
          <cell r="A971" t="str">
            <v>65535_6</v>
          </cell>
        </row>
        <row r="972">
          <cell r="A972" t="str">
            <v>65535_7</v>
          </cell>
        </row>
        <row r="973">
          <cell r="A973" t="str">
            <v>65535_8</v>
          </cell>
        </row>
        <row r="974">
          <cell r="A974" t="str">
            <v>65535_9</v>
          </cell>
        </row>
        <row r="975">
          <cell r="A97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1504</v>
          </cell>
        </row>
        <row r="1337">
          <cell r="A1337">
            <v>1505</v>
          </cell>
        </row>
        <row r="1338">
          <cell r="A1338">
            <v>1506</v>
          </cell>
        </row>
        <row r="1339">
          <cell r="A1339">
            <v>1507</v>
          </cell>
        </row>
        <row r="1340">
          <cell r="A1340">
            <v>1508</v>
          </cell>
        </row>
        <row r="1341">
          <cell r="A1341">
            <v>1509</v>
          </cell>
        </row>
        <row r="1342">
          <cell r="A1342">
            <v>1510</v>
          </cell>
        </row>
        <row r="1343">
          <cell r="A1343">
            <v>1511</v>
          </cell>
        </row>
        <row r="1344">
          <cell r="A1344">
            <v>1512</v>
          </cell>
        </row>
        <row r="1345">
          <cell r="A1345">
            <v>1523</v>
          </cell>
        </row>
        <row r="1346">
          <cell r="A1346">
            <v>1524</v>
          </cell>
        </row>
        <row r="1347">
          <cell r="A1347">
            <v>1525</v>
          </cell>
        </row>
        <row r="1348">
          <cell r="A1348">
            <v>1526</v>
          </cell>
        </row>
        <row r="1349">
          <cell r="A1349">
            <v>5001</v>
          </cell>
        </row>
        <row r="1350">
          <cell r="A1350">
            <v>5002</v>
          </cell>
        </row>
        <row r="1351">
          <cell r="A1351">
            <v>5003</v>
          </cell>
        </row>
        <row r="1352">
          <cell r="A1352">
            <v>5004</v>
          </cell>
        </row>
        <row r="1353">
          <cell r="A1353">
            <v>5005</v>
          </cell>
        </row>
        <row r="1354">
          <cell r="A1354">
            <v>5006</v>
          </cell>
        </row>
        <row r="1355">
          <cell r="A1355">
            <v>5007</v>
          </cell>
        </row>
        <row r="1356">
          <cell r="A1356">
            <v>5008</v>
          </cell>
        </row>
        <row r="1357">
          <cell r="A1357">
            <v>6001</v>
          </cell>
        </row>
        <row r="1358">
          <cell r="A1358">
            <v>6002</v>
          </cell>
        </row>
        <row r="1359">
          <cell r="A1359">
            <v>6003</v>
          </cell>
        </row>
        <row r="1360">
          <cell r="A1360">
            <v>6004</v>
          </cell>
        </row>
        <row r="1361">
          <cell r="A1361">
            <v>6005</v>
          </cell>
        </row>
        <row r="1362">
          <cell r="A1362">
            <v>6006</v>
          </cell>
        </row>
        <row r="1363">
          <cell r="A1363">
            <v>6007</v>
          </cell>
        </row>
        <row r="1364">
          <cell r="A1364">
            <v>6008</v>
          </cell>
        </row>
        <row r="1365">
          <cell r="A1365">
            <v>6009</v>
          </cell>
        </row>
        <row r="1366">
          <cell r="A1366">
            <v>6010</v>
          </cell>
        </row>
        <row r="1367">
          <cell r="A1367">
            <v>6011</v>
          </cell>
        </row>
        <row r="1368">
          <cell r="A1368">
            <v>6012</v>
          </cell>
        </row>
        <row r="1369">
          <cell r="A1369">
            <v>6013</v>
          </cell>
        </row>
        <row r="1370">
          <cell r="A1370">
            <v>6014</v>
          </cell>
        </row>
        <row r="1371">
          <cell r="A1371">
            <v>6015</v>
          </cell>
        </row>
        <row r="1372">
          <cell r="A1372">
            <v>6016</v>
          </cell>
        </row>
        <row r="1373">
          <cell r="A1373">
            <v>6017</v>
          </cell>
        </row>
        <row r="1374">
          <cell r="A1374">
            <v>6018</v>
          </cell>
        </row>
        <row r="1375">
          <cell r="A1375">
            <v>6019</v>
          </cell>
        </row>
        <row r="1376">
          <cell r="A1376">
            <v>6020</v>
          </cell>
        </row>
        <row r="1377">
          <cell r="A1377">
            <v>8001</v>
          </cell>
        </row>
        <row r="1378">
          <cell r="A1378">
            <v>8002</v>
          </cell>
        </row>
        <row r="1379">
          <cell r="A1379">
            <v>8003</v>
          </cell>
        </row>
        <row r="1380">
          <cell r="A1380">
            <v>8004</v>
          </cell>
        </row>
        <row r="1381">
          <cell r="A1381">
            <v>8005</v>
          </cell>
        </row>
        <row r="1382">
          <cell r="A1382">
            <v>8006</v>
          </cell>
        </row>
        <row r="1383">
          <cell r="A1383">
            <v>8007</v>
          </cell>
        </row>
        <row r="1384">
          <cell r="A1384">
            <v>8008</v>
          </cell>
        </row>
        <row r="1385">
          <cell r="A1385">
            <v>8009</v>
          </cell>
        </row>
        <row r="1386">
          <cell r="A1386">
            <v>8010</v>
          </cell>
        </row>
        <row r="1387">
          <cell r="A1387">
            <v>8011</v>
          </cell>
        </row>
        <row r="1388">
          <cell r="A1388">
            <v>8012</v>
          </cell>
        </row>
        <row r="1389">
          <cell r="A1389">
            <v>8013</v>
          </cell>
        </row>
        <row r="1390">
          <cell r="A1390">
            <v>8014</v>
          </cell>
        </row>
        <row r="1391">
          <cell r="A1391">
            <v>8015</v>
          </cell>
        </row>
        <row r="1392">
          <cell r="A1392">
            <v>8016</v>
          </cell>
        </row>
        <row r="1393">
          <cell r="A1393">
            <v>8017</v>
          </cell>
        </row>
        <row r="1394">
          <cell r="A1394">
            <v>8018</v>
          </cell>
        </row>
        <row r="1395">
          <cell r="A1395">
            <v>8019</v>
          </cell>
        </row>
        <row r="1396">
          <cell r="A1396">
            <v>8020</v>
          </cell>
        </row>
        <row r="1397">
          <cell r="A1397">
            <v>8021</v>
          </cell>
        </row>
        <row r="1398">
          <cell r="A1398">
            <v>8022</v>
          </cell>
        </row>
        <row r="1399">
          <cell r="A1399">
            <v>8023</v>
          </cell>
        </row>
        <row r="1400">
          <cell r="A1400">
            <v>8024</v>
          </cell>
        </row>
        <row r="1401">
          <cell r="A1401">
            <v>8025</v>
          </cell>
        </row>
        <row r="1402">
          <cell r="A1402">
            <v>8026</v>
          </cell>
        </row>
        <row r="1403">
          <cell r="A1403">
            <v>8027</v>
          </cell>
        </row>
        <row r="1404">
          <cell r="A1404">
            <v>8028</v>
          </cell>
        </row>
        <row r="1405">
          <cell r="A1405">
            <v>8029</v>
          </cell>
        </row>
        <row r="1406">
          <cell r="A1406">
            <v>8030</v>
          </cell>
        </row>
        <row r="1407">
          <cell r="A1407">
            <v>8031</v>
          </cell>
        </row>
        <row r="1408">
          <cell r="A1408">
            <v>8032</v>
          </cell>
        </row>
        <row r="1409">
          <cell r="A1409">
            <v>8033</v>
          </cell>
        </row>
        <row r="1410">
          <cell r="A1410">
            <v>8034</v>
          </cell>
        </row>
        <row r="1411">
          <cell r="A1411">
            <v>8035</v>
          </cell>
        </row>
        <row r="1412">
          <cell r="A1412">
            <v>8036</v>
          </cell>
        </row>
        <row r="1413">
          <cell r="A1413">
            <v>8037</v>
          </cell>
        </row>
        <row r="1414">
          <cell r="A1414">
            <v>8038</v>
          </cell>
        </row>
        <row r="1415">
          <cell r="A1415">
            <v>8039</v>
          </cell>
        </row>
        <row r="1416">
          <cell r="A1416">
            <v>8040</v>
          </cell>
        </row>
        <row r="1417">
          <cell r="A1417">
            <v>8041</v>
          </cell>
        </row>
        <row r="1418">
          <cell r="A1418">
            <v>8042</v>
          </cell>
        </row>
        <row r="1419">
          <cell r="A1419">
            <v>8043</v>
          </cell>
        </row>
        <row r="1420">
          <cell r="A1420">
            <v>8044</v>
          </cell>
        </row>
        <row r="1421">
          <cell r="A1421">
            <v>8045</v>
          </cell>
        </row>
        <row r="1422">
          <cell r="A1422">
            <v>8046</v>
          </cell>
        </row>
        <row r="1423">
          <cell r="A1423">
            <v>8047</v>
          </cell>
        </row>
        <row r="1424">
          <cell r="A1424">
            <v>8048</v>
          </cell>
        </row>
        <row r="1425">
          <cell r="A1425">
            <v>8049</v>
          </cell>
        </row>
        <row r="1426">
          <cell r="A1426">
            <v>8050</v>
          </cell>
        </row>
        <row r="1427">
          <cell r="A1427">
            <v>8051</v>
          </cell>
        </row>
        <row r="1428">
          <cell r="A1428">
            <v>8052</v>
          </cell>
        </row>
        <row r="1429">
          <cell r="A1429">
            <v>8053</v>
          </cell>
        </row>
        <row r="1430">
          <cell r="A1430">
            <v>8054</v>
          </cell>
        </row>
        <row r="1431">
          <cell r="A1431">
            <v>8055</v>
          </cell>
        </row>
        <row r="1432">
          <cell r="A1432">
            <v>8056</v>
          </cell>
        </row>
        <row r="1433">
          <cell r="A1433">
            <v>8057</v>
          </cell>
        </row>
        <row r="1434">
          <cell r="A1434">
            <v>8058</v>
          </cell>
        </row>
        <row r="1435">
          <cell r="A1435">
            <v>8059</v>
          </cell>
        </row>
        <row r="1436">
          <cell r="A1436">
            <v>8060</v>
          </cell>
        </row>
        <row r="1437">
          <cell r="A1437">
            <v>8061</v>
          </cell>
        </row>
        <row r="1438">
          <cell r="A1438">
            <v>8062</v>
          </cell>
        </row>
        <row r="1439">
          <cell r="A1439">
            <v>8063</v>
          </cell>
        </row>
        <row r="1440">
          <cell r="A1440">
            <v>8064</v>
          </cell>
        </row>
        <row r="1441">
          <cell r="A1441">
            <v>8065</v>
          </cell>
        </row>
        <row r="1442">
          <cell r="A1442">
            <v>8066</v>
          </cell>
        </row>
        <row r="1443">
          <cell r="A1443">
            <v>8067</v>
          </cell>
        </row>
        <row r="1444">
          <cell r="A1444">
            <v>8068</v>
          </cell>
        </row>
        <row r="1445">
          <cell r="A1445">
            <v>8069</v>
          </cell>
        </row>
        <row r="1446">
          <cell r="A1446">
            <v>8070</v>
          </cell>
        </row>
        <row r="1447">
          <cell r="A1447">
            <v>8071</v>
          </cell>
        </row>
        <row r="1448">
          <cell r="A1448">
            <v>8072</v>
          </cell>
        </row>
        <row r="1449">
          <cell r="A1449">
            <v>8073</v>
          </cell>
        </row>
        <row r="1450">
          <cell r="A1450">
            <v>8074</v>
          </cell>
        </row>
        <row r="1451">
          <cell r="A1451">
            <v>8077</v>
          </cell>
        </row>
        <row r="1452">
          <cell r="A1452">
            <v>8078</v>
          </cell>
        </row>
        <row r="1453">
          <cell r="A1453">
            <v>8079</v>
          </cell>
        </row>
        <row r="1454">
          <cell r="A1454">
            <v>8080</v>
          </cell>
        </row>
        <row r="1455">
          <cell r="A1455">
            <v>8081</v>
          </cell>
        </row>
        <row r="1456">
          <cell r="A1456">
            <v>8082</v>
          </cell>
        </row>
        <row r="1457">
          <cell r="A1457">
            <v>8083</v>
          </cell>
        </row>
        <row r="1458">
          <cell r="A1458">
            <v>8084</v>
          </cell>
        </row>
        <row r="1459">
          <cell r="A1459">
            <v>8087</v>
          </cell>
        </row>
        <row r="1460">
          <cell r="A1460">
            <v>8088</v>
          </cell>
        </row>
        <row r="1461">
          <cell r="A1461">
            <v>8089</v>
          </cell>
        </row>
        <row r="1462">
          <cell r="A1462">
            <v>8090</v>
          </cell>
        </row>
        <row r="1463">
          <cell r="A1463">
            <v>8095</v>
          </cell>
        </row>
        <row r="1464">
          <cell r="A1464">
            <v>8096</v>
          </cell>
        </row>
        <row r="1465">
          <cell r="A1465">
            <v>8097</v>
          </cell>
        </row>
        <row r="1466">
          <cell r="A1466">
            <v>8098</v>
          </cell>
        </row>
        <row r="1467">
          <cell r="A1467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1409</v>
          </cell>
        </row>
        <row r="1383">
          <cell r="A1383">
            <v>1410</v>
          </cell>
        </row>
        <row r="1384">
          <cell r="A1384">
            <v>1414</v>
          </cell>
        </row>
        <row r="1385">
          <cell r="A1385">
            <v>1415</v>
          </cell>
        </row>
        <row r="1386">
          <cell r="A1386">
            <v>1416</v>
          </cell>
        </row>
        <row r="1387">
          <cell r="A1387">
            <v>1417</v>
          </cell>
        </row>
        <row r="1388">
          <cell r="A1388">
            <v>1418</v>
          </cell>
        </row>
        <row r="1389">
          <cell r="A1389">
            <v>1419</v>
          </cell>
        </row>
        <row r="1390">
          <cell r="A1390">
            <v>1420</v>
          </cell>
        </row>
        <row r="1391">
          <cell r="A1391">
            <v>1421</v>
          </cell>
        </row>
        <row r="1392">
          <cell r="A1392">
            <v>1422</v>
          </cell>
        </row>
        <row r="1393">
          <cell r="A1393">
            <v>1423</v>
          </cell>
        </row>
        <row r="1394">
          <cell r="A1394">
            <v>1424</v>
          </cell>
        </row>
        <row r="1395">
          <cell r="A1395">
            <v>1504</v>
          </cell>
        </row>
        <row r="1396">
          <cell r="A1396">
            <v>1505</v>
          </cell>
        </row>
        <row r="1397">
          <cell r="A1397">
            <v>1506</v>
          </cell>
        </row>
        <row r="1398">
          <cell r="A1398">
            <v>1507</v>
          </cell>
        </row>
        <row r="1399">
          <cell r="A1399">
            <v>1508</v>
          </cell>
        </row>
        <row r="1400">
          <cell r="A1400">
            <v>1509</v>
          </cell>
        </row>
        <row r="1401">
          <cell r="A1401">
            <v>1510</v>
          </cell>
        </row>
        <row r="1402">
          <cell r="A1402">
            <v>1511</v>
          </cell>
        </row>
        <row r="1403">
          <cell r="A1403">
            <v>1512</v>
          </cell>
        </row>
        <row r="1404">
          <cell r="A1404">
            <v>1513</v>
          </cell>
        </row>
        <row r="1405">
          <cell r="A1405">
            <v>1514</v>
          </cell>
        </row>
        <row r="1406">
          <cell r="A1406">
            <v>1515</v>
          </cell>
        </row>
        <row r="1407">
          <cell r="A1407">
            <v>1516</v>
          </cell>
        </row>
        <row r="1408">
          <cell r="A1408">
            <v>1517</v>
          </cell>
        </row>
        <row r="1409">
          <cell r="A1409">
            <v>1518</v>
          </cell>
        </row>
        <row r="1410">
          <cell r="A1410">
            <v>1519</v>
          </cell>
        </row>
        <row r="1411">
          <cell r="A1411">
            <v>1520</v>
          </cell>
        </row>
        <row r="1412">
          <cell r="A1412">
            <v>1521</v>
          </cell>
        </row>
        <row r="1413">
          <cell r="A1413">
            <v>1522</v>
          </cell>
        </row>
        <row r="1414">
          <cell r="A1414">
            <v>1523</v>
          </cell>
        </row>
        <row r="1415">
          <cell r="A1415">
            <v>1524</v>
          </cell>
        </row>
        <row r="1416">
          <cell r="A1416">
            <v>1525</v>
          </cell>
        </row>
        <row r="1417">
          <cell r="A1417">
            <v>1526</v>
          </cell>
        </row>
        <row r="1418">
          <cell r="A1418">
            <v>1527</v>
          </cell>
        </row>
        <row r="1419">
          <cell r="A1419">
            <v>1528</v>
          </cell>
        </row>
        <row r="1420">
          <cell r="A1420">
            <v>1529</v>
          </cell>
        </row>
        <row r="1421">
          <cell r="A1421">
            <v>1530</v>
          </cell>
        </row>
        <row r="1422">
          <cell r="A1422">
            <v>1531</v>
          </cell>
        </row>
        <row r="1423">
          <cell r="A1423">
            <v>1532</v>
          </cell>
        </row>
        <row r="1424">
          <cell r="A1424">
            <v>1533</v>
          </cell>
        </row>
        <row r="1425">
          <cell r="A1425">
            <v>1534</v>
          </cell>
        </row>
        <row r="1426">
          <cell r="A1426">
            <v>1535</v>
          </cell>
        </row>
        <row r="1427">
          <cell r="A1427">
            <v>1536</v>
          </cell>
        </row>
        <row r="1428">
          <cell r="A1428">
            <v>1537</v>
          </cell>
        </row>
        <row r="1429">
          <cell r="A1429">
            <v>1538</v>
          </cell>
        </row>
        <row r="1430">
          <cell r="A1430">
            <v>1539</v>
          </cell>
        </row>
        <row r="1431">
          <cell r="A1431">
            <v>1540</v>
          </cell>
        </row>
        <row r="1432">
          <cell r="A1432">
            <v>1541</v>
          </cell>
        </row>
        <row r="1433">
          <cell r="A1433">
            <v>1542</v>
          </cell>
        </row>
        <row r="1434">
          <cell r="A1434">
            <v>1543</v>
          </cell>
        </row>
        <row r="1435">
          <cell r="A1435">
            <v>1544</v>
          </cell>
        </row>
        <row r="1436">
          <cell r="A1436">
            <v>1545</v>
          </cell>
        </row>
        <row r="1437">
          <cell r="A1437">
            <v>1546</v>
          </cell>
        </row>
        <row r="1438">
          <cell r="A1438">
            <v>1547</v>
          </cell>
        </row>
        <row r="1439">
          <cell r="A1439">
            <v>1548</v>
          </cell>
        </row>
        <row r="1440">
          <cell r="A1440">
            <v>1549</v>
          </cell>
        </row>
        <row r="1441">
          <cell r="A1441">
            <v>1550</v>
          </cell>
        </row>
        <row r="1442">
          <cell r="A1442">
            <v>5001</v>
          </cell>
        </row>
        <row r="1443">
          <cell r="A1443">
            <v>5002</v>
          </cell>
        </row>
        <row r="1444">
          <cell r="A1444">
            <v>5003</v>
          </cell>
        </row>
        <row r="1445">
          <cell r="A1445">
            <v>5004</v>
          </cell>
        </row>
        <row r="1446">
          <cell r="A1446">
            <v>5005</v>
          </cell>
        </row>
        <row r="1447">
          <cell r="A1447">
            <v>5006</v>
          </cell>
        </row>
        <row r="1448">
          <cell r="A1448">
            <v>5007</v>
          </cell>
        </row>
        <row r="1449">
          <cell r="A1449">
            <v>5008</v>
          </cell>
        </row>
        <row r="1450">
          <cell r="A1450">
            <v>6001</v>
          </cell>
        </row>
        <row r="1451">
          <cell r="A1451">
            <v>6002</v>
          </cell>
        </row>
        <row r="1452">
          <cell r="A1452">
            <v>6003</v>
          </cell>
        </row>
        <row r="1453">
          <cell r="A1453">
            <v>6004</v>
          </cell>
        </row>
        <row r="1454">
          <cell r="A1454">
            <v>6005</v>
          </cell>
        </row>
        <row r="1455">
          <cell r="A1455">
            <v>6006</v>
          </cell>
        </row>
        <row r="1456">
          <cell r="A1456">
            <v>6007</v>
          </cell>
        </row>
        <row r="1457">
          <cell r="A1457">
            <v>6008</v>
          </cell>
        </row>
        <row r="1458">
          <cell r="A1458">
            <v>6009</v>
          </cell>
        </row>
        <row r="1459">
          <cell r="A1459">
            <v>6010</v>
          </cell>
        </row>
        <row r="1460">
          <cell r="A1460">
            <v>6011</v>
          </cell>
        </row>
        <row r="1461">
          <cell r="A1461">
            <v>6012</v>
          </cell>
        </row>
        <row r="1462">
          <cell r="A1462">
            <v>6013</v>
          </cell>
        </row>
        <row r="1463">
          <cell r="A1463">
            <v>6014</v>
          </cell>
        </row>
        <row r="1464">
          <cell r="A1464">
            <v>6015</v>
          </cell>
        </row>
        <row r="1465">
          <cell r="A1465">
            <v>6016</v>
          </cell>
        </row>
        <row r="1466">
          <cell r="A1466">
            <v>6017</v>
          </cell>
        </row>
        <row r="1467">
          <cell r="A1467">
            <v>6018</v>
          </cell>
        </row>
        <row r="1468">
          <cell r="A1468">
            <v>6019</v>
          </cell>
        </row>
        <row r="1469">
          <cell r="A1469">
            <v>6020</v>
          </cell>
        </row>
        <row r="1470">
          <cell r="A1470">
            <v>8001</v>
          </cell>
        </row>
        <row r="1471">
          <cell r="A1471">
            <v>8002</v>
          </cell>
        </row>
        <row r="1472">
          <cell r="A1472">
            <v>8003</v>
          </cell>
        </row>
        <row r="1473">
          <cell r="A1473">
            <v>8004</v>
          </cell>
        </row>
        <row r="1474">
          <cell r="A1474">
            <v>8005</v>
          </cell>
        </row>
        <row r="1475">
          <cell r="A1475">
            <v>8006</v>
          </cell>
        </row>
        <row r="1476">
          <cell r="A1476">
            <v>8007</v>
          </cell>
        </row>
        <row r="1477">
          <cell r="A1477">
            <v>8008</v>
          </cell>
        </row>
        <row r="1478">
          <cell r="A1478">
            <v>8009</v>
          </cell>
        </row>
        <row r="1479">
          <cell r="A1479">
            <v>8010</v>
          </cell>
        </row>
        <row r="1480">
          <cell r="A1480">
            <v>8011</v>
          </cell>
        </row>
        <row r="1481">
          <cell r="A1481">
            <v>8012</v>
          </cell>
        </row>
        <row r="1482">
          <cell r="A1482">
            <v>8013</v>
          </cell>
        </row>
        <row r="1483">
          <cell r="A1483">
            <v>8014</v>
          </cell>
        </row>
        <row r="1484">
          <cell r="A1484">
            <v>8015</v>
          </cell>
        </row>
        <row r="1485">
          <cell r="A1485">
            <v>8016</v>
          </cell>
        </row>
        <row r="1486">
          <cell r="A1486">
            <v>8017</v>
          </cell>
        </row>
        <row r="1487">
          <cell r="A1487">
            <v>8018</v>
          </cell>
        </row>
        <row r="1488">
          <cell r="A1488">
            <v>8019</v>
          </cell>
        </row>
        <row r="1489">
          <cell r="A1489">
            <v>8020</v>
          </cell>
        </row>
        <row r="1490">
          <cell r="A1490">
            <v>8021</v>
          </cell>
        </row>
        <row r="1491">
          <cell r="A1491">
            <v>8022</v>
          </cell>
        </row>
        <row r="1492">
          <cell r="A1492">
            <v>8023</v>
          </cell>
        </row>
        <row r="1493">
          <cell r="A1493">
            <v>8024</v>
          </cell>
        </row>
        <row r="1494">
          <cell r="A1494">
            <v>8025</v>
          </cell>
        </row>
        <row r="1495">
          <cell r="A1495">
            <v>8026</v>
          </cell>
        </row>
        <row r="1496">
          <cell r="A1496">
            <v>8027</v>
          </cell>
        </row>
        <row r="1497">
          <cell r="A1497">
            <v>8028</v>
          </cell>
        </row>
        <row r="1498">
          <cell r="A1498">
            <v>8029</v>
          </cell>
        </row>
        <row r="1499">
          <cell r="A1499">
            <v>8030</v>
          </cell>
        </row>
        <row r="1500">
          <cell r="A1500">
            <v>8031</v>
          </cell>
        </row>
        <row r="1501">
          <cell r="A1501">
            <v>8032</v>
          </cell>
        </row>
        <row r="1502">
          <cell r="A1502">
            <v>8033</v>
          </cell>
        </row>
        <row r="1503">
          <cell r="A1503">
            <v>8034</v>
          </cell>
        </row>
        <row r="1504">
          <cell r="A1504">
            <v>8035</v>
          </cell>
        </row>
        <row r="1505">
          <cell r="A1505">
            <v>8036</v>
          </cell>
        </row>
        <row r="1506">
          <cell r="A1506">
            <v>8037</v>
          </cell>
        </row>
        <row r="1507">
          <cell r="A1507">
            <v>8038</v>
          </cell>
        </row>
        <row r="1508">
          <cell r="A1508">
            <v>8039</v>
          </cell>
        </row>
        <row r="1509">
          <cell r="A1509">
            <v>8040</v>
          </cell>
        </row>
        <row r="1510">
          <cell r="A1510">
            <v>8041</v>
          </cell>
        </row>
        <row r="1511">
          <cell r="A1511">
            <v>8042</v>
          </cell>
        </row>
        <row r="1512">
          <cell r="A1512">
            <v>8043</v>
          </cell>
        </row>
        <row r="1513">
          <cell r="A1513">
            <v>8044</v>
          </cell>
        </row>
        <row r="1514">
          <cell r="A1514">
            <v>8045</v>
          </cell>
        </row>
        <row r="1515">
          <cell r="A1515">
            <v>8046</v>
          </cell>
        </row>
        <row r="1516">
          <cell r="A1516">
            <v>8047</v>
          </cell>
        </row>
        <row r="1517">
          <cell r="A1517">
            <v>8048</v>
          </cell>
        </row>
        <row r="1518">
          <cell r="A1518">
            <v>8049</v>
          </cell>
        </row>
        <row r="1519">
          <cell r="A1519">
            <v>8050</v>
          </cell>
        </row>
        <row r="1520">
          <cell r="A1520">
            <v>8051</v>
          </cell>
        </row>
        <row r="1521">
          <cell r="A1521">
            <v>8052</v>
          </cell>
        </row>
        <row r="1522">
          <cell r="A1522">
            <v>8053</v>
          </cell>
        </row>
        <row r="1523">
          <cell r="A1523">
            <v>8054</v>
          </cell>
        </row>
        <row r="1524">
          <cell r="A1524">
            <v>8055</v>
          </cell>
        </row>
        <row r="1525">
          <cell r="A1525">
            <v>8056</v>
          </cell>
        </row>
        <row r="1526">
          <cell r="A1526">
            <v>8057</v>
          </cell>
        </row>
        <row r="1527">
          <cell r="A1527">
            <v>8058</v>
          </cell>
        </row>
        <row r="1528">
          <cell r="A1528">
            <v>8059</v>
          </cell>
        </row>
        <row r="1529">
          <cell r="A1529">
            <v>8060</v>
          </cell>
        </row>
        <row r="1530">
          <cell r="A1530">
            <v>8061</v>
          </cell>
        </row>
        <row r="1531">
          <cell r="A1531">
            <v>8062</v>
          </cell>
        </row>
        <row r="1532">
          <cell r="A1532">
            <v>8063</v>
          </cell>
        </row>
        <row r="1533">
          <cell r="A1533">
            <v>8064</v>
          </cell>
        </row>
        <row r="1534">
          <cell r="A1534">
            <v>8065</v>
          </cell>
        </row>
        <row r="1535">
          <cell r="A1535">
            <v>8066</v>
          </cell>
        </row>
        <row r="1536">
          <cell r="A1536">
            <v>8067</v>
          </cell>
        </row>
        <row r="1537">
          <cell r="A1537">
            <v>8068</v>
          </cell>
        </row>
        <row r="1538">
          <cell r="A1538">
            <v>8069</v>
          </cell>
        </row>
        <row r="1539">
          <cell r="A1539">
            <v>8070</v>
          </cell>
        </row>
        <row r="1540">
          <cell r="A1540">
            <v>8071</v>
          </cell>
        </row>
        <row r="1541">
          <cell r="A1541">
            <v>8072</v>
          </cell>
        </row>
        <row r="1542">
          <cell r="A1542">
            <v>8073</v>
          </cell>
        </row>
        <row r="1543">
          <cell r="A1543">
            <v>8074</v>
          </cell>
        </row>
        <row r="1544">
          <cell r="A1544">
            <v>8075</v>
          </cell>
        </row>
        <row r="1545">
          <cell r="A1545">
            <v>8076</v>
          </cell>
        </row>
        <row r="1546">
          <cell r="A1546">
            <v>8077</v>
          </cell>
        </row>
        <row r="1547">
          <cell r="A1547">
            <v>8078</v>
          </cell>
        </row>
        <row r="1548">
          <cell r="A1548">
            <v>8079</v>
          </cell>
        </row>
        <row r="1549">
          <cell r="A1549">
            <v>8080</v>
          </cell>
        </row>
        <row r="1550">
          <cell r="A1550">
            <v>8081</v>
          </cell>
        </row>
        <row r="1551">
          <cell r="A1551">
            <v>8082</v>
          </cell>
        </row>
        <row r="1552">
          <cell r="A1552">
            <v>8083</v>
          </cell>
        </row>
        <row r="1553">
          <cell r="A1553">
            <v>8084</v>
          </cell>
        </row>
        <row r="1554">
          <cell r="A1554">
            <v>8087</v>
          </cell>
        </row>
        <row r="1555">
          <cell r="A1555">
            <v>8088</v>
          </cell>
        </row>
        <row r="1556">
          <cell r="A1556">
            <v>8089</v>
          </cell>
        </row>
        <row r="1557">
          <cell r="A1557">
            <v>8090</v>
          </cell>
        </row>
        <row r="1558">
          <cell r="A1558">
            <v>8095</v>
          </cell>
        </row>
        <row r="1559">
          <cell r="A1559">
            <v>8096</v>
          </cell>
        </row>
        <row r="1560">
          <cell r="A1560">
            <v>8097</v>
          </cell>
        </row>
        <row r="1561">
          <cell r="A1561">
            <v>8098</v>
          </cell>
        </row>
        <row r="1562">
          <cell r="A1562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25" sqref="I2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343</v>
      </c>
      <c r="B2" s="57" t="s">
        <v>107</v>
      </c>
      <c r="C2" s="63" t="s">
        <v>354</v>
      </c>
      <c r="D2" s="57" t="s">
        <v>108</v>
      </c>
      <c r="E2" s="56" t="str">
        <f>B2&amp;C2&amp;D2</f>
        <v>floors_0_2.tmp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343</v>
      </c>
      <c r="B3" s="57" t="s">
        <v>110</v>
      </c>
      <c r="C3" s="63" t="str">
        <f>C$2</f>
        <v>0_2</v>
      </c>
      <c r="D3" s="57" t="s">
        <v>108</v>
      </c>
      <c r="E3" s="56" t="str">
        <f>B3&amp;C3&amp;D3</f>
        <v>enemy_habitats_0_2.tmp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189</v>
      </c>
      <c r="B4" s="57" t="s">
        <v>112</v>
      </c>
      <c r="C4" s="63" t="str">
        <f t="shared" ref="C4:C13" si="0">C$2</f>
        <v>0_2</v>
      </c>
      <c r="D4" s="57" t="s">
        <v>108</v>
      </c>
      <c r="E4" s="56" t="str">
        <f>B4&amp;C4&amp;D4</f>
        <v>enemy_habitat_S_0_2.tmp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343</v>
      </c>
      <c r="B5" s="57" t="s">
        <v>114</v>
      </c>
      <c r="C5" s="63" t="str">
        <f t="shared" si="0"/>
        <v>0_2</v>
      </c>
      <c r="D5" s="57" t="s">
        <v>108</v>
      </c>
      <c r="E5" s="56" t="str">
        <f>B5&amp;C5&amp;D5</f>
        <v>enemy_skill_sets_0_2.tmp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343</v>
      </c>
      <c r="B6" s="57" t="s">
        <v>116</v>
      </c>
      <c r="C6" s="63" t="str">
        <f t="shared" si="0"/>
        <v>0_2</v>
      </c>
      <c r="D6" s="57" t="s">
        <v>117</v>
      </c>
      <c r="E6" s="56" t="str">
        <f t="shared" ref="E6:E10" si="1">B6&amp;C6&amp;D6</f>
        <v>enemy_skills_tmp_0_2.tmp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343</v>
      </c>
      <c r="B7" s="57" t="s">
        <v>118</v>
      </c>
      <c r="C7" s="63" t="str">
        <f t="shared" si="0"/>
        <v>0_2</v>
      </c>
      <c r="D7" s="57" t="s">
        <v>108</v>
      </c>
      <c r="E7" s="56" t="str">
        <f>B7&amp;C7&amp;D7</f>
        <v>enemy_skills_i18n_0_2.tmp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343</v>
      </c>
      <c r="B8" s="57" t="s">
        <v>120</v>
      </c>
      <c r="C8" s="63" t="str">
        <f t="shared" si="0"/>
        <v>0_2</v>
      </c>
      <c r="D8" s="57" t="s">
        <v>121</v>
      </c>
      <c r="E8" s="56" t="str">
        <f t="shared" si="1"/>
        <v>enemy_skill_triggers_0_2.tmp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189</v>
      </c>
      <c r="B9" s="68" t="s">
        <v>179</v>
      </c>
      <c r="C9" s="63" t="str">
        <f t="shared" si="0"/>
        <v>0_2</v>
      </c>
      <c r="D9" s="68" t="s">
        <v>173</v>
      </c>
      <c r="E9" s="69" t="str">
        <f t="shared" si="1"/>
        <v>stage_bug_bonuses_0_2.tmp</v>
      </c>
      <c r="F9" s="68" t="s">
        <v>174</v>
      </c>
      <c r="G9" s="65" t="s">
        <v>151</v>
      </c>
      <c r="H9" s="65" t="s">
        <v>175</v>
      </c>
      <c r="I9" s="65" t="s">
        <v>176</v>
      </c>
      <c r="J9" s="67" t="s">
        <v>177</v>
      </c>
      <c r="K9" s="65" t="s">
        <v>178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189</v>
      </c>
      <c r="B10" s="68" t="s">
        <v>203</v>
      </c>
      <c r="C10" s="63" t="str">
        <f>C$2</f>
        <v>0_2</v>
      </c>
      <c r="D10" s="68" t="s">
        <v>182</v>
      </c>
      <c r="E10" s="69" t="str">
        <f t="shared" si="1"/>
        <v>stage_hints_data_c_0_2.tmp</v>
      </c>
      <c r="F10" s="68" t="s">
        <v>212</v>
      </c>
      <c r="G10" s="74" t="s">
        <v>183</v>
      </c>
      <c r="H10" s="74" t="s">
        <v>175</v>
      </c>
      <c r="I10" s="75" t="s">
        <v>184</v>
      </c>
      <c r="J10" s="67" t="s">
        <v>185</v>
      </c>
      <c r="K10" s="67" t="s">
        <v>186</v>
      </c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</row>
    <row r="11" spans="1:30" s="76" customFormat="1" x14ac:dyDescent="0.15">
      <c r="A11" s="61" t="s">
        <v>189</v>
      </c>
      <c r="B11" s="68" t="s">
        <v>204</v>
      </c>
      <c r="C11" s="63" t="str">
        <f t="shared" si="0"/>
        <v>0_2</v>
      </c>
      <c r="D11" s="68" t="s">
        <v>173</v>
      </c>
      <c r="E11" s="69" t="str">
        <f t="shared" ref="E11:E13" si="2">B11&amp;C11&amp;D11</f>
        <v>stage_hints_data_f_0_2.tmp</v>
      </c>
      <c r="F11" s="68" t="s">
        <v>214</v>
      </c>
      <c r="G11" s="74" t="s">
        <v>183</v>
      </c>
      <c r="H11" s="74" t="s">
        <v>175</v>
      </c>
      <c r="I11" s="75" t="s">
        <v>184</v>
      </c>
      <c r="J11" s="67" t="s">
        <v>185</v>
      </c>
      <c r="K11" s="67" t="s">
        <v>186</v>
      </c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</row>
    <row r="12" spans="1:30" s="76" customFormat="1" x14ac:dyDescent="0.15">
      <c r="A12" s="68" t="s">
        <v>205</v>
      </c>
      <c r="B12" s="68" t="s">
        <v>206</v>
      </c>
      <c r="C12" s="63" t="str">
        <f t="shared" si="0"/>
        <v>0_2</v>
      </c>
      <c r="D12" s="68" t="s">
        <v>173</v>
      </c>
      <c r="E12" s="69" t="str">
        <f t="shared" si="2"/>
        <v>stage_hints_i18n_0_2.tmp</v>
      </c>
      <c r="F12" s="68" t="s">
        <v>215</v>
      </c>
      <c r="G12" s="75" t="s">
        <v>207</v>
      </c>
      <c r="H12" s="97" t="s">
        <v>208</v>
      </c>
      <c r="I12" s="74" t="s">
        <v>209</v>
      </c>
      <c r="J12" s="106" t="s">
        <v>210</v>
      </c>
      <c r="K12" s="67" t="s">
        <v>211</v>
      </c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</row>
    <row r="13" spans="1:30" s="76" customFormat="1" x14ac:dyDescent="0.15">
      <c r="A13" s="68" t="s">
        <v>263</v>
      </c>
      <c r="B13" s="68" t="s">
        <v>262</v>
      </c>
      <c r="C13" s="63" t="str">
        <f t="shared" si="0"/>
        <v>0_2</v>
      </c>
      <c r="D13" s="68" t="s">
        <v>243</v>
      </c>
      <c r="E13" s="69" t="str">
        <f t="shared" si="2"/>
        <v>stage_bonuses_0_2.tmp</v>
      </c>
      <c r="F13" s="68" t="s">
        <v>242</v>
      </c>
      <c r="G13" s="74" t="s">
        <v>244</v>
      </c>
      <c r="H13" s="74" t="s">
        <v>245</v>
      </c>
      <c r="I13" s="74" t="s">
        <v>246</v>
      </c>
      <c r="J13" s="74" t="s">
        <v>247</v>
      </c>
      <c r="K13" s="74" t="s">
        <v>248</v>
      </c>
      <c r="L13" s="74" t="s">
        <v>249</v>
      </c>
      <c r="M13" s="74" t="s">
        <v>250</v>
      </c>
      <c r="N13" s="74" t="s">
        <v>251</v>
      </c>
      <c r="O13" s="74" t="s">
        <v>252</v>
      </c>
      <c r="P13" s="74" t="s">
        <v>253</v>
      </c>
      <c r="Q13" s="74" t="s">
        <v>254</v>
      </c>
      <c r="R13" s="74" t="s">
        <v>255</v>
      </c>
      <c r="S13" s="74" t="s">
        <v>256</v>
      </c>
      <c r="T13" s="74" t="s">
        <v>257</v>
      </c>
      <c r="U13" s="74" t="s">
        <v>258</v>
      </c>
      <c r="V13" s="74" t="s">
        <v>259</v>
      </c>
      <c r="W13" s="74" t="s">
        <v>260</v>
      </c>
      <c r="X13" s="74" t="s">
        <v>261</v>
      </c>
      <c r="Y13" s="105"/>
      <c r="Z13" s="105"/>
      <c r="AA13" s="105"/>
      <c r="AB13" s="105"/>
      <c r="AC13" s="105"/>
      <c r="AD13" s="105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tabSelected="1" workbookViewId="0">
      <pane ySplit="1" topLeftCell="A2" activePane="bottomLeft" state="frozen"/>
      <selection activeCell="V2" sqref="V2:X34"/>
      <selection pane="bottomLeft" activeCell="K3" sqref="K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0_1-1</v>
      </c>
      <c r="B2" s="16" t="str">
        <f>IF(COUNTIF(enemy_habitats!$H:$H,A2),"OK","NG")</f>
        <v>OK</v>
      </c>
      <c r="C2" s="7">
        <v>0</v>
      </c>
      <c r="D2" s="11" t="str">
        <f ca="1">VLOOKUP($C2,OFFSET([2]quests!$A$1,0,0,COUNTA([2]quests!$A:$A),MATCH(D$1,[2]quests!$1:$1,0)-MATCH($C$1,[2]quests!$1:$1,0)+1),MATCH(D$1,[2]quests!$1:$1,0)-MATCH($C$1,[2]quests!$1:$1,0)+1,FALSE)</f>
        <v>チュートリアル</v>
      </c>
      <c r="E2" s="18" t="str">
        <f ca="1">VLOOKUP($C2,OFFSET([2]quests!$A$1,0,0,COUNTA([2]quests!$A:$A),MATCH(E$1,[2]quests!$1:$1,0)-MATCH($C$1,[2]quests!$1:$1,0)+1),MATCH(E$1,[2]quests!$1:$1,0)-MATCH($C$1,[2]quests!$1:$1,0)+1,FALSE)</f>
        <v>チュートリアル</v>
      </c>
      <c r="F2" s="21">
        <v>1</v>
      </c>
      <c r="G2" s="23" t="str">
        <f t="shared" ref="G2:G7" si="1">C2&amp;"_"&amp;F2</f>
        <v>0_1</v>
      </c>
      <c r="H2" s="15" t="str">
        <f ca="1">VLOOKUP($G2,OFFSET([2]stages!$A$1,0,0,COUNTA([2]stages!$A:$A),MATCH(H$1,[2]stages!$2:$2,0)-MATCH($G$1,[2]stages!$2:$2,0)+1),MATCH(H$1,[2]stages!$2:$2,0)-MATCH($G$1,[2]stages!$2:$2,0)+1,FALSE)</f>
        <v>はじめてのクラッシュ</v>
      </c>
      <c r="I2" s="21">
        <v>1</v>
      </c>
      <c r="J2" s="12">
        <v>15</v>
      </c>
      <c r="K2" s="12">
        <v>15</v>
      </c>
    </row>
    <row r="3" spans="1:11" ht="21" customHeight="1" x14ac:dyDescent="0.15">
      <c r="A3" s="16" t="str">
        <f t="shared" si="0"/>
        <v>0_1-2</v>
      </c>
      <c r="B3" s="16" t="str">
        <f>IF(COUNTIF(enemy_habitats!$H:$H,A3),"OK","NG")</f>
        <v>OK</v>
      </c>
      <c r="C3" s="7">
        <v>0</v>
      </c>
      <c r="D3" s="11" t="str">
        <f ca="1">VLOOKUP($C3,OFFSET([2]quests!$A$1,0,0,COUNTA([2]quests!$A:$A),MATCH(D$1,[2]quests!$1:$1,0)-MATCH($C$1,[2]quests!$1:$1,0)+1),MATCH(D$1,[2]quests!$1:$1,0)-MATCH($C$1,[2]quests!$1:$1,0)+1,FALSE)</f>
        <v>チュートリアル</v>
      </c>
      <c r="E3" s="18" t="str">
        <f ca="1">VLOOKUP($C3,OFFSET([2]quests!$A$1,0,0,COUNTA([2]quests!$A:$A),MATCH(E$1,[2]quests!$1:$1,0)-MATCH($C$1,[2]quests!$1:$1,0)+1),MATCH(E$1,[2]quests!$1:$1,0)-MATCH($C$1,[2]quests!$1:$1,0)+1,FALSE)</f>
        <v>チュートリアル</v>
      </c>
      <c r="F3" s="21">
        <v>1</v>
      </c>
      <c r="G3" s="23" t="str">
        <f t="shared" si="1"/>
        <v>0_1</v>
      </c>
      <c r="H3" s="15" t="str">
        <f ca="1">VLOOKUP($G3,OFFSET([2]stages!$A$1,0,0,COUNTA([2]stages!$A:$A),MATCH(H$1,[2]stages!$2:$2,0)-MATCH($G$1,[2]stages!$2:$2,0)+1),MATCH(H$1,[2]stages!$2:$2,0)-MATCH($G$1,[2]stages!$2:$2,0)+1,FALSE)</f>
        <v>はじめてのクラッシュ</v>
      </c>
      <c r="I3" s="21">
        <v>2</v>
      </c>
      <c r="J3" s="12">
        <v>40</v>
      </c>
      <c r="K3" s="12">
        <v>40</v>
      </c>
    </row>
    <row r="4" spans="1:11" ht="21" customHeight="1" x14ac:dyDescent="0.15">
      <c r="A4" s="16" t="str">
        <f t="shared" si="0"/>
        <v>0_1-3</v>
      </c>
      <c r="B4" s="16" t="str">
        <f>IF(COUNTIF(enemy_habitats!$H:$H,A4),"OK","NG")</f>
        <v>OK</v>
      </c>
      <c r="C4" s="7">
        <v>0</v>
      </c>
      <c r="D4" s="11" t="str">
        <f ca="1">VLOOKUP($C4,OFFSET([2]quests!$A$1,0,0,COUNTA([2]quests!$A:$A),MATCH(D$1,[2]quests!$1:$1,0)-MATCH($C$1,[2]quests!$1:$1,0)+1),MATCH(D$1,[2]quests!$1:$1,0)-MATCH($C$1,[2]quests!$1:$1,0)+1,FALSE)</f>
        <v>チュートリアル</v>
      </c>
      <c r="E4" s="18" t="str">
        <f ca="1">VLOOKUP($C4,OFFSET([2]quests!$A$1,0,0,COUNTA([2]quests!$A:$A),MATCH(E$1,[2]quests!$1:$1,0)-MATCH($C$1,[2]quests!$1:$1,0)+1),MATCH(E$1,[2]quests!$1:$1,0)-MATCH($C$1,[2]quests!$1:$1,0)+1,FALSE)</f>
        <v>チュートリアル</v>
      </c>
      <c r="F4" s="21">
        <v>1</v>
      </c>
      <c r="G4" s="23" t="str">
        <f t="shared" si="1"/>
        <v>0_1</v>
      </c>
      <c r="H4" s="15" t="str">
        <f ca="1">VLOOKUP($G4,OFFSET([2]stages!$A$1,0,0,COUNTA([2]stages!$A:$A),MATCH(H$1,[2]stages!$2:$2,0)-MATCH($G$1,[2]stages!$2:$2,0)+1),MATCH(H$1,[2]stages!$2:$2,0)-MATCH($G$1,[2]stages!$2:$2,0)+1,FALSE)</f>
        <v>はじめてのクラッシュ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0_2-1</v>
      </c>
      <c r="B5" s="16" t="str">
        <f>IF(COUNTIF(enemy_habitats!$H:$H,A5),"OK","NG")</f>
        <v>OK</v>
      </c>
      <c r="C5" s="7">
        <v>0</v>
      </c>
      <c r="D5" s="11" t="str">
        <f ca="1">VLOOKUP($C5,OFFSET([2]quests!$A$1,0,0,COUNTA([2]quests!$A:$A),MATCH(D$1,[2]quests!$1:$1,0)-MATCH($C$1,[2]quests!$1:$1,0)+1),MATCH(D$1,[2]quests!$1:$1,0)-MATCH($C$1,[2]quests!$1:$1,0)+1,FALSE)</f>
        <v>チュートリアル</v>
      </c>
      <c r="E5" s="18" t="str">
        <f ca="1">VLOOKUP($C5,OFFSET([2]quests!$A$1,0,0,COUNTA([2]quests!$A:$A),MATCH(E$1,[2]quests!$1:$1,0)-MATCH($C$1,[2]quests!$1:$1,0)+1),MATCH(E$1,[2]quests!$1:$1,0)-MATCH($C$1,[2]quests!$1:$1,0)+1,FALSE)</f>
        <v>チュートリアル</v>
      </c>
      <c r="F5" s="21">
        <v>2</v>
      </c>
      <c r="G5" s="23" t="str">
        <f t="shared" si="1"/>
        <v>0_2</v>
      </c>
      <c r="H5" s="15" t="str">
        <f ca="1">VLOOKUP($G5,OFFSET([2]stages!$A$1,0,0,COUNTA([2]stages!$A:$A),MATCH(H$1,[2]stages!$2:$2,0)-MATCH($G$1,[2]stages!$2:$2,0)+1),MATCH(H$1,[2]stages!$2:$2,0)-MATCH($G$1,[2]stages!$2:$2,0)+1,FALSE)</f>
        <v>練習でクラッシュ！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0_2-2</v>
      </c>
      <c r="B6" s="16" t="str">
        <f>IF(COUNTIF(enemy_habitats!$H:$H,A6),"OK","NG")</f>
        <v>OK</v>
      </c>
      <c r="C6" s="7">
        <v>0</v>
      </c>
      <c r="D6" s="11" t="str">
        <f ca="1">VLOOKUP($C6,OFFSET([2]quests!$A$1,0,0,COUNTA([2]quests!$A:$A),MATCH(D$1,[2]quests!$1:$1,0)-MATCH($C$1,[2]quests!$1:$1,0)+1),MATCH(D$1,[2]quests!$1:$1,0)-MATCH($C$1,[2]quests!$1:$1,0)+1,FALSE)</f>
        <v>チュートリアル</v>
      </c>
      <c r="E6" s="18" t="str">
        <f ca="1">VLOOKUP($C6,OFFSET([2]quests!$A$1,0,0,COUNTA([2]quests!$A:$A),MATCH(E$1,[2]quests!$1:$1,0)-MATCH($C$1,[2]quests!$1:$1,0)+1),MATCH(E$1,[2]quests!$1:$1,0)-MATCH($C$1,[2]quests!$1:$1,0)+1,FALSE)</f>
        <v>チュートリアル</v>
      </c>
      <c r="F6" s="21">
        <v>2</v>
      </c>
      <c r="G6" s="23" t="str">
        <f t="shared" si="1"/>
        <v>0_2</v>
      </c>
      <c r="H6" s="15" t="str">
        <f ca="1">VLOOKUP($G6,OFFSET([2]stages!$A$1,0,0,COUNTA([2]stages!$A:$A),MATCH(H$1,[2]stages!$2:$2,0)-MATCH($G$1,[2]stages!$2:$2,0)+1),MATCH(H$1,[2]stages!$2:$2,0)-MATCH($G$1,[2]stages!$2:$2,0)+1,FALSE)</f>
        <v>練習でクラッシュ！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0_2-3</v>
      </c>
      <c r="B7" s="16" t="str">
        <f>IF(COUNTIF(enemy_habitats!$H:$H,A7),"OK","NG")</f>
        <v>OK</v>
      </c>
      <c r="C7" s="7">
        <v>0</v>
      </c>
      <c r="D7" s="11" t="str">
        <f ca="1">VLOOKUP($C7,OFFSET([2]quests!$A$1,0,0,COUNTA([2]quests!$A:$A),MATCH(D$1,[2]quests!$1:$1,0)-MATCH($C$1,[2]quests!$1:$1,0)+1),MATCH(D$1,[2]quests!$1:$1,0)-MATCH($C$1,[2]quests!$1:$1,0)+1,FALSE)</f>
        <v>チュートリアル</v>
      </c>
      <c r="E7" s="18" t="str">
        <f ca="1">VLOOKUP($C7,OFFSET([2]quests!$A$1,0,0,COUNTA([2]quests!$A:$A),MATCH(E$1,[2]quests!$1:$1,0)-MATCH($C$1,[2]quests!$1:$1,0)+1),MATCH(E$1,[2]quests!$1:$1,0)-MATCH($C$1,[2]quests!$1:$1,0)+1,FALSE)</f>
        <v>チュートリアル</v>
      </c>
      <c r="F7" s="21">
        <v>2</v>
      </c>
      <c r="G7" s="23" t="str">
        <f t="shared" si="1"/>
        <v>0_2</v>
      </c>
      <c r="H7" s="15" t="str">
        <f ca="1">VLOOKUP($G7,OFFSET([2]stages!$A$1,0,0,COUNTA([2]stages!$A:$A),MATCH(H$1,[2]stages!$2:$2,0)-MATCH($G$1,[2]stages!$2:$2,0)+1),MATCH(H$1,[2]stages!$2:$2,0)-MATCH($G$1,[2]stages!$2:$2,0)+1,FALSE)</f>
        <v>練習でクラッシュ！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W18" sqref="W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7" t="s">
        <v>264</v>
      </c>
      <c r="U1" s="26" t="s">
        <v>50</v>
      </c>
      <c r="V1" s="107" t="s">
        <v>265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t="shared" ref="A2:A11" si="0">B2&amp;"_"&amp;C2&amp;"-"&amp;G2&amp;"/"&amp;L2&amp;"&lt;lv"&amp;R2&amp;"&gt;s"&amp;AC2</f>
        <v>0_1-1/1&lt;lv1&gt;s1</v>
      </c>
      <c r="B2" s="22">
        <v>0</v>
      </c>
      <c r="C2" s="21">
        <v>1</v>
      </c>
      <c r="D2" s="2" t="str">
        <f t="shared" ref="D2:D11" si="1">B2&amp;"_"&amp;C2</f>
        <v>0_1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チュートリアル</v>
      </c>
      <c r="F2" s="4" t="str">
        <f ca="1">VLOOKUP($D2,OFFSET([2]stages!$A$1,0,0,COUNTA([2]stages!$A:$A),MATCH(F$1,[2]stages!$2:$2,0)-MATCH($D$1,[2]stages!$2:$2,0)+1),MATCH(F$1,[2]stages!$2:$2,0)-MATCH($D$1,[2]stages!$2:$2,0)+1,FALSE)</f>
        <v>はじめてのクラッシュ</v>
      </c>
      <c r="G2" s="21">
        <v>1</v>
      </c>
      <c r="H2" s="15" t="str">
        <f t="shared" ref="H2:H11" si="2">B2&amp;"_"&amp;C2&amp;"-"&amp;G2</f>
        <v>0_1-1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10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500</v>
      </c>
      <c r="U2" s="25">
        <v>1</v>
      </c>
      <c r="V2" s="10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183</v>
      </c>
      <c r="W2" s="5">
        <v>0</v>
      </c>
      <c r="X2" s="4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62">
        <v>0</v>
      </c>
      <c r="Z2" s="6">
        <v>1</v>
      </c>
      <c r="AA2" s="6">
        <v>100</v>
      </c>
      <c r="AB2" s="6">
        <v>0</v>
      </c>
      <c r="AC2" s="110">
        <v>1</v>
      </c>
      <c r="AD2" s="24">
        <f t="shared" ref="AD2:AD11" si="3">L2</f>
        <v>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t="shared" ref="AI2:AI11" ca="1" si="4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0_1-2/50&lt;lv1&gt;s6</v>
      </c>
      <c r="B3" s="22">
        <v>0</v>
      </c>
      <c r="C3" s="21">
        <v>1</v>
      </c>
      <c r="D3" s="2" t="str">
        <f t="shared" si="1"/>
        <v>0_1</v>
      </c>
      <c r="E3" s="4" t="str">
        <f ca="1">VLOOKUP($B3,OFFSET([2]quests!$A$1,0,0,COUNTA([2]quests!$A:$A),MATCH(E$1,[2]quests!$1:$1,0)-MATCH($B$1,[2]quests!$1:$1,0)+1),MATCH(E$1,[2]quests!$1:$1,0)-MATCH($B$1,[2]quests!$1:$1,0)+1,FALSE)</f>
        <v>チュートリアル</v>
      </c>
      <c r="F3" s="4" t="str">
        <f ca="1">VLOOKUP($D3,OFFSET([2]stages!$A$1,0,0,COUNTA([2]stages!$A:$A),MATCH(F$1,[2]stages!$2:$2,0)-MATCH($D$1,[2]stages!$2:$2,0)+1),MATCH(F$1,[2]stages!$2:$2,0)-MATCH($D$1,[2]stages!$2:$2,0)+1,FALSE)</f>
        <v>はじめてのクラッシュ</v>
      </c>
      <c r="G3" s="21">
        <v>2</v>
      </c>
      <c r="H3" s="15" t="str">
        <f t="shared" si="2"/>
        <v>0_1-2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53</v>
      </c>
      <c r="L3" s="20">
        <v>50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炎銃のレジスタンス ヨシタカ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</v>
      </c>
      <c r="S3" s="25">
        <v>0.2</v>
      </c>
      <c r="T3" s="10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449.8</v>
      </c>
      <c r="U3" s="25">
        <v>1</v>
      </c>
      <c r="V3" s="10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216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62">
        <v>0</v>
      </c>
      <c r="Z3" s="6">
        <v>1</v>
      </c>
      <c r="AA3" s="6">
        <v>100</v>
      </c>
      <c r="AB3" s="6">
        <v>0</v>
      </c>
      <c r="AC3" s="110">
        <v>6</v>
      </c>
      <c r="AD3" s="24">
        <f t="shared" si="3"/>
        <v>50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0_1-2/56&lt;lv1&gt;s6</v>
      </c>
      <c r="B4" s="22">
        <v>0</v>
      </c>
      <c r="C4" s="21">
        <v>1</v>
      </c>
      <c r="D4" s="2" t="str">
        <f t="shared" si="1"/>
        <v>0_1</v>
      </c>
      <c r="E4" s="4" t="str">
        <f ca="1">VLOOKUP($B4,OFFSET([2]quests!$A$1,0,0,COUNTA([2]quests!$A:$A),MATCH(E$1,[2]quests!$1:$1,0)-MATCH($B$1,[2]quests!$1:$1,0)+1),MATCH(E$1,[2]quests!$1:$1,0)-MATCH($B$1,[2]quests!$1:$1,0)+1,FALSE)</f>
        <v>チュートリアル</v>
      </c>
      <c r="F4" s="4" t="str">
        <f ca="1">VLOOKUP($D4,OFFSET([2]stages!$A$1,0,0,COUNTA([2]stages!$A:$A),MATCH(F$1,[2]stages!$2:$2,0)-MATCH($D$1,[2]stages!$2:$2,0)+1),MATCH(F$1,[2]stages!$2:$2,0)-MATCH($D$1,[2]stages!$2:$2,0)+1,FALSE)</f>
        <v>はじめてのクラッシュ</v>
      </c>
      <c r="G4" s="21">
        <v>2</v>
      </c>
      <c r="H4" s="15" t="str">
        <f t="shared" si="2"/>
        <v>0_1-2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53</v>
      </c>
      <c r="L4" s="20">
        <v>56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黄槌のレジスタンス マミコ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0.3</v>
      </c>
      <c r="T4" s="10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456</v>
      </c>
      <c r="U4" s="25">
        <v>1</v>
      </c>
      <c r="V4" s="10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252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62">
        <v>0</v>
      </c>
      <c r="Z4" s="6">
        <v>1</v>
      </c>
      <c r="AA4" s="6">
        <v>100</v>
      </c>
      <c r="AB4" s="6">
        <v>0</v>
      </c>
      <c r="AC4" s="110">
        <v>6</v>
      </c>
      <c r="AD4" s="24">
        <f t="shared" si="3"/>
        <v>56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4"/>
        <v>3</v>
      </c>
      <c r="AJ4" s="8">
        <v>100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0_1-3/621&lt;lv1&gt;s7</v>
      </c>
      <c r="B5" s="22">
        <v>0</v>
      </c>
      <c r="C5" s="21">
        <v>1</v>
      </c>
      <c r="D5" s="2" t="str">
        <f t="shared" si="1"/>
        <v>0_1</v>
      </c>
      <c r="E5" s="4" t="str">
        <f ca="1">VLOOKUP($B5,OFFSET([2]quests!$A$1,0,0,COUNTA([2]quests!$A:$A),MATCH(E$1,[2]quests!$1:$1,0)-MATCH($B$1,[2]quests!$1:$1,0)+1),MATCH(E$1,[2]quests!$1:$1,0)-MATCH($B$1,[2]quests!$1:$1,0)+1,FALSE)</f>
        <v>チュートリアル</v>
      </c>
      <c r="F5" s="4" t="str">
        <f ca="1">VLOOKUP($D5,OFFSET([2]stages!$A$1,0,0,COUNTA([2]stages!$A:$A),MATCH(F$1,[2]stages!$2:$2,0)-MATCH($D$1,[2]stages!$2:$2,0)+1),MATCH(F$1,[2]stages!$2:$2,0)-MATCH($D$1,[2]stages!$2:$2,0)+1,FALSE)</f>
        <v>はじめてのクラッシュ</v>
      </c>
      <c r="G5" s="21">
        <v>3</v>
      </c>
      <c r="H5" s="15" t="str">
        <f t="shared" si="2"/>
        <v>0_1-3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621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終わりなき奇跡 メビウス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0.8</v>
      </c>
      <c r="T5" s="10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3196</v>
      </c>
      <c r="U5" s="25">
        <v>1</v>
      </c>
      <c r="V5" s="10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265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さぁ、適合者テストを始めましょうか…！</v>
      </c>
      <c r="Y5" s="112">
        <v>90013201</v>
      </c>
      <c r="Z5" s="6">
        <v>1</v>
      </c>
      <c r="AA5" s="6">
        <v>100</v>
      </c>
      <c r="AB5" s="6">
        <v>0</v>
      </c>
      <c r="AC5" s="110">
        <v>7</v>
      </c>
      <c r="AD5" s="24">
        <f t="shared" si="3"/>
        <v>621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終わりなき奇跡 メビウス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5" s="7">
        <v>1</v>
      </c>
      <c r="AI5" s="24">
        <f t="shared" ca="1" si="4"/>
        <v>6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0_2-1/1&lt;lv1&gt;s1</v>
      </c>
      <c r="B6" s="22">
        <v>0</v>
      </c>
      <c r="C6" s="21">
        <v>2</v>
      </c>
      <c r="D6" s="2" t="str">
        <f t="shared" si="1"/>
        <v>0_2</v>
      </c>
      <c r="E6" s="4" t="str">
        <f ca="1">VLOOKUP($B6,OFFSET([2]quests!$A$1,0,0,COUNTA([2]quests!$A:$A),MATCH(E$1,[2]quests!$1:$1,0)-MATCH($B$1,[2]quests!$1:$1,0)+1),MATCH(E$1,[2]quests!$1:$1,0)-MATCH($B$1,[2]quests!$1:$1,0)+1,FALSE)</f>
        <v>チュートリアル</v>
      </c>
      <c r="F6" s="4" t="str">
        <f ca="1">VLOOKUP($D6,OFFSET([2]stages!$A$1,0,0,COUNTA([2]stages!$A:$A),MATCH(F$1,[2]stages!$2:$2,0)-MATCH($D$1,[2]stages!$2:$2,0)+1),MATCH(F$1,[2]stages!$2:$2,0)-MATCH($D$1,[2]stages!$2:$2,0)+1,FALSE)</f>
        <v>練習でクラッシュ！</v>
      </c>
      <c r="G6" s="21">
        <v>1</v>
      </c>
      <c r="H6" s="15" t="str">
        <f t="shared" si="2"/>
        <v>0_2-1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ジェリー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5">
        <v>1</v>
      </c>
      <c r="T6" s="10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500</v>
      </c>
      <c r="U6" s="25">
        <v>1</v>
      </c>
      <c r="V6" s="10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183</v>
      </c>
      <c r="W6" s="5">
        <v>0</v>
      </c>
      <c r="X6" s="4" t="e">
        <f ca="1">VLOOKUP($Y6,OFFSET(enemy_skill_sets!$B$1,0,0,COUNTA(enemy_skill_sets!$B:$B),MATCH(M$1,enemy_skill_sets!$1:$1,0)-MATCH($Y$1,enemy_skill_sets!$1:$1,0)+2),MATCH(M$1,enemy_skill_sets!$1:$1,0)-MATCH($Y$1,enemy_skill_sets!$1:$1,0)+2,FALSE)</f>
        <v>#N/A</v>
      </c>
      <c r="Y6" s="62">
        <v>0</v>
      </c>
      <c r="Z6" s="6">
        <v>0</v>
      </c>
      <c r="AA6" s="6">
        <v>100</v>
      </c>
      <c r="AB6" s="6">
        <v>1</v>
      </c>
      <c r="AC6" s="110">
        <v>1</v>
      </c>
      <c r="AD6" s="24">
        <f t="shared" si="3"/>
        <v>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7">
        <v>1</v>
      </c>
      <c r="AI6" s="24">
        <f t="shared" ca="1" si="4"/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0_2-1/364&lt;lv1&gt;s3</v>
      </c>
      <c r="B7" s="22">
        <v>0</v>
      </c>
      <c r="C7" s="21">
        <v>2</v>
      </c>
      <c r="D7" s="2" t="str">
        <f t="shared" si="1"/>
        <v>0_2</v>
      </c>
      <c r="E7" s="4" t="str">
        <f ca="1">VLOOKUP($B7,OFFSET([2]quests!$A$1,0,0,COUNTA([2]quests!$A:$A),MATCH(E$1,[2]quests!$1:$1,0)-MATCH($B$1,[2]quests!$1:$1,0)+1),MATCH(E$1,[2]quests!$1:$1,0)-MATCH($B$1,[2]quests!$1:$1,0)+1,FALSE)</f>
        <v>チュートリアル</v>
      </c>
      <c r="F7" s="4" t="str">
        <f ca="1">VLOOKUP($D7,OFFSET([2]stages!$A$1,0,0,COUNTA([2]stages!$A:$A),MATCH(F$1,[2]stages!$2:$2,0)-MATCH($D$1,[2]stages!$2:$2,0)+1),MATCH(F$1,[2]stages!$2:$2,0)-MATCH($D$1,[2]stages!$2:$2,0)+1,FALSE)</f>
        <v>練習でクラッシュ！</v>
      </c>
      <c r="G7" s="21">
        <v>1</v>
      </c>
      <c r="H7" s="15" t="str">
        <f t="shared" si="2"/>
        <v>0_2-1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364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ノエル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</v>
      </c>
      <c r="S7" s="25">
        <v>1</v>
      </c>
      <c r="T7" s="10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500</v>
      </c>
      <c r="U7" s="25">
        <v>1</v>
      </c>
      <c r="V7" s="10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215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62">
        <v>0</v>
      </c>
      <c r="Z7" s="6">
        <v>1</v>
      </c>
      <c r="AA7" s="6">
        <v>100</v>
      </c>
      <c r="AB7" s="6">
        <v>0</v>
      </c>
      <c r="AC7" s="110">
        <v>3</v>
      </c>
      <c r="AD7" s="24">
        <f t="shared" si="3"/>
        <v>364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4"/>
        <v>2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0_2-1/366&lt;lv1&gt;s2</v>
      </c>
      <c r="B8" s="22">
        <v>0</v>
      </c>
      <c r="C8" s="21">
        <v>2</v>
      </c>
      <c r="D8" s="2" t="str">
        <f t="shared" si="1"/>
        <v>0_2</v>
      </c>
      <c r="E8" s="4" t="str">
        <f ca="1">VLOOKUP($B8,OFFSET([2]quests!$A$1,0,0,COUNTA([2]quests!$A:$A),MATCH(E$1,[2]quests!$1:$1,0)-MATCH($B$1,[2]quests!$1:$1,0)+1),MATCH(E$1,[2]quests!$1:$1,0)-MATCH($B$1,[2]quests!$1:$1,0)+1,FALSE)</f>
        <v>チュートリアル</v>
      </c>
      <c r="F8" s="4" t="str">
        <f ca="1">VLOOKUP($D8,OFFSET([2]stages!$A$1,0,0,COUNTA([2]stages!$A:$A),MATCH(F$1,[2]stages!$2:$2,0)-MATCH($D$1,[2]stages!$2:$2,0)+1),MATCH(F$1,[2]stages!$2:$2,0)-MATCH($D$1,[2]stages!$2:$2,0)+1,FALSE)</f>
        <v>練習でクラッシュ！</v>
      </c>
      <c r="G8" s="21">
        <v>1</v>
      </c>
      <c r="H8" s="15" t="str">
        <f t="shared" si="2"/>
        <v>0_2-1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366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トト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</v>
      </c>
      <c r="S8" s="25">
        <v>1</v>
      </c>
      <c r="T8" s="10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490</v>
      </c>
      <c r="U8" s="25">
        <v>1</v>
      </c>
      <c r="V8" s="10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167</v>
      </c>
      <c r="W8" s="5">
        <v>0</v>
      </c>
      <c r="X8" s="4" t="e">
        <f ca="1">VLOOKUP($Y8,OFFSET(enemy_skill_sets!$B$1,0,0,COUNTA(enemy_skill_sets!$B:$B),MATCH(M$1,enemy_skill_sets!$1:$1,0)-MATCH($Y$1,enemy_skill_sets!$1:$1,0)+2),MATCH(M$1,enemy_skill_sets!$1:$1,0)-MATCH($Y$1,enemy_skill_sets!$1:$1,0)+2,FALSE)</f>
        <v>#N/A</v>
      </c>
      <c r="Y8" s="62">
        <v>0</v>
      </c>
      <c r="Z8" s="6">
        <v>1</v>
      </c>
      <c r="AA8" s="6">
        <v>100</v>
      </c>
      <c r="AB8" s="6">
        <v>0</v>
      </c>
      <c r="AC8" s="110">
        <v>2</v>
      </c>
      <c r="AD8" s="24">
        <f t="shared" si="3"/>
        <v>366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トト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2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0_2-1/372&lt;lv1&gt;s2</v>
      </c>
      <c r="B9" s="22">
        <v>0</v>
      </c>
      <c r="C9" s="21">
        <v>2</v>
      </c>
      <c r="D9" s="2" t="str">
        <f t="shared" si="1"/>
        <v>0_2</v>
      </c>
      <c r="E9" s="4" t="str">
        <f ca="1">VLOOKUP($B9,OFFSET([2]quests!$A$1,0,0,COUNTA([2]quests!$A:$A),MATCH(E$1,[2]quests!$1:$1,0)-MATCH($B$1,[2]quests!$1:$1,0)+1),MATCH(E$1,[2]quests!$1:$1,0)-MATCH($B$1,[2]quests!$1:$1,0)+1,FALSE)</f>
        <v>チュートリアル</v>
      </c>
      <c r="F9" s="4" t="str">
        <f ca="1">VLOOKUP($D9,OFFSET([2]stages!$A$1,0,0,COUNTA([2]stages!$A:$A),MATCH(F$1,[2]stages!$2:$2,0)-MATCH($D$1,[2]stages!$2:$2,0)+1),MATCH(F$1,[2]stages!$2:$2,0)-MATCH($D$1,[2]stages!$2:$2,0)+1,FALSE)</f>
        <v>練習でクラッシュ！</v>
      </c>
      <c r="G9" s="21">
        <v>1</v>
      </c>
      <c r="H9" s="15" t="str">
        <f t="shared" si="2"/>
        <v>0_2-1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372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バショー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</v>
      </c>
      <c r="S9" s="25">
        <v>1</v>
      </c>
      <c r="T9" s="108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510</v>
      </c>
      <c r="U9" s="25">
        <v>1</v>
      </c>
      <c r="V9" s="10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147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62">
        <v>0</v>
      </c>
      <c r="Z9" s="6">
        <v>0</v>
      </c>
      <c r="AA9" s="6">
        <v>100</v>
      </c>
      <c r="AB9" s="6">
        <v>2</v>
      </c>
      <c r="AC9" s="110">
        <v>2</v>
      </c>
      <c r="AD9" s="24">
        <f t="shared" si="3"/>
        <v>372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バショー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4"/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0_2-2/727&lt;lv1&gt;s2</v>
      </c>
      <c r="B10" s="22">
        <v>0</v>
      </c>
      <c r="C10" s="21">
        <v>2</v>
      </c>
      <c r="D10" s="2" t="str">
        <f t="shared" si="1"/>
        <v>0_2</v>
      </c>
      <c r="E10" s="4" t="str">
        <f ca="1">VLOOKUP($B10,OFFSET([2]quests!$A$1,0,0,COUNTA([2]quests!$A:$A),MATCH(E$1,[2]quests!$1:$1,0)-MATCH($B$1,[2]quests!$1:$1,0)+1),MATCH(E$1,[2]quests!$1:$1,0)-MATCH($B$1,[2]quests!$1:$1,0)+1,FALSE)</f>
        <v>チュートリアル</v>
      </c>
      <c r="F10" s="4" t="str">
        <f ca="1">VLOOKUP($D10,OFFSET([2]stages!$A$1,0,0,COUNTA([2]stages!$A:$A),MATCH(F$1,[2]stages!$2:$2,0)-MATCH($D$1,[2]stages!$2:$2,0)+1),MATCH(F$1,[2]stages!$2:$2,0)-MATCH($D$1,[2]stages!$2:$2,0)+1,FALSE)</f>
        <v>練習でクラッシュ！</v>
      </c>
      <c r="G10" s="21">
        <v>2</v>
      </c>
      <c r="H10" s="15" t="str">
        <f t="shared" si="2"/>
        <v>0_2-2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727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真鋭の征服者 織田信長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1</v>
      </c>
      <c r="S10" s="25">
        <v>0.8</v>
      </c>
      <c r="T10" s="10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3196</v>
      </c>
      <c r="U10" s="25">
        <v>1</v>
      </c>
      <c r="V10" s="108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367</v>
      </c>
      <c r="W10" s="5">
        <v>0</v>
      </c>
      <c r="X10" s="4" t="e">
        <f ca="1">VLOOKUP($Y10,OFFSET(enemy_skill_sets!$B$1,0,0,COUNTA(enemy_skill_sets!$B:$B),MATCH(M$1,enemy_skill_sets!$1:$1,0)-MATCH($Y$1,enemy_skill_sets!$1:$1,0)+2),MATCH(M$1,enemy_skill_sets!$1:$1,0)-MATCH($Y$1,enemy_skill_sets!$1:$1,0)+2,FALSE)</f>
        <v>#N/A</v>
      </c>
      <c r="Y10" s="62">
        <v>0</v>
      </c>
      <c r="Z10" s="6">
        <v>1</v>
      </c>
      <c r="AA10" s="6">
        <v>100</v>
      </c>
      <c r="AB10" s="6">
        <v>0</v>
      </c>
      <c r="AC10" s="110">
        <v>2</v>
      </c>
      <c r="AD10" s="24">
        <f t="shared" si="3"/>
        <v>727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真鋭の征服者 織田信長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10" s="7">
        <v>1</v>
      </c>
      <c r="AI10" s="24">
        <f t="shared" ca="1" si="4"/>
        <v>6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0_2-3/1114&lt;lv1&gt;s2</v>
      </c>
      <c r="B11" s="22">
        <v>0</v>
      </c>
      <c r="C11" s="21">
        <v>2</v>
      </c>
      <c r="D11" s="2" t="str">
        <f t="shared" si="1"/>
        <v>0_2</v>
      </c>
      <c r="E11" s="4" t="str">
        <f ca="1">VLOOKUP($B11,OFFSET([2]quests!$A$1,0,0,COUNTA([2]quests!$A:$A),MATCH(E$1,[2]quests!$1:$1,0)-MATCH($B$1,[2]quests!$1:$1,0)+1),MATCH(E$1,[2]quests!$1:$1,0)-MATCH($B$1,[2]quests!$1:$1,0)+1,FALSE)</f>
        <v>チュートリアル</v>
      </c>
      <c r="F11" s="4" t="str">
        <f ca="1">VLOOKUP($D11,OFFSET([2]stages!$A$1,0,0,COUNTA([2]stages!$A:$A),MATCH(F$1,[2]stages!$2:$2,0)-MATCH($D$1,[2]stages!$2:$2,0)+1),MATCH(F$1,[2]stages!$2:$2,0)-MATCH($D$1,[2]stages!$2:$2,0)+1,FALSE)</f>
        <v>練習でクラッシュ！</v>
      </c>
      <c r="G11" s="21">
        <v>3</v>
      </c>
      <c r="H11" s="15" t="str">
        <f t="shared" si="2"/>
        <v>0_2-3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1114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ボナンザ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1</v>
      </c>
      <c r="S11" s="25">
        <v>1</v>
      </c>
      <c r="T11" s="10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3902</v>
      </c>
      <c r="U11" s="25">
        <v>1</v>
      </c>
      <c r="V11" s="10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265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1" s="112">
        <v>90023101</v>
      </c>
      <c r="Z11" s="6">
        <v>1</v>
      </c>
      <c r="AA11" s="6">
        <v>100</v>
      </c>
      <c r="AB11" s="6">
        <v>0</v>
      </c>
      <c r="AC11" s="110">
        <v>2</v>
      </c>
      <c r="AD11" s="24">
        <f t="shared" si="3"/>
        <v>1114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ボナンザ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11" s="7">
        <v>1</v>
      </c>
      <c r="AI11" s="24">
        <f t="shared" ca="1" si="4"/>
        <v>5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22" sqref="U2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7" t="s">
        <v>264</v>
      </c>
      <c r="V1" s="26" t="s">
        <v>50</v>
      </c>
      <c r="W1" s="107" t="s">
        <v>265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0_1-1/2&lt;lv1&gt;sq1st2</v>
      </c>
      <c r="B2" s="22">
        <v>0</v>
      </c>
      <c r="C2" s="21">
        <v>1</v>
      </c>
      <c r="D2" s="2" t="str">
        <f>B2&amp;"_"&amp;C2</f>
        <v>0_1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チュートリアル</v>
      </c>
      <c r="F2" s="4" t="str">
        <f ca="1">VLOOKUP($D2,OFFSET([2]stages!$A$1,0,0,COUNTA([2]stages!$A:$A),MATCH(F$1,[2]stages!$2:$2,0)-MATCH($D$1,[2]stages!$2:$2,0)+1),MATCH(F$1,[2]stages!$2:$2,0)-MATCH($D$1,[2]stages!$2:$2,0)+1,FALSE)</f>
        <v>はじめてのクラッシュ</v>
      </c>
      <c r="G2" s="21">
        <v>1</v>
      </c>
      <c r="H2" s="15" t="str">
        <f>B2&amp;"_"&amp;C2&amp;"-"&amp;G2</f>
        <v>0_1-1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10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5">
        <v>1</v>
      </c>
      <c r="W2" s="10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">
        <v>268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71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9" sqref="E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90013201_90013201</v>
      </c>
      <c r="B2" s="47">
        <v>90013201</v>
      </c>
      <c r="C2" s="47">
        <v>90013201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ふふっ、貴方が来るのを待っていましたよ♪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さぁ、適合者テストを始めましょうか…！</v>
      </c>
      <c r="F2" s="47">
        <v>90013201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90013201_90013202</v>
      </c>
      <c r="B3" s="47">
        <v>90013201</v>
      </c>
      <c r="C3" s="47">
        <v>90013202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素晴らしいですね！合格です♪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" s="47">
        <v>90013202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90023101_90023101</v>
      </c>
      <c r="B4" s="47">
        <v>90023101</v>
      </c>
      <c r="C4" s="47">
        <v>90023101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適合者…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" s="47">
        <v>90023101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90023101_90023102</v>
      </c>
      <c r="B5" s="47">
        <v>90023101</v>
      </c>
      <c r="C5" s="47">
        <v>90023102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…いずれALICEの真実を知る事になるわ…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" s="47">
        <v>90023102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"/>
  <sheetViews>
    <sheetView showGridLines="0" workbookViewId="0">
      <pane ySplit="1" topLeftCell="A2" activePane="bottomLeft" state="frozenSplit"/>
      <selection pane="bottomLeft" activeCell="A6" sqref="A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11">
        <v>90013201</v>
      </c>
      <c r="B2" s="111" t="s">
        <v>344</v>
      </c>
      <c r="C2" s="50">
        <v>3</v>
      </c>
      <c r="D2" s="50" t="s">
        <v>128</v>
      </c>
      <c r="E2" s="51" t="s">
        <v>348</v>
      </c>
      <c r="F2" s="51" t="s">
        <v>349</v>
      </c>
      <c r="G2" s="64" t="str">
        <f>IFERROR(LEFT(B2,FIND("],",B2)),B2)</f>
        <v>[effect:enemy_message, val1:2.3, val2:2.5, dead_type:escape]</v>
      </c>
      <c r="H2" s="64">
        <f>FIND("effect:",G2)+7</f>
        <v>9</v>
      </c>
      <c r="I2" s="64">
        <f>IFERROR(FIND(",",G2),LEN(G2))</f>
        <v>22</v>
      </c>
      <c r="J2" s="64" t="e">
        <f>FIND("target:",G2)+7</f>
        <v>#VALUE!</v>
      </c>
      <c r="K2" s="64">
        <f>FIND(",",G2,I2+1)</f>
        <v>32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>IFERROR(RIGHT(B2,LEN(B2)-FIND("],",B2)-1),"none")</f>
        <v>none</v>
      </c>
      <c r="N2" s="48" t="str">
        <f>IFERROR(LEFT(M2,FIND("],",M2)+S12),M2)</f>
        <v>none</v>
      </c>
      <c r="O2" s="64" t="e">
        <f>FIND("effect:",N2)+7</f>
        <v>#VALUE!</v>
      </c>
      <c r="P2" s="64">
        <f>IFERROR(FIND(",",N2),LEN(N2))</f>
        <v>4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111">
        <v>90013202</v>
      </c>
      <c r="B3" s="111" t="s">
        <v>345</v>
      </c>
      <c r="C3" s="50">
        <v>3</v>
      </c>
      <c r="D3" s="50" t="s">
        <v>128</v>
      </c>
      <c r="E3" s="51" t="s">
        <v>350</v>
      </c>
      <c r="F3" s="51" t="s">
        <v>351</v>
      </c>
      <c r="G3" s="64" t="str">
        <f>IFERROR(LEFT(B3,FIND("],",B3)),B3)</f>
        <v>[effect:enemy_message, val1:2.0, val2:0, dead_type:escape]</v>
      </c>
      <c r="H3" s="64">
        <f>FIND("effect:",G3)+7</f>
        <v>9</v>
      </c>
      <c r="I3" s="64">
        <f>IFERROR(FIND(",",G3),LEN(G3))</f>
        <v>22</v>
      </c>
      <c r="J3" s="64" t="e">
        <f>FIND("target:",G3)+7</f>
        <v>#VALUE!</v>
      </c>
      <c r="K3" s="64">
        <f>FIND(",",G3,I3+1)</f>
        <v>32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>IFERROR(RIGHT(B3,LEN(B3)-FIND("],",B3)-1),"none")</f>
        <v>none</v>
      </c>
      <c r="N3" s="48" t="str">
        <f>IFERROR(LEFT(M3,FIND("],",M3)+S13),M3)</f>
        <v>none</v>
      </c>
      <c r="O3" s="64" t="e">
        <f>FIND("effect:",N3)+7</f>
        <v>#VALUE!</v>
      </c>
      <c r="P3" s="64">
        <f>IFERROR(FIND(",",N3),LEN(N3))</f>
        <v>4</v>
      </c>
      <c r="Q3" s="64" t="e">
        <f>FIND("target:",N3)+7</f>
        <v>#VALUE!</v>
      </c>
      <c r="R3" s="64" t="e">
        <f>FIND(",",N3,P3+1)</f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>IFERROR(RIGHT(M3,LEN(M3)-FIND("],",M3)-1),"none")</f>
        <v>none</v>
      </c>
      <c r="U3" s="64" t="e">
        <f>FIND("effect:",T3)+7</f>
        <v>#VALUE!</v>
      </c>
      <c r="V3" s="64">
        <f>IFERROR(FIND(",",T3),LEN(T3))</f>
        <v>4</v>
      </c>
      <c r="W3" s="64" t="e">
        <f>FIND("target:",T3)+7</f>
        <v>#VALUE!</v>
      </c>
      <c r="X3" s="64" t="e">
        <f>FIND(",",T3,V3+1)</f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111">
        <v>90023101</v>
      </c>
      <c r="B4" s="111" t="s">
        <v>346</v>
      </c>
      <c r="C4" s="50">
        <v>3</v>
      </c>
      <c r="D4" s="50" t="s">
        <v>128</v>
      </c>
      <c r="E4" s="51" t="s">
        <v>352</v>
      </c>
      <c r="F4" s="51" t="s">
        <v>351</v>
      </c>
      <c r="G4" s="64" t="str">
        <f>IFERROR(LEFT(B4,FIND("],",B4)),B4)</f>
        <v>[effect:enemy_message, val1:2.2, val2:0, dead_type:escape]</v>
      </c>
      <c r="H4" s="64">
        <f>FIND("effect:",G4)+7</f>
        <v>9</v>
      </c>
      <c r="I4" s="64">
        <f>IFERROR(FIND(",",G4),LEN(G4))</f>
        <v>22</v>
      </c>
      <c r="J4" s="64" t="e">
        <f>FIND("target:",G4)+7</f>
        <v>#VALUE!</v>
      </c>
      <c r="K4" s="64">
        <f>FIND(",",G4,I4+1)</f>
        <v>32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>IFERROR(RIGHT(B4,LEN(B4)-FIND("],",B4)-1),"none")</f>
        <v>[effect:set_background, turn:-1, background_id:965, switching_mode:cross_fade, duration:1.0]</v>
      </c>
      <c r="N4" s="48" t="str">
        <f>IFERROR(LEFT(M4,FIND("],",M4)+S14),M4)</f>
        <v>[effect:set_background, turn:-1, background_id:965, switching_mode:cross_fade, duration:1.0]</v>
      </c>
      <c r="O4" s="64">
        <f>FIND("effect:",N4)+7</f>
        <v>9</v>
      </c>
      <c r="P4" s="64">
        <f>IFERROR(FIND(",",N4),LEN(N4))</f>
        <v>23</v>
      </c>
      <c r="Q4" s="64" t="e">
        <f>FIND("target:",N4)+7</f>
        <v>#VALUE!</v>
      </c>
      <c r="R4" s="64">
        <f>FIND(",",N4,P4+1)</f>
        <v>32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>IFERROR(RIGHT(M4,LEN(M4)-FIND("],",M4)-1),"none")</f>
        <v>none</v>
      </c>
      <c r="U4" s="64" t="e">
        <f>FIND("effect:",T4)+7</f>
        <v>#VALUE!</v>
      </c>
      <c r="V4" s="64">
        <f>IFERROR(FIND(",",T4),LEN(T4))</f>
        <v>4</v>
      </c>
      <c r="W4" s="64" t="e">
        <f>FIND("target:",T4)+7</f>
        <v>#VALUE!</v>
      </c>
      <c r="X4" s="64" t="e">
        <f>FIND(",",T4,V4+1)</f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111">
        <v>90023102</v>
      </c>
      <c r="B5" s="111" t="s">
        <v>347</v>
      </c>
      <c r="C5" s="50">
        <v>3</v>
      </c>
      <c r="D5" s="50" t="s">
        <v>128</v>
      </c>
      <c r="E5" s="51" t="s">
        <v>353</v>
      </c>
      <c r="F5" s="51" t="s">
        <v>351</v>
      </c>
      <c r="G5" s="64" t="str">
        <f>IFERROR(LEFT(B5,FIND("],",B5)),B5)</f>
        <v>[effect:enemy_message, val1:2.7, val2:0, dead_type:escape]</v>
      </c>
      <c r="H5" s="64">
        <f>FIND("effect:",G5)+7</f>
        <v>9</v>
      </c>
      <c r="I5" s="64">
        <f>IFERROR(FIND(",",G5),LEN(G5))</f>
        <v>22</v>
      </c>
      <c r="J5" s="64" t="e">
        <f>FIND("target:",G5)+7</f>
        <v>#VALUE!</v>
      </c>
      <c r="K5" s="64">
        <f>FIND(",",G5,I5+1)</f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>IFERROR(RIGHT(B5,LEN(B5)-FIND("],",B5)-1),"none")</f>
        <v>none</v>
      </c>
      <c r="N5" s="48" t="str">
        <f>IFERROR(LEFT(M5,FIND("],",M5)+S15),M5)</f>
        <v>none</v>
      </c>
      <c r="O5" s="64" t="e">
        <f>FIND("effect:",N5)+7</f>
        <v>#VALUE!</v>
      </c>
      <c r="P5" s="64">
        <f>IFERROR(FIND(",",N5),LEN(N5))</f>
        <v>4</v>
      </c>
      <c r="Q5" s="64" t="e">
        <f>FIND("target:",N5)+7</f>
        <v>#VALUE!</v>
      </c>
      <c r="R5" s="64" t="e">
        <f>FIND(",",N5,P5+1)</f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>IFERROR(RIGHT(M5,LEN(M5)-FIND("],",M5)-1),"none")</f>
        <v>none</v>
      </c>
      <c r="U5" s="64" t="e">
        <f>FIND("effect:",T5)+7</f>
        <v>#VALUE!</v>
      </c>
      <c r="V5" s="64">
        <f>IFERROR(FIND(",",T5),LEN(T5))</f>
        <v>4</v>
      </c>
      <c r="W5" s="64" t="e">
        <f>FIND("target:",T5)+7</f>
        <v>#VALUE!</v>
      </c>
      <c r="X5" s="64" t="e">
        <f>FIND(",",T5,V5+1)</f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"/>
  <sheetViews>
    <sheetView showGridLines="0" workbookViewId="0">
      <pane ySplit="1" topLeftCell="A2" activePane="bottomLeft" state="frozenSplit"/>
      <selection pane="bottomLeft" activeCell="D10" sqref="D10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90013201</v>
      </c>
      <c r="B2" s="47">
        <v>1</v>
      </c>
      <c r="C2" s="47" t="s">
        <v>89</v>
      </c>
      <c r="D2" s="47">
        <v>100</v>
      </c>
      <c r="E2" s="47" t="s">
        <v>267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90013202</v>
      </c>
      <c r="B3" s="47">
        <v>0</v>
      </c>
      <c r="C3" s="47" t="s">
        <v>89</v>
      </c>
      <c r="D3" s="47">
        <v>100</v>
      </c>
      <c r="E3" s="47" t="s">
        <v>267</v>
      </c>
      <c r="F3" s="47" t="s">
        <v>89</v>
      </c>
      <c r="G3" s="47">
        <v>0</v>
      </c>
      <c r="H3" s="47" t="s">
        <v>89</v>
      </c>
      <c r="I3" s="47">
        <v>0</v>
      </c>
      <c r="J3" s="48">
        <f t="shared" ref="J3:J5" si="1">D3</f>
        <v>100</v>
      </c>
    </row>
    <row r="4" spans="1:11" ht="21" customHeight="1" x14ac:dyDescent="0.15">
      <c r="A4" s="47">
        <v>90023101</v>
      </c>
      <c r="B4" s="47">
        <v>1</v>
      </c>
      <c r="C4" s="47" t="s">
        <v>89</v>
      </c>
      <c r="D4" s="47">
        <v>100</v>
      </c>
      <c r="E4" s="47" t="s">
        <v>267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si="1"/>
        <v>100</v>
      </c>
    </row>
    <row r="5" spans="1:11" ht="21" customHeight="1" x14ac:dyDescent="0.15">
      <c r="A5" s="47">
        <v>90023102</v>
      </c>
      <c r="B5" s="47">
        <v>0</v>
      </c>
      <c r="C5" s="47" t="s">
        <v>89</v>
      </c>
      <c r="D5" s="47">
        <v>100</v>
      </c>
      <c r="E5" s="47" t="s">
        <v>267</v>
      </c>
      <c r="F5" s="47" t="s">
        <v>89</v>
      </c>
      <c r="G5" s="47">
        <v>0</v>
      </c>
      <c r="H5" s="47" t="s">
        <v>89</v>
      </c>
      <c r="I5" s="47">
        <v>0</v>
      </c>
      <c r="J5" s="48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3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f>floors!C2</f>
        <v>0</v>
      </c>
      <c r="B2" s="57">
        <v>1</v>
      </c>
      <c r="C2" s="72" t="str">
        <f>A2&amp; "_"&amp;B2</f>
        <v>0_1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190</v>
      </c>
      <c r="B1" s="74" t="s">
        <v>191</v>
      </c>
      <c r="C1" s="78" t="s">
        <v>192</v>
      </c>
      <c r="D1" s="78" t="s">
        <v>33</v>
      </c>
      <c r="E1" s="74" t="s">
        <v>193</v>
      </c>
      <c r="F1" s="78" t="s">
        <v>194</v>
      </c>
      <c r="G1" s="78" t="s">
        <v>33</v>
      </c>
      <c r="H1" s="74" t="s">
        <v>195</v>
      </c>
      <c r="I1" s="93" t="s">
        <v>197</v>
      </c>
      <c r="J1" s="80" t="s">
        <v>127</v>
      </c>
      <c r="K1" s="79" t="s">
        <v>188</v>
      </c>
      <c r="L1" s="94" t="s">
        <v>187</v>
      </c>
      <c r="M1" s="81" t="s">
        <v>198</v>
      </c>
    </row>
    <row r="2" spans="1:13" x14ac:dyDescent="0.15">
      <c r="A2" s="82" t="s">
        <v>202</v>
      </c>
      <c r="B2" s="83">
        <f>floors!$C$2</f>
        <v>0</v>
      </c>
      <c r="C2" s="84" t="str">
        <f ca="1">VLOOKUP($B2,OFFSET([2]quests!$A$1,0,0,COUNTA([2]quests!$A:$A),MATCH(C$1,[2]quests!$1:$1,0)-MATCH($B$1,[2]quests!$1:$1,0)+1),MATCH(C$1,[2]quests!$1:$1,0)-MATCH($B$1,[2]quests!$1:$1,0)+1,FALSE)</f>
        <v>チュートリアル</v>
      </c>
      <c r="D2" s="84" t="str">
        <f ca="1">VLOOKUP($B2,OFFSET([2]quests!$A$1,0,0,COUNTA([2]quests!$A:$A),MATCH(D$1,[2]quests!$1:$1,0)-MATCH($B$1,[2]quests!$1:$1,0)+1),MATCH(D$1,[2]quests!$1:$1,0)-MATCH($B$1,[2]quests!$1:$1,0)+1,FALSE)</f>
        <v>チュートリアル</v>
      </c>
      <c r="E2" s="88" t="s">
        <v>216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200</v>
      </c>
      <c r="K2" s="95" t="s">
        <v>269</v>
      </c>
      <c r="L2" s="96" t="s">
        <v>270</v>
      </c>
      <c r="M2" s="57" t="s">
        <v>213</v>
      </c>
    </row>
    <row r="3" spans="1:13" x14ac:dyDescent="0.15">
      <c r="A3" s="82" t="s">
        <v>202</v>
      </c>
      <c r="B3" s="83">
        <f>floors!$C$2</f>
        <v>0</v>
      </c>
      <c r="C3" s="84" t="str">
        <f ca="1">VLOOKUP($B3,OFFSET([2]quests!$A$1,0,0,COUNTA([2]quests!$A:$A),MATCH(C$1,[2]quests!$1:$1,0)-MATCH($B$1,[2]quests!$1:$1,0)+1),MATCH(C$1,[2]quests!$1:$1,0)-MATCH($B$1,[2]quests!$1:$1,0)+1,FALSE)</f>
        <v>チュートリアル</v>
      </c>
      <c r="D3" s="84" t="str">
        <f ca="1">VLOOKUP($B3,OFFSET([2]quests!$A$1,0,0,COUNTA([2]quests!$A:$A),MATCH(D$1,[2]quests!$1:$1,0)-MATCH($B$1,[2]quests!$1:$1,0)+1),MATCH(D$1,[2]quests!$1:$1,0)-MATCH($B$1,[2]quests!$1:$1,0)+1,FALSE)</f>
        <v>チュートリアル</v>
      </c>
      <c r="E3" s="88" t="s">
        <v>216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200</v>
      </c>
      <c r="K3" s="95" t="s">
        <v>271</v>
      </c>
      <c r="L3" s="96" t="s">
        <v>272</v>
      </c>
      <c r="M3" s="57" t="s">
        <v>213</v>
      </c>
    </row>
    <row r="4" spans="1:13" x14ac:dyDescent="0.15">
      <c r="A4" s="82" t="s">
        <v>202</v>
      </c>
      <c r="B4" s="83">
        <f>floors!$C$2</f>
        <v>0</v>
      </c>
      <c r="C4" s="84" t="str">
        <f ca="1">VLOOKUP($B4,OFFSET([2]quests!$A$1,0,0,COUNTA([2]quests!$A:$A),MATCH(C$1,[2]quests!$1:$1,0)-MATCH($B$1,[2]quests!$1:$1,0)+1),MATCH(C$1,[2]quests!$1:$1,0)-MATCH($B$1,[2]quests!$1:$1,0)+1,FALSE)</f>
        <v>チュートリアル</v>
      </c>
      <c r="D4" s="84" t="str">
        <f ca="1">VLOOKUP($B4,OFFSET([2]quests!$A$1,0,0,COUNTA([2]quests!$A:$A),MATCH(D$1,[2]quests!$1:$1,0)-MATCH($B$1,[2]quests!$1:$1,0)+1),MATCH(D$1,[2]quests!$1:$1,0)-MATCH($B$1,[2]quests!$1:$1,0)+1,FALSE)</f>
        <v>チュートリアル</v>
      </c>
      <c r="E4" s="88" t="s">
        <v>216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200</v>
      </c>
      <c r="K4" s="95" t="s">
        <v>273</v>
      </c>
      <c r="L4" s="96" t="s">
        <v>274</v>
      </c>
      <c r="M4" s="57" t="s">
        <v>213</v>
      </c>
    </row>
    <row r="5" spans="1:13" x14ac:dyDescent="0.15">
      <c r="A5" s="82" t="s">
        <v>202</v>
      </c>
      <c r="B5" s="83">
        <f>floors!$C$2</f>
        <v>0</v>
      </c>
      <c r="C5" s="84" t="str">
        <f ca="1">VLOOKUP($B5,OFFSET([2]quests!$A$1,0,0,COUNTA([2]quests!$A:$A),MATCH(C$1,[2]quests!$1:$1,0)-MATCH($B$1,[2]quests!$1:$1,0)+1),MATCH(C$1,[2]quests!$1:$1,0)-MATCH($B$1,[2]quests!$1:$1,0)+1,FALSE)</f>
        <v>チュートリアル</v>
      </c>
      <c r="D5" s="84" t="str">
        <f ca="1">VLOOKUP($B5,OFFSET([2]quests!$A$1,0,0,COUNTA([2]quests!$A:$A),MATCH(D$1,[2]quests!$1:$1,0)-MATCH($B$1,[2]quests!$1:$1,0)+1),MATCH(D$1,[2]quests!$1:$1,0)-MATCH($B$1,[2]quests!$1:$1,0)+1,FALSE)</f>
        <v>チュートリアル</v>
      </c>
      <c r="E5" s="88" t="s">
        <v>216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200</v>
      </c>
      <c r="K5" s="95" t="s">
        <v>275</v>
      </c>
      <c r="L5" s="96" t="s">
        <v>276</v>
      </c>
      <c r="M5" s="57" t="s">
        <v>213</v>
      </c>
    </row>
    <row r="6" spans="1:13" x14ac:dyDescent="0.15">
      <c r="A6" s="82" t="s">
        <v>202</v>
      </c>
      <c r="B6" s="83">
        <f>floors!$C$2</f>
        <v>0</v>
      </c>
      <c r="C6" s="84" t="str">
        <f ca="1">VLOOKUP($B6,OFFSET([2]quests!$A$1,0,0,COUNTA([2]quests!$A:$A),MATCH(C$1,[2]quests!$1:$1,0)-MATCH($B$1,[2]quests!$1:$1,0)+1),MATCH(C$1,[2]quests!$1:$1,0)-MATCH($B$1,[2]quests!$1:$1,0)+1,FALSE)</f>
        <v>チュートリアル</v>
      </c>
      <c r="D6" s="84" t="str">
        <f ca="1">VLOOKUP($B6,OFFSET([2]quests!$A$1,0,0,COUNTA([2]quests!$A:$A),MATCH(D$1,[2]quests!$1:$1,0)-MATCH($B$1,[2]quests!$1:$1,0)+1),MATCH(D$1,[2]quests!$1:$1,0)-MATCH($B$1,[2]quests!$1:$1,0)+1,FALSE)</f>
        <v>チュートリアル</v>
      </c>
      <c r="E6" s="88" t="s">
        <v>216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200</v>
      </c>
      <c r="K6" s="95" t="s">
        <v>277</v>
      </c>
      <c r="L6" s="96" t="s">
        <v>278</v>
      </c>
      <c r="M6" s="57" t="s">
        <v>213</v>
      </c>
    </row>
    <row r="7" spans="1:13" x14ac:dyDescent="0.15">
      <c r="A7" s="82" t="s">
        <v>202</v>
      </c>
      <c r="B7" s="83">
        <f>floors!$C$2</f>
        <v>0</v>
      </c>
      <c r="C7" s="84" t="str">
        <f ca="1">VLOOKUP($B7,OFFSET([2]quests!$A$1,0,0,COUNTA([2]quests!$A:$A),MATCH(C$1,[2]quests!$1:$1,0)-MATCH($B$1,[2]quests!$1:$1,0)+1),MATCH(C$1,[2]quests!$1:$1,0)-MATCH($B$1,[2]quests!$1:$1,0)+1,FALSE)</f>
        <v>チュートリアル</v>
      </c>
      <c r="D7" s="84" t="str">
        <f ca="1">VLOOKUP($B7,OFFSET([2]quests!$A$1,0,0,COUNTA([2]quests!$A:$A),MATCH(D$1,[2]quests!$1:$1,0)-MATCH($B$1,[2]quests!$1:$1,0)+1),MATCH(D$1,[2]quests!$1:$1,0)-MATCH($B$1,[2]quests!$1:$1,0)+1,FALSE)</f>
        <v>チュートリアル</v>
      </c>
      <c r="E7" s="88" t="s">
        <v>216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200</v>
      </c>
      <c r="K7" s="95" t="s">
        <v>279</v>
      </c>
      <c r="L7" s="96" t="s">
        <v>280</v>
      </c>
      <c r="M7" s="57" t="s">
        <v>213</v>
      </c>
    </row>
    <row r="8" spans="1:13" x14ac:dyDescent="0.15">
      <c r="A8" s="82" t="s">
        <v>202</v>
      </c>
      <c r="B8" s="83">
        <f>floors!$C$2</f>
        <v>0</v>
      </c>
      <c r="C8" s="84" t="str">
        <f ca="1">VLOOKUP($B8,OFFSET([2]quests!$A$1,0,0,COUNTA([2]quests!$A:$A),MATCH(C$1,[2]quests!$1:$1,0)-MATCH($B$1,[2]quests!$1:$1,0)+1),MATCH(C$1,[2]quests!$1:$1,0)-MATCH($B$1,[2]quests!$1:$1,0)+1,FALSE)</f>
        <v>チュートリアル</v>
      </c>
      <c r="D8" s="84" t="str">
        <f ca="1">VLOOKUP($B8,OFFSET([2]quests!$A$1,0,0,COUNTA([2]quests!$A:$A),MATCH(D$1,[2]quests!$1:$1,0)-MATCH($B$1,[2]quests!$1:$1,0)+1),MATCH(D$1,[2]quests!$1:$1,0)-MATCH($B$1,[2]quests!$1:$1,0)+1,FALSE)</f>
        <v>チュートリアル</v>
      </c>
      <c r="E8" s="88" t="s">
        <v>216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200</v>
      </c>
      <c r="K8" s="95" t="s">
        <v>281</v>
      </c>
      <c r="L8" s="96" t="s">
        <v>282</v>
      </c>
      <c r="M8" s="57" t="s">
        <v>213</v>
      </c>
    </row>
    <row r="9" spans="1:13" x14ac:dyDescent="0.15">
      <c r="A9" s="82" t="s">
        <v>202</v>
      </c>
      <c r="B9" s="83">
        <f>floors!$C$2</f>
        <v>0</v>
      </c>
      <c r="C9" s="84" t="str">
        <f ca="1">VLOOKUP($B9,OFFSET([2]quests!$A$1,0,0,COUNTA([2]quests!$A:$A),MATCH(C$1,[2]quests!$1:$1,0)-MATCH($B$1,[2]quests!$1:$1,0)+1),MATCH(C$1,[2]quests!$1:$1,0)-MATCH($B$1,[2]quests!$1:$1,0)+1,FALSE)</f>
        <v>チュートリアル</v>
      </c>
      <c r="D9" s="84" t="str">
        <f ca="1">VLOOKUP($B9,OFFSET([2]quests!$A$1,0,0,COUNTA([2]quests!$A:$A),MATCH(D$1,[2]quests!$1:$1,0)-MATCH($B$1,[2]quests!$1:$1,0)+1),MATCH(D$1,[2]quests!$1:$1,0)-MATCH($B$1,[2]quests!$1:$1,0)+1,FALSE)</f>
        <v>チュートリアル</v>
      </c>
      <c r="E9" s="88" t="s">
        <v>216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200</v>
      </c>
      <c r="K9" s="95" t="s">
        <v>283</v>
      </c>
      <c r="L9" s="96" t="s">
        <v>284</v>
      </c>
      <c r="M9" s="57" t="s">
        <v>213</v>
      </c>
    </row>
    <row r="10" spans="1:13" x14ac:dyDescent="0.15">
      <c r="A10" s="82" t="s">
        <v>202</v>
      </c>
      <c r="B10" s="83">
        <f>floors!$C$2</f>
        <v>0</v>
      </c>
      <c r="C10" s="84" t="str">
        <f ca="1">VLOOKUP($B10,OFFSET([2]quests!$A$1,0,0,COUNTA([2]quests!$A:$A),MATCH(C$1,[2]quests!$1:$1,0)-MATCH($B$1,[2]quests!$1:$1,0)+1),MATCH(C$1,[2]quests!$1:$1,0)-MATCH($B$1,[2]quests!$1:$1,0)+1,FALSE)</f>
        <v>チュートリアル</v>
      </c>
      <c r="D10" s="84" t="str">
        <f ca="1">VLOOKUP($B10,OFFSET([2]quests!$A$1,0,0,COUNTA([2]quests!$A:$A),MATCH(D$1,[2]quests!$1:$1,0)-MATCH($B$1,[2]quests!$1:$1,0)+1),MATCH(D$1,[2]quests!$1:$1,0)-MATCH($B$1,[2]quests!$1:$1,0)+1,FALSE)</f>
        <v>チュートリアル</v>
      </c>
      <c r="E10" s="88" t="s">
        <v>216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200</v>
      </c>
      <c r="K10" s="95" t="s">
        <v>285</v>
      </c>
      <c r="L10" s="96" t="s">
        <v>286</v>
      </c>
      <c r="M10" s="57" t="s">
        <v>213</v>
      </c>
    </row>
    <row r="11" spans="1:13" x14ac:dyDescent="0.15">
      <c r="A11" s="82" t="s">
        <v>202</v>
      </c>
      <c r="B11" s="83">
        <f>floors!$C$2</f>
        <v>0</v>
      </c>
      <c r="C11" s="84" t="str">
        <f ca="1">VLOOKUP($B11,OFFSET([2]quests!$A$1,0,0,COUNTA([2]quests!$A:$A),MATCH(C$1,[2]quests!$1:$1,0)-MATCH($B$1,[2]quests!$1:$1,0)+1),MATCH(C$1,[2]quests!$1:$1,0)-MATCH($B$1,[2]quests!$1:$1,0)+1,FALSE)</f>
        <v>チュートリアル</v>
      </c>
      <c r="D11" s="84" t="str">
        <f ca="1">VLOOKUP($B11,OFFSET([2]quests!$A$1,0,0,COUNTA([2]quests!$A:$A),MATCH(D$1,[2]quests!$1:$1,0)-MATCH($B$1,[2]quests!$1:$1,0)+1),MATCH(D$1,[2]quests!$1:$1,0)-MATCH($B$1,[2]quests!$1:$1,0)+1,FALSE)</f>
        <v>チュートリアル</v>
      </c>
      <c r="E11" s="88" t="s">
        <v>216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200</v>
      </c>
      <c r="K11" s="95" t="s">
        <v>287</v>
      </c>
      <c r="L11" s="96" t="s">
        <v>288</v>
      </c>
      <c r="M11" s="57" t="s">
        <v>213</v>
      </c>
    </row>
    <row r="12" spans="1:13" x14ac:dyDescent="0.15">
      <c r="A12" s="82" t="s">
        <v>202</v>
      </c>
      <c r="B12" s="83">
        <f>floors!$C$2</f>
        <v>0</v>
      </c>
      <c r="C12" s="84" t="str">
        <f ca="1">VLOOKUP($B12,OFFSET([2]quests!$A$1,0,0,COUNTA([2]quests!$A:$A),MATCH(C$1,[2]quests!$1:$1,0)-MATCH($B$1,[2]quests!$1:$1,0)+1),MATCH(C$1,[2]quests!$1:$1,0)-MATCH($B$1,[2]quests!$1:$1,0)+1,FALSE)</f>
        <v>チュートリアル</v>
      </c>
      <c r="D12" s="84" t="str">
        <f ca="1">VLOOKUP($B12,OFFSET([2]quests!$A$1,0,0,COUNTA([2]quests!$A:$A),MATCH(D$1,[2]quests!$1:$1,0)-MATCH($B$1,[2]quests!$1:$1,0)+1),MATCH(D$1,[2]quests!$1:$1,0)-MATCH($B$1,[2]quests!$1:$1,0)+1,FALSE)</f>
        <v>チュートリアル</v>
      </c>
      <c r="E12" s="88" t="s">
        <v>216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200</v>
      </c>
      <c r="K12" s="95" t="s">
        <v>289</v>
      </c>
      <c r="L12" s="96" t="s">
        <v>290</v>
      </c>
      <c r="M12" s="57" t="s">
        <v>213</v>
      </c>
    </row>
    <row r="13" spans="1:13" x14ac:dyDescent="0.15">
      <c r="A13" s="82" t="s">
        <v>202</v>
      </c>
      <c r="B13" s="83">
        <f>floors!$C$2</f>
        <v>0</v>
      </c>
      <c r="C13" s="84" t="str">
        <f ca="1">VLOOKUP($B13,OFFSET([2]quests!$A$1,0,0,COUNTA([2]quests!$A:$A),MATCH(C$1,[2]quests!$1:$1,0)-MATCH($B$1,[2]quests!$1:$1,0)+1),MATCH(C$1,[2]quests!$1:$1,0)-MATCH($B$1,[2]quests!$1:$1,0)+1,FALSE)</f>
        <v>チュートリアル</v>
      </c>
      <c r="D13" s="84" t="str">
        <f ca="1">VLOOKUP($B13,OFFSET([2]quests!$A$1,0,0,COUNTA([2]quests!$A:$A),MATCH(D$1,[2]quests!$1:$1,0)-MATCH($B$1,[2]quests!$1:$1,0)+1),MATCH(D$1,[2]quests!$1:$1,0)-MATCH($B$1,[2]quests!$1:$1,0)+1,FALSE)</f>
        <v>チュートリアル</v>
      </c>
      <c r="E13" s="88" t="s">
        <v>216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200</v>
      </c>
      <c r="K13" s="95" t="s">
        <v>291</v>
      </c>
      <c r="L13" s="96" t="s">
        <v>292</v>
      </c>
      <c r="M13" s="57" t="s">
        <v>213</v>
      </c>
    </row>
    <row r="14" spans="1:13" x14ac:dyDescent="0.15">
      <c r="A14" s="82" t="s">
        <v>202</v>
      </c>
      <c r="B14" s="83">
        <f>floors!$C$2</f>
        <v>0</v>
      </c>
      <c r="C14" s="84" t="str">
        <f ca="1">VLOOKUP($B14,OFFSET([2]quests!$A$1,0,0,COUNTA([2]quests!$A:$A),MATCH(C$1,[2]quests!$1:$1,0)-MATCH($B$1,[2]quests!$1:$1,0)+1),MATCH(C$1,[2]quests!$1:$1,0)-MATCH($B$1,[2]quests!$1:$1,0)+1,FALSE)</f>
        <v>チュートリアル</v>
      </c>
      <c r="D14" s="84" t="str">
        <f ca="1">VLOOKUP($B14,OFFSET([2]quests!$A$1,0,0,COUNTA([2]quests!$A:$A),MATCH(D$1,[2]quests!$1:$1,0)-MATCH($B$1,[2]quests!$1:$1,0)+1),MATCH(D$1,[2]quests!$1:$1,0)-MATCH($B$1,[2]quests!$1:$1,0)+1,FALSE)</f>
        <v>チュートリアル</v>
      </c>
      <c r="E14" s="88" t="s">
        <v>216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200</v>
      </c>
      <c r="K14" s="95" t="s">
        <v>293</v>
      </c>
      <c r="L14" s="96" t="s">
        <v>294</v>
      </c>
      <c r="M14" s="57" t="s">
        <v>213</v>
      </c>
    </row>
    <row r="15" spans="1:13" x14ac:dyDescent="0.15">
      <c r="A15" s="82" t="s">
        <v>202</v>
      </c>
      <c r="B15" s="83">
        <f>floors!$C$2</f>
        <v>0</v>
      </c>
      <c r="C15" s="84" t="str">
        <f ca="1">VLOOKUP($B15,OFFSET([2]quests!$A$1,0,0,COUNTA([2]quests!$A:$A),MATCH(C$1,[2]quests!$1:$1,0)-MATCH($B$1,[2]quests!$1:$1,0)+1),MATCH(C$1,[2]quests!$1:$1,0)-MATCH($B$1,[2]quests!$1:$1,0)+1,FALSE)</f>
        <v>チュートリアル</v>
      </c>
      <c r="D15" s="84" t="str">
        <f ca="1">VLOOKUP($B15,OFFSET([2]quests!$A$1,0,0,COUNTA([2]quests!$A:$A),MATCH(D$1,[2]quests!$1:$1,0)-MATCH($B$1,[2]quests!$1:$1,0)+1),MATCH(D$1,[2]quests!$1:$1,0)-MATCH($B$1,[2]quests!$1:$1,0)+1,FALSE)</f>
        <v>チュートリアル</v>
      </c>
      <c r="E15" s="88" t="s">
        <v>216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200</v>
      </c>
      <c r="K15" s="95" t="s">
        <v>295</v>
      </c>
      <c r="L15" s="96" t="s">
        <v>296</v>
      </c>
      <c r="M15" s="57" t="s">
        <v>213</v>
      </c>
    </row>
    <row r="16" spans="1:13" x14ac:dyDescent="0.15">
      <c r="A16" s="82" t="s">
        <v>202</v>
      </c>
      <c r="B16" s="83">
        <f>floors!$C$2</f>
        <v>0</v>
      </c>
      <c r="C16" s="84" t="str">
        <f ca="1">VLOOKUP($B16,OFFSET([2]quests!$A$1,0,0,COUNTA([2]quests!$A:$A),MATCH(C$1,[2]quests!$1:$1,0)-MATCH($B$1,[2]quests!$1:$1,0)+1),MATCH(C$1,[2]quests!$1:$1,0)-MATCH($B$1,[2]quests!$1:$1,0)+1,FALSE)</f>
        <v>チュートリアル</v>
      </c>
      <c r="D16" s="84" t="str">
        <f ca="1">VLOOKUP($B16,OFFSET([2]quests!$A$1,0,0,COUNTA([2]quests!$A:$A),MATCH(D$1,[2]quests!$1:$1,0)-MATCH($B$1,[2]quests!$1:$1,0)+1),MATCH(D$1,[2]quests!$1:$1,0)-MATCH($B$1,[2]quests!$1:$1,0)+1,FALSE)</f>
        <v>チュートリアル</v>
      </c>
      <c r="E16" s="88" t="s">
        <v>216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200</v>
      </c>
      <c r="K16" s="95" t="s">
        <v>297</v>
      </c>
      <c r="L16" s="96" t="s">
        <v>298</v>
      </c>
      <c r="M16" s="57" t="s">
        <v>213</v>
      </c>
    </row>
    <row r="17" spans="1:13" x14ac:dyDescent="0.15">
      <c r="A17" s="82" t="s">
        <v>202</v>
      </c>
      <c r="B17" s="83">
        <f>floors!$C$2</f>
        <v>0</v>
      </c>
      <c r="C17" s="84" t="str">
        <f ca="1">VLOOKUP($B17,OFFSET([2]quests!$A$1,0,0,COUNTA([2]quests!$A:$A),MATCH(C$1,[2]quests!$1:$1,0)-MATCH($B$1,[2]quests!$1:$1,0)+1),MATCH(C$1,[2]quests!$1:$1,0)-MATCH($B$1,[2]quests!$1:$1,0)+1,FALSE)</f>
        <v>チュートリアル</v>
      </c>
      <c r="D17" s="84" t="str">
        <f ca="1">VLOOKUP($B17,OFFSET([2]quests!$A$1,0,0,COUNTA([2]quests!$A:$A),MATCH(D$1,[2]quests!$1:$1,0)-MATCH($B$1,[2]quests!$1:$1,0)+1),MATCH(D$1,[2]quests!$1:$1,0)-MATCH($B$1,[2]quests!$1:$1,0)+1,FALSE)</f>
        <v>チュートリアル</v>
      </c>
      <c r="E17" s="88" t="s">
        <v>216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200</v>
      </c>
      <c r="K17" s="95" t="s">
        <v>299</v>
      </c>
      <c r="L17" s="96" t="s">
        <v>300</v>
      </c>
      <c r="M17" s="57" t="s">
        <v>213</v>
      </c>
    </row>
    <row r="18" spans="1:13" x14ac:dyDescent="0.15">
      <c r="A18" s="82" t="s">
        <v>202</v>
      </c>
      <c r="B18" s="83">
        <f>floors!$C$2</f>
        <v>0</v>
      </c>
      <c r="C18" s="84" t="str">
        <f ca="1">VLOOKUP($B18,OFFSET([2]quests!$A$1,0,0,COUNTA([2]quests!$A:$A),MATCH(C$1,[2]quests!$1:$1,0)-MATCH($B$1,[2]quests!$1:$1,0)+1),MATCH(C$1,[2]quests!$1:$1,0)-MATCH($B$1,[2]quests!$1:$1,0)+1,FALSE)</f>
        <v>チュートリアル</v>
      </c>
      <c r="D18" s="84" t="str">
        <f ca="1">VLOOKUP($B18,OFFSET([2]quests!$A$1,0,0,COUNTA([2]quests!$A:$A),MATCH(D$1,[2]quests!$1:$1,0)-MATCH($B$1,[2]quests!$1:$1,0)+1),MATCH(D$1,[2]quests!$1:$1,0)-MATCH($B$1,[2]quests!$1:$1,0)+1,FALSE)</f>
        <v>チュートリアル</v>
      </c>
      <c r="E18" s="88" t="s">
        <v>216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200</v>
      </c>
      <c r="K18" s="95" t="s">
        <v>301</v>
      </c>
      <c r="L18" s="96" t="s">
        <v>302</v>
      </c>
      <c r="M18" s="57" t="s">
        <v>213</v>
      </c>
    </row>
    <row r="19" spans="1:13" x14ac:dyDescent="0.15">
      <c r="A19" s="82" t="s">
        <v>202</v>
      </c>
      <c r="B19" s="83">
        <f>floors!$C$2</f>
        <v>0</v>
      </c>
      <c r="C19" s="84" t="str">
        <f ca="1">VLOOKUP($B19,OFFSET([2]quests!$A$1,0,0,COUNTA([2]quests!$A:$A),MATCH(C$1,[2]quests!$1:$1,0)-MATCH($B$1,[2]quests!$1:$1,0)+1),MATCH(C$1,[2]quests!$1:$1,0)-MATCH($B$1,[2]quests!$1:$1,0)+1,FALSE)</f>
        <v>チュートリアル</v>
      </c>
      <c r="D19" s="84" t="str">
        <f ca="1">VLOOKUP($B19,OFFSET([2]quests!$A$1,0,0,COUNTA([2]quests!$A:$A),MATCH(D$1,[2]quests!$1:$1,0)-MATCH($B$1,[2]quests!$1:$1,0)+1),MATCH(D$1,[2]quests!$1:$1,0)-MATCH($B$1,[2]quests!$1:$1,0)+1,FALSE)</f>
        <v>チュートリアル</v>
      </c>
      <c r="E19" s="88" t="s">
        <v>216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200</v>
      </c>
      <c r="K19" s="95" t="s">
        <v>303</v>
      </c>
      <c r="L19" s="96" t="s">
        <v>304</v>
      </c>
      <c r="M19" s="57" t="s">
        <v>213</v>
      </c>
    </row>
    <row r="20" spans="1:13" x14ac:dyDescent="0.15">
      <c r="A20" s="82" t="s">
        <v>202</v>
      </c>
      <c r="B20" s="83">
        <f>floors!$C$2</f>
        <v>0</v>
      </c>
      <c r="C20" s="84" t="str">
        <f ca="1">VLOOKUP($B20,OFFSET([2]quests!$A$1,0,0,COUNTA([2]quests!$A:$A),MATCH(C$1,[2]quests!$1:$1,0)-MATCH($B$1,[2]quests!$1:$1,0)+1),MATCH(C$1,[2]quests!$1:$1,0)-MATCH($B$1,[2]quests!$1:$1,0)+1,FALSE)</f>
        <v>チュートリアル</v>
      </c>
      <c r="D20" s="84" t="str">
        <f ca="1">VLOOKUP($B20,OFFSET([2]quests!$A$1,0,0,COUNTA([2]quests!$A:$A),MATCH(D$1,[2]quests!$1:$1,0)-MATCH($B$1,[2]quests!$1:$1,0)+1),MATCH(D$1,[2]quests!$1:$1,0)-MATCH($B$1,[2]quests!$1:$1,0)+1,FALSE)</f>
        <v>チュートリアル</v>
      </c>
      <c r="E20" s="88" t="s">
        <v>216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200</v>
      </c>
      <c r="K20" s="95" t="s">
        <v>305</v>
      </c>
      <c r="L20" s="96" t="s">
        <v>306</v>
      </c>
      <c r="M20" s="57" t="s">
        <v>213</v>
      </c>
    </row>
    <row r="21" spans="1:13" x14ac:dyDescent="0.15">
      <c r="A21" s="82" t="s">
        <v>202</v>
      </c>
      <c r="B21" s="83">
        <f>floors!$C$2</f>
        <v>0</v>
      </c>
      <c r="C21" s="84" t="str">
        <f ca="1">VLOOKUP($B21,OFFSET([2]quests!$A$1,0,0,COUNTA([2]quests!$A:$A),MATCH(C$1,[2]quests!$1:$1,0)-MATCH($B$1,[2]quests!$1:$1,0)+1),MATCH(C$1,[2]quests!$1:$1,0)-MATCH($B$1,[2]quests!$1:$1,0)+1,FALSE)</f>
        <v>チュートリアル</v>
      </c>
      <c r="D21" s="84" t="str">
        <f ca="1">VLOOKUP($B21,OFFSET([2]quests!$A$1,0,0,COUNTA([2]quests!$A:$A),MATCH(D$1,[2]quests!$1:$1,0)-MATCH($B$1,[2]quests!$1:$1,0)+1),MATCH(D$1,[2]quests!$1:$1,0)-MATCH($B$1,[2]quests!$1:$1,0)+1,FALSE)</f>
        <v>チュートリアル</v>
      </c>
      <c r="E21" s="88" t="s">
        <v>216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200</v>
      </c>
      <c r="K21" s="95" t="s">
        <v>307</v>
      </c>
      <c r="L21" s="96" t="s">
        <v>308</v>
      </c>
      <c r="M21" s="57" t="s">
        <v>213</v>
      </c>
    </row>
    <row r="22" spans="1:13" x14ac:dyDescent="0.15">
      <c r="A22" s="82" t="s">
        <v>202</v>
      </c>
      <c r="B22" s="83">
        <f>floors!$C$2</f>
        <v>0</v>
      </c>
      <c r="C22" s="84" t="str">
        <f ca="1">VLOOKUP($B22,OFFSET([2]quests!$A$1,0,0,COUNTA([2]quests!$A:$A),MATCH(C$1,[2]quests!$1:$1,0)-MATCH($B$1,[2]quests!$1:$1,0)+1),MATCH(C$1,[2]quests!$1:$1,0)-MATCH($B$1,[2]quests!$1:$1,0)+1,FALSE)</f>
        <v>チュートリアル</v>
      </c>
      <c r="D22" s="84" t="str">
        <f ca="1">VLOOKUP($B22,OFFSET([2]quests!$A$1,0,0,COUNTA([2]quests!$A:$A),MATCH(D$1,[2]quests!$1:$1,0)-MATCH($B$1,[2]quests!$1:$1,0)+1),MATCH(D$1,[2]quests!$1:$1,0)-MATCH($B$1,[2]quests!$1:$1,0)+1,FALSE)</f>
        <v>チュートリアル</v>
      </c>
      <c r="E22" s="88" t="s">
        <v>216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200</v>
      </c>
      <c r="K22" s="95" t="s">
        <v>309</v>
      </c>
      <c r="L22" s="96" t="s">
        <v>310</v>
      </c>
      <c r="M22" s="57" t="s">
        <v>213</v>
      </c>
    </row>
    <row r="23" spans="1:13" x14ac:dyDescent="0.15">
      <c r="A23" s="82" t="s">
        <v>202</v>
      </c>
      <c r="B23" s="83">
        <f>floors!$C$2</f>
        <v>0</v>
      </c>
      <c r="C23" s="84" t="str">
        <f ca="1">VLOOKUP($B23,OFFSET([2]quests!$A$1,0,0,COUNTA([2]quests!$A:$A),MATCH(C$1,[2]quests!$1:$1,0)-MATCH($B$1,[2]quests!$1:$1,0)+1),MATCH(C$1,[2]quests!$1:$1,0)-MATCH($B$1,[2]quests!$1:$1,0)+1,FALSE)</f>
        <v>チュートリアル</v>
      </c>
      <c r="D23" s="84" t="str">
        <f ca="1">VLOOKUP($B23,OFFSET([2]quests!$A$1,0,0,COUNTA([2]quests!$A:$A),MATCH(D$1,[2]quests!$1:$1,0)-MATCH($B$1,[2]quests!$1:$1,0)+1),MATCH(D$1,[2]quests!$1:$1,0)-MATCH($B$1,[2]quests!$1:$1,0)+1,FALSE)</f>
        <v>チュートリアル</v>
      </c>
      <c r="E23" s="88" t="s">
        <v>216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200</v>
      </c>
      <c r="K23" s="95" t="s">
        <v>311</v>
      </c>
      <c r="L23" s="96" t="s">
        <v>312</v>
      </c>
      <c r="M23" s="57" t="s">
        <v>213</v>
      </c>
    </row>
    <row r="24" spans="1:13" x14ac:dyDescent="0.15">
      <c r="A24" s="82" t="s">
        <v>202</v>
      </c>
      <c r="B24" s="83">
        <f>floors!$C$2</f>
        <v>0</v>
      </c>
      <c r="C24" s="84" t="str">
        <f ca="1">VLOOKUP($B24,OFFSET([2]quests!$A$1,0,0,COUNTA([2]quests!$A:$A),MATCH(C$1,[2]quests!$1:$1,0)-MATCH($B$1,[2]quests!$1:$1,0)+1),MATCH(C$1,[2]quests!$1:$1,0)-MATCH($B$1,[2]quests!$1:$1,0)+1,FALSE)</f>
        <v>チュートリアル</v>
      </c>
      <c r="D24" s="84" t="str">
        <f ca="1">VLOOKUP($B24,OFFSET([2]quests!$A$1,0,0,COUNTA([2]quests!$A:$A),MATCH(D$1,[2]quests!$1:$1,0)-MATCH($B$1,[2]quests!$1:$1,0)+1),MATCH(D$1,[2]quests!$1:$1,0)-MATCH($B$1,[2]quests!$1:$1,0)+1,FALSE)</f>
        <v>チュートリアル</v>
      </c>
      <c r="E24" s="88" t="s">
        <v>216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200</v>
      </c>
      <c r="K24" s="95" t="s">
        <v>313</v>
      </c>
      <c r="L24" s="96" t="s">
        <v>314</v>
      </c>
      <c r="M24" s="57" t="s">
        <v>213</v>
      </c>
    </row>
    <row r="25" spans="1:13" x14ac:dyDescent="0.15">
      <c r="A25" s="82" t="s">
        <v>202</v>
      </c>
      <c r="B25" s="83">
        <f>floors!$C$2</f>
        <v>0</v>
      </c>
      <c r="C25" s="84" t="str">
        <f ca="1">VLOOKUP($B25,OFFSET([2]quests!$A$1,0,0,COUNTA([2]quests!$A:$A),MATCH(C$1,[2]quests!$1:$1,0)-MATCH($B$1,[2]quests!$1:$1,0)+1),MATCH(C$1,[2]quests!$1:$1,0)-MATCH($B$1,[2]quests!$1:$1,0)+1,FALSE)</f>
        <v>チュートリアル</v>
      </c>
      <c r="D25" s="84" t="str">
        <f ca="1">VLOOKUP($B25,OFFSET([2]quests!$A$1,0,0,COUNTA([2]quests!$A:$A),MATCH(D$1,[2]quests!$1:$1,0)-MATCH($B$1,[2]quests!$1:$1,0)+1),MATCH(D$1,[2]quests!$1:$1,0)-MATCH($B$1,[2]quests!$1:$1,0)+1,FALSE)</f>
        <v>チュートリアル</v>
      </c>
      <c r="E25" s="88" t="s">
        <v>216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200</v>
      </c>
      <c r="K25" s="95" t="s">
        <v>315</v>
      </c>
      <c r="L25" s="96" t="s">
        <v>316</v>
      </c>
      <c r="M25" s="57" t="s">
        <v>213</v>
      </c>
    </row>
    <row r="26" spans="1:13" x14ac:dyDescent="0.15">
      <c r="A26" s="82" t="s">
        <v>202</v>
      </c>
      <c r="B26" s="83">
        <f>floors!$C$2</f>
        <v>0</v>
      </c>
      <c r="C26" s="84" t="str">
        <f ca="1">VLOOKUP($B26,OFFSET([2]quests!$A$1,0,0,COUNTA([2]quests!$A:$A),MATCH(C$1,[2]quests!$1:$1,0)-MATCH($B$1,[2]quests!$1:$1,0)+1),MATCH(C$1,[2]quests!$1:$1,0)-MATCH($B$1,[2]quests!$1:$1,0)+1,FALSE)</f>
        <v>チュートリアル</v>
      </c>
      <c r="D26" s="84" t="str">
        <f ca="1">VLOOKUP($B26,OFFSET([2]quests!$A$1,0,0,COUNTA([2]quests!$A:$A),MATCH(D$1,[2]quests!$1:$1,0)-MATCH($B$1,[2]quests!$1:$1,0)+1),MATCH(D$1,[2]quests!$1:$1,0)-MATCH($B$1,[2]quests!$1:$1,0)+1,FALSE)</f>
        <v>チュートリアル</v>
      </c>
      <c r="E26" s="88" t="s">
        <v>216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200</v>
      </c>
      <c r="K26" s="95" t="s">
        <v>317</v>
      </c>
      <c r="L26" s="96" t="s">
        <v>318</v>
      </c>
      <c r="M26" s="57" t="s">
        <v>213</v>
      </c>
    </row>
    <row r="27" spans="1:13" x14ac:dyDescent="0.15">
      <c r="A27" s="82" t="s">
        <v>202</v>
      </c>
      <c r="B27" s="83">
        <f>floors!$C$2</f>
        <v>0</v>
      </c>
      <c r="C27" s="84" t="str">
        <f ca="1">VLOOKUP($B27,OFFSET([2]quests!$A$1,0,0,COUNTA([2]quests!$A:$A),MATCH(C$1,[2]quests!$1:$1,0)-MATCH($B$1,[2]quests!$1:$1,0)+1),MATCH(C$1,[2]quests!$1:$1,0)-MATCH($B$1,[2]quests!$1:$1,0)+1,FALSE)</f>
        <v>チュートリアル</v>
      </c>
      <c r="D27" s="84" t="str">
        <f ca="1">VLOOKUP($B27,OFFSET([2]quests!$A$1,0,0,COUNTA([2]quests!$A:$A),MATCH(D$1,[2]quests!$1:$1,0)-MATCH($B$1,[2]quests!$1:$1,0)+1),MATCH(D$1,[2]quests!$1:$1,0)-MATCH($B$1,[2]quests!$1:$1,0)+1,FALSE)</f>
        <v>チュートリアル</v>
      </c>
      <c r="E27" s="88" t="s">
        <v>216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200</v>
      </c>
      <c r="K27" s="95" t="s">
        <v>319</v>
      </c>
      <c r="L27" s="96" t="s">
        <v>320</v>
      </c>
      <c r="M27" s="57" t="s">
        <v>213</v>
      </c>
    </row>
    <row r="28" spans="1:13" x14ac:dyDescent="0.15">
      <c r="A28" s="82" t="s">
        <v>202</v>
      </c>
      <c r="B28" s="83">
        <f>floors!$C$2</f>
        <v>0</v>
      </c>
      <c r="C28" s="84" t="str">
        <f ca="1">VLOOKUP($B28,OFFSET([2]quests!$A$1,0,0,COUNTA([2]quests!$A:$A),MATCH(C$1,[2]quests!$1:$1,0)-MATCH($B$1,[2]quests!$1:$1,0)+1),MATCH(C$1,[2]quests!$1:$1,0)-MATCH($B$1,[2]quests!$1:$1,0)+1,FALSE)</f>
        <v>チュートリアル</v>
      </c>
      <c r="D28" s="84" t="str">
        <f ca="1">VLOOKUP($B28,OFFSET([2]quests!$A$1,0,0,COUNTA([2]quests!$A:$A),MATCH(D$1,[2]quests!$1:$1,0)-MATCH($B$1,[2]quests!$1:$1,0)+1),MATCH(D$1,[2]quests!$1:$1,0)-MATCH($B$1,[2]quests!$1:$1,0)+1,FALSE)</f>
        <v>チュートリアル</v>
      </c>
      <c r="E28" s="88" t="s">
        <v>217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200</v>
      </c>
      <c r="K28" s="95" t="s">
        <v>273</v>
      </c>
      <c r="L28" s="96" t="s">
        <v>274</v>
      </c>
      <c r="M28" s="57" t="s">
        <v>213</v>
      </c>
    </row>
    <row r="29" spans="1:13" x14ac:dyDescent="0.15">
      <c r="A29" s="82" t="s">
        <v>202</v>
      </c>
      <c r="B29" s="83">
        <f>floors!$C$2</f>
        <v>0</v>
      </c>
      <c r="C29" s="84" t="str">
        <f ca="1">VLOOKUP($B29,OFFSET([2]quests!$A$1,0,0,COUNTA([2]quests!$A:$A),MATCH(C$1,[2]quests!$1:$1,0)-MATCH($B$1,[2]quests!$1:$1,0)+1),MATCH(C$1,[2]quests!$1:$1,0)-MATCH($B$1,[2]quests!$1:$1,0)+1,FALSE)</f>
        <v>チュートリアル</v>
      </c>
      <c r="D29" s="84" t="str">
        <f ca="1">VLOOKUP($B29,OFFSET([2]quests!$A$1,0,0,COUNTA([2]quests!$A:$A),MATCH(D$1,[2]quests!$1:$1,0)-MATCH($B$1,[2]quests!$1:$1,0)+1),MATCH(D$1,[2]quests!$1:$1,0)-MATCH($B$1,[2]quests!$1:$1,0)+1,FALSE)</f>
        <v>チュートリアル</v>
      </c>
      <c r="E29" s="88" t="s">
        <v>217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200</v>
      </c>
      <c r="K29" s="95" t="s">
        <v>277</v>
      </c>
      <c r="L29" s="96" t="s">
        <v>278</v>
      </c>
      <c r="M29" s="57" t="s">
        <v>213</v>
      </c>
    </row>
    <row r="30" spans="1:13" x14ac:dyDescent="0.15">
      <c r="A30" s="82" t="s">
        <v>202</v>
      </c>
      <c r="B30" s="83">
        <f>floors!$C$2</f>
        <v>0</v>
      </c>
      <c r="C30" s="84" t="str">
        <f ca="1">VLOOKUP($B30,OFFSET([2]quests!$A$1,0,0,COUNTA([2]quests!$A:$A),MATCH(C$1,[2]quests!$1:$1,0)-MATCH($B$1,[2]quests!$1:$1,0)+1),MATCH(C$1,[2]quests!$1:$1,0)-MATCH($B$1,[2]quests!$1:$1,0)+1,FALSE)</f>
        <v>チュートリアル</v>
      </c>
      <c r="D30" s="84" t="str">
        <f ca="1">VLOOKUP($B30,OFFSET([2]quests!$A$1,0,0,COUNTA([2]quests!$A:$A),MATCH(D$1,[2]quests!$1:$1,0)-MATCH($B$1,[2]quests!$1:$1,0)+1),MATCH(D$1,[2]quests!$1:$1,0)-MATCH($B$1,[2]quests!$1:$1,0)+1,FALSE)</f>
        <v>チュートリアル</v>
      </c>
      <c r="E30" s="88" t="s">
        <v>217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200</v>
      </c>
      <c r="K30" s="95" t="s">
        <v>279</v>
      </c>
      <c r="L30" s="96" t="s">
        <v>280</v>
      </c>
      <c r="M30" s="57" t="s">
        <v>213</v>
      </c>
    </row>
    <row r="31" spans="1:13" x14ac:dyDescent="0.15">
      <c r="A31" s="82" t="s">
        <v>202</v>
      </c>
      <c r="B31" s="83">
        <f>floors!$C$2</f>
        <v>0</v>
      </c>
      <c r="C31" s="84" t="str">
        <f ca="1">VLOOKUP($B31,OFFSET([2]quests!$A$1,0,0,COUNTA([2]quests!$A:$A),MATCH(C$1,[2]quests!$1:$1,0)-MATCH($B$1,[2]quests!$1:$1,0)+1),MATCH(C$1,[2]quests!$1:$1,0)-MATCH($B$1,[2]quests!$1:$1,0)+1,FALSE)</f>
        <v>チュートリアル</v>
      </c>
      <c r="D31" s="84" t="str">
        <f ca="1">VLOOKUP($B31,OFFSET([2]quests!$A$1,0,0,COUNTA([2]quests!$A:$A),MATCH(D$1,[2]quests!$1:$1,0)-MATCH($B$1,[2]quests!$1:$1,0)+1),MATCH(D$1,[2]quests!$1:$1,0)-MATCH($B$1,[2]quests!$1:$1,0)+1,FALSE)</f>
        <v>チュートリアル</v>
      </c>
      <c r="E31" s="88" t="s">
        <v>217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200</v>
      </c>
      <c r="K31" s="95" t="s">
        <v>281</v>
      </c>
      <c r="L31" s="96" t="s">
        <v>282</v>
      </c>
      <c r="M31" s="57" t="s">
        <v>213</v>
      </c>
    </row>
    <row r="32" spans="1:13" x14ac:dyDescent="0.15">
      <c r="A32" s="82" t="s">
        <v>202</v>
      </c>
      <c r="B32" s="83">
        <f>floors!$C$2</f>
        <v>0</v>
      </c>
      <c r="C32" s="84" t="str">
        <f ca="1">VLOOKUP($B32,OFFSET([2]quests!$A$1,0,0,COUNTA([2]quests!$A:$A),MATCH(C$1,[2]quests!$1:$1,0)-MATCH($B$1,[2]quests!$1:$1,0)+1),MATCH(C$1,[2]quests!$1:$1,0)-MATCH($B$1,[2]quests!$1:$1,0)+1,FALSE)</f>
        <v>チュートリアル</v>
      </c>
      <c r="D32" s="84" t="str">
        <f ca="1">VLOOKUP($B32,OFFSET([2]quests!$A$1,0,0,COUNTA([2]quests!$A:$A),MATCH(D$1,[2]quests!$1:$1,0)-MATCH($B$1,[2]quests!$1:$1,0)+1),MATCH(D$1,[2]quests!$1:$1,0)-MATCH($B$1,[2]quests!$1:$1,0)+1,FALSE)</f>
        <v>チュートリアル</v>
      </c>
      <c r="E32" s="88" t="s">
        <v>217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200</v>
      </c>
      <c r="K32" s="95" t="s">
        <v>283</v>
      </c>
      <c r="L32" s="96" t="s">
        <v>284</v>
      </c>
      <c r="M32" s="57" t="s">
        <v>213</v>
      </c>
    </row>
    <row r="33" spans="1:13" x14ac:dyDescent="0.15">
      <c r="A33" s="82" t="s">
        <v>202</v>
      </c>
      <c r="B33" s="83">
        <f>floors!$C$2</f>
        <v>0</v>
      </c>
      <c r="C33" s="84" t="str">
        <f ca="1">VLOOKUP($B33,OFFSET([2]quests!$A$1,0,0,COUNTA([2]quests!$A:$A),MATCH(C$1,[2]quests!$1:$1,0)-MATCH($B$1,[2]quests!$1:$1,0)+1),MATCH(C$1,[2]quests!$1:$1,0)-MATCH($B$1,[2]quests!$1:$1,0)+1,FALSE)</f>
        <v>チュートリアル</v>
      </c>
      <c r="D33" s="84" t="str">
        <f ca="1">VLOOKUP($B33,OFFSET([2]quests!$A$1,0,0,COUNTA([2]quests!$A:$A),MATCH(D$1,[2]quests!$1:$1,0)-MATCH($B$1,[2]quests!$1:$1,0)+1),MATCH(D$1,[2]quests!$1:$1,0)-MATCH($B$1,[2]quests!$1:$1,0)+1,FALSE)</f>
        <v>チュートリアル</v>
      </c>
      <c r="E33" s="88" t="s">
        <v>217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200</v>
      </c>
      <c r="K33" s="95" t="s">
        <v>285</v>
      </c>
      <c r="L33" s="96" t="s">
        <v>286</v>
      </c>
      <c r="M33" s="57" t="s">
        <v>213</v>
      </c>
    </row>
    <row r="34" spans="1:13" x14ac:dyDescent="0.15">
      <c r="A34" s="82" t="s">
        <v>202</v>
      </c>
      <c r="B34" s="83">
        <f>floors!$C$2</f>
        <v>0</v>
      </c>
      <c r="C34" s="84" t="str">
        <f ca="1">VLOOKUP($B34,OFFSET([2]quests!$A$1,0,0,COUNTA([2]quests!$A:$A),MATCH(C$1,[2]quests!$1:$1,0)-MATCH($B$1,[2]quests!$1:$1,0)+1),MATCH(C$1,[2]quests!$1:$1,0)-MATCH($B$1,[2]quests!$1:$1,0)+1,FALSE)</f>
        <v>チュートリアル</v>
      </c>
      <c r="D34" s="84" t="str">
        <f ca="1">VLOOKUP($B34,OFFSET([2]quests!$A$1,0,0,COUNTA([2]quests!$A:$A),MATCH(D$1,[2]quests!$1:$1,0)-MATCH($B$1,[2]quests!$1:$1,0)+1),MATCH(D$1,[2]quests!$1:$1,0)-MATCH($B$1,[2]quests!$1:$1,0)+1,FALSE)</f>
        <v>チュートリアル</v>
      </c>
      <c r="E34" s="88" t="s">
        <v>217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200</v>
      </c>
      <c r="K34" s="95" t="s">
        <v>287</v>
      </c>
      <c r="L34" s="96" t="s">
        <v>288</v>
      </c>
      <c r="M34" s="57" t="s">
        <v>213</v>
      </c>
    </row>
    <row r="35" spans="1:13" x14ac:dyDescent="0.15">
      <c r="A35" s="82" t="s">
        <v>202</v>
      </c>
      <c r="B35" s="83">
        <f>floors!$C$2</f>
        <v>0</v>
      </c>
      <c r="C35" s="84" t="str">
        <f ca="1">VLOOKUP($B35,OFFSET([2]quests!$A$1,0,0,COUNTA([2]quests!$A:$A),MATCH(C$1,[2]quests!$1:$1,0)-MATCH($B$1,[2]quests!$1:$1,0)+1),MATCH(C$1,[2]quests!$1:$1,0)-MATCH($B$1,[2]quests!$1:$1,0)+1,FALSE)</f>
        <v>チュートリアル</v>
      </c>
      <c r="D35" s="84" t="str">
        <f ca="1">VLOOKUP($B35,OFFSET([2]quests!$A$1,0,0,COUNTA([2]quests!$A:$A),MATCH(D$1,[2]quests!$1:$1,0)-MATCH($B$1,[2]quests!$1:$1,0)+1),MATCH(D$1,[2]quests!$1:$1,0)-MATCH($B$1,[2]quests!$1:$1,0)+1,FALSE)</f>
        <v>チュートリアル</v>
      </c>
      <c r="E35" s="88" t="s">
        <v>217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200</v>
      </c>
      <c r="K35" s="95" t="s">
        <v>289</v>
      </c>
      <c r="L35" s="96" t="s">
        <v>290</v>
      </c>
      <c r="M35" s="57" t="s">
        <v>213</v>
      </c>
    </row>
    <row r="36" spans="1:13" x14ac:dyDescent="0.15">
      <c r="A36" s="82" t="s">
        <v>202</v>
      </c>
      <c r="B36" s="83">
        <f>floors!$C$2</f>
        <v>0</v>
      </c>
      <c r="C36" s="84" t="str">
        <f ca="1">VLOOKUP($B36,OFFSET([2]quests!$A$1,0,0,COUNTA([2]quests!$A:$A),MATCH(C$1,[2]quests!$1:$1,0)-MATCH($B$1,[2]quests!$1:$1,0)+1),MATCH(C$1,[2]quests!$1:$1,0)-MATCH($B$1,[2]quests!$1:$1,0)+1,FALSE)</f>
        <v>チュートリアル</v>
      </c>
      <c r="D36" s="84" t="str">
        <f ca="1">VLOOKUP($B36,OFFSET([2]quests!$A$1,0,0,COUNTA([2]quests!$A:$A),MATCH(D$1,[2]quests!$1:$1,0)-MATCH($B$1,[2]quests!$1:$1,0)+1),MATCH(D$1,[2]quests!$1:$1,0)-MATCH($B$1,[2]quests!$1:$1,0)+1,FALSE)</f>
        <v>チュートリアル</v>
      </c>
      <c r="E36" s="88" t="s">
        <v>217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200</v>
      </c>
      <c r="K36" s="95" t="s">
        <v>291</v>
      </c>
      <c r="L36" s="96" t="s">
        <v>292</v>
      </c>
      <c r="M36" s="57" t="s">
        <v>213</v>
      </c>
    </row>
    <row r="37" spans="1:13" x14ac:dyDescent="0.15">
      <c r="A37" s="82" t="s">
        <v>202</v>
      </c>
      <c r="B37" s="83">
        <f>floors!$C$2</f>
        <v>0</v>
      </c>
      <c r="C37" s="84" t="str">
        <f ca="1">VLOOKUP($B37,OFFSET([2]quests!$A$1,0,0,COUNTA([2]quests!$A:$A),MATCH(C$1,[2]quests!$1:$1,0)-MATCH($B$1,[2]quests!$1:$1,0)+1),MATCH(C$1,[2]quests!$1:$1,0)-MATCH($B$1,[2]quests!$1:$1,0)+1,FALSE)</f>
        <v>チュートリアル</v>
      </c>
      <c r="D37" s="84" t="str">
        <f ca="1">VLOOKUP($B37,OFFSET([2]quests!$A$1,0,0,COUNTA([2]quests!$A:$A),MATCH(D$1,[2]quests!$1:$1,0)-MATCH($B$1,[2]quests!$1:$1,0)+1),MATCH(D$1,[2]quests!$1:$1,0)-MATCH($B$1,[2]quests!$1:$1,0)+1,FALSE)</f>
        <v>チュートリアル</v>
      </c>
      <c r="E37" s="88" t="s">
        <v>217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200</v>
      </c>
      <c r="K37" s="95" t="s">
        <v>293</v>
      </c>
      <c r="L37" s="96" t="s">
        <v>294</v>
      </c>
      <c r="M37" s="57" t="s">
        <v>213</v>
      </c>
    </row>
    <row r="38" spans="1:13" x14ac:dyDescent="0.15">
      <c r="A38" s="82" t="s">
        <v>202</v>
      </c>
      <c r="B38" s="83">
        <f>floors!$C$2</f>
        <v>0</v>
      </c>
      <c r="C38" s="84" t="str">
        <f ca="1">VLOOKUP($B38,OFFSET([2]quests!$A$1,0,0,COUNTA([2]quests!$A:$A),MATCH(C$1,[2]quests!$1:$1,0)-MATCH($B$1,[2]quests!$1:$1,0)+1),MATCH(C$1,[2]quests!$1:$1,0)-MATCH($B$1,[2]quests!$1:$1,0)+1,FALSE)</f>
        <v>チュートリアル</v>
      </c>
      <c r="D38" s="84" t="str">
        <f ca="1">VLOOKUP($B38,OFFSET([2]quests!$A$1,0,0,COUNTA([2]quests!$A:$A),MATCH(D$1,[2]quests!$1:$1,0)-MATCH($B$1,[2]quests!$1:$1,0)+1),MATCH(D$1,[2]quests!$1:$1,0)-MATCH($B$1,[2]quests!$1:$1,0)+1,FALSE)</f>
        <v>チュートリアル</v>
      </c>
      <c r="E38" s="88" t="s">
        <v>217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200</v>
      </c>
      <c r="K38" s="95" t="s">
        <v>295</v>
      </c>
      <c r="L38" s="96" t="s">
        <v>296</v>
      </c>
      <c r="M38" s="57" t="s">
        <v>213</v>
      </c>
    </row>
    <row r="39" spans="1:13" x14ac:dyDescent="0.15">
      <c r="A39" s="82" t="s">
        <v>202</v>
      </c>
      <c r="B39" s="83">
        <f>floors!$C$2</f>
        <v>0</v>
      </c>
      <c r="C39" s="84" t="str">
        <f ca="1">VLOOKUP($B39,OFFSET([2]quests!$A$1,0,0,COUNTA([2]quests!$A:$A),MATCH(C$1,[2]quests!$1:$1,0)-MATCH($B$1,[2]quests!$1:$1,0)+1),MATCH(C$1,[2]quests!$1:$1,0)-MATCH($B$1,[2]quests!$1:$1,0)+1,FALSE)</f>
        <v>チュートリアル</v>
      </c>
      <c r="D39" s="84" t="str">
        <f ca="1">VLOOKUP($B39,OFFSET([2]quests!$A$1,0,0,COUNTA([2]quests!$A:$A),MATCH(D$1,[2]quests!$1:$1,0)-MATCH($B$1,[2]quests!$1:$1,0)+1),MATCH(D$1,[2]quests!$1:$1,0)-MATCH($B$1,[2]quests!$1:$1,0)+1,FALSE)</f>
        <v>チュートリアル</v>
      </c>
      <c r="E39" s="88" t="s">
        <v>217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200</v>
      </c>
      <c r="K39" s="95" t="s">
        <v>297</v>
      </c>
      <c r="L39" s="96" t="s">
        <v>298</v>
      </c>
      <c r="M39" s="57" t="s">
        <v>213</v>
      </c>
    </row>
    <row r="40" spans="1:13" x14ac:dyDescent="0.15">
      <c r="A40" s="82" t="s">
        <v>202</v>
      </c>
      <c r="B40" s="83">
        <f>floors!$C$2</f>
        <v>0</v>
      </c>
      <c r="C40" s="84" t="str">
        <f ca="1">VLOOKUP($B40,OFFSET([2]quests!$A$1,0,0,COUNTA([2]quests!$A:$A),MATCH(C$1,[2]quests!$1:$1,0)-MATCH($B$1,[2]quests!$1:$1,0)+1),MATCH(C$1,[2]quests!$1:$1,0)-MATCH($B$1,[2]quests!$1:$1,0)+1,FALSE)</f>
        <v>チュートリアル</v>
      </c>
      <c r="D40" s="84" t="str">
        <f ca="1">VLOOKUP($B40,OFFSET([2]quests!$A$1,0,0,COUNTA([2]quests!$A:$A),MATCH(D$1,[2]quests!$1:$1,0)-MATCH($B$1,[2]quests!$1:$1,0)+1),MATCH(D$1,[2]quests!$1:$1,0)-MATCH($B$1,[2]quests!$1:$1,0)+1,FALSE)</f>
        <v>チュートリアル</v>
      </c>
      <c r="E40" s="88" t="s">
        <v>217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200</v>
      </c>
      <c r="K40" s="95" t="s">
        <v>299</v>
      </c>
      <c r="L40" s="96" t="s">
        <v>300</v>
      </c>
      <c r="M40" s="57" t="s">
        <v>213</v>
      </c>
    </row>
    <row r="41" spans="1:13" x14ac:dyDescent="0.15">
      <c r="A41" s="82" t="s">
        <v>202</v>
      </c>
      <c r="B41" s="83">
        <f>floors!$C$2</f>
        <v>0</v>
      </c>
      <c r="C41" s="84" t="str">
        <f ca="1">VLOOKUP($B41,OFFSET([2]quests!$A$1,0,0,COUNTA([2]quests!$A:$A),MATCH(C$1,[2]quests!$1:$1,0)-MATCH($B$1,[2]quests!$1:$1,0)+1),MATCH(C$1,[2]quests!$1:$1,0)-MATCH($B$1,[2]quests!$1:$1,0)+1,FALSE)</f>
        <v>チュートリアル</v>
      </c>
      <c r="D41" s="84" t="str">
        <f ca="1">VLOOKUP($B41,OFFSET([2]quests!$A$1,0,0,COUNTA([2]quests!$A:$A),MATCH(D$1,[2]quests!$1:$1,0)-MATCH($B$1,[2]quests!$1:$1,0)+1),MATCH(D$1,[2]quests!$1:$1,0)-MATCH($B$1,[2]quests!$1:$1,0)+1,FALSE)</f>
        <v>チュートリアル</v>
      </c>
      <c r="E41" s="88" t="s">
        <v>217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200</v>
      </c>
      <c r="K41" s="95" t="s">
        <v>301</v>
      </c>
      <c r="L41" s="96" t="s">
        <v>302</v>
      </c>
      <c r="M41" s="57" t="s">
        <v>213</v>
      </c>
    </row>
    <row r="42" spans="1:13" x14ac:dyDescent="0.15">
      <c r="A42" s="82" t="s">
        <v>202</v>
      </c>
      <c r="B42" s="83">
        <f>floors!$C$2</f>
        <v>0</v>
      </c>
      <c r="C42" s="84" t="str">
        <f ca="1">VLOOKUP($B42,OFFSET([2]quests!$A$1,0,0,COUNTA([2]quests!$A:$A),MATCH(C$1,[2]quests!$1:$1,0)-MATCH($B$1,[2]quests!$1:$1,0)+1),MATCH(C$1,[2]quests!$1:$1,0)-MATCH($B$1,[2]quests!$1:$1,0)+1,FALSE)</f>
        <v>チュートリアル</v>
      </c>
      <c r="D42" s="84" t="str">
        <f ca="1">VLOOKUP($B42,OFFSET([2]quests!$A$1,0,0,COUNTA([2]quests!$A:$A),MATCH(D$1,[2]quests!$1:$1,0)-MATCH($B$1,[2]quests!$1:$1,0)+1),MATCH(D$1,[2]quests!$1:$1,0)-MATCH($B$1,[2]quests!$1:$1,0)+1,FALSE)</f>
        <v>チュートリアル</v>
      </c>
      <c r="E42" s="88" t="s">
        <v>217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200</v>
      </c>
      <c r="K42" s="95" t="s">
        <v>303</v>
      </c>
      <c r="L42" s="96" t="s">
        <v>304</v>
      </c>
      <c r="M42" s="57" t="s">
        <v>213</v>
      </c>
    </row>
    <row r="43" spans="1:13" x14ac:dyDescent="0.15">
      <c r="A43" s="82" t="s">
        <v>202</v>
      </c>
      <c r="B43" s="83">
        <f>floors!$C$2</f>
        <v>0</v>
      </c>
      <c r="C43" s="84" t="str">
        <f ca="1">VLOOKUP($B43,OFFSET([2]quests!$A$1,0,0,COUNTA([2]quests!$A:$A),MATCH(C$1,[2]quests!$1:$1,0)-MATCH($B$1,[2]quests!$1:$1,0)+1),MATCH(C$1,[2]quests!$1:$1,0)-MATCH($B$1,[2]quests!$1:$1,0)+1,FALSE)</f>
        <v>チュートリアル</v>
      </c>
      <c r="D43" s="84" t="str">
        <f ca="1">VLOOKUP($B43,OFFSET([2]quests!$A$1,0,0,COUNTA([2]quests!$A:$A),MATCH(D$1,[2]quests!$1:$1,0)-MATCH($B$1,[2]quests!$1:$1,0)+1),MATCH(D$1,[2]quests!$1:$1,0)-MATCH($B$1,[2]quests!$1:$1,0)+1,FALSE)</f>
        <v>チュートリアル</v>
      </c>
      <c r="E43" s="88" t="s">
        <v>217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200</v>
      </c>
      <c r="K43" s="95" t="s">
        <v>305</v>
      </c>
      <c r="L43" s="96" t="s">
        <v>306</v>
      </c>
      <c r="M43" s="57" t="s">
        <v>213</v>
      </c>
    </row>
    <row r="44" spans="1:13" x14ac:dyDescent="0.15">
      <c r="A44" s="82" t="s">
        <v>202</v>
      </c>
      <c r="B44" s="83">
        <f>floors!$C$2</f>
        <v>0</v>
      </c>
      <c r="C44" s="84" t="str">
        <f ca="1">VLOOKUP($B44,OFFSET([2]quests!$A$1,0,0,COUNTA([2]quests!$A:$A),MATCH(C$1,[2]quests!$1:$1,0)-MATCH($B$1,[2]quests!$1:$1,0)+1),MATCH(C$1,[2]quests!$1:$1,0)-MATCH($B$1,[2]quests!$1:$1,0)+1,FALSE)</f>
        <v>チュートリアル</v>
      </c>
      <c r="D44" s="84" t="str">
        <f ca="1">VLOOKUP($B44,OFFSET([2]quests!$A$1,0,0,COUNTA([2]quests!$A:$A),MATCH(D$1,[2]quests!$1:$1,0)-MATCH($B$1,[2]quests!$1:$1,0)+1),MATCH(D$1,[2]quests!$1:$1,0)-MATCH($B$1,[2]quests!$1:$1,0)+1,FALSE)</f>
        <v>チュートリアル</v>
      </c>
      <c r="E44" s="88" t="s">
        <v>217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200</v>
      </c>
      <c r="K44" s="95" t="s">
        <v>307</v>
      </c>
      <c r="L44" s="96" t="s">
        <v>308</v>
      </c>
      <c r="M44" s="57" t="s">
        <v>213</v>
      </c>
    </row>
    <row r="45" spans="1:13" x14ac:dyDescent="0.15">
      <c r="A45" s="82" t="s">
        <v>202</v>
      </c>
      <c r="B45" s="83">
        <f>floors!$C$2</f>
        <v>0</v>
      </c>
      <c r="C45" s="84" t="str">
        <f ca="1">VLOOKUP($B45,OFFSET([2]quests!$A$1,0,0,COUNTA([2]quests!$A:$A),MATCH(C$1,[2]quests!$1:$1,0)-MATCH($B$1,[2]quests!$1:$1,0)+1),MATCH(C$1,[2]quests!$1:$1,0)-MATCH($B$1,[2]quests!$1:$1,0)+1,FALSE)</f>
        <v>チュートリアル</v>
      </c>
      <c r="D45" s="84" t="str">
        <f ca="1">VLOOKUP($B45,OFFSET([2]quests!$A$1,0,0,COUNTA([2]quests!$A:$A),MATCH(D$1,[2]quests!$1:$1,0)-MATCH($B$1,[2]quests!$1:$1,0)+1),MATCH(D$1,[2]quests!$1:$1,0)-MATCH($B$1,[2]quests!$1:$1,0)+1,FALSE)</f>
        <v>チュートリアル</v>
      </c>
      <c r="E45" s="88" t="s">
        <v>217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200</v>
      </c>
      <c r="K45" s="95" t="s">
        <v>309</v>
      </c>
      <c r="L45" s="96" t="s">
        <v>310</v>
      </c>
      <c r="M45" s="57" t="s">
        <v>213</v>
      </c>
    </row>
    <row r="46" spans="1:13" x14ac:dyDescent="0.15">
      <c r="A46" s="82" t="s">
        <v>202</v>
      </c>
      <c r="B46" s="83">
        <f>floors!$C$2</f>
        <v>0</v>
      </c>
      <c r="C46" s="84" t="str">
        <f ca="1">VLOOKUP($B46,OFFSET([2]quests!$A$1,0,0,COUNTA([2]quests!$A:$A),MATCH(C$1,[2]quests!$1:$1,0)-MATCH($B$1,[2]quests!$1:$1,0)+1),MATCH(C$1,[2]quests!$1:$1,0)-MATCH($B$1,[2]quests!$1:$1,0)+1,FALSE)</f>
        <v>チュートリアル</v>
      </c>
      <c r="D46" s="84" t="str">
        <f ca="1">VLOOKUP($B46,OFFSET([2]quests!$A$1,0,0,COUNTA([2]quests!$A:$A),MATCH(D$1,[2]quests!$1:$1,0)-MATCH($B$1,[2]quests!$1:$1,0)+1),MATCH(D$1,[2]quests!$1:$1,0)-MATCH($B$1,[2]quests!$1:$1,0)+1,FALSE)</f>
        <v>チュートリアル</v>
      </c>
      <c r="E46" s="88" t="s">
        <v>217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200</v>
      </c>
      <c r="K46" s="95" t="s">
        <v>311</v>
      </c>
      <c r="L46" s="96" t="s">
        <v>312</v>
      </c>
      <c r="M46" s="57" t="s">
        <v>213</v>
      </c>
    </row>
    <row r="47" spans="1:13" x14ac:dyDescent="0.15">
      <c r="A47" s="82" t="s">
        <v>202</v>
      </c>
      <c r="B47" s="83">
        <f>floors!$C$2</f>
        <v>0</v>
      </c>
      <c r="C47" s="84" t="str">
        <f ca="1">VLOOKUP($B47,OFFSET([2]quests!$A$1,0,0,COUNTA([2]quests!$A:$A),MATCH(C$1,[2]quests!$1:$1,0)-MATCH($B$1,[2]quests!$1:$1,0)+1),MATCH(C$1,[2]quests!$1:$1,0)-MATCH($B$1,[2]quests!$1:$1,0)+1,FALSE)</f>
        <v>チュートリアル</v>
      </c>
      <c r="D47" s="84" t="str">
        <f ca="1">VLOOKUP($B47,OFFSET([2]quests!$A$1,0,0,COUNTA([2]quests!$A:$A),MATCH(D$1,[2]quests!$1:$1,0)-MATCH($B$1,[2]quests!$1:$1,0)+1),MATCH(D$1,[2]quests!$1:$1,0)-MATCH($B$1,[2]quests!$1:$1,0)+1,FALSE)</f>
        <v>チュートリアル</v>
      </c>
      <c r="E47" s="88" t="s">
        <v>217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200</v>
      </c>
      <c r="K47" s="95" t="s">
        <v>313</v>
      </c>
      <c r="L47" s="96" t="s">
        <v>314</v>
      </c>
      <c r="M47" s="57" t="s">
        <v>213</v>
      </c>
    </row>
    <row r="48" spans="1:13" x14ac:dyDescent="0.15">
      <c r="A48" s="82" t="s">
        <v>202</v>
      </c>
      <c r="B48" s="83">
        <f>floors!$C$2</f>
        <v>0</v>
      </c>
      <c r="C48" s="84" t="str">
        <f ca="1">VLOOKUP($B48,OFFSET([2]quests!$A$1,0,0,COUNTA([2]quests!$A:$A),MATCH(C$1,[2]quests!$1:$1,0)-MATCH($B$1,[2]quests!$1:$1,0)+1),MATCH(C$1,[2]quests!$1:$1,0)-MATCH($B$1,[2]quests!$1:$1,0)+1,FALSE)</f>
        <v>チュートリアル</v>
      </c>
      <c r="D48" s="84" t="str">
        <f ca="1">VLOOKUP($B48,OFFSET([2]quests!$A$1,0,0,COUNTA([2]quests!$A:$A),MATCH(D$1,[2]quests!$1:$1,0)-MATCH($B$1,[2]quests!$1:$1,0)+1),MATCH(D$1,[2]quests!$1:$1,0)-MATCH($B$1,[2]quests!$1:$1,0)+1,FALSE)</f>
        <v>チュートリアル</v>
      </c>
      <c r="E48" s="88" t="s">
        <v>217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200</v>
      </c>
      <c r="K48" s="95" t="s">
        <v>315</v>
      </c>
      <c r="L48" s="96" t="s">
        <v>316</v>
      </c>
      <c r="M48" s="57" t="s">
        <v>213</v>
      </c>
    </row>
    <row r="49" spans="1:13" x14ac:dyDescent="0.15">
      <c r="A49" s="82" t="s">
        <v>202</v>
      </c>
      <c r="B49" s="83">
        <f>floors!$C$2</f>
        <v>0</v>
      </c>
      <c r="C49" s="84" t="str">
        <f ca="1">VLOOKUP($B49,OFFSET([2]quests!$A$1,0,0,COUNTA([2]quests!$A:$A),MATCH(C$1,[2]quests!$1:$1,0)-MATCH($B$1,[2]quests!$1:$1,0)+1),MATCH(C$1,[2]quests!$1:$1,0)-MATCH($B$1,[2]quests!$1:$1,0)+1,FALSE)</f>
        <v>チュートリアル</v>
      </c>
      <c r="D49" s="84" t="str">
        <f ca="1">VLOOKUP($B49,OFFSET([2]quests!$A$1,0,0,COUNTA([2]quests!$A:$A),MATCH(D$1,[2]quests!$1:$1,0)-MATCH($B$1,[2]quests!$1:$1,0)+1),MATCH(D$1,[2]quests!$1:$1,0)-MATCH($B$1,[2]quests!$1:$1,0)+1,FALSE)</f>
        <v>チュートリアル</v>
      </c>
      <c r="E49" s="88" t="s">
        <v>217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200</v>
      </c>
      <c r="K49" s="95" t="s">
        <v>317</v>
      </c>
      <c r="L49" s="96" t="s">
        <v>318</v>
      </c>
      <c r="M49" s="57" t="s">
        <v>213</v>
      </c>
    </row>
    <row r="50" spans="1:13" x14ac:dyDescent="0.15">
      <c r="A50" s="82" t="s">
        <v>202</v>
      </c>
      <c r="B50" s="83">
        <f>floors!$C$2</f>
        <v>0</v>
      </c>
      <c r="C50" s="84" t="str">
        <f ca="1">VLOOKUP($B50,OFFSET([2]quests!$A$1,0,0,COUNTA([2]quests!$A:$A),MATCH(C$1,[2]quests!$1:$1,0)-MATCH($B$1,[2]quests!$1:$1,0)+1),MATCH(C$1,[2]quests!$1:$1,0)-MATCH($B$1,[2]quests!$1:$1,0)+1,FALSE)</f>
        <v>チュートリアル</v>
      </c>
      <c r="D50" s="84" t="str">
        <f ca="1">VLOOKUP($B50,OFFSET([2]quests!$A$1,0,0,COUNTA([2]quests!$A:$A),MATCH(D$1,[2]quests!$1:$1,0)-MATCH($B$1,[2]quests!$1:$1,0)+1),MATCH(D$1,[2]quests!$1:$1,0)-MATCH($B$1,[2]quests!$1:$1,0)+1,FALSE)</f>
        <v>チュートリアル</v>
      </c>
      <c r="E50" s="88" t="s">
        <v>217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200</v>
      </c>
      <c r="K50" s="95" t="s">
        <v>321</v>
      </c>
      <c r="L50" s="96" t="s">
        <v>322</v>
      </c>
      <c r="M50" s="57" t="s">
        <v>213</v>
      </c>
    </row>
    <row r="51" spans="1:13" x14ac:dyDescent="0.15">
      <c r="A51" s="82" t="s">
        <v>202</v>
      </c>
      <c r="B51" s="83">
        <f>floors!$C$2</f>
        <v>0</v>
      </c>
      <c r="C51" s="84" t="str">
        <f ca="1">VLOOKUP($B51,OFFSET([2]quests!$A$1,0,0,COUNTA([2]quests!$A:$A),MATCH(C$1,[2]quests!$1:$1,0)-MATCH($B$1,[2]quests!$1:$1,0)+1),MATCH(C$1,[2]quests!$1:$1,0)-MATCH($B$1,[2]quests!$1:$1,0)+1,FALSE)</f>
        <v>チュートリアル</v>
      </c>
      <c r="D51" s="84" t="str">
        <f ca="1">VLOOKUP($B51,OFFSET([2]quests!$A$1,0,0,COUNTA([2]quests!$A:$A),MATCH(D$1,[2]quests!$1:$1,0)-MATCH($B$1,[2]quests!$1:$1,0)+1),MATCH(D$1,[2]quests!$1:$1,0)-MATCH($B$1,[2]quests!$1:$1,0)+1,FALSE)</f>
        <v>チュートリアル</v>
      </c>
      <c r="E51" s="88" t="s">
        <v>217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200</v>
      </c>
      <c r="K51" s="95" t="s">
        <v>323</v>
      </c>
      <c r="L51" s="96" t="s">
        <v>324</v>
      </c>
      <c r="M51" s="57" t="s">
        <v>213</v>
      </c>
    </row>
    <row r="52" spans="1:13" x14ac:dyDescent="0.15">
      <c r="A52" s="82" t="s">
        <v>202</v>
      </c>
      <c r="B52" s="83">
        <f>floors!$C$2</f>
        <v>0</v>
      </c>
      <c r="C52" s="84" t="str">
        <f ca="1">VLOOKUP($B52,OFFSET([2]quests!$A$1,0,0,COUNTA([2]quests!$A:$A),MATCH(C$1,[2]quests!$1:$1,0)-MATCH($B$1,[2]quests!$1:$1,0)+1),MATCH(C$1,[2]quests!$1:$1,0)-MATCH($B$1,[2]quests!$1:$1,0)+1,FALSE)</f>
        <v>チュートリアル</v>
      </c>
      <c r="D52" s="84" t="str">
        <f ca="1">VLOOKUP($B52,OFFSET([2]quests!$A$1,0,0,COUNTA([2]quests!$A:$A),MATCH(D$1,[2]quests!$1:$1,0)-MATCH($B$1,[2]quests!$1:$1,0)+1),MATCH(D$1,[2]quests!$1:$1,0)-MATCH($B$1,[2]quests!$1:$1,0)+1,FALSE)</f>
        <v>チュートリアル</v>
      </c>
      <c r="E52" s="88" t="s">
        <v>217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200</v>
      </c>
      <c r="K52" s="95" t="s">
        <v>325</v>
      </c>
      <c r="L52" s="96" t="s">
        <v>326</v>
      </c>
      <c r="M52" s="57" t="s">
        <v>213</v>
      </c>
    </row>
    <row r="53" spans="1:13" x14ac:dyDescent="0.15">
      <c r="A53" s="82" t="s">
        <v>202</v>
      </c>
      <c r="B53" s="83">
        <f>floors!$C$2</f>
        <v>0</v>
      </c>
      <c r="C53" s="84" t="str">
        <f ca="1">VLOOKUP($B53,OFFSET([2]quests!$A$1,0,0,COUNTA([2]quests!$A:$A),MATCH(C$1,[2]quests!$1:$1,0)-MATCH($B$1,[2]quests!$1:$1,0)+1),MATCH(C$1,[2]quests!$1:$1,0)-MATCH($B$1,[2]quests!$1:$1,0)+1,FALSE)</f>
        <v>チュートリアル</v>
      </c>
      <c r="D53" s="84" t="str">
        <f ca="1">VLOOKUP($B53,OFFSET([2]quests!$A$1,0,0,COUNTA([2]quests!$A:$A),MATCH(D$1,[2]quests!$1:$1,0)-MATCH($B$1,[2]quests!$1:$1,0)+1),MATCH(D$1,[2]quests!$1:$1,0)-MATCH($B$1,[2]quests!$1:$1,0)+1,FALSE)</f>
        <v>チュートリアル</v>
      </c>
      <c r="E53" s="88" t="s">
        <v>217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200</v>
      </c>
      <c r="K53" s="95" t="s">
        <v>327</v>
      </c>
      <c r="L53" s="96" t="s">
        <v>328</v>
      </c>
      <c r="M53" s="57" t="s">
        <v>213</v>
      </c>
    </row>
    <row r="54" spans="1:13" x14ac:dyDescent="0.15">
      <c r="A54" s="82" t="s">
        <v>202</v>
      </c>
      <c r="B54" s="83">
        <f>floors!$C$2</f>
        <v>0</v>
      </c>
      <c r="C54" s="84" t="str">
        <f ca="1">VLOOKUP($B54,OFFSET([2]quests!$A$1,0,0,COUNTA([2]quests!$A:$A),MATCH(C$1,[2]quests!$1:$1,0)-MATCH($B$1,[2]quests!$1:$1,0)+1),MATCH(C$1,[2]quests!$1:$1,0)-MATCH($B$1,[2]quests!$1:$1,0)+1,FALSE)</f>
        <v>チュートリアル</v>
      </c>
      <c r="D54" s="84" t="str">
        <f ca="1">VLOOKUP($B54,OFFSET([2]quests!$A$1,0,0,COUNTA([2]quests!$A:$A),MATCH(D$1,[2]quests!$1:$1,0)-MATCH($B$1,[2]quests!$1:$1,0)+1),MATCH(D$1,[2]quests!$1:$1,0)-MATCH($B$1,[2]quests!$1:$1,0)+1,FALSE)</f>
        <v>チュートリアル</v>
      </c>
      <c r="E54" s="88" t="s">
        <v>217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200</v>
      </c>
      <c r="K54" s="95" t="s">
        <v>329</v>
      </c>
      <c r="L54" s="96" t="s">
        <v>330</v>
      </c>
      <c r="M54" s="57" t="s">
        <v>213</v>
      </c>
    </row>
    <row r="55" spans="1:13" x14ac:dyDescent="0.15">
      <c r="A55" s="82" t="s">
        <v>202</v>
      </c>
      <c r="B55" s="83">
        <f>floors!$C$2</f>
        <v>0</v>
      </c>
      <c r="C55" s="84" t="str">
        <f ca="1">VLOOKUP($B55,OFFSET([2]quests!$A$1,0,0,COUNTA([2]quests!$A:$A),MATCH(C$1,[2]quests!$1:$1,0)-MATCH($B$1,[2]quests!$1:$1,0)+1),MATCH(C$1,[2]quests!$1:$1,0)-MATCH($B$1,[2]quests!$1:$1,0)+1,FALSE)</f>
        <v>チュートリアル</v>
      </c>
      <c r="D55" s="84" t="str">
        <f ca="1">VLOOKUP($B55,OFFSET([2]quests!$A$1,0,0,COUNTA([2]quests!$A:$A),MATCH(D$1,[2]quests!$1:$1,0)-MATCH($B$1,[2]quests!$1:$1,0)+1),MATCH(D$1,[2]quests!$1:$1,0)-MATCH($B$1,[2]quests!$1:$1,0)+1,FALSE)</f>
        <v>チュートリアル</v>
      </c>
      <c r="E55" s="88" t="s">
        <v>217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200</v>
      </c>
      <c r="K55" s="95" t="s">
        <v>331</v>
      </c>
      <c r="L55" s="96" t="s">
        <v>332</v>
      </c>
      <c r="M55" s="57" t="s">
        <v>213</v>
      </c>
    </row>
    <row r="56" spans="1:13" x14ac:dyDescent="0.15">
      <c r="A56" s="82" t="s">
        <v>202</v>
      </c>
      <c r="B56" s="83">
        <f>floors!$C$2</f>
        <v>0</v>
      </c>
      <c r="C56" s="84" t="str">
        <f ca="1">VLOOKUP($B56,OFFSET([2]quests!$A$1,0,0,COUNTA([2]quests!$A:$A),MATCH(C$1,[2]quests!$1:$1,0)-MATCH($B$1,[2]quests!$1:$1,0)+1),MATCH(C$1,[2]quests!$1:$1,0)-MATCH($B$1,[2]quests!$1:$1,0)+1,FALSE)</f>
        <v>チュートリアル</v>
      </c>
      <c r="D56" s="84" t="str">
        <f ca="1">VLOOKUP($B56,OFFSET([2]quests!$A$1,0,0,COUNTA([2]quests!$A:$A),MATCH(D$1,[2]quests!$1:$1,0)-MATCH($B$1,[2]quests!$1:$1,0)+1),MATCH(D$1,[2]quests!$1:$1,0)-MATCH($B$1,[2]quests!$1:$1,0)+1,FALSE)</f>
        <v>チュートリアル</v>
      </c>
      <c r="E56" s="88" t="s">
        <v>217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200</v>
      </c>
      <c r="K56" s="95" t="s">
        <v>333</v>
      </c>
      <c r="L56" s="96" t="s">
        <v>334</v>
      </c>
      <c r="M56" s="57" t="s">
        <v>213</v>
      </c>
    </row>
    <row r="57" spans="1:13" x14ac:dyDescent="0.15">
      <c r="A57" s="82" t="s">
        <v>202</v>
      </c>
      <c r="B57" s="83">
        <f>floors!$C$2</f>
        <v>0</v>
      </c>
      <c r="C57" s="84" t="str">
        <f ca="1">VLOOKUP($B57,OFFSET([2]quests!$A$1,0,0,COUNTA([2]quests!$A:$A),MATCH(C$1,[2]quests!$1:$1,0)-MATCH($B$1,[2]quests!$1:$1,0)+1),MATCH(C$1,[2]quests!$1:$1,0)-MATCH($B$1,[2]quests!$1:$1,0)+1,FALSE)</f>
        <v>チュートリアル</v>
      </c>
      <c r="D57" s="84" t="str">
        <f ca="1">VLOOKUP($B57,OFFSET([2]quests!$A$1,0,0,COUNTA([2]quests!$A:$A),MATCH(D$1,[2]quests!$1:$1,0)-MATCH($B$1,[2]quests!$1:$1,0)+1),MATCH(D$1,[2]quests!$1:$1,0)-MATCH($B$1,[2]quests!$1:$1,0)+1,FALSE)</f>
        <v>チュートリアル</v>
      </c>
      <c r="E57" s="88" t="s">
        <v>217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200</v>
      </c>
      <c r="K57" s="95" t="s">
        <v>335</v>
      </c>
      <c r="L57" s="96" t="s">
        <v>336</v>
      </c>
      <c r="M57" s="57" t="s">
        <v>213</v>
      </c>
    </row>
    <row r="58" spans="1:13" x14ac:dyDescent="0.15">
      <c r="A58" s="82" t="s">
        <v>202</v>
      </c>
      <c r="B58" s="83">
        <f>floors!$C$2</f>
        <v>0</v>
      </c>
      <c r="C58" s="84" t="str">
        <f ca="1">VLOOKUP($B58,OFFSET([2]quests!$A$1,0,0,COUNTA([2]quests!$A:$A),MATCH(C$1,[2]quests!$1:$1,0)-MATCH($B$1,[2]quests!$1:$1,0)+1),MATCH(C$1,[2]quests!$1:$1,0)-MATCH($B$1,[2]quests!$1:$1,0)+1,FALSE)</f>
        <v>チュートリアル</v>
      </c>
      <c r="D58" s="84" t="str">
        <f ca="1">VLOOKUP($B58,OFFSET([2]quests!$A$1,0,0,COUNTA([2]quests!$A:$A),MATCH(D$1,[2]quests!$1:$1,0)-MATCH($B$1,[2]quests!$1:$1,0)+1),MATCH(D$1,[2]quests!$1:$1,0)-MATCH($B$1,[2]quests!$1:$1,0)+1,FALSE)</f>
        <v>チュートリアル</v>
      </c>
      <c r="E58" s="88" t="s">
        <v>217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200</v>
      </c>
      <c r="K58" s="95" t="s">
        <v>337</v>
      </c>
      <c r="L58" s="96" t="s">
        <v>338</v>
      </c>
      <c r="M58" s="57" t="s">
        <v>213</v>
      </c>
    </row>
    <row r="59" spans="1:13" x14ac:dyDescent="0.15">
      <c r="A59" s="82" t="s">
        <v>202</v>
      </c>
      <c r="B59" s="83">
        <f>floors!$C$2</f>
        <v>0</v>
      </c>
      <c r="C59" s="84" t="str">
        <f ca="1">VLOOKUP($B59,OFFSET([2]quests!$A$1,0,0,COUNTA([2]quests!$A:$A),MATCH(C$1,[2]quests!$1:$1,0)-MATCH($B$1,[2]quests!$1:$1,0)+1),MATCH(C$1,[2]quests!$1:$1,0)-MATCH($B$1,[2]quests!$1:$1,0)+1,FALSE)</f>
        <v>チュートリアル</v>
      </c>
      <c r="D59" s="84" t="str">
        <f ca="1">VLOOKUP($B59,OFFSET([2]quests!$A$1,0,0,COUNTA([2]quests!$A:$A),MATCH(D$1,[2]quests!$1:$1,0)-MATCH($B$1,[2]quests!$1:$1,0)+1),MATCH(D$1,[2]quests!$1:$1,0)-MATCH($B$1,[2]quests!$1:$1,0)+1,FALSE)</f>
        <v>チュートリアル</v>
      </c>
      <c r="E59" s="88" t="s">
        <v>217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200</v>
      </c>
      <c r="K59" s="95" t="s">
        <v>319</v>
      </c>
      <c r="L59" s="96" t="s">
        <v>320</v>
      </c>
      <c r="M59" s="57" t="s">
        <v>213</v>
      </c>
    </row>
    <row r="60" spans="1:13" x14ac:dyDescent="0.15">
      <c r="A60" s="82" t="s">
        <v>202</v>
      </c>
      <c r="B60" s="83">
        <f>floors!$C$2</f>
        <v>0</v>
      </c>
      <c r="C60" s="84" t="str">
        <f ca="1">VLOOKUP($B60,OFFSET([2]quests!$A$1,0,0,COUNTA([2]quests!$A:$A),MATCH(C$1,[2]quests!$1:$1,0)-MATCH($B$1,[2]quests!$1:$1,0)+1),MATCH(C$1,[2]quests!$1:$1,0)-MATCH($B$1,[2]quests!$1:$1,0)+1,FALSE)</f>
        <v>チュートリアル</v>
      </c>
      <c r="D60" s="84" t="str">
        <f ca="1">VLOOKUP($B60,OFFSET([2]quests!$A$1,0,0,COUNTA([2]quests!$A:$A),MATCH(D$1,[2]quests!$1:$1,0)-MATCH($B$1,[2]quests!$1:$1,0)+1),MATCH(D$1,[2]quests!$1:$1,0)-MATCH($B$1,[2]quests!$1:$1,0)+1,FALSE)</f>
        <v>チュートリアル</v>
      </c>
      <c r="E60" s="88" t="s">
        <v>218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8">
        <v>3</v>
      </c>
      <c r="J60" s="85" t="s">
        <v>200</v>
      </c>
      <c r="K60" s="95" t="s">
        <v>273</v>
      </c>
      <c r="L60" s="96" t="s">
        <v>274</v>
      </c>
      <c r="M60" s="57" t="s">
        <v>213</v>
      </c>
    </row>
    <row r="61" spans="1:13" x14ac:dyDescent="0.15">
      <c r="A61" s="82" t="s">
        <v>202</v>
      </c>
      <c r="B61" s="83">
        <f>floors!$C$2</f>
        <v>0</v>
      </c>
      <c r="C61" s="84" t="str">
        <f ca="1">VLOOKUP($B61,OFFSET([2]quests!$A$1,0,0,COUNTA([2]quests!$A:$A),MATCH(C$1,[2]quests!$1:$1,0)-MATCH($B$1,[2]quests!$1:$1,0)+1),MATCH(C$1,[2]quests!$1:$1,0)-MATCH($B$1,[2]quests!$1:$1,0)+1,FALSE)</f>
        <v>チュートリアル</v>
      </c>
      <c r="D61" s="84" t="str">
        <f ca="1">VLOOKUP($B61,OFFSET([2]quests!$A$1,0,0,COUNTA([2]quests!$A:$A),MATCH(D$1,[2]quests!$1:$1,0)-MATCH($B$1,[2]quests!$1:$1,0)+1),MATCH(D$1,[2]quests!$1:$1,0)-MATCH($B$1,[2]quests!$1:$1,0)+1,FALSE)</f>
        <v>チュートリアル</v>
      </c>
      <c r="E61" s="88" t="s">
        <v>218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8">
        <v>6</v>
      </c>
      <c r="J61" s="85" t="s">
        <v>200</v>
      </c>
      <c r="K61" s="95" t="s">
        <v>277</v>
      </c>
      <c r="L61" s="96" t="s">
        <v>278</v>
      </c>
      <c r="M61" s="57" t="s">
        <v>213</v>
      </c>
    </row>
    <row r="62" spans="1:13" x14ac:dyDescent="0.15">
      <c r="A62" s="82" t="s">
        <v>202</v>
      </c>
      <c r="B62" s="83">
        <f>floors!$C$2</f>
        <v>0</v>
      </c>
      <c r="C62" s="84" t="str">
        <f ca="1">VLOOKUP($B62,OFFSET([2]quests!$A$1,0,0,COUNTA([2]quests!$A:$A),MATCH(C$1,[2]quests!$1:$1,0)-MATCH($B$1,[2]quests!$1:$1,0)+1),MATCH(C$1,[2]quests!$1:$1,0)-MATCH($B$1,[2]quests!$1:$1,0)+1,FALSE)</f>
        <v>チュートリアル</v>
      </c>
      <c r="D62" s="84" t="str">
        <f ca="1">VLOOKUP($B62,OFFSET([2]quests!$A$1,0,0,COUNTA([2]quests!$A:$A),MATCH(D$1,[2]quests!$1:$1,0)-MATCH($B$1,[2]quests!$1:$1,0)+1),MATCH(D$1,[2]quests!$1:$1,0)-MATCH($B$1,[2]quests!$1:$1,0)+1,FALSE)</f>
        <v>チュートリアル</v>
      </c>
      <c r="E62" s="88" t="s">
        <v>218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8">
        <v>7</v>
      </c>
      <c r="J62" s="85" t="s">
        <v>200</v>
      </c>
      <c r="K62" s="95" t="s">
        <v>279</v>
      </c>
      <c r="L62" s="96" t="s">
        <v>280</v>
      </c>
      <c r="M62" s="57" t="s">
        <v>213</v>
      </c>
    </row>
    <row r="63" spans="1:13" x14ac:dyDescent="0.15">
      <c r="A63" s="82" t="s">
        <v>202</v>
      </c>
      <c r="B63" s="83">
        <f>floors!$C$2</f>
        <v>0</v>
      </c>
      <c r="C63" s="84" t="str">
        <f ca="1">VLOOKUP($B63,OFFSET([2]quests!$A$1,0,0,COUNTA([2]quests!$A:$A),MATCH(C$1,[2]quests!$1:$1,0)-MATCH($B$1,[2]quests!$1:$1,0)+1),MATCH(C$1,[2]quests!$1:$1,0)-MATCH($B$1,[2]quests!$1:$1,0)+1,FALSE)</f>
        <v>チュートリアル</v>
      </c>
      <c r="D63" s="84" t="str">
        <f ca="1">VLOOKUP($B63,OFFSET([2]quests!$A$1,0,0,COUNTA([2]quests!$A:$A),MATCH(D$1,[2]quests!$1:$1,0)-MATCH($B$1,[2]quests!$1:$1,0)+1),MATCH(D$1,[2]quests!$1:$1,0)-MATCH($B$1,[2]quests!$1:$1,0)+1,FALSE)</f>
        <v>チュートリアル</v>
      </c>
      <c r="E63" s="88" t="s">
        <v>218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8">
        <v>8</v>
      </c>
      <c r="J63" s="85" t="s">
        <v>200</v>
      </c>
      <c r="K63" s="95" t="s">
        <v>281</v>
      </c>
      <c r="L63" s="96" t="s">
        <v>282</v>
      </c>
      <c r="M63" s="57" t="s">
        <v>213</v>
      </c>
    </row>
    <row r="64" spans="1:13" x14ac:dyDescent="0.15">
      <c r="A64" s="82" t="s">
        <v>202</v>
      </c>
      <c r="B64" s="83">
        <f>floors!$C$2</f>
        <v>0</v>
      </c>
      <c r="C64" s="84" t="str">
        <f ca="1">VLOOKUP($B64,OFFSET([2]quests!$A$1,0,0,COUNTA([2]quests!$A:$A),MATCH(C$1,[2]quests!$1:$1,0)-MATCH($B$1,[2]quests!$1:$1,0)+1),MATCH(C$1,[2]quests!$1:$1,0)-MATCH($B$1,[2]quests!$1:$1,0)+1,FALSE)</f>
        <v>チュートリアル</v>
      </c>
      <c r="D64" s="84" t="str">
        <f ca="1">VLOOKUP($B64,OFFSET([2]quests!$A$1,0,0,COUNTA([2]quests!$A:$A),MATCH(D$1,[2]quests!$1:$1,0)-MATCH($B$1,[2]quests!$1:$1,0)+1),MATCH(D$1,[2]quests!$1:$1,0)-MATCH($B$1,[2]quests!$1:$1,0)+1,FALSE)</f>
        <v>チュートリアル</v>
      </c>
      <c r="E64" s="88" t="s">
        <v>218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8">
        <v>9</v>
      </c>
      <c r="J64" s="85" t="s">
        <v>200</v>
      </c>
      <c r="K64" s="95" t="s">
        <v>283</v>
      </c>
      <c r="L64" s="96" t="s">
        <v>284</v>
      </c>
      <c r="M64" s="57" t="s">
        <v>213</v>
      </c>
    </row>
    <row r="65" spans="1:13" x14ac:dyDescent="0.15">
      <c r="A65" s="82" t="s">
        <v>202</v>
      </c>
      <c r="B65" s="83">
        <f>floors!$C$2</f>
        <v>0</v>
      </c>
      <c r="C65" s="84" t="str">
        <f ca="1">VLOOKUP($B65,OFFSET([2]quests!$A$1,0,0,COUNTA([2]quests!$A:$A),MATCH(C$1,[2]quests!$1:$1,0)-MATCH($B$1,[2]quests!$1:$1,0)+1),MATCH(C$1,[2]quests!$1:$1,0)-MATCH($B$1,[2]quests!$1:$1,0)+1,FALSE)</f>
        <v>チュートリアル</v>
      </c>
      <c r="D65" s="84" t="str">
        <f ca="1">VLOOKUP($B65,OFFSET([2]quests!$A$1,0,0,COUNTA([2]quests!$A:$A),MATCH(D$1,[2]quests!$1:$1,0)-MATCH($B$1,[2]quests!$1:$1,0)+1),MATCH(D$1,[2]quests!$1:$1,0)-MATCH($B$1,[2]quests!$1:$1,0)+1,FALSE)</f>
        <v>チュートリアル</v>
      </c>
      <c r="E65" s="88" t="s">
        <v>218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8">
        <v>10</v>
      </c>
      <c r="J65" s="85" t="s">
        <v>200</v>
      </c>
      <c r="K65" s="95" t="s">
        <v>285</v>
      </c>
      <c r="L65" s="96" t="s">
        <v>286</v>
      </c>
      <c r="M65" s="57" t="s">
        <v>213</v>
      </c>
    </row>
    <row r="66" spans="1:13" x14ac:dyDescent="0.15">
      <c r="A66" s="82" t="s">
        <v>202</v>
      </c>
      <c r="B66" s="83">
        <f>floors!$C$2</f>
        <v>0</v>
      </c>
      <c r="C66" s="84" t="str">
        <f ca="1">VLOOKUP($B66,OFFSET([2]quests!$A$1,0,0,COUNTA([2]quests!$A:$A),MATCH(C$1,[2]quests!$1:$1,0)-MATCH($B$1,[2]quests!$1:$1,0)+1),MATCH(C$1,[2]quests!$1:$1,0)-MATCH($B$1,[2]quests!$1:$1,0)+1,FALSE)</f>
        <v>チュートリアル</v>
      </c>
      <c r="D66" s="84" t="str">
        <f ca="1">VLOOKUP($B66,OFFSET([2]quests!$A$1,0,0,COUNTA([2]quests!$A:$A),MATCH(D$1,[2]quests!$1:$1,0)-MATCH($B$1,[2]quests!$1:$1,0)+1),MATCH(D$1,[2]quests!$1:$1,0)-MATCH($B$1,[2]quests!$1:$1,0)+1,FALSE)</f>
        <v>チュートリアル</v>
      </c>
      <c r="E66" s="88" t="s">
        <v>218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8">
        <v>11</v>
      </c>
      <c r="J66" s="85" t="s">
        <v>200</v>
      </c>
      <c r="K66" s="95" t="s">
        <v>287</v>
      </c>
      <c r="L66" s="96" t="s">
        <v>288</v>
      </c>
      <c r="M66" s="57" t="s">
        <v>213</v>
      </c>
    </row>
    <row r="67" spans="1:13" x14ac:dyDescent="0.15">
      <c r="A67" s="82" t="s">
        <v>202</v>
      </c>
      <c r="B67" s="83">
        <f>floors!$C$2</f>
        <v>0</v>
      </c>
      <c r="C67" s="84" t="str">
        <f ca="1">VLOOKUP($B67,OFFSET([2]quests!$A$1,0,0,COUNTA([2]quests!$A:$A),MATCH(C$1,[2]quests!$1:$1,0)-MATCH($B$1,[2]quests!$1:$1,0)+1),MATCH(C$1,[2]quests!$1:$1,0)-MATCH($B$1,[2]quests!$1:$1,0)+1,FALSE)</f>
        <v>チュートリアル</v>
      </c>
      <c r="D67" s="84" t="str">
        <f ca="1">VLOOKUP($B67,OFFSET([2]quests!$A$1,0,0,COUNTA([2]quests!$A:$A),MATCH(D$1,[2]quests!$1:$1,0)-MATCH($B$1,[2]quests!$1:$1,0)+1),MATCH(D$1,[2]quests!$1:$1,0)-MATCH($B$1,[2]quests!$1:$1,0)+1,FALSE)</f>
        <v>チュートリアル</v>
      </c>
      <c r="E67" s="88" t="s">
        <v>218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8">
        <v>12</v>
      </c>
      <c r="J67" s="85" t="s">
        <v>200</v>
      </c>
      <c r="K67" s="95" t="s">
        <v>289</v>
      </c>
      <c r="L67" s="96" t="s">
        <v>290</v>
      </c>
      <c r="M67" s="57" t="s">
        <v>213</v>
      </c>
    </row>
    <row r="68" spans="1:13" x14ac:dyDescent="0.15">
      <c r="A68" s="82" t="s">
        <v>202</v>
      </c>
      <c r="B68" s="83">
        <f>floors!$C$2</f>
        <v>0</v>
      </c>
      <c r="C68" s="84" t="str">
        <f ca="1">VLOOKUP($B68,OFFSET([2]quests!$A$1,0,0,COUNTA([2]quests!$A:$A),MATCH(C$1,[2]quests!$1:$1,0)-MATCH($B$1,[2]quests!$1:$1,0)+1),MATCH(C$1,[2]quests!$1:$1,0)-MATCH($B$1,[2]quests!$1:$1,0)+1,FALSE)</f>
        <v>チュートリアル</v>
      </c>
      <c r="D68" s="84" t="str">
        <f ca="1">VLOOKUP($B68,OFFSET([2]quests!$A$1,0,0,COUNTA([2]quests!$A:$A),MATCH(D$1,[2]quests!$1:$1,0)-MATCH($B$1,[2]quests!$1:$1,0)+1),MATCH(D$1,[2]quests!$1:$1,0)-MATCH($B$1,[2]quests!$1:$1,0)+1,FALSE)</f>
        <v>チュートリアル</v>
      </c>
      <c r="E68" s="88" t="s">
        <v>218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8">
        <v>13</v>
      </c>
      <c r="J68" s="85" t="s">
        <v>200</v>
      </c>
      <c r="K68" s="95" t="s">
        <v>291</v>
      </c>
      <c r="L68" s="96" t="s">
        <v>292</v>
      </c>
      <c r="M68" s="57" t="s">
        <v>213</v>
      </c>
    </row>
    <row r="69" spans="1:13" x14ac:dyDescent="0.15">
      <c r="A69" s="82" t="s">
        <v>202</v>
      </c>
      <c r="B69" s="83">
        <f>floors!$C$2</f>
        <v>0</v>
      </c>
      <c r="C69" s="84" t="str">
        <f ca="1">VLOOKUP($B69,OFFSET([2]quests!$A$1,0,0,COUNTA([2]quests!$A:$A),MATCH(C$1,[2]quests!$1:$1,0)-MATCH($B$1,[2]quests!$1:$1,0)+1),MATCH(C$1,[2]quests!$1:$1,0)-MATCH($B$1,[2]quests!$1:$1,0)+1,FALSE)</f>
        <v>チュートリアル</v>
      </c>
      <c r="D69" s="84" t="str">
        <f ca="1">VLOOKUP($B69,OFFSET([2]quests!$A$1,0,0,COUNTA([2]quests!$A:$A),MATCH(D$1,[2]quests!$1:$1,0)-MATCH($B$1,[2]quests!$1:$1,0)+1),MATCH(D$1,[2]quests!$1:$1,0)-MATCH($B$1,[2]quests!$1:$1,0)+1,FALSE)</f>
        <v>チュートリアル</v>
      </c>
      <c r="E69" s="88" t="s">
        <v>218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8">
        <v>14</v>
      </c>
      <c r="J69" s="85" t="s">
        <v>200</v>
      </c>
      <c r="K69" s="95" t="s">
        <v>293</v>
      </c>
      <c r="L69" s="96" t="s">
        <v>294</v>
      </c>
      <c r="M69" s="57" t="s">
        <v>213</v>
      </c>
    </row>
    <row r="70" spans="1:13" x14ac:dyDescent="0.15">
      <c r="A70" s="82" t="s">
        <v>202</v>
      </c>
      <c r="B70" s="83">
        <f>floors!$C$2</f>
        <v>0</v>
      </c>
      <c r="C70" s="84" t="str">
        <f ca="1">VLOOKUP($B70,OFFSET([2]quests!$A$1,0,0,COUNTA([2]quests!$A:$A),MATCH(C$1,[2]quests!$1:$1,0)-MATCH($B$1,[2]quests!$1:$1,0)+1),MATCH(C$1,[2]quests!$1:$1,0)-MATCH($B$1,[2]quests!$1:$1,0)+1,FALSE)</f>
        <v>チュートリアル</v>
      </c>
      <c r="D70" s="84" t="str">
        <f ca="1">VLOOKUP($B70,OFFSET([2]quests!$A$1,0,0,COUNTA([2]quests!$A:$A),MATCH(D$1,[2]quests!$1:$1,0)-MATCH($B$1,[2]quests!$1:$1,0)+1),MATCH(D$1,[2]quests!$1:$1,0)-MATCH($B$1,[2]quests!$1:$1,0)+1,FALSE)</f>
        <v>チュートリアル</v>
      </c>
      <c r="E70" s="88" t="s">
        <v>218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8">
        <v>15</v>
      </c>
      <c r="J70" s="85" t="s">
        <v>200</v>
      </c>
      <c r="K70" s="95" t="s">
        <v>295</v>
      </c>
      <c r="L70" s="96" t="s">
        <v>296</v>
      </c>
      <c r="M70" s="57" t="s">
        <v>213</v>
      </c>
    </row>
    <row r="71" spans="1:13" x14ac:dyDescent="0.15">
      <c r="A71" s="82" t="s">
        <v>202</v>
      </c>
      <c r="B71" s="83">
        <f>floors!$C$2</f>
        <v>0</v>
      </c>
      <c r="C71" s="84" t="str">
        <f ca="1">VLOOKUP($B71,OFFSET([2]quests!$A$1,0,0,COUNTA([2]quests!$A:$A),MATCH(C$1,[2]quests!$1:$1,0)-MATCH($B$1,[2]quests!$1:$1,0)+1),MATCH(C$1,[2]quests!$1:$1,0)-MATCH($B$1,[2]quests!$1:$1,0)+1,FALSE)</f>
        <v>チュートリアル</v>
      </c>
      <c r="D71" s="84" t="str">
        <f ca="1">VLOOKUP($B71,OFFSET([2]quests!$A$1,0,0,COUNTA([2]quests!$A:$A),MATCH(D$1,[2]quests!$1:$1,0)-MATCH($B$1,[2]quests!$1:$1,0)+1),MATCH(D$1,[2]quests!$1:$1,0)-MATCH($B$1,[2]quests!$1:$1,0)+1,FALSE)</f>
        <v>チュートリアル</v>
      </c>
      <c r="E71" s="88" t="s">
        <v>218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8">
        <v>16</v>
      </c>
      <c r="J71" s="85" t="s">
        <v>200</v>
      </c>
      <c r="K71" s="95" t="s">
        <v>297</v>
      </c>
      <c r="L71" s="96" t="s">
        <v>298</v>
      </c>
      <c r="M71" s="57" t="s">
        <v>213</v>
      </c>
    </row>
    <row r="72" spans="1:13" x14ac:dyDescent="0.15">
      <c r="A72" s="82" t="s">
        <v>202</v>
      </c>
      <c r="B72" s="83">
        <f>floors!$C$2</f>
        <v>0</v>
      </c>
      <c r="C72" s="84" t="str">
        <f ca="1">VLOOKUP($B72,OFFSET([2]quests!$A$1,0,0,COUNTA([2]quests!$A:$A),MATCH(C$1,[2]quests!$1:$1,0)-MATCH($B$1,[2]quests!$1:$1,0)+1),MATCH(C$1,[2]quests!$1:$1,0)-MATCH($B$1,[2]quests!$1:$1,0)+1,FALSE)</f>
        <v>チュートリアル</v>
      </c>
      <c r="D72" s="84" t="str">
        <f ca="1">VLOOKUP($B72,OFFSET([2]quests!$A$1,0,0,COUNTA([2]quests!$A:$A),MATCH(D$1,[2]quests!$1:$1,0)-MATCH($B$1,[2]quests!$1:$1,0)+1),MATCH(D$1,[2]quests!$1:$1,0)-MATCH($B$1,[2]quests!$1:$1,0)+1,FALSE)</f>
        <v>チュートリアル</v>
      </c>
      <c r="E72" s="88" t="s">
        <v>218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8">
        <v>17</v>
      </c>
      <c r="J72" s="85" t="s">
        <v>200</v>
      </c>
      <c r="K72" s="95" t="s">
        <v>299</v>
      </c>
      <c r="L72" s="96" t="s">
        <v>300</v>
      </c>
      <c r="M72" s="57" t="s">
        <v>213</v>
      </c>
    </row>
    <row r="73" spans="1:13" x14ac:dyDescent="0.15">
      <c r="A73" s="82" t="s">
        <v>202</v>
      </c>
      <c r="B73" s="83">
        <f>floors!$C$2</f>
        <v>0</v>
      </c>
      <c r="C73" s="84" t="str">
        <f ca="1">VLOOKUP($B73,OFFSET([2]quests!$A$1,0,0,COUNTA([2]quests!$A:$A),MATCH(C$1,[2]quests!$1:$1,0)-MATCH($B$1,[2]quests!$1:$1,0)+1),MATCH(C$1,[2]quests!$1:$1,0)-MATCH($B$1,[2]quests!$1:$1,0)+1,FALSE)</f>
        <v>チュートリアル</v>
      </c>
      <c r="D73" s="84" t="str">
        <f ca="1">VLOOKUP($B73,OFFSET([2]quests!$A$1,0,0,COUNTA([2]quests!$A:$A),MATCH(D$1,[2]quests!$1:$1,0)-MATCH($B$1,[2]quests!$1:$1,0)+1),MATCH(D$1,[2]quests!$1:$1,0)-MATCH($B$1,[2]quests!$1:$1,0)+1,FALSE)</f>
        <v>チュートリアル</v>
      </c>
      <c r="E73" s="88" t="s">
        <v>218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8">
        <v>18</v>
      </c>
      <c r="J73" s="85" t="s">
        <v>200</v>
      </c>
      <c r="K73" s="95" t="s">
        <v>301</v>
      </c>
      <c r="L73" s="96" t="s">
        <v>302</v>
      </c>
      <c r="M73" s="57" t="s">
        <v>213</v>
      </c>
    </row>
    <row r="74" spans="1:13" x14ac:dyDescent="0.15">
      <c r="A74" s="82" t="s">
        <v>202</v>
      </c>
      <c r="B74" s="83">
        <f>floors!$C$2</f>
        <v>0</v>
      </c>
      <c r="C74" s="84" t="str">
        <f ca="1">VLOOKUP($B74,OFFSET([2]quests!$A$1,0,0,COUNTA([2]quests!$A:$A),MATCH(C$1,[2]quests!$1:$1,0)-MATCH($B$1,[2]quests!$1:$1,0)+1),MATCH(C$1,[2]quests!$1:$1,0)-MATCH($B$1,[2]quests!$1:$1,0)+1,FALSE)</f>
        <v>チュートリアル</v>
      </c>
      <c r="D74" s="84" t="str">
        <f ca="1">VLOOKUP($B74,OFFSET([2]quests!$A$1,0,0,COUNTA([2]quests!$A:$A),MATCH(D$1,[2]quests!$1:$1,0)-MATCH($B$1,[2]quests!$1:$1,0)+1),MATCH(D$1,[2]quests!$1:$1,0)-MATCH($B$1,[2]quests!$1:$1,0)+1,FALSE)</f>
        <v>チュートリアル</v>
      </c>
      <c r="E74" s="88" t="s">
        <v>218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8">
        <v>19</v>
      </c>
      <c r="J74" s="85" t="s">
        <v>200</v>
      </c>
      <c r="K74" s="95" t="s">
        <v>303</v>
      </c>
      <c r="L74" s="96" t="s">
        <v>304</v>
      </c>
      <c r="M74" s="57" t="s">
        <v>213</v>
      </c>
    </row>
    <row r="75" spans="1:13" x14ac:dyDescent="0.15">
      <c r="A75" s="82" t="s">
        <v>202</v>
      </c>
      <c r="B75" s="83">
        <f>floors!$C$2</f>
        <v>0</v>
      </c>
      <c r="C75" s="84" t="str">
        <f ca="1">VLOOKUP($B75,OFFSET([2]quests!$A$1,0,0,COUNTA([2]quests!$A:$A),MATCH(C$1,[2]quests!$1:$1,0)-MATCH($B$1,[2]quests!$1:$1,0)+1),MATCH(C$1,[2]quests!$1:$1,0)-MATCH($B$1,[2]quests!$1:$1,0)+1,FALSE)</f>
        <v>チュートリアル</v>
      </c>
      <c r="D75" s="84" t="str">
        <f ca="1">VLOOKUP($B75,OFFSET([2]quests!$A$1,0,0,COUNTA([2]quests!$A:$A),MATCH(D$1,[2]quests!$1:$1,0)-MATCH($B$1,[2]quests!$1:$1,0)+1),MATCH(D$1,[2]quests!$1:$1,0)-MATCH($B$1,[2]quests!$1:$1,0)+1,FALSE)</f>
        <v>チュートリアル</v>
      </c>
      <c r="E75" s="88" t="s">
        <v>218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8">
        <v>20</v>
      </c>
      <c r="J75" s="85" t="s">
        <v>200</v>
      </c>
      <c r="K75" s="95" t="s">
        <v>305</v>
      </c>
      <c r="L75" s="96" t="s">
        <v>306</v>
      </c>
      <c r="M75" s="57" t="s">
        <v>213</v>
      </c>
    </row>
    <row r="76" spans="1:13" x14ac:dyDescent="0.15">
      <c r="A76" s="82" t="s">
        <v>202</v>
      </c>
      <c r="B76" s="83">
        <f>floors!$C$2</f>
        <v>0</v>
      </c>
      <c r="C76" s="84" t="str">
        <f ca="1">VLOOKUP($B76,OFFSET([2]quests!$A$1,0,0,COUNTA([2]quests!$A:$A),MATCH(C$1,[2]quests!$1:$1,0)-MATCH($B$1,[2]quests!$1:$1,0)+1),MATCH(C$1,[2]quests!$1:$1,0)-MATCH($B$1,[2]quests!$1:$1,0)+1,FALSE)</f>
        <v>チュートリアル</v>
      </c>
      <c r="D76" s="84" t="str">
        <f ca="1">VLOOKUP($B76,OFFSET([2]quests!$A$1,0,0,COUNTA([2]quests!$A:$A),MATCH(D$1,[2]quests!$1:$1,0)-MATCH($B$1,[2]quests!$1:$1,0)+1),MATCH(D$1,[2]quests!$1:$1,0)-MATCH($B$1,[2]quests!$1:$1,0)+1,FALSE)</f>
        <v>チュートリアル</v>
      </c>
      <c r="E76" s="88" t="s">
        <v>218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8">
        <v>21</v>
      </c>
      <c r="J76" s="85" t="s">
        <v>200</v>
      </c>
      <c r="K76" s="95" t="s">
        <v>307</v>
      </c>
      <c r="L76" s="96" t="s">
        <v>308</v>
      </c>
      <c r="M76" s="57" t="s">
        <v>213</v>
      </c>
    </row>
    <row r="77" spans="1:13" x14ac:dyDescent="0.15">
      <c r="A77" s="82" t="s">
        <v>202</v>
      </c>
      <c r="B77" s="83">
        <f>floors!$C$2</f>
        <v>0</v>
      </c>
      <c r="C77" s="84" t="str">
        <f ca="1">VLOOKUP($B77,OFFSET([2]quests!$A$1,0,0,COUNTA([2]quests!$A:$A),MATCH(C$1,[2]quests!$1:$1,0)-MATCH($B$1,[2]quests!$1:$1,0)+1),MATCH(C$1,[2]quests!$1:$1,0)-MATCH($B$1,[2]quests!$1:$1,0)+1,FALSE)</f>
        <v>チュートリアル</v>
      </c>
      <c r="D77" s="84" t="str">
        <f ca="1">VLOOKUP($B77,OFFSET([2]quests!$A$1,0,0,COUNTA([2]quests!$A:$A),MATCH(D$1,[2]quests!$1:$1,0)-MATCH($B$1,[2]quests!$1:$1,0)+1),MATCH(D$1,[2]quests!$1:$1,0)-MATCH($B$1,[2]quests!$1:$1,0)+1,FALSE)</f>
        <v>チュートリアル</v>
      </c>
      <c r="E77" s="88" t="s">
        <v>218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8">
        <v>22</v>
      </c>
      <c r="J77" s="85" t="s">
        <v>200</v>
      </c>
      <c r="K77" s="95" t="s">
        <v>309</v>
      </c>
      <c r="L77" s="96" t="s">
        <v>310</v>
      </c>
      <c r="M77" s="57" t="s">
        <v>213</v>
      </c>
    </row>
    <row r="78" spans="1:13" x14ac:dyDescent="0.15">
      <c r="A78" s="82" t="s">
        <v>202</v>
      </c>
      <c r="B78" s="83">
        <f>floors!$C$2</f>
        <v>0</v>
      </c>
      <c r="C78" s="84" t="str">
        <f ca="1">VLOOKUP($B78,OFFSET([2]quests!$A$1,0,0,COUNTA([2]quests!$A:$A),MATCH(C$1,[2]quests!$1:$1,0)-MATCH($B$1,[2]quests!$1:$1,0)+1),MATCH(C$1,[2]quests!$1:$1,0)-MATCH($B$1,[2]quests!$1:$1,0)+1,FALSE)</f>
        <v>チュートリアル</v>
      </c>
      <c r="D78" s="84" t="str">
        <f ca="1">VLOOKUP($B78,OFFSET([2]quests!$A$1,0,0,COUNTA([2]quests!$A:$A),MATCH(D$1,[2]quests!$1:$1,0)-MATCH($B$1,[2]quests!$1:$1,0)+1),MATCH(D$1,[2]quests!$1:$1,0)-MATCH($B$1,[2]quests!$1:$1,0)+1,FALSE)</f>
        <v>チュートリアル</v>
      </c>
      <c r="E78" s="88" t="s">
        <v>218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8">
        <v>23</v>
      </c>
      <c r="J78" s="85" t="s">
        <v>200</v>
      </c>
      <c r="K78" s="95" t="s">
        <v>311</v>
      </c>
      <c r="L78" s="96" t="s">
        <v>312</v>
      </c>
      <c r="M78" s="57" t="s">
        <v>213</v>
      </c>
    </row>
    <row r="79" spans="1:13" x14ac:dyDescent="0.15">
      <c r="A79" s="82" t="s">
        <v>202</v>
      </c>
      <c r="B79" s="83">
        <f>floors!$C$2</f>
        <v>0</v>
      </c>
      <c r="C79" s="84" t="str">
        <f ca="1">VLOOKUP($B79,OFFSET([2]quests!$A$1,0,0,COUNTA([2]quests!$A:$A),MATCH(C$1,[2]quests!$1:$1,0)-MATCH($B$1,[2]quests!$1:$1,0)+1),MATCH(C$1,[2]quests!$1:$1,0)-MATCH($B$1,[2]quests!$1:$1,0)+1,FALSE)</f>
        <v>チュートリアル</v>
      </c>
      <c r="D79" s="84" t="str">
        <f ca="1">VLOOKUP($B79,OFFSET([2]quests!$A$1,0,0,COUNTA([2]quests!$A:$A),MATCH(D$1,[2]quests!$1:$1,0)-MATCH($B$1,[2]quests!$1:$1,0)+1),MATCH(D$1,[2]quests!$1:$1,0)-MATCH($B$1,[2]quests!$1:$1,0)+1,FALSE)</f>
        <v>チュートリアル</v>
      </c>
      <c r="E79" s="88" t="s">
        <v>218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8">
        <v>24</v>
      </c>
      <c r="J79" s="85" t="s">
        <v>200</v>
      </c>
      <c r="K79" s="95" t="s">
        <v>313</v>
      </c>
      <c r="L79" s="96" t="s">
        <v>314</v>
      </c>
      <c r="M79" s="57" t="s">
        <v>213</v>
      </c>
    </row>
    <row r="80" spans="1:13" x14ac:dyDescent="0.15">
      <c r="A80" s="82" t="s">
        <v>202</v>
      </c>
      <c r="B80" s="83">
        <f>floors!$C$2</f>
        <v>0</v>
      </c>
      <c r="C80" s="84" t="str">
        <f ca="1">VLOOKUP($B80,OFFSET([2]quests!$A$1,0,0,COUNTA([2]quests!$A:$A),MATCH(C$1,[2]quests!$1:$1,0)-MATCH($B$1,[2]quests!$1:$1,0)+1),MATCH(C$1,[2]quests!$1:$1,0)-MATCH($B$1,[2]quests!$1:$1,0)+1,FALSE)</f>
        <v>チュートリアル</v>
      </c>
      <c r="D80" s="84" t="str">
        <f ca="1">VLOOKUP($B80,OFFSET([2]quests!$A$1,0,0,COUNTA([2]quests!$A:$A),MATCH(D$1,[2]quests!$1:$1,0)-MATCH($B$1,[2]quests!$1:$1,0)+1),MATCH(D$1,[2]quests!$1:$1,0)-MATCH($B$1,[2]quests!$1:$1,0)+1,FALSE)</f>
        <v>チュートリアル</v>
      </c>
      <c r="E80" s="88" t="s">
        <v>218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8">
        <v>25</v>
      </c>
      <c r="J80" s="85" t="s">
        <v>200</v>
      </c>
      <c r="K80" s="95" t="s">
        <v>315</v>
      </c>
      <c r="L80" s="96" t="s">
        <v>316</v>
      </c>
      <c r="M80" s="57" t="s">
        <v>213</v>
      </c>
    </row>
    <row r="81" spans="1:13" x14ac:dyDescent="0.15">
      <c r="A81" s="82" t="s">
        <v>202</v>
      </c>
      <c r="B81" s="83">
        <f>floors!$C$2</f>
        <v>0</v>
      </c>
      <c r="C81" s="84" t="str">
        <f ca="1">VLOOKUP($B81,OFFSET([2]quests!$A$1,0,0,COUNTA([2]quests!$A:$A),MATCH(C$1,[2]quests!$1:$1,0)-MATCH($B$1,[2]quests!$1:$1,0)+1),MATCH(C$1,[2]quests!$1:$1,0)-MATCH($B$1,[2]quests!$1:$1,0)+1,FALSE)</f>
        <v>チュートリアル</v>
      </c>
      <c r="D81" s="84" t="str">
        <f ca="1">VLOOKUP($B81,OFFSET([2]quests!$A$1,0,0,COUNTA([2]quests!$A:$A),MATCH(D$1,[2]quests!$1:$1,0)-MATCH($B$1,[2]quests!$1:$1,0)+1),MATCH(D$1,[2]quests!$1:$1,0)-MATCH($B$1,[2]quests!$1:$1,0)+1,FALSE)</f>
        <v>チュートリアル</v>
      </c>
      <c r="E81" s="88" t="s">
        <v>218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8">
        <v>26</v>
      </c>
      <c r="J81" s="85" t="s">
        <v>200</v>
      </c>
      <c r="K81" s="95" t="s">
        <v>317</v>
      </c>
      <c r="L81" s="96" t="s">
        <v>318</v>
      </c>
      <c r="M81" s="57" t="s">
        <v>213</v>
      </c>
    </row>
    <row r="82" spans="1:13" x14ac:dyDescent="0.15">
      <c r="A82" s="82" t="s">
        <v>202</v>
      </c>
      <c r="B82" s="83">
        <f>floors!$C$2</f>
        <v>0</v>
      </c>
      <c r="C82" s="84" t="str">
        <f ca="1">VLOOKUP($B82,OFFSET([2]quests!$A$1,0,0,COUNTA([2]quests!$A:$A),MATCH(C$1,[2]quests!$1:$1,0)-MATCH($B$1,[2]quests!$1:$1,0)+1),MATCH(C$1,[2]quests!$1:$1,0)-MATCH($B$1,[2]quests!$1:$1,0)+1,FALSE)</f>
        <v>チュートリアル</v>
      </c>
      <c r="D82" s="84" t="str">
        <f ca="1">VLOOKUP($B82,OFFSET([2]quests!$A$1,0,0,COUNTA([2]quests!$A:$A),MATCH(D$1,[2]quests!$1:$1,0)-MATCH($B$1,[2]quests!$1:$1,0)+1),MATCH(D$1,[2]quests!$1:$1,0)-MATCH($B$1,[2]quests!$1:$1,0)+1,FALSE)</f>
        <v>チュートリアル</v>
      </c>
      <c r="E82" s="88" t="s">
        <v>218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8">
        <v>27</v>
      </c>
      <c r="J82" s="85" t="s">
        <v>200</v>
      </c>
      <c r="K82" s="95" t="s">
        <v>321</v>
      </c>
      <c r="L82" s="96" t="s">
        <v>322</v>
      </c>
      <c r="M82" s="57" t="s">
        <v>213</v>
      </c>
    </row>
    <row r="83" spans="1:13" x14ac:dyDescent="0.15">
      <c r="A83" s="82" t="s">
        <v>202</v>
      </c>
      <c r="B83" s="83">
        <f>floors!$C$2</f>
        <v>0</v>
      </c>
      <c r="C83" s="84" t="str">
        <f ca="1">VLOOKUP($B83,OFFSET([2]quests!$A$1,0,0,COUNTA([2]quests!$A:$A),MATCH(C$1,[2]quests!$1:$1,0)-MATCH($B$1,[2]quests!$1:$1,0)+1),MATCH(C$1,[2]quests!$1:$1,0)-MATCH($B$1,[2]quests!$1:$1,0)+1,FALSE)</f>
        <v>チュートリアル</v>
      </c>
      <c r="D83" s="84" t="str">
        <f ca="1">VLOOKUP($B83,OFFSET([2]quests!$A$1,0,0,COUNTA([2]quests!$A:$A),MATCH(D$1,[2]quests!$1:$1,0)-MATCH($B$1,[2]quests!$1:$1,0)+1),MATCH(D$1,[2]quests!$1:$1,0)-MATCH($B$1,[2]quests!$1:$1,0)+1,FALSE)</f>
        <v>チュートリアル</v>
      </c>
      <c r="E83" s="88" t="s">
        <v>218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8">
        <v>28</v>
      </c>
      <c r="J83" s="85" t="s">
        <v>200</v>
      </c>
      <c r="K83" s="95" t="s">
        <v>323</v>
      </c>
      <c r="L83" s="96" t="s">
        <v>324</v>
      </c>
      <c r="M83" s="57" t="s">
        <v>213</v>
      </c>
    </row>
    <row r="84" spans="1:13" x14ac:dyDescent="0.15">
      <c r="A84" s="82" t="s">
        <v>202</v>
      </c>
      <c r="B84" s="83">
        <f>floors!$C$2</f>
        <v>0</v>
      </c>
      <c r="C84" s="84" t="str">
        <f ca="1">VLOOKUP($B84,OFFSET([2]quests!$A$1,0,0,COUNTA([2]quests!$A:$A),MATCH(C$1,[2]quests!$1:$1,0)-MATCH($B$1,[2]quests!$1:$1,0)+1),MATCH(C$1,[2]quests!$1:$1,0)-MATCH($B$1,[2]quests!$1:$1,0)+1,FALSE)</f>
        <v>チュートリアル</v>
      </c>
      <c r="D84" s="84" t="str">
        <f ca="1">VLOOKUP($B84,OFFSET([2]quests!$A$1,0,0,COUNTA([2]quests!$A:$A),MATCH(D$1,[2]quests!$1:$1,0)-MATCH($B$1,[2]quests!$1:$1,0)+1),MATCH(D$1,[2]quests!$1:$1,0)-MATCH($B$1,[2]quests!$1:$1,0)+1,FALSE)</f>
        <v>チュートリアル</v>
      </c>
      <c r="E84" s="88" t="s">
        <v>218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8">
        <v>29</v>
      </c>
      <c r="J84" s="85" t="s">
        <v>200</v>
      </c>
      <c r="K84" s="95" t="s">
        <v>325</v>
      </c>
      <c r="L84" s="96" t="s">
        <v>326</v>
      </c>
      <c r="M84" s="57" t="s">
        <v>213</v>
      </c>
    </row>
    <row r="85" spans="1:13" x14ac:dyDescent="0.15">
      <c r="A85" s="82" t="s">
        <v>202</v>
      </c>
      <c r="B85" s="83">
        <f>floors!$C$2</f>
        <v>0</v>
      </c>
      <c r="C85" s="84" t="str">
        <f ca="1">VLOOKUP($B85,OFFSET([2]quests!$A$1,0,0,COUNTA([2]quests!$A:$A),MATCH(C$1,[2]quests!$1:$1,0)-MATCH($B$1,[2]quests!$1:$1,0)+1),MATCH(C$1,[2]quests!$1:$1,0)-MATCH($B$1,[2]quests!$1:$1,0)+1,FALSE)</f>
        <v>チュートリアル</v>
      </c>
      <c r="D85" s="84" t="str">
        <f ca="1">VLOOKUP($B85,OFFSET([2]quests!$A$1,0,0,COUNTA([2]quests!$A:$A),MATCH(D$1,[2]quests!$1:$1,0)-MATCH($B$1,[2]quests!$1:$1,0)+1),MATCH(D$1,[2]quests!$1:$1,0)-MATCH($B$1,[2]quests!$1:$1,0)+1,FALSE)</f>
        <v>チュートリアル</v>
      </c>
      <c r="E85" s="88" t="s">
        <v>218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8">
        <v>30</v>
      </c>
      <c r="J85" s="85" t="s">
        <v>200</v>
      </c>
      <c r="K85" s="95" t="s">
        <v>327</v>
      </c>
      <c r="L85" s="96" t="s">
        <v>328</v>
      </c>
      <c r="M85" s="57" t="s">
        <v>213</v>
      </c>
    </row>
    <row r="86" spans="1:13" x14ac:dyDescent="0.15">
      <c r="A86" s="82" t="s">
        <v>202</v>
      </c>
      <c r="B86" s="83">
        <f>floors!$C$2</f>
        <v>0</v>
      </c>
      <c r="C86" s="84" t="str">
        <f ca="1">VLOOKUP($B86,OFFSET([2]quests!$A$1,0,0,COUNTA([2]quests!$A:$A),MATCH(C$1,[2]quests!$1:$1,0)-MATCH($B$1,[2]quests!$1:$1,0)+1),MATCH(C$1,[2]quests!$1:$1,0)-MATCH($B$1,[2]quests!$1:$1,0)+1,FALSE)</f>
        <v>チュートリアル</v>
      </c>
      <c r="D86" s="84" t="str">
        <f ca="1">VLOOKUP($B86,OFFSET([2]quests!$A$1,0,0,COUNTA([2]quests!$A:$A),MATCH(D$1,[2]quests!$1:$1,0)-MATCH($B$1,[2]quests!$1:$1,0)+1),MATCH(D$1,[2]quests!$1:$1,0)-MATCH($B$1,[2]quests!$1:$1,0)+1,FALSE)</f>
        <v>チュートリアル</v>
      </c>
      <c r="E86" s="88" t="s">
        <v>218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8">
        <v>31</v>
      </c>
      <c r="J86" s="85" t="s">
        <v>200</v>
      </c>
      <c r="K86" s="95" t="s">
        <v>329</v>
      </c>
      <c r="L86" s="96" t="s">
        <v>330</v>
      </c>
      <c r="M86" s="57" t="s">
        <v>213</v>
      </c>
    </row>
    <row r="87" spans="1:13" x14ac:dyDescent="0.15">
      <c r="A87" s="82" t="s">
        <v>202</v>
      </c>
      <c r="B87" s="83">
        <f>floors!$C$2</f>
        <v>0</v>
      </c>
      <c r="C87" s="84" t="str">
        <f ca="1">VLOOKUP($B87,OFFSET([2]quests!$A$1,0,0,COUNTA([2]quests!$A:$A),MATCH(C$1,[2]quests!$1:$1,0)-MATCH($B$1,[2]quests!$1:$1,0)+1),MATCH(C$1,[2]quests!$1:$1,0)-MATCH($B$1,[2]quests!$1:$1,0)+1,FALSE)</f>
        <v>チュートリアル</v>
      </c>
      <c r="D87" s="84" t="str">
        <f ca="1">VLOOKUP($B87,OFFSET([2]quests!$A$1,0,0,COUNTA([2]quests!$A:$A),MATCH(D$1,[2]quests!$1:$1,0)-MATCH($B$1,[2]quests!$1:$1,0)+1),MATCH(D$1,[2]quests!$1:$1,0)-MATCH($B$1,[2]quests!$1:$1,0)+1,FALSE)</f>
        <v>チュートリアル</v>
      </c>
      <c r="E87" s="88" t="s">
        <v>218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8">
        <v>32</v>
      </c>
      <c r="J87" s="85" t="s">
        <v>200</v>
      </c>
      <c r="K87" s="95" t="s">
        <v>331</v>
      </c>
      <c r="L87" s="96" t="s">
        <v>332</v>
      </c>
      <c r="M87" s="57" t="s">
        <v>213</v>
      </c>
    </row>
    <row r="88" spans="1:13" x14ac:dyDescent="0.15">
      <c r="A88" s="82" t="s">
        <v>202</v>
      </c>
      <c r="B88" s="83">
        <f>floors!$C$2</f>
        <v>0</v>
      </c>
      <c r="C88" s="84" t="str">
        <f ca="1">VLOOKUP($B88,OFFSET([2]quests!$A$1,0,0,COUNTA([2]quests!$A:$A),MATCH(C$1,[2]quests!$1:$1,0)-MATCH($B$1,[2]quests!$1:$1,0)+1),MATCH(C$1,[2]quests!$1:$1,0)-MATCH($B$1,[2]quests!$1:$1,0)+1,FALSE)</f>
        <v>チュートリアル</v>
      </c>
      <c r="D88" s="84" t="str">
        <f ca="1">VLOOKUP($B88,OFFSET([2]quests!$A$1,0,0,COUNTA([2]quests!$A:$A),MATCH(D$1,[2]quests!$1:$1,0)-MATCH($B$1,[2]quests!$1:$1,0)+1),MATCH(D$1,[2]quests!$1:$1,0)-MATCH($B$1,[2]quests!$1:$1,0)+1,FALSE)</f>
        <v>チュートリアル</v>
      </c>
      <c r="E88" s="88" t="s">
        <v>218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8">
        <v>33</v>
      </c>
      <c r="J88" s="85" t="s">
        <v>200</v>
      </c>
      <c r="K88" s="95" t="s">
        <v>333</v>
      </c>
      <c r="L88" s="96" t="s">
        <v>334</v>
      </c>
      <c r="M88" s="57" t="s">
        <v>213</v>
      </c>
    </row>
    <row r="89" spans="1:13" x14ac:dyDescent="0.15">
      <c r="A89" s="82" t="s">
        <v>202</v>
      </c>
      <c r="B89" s="83">
        <f>floors!$C$2</f>
        <v>0</v>
      </c>
      <c r="C89" s="84" t="str">
        <f ca="1">VLOOKUP($B89,OFFSET([2]quests!$A$1,0,0,COUNTA([2]quests!$A:$A),MATCH(C$1,[2]quests!$1:$1,0)-MATCH($B$1,[2]quests!$1:$1,0)+1),MATCH(C$1,[2]quests!$1:$1,0)-MATCH($B$1,[2]quests!$1:$1,0)+1,FALSE)</f>
        <v>チュートリアル</v>
      </c>
      <c r="D89" s="84" t="str">
        <f ca="1">VLOOKUP($B89,OFFSET([2]quests!$A$1,0,0,COUNTA([2]quests!$A:$A),MATCH(D$1,[2]quests!$1:$1,0)-MATCH($B$1,[2]quests!$1:$1,0)+1),MATCH(D$1,[2]quests!$1:$1,0)-MATCH($B$1,[2]quests!$1:$1,0)+1,FALSE)</f>
        <v>チュートリアル</v>
      </c>
      <c r="E89" s="88" t="s">
        <v>218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8">
        <v>34</v>
      </c>
      <c r="J89" s="85" t="s">
        <v>200</v>
      </c>
      <c r="K89" s="95" t="s">
        <v>335</v>
      </c>
      <c r="L89" s="96" t="s">
        <v>336</v>
      </c>
      <c r="M89" s="57" t="s">
        <v>213</v>
      </c>
    </row>
    <row r="90" spans="1:13" x14ac:dyDescent="0.15">
      <c r="A90" s="82" t="s">
        <v>202</v>
      </c>
      <c r="B90" s="83">
        <f>floors!$C$2</f>
        <v>0</v>
      </c>
      <c r="C90" s="84" t="str">
        <f ca="1">VLOOKUP($B90,OFFSET([2]quests!$A$1,0,0,COUNTA([2]quests!$A:$A),MATCH(C$1,[2]quests!$1:$1,0)-MATCH($B$1,[2]quests!$1:$1,0)+1),MATCH(C$1,[2]quests!$1:$1,0)-MATCH($B$1,[2]quests!$1:$1,0)+1,FALSE)</f>
        <v>チュートリアル</v>
      </c>
      <c r="D90" s="84" t="str">
        <f ca="1">VLOOKUP($B90,OFFSET([2]quests!$A$1,0,0,COUNTA([2]quests!$A:$A),MATCH(D$1,[2]quests!$1:$1,0)-MATCH($B$1,[2]quests!$1:$1,0)+1),MATCH(D$1,[2]quests!$1:$1,0)-MATCH($B$1,[2]quests!$1:$1,0)+1,FALSE)</f>
        <v>チュートリアル</v>
      </c>
      <c r="E90" s="88" t="s">
        <v>218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8">
        <v>35</v>
      </c>
      <c r="J90" s="85" t="s">
        <v>200</v>
      </c>
      <c r="K90" s="95" t="s">
        <v>337</v>
      </c>
      <c r="L90" s="96" t="s">
        <v>338</v>
      </c>
      <c r="M90" s="57" t="s">
        <v>213</v>
      </c>
    </row>
    <row r="91" spans="1:13" x14ac:dyDescent="0.15">
      <c r="A91" s="82" t="s">
        <v>202</v>
      </c>
      <c r="B91" s="83">
        <f>floors!$C$2</f>
        <v>0</v>
      </c>
      <c r="C91" s="84" t="str">
        <f ca="1">VLOOKUP($B91,OFFSET([2]quests!$A$1,0,0,COUNTA([2]quests!$A:$A),MATCH(C$1,[2]quests!$1:$1,0)-MATCH($B$1,[2]quests!$1:$1,0)+1),MATCH(C$1,[2]quests!$1:$1,0)-MATCH($B$1,[2]quests!$1:$1,0)+1,FALSE)</f>
        <v>チュートリアル</v>
      </c>
      <c r="D91" s="84" t="str">
        <f ca="1">VLOOKUP($B91,OFFSET([2]quests!$A$1,0,0,COUNTA([2]quests!$A:$A),MATCH(D$1,[2]quests!$1:$1,0)-MATCH($B$1,[2]quests!$1:$1,0)+1),MATCH(D$1,[2]quests!$1:$1,0)-MATCH($B$1,[2]quests!$1:$1,0)+1,FALSE)</f>
        <v>チュートリアル</v>
      </c>
      <c r="E91" s="88" t="s">
        <v>218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8">
        <v>36</v>
      </c>
      <c r="J91" s="85" t="s">
        <v>200</v>
      </c>
      <c r="K91" s="95" t="s">
        <v>339</v>
      </c>
      <c r="L91" s="96" t="s">
        <v>340</v>
      </c>
      <c r="M91" s="57" t="s">
        <v>213</v>
      </c>
    </row>
    <row r="92" spans="1:13" x14ac:dyDescent="0.15">
      <c r="A92" s="82" t="s">
        <v>202</v>
      </c>
      <c r="B92" s="83">
        <f>floors!$C$2</f>
        <v>0</v>
      </c>
      <c r="C92" s="84" t="str">
        <f ca="1">VLOOKUP($B92,OFFSET([2]quests!$A$1,0,0,COUNTA([2]quests!$A:$A),MATCH(C$1,[2]quests!$1:$1,0)-MATCH($B$1,[2]quests!$1:$1,0)+1),MATCH(C$1,[2]quests!$1:$1,0)-MATCH($B$1,[2]quests!$1:$1,0)+1,FALSE)</f>
        <v>チュートリアル</v>
      </c>
      <c r="D92" s="84" t="str">
        <f ca="1">VLOOKUP($B92,OFFSET([2]quests!$A$1,0,0,COUNTA([2]quests!$A:$A),MATCH(D$1,[2]quests!$1:$1,0)-MATCH($B$1,[2]quests!$1:$1,0)+1),MATCH(D$1,[2]quests!$1:$1,0)-MATCH($B$1,[2]quests!$1:$1,0)+1,FALSE)</f>
        <v>チュートリアル</v>
      </c>
      <c r="E92" s="88" t="s">
        <v>218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8">
        <v>37</v>
      </c>
      <c r="J92" s="85" t="s">
        <v>200</v>
      </c>
      <c r="K92" s="95" t="s">
        <v>341</v>
      </c>
      <c r="L92" s="96" t="s">
        <v>342</v>
      </c>
      <c r="M92" s="57" t="s">
        <v>213</v>
      </c>
    </row>
    <row r="93" spans="1:13" x14ac:dyDescent="0.15">
      <c r="A93" s="82" t="s">
        <v>202</v>
      </c>
      <c r="B93" s="83">
        <f>floors!$C$2</f>
        <v>0</v>
      </c>
      <c r="C93" s="84" t="str">
        <f ca="1">VLOOKUP($B93,OFFSET([2]quests!$A$1,0,0,COUNTA([2]quests!$A:$A),MATCH(C$1,[2]quests!$1:$1,0)-MATCH($B$1,[2]quests!$1:$1,0)+1),MATCH(C$1,[2]quests!$1:$1,0)-MATCH($B$1,[2]quests!$1:$1,0)+1,FALSE)</f>
        <v>チュートリアル</v>
      </c>
      <c r="D93" s="84" t="str">
        <f ca="1">VLOOKUP($B93,OFFSET([2]quests!$A$1,0,0,COUNTA([2]quests!$A:$A),MATCH(D$1,[2]quests!$1:$1,0)-MATCH($B$1,[2]quests!$1:$1,0)+1),MATCH(D$1,[2]quests!$1:$1,0)-MATCH($B$1,[2]quests!$1:$1,0)+1,FALSE)</f>
        <v>チュートリアル</v>
      </c>
      <c r="E93" s="88" t="s">
        <v>218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8">
        <v>39</v>
      </c>
      <c r="J93" s="85" t="s">
        <v>200</v>
      </c>
      <c r="K93" s="95" t="s">
        <v>319</v>
      </c>
      <c r="L93" s="96" t="s">
        <v>320</v>
      </c>
      <c r="M93" s="57" t="s">
        <v>213</v>
      </c>
    </row>
    <row r="94" spans="1:13" x14ac:dyDescent="0.15">
      <c r="A94" s="82" t="s">
        <v>202</v>
      </c>
      <c r="B94" s="83">
        <f>floors!$C$2</f>
        <v>0</v>
      </c>
      <c r="C94" s="84" t="str">
        <f ca="1">VLOOKUP($B94,OFFSET([2]quests!$A$1,0,0,COUNTA([2]quests!$A:$A),MATCH(C$1,[2]quests!$1:$1,0)-MATCH($B$1,[2]quests!$1:$1,0)+1),MATCH(C$1,[2]quests!$1:$1,0)-MATCH($B$1,[2]quests!$1:$1,0)+1,FALSE)</f>
        <v>チュートリアル</v>
      </c>
      <c r="D94" s="84" t="str">
        <f ca="1">VLOOKUP($B94,OFFSET([2]quests!$A$1,0,0,COUNTA([2]quests!$A:$A),MATCH(D$1,[2]quests!$1:$1,0)-MATCH($B$1,[2]quests!$1:$1,0)+1),MATCH(D$1,[2]quests!$1:$1,0)-MATCH($B$1,[2]quests!$1:$1,0)+1,FALSE)</f>
        <v>チュートリアル</v>
      </c>
      <c r="E94" s="88" t="s">
        <v>219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200</v>
      </c>
      <c r="K94" s="95" t="s">
        <v>289</v>
      </c>
      <c r="L94" s="96" t="s">
        <v>290</v>
      </c>
      <c r="M94" s="57" t="s">
        <v>213</v>
      </c>
    </row>
    <row r="95" spans="1:13" x14ac:dyDescent="0.15">
      <c r="A95" s="82" t="s">
        <v>202</v>
      </c>
      <c r="B95" s="83">
        <f>floors!$C$2</f>
        <v>0</v>
      </c>
      <c r="C95" s="84" t="str">
        <f ca="1">VLOOKUP($B95,OFFSET([2]quests!$A$1,0,0,COUNTA([2]quests!$A:$A),MATCH(C$1,[2]quests!$1:$1,0)-MATCH($B$1,[2]quests!$1:$1,0)+1),MATCH(C$1,[2]quests!$1:$1,0)-MATCH($B$1,[2]quests!$1:$1,0)+1,FALSE)</f>
        <v>チュートリアル</v>
      </c>
      <c r="D95" s="84" t="str">
        <f ca="1">VLOOKUP($B95,OFFSET([2]quests!$A$1,0,0,COUNTA([2]quests!$A:$A),MATCH(D$1,[2]quests!$1:$1,0)-MATCH($B$1,[2]quests!$1:$1,0)+1),MATCH(D$1,[2]quests!$1:$1,0)-MATCH($B$1,[2]quests!$1:$1,0)+1,FALSE)</f>
        <v>チュートリアル</v>
      </c>
      <c r="E95" s="88" t="s">
        <v>219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200</v>
      </c>
      <c r="K95" s="95" t="s">
        <v>299</v>
      </c>
      <c r="L95" s="96" t="s">
        <v>300</v>
      </c>
      <c r="M95" s="57" t="s">
        <v>213</v>
      </c>
    </row>
    <row r="96" spans="1:13" x14ac:dyDescent="0.15">
      <c r="A96" s="82" t="s">
        <v>202</v>
      </c>
      <c r="B96" s="83">
        <f>floors!$C$2</f>
        <v>0</v>
      </c>
      <c r="C96" s="84" t="str">
        <f ca="1">VLOOKUP($B96,OFFSET([2]quests!$A$1,0,0,COUNTA([2]quests!$A:$A),MATCH(C$1,[2]quests!$1:$1,0)-MATCH($B$1,[2]quests!$1:$1,0)+1),MATCH(C$1,[2]quests!$1:$1,0)-MATCH($B$1,[2]quests!$1:$1,0)+1,FALSE)</f>
        <v>チュートリアル</v>
      </c>
      <c r="D96" s="84" t="str">
        <f ca="1">VLOOKUP($B96,OFFSET([2]quests!$A$1,0,0,COUNTA([2]quests!$A:$A),MATCH(D$1,[2]quests!$1:$1,0)-MATCH($B$1,[2]quests!$1:$1,0)+1),MATCH(D$1,[2]quests!$1:$1,0)-MATCH($B$1,[2]quests!$1:$1,0)+1,FALSE)</f>
        <v>チュートリアル</v>
      </c>
      <c r="E96" s="88" t="s">
        <v>219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200</v>
      </c>
      <c r="K96" s="95" t="s">
        <v>303</v>
      </c>
      <c r="L96" s="96" t="s">
        <v>304</v>
      </c>
      <c r="M96" s="57" t="s">
        <v>213</v>
      </c>
    </row>
    <row r="97" spans="1:13" x14ac:dyDescent="0.15">
      <c r="A97" s="82" t="s">
        <v>202</v>
      </c>
      <c r="B97" s="83">
        <f>floors!$C$2</f>
        <v>0</v>
      </c>
      <c r="C97" s="84" t="str">
        <f ca="1">VLOOKUP($B97,OFFSET([2]quests!$A$1,0,0,COUNTA([2]quests!$A:$A),MATCH(C$1,[2]quests!$1:$1,0)-MATCH($B$1,[2]quests!$1:$1,0)+1),MATCH(C$1,[2]quests!$1:$1,0)-MATCH($B$1,[2]quests!$1:$1,0)+1,FALSE)</f>
        <v>チュートリアル</v>
      </c>
      <c r="D97" s="84" t="str">
        <f ca="1">VLOOKUP($B97,OFFSET([2]quests!$A$1,0,0,COUNTA([2]quests!$A:$A),MATCH(D$1,[2]quests!$1:$1,0)-MATCH($B$1,[2]quests!$1:$1,0)+1),MATCH(D$1,[2]quests!$1:$1,0)-MATCH($B$1,[2]quests!$1:$1,0)+1,FALSE)</f>
        <v>チュートリアル</v>
      </c>
      <c r="E97" s="88" t="s">
        <v>219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200</v>
      </c>
      <c r="K97" s="95" t="s">
        <v>307</v>
      </c>
      <c r="L97" s="96" t="s">
        <v>308</v>
      </c>
      <c r="M97" s="57" t="s">
        <v>213</v>
      </c>
    </row>
    <row r="98" spans="1:13" x14ac:dyDescent="0.15">
      <c r="A98" s="82" t="s">
        <v>202</v>
      </c>
      <c r="B98" s="83">
        <f>floors!$C$2</f>
        <v>0</v>
      </c>
      <c r="C98" s="84" t="str">
        <f ca="1">VLOOKUP($B98,OFFSET([2]quests!$A$1,0,0,COUNTA([2]quests!$A:$A),MATCH(C$1,[2]quests!$1:$1,0)-MATCH($B$1,[2]quests!$1:$1,0)+1),MATCH(C$1,[2]quests!$1:$1,0)-MATCH($B$1,[2]quests!$1:$1,0)+1,FALSE)</f>
        <v>チュートリアル</v>
      </c>
      <c r="D98" s="84" t="str">
        <f ca="1">VLOOKUP($B98,OFFSET([2]quests!$A$1,0,0,COUNTA([2]quests!$A:$A),MATCH(D$1,[2]quests!$1:$1,0)-MATCH($B$1,[2]quests!$1:$1,0)+1),MATCH(D$1,[2]quests!$1:$1,0)-MATCH($B$1,[2]quests!$1:$1,0)+1,FALSE)</f>
        <v>チュートリアル</v>
      </c>
      <c r="E98" s="88" t="s">
        <v>219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200</v>
      </c>
      <c r="K98" s="95" t="s">
        <v>321</v>
      </c>
      <c r="L98" s="96" t="s">
        <v>322</v>
      </c>
      <c r="M98" s="57" t="s">
        <v>213</v>
      </c>
    </row>
    <row r="99" spans="1:13" x14ac:dyDescent="0.15">
      <c r="A99" s="82" t="s">
        <v>202</v>
      </c>
      <c r="B99" s="83">
        <f>floors!$C$2</f>
        <v>0</v>
      </c>
      <c r="C99" s="84" t="str">
        <f ca="1">VLOOKUP($B99,OFFSET([2]quests!$A$1,0,0,COUNTA([2]quests!$A:$A),MATCH(C$1,[2]quests!$1:$1,0)-MATCH($B$1,[2]quests!$1:$1,0)+1),MATCH(C$1,[2]quests!$1:$1,0)-MATCH($B$1,[2]quests!$1:$1,0)+1,FALSE)</f>
        <v>チュートリアル</v>
      </c>
      <c r="D99" s="84" t="str">
        <f ca="1">VLOOKUP($B99,OFFSET([2]quests!$A$1,0,0,COUNTA([2]quests!$A:$A),MATCH(D$1,[2]quests!$1:$1,0)-MATCH($B$1,[2]quests!$1:$1,0)+1),MATCH(D$1,[2]quests!$1:$1,0)-MATCH($B$1,[2]quests!$1:$1,0)+1,FALSE)</f>
        <v>チュートリアル</v>
      </c>
      <c r="E99" s="88" t="s">
        <v>219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200</v>
      </c>
      <c r="K99" s="95" t="s">
        <v>323</v>
      </c>
      <c r="L99" s="96" t="s">
        <v>324</v>
      </c>
      <c r="M99" s="57" t="s">
        <v>213</v>
      </c>
    </row>
    <row r="100" spans="1:13" x14ac:dyDescent="0.15">
      <c r="A100" s="82" t="s">
        <v>202</v>
      </c>
      <c r="B100" s="83">
        <f>floors!$C$2</f>
        <v>0</v>
      </c>
      <c r="C100" s="84" t="str">
        <f ca="1">VLOOKUP($B100,OFFSET([2]quests!$A$1,0,0,COUNTA([2]quests!$A:$A),MATCH(C$1,[2]quests!$1:$1,0)-MATCH($B$1,[2]quests!$1:$1,0)+1),MATCH(C$1,[2]quests!$1:$1,0)-MATCH($B$1,[2]quests!$1:$1,0)+1,FALSE)</f>
        <v>チュートリアル</v>
      </c>
      <c r="D100" s="84" t="str">
        <f ca="1">VLOOKUP($B100,OFFSET([2]quests!$A$1,0,0,COUNTA([2]quests!$A:$A),MATCH(D$1,[2]quests!$1:$1,0)-MATCH($B$1,[2]quests!$1:$1,0)+1),MATCH(D$1,[2]quests!$1:$1,0)-MATCH($B$1,[2]quests!$1:$1,0)+1,FALSE)</f>
        <v>チュートリアル</v>
      </c>
      <c r="E100" s="88" t="s">
        <v>219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200</v>
      </c>
      <c r="K100" s="95" t="s">
        <v>325</v>
      </c>
      <c r="L100" s="96" t="s">
        <v>326</v>
      </c>
      <c r="M100" s="57" t="s">
        <v>213</v>
      </c>
    </row>
    <row r="101" spans="1:13" x14ac:dyDescent="0.15">
      <c r="A101" s="82" t="s">
        <v>202</v>
      </c>
      <c r="B101" s="83">
        <f>floors!$C$2</f>
        <v>0</v>
      </c>
      <c r="C101" s="84" t="str">
        <f ca="1">VLOOKUP($B101,OFFSET([2]quests!$A$1,0,0,COUNTA([2]quests!$A:$A),MATCH(C$1,[2]quests!$1:$1,0)-MATCH($B$1,[2]quests!$1:$1,0)+1),MATCH(C$1,[2]quests!$1:$1,0)-MATCH($B$1,[2]quests!$1:$1,0)+1,FALSE)</f>
        <v>チュートリアル</v>
      </c>
      <c r="D101" s="84" t="str">
        <f ca="1">VLOOKUP($B101,OFFSET([2]quests!$A$1,0,0,COUNTA([2]quests!$A:$A),MATCH(D$1,[2]quests!$1:$1,0)-MATCH($B$1,[2]quests!$1:$1,0)+1),MATCH(D$1,[2]quests!$1:$1,0)-MATCH($B$1,[2]quests!$1:$1,0)+1,FALSE)</f>
        <v>チュートリアル</v>
      </c>
      <c r="E101" s="88" t="s">
        <v>219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200</v>
      </c>
      <c r="K101" s="95" t="s">
        <v>327</v>
      </c>
      <c r="L101" s="96" t="s">
        <v>328</v>
      </c>
      <c r="M101" s="57" t="s">
        <v>213</v>
      </c>
    </row>
    <row r="102" spans="1:13" x14ac:dyDescent="0.15">
      <c r="A102" s="82" t="s">
        <v>202</v>
      </c>
      <c r="B102" s="83">
        <f>floors!$C$2</f>
        <v>0</v>
      </c>
      <c r="C102" s="84" t="str">
        <f ca="1">VLOOKUP($B102,OFFSET([2]quests!$A$1,0,0,COUNTA([2]quests!$A:$A),MATCH(C$1,[2]quests!$1:$1,0)-MATCH($B$1,[2]quests!$1:$1,0)+1),MATCH(C$1,[2]quests!$1:$1,0)-MATCH($B$1,[2]quests!$1:$1,0)+1,FALSE)</f>
        <v>チュートリアル</v>
      </c>
      <c r="D102" s="84" t="str">
        <f ca="1">VLOOKUP($B102,OFFSET([2]quests!$A$1,0,0,COUNTA([2]quests!$A:$A),MATCH(D$1,[2]quests!$1:$1,0)-MATCH($B$1,[2]quests!$1:$1,0)+1),MATCH(D$1,[2]quests!$1:$1,0)-MATCH($B$1,[2]quests!$1:$1,0)+1,FALSE)</f>
        <v>チュートリアル</v>
      </c>
      <c r="E102" s="88" t="s">
        <v>219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200</v>
      </c>
      <c r="K102" s="95" t="s">
        <v>331</v>
      </c>
      <c r="L102" s="96" t="s">
        <v>332</v>
      </c>
      <c r="M102" s="57" t="s">
        <v>213</v>
      </c>
    </row>
    <row r="103" spans="1:13" x14ac:dyDescent="0.15">
      <c r="A103" s="82" t="s">
        <v>202</v>
      </c>
      <c r="B103" s="83">
        <f>floors!$C$2</f>
        <v>0</v>
      </c>
      <c r="C103" s="84" t="str">
        <f ca="1">VLOOKUP($B103,OFFSET([2]quests!$A$1,0,0,COUNTA([2]quests!$A:$A),MATCH(C$1,[2]quests!$1:$1,0)-MATCH($B$1,[2]quests!$1:$1,0)+1),MATCH(C$1,[2]quests!$1:$1,0)-MATCH($B$1,[2]quests!$1:$1,0)+1,FALSE)</f>
        <v>チュートリアル</v>
      </c>
      <c r="D103" s="84" t="str">
        <f ca="1">VLOOKUP($B103,OFFSET([2]quests!$A$1,0,0,COUNTA([2]quests!$A:$A),MATCH(D$1,[2]quests!$1:$1,0)-MATCH($B$1,[2]quests!$1:$1,0)+1),MATCH(D$1,[2]quests!$1:$1,0)-MATCH($B$1,[2]quests!$1:$1,0)+1,FALSE)</f>
        <v>チュートリアル</v>
      </c>
      <c r="E103" s="88" t="s">
        <v>219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200</v>
      </c>
      <c r="K103" s="95" t="s">
        <v>333</v>
      </c>
      <c r="L103" s="96" t="s">
        <v>334</v>
      </c>
      <c r="M103" s="57" t="s">
        <v>213</v>
      </c>
    </row>
    <row r="104" spans="1:13" x14ac:dyDescent="0.15">
      <c r="A104" s="82" t="s">
        <v>202</v>
      </c>
      <c r="B104" s="83">
        <f>floors!$C$2</f>
        <v>0</v>
      </c>
      <c r="C104" s="84" t="str">
        <f ca="1">VLOOKUP($B104,OFFSET([2]quests!$A$1,0,0,COUNTA([2]quests!$A:$A),MATCH(C$1,[2]quests!$1:$1,0)-MATCH($B$1,[2]quests!$1:$1,0)+1),MATCH(C$1,[2]quests!$1:$1,0)-MATCH($B$1,[2]quests!$1:$1,0)+1,FALSE)</f>
        <v>チュートリアル</v>
      </c>
      <c r="D104" s="84" t="str">
        <f ca="1">VLOOKUP($B104,OFFSET([2]quests!$A$1,0,0,COUNTA([2]quests!$A:$A),MATCH(D$1,[2]quests!$1:$1,0)-MATCH($B$1,[2]quests!$1:$1,0)+1),MATCH(D$1,[2]quests!$1:$1,0)-MATCH($B$1,[2]quests!$1:$1,0)+1,FALSE)</f>
        <v>チュートリアル</v>
      </c>
      <c r="E104" s="88" t="s">
        <v>219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200</v>
      </c>
      <c r="K104" s="95" t="s">
        <v>335</v>
      </c>
      <c r="L104" s="96" t="s">
        <v>336</v>
      </c>
      <c r="M104" s="57" t="s">
        <v>213</v>
      </c>
    </row>
    <row r="105" spans="1:13" x14ac:dyDescent="0.15">
      <c r="A105" s="82" t="s">
        <v>202</v>
      </c>
      <c r="B105" s="83">
        <f>floors!$C$2</f>
        <v>0</v>
      </c>
      <c r="C105" s="84" t="str">
        <f ca="1">VLOOKUP($B105,OFFSET([2]quests!$A$1,0,0,COUNTA([2]quests!$A:$A),MATCH(C$1,[2]quests!$1:$1,0)-MATCH($B$1,[2]quests!$1:$1,0)+1),MATCH(C$1,[2]quests!$1:$1,0)-MATCH($B$1,[2]quests!$1:$1,0)+1,FALSE)</f>
        <v>チュートリアル</v>
      </c>
      <c r="D105" s="84" t="str">
        <f ca="1">VLOOKUP($B105,OFFSET([2]quests!$A$1,0,0,COUNTA([2]quests!$A:$A),MATCH(D$1,[2]quests!$1:$1,0)-MATCH($B$1,[2]quests!$1:$1,0)+1),MATCH(D$1,[2]quests!$1:$1,0)-MATCH($B$1,[2]quests!$1:$1,0)+1,FALSE)</f>
        <v>チュートリアル</v>
      </c>
      <c r="E105" s="88" t="s">
        <v>219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200</v>
      </c>
      <c r="K105" s="95" t="s">
        <v>337</v>
      </c>
      <c r="L105" s="96" t="s">
        <v>338</v>
      </c>
      <c r="M105" s="57" t="s">
        <v>213</v>
      </c>
    </row>
    <row r="106" spans="1:13" x14ac:dyDescent="0.15">
      <c r="A106" s="82" t="s">
        <v>202</v>
      </c>
      <c r="B106" s="83">
        <f>floors!$C$2</f>
        <v>0</v>
      </c>
      <c r="C106" s="84" t="str">
        <f ca="1">VLOOKUP($B106,OFFSET([2]quests!$A$1,0,0,COUNTA([2]quests!$A:$A),MATCH(C$1,[2]quests!$1:$1,0)-MATCH($B$1,[2]quests!$1:$1,0)+1),MATCH(C$1,[2]quests!$1:$1,0)-MATCH($B$1,[2]quests!$1:$1,0)+1,FALSE)</f>
        <v>チュートリアル</v>
      </c>
      <c r="D106" s="84" t="str">
        <f ca="1">VLOOKUP($B106,OFFSET([2]quests!$A$1,0,0,COUNTA([2]quests!$A:$A),MATCH(D$1,[2]quests!$1:$1,0)-MATCH($B$1,[2]quests!$1:$1,0)+1),MATCH(D$1,[2]quests!$1:$1,0)-MATCH($B$1,[2]quests!$1:$1,0)+1,FALSE)</f>
        <v>チュートリアル</v>
      </c>
      <c r="E106" s="88" t="s">
        <v>219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200</v>
      </c>
      <c r="K106" s="95" t="s">
        <v>339</v>
      </c>
      <c r="L106" s="96" t="s">
        <v>340</v>
      </c>
      <c r="M106" s="57" t="s">
        <v>213</v>
      </c>
    </row>
    <row r="107" spans="1:13" x14ac:dyDescent="0.15">
      <c r="A107" s="82" t="s">
        <v>202</v>
      </c>
      <c r="B107" s="83">
        <f>floors!$C$2</f>
        <v>0</v>
      </c>
      <c r="C107" s="84" t="str">
        <f ca="1">VLOOKUP($B107,OFFSET([2]quests!$A$1,0,0,COUNTA([2]quests!$A:$A),MATCH(C$1,[2]quests!$1:$1,0)-MATCH($B$1,[2]quests!$1:$1,0)+1),MATCH(C$1,[2]quests!$1:$1,0)-MATCH($B$1,[2]quests!$1:$1,0)+1,FALSE)</f>
        <v>チュートリアル</v>
      </c>
      <c r="D107" s="84" t="str">
        <f ca="1">VLOOKUP($B107,OFFSET([2]quests!$A$1,0,0,COUNTA([2]quests!$A:$A),MATCH(D$1,[2]quests!$1:$1,0)-MATCH($B$1,[2]quests!$1:$1,0)+1),MATCH(D$1,[2]quests!$1:$1,0)-MATCH($B$1,[2]quests!$1:$1,0)+1,FALSE)</f>
        <v>チュートリアル</v>
      </c>
      <c r="E107" s="88" t="s">
        <v>219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200</v>
      </c>
      <c r="K107" s="95" t="s">
        <v>341</v>
      </c>
      <c r="L107" s="96" t="s">
        <v>342</v>
      </c>
      <c r="M107" s="57" t="s">
        <v>213</v>
      </c>
    </row>
    <row r="108" spans="1:13" x14ac:dyDescent="0.15">
      <c r="A108" s="82" t="s">
        <v>202</v>
      </c>
      <c r="B108" s="83">
        <f>floors!$C$2</f>
        <v>0</v>
      </c>
      <c r="C108" s="84" t="str">
        <f ca="1">VLOOKUP($B108,OFFSET([2]quests!$A$1,0,0,COUNTA([2]quests!$A:$A),MATCH(C$1,[2]quests!$1:$1,0)-MATCH($B$1,[2]quests!$1:$1,0)+1),MATCH(C$1,[2]quests!$1:$1,0)-MATCH($B$1,[2]quests!$1:$1,0)+1,FALSE)</f>
        <v>チュートリアル</v>
      </c>
      <c r="D108" s="84" t="str">
        <f ca="1">VLOOKUP($B108,OFFSET([2]quests!$A$1,0,0,COUNTA([2]quests!$A:$A),MATCH(D$1,[2]quests!$1:$1,0)-MATCH($B$1,[2]quests!$1:$1,0)+1),MATCH(D$1,[2]quests!$1:$1,0)-MATCH($B$1,[2]quests!$1:$1,0)+1,FALSE)</f>
        <v>チュートリアル</v>
      </c>
      <c r="E108" s="88" t="s">
        <v>219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200</v>
      </c>
      <c r="K108" s="95" t="s">
        <v>319</v>
      </c>
      <c r="L108" s="96" t="s">
        <v>320</v>
      </c>
      <c r="M108" s="57" t="s">
        <v>213</v>
      </c>
    </row>
    <row r="109" spans="1:13" x14ac:dyDescent="0.15">
      <c r="A109" s="82" t="s">
        <v>202</v>
      </c>
      <c r="B109" s="83">
        <f>floors!$C$2</f>
        <v>0</v>
      </c>
      <c r="C109" s="84" t="str">
        <f ca="1">VLOOKUP($B109,OFFSET([2]quests!$A$1,0,0,COUNTA([2]quests!$A:$A),MATCH(C$1,[2]quests!$1:$1,0)-MATCH($B$1,[2]quests!$1:$1,0)+1),MATCH(C$1,[2]quests!$1:$1,0)-MATCH($B$1,[2]quests!$1:$1,0)+1,FALSE)</f>
        <v>チュートリアル</v>
      </c>
      <c r="D109" s="84" t="str">
        <f ca="1">VLOOKUP($B109,OFFSET([2]quests!$A$1,0,0,COUNTA([2]quests!$A:$A),MATCH(D$1,[2]quests!$1:$1,0)-MATCH($B$1,[2]quests!$1:$1,0)+1),MATCH(D$1,[2]quests!$1:$1,0)-MATCH($B$1,[2]quests!$1:$1,0)+1,FALSE)</f>
        <v>チュートリアル</v>
      </c>
      <c r="E109" s="88" t="s">
        <v>220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200</v>
      </c>
      <c r="K109" s="95" t="s">
        <v>289</v>
      </c>
      <c r="L109" s="96" t="s">
        <v>290</v>
      </c>
      <c r="M109" s="57" t="s">
        <v>213</v>
      </c>
    </row>
    <row r="110" spans="1:13" x14ac:dyDescent="0.15">
      <c r="A110" s="82" t="s">
        <v>202</v>
      </c>
      <c r="B110" s="83">
        <f>floors!$C$2</f>
        <v>0</v>
      </c>
      <c r="C110" s="84" t="str">
        <f ca="1">VLOOKUP($B110,OFFSET([2]quests!$A$1,0,0,COUNTA([2]quests!$A:$A),MATCH(C$1,[2]quests!$1:$1,0)-MATCH($B$1,[2]quests!$1:$1,0)+1),MATCH(C$1,[2]quests!$1:$1,0)-MATCH($B$1,[2]quests!$1:$1,0)+1,FALSE)</f>
        <v>チュートリアル</v>
      </c>
      <c r="D110" s="84" t="str">
        <f ca="1">VLOOKUP($B110,OFFSET([2]quests!$A$1,0,0,COUNTA([2]quests!$A:$A),MATCH(D$1,[2]quests!$1:$1,0)-MATCH($B$1,[2]quests!$1:$1,0)+1),MATCH(D$1,[2]quests!$1:$1,0)-MATCH($B$1,[2]quests!$1:$1,0)+1,FALSE)</f>
        <v>チュートリアル</v>
      </c>
      <c r="E110" s="88" t="s">
        <v>220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200</v>
      </c>
      <c r="K110" s="95" t="s">
        <v>299</v>
      </c>
      <c r="L110" s="96" t="s">
        <v>300</v>
      </c>
      <c r="M110" s="57" t="s">
        <v>213</v>
      </c>
    </row>
    <row r="111" spans="1:13" x14ac:dyDescent="0.15">
      <c r="A111" s="82" t="s">
        <v>202</v>
      </c>
      <c r="B111" s="83">
        <f>floors!$C$2</f>
        <v>0</v>
      </c>
      <c r="C111" s="84" t="str">
        <f ca="1">VLOOKUP($B111,OFFSET([2]quests!$A$1,0,0,COUNTA([2]quests!$A:$A),MATCH(C$1,[2]quests!$1:$1,0)-MATCH($B$1,[2]quests!$1:$1,0)+1),MATCH(C$1,[2]quests!$1:$1,0)-MATCH($B$1,[2]quests!$1:$1,0)+1,FALSE)</f>
        <v>チュートリアル</v>
      </c>
      <c r="D111" s="84" t="str">
        <f ca="1">VLOOKUP($B111,OFFSET([2]quests!$A$1,0,0,COUNTA([2]quests!$A:$A),MATCH(D$1,[2]quests!$1:$1,0)-MATCH($B$1,[2]quests!$1:$1,0)+1),MATCH(D$1,[2]quests!$1:$1,0)-MATCH($B$1,[2]quests!$1:$1,0)+1,FALSE)</f>
        <v>チュートリアル</v>
      </c>
      <c r="E111" s="88" t="s">
        <v>220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200</v>
      </c>
      <c r="K111" s="95" t="s">
        <v>303</v>
      </c>
      <c r="L111" s="96" t="s">
        <v>304</v>
      </c>
      <c r="M111" s="57" t="s">
        <v>213</v>
      </c>
    </row>
    <row r="112" spans="1:13" x14ac:dyDescent="0.15">
      <c r="A112" s="82" t="s">
        <v>202</v>
      </c>
      <c r="B112" s="83">
        <f>floors!$C$2</f>
        <v>0</v>
      </c>
      <c r="C112" s="84" t="str">
        <f ca="1">VLOOKUP($B112,OFFSET([2]quests!$A$1,0,0,COUNTA([2]quests!$A:$A),MATCH(C$1,[2]quests!$1:$1,0)-MATCH($B$1,[2]quests!$1:$1,0)+1),MATCH(C$1,[2]quests!$1:$1,0)-MATCH($B$1,[2]quests!$1:$1,0)+1,FALSE)</f>
        <v>チュートリアル</v>
      </c>
      <c r="D112" s="84" t="str">
        <f ca="1">VLOOKUP($B112,OFFSET([2]quests!$A$1,0,0,COUNTA([2]quests!$A:$A),MATCH(D$1,[2]quests!$1:$1,0)-MATCH($B$1,[2]quests!$1:$1,0)+1),MATCH(D$1,[2]quests!$1:$1,0)-MATCH($B$1,[2]quests!$1:$1,0)+1,FALSE)</f>
        <v>チュートリアル</v>
      </c>
      <c r="E112" s="88" t="s">
        <v>220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200</v>
      </c>
      <c r="K112" s="95" t="s">
        <v>307</v>
      </c>
      <c r="L112" s="96" t="s">
        <v>308</v>
      </c>
      <c r="M112" s="57" t="s">
        <v>213</v>
      </c>
    </row>
    <row r="113" spans="1:13" x14ac:dyDescent="0.15">
      <c r="A113" s="82" t="s">
        <v>202</v>
      </c>
      <c r="B113" s="83">
        <f>floors!$C$2</f>
        <v>0</v>
      </c>
      <c r="C113" s="84" t="str">
        <f ca="1">VLOOKUP($B113,OFFSET([2]quests!$A$1,0,0,COUNTA([2]quests!$A:$A),MATCH(C$1,[2]quests!$1:$1,0)-MATCH($B$1,[2]quests!$1:$1,0)+1),MATCH(C$1,[2]quests!$1:$1,0)-MATCH($B$1,[2]quests!$1:$1,0)+1,FALSE)</f>
        <v>チュートリアル</v>
      </c>
      <c r="D113" s="84" t="str">
        <f ca="1">VLOOKUP($B113,OFFSET([2]quests!$A$1,0,0,COUNTA([2]quests!$A:$A),MATCH(D$1,[2]quests!$1:$1,0)-MATCH($B$1,[2]quests!$1:$1,0)+1),MATCH(D$1,[2]quests!$1:$1,0)-MATCH($B$1,[2]quests!$1:$1,0)+1,FALSE)</f>
        <v>チュートリアル</v>
      </c>
      <c r="E113" s="88" t="s">
        <v>220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200</v>
      </c>
      <c r="K113" s="95" t="s">
        <v>325</v>
      </c>
      <c r="L113" s="96" t="s">
        <v>326</v>
      </c>
      <c r="M113" s="57" t="s">
        <v>213</v>
      </c>
    </row>
    <row r="114" spans="1:13" x14ac:dyDescent="0.15">
      <c r="A114" s="82" t="s">
        <v>202</v>
      </c>
      <c r="B114" s="83">
        <f>floors!$C$2</f>
        <v>0</v>
      </c>
      <c r="C114" s="84" t="str">
        <f ca="1">VLOOKUP($B114,OFFSET([2]quests!$A$1,0,0,COUNTA([2]quests!$A:$A),MATCH(C$1,[2]quests!$1:$1,0)-MATCH($B$1,[2]quests!$1:$1,0)+1),MATCH(C$1,[2]quests!$1:$1,0)-MATCH($B$1,[2]quests!$1:$1,0)+1,FALSE)</f>
        <v>チュートリアル</v>
      </c>
      <c r="D114" s="84" t="str">
        <f ca="1">VLOOKUP($B114,OFFSET([2]quests!$A$1,0,0,COUNTA([2]quests!$A:$A),MATCH(D$1,[2]quests!$1:$1,0)-MATCH($B$1,[2]quests!$1:$1,0)+1),MATCH(D$1,[2]quests!$1:$1,0)-MATCH($B$1,[2]quests!$1:$1,0)+1,FALSE)</f>
        <v>チュートリアル</v>
      </c>
      <c r="E114" s="88" t="s">
        <v>220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200</v>
      </c>
      <c r="K114" s="95" t="s">
        <v>327</v>
      </c>
      <c r="L114" s="96" t="s">
        <v>328</v>
      </c>
      <c r="M114" s="57" t="s">
        <v>213</v>
      </c>
    </row>
    <row r="115" spans="1:13" x14ac:dyDescent="0.15">
      <c r="A115" s="82" t="s">
        <v>202</v>
      </c>
      <c r="B115" s="83">
        <f>floors!$C$2</f>
        <v>0</v>
      </c>
      <c r="C115" s="84" t="str">
        <f ca="1">VLOOKUP($B115,OFFSET([2]quests!$A$1,0,0,COUNTA([2]quests!$A:$A),MATCH(C$1,[2]quests!$1:$1,0)-MATCH($B$1,[2]quests!$1:$1,0)+1),MATCH(C$1,[2]quests!$1:$1,0)-MATCH($B$1,[2]quests!$1:$1,0)+1,FALSE)</f>
        <v>チュートリアル</v>
      </c>
      <c r="D115" s="84" t="str">
        <f ca="1">VLOOKUP($B115,OFFSET([2]quests!$A$1,0,0,COUNTA([2]quests!$A:$A),MATCH(D$1,[2]quests!$1:$1,0)-MATCH($B$1,[2]quests!$1:$1,0)+1),MATCH(D$1,[2]quests!$1:$1,0)-MATCH($B$1,[2]quests!$1:$1,0)+1,FALSE)</f>
        <v>チュートリアル</v>
      </c>
      <c r="E115" s="88" t="s">
        <v>220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200</v>
      </c>
      <c r="K115" s="95" t="s">
        <v>331</v>
      </c>
      <c r="L115" s="96" t="s">
        <v>332</v>
      </c>
      <c r="M115" s="57" t="s">
        <v>213</v>
      </c>
    </row>
    <row r="116" spans="1:13" x14ac:dyDescent="0.15">
      <c r="A116" s="82" t="s">
        <v>202</v>
      </c>
      <c r="B116" s="83">
        <f>floors!$C$2</f>
        <v>0</v>
      </c>
      <c r="C116" s="84" t="str">
        <f ca="1">VLOOKUP($B116,OFFSET([2]quests!$A$1,0,0,COUNTA([2]quests!$A:$A),MATCH(C$1,[2]quests!$1:$1,0)-MATCH($B$1,[2]quests!$1:$1,0)+1),MATCH(C$1,[2]quests!$1:$1,0)-MATCH($B$1,[2]quests!$1:$1,0)+1,FALSE)</f>
        <v>チュートリアル</v>
      </c>
      <c r="D116" s="84" t="str">
        <f ca="1">VLOOKUP($B116,OFFSET([2]quests!$A$1,0,0,COUNTA([2]quests!$A:$A),MATCH(D$1,[2]quests!$1:$1,0)-MATCH($B$1,[2]quests!$1:$1,0)+1),MATCH(D$1,[2]quests!$1:$1,0)-MATCH($B$1,[2]quests!$1:$1,0)+1,FALSE)</f>
        <v>チュートリアル</v>
      </c>
      <c r="E116" s="88" t="s">
        <v>220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200</v>
      </c>
      <c r="K116" s="95" t="s">
        <v>333</v>
      </c>
      <c r="L116" s="96" t="s">
        <v>334</v>
      </c>
      <c r="M116" s="57" t="s">
        <v>213</v>
      </c>
    </row>
    <row r="117" spans="1:13" x14ac:dyDescent="0.15">
      <c r="A117" s="82" t="s">
        <v>202</v>
      </c>
      <c r="B117" s="83">
        <f>floors!$C$2</f>
        <v>0</v>
      </c>
      <c r="C117" s="84" t="str">
        <f ca="1">VLOOKUP($B117,OFFSET([2]quests!$A$1,0,0,COUNTA([2]quests!$A:$A),MATCH(C$1,[2]quests!$1:$1,0)-MATCH($B$1,[2]quests!$1:$1,0)+1),MATCH(C$1,[2]quests!$1:$1,0)-MATCH($B$1,[2]quests!$1:$1,0)+1,FALSE)</f>
        <v>チュートリアル</v>
      </c>
      <c r="D117" s="84" t="str">
        <f ca="1">VLOOKUP($B117,OFFSET([2]quests!$A$1,0,0,COUNTA([2]quests!$A:$A),MATCH(D$1,[2]quests!$1:$1,0)-MATCH($B$1,[2]quests!$1:$1,0)+1),MATCH(D$1,[2]quests!$1:$1,0)-MATCH($B$1,[2]quests!$1:$1,0)+1,FALSE)</f>
        <v>チュートリアル</v>
      </c>
      <c r="E117" s="88" t="s">
        <v>220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200</v>
      </c>
      <c r="K117" s="95" t="s">
        <v>335</v>
      </c>
      <c r="L117" s="96" t="s">
        <v>336</v>
      </c>
      <c r="M117" s="57" t="s">
        <v>213</v>
      </c>
    </row>
    <row r="118" spans="1:13" x14ac:dyDescent="0.15">
      <c r="A118" s="82" t="s">
        <v>202</v>
      </c>
      <c r="B118" s="83">
        <f>floors!$C$2</f>
        <v>0</v>
      </c>
      <c r="C118" s="84" t="str">
        <f ca="1">VLOOKUP($B118,OFFSET([2]quests!$A$1,0,0,COUNTA([2]quests!$A:$A),MATCH(C$1,[2]quests!$1:$1,0)-MATCH($B$1,[2]quests!$1:$1,0)+1),MATCH(C$1,[2]quests!$1:$1,0)-MATCH($B$1,[2]quests!$1:$1,0)+1,FALSE)</f>
        <v>チュートリアル</v>
      </c>
      <c r="D118" s="84" t="str">
        <f ca="1">VLOOKUP($B118,OFFSET([2]quests!$A$1,0,0,COUNTA([2]quests!$A:$A),MATCH(D$1,[2]quests!$1:$1,0)-MATCH($B$1,[2]quests!$1:$1,0)+1),MATCH(D$1,[2]quests!$1:$1,0)-MATCH($B$1,[2]quests!$1:$1,0)+1,FALSE)</f>
        <v>チュートリアル</v>
      </c>
      <c r="E118" s="88" t="s">
        <v>220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200</v>
      </c>
      <c r="K118" s="95" t="s">
        <v>337</v>
      </c>
      <c r="L118" s="96" t="s">
        <v>338</v>
      </c>
      <c r="M118" s="57" t="s">
        <v>213</v>
      </c>
    </row>
    <row r="119" spans="1:13" x14ac:dyDescent="0.15">
      <c r="A119" s="82" t="s">
        <v>202</v>
      </c>
      <c r="B119" s="83">
        <f>floors!$C$2</f>
        <v>0</v>
      </c>
      <c r="C119" s="84" t="str">
        <f ca="1">VLOOKUP($B119,OFFSET([2]quests!$A$1,0,0,COUNTA([2]quests!$A:$A),MATCH(C$1,[2]quests!$1:$1,0)-MATCH($B$1,[2]quests!$1:$1,0)+1),MATCH(C$1,[2]quests!$1:$1,0)-MATCH($B$1,[2]quests!$1:$1,0)+1,FALSE)</f>
        <v>チュートリアル</v>
      </c>
      <c r="D119" s="84" t="str">
        <f ca="1">VLOOKUP($B119,OFFSET([2]quests!$A$1,0,0,COUNTA([2]quests!$A:$A),MATCH(D$1,[2]quests!$1:$1,0)-MATCH($B$1,[2]quests!$1:$1,0)+1),MATCH(D$1,[2]quests!$1:$1,0)-MATCH($B$1,[2]quests!$1:$1,0)+1,FALSE)</f>
        <v>チュートリアル</v>
      </c>
      <c r="E119" s="88" t="s">
        <v>220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200</v>
      </c>
      <c r="K119" s="95" t="s">
        <v>339</v>
      </c>
      <c r="L119" s="96" t="s">
        <v>340</v>
      </c>
      <c r="M119" s="57" t="s">
        <v>213</v>
      </c>
    </row>
    <row r="120" spans="1:13" x14ac:dyDescent="0.15">
      <c r="A120" s="82" t="s">
        <v>202</v>
      </c>
      <c r="B120" s="83">
        <f>floors!$C$2</f>
        <v>0</v>
      </c>
      <c r="C120" s="84" t="str">
        <f ca="1">VLOOKUP($B120,OFFSET([2]quests!$A$1,0,0,COUNTA([2]quests!$A:$A),MATCH(C$1,[2]quests!$1:$1,0)-MATCH($B$1,[2]quests!$1:$1,0)+1),MATCH(C$1,[2]quests!$1:$1,0)-MATCH($B$1,[2]quests!$1:$1,0)+1,FALSE)</f>
        <v>チュートリアル</v>
      </c>
      <c r="D120" s="84" t="str">
        <f ca="1">VLOOKUP($B120,OFFSET([2]quests!$A$1,0,0,COUNTA([2]quests!$A:$A),MATCH(D$1,[2]quests!$1:$1,0)-MATCH($B$1,[2]quests!$1:$1,0)+1),MATCH(D$1,[2]quests!$1:$1,0)-MATCH($B$1,[2]quests!$1:$1,0)+1,FALSE)</f>
        <v>チュートリアル</v>
      </c>
      <c r="E120" s="88" t="s">
        <v>220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200</v>
      </c>
      <c r="K120" s="95" t="s">
        <v>341</v>
      </c>
      <c r="L120" s="96" t="s">
        <v>342</v>
      </c>
      <c r="M120" s="57" t="s">
        <v>213</v>
      </c>
    </row>
    <row r="121" spans="1:13" x14ac:dyDescent="0.15">
      <c r="A121" s="82" t="s">
        <v>202</v>
      </c>
      <c r="B121" s="83">
        <f>floors!$C$2</f>
        <v>0</v>
      </c>
      <c r="C121" s="84" t="str">
        <f ca="1">VLOOKUP($B121,OFFSET([2]quests!$A$1,0,0,COUNTA([2]quests!$A:$A),MATCH(C$1,[2]quests!$1:$1,0)-MATCH($B$1,[2]quests!$1:$1,0)+1),MATCH(C$1,[2]quests!$1:$1,0)-MATCH($B$1,[2]quests!$1:$1,0)+1,FALSE)</f>
        <v>チュートリアル</v>
      </c>
      <c r="D121" s="84" t="str">
        <f ca="1">VLOOKUP($B121,OFFSET([2]quests!$A$1,0,0,COUNTA([2]quests!$A:$A),MATCH(D$1,[2]quests!$1:$1,0)-MATCH($B$1,[2]quests!$1:$1,0)+1),MATCH(D$1,[2]quests!$1:$1,0)-MATCH($B$1,[2]quests!$1:$1,0)+1,FALSE)</f>
        <v>チュートリアル</v>
      </c>
      <c r="E121" s="88" t="s">
        <v>220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200</v>
      </c>
      <c r="K121" s="95" t="s">
        <v>319</v>
      </c>
      <c r="L121" s="96" t="s">
        <v>320</v>
      </c>
      <c r="M121" s="57" t="s">
        <v>213</v>
      </c>
    </row>
    <row r="122" spans="1:13" x14ac:dyDescent="0.15">
      <c r="A122" s="82" t="s">
        <v>202</v>
      </c>
      <c r="B122" s="83">
        <f>floors!$C$2</f>
        <v>0</v>
      </c>
      <c r="C122" s="84" t="str">
        <f ca="1">VLOOKUP($B122,OFFSET([2]quests!$A$1,0,0,COUNTA([2]quests!$A:$A),MATCH(C$1,[2]quests!$1:$1,0)-MATCH($B$1,[2]quests!$1:$1,0)+1),MATCH(C$1,[2]quests!$1:$1,0)-MATCH($B$1,[2]quests!$1:$1,0)+1,FALSE)</f>
        <v>チュートリアル</v>
      </c>
      <c r="D122" s="84" t="str">
        <f ca="1">VLOOKUP($B122,OFFSET([2]quests!$A$1,0,0,COUNTA([2]quests!$A:$A),MATCH(D$1,[2]quests!$1:$1,0)-MATCH($B$1,[2]quests!$1:$1,0)+1),MATCH(D$1,[2]quests!$1:$1,0)-MATCH($B$1,[2]quests!$1:$1,0)+1,FALSE)</f>
        <v>チュートリアル</v>
      </c>
      <c r="E122" s="88" t="s">
        <v>221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200</v>
      </c>
      <c r="K122" s="95" t="s">
        <v>289</v>
      </c>
      <c r="L122" s="96" t="s">
        <v>290</v>
      </c>
      <c r="M122" s="57" t="s">
        <v>213</v>
      </c>
    </row>
    <row r="123" spans="1:13" x14ac:dyDescent="0.15">
      <c r="A123" s="82" t="s">
        <v>202</v>
      </c>
      <c r="B123" s="83">
        <f>floors!$C$2</f>
        <v>0</v>
      </c>
      <c r="C123" s="84" t="str">
        <f ca="1">VLOOKUP($B123,OFFSET([2]quests!$A$1,0,0,COUNTA([2]quests!$A:$A),MATCH(C$1,[2]quests!$1:$1,0)-MATCH($B$1,[2]quests!$1:$1,0)+1),MATCH(C$1,[2]quests!$1:$1,0)-MATCH($B$1,[2]quests!$1:$1,0)+1,FALSE)</f>
        <v>チュートリアル</v>
      </c>
      <c r="D123" s="84" t="str">
        <f ca="1">VLOOKUP($B123,OFFSET([2]quests!$A$1,0,0,COUNTA([2]quests!$A:$A),MATCH(D$1,[2]quests!$1:$1,0)-MATCH($B$1,[2]quests!$1:$1,0)+1),MATCH(D$1,[2]quests!$1:$1,0)-MATCH($B$1,[2]quests!$1:$1,0)+1,FALSE)</f>
        <v>チュートリアル</v>
      </c>
      <c r="E123" s="88" t="s">
        <v>221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200</v>
      </c>
      <c r="K123" s="95" t="s">
        <v>299</v>
      </c>
      <c r="L123" s="96" t="s">
        <v>300</v>
      </c>
      <c r="M123" s="57" t="s">
        <v>213</v>
      </c>
    </row>
    <row r="124" spans="1:13" x14ac:dyDescent="0.15">
      <c r="A124" s="82" t="s">
        <v>202</v>
      </c>
      <c r="B124" s="83">
        <f>floors!$C$2</f>
        <v>0</v>
      </c>
      <c r="C124" s="84" t="str">
        <f ca="1">VLOOKUP($B124,OFFSET([2]quests!$A$1,0,0,COUNTA([2]quests!$A:$A),MATCH(C$1,[2]quests!$1:$1,0)-MATCH($B$1,[2]quests!$1:$1,0)+1),MATCH(C$1,[2]quests!$1:$1,0)-MATCH($B$1,[2]quests!$1:$1,0)+1,FALSE)</f>
        <v>チュートリアル</v>
      </c>
      <c r="D124" s="84" t="str">
        <f ca="1">VLOOKUP($B124,OFFSET([2]quests!$A$1,0,0,COUNTA([2]quests!$A:$A),MATCH(D$1,[2]quests!$1:$1,0)-MATCH($B$1,[2]quests!$1:$1,0)+1),MATCH(D$1,[2]quests!$1:$1,0)-MATCH($B$1,[2]quests!$1:$1,0)+1,FALSE)</f>
        <v>チュートリアル</v>
      </c>
      <c r="E124" s="88" t="s">
        <v>221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200</v>
      </c>
      <c r="K124" s="95" t="s">
        <v>303</v>
      </c>
      <c r="L124" s="96" t="s">
        <v>304</v>
      </c>
      <c r="M124" s="57" t="s">
        <v>213</v>
      </c>
    </row>
    <row r="125" spans="1:13" x14ac:dyDescent="0.15">
      <c r="A125" s="82" t="s">
        <v>202</v>
      </c>
      <c r="B125" s="83">
        <f>floors!$C$2</f>
        <v>0</v>
      </c>
      <c r="C125" s="84" t="str">
        <f ca="1">VLOOKUP($B125,OFFSET([2]quests!$A$1,0,0,COUNTA([2]quests!$A:$A),MATCH(C$1,[2]quests!$1:$1,0)-MATCH($B$1,[2]quests!$1:$1,0)+1),MATCH(C$1,[2]quests!$1:$1,0)-MATCH($B$1,[2]quests!$1:$1,0)+1,FALSE)</f>
        <v>チュートリアル</v>
      </c>
      <c r="D125" s="84" t="str">
        <f ca="1">VLOOKUP($B125,OFFSET([2]quests!$A$1,0,0,COUNTA([2]quests!$A:$A),MATCH(D$1,[2]quests!$1:$1,0)-MATCH($B$1,[2]quests!$1:$1,0)+1),MATCH(D$1,[2]quests!$1:$1,0)-MATCH($B$1,[2]quests!$1:$1,0)+1,FALSE)</f>
        <v>チュートリアル</v>
      </c>
      <c r="E125" s="88" t="s">
        <v>221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200</v>
      </c>
      <c r="K125" s="95" t="s">
        <v>307</v>
      </c>
      <c r="L125" s="96" t="s">
        <v>308</v>
      </c>
      <c r="M125" s="57" t="s">
        <v>213</v>
      </c>
    </row>
    <row r="126" spans="1:13" x14ac:dyDescent="0.15">
      <c r="A126" s="82" t="s">
        <v>202</v>
      </c>
      <c r="B126" s="83">
        <f>floors!$C$2</f>
        <v>0</v>
      </c>
      <c r="C126" s="84" t="str">
        <f ca="1">VLOOKUP($B126,OFFSET([2]quests!$A$1,0,0,COUNTA([2]quests!$A:$A),MATCH(C$1,[2]quests!$1:$1,0)-MATCH($B$1,[2]quests!$1:$1,0)+1),MATCH(C$1,[2]quests!$1:$1,0)-MATCH($B$1,[2]quests!$1:$1,0)+1,FALSE)</f>
        <v>チュートリアル</v>
      </c>
      <c r="D126" s="84" t="str">
        <f ca="1">VLOOKUP($B126,OFFSET([2]quests!$A$1,0,0,COUNTA([2]quests!$A:$A),MATCH(D$1,[2]quests!$1:$1,0)-MATCH($B$1,[2]quests!$1:$1,0)+1),MATCH(D$1,[2]quests!$1:$1,0)-MATCH($B$1,[2]quests!$1:$1,0)+1,FALSE)</f>
        <v>チュートリアル</v>
      </c>
      <c r="E126" s="88" t="s">
        <v>221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200</v>
      </c>
      <c r="K126" s="95" t="s">
        <v>325</v>
      </c>
      <c r="L126" s="96" t="s">
        <v>326</v>
      </c>
      <c r="M126" s="57" t="s">
        <v>213</v>
      </c>
    </row>
    <row r="127" spans="1:13" x14ac:dyDescent="0.15">
      <c r="A127" s="82" t="s">
        <v>202</v>
      </c>
      <c r="B127" s="83">
        <f>floors!$C$2</f>
        <v>0</v>
      </c>
      <c r="C127" s="84" t="str">
        <f ca="1">VLOOKUP($B127,OFFSET([2]quests!$A$1,0,0,COUNTA([2]quests!$A:$A),MATCH(C$1,[2]quests!$1:$1,0)-MATCH($B$1,[2]quests!$1:$1,0)+1),MATCH(C$1,[2]quests!$1:$1,0)-MATCH($B$1,[2]quests!$1:$1,0)+1,FALSE)</f>
        <v>チュートリアル</v>
      </c>
      <c r="D127" s="84" t="str">
        <f ca="1">VLOOKUP($B127,OFFSET([2]quests!$A$1,0,0,COUNTA([2]quests!$A:$A),MATCH(D$1,[2]quests!$1:$1,0)-MATCH($B$1,[2]quests!$1:$1,0)+1),MATCH(D$1,[2]quests!$1:$1,0)-MATCH($B$1,[2]quests!$1:$1,0)+1,FALSE)</f>
        <v>チュートリアル</v>
      </c>
      <c r="E127" s="88" t="s">
        <v>221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200</v>
      </c>
      <c r="K127" s="95" t="s">
        <v>327</v>
      </c>
      <c r="L127" s="96" t="s">
        <v>328</v>
      </c>
      <c r="M127" s="57" t="s">
        <v>213</v>
      </c>
    </row>
    <row r="128" spans="1:13" x14ac:dyDescent="0.15">
      <c r="A128" s="82" t="s">
        <v>202</v>
      </c>
      <c r="B128" s="83">
        <f>floors!$C$2</f>
        <v>0</v>
      </c>
      <c r="C128" s="84" t="str">
        <f ca="1">VLOOKUP($B128,OFFSET([2]quests!$A$1,0,0,COUNTA([2]quests!$A:$A),MATCH(C$1,[2]quests!$1:$1,0)-MATCH($B$1,[2]quests!$1:$1,0)+1),MATCH(C$1,[2]quests!$1:$1,0)-MATCH($B$1,[2]quests!$1:$1,0)+1,FALSE)</f>
        <v>チュートリアル</v>
      </c>
      <c r="D128" s="84" t="str">
        <f ca="1">VLOOKUP($B128,OFFSET([2]quests!$A$1,0,0,COUNTA([2]quests!$A:$A),MATCH(D$1,[2]quests!$1:$1,0)-MATCH($B$1,[2]quests!$1:$1,0)+1),MATCH(D$1,[2]quests!$1:$1,0)-MATCH($B$1,[2]quests!$1:$1,0)+1,FALSE)</f>
        <v>チュートリアル</v>
      </c>
      <c r="E128" s="88" t="s">
        <v>221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200</v>
      </c>
      <c r="K128" s="95" t="s">
        <v>331</v>
      </c>
      <c r="L128" s="96" t="s">
        <v>332</v>
      </c>
      <c r="M128" s="57" t="s">
        <v>213</v>
      </c>
    </row>
    <row r="129" spans="1:13" x14ac:dyDescent="0.15">
      <c r="A129" s="82" t="s">
        <v>202</v>
      </c>
      <c r="B129" s="83">
        <f>floors!$C$2</f>
        <v>0</v>
      </c>
      <c r="C129" s="84" t="str">
        <f ca="1">VLOOKUP($B129,OFFSET([2]quests!$A$1,0,0,COUNTA([2]quests!$A:$A),MATCH(C$1,[2]quests!$1:$1,0)-MATCH($B$1,[2]quests!$1:$1,0)+1),MATCH(C$1,[2]quests!$1:$1,0)-MATCH($B$1,[2]quests!$1:$1,0)+1,FALSE)</f>
        <v>チュートリアル</v>
      </c>
      <c r="D129" s="84" t="str">
        <f ca="1">VLOOKUP($B129,OFFSET([2]quests!$A$1,0,0,COUNTA([2]quests!$A:$A),MATCH(D$1,[2]quests!$1:$1,0)-MATCH($B$1,[2]quests!$1:$1,0)+1),MATCH(D$1,[2]quests!$1:$1,0)-MATCH($B$1,[2]quests!$1:$1,0)+1,FALSE)</f>
        <v>チュートリアル</v>
      </c>
      <c r="E129" s="88" t="s">
        <v>221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200</v>
      </c>
      <c r="K129" s="95" t="s">
        <v>333</v>
      </c>
      <c r="L129" s="96" t="s">
        <v>334</v>
      </c>
      <c r="M129" s="57" t="s">
        <v>213</v>
      </c>
    </row>
    <row r="130" spans="1:13" x14ac:dyDescent="0.15">
      <c r="A130" s="82" t="s">
        <v>202</v>
      </c>
      <c r="B130" s="83">
        <f>floors!$C$2</f>
        <v>0</v>
      </c>
      <c r="C130" s="84" t="str">
        <f ca="1">VLOOKUP($B130,OFFSET([2]quests!$A$1,0,0,COUNTA([2]quests!$A:$A),MATCH(C$1,[2]quests!$1:$1,0)-MATCH($B$1,[2]quests!$1:$1,0)+1),MATCH(C$1,[2]quests!$1:$1,0)-MATCH($B$1,[2]quests!$1:$1,0)+1,FALSE)</f>
        <v>チュートリアル</v>
      </c>
      <c r="D130" s="84" t="str">
        <f ca="1">VLOOKUP($B130,OFFSET([2]quests!$A$1,0,0,COUNTA([2]quests!$A:$A),MATCH(D$1,[2]quests!$1:$1,0)-MATCH($B$1,[2]quests!$1:$1,0)+1),MATCH(D$1,[2]quests!$1:$1,0)-MATCH($B$1,[2]quests!$1:$1,0)+1,FALSE)</f>
        <v>チュートリアル</v>
      </c>
      <c r="E130" s="88" t="s">
        <v>221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200</v>
      </c>
      <c r="K130" s="95" t="s">
        <v>335</v>
      </c>
      <c r="L130" s="96" t="s">
        <v>336</v>
      </c>
      <c r="M130" s="57" t="s">
        <v>213</v>
      </c>
    </row>
    <row r="131" spans="1:13" x14ac:dyDescent="0.15">
      <c r="A131" s="82" t="s">
        <v>202</v>
      </c>
      <c r="B131" s="83">
        <f>floors!$C$2</f>
        <v>0</v>
      </c>
      <c r="C131" s="84" t="str">
        <f ca="1">VLOOKUP($B131,OFFSET([2]quests!$A$1,0,0,COUNTA([2]quests!$A:$A),MATCH(C$1,[2]quests!$1:$1,0)-MATCH($B$1,[2]quests!$1:$1,0)+1),MATCH(C$1,[2]quests!$1:$1,0)-MATCH($B$1,[2]quests!$1:$1,0)+1,FALSE)</f>
        <v>チュートリアル</v>
      </c>
      <c r="D131" s="84" t="str">
        <f ca="1">VLOOKUP($B131,OFFSET([2]quests!$A$1,0,0,COUNTA([2]quests!$A:$A),MATCH(D$1,[2]quests!$1:$1,0)-MATCH($B$1,[2]quests!$1:$1,0)+1),MATCH(D$1,[2]quests!$1:$1,0)-MATCH($B$1,[2]quests!$1:$1,0)+1,FALSE)</f>
        <v>チュートリアル</v>
      </c>
      <c r="E131" s="88" t="s">
        <v>221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200</v>
      </c>
      <c r="K131" s="95" t="s">
        <v>337</v>
      </c>
      <c r="L131" s="96" t="s">
        <v>338</v>
      </c>
      <c r="M131" s="57" t="s">
        <v>213</v>
      </c>
    </row>
    <row r="132" spans="1:13" x14ac:dyDescent="0.15">
      <c r="A132" s="82" t="s">
        <v>202</v>
      </c>
      <c r="B132" s="83">
        <f>floors!$C$2</f>
        <v>0</v>
      </c>
      <c r="C132" s="84" t="str">
        <f ca="1">VLOOKUP($B132,OFFSET([2]quests!$A$1,0,0,COUNTA([2]quests!$A:$A),MATCH(C$1,[2]quests!$1:$1,0)-MATCH($B$1,[2]quests!$1:$1,0)+1),MATCH(C$1,[2]quests!$1:$1,0)-MATCH($B$1,[2]quests!$1:$1,0)+1,FALSE)</f>
        <v>チュートリアル</v>
      </c>
      <c r="D132" s="84" t="str">
        <f ca="1">VLOOKUP($B132,OFFSET([2]quests!$A$1,0,0,COUNTA([2]quests!$A:$A),MATCH(D$1,[2]quests!$1:$1,0)-MATCH($B$1,[2]quests!$1:$1,0)+1),MATCH(D$1,[2]quests!$1:$1,0)-MATCH($B$1,[2]quests!$1:$1,0)+1,FALSE)</f>
        <v>チュートリアル</v>
      </c>
      <c r="E132" s="88" t="s">
        <v>221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200</v>
      </c>
      <c r="K132" s="95" t="s">
        <v>339</v>
      </c>
      <c r="L132" s="96" t="s">
        <v>340</v>
      </c>
      <c r="M132" s="57" t="s">
        <v>213</v>
      </c>
    </row>
    <row r="133" spans="1:13" x14ac:dyDescent="0.15">
      <c r="A133" s="82" t="s">
        <v>202</v>
      </c>
      <c r="B133" s="83">
        <f>floors!$C$2</f>
        <v>0</v>
      </c>
      <c r="C133" s="84" t="str">
        <f ca="1">VLOOKUP($B133,OFFSET([2]quests!$A$1,0,0,COUNTA([2]quests!$A:$A),MATCH(C$1,[2]quests!$1:$1,0)-MATCH($B$1,[2]quests!$1:$1,0)+1),MATCH(C$1,[2]quests!$1:$1,0)-MATCH($B$1,[2]quests!$1:$1,0)+1,FALSE)</f>
        <v>チュートリアル</v>
      </c>
      <c r="D133" s="84" t="str">
        <f ca="1">VLOOKUP($B133,OFFSET([2]quests!$A$1,0,0,COUNTA([2]quests!$A:$A),MATCH(D$1,[2]quests!$1:$1,0)-MATCH($B$1,[2]quests!$1:$1,0)+1),MATCH(D$1,[2]quests!$1:$1,0)-MATCH($B$1,[2]quests!$1:$1,0)+1,FALSE)</f>
        <v>チュートリアル</v>
      </c>
      <c r="E133" s="88" t="s">
        <v>221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200</v>
      </c>
      <c r="K133" s="95" t="s">
        <v>341</v>
      </c>
      <c r="L133" s="96" t="s">
        <v>342</v>
      </c>
      <c r="M133" s="57" t="s">
        <v>213</v>
      </c>
    </row>
    <row r="134" spans="1:13" x14ac:dyDescent="0.15">
      <c r="A134" s="82" t="s">
        <v>202</v>
      </c>
      <c r="B134" s="83">
        <f>floors!$C$2</f>
        <v>0</v>
      </c>
      <c r="C134" s="84" t="str">
        <f ca="1">VLOOKUP($B134,OFFSET([2]quests!$A$1,0,0,COUNTA([2]quests!$A:$A),MATCH(C$1,[2]quests!$1:$1,0)-MATCH($B$1,[2]quests!$1:$1,0)+1),MATCH(C$1,[2]quests!$1:$1,0)-MATCH($B$1,[2]quests!$1:$1,0)+1,FALSE)</f>
        <v>チュートリアル</v>
      </c>
      <c r="D134" s="84" t="str">
        <f ca="1">VLOOKUP($B134,OFFSET([2]quests!$A$1,0,0,COUNTA([2]quests!$A:$A),MATCH(D$1,[2]quests!$1:$1,0)-MATCH($B$1,[2]quests!$1:$1,0)+1),MATCH(D$1,[2]quests!$1:$1,0)-MATCH($B$1,[2]quests!$1:$1,0)+1,FALSE)</f>
        <v>チュートリアル</v>
      </c>
      <c r="E134" s="88" t="s">
        <v>221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200</v>
      </c>
      <c r="K134" s="95" t="s">
        <v>319</v>
      </c>
      <c r="L134" s="96" t="s">
        <v>320</v>
      </c>
      <c r="M134" s="57" t="s">
        <v>213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190</v>
      </c>
      <c r="B1" s="74" t="s">
        <v>151</v>
      </c>
      <c r="C1" s="78" t="s">
        <v>192</v>
      </c>
      <c r="D1" s="78" t="s">
        <v>33</v>
      </c>
      <c r="E1" s="74" t="s">
        <v>193</v>
      </c>
      <c r="F1" s="78" t="s">
        <v>18</v>
      </c>
      <c r="G1" s="78" t="s">
        <v>33</v>
      </c>
      <c r="H1" s="74" t="s">
        <v>195</v>
      </c>
      <c r="I1" s="91" t="s">
        <v>196</v>
      </c>
      <c r="J1" s="93" t="s">
        <v>197</v>
      </c>
      <c r="K1" s="80" t="s">
        <v>127</v>
      </c>
      <c r="L1" s="79" t="s">
        <v>188</v>
      </c>
      <c r="M1" s="94" t="s">
        <v>187</v>
      </c>
      <c r="N1" s="81" t="s">
        <v>198</v>
      </c>
    </row>
    <row r="2" spans="1:14" x14ac:dyDescent="0.15">
      <c r="A2" s="82" t="s">
        <v>199</v>
      </c>
      <c r="B2" s="83">
        <f>floors!$C$2</f>
        <v>0</v>
      </c>
      <c r="C2" s="84" t="str">
        <f ca="1">VLOOKUP($B2,OFFSET([2]quests!$A$1,0,0,COUNTA([2]quests!$A:$A),MATCH(C$1,[2]quests!$1:$1,0)-MATCH($B$1,[2]quests!$1:$1,0)+1),MATCH(C$1,[2]quests!$1:$1,0)-MATCH($B$1,[2]quests!$1:$1,0)+1,FALSE)</f>
        <v>チュートリアル</v>
      </c>
      <c r="D2" s="84" t="str">
        <f ca="1">VLOOKUP($B2,OFFSET([2]quests!$A$1,0,0,COUNTA([2]quests!$A:$A),MATCH(D$1,[2]quests!$1:$1,0)-MATCH($B$1,[2]quests!$1:$1,0)+1),MATCH(D$1,[2]quests!$1:$1,0)-MATCH($B$1,[2]quests!$1:$1,0)+1,FALSE)</f>
        <v>チュートリアル</v>
      </c>
      <c r="E2" s="85">
        <v>99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99</v>
      </c>
      <c r="I2" s="92">
        <f>ROW()-1</f>
        <v>1</v>
      </c>
      <c r="J2" s="87" t="str">
        <f>B2&amp;TEXT(I2,"00")</f>
        <v>001</v>
      </c>
      <c r="K2" s="85" t="s">
        <v>200</v>
      </c>
      <c r="L2" s="88" t="s">
        <v>266</v>
      </c>
      <c r="M2" s="89"/>
      <c r="N2" s="57" t="s">
        <v>201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9" t="s">
        <v>222</v>
      </c>
      <c r="B1" s="100" t="s">
        <v>223</v>
      </c>
      <c r="C1" s="78" t="s">
        <v>224</v>
      </c>
      <c r="D1" s="78" t="s">
        <v>33</v>
      </c>
      <c r="E1" s="100" t="s">
        <v>225</v>
      </c>
      <c r="F1" s="78" t="s">
        <v>226</v>
      </c>
      <c r="G1" s="78" t="s">
        <v>33</v>
      </c>
      <c r="H1" s="100" t="s">
        <v>227</v>
      </c>
      <c r="I1" s="100" t="s">
        <v>228</v>
      </c>
      <c r="J1" s="100" t="s">
        <v>229</v>
      </c>
      <c r="K1" s="74" t="s">
        <v>230</v>
      </c>
      <c r="L1" s="74" t="s">
        <v>231</v>
      </c>
      <c r="M1" s="74" t="s">
        <v>157</v>
      </c>
      <c r="N1" s="78" t="s">
        <v>16</v>
      </c>
      <c r="O1" s="74" t="s">
        <v>232</v>
      </c>
      <c r="P1" s="74" t="s">
        <v>57</v>
      </c>
      <c r="Q1" s="74" t="s">
        <v>233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234</v>
      </c>
      <c r="X1" s="74" t="s">
        <v>235</v>
      </c>
    </row>
    <row r="2" spans="1:24" x14ac:dyDescent="0.15">
      <c r="A2" s="101" t="str">
        <f>B2&amp;"_"&amp;E2&amp;"_"&amp;H2&amp;"_"&amp;I2&amp;"_"&amp;J2</f>
        <v>0_7_everyone_clear_1</v>
      </c>
      <c r="B2" s="83">
        <v>0</v>
      </c>
      <c r="C2" s="84" t="str">
        <f ca="1">VLOOKUP($B2,OFFSET([2]quests!$A$1,0,0,COUNTA([2]quests!$A:$A),MATCH(C$1,[2]quests!$1:$1,0)-MATCH($B$1,[2]quests!$1:$1,0)+1),MATCH(C$1,[2]quests!$1:$1,0)-MATCH($B$1,[2]quests!$1:$1,0)+1,FALSE)</f>
        <v>チュートリアル</v>
      </c>
      <c r="D2" s="84" t="str">
        <f ca="1">VLOOKUP($B2,OFFSET([2]quests!$A$1,0,0,COUNTA([2]quests!$A:$A),MATCH(D$1,[2]quests!$1:$1,0)-MATCH($B$1,[2]quests!$1:$1,0)+1),MATCH(D$1,[2]quests!$1:$1,0)-MATCH($B$1,[2]quests!$1:$1,0)+1,FALSE)</f>
        <v>チュートリアル</v>
      </c>
      <c r="E2" s="85">
        <v>7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 t="s">
        <v>236</v>
      </c>
      <c r="I2" s="85" t="s">
        <v>237</v>
      </c>
      <c r="J2" s="85">
        <v>1</v>
      </c>
      <c r="K2" s="85">
        <v>610</v>
      </c>
      <c r="L2" s="85" t="s">
        <v>238</v>
      </c>
      <c r="M2" s="85">
        <v>334</v>
      </c>
      <c r="N2" s="10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3" t="s">
        <v>239</v>
      </c>
      <c r="X2" s="104" t="s">
        <v>240</v>
      </c>
    </row>
    <row r="3" spans="1:24" x14ac:dyDescent="0.15">
      <c r="A3" s="101" t="str">
        <f>B3&amp;"_"&amp;E3&amp;"_"&amp;H3&amp;"_"&amp;I3&amp;"_"&amp;J3</f>
        <v>0_7_everyone_no_continue_1</v>
      </c>
      <c r="B3" s="83">
        <v>0</v>
      </c>
      <c r="C3" s="84" t="str">
        <f ca="1">VLOOKUP($B3,OFFSET([2]quests!$A$1,0,0,COUNTA([2]quests!$A:$A),MATCH(C$1,[2]quests!$1:$1,0)-MATCH($B$1,[2]quests!$1:$1,0)+1),MATCH(C$1,[2]quests!$1:$1,0)-MATCH($B$1,[2]quests!$1:$1,0)+1,FALSE)</f>
        <v>チュートリアル</v>
      </c>
      <c r="D3" s="84" t="str">
        <f ca="1">VLOOKUP($B3,OFFSET([2]quests!$A$1,0,0,COUNTA([2]quests!$A:$A),MATCH(D$1,[2]quests!$1:$1,0)-MATCH($B$1,[2]quests!$1:$1,0)+1),MATCH(D$1,[2]quests!$1:$1,0)-MATCH($B$1,[2]quests!$1:$1,0)+1,FALSE)</f>
        <v>チュートリアル</v>
      </c>
      <c r="E3" s="85">
        <v>7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 t="s">
        <v>236</v>
      </c>
      <c r="I3" s="85" t="s">
        <v>241</v>
      </c>
      <c r="J3" s="85">
        <v>1</v>
      </c>
      <c r="K3" s="85">
        <v>610</v>
      </c>
      <c r="L3" s="85" t="s">
        <v>238</v>
      </c>
      <c r="M3" s="85">
        <v>334</v>
      </c>
      <c r="N3" s="10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103" t="s">
        <v>239</v>
      </c>
      <c r="X3" s="104" t="s">
        <v>240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2017-02-23T07:22:10Z</dcterms:modified>
</cp:coreProperties>
</file>